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E:\Sales_Analysis\"/>
    </mc:Choice>
  </mc:AlternateContent>
  <xr:revisionPtr revIDLastSave="0" documentId="13_ncr:1_{5FD91638-CBB3-4902-BD24-FAC81CBDF731}" xr6:coauthVersionLast="47" xr6:coauthVersionMax="47" xr10:uidLastSave="{00000000-0000-0000-0000-000000000000}"/>
  <bookViews>
    <workbookView xWindow="-108" yWindow="-108" windowWidth="23256" windowHeight="12456" activeTab="2" xr2:uid="{7FC542B1-3B45-4D4B-8468-D36948CBC2B2}"/>
  </bookViews>
  <sheets>
    <sheet name="customers" sheetId="3" r:id="rId1"/>
    <sheet name="products" sheetId="4" r:id="rId2"/>
    <sheet name="Dashboard" sheetId="27" r:id="rId3"/>
    <sheet name="Analysis" sheetId="5" r:id="rId4"/>
    <sheet name="Table1" sheetId="2" r:id="rId5"/>
    <sheet name="sales_raw" sheetId="1" r:id="rId6"/>
  </sheets>
  <definedNames>
    <definedName name="ExternalData_1" localSheetId="4" hidden="1">Table1!$A$1:$S$2001</definedName>
    <definedName name="ExternalData_2" localSheetId="0" hidden="1">'customers'!$A$1:$E$302</definedName>
    <definedName name="ExternalData_2" localSheetId="1" hidden="1">products!$A$1:$E$13</definedName>
    <definedName name="Slicer_category">#N/A</definedName>
    <definedName name="Slicer_region">#N/A</definedName>
    <definedName name="Slicer_year">#N/A</definedName>
  </definedNames>
  <calcPr calcId="191029"/>
  <pivotCaches>
    <pivotCache cacheId="34"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27" l="1"/>
  <c r="N5" i="27"/>
  <c r="B5" i="27"/>
  <c r="H5" i="27"/>
  <c r="K5" i="27" s="1"/>
  <c r="Y503" i="2"/>
  <c r="Z503" i="2"/>
  <c r="Z623" i="2"/>
  <c r="Z1165" i="2"/>
  <c r="Z1063" i="2"/>
  <c r="Z248" i="2"/>
  <c r="Z1029" i="2"/>
  <c r="Z1832" i="2"/>
  <c r="Z984" i="2"/>
  <c r="Z189" i="2"/>
  <c r="Z1265" i="2"/>
  <c r="Z897" i="2"/>
  <c r="Z1190" i="2"/>
  <c r="Z515" i="2"/>
  <c r="Z1785" i="2"/>
  <c r="Z1075" i="2"/>
  <c r="Z732" i="2"/>
  <c r="Z1753" i="2"/>
  <c r="Z1019" i="2"/>
  <c r="Z1287" i="2"/>
  <c r="Z1420" i="2"/>
  <c r="Z622" i="2"/>
  <c r="Z1297" i="2"/>
  <c r="Z1449" i="2"/>
  <c r="Z424" i="2"/>
  <c r="Z728" i="2"/>
  <c r="Z1662" i="2"/>
  <c r="Z1924" i="2"/>
  <c r="Z1560" i="2"/>
  <c r="Z88" i="2"/>
  <c r="Z944" i="2"/>
  <c r="Z829" i="2"/>
  <c r="Z1094" i="2"/>
  <c r="Z657" i="2"/>
  <c r="Z427" i="2"/>
  <c r="Z771" i="2"/>
  <c r="Z567" i="2"/>
  <c r="Z1123" i="2"/>
  <c r="Z775" i="2"/>
  <c r="Z164" i="2"/>
  <c r="Z696" i="2"/>
  <c r="Z328" i="2"/>
  <c r="Z1428" i="2"/>
  <c r="Z825" i="2"/>
  <c r="Z542" i="2"/>
  <c r="Z1480" i="2"/>
  <c r="Z363" i="2"/>
  <c r="Z694" i="2"/>
  <c r="Z1827" i="2"/>
  <c r="Z349" i="2"/>
  <c r="Z882" i="2"/>
  <c r="Z1824" i="2"/>
  <c r="Z1295" i="2"/>
  <c r="Z1821" i="2"/>
  <c r="Z484" i="2"/>
  <c r="Z536" i="2"/>
  <c r="Z1509" i="2"/>
  <c r="Z713" i="2"/>
  <c r="Z1921" i="2"/>
  <c r="Z581" i="2"/>
  <c r="Z6" i="2"/>
  <c r="Z1759" i="2"/>
  <c r="Z1905" i="2"/>
  <c r="Z1322" i="2"/>
  <c r="Z518" i="2"/>
  <c r="Z32" i="2"/>
  <c r="Z1034" i="2"/>
  <c r="Z1205" i="2"/>
  <c r="Z1247" i="2"/>
  <c r="Z86" i="2"/>
  <c r="Z1672" i="2"/>
  <c r="Z1007" i="2"/>
  <c r="Z1902" i="2"/>
  <c r="Z160" i="2"/>
  <c r="Z1438" i="2"/>
  <c r="Z1125" i="2"/>
  <c r="Z1621" i="2"/>
  <c r="Z1166" i="2"/>
  <c r="Z700" i="2"/>
  <c r="Z634" i="2"/>
  <c r="Z414" i="2"/>
  <c r="Z860" i="2"/>
  <c r="Z81" i="2"/>
  <c r="Z1543" i="2"/>
  <c r="Z1280" i="2"/>
  <c r="Z1949" i="2"/>
  <c r="Z1741" i="2"/>
  <c r="Z846" i="2"/>
  <c r="Z1353" i="2"/>
  <c r="Z753" i="2"/>
  <c r="Z1086" i="2"/>
  <c r="Z321" i="2"/>
  <c r="Z798" i="2"/>
  <c r="Z572" i="2"/>
  <c r="Z739" i="2"/>
  <c r="Z929" i="2"/>
  <c r="Z1689" i="2"/>
  <c r="Z1955" i="2"/>
  <c r="Z1182" i="2"/>
  <c r="Z1765" i="2"/>
  <c r="Z1277" i="2"/>
  <c r="Z285" i="2"/>
  <c r="Z1544" i="2"/>
  <c r="Z113" i="2"/>
  <c r="Z1321" i="2"/>
  <c r="Z1004" i="2"/>
  <c r="Z1607" i="2"/>
  <c r="Z263" i="2"/>
  <c r="Z1530" i="2"/>
  <c r="Z1234" i="2"/>
  <c r="Z971" i="2"/>
  <c r="Z1038" i="2"/>
  <c r="Z1862" i="2"/>
  <c r="Z776" i="2"/>
  <c r="Z432" i="2"/>
  <c r="Z1651" i="2"/>
  <c r="Z274" i="2"/>
  <c r="Z1611" i="2"/>
  <c r="Z84" i="2"/>
  <c r="Z933" i="2"/>
  <c r="Z1207" i="2"/>
  <c r="Z1469" i="2"/>
  <c r="Z469" i="2"/>
  <c r="Z1698" i="2"/>
  <c r="Z1666" i="2"/>
  <c r="Z1815" i="2"/>
  <c r="Z523" i="2"/>
  <c r="Z454" i="2"/>
  <c r="Z968" i="2"/>
  <c r="Z953" i="2"/>
  <c r="Z812" i="2"/>
  <c r="Z1256" i="2"/>
  <c r="Z1823" i="2"/>
  <c r="Z1053" i="2"/>
  <c r="Z699" i="2"/>
  <c r="Z196" i="2"/>
  <c r="Z1547" i="2"/>
  <c r="Z920" i="2"/>
  <c r="Z143" i="2"/>
  <c r="Z1851" i="2"/>
  <c r="Z1579" i="2"/>
  <c r="Z767" i="2"/>
  <c r="Z415" i="2"/>
  <c r="Z566" i="2"/>
  <c r="Z1409" i="2"/>
  <c r="Z979" i="2"/>
  <c r="Z204" i="2"/>
  <c r="Z165" i="2"/>
  <c r="Z1891" i="2"/>
  <c r="Z583" i="2"/>
  <c r="Z205" i="2"/>
  <c r="Z1690" i="2"/>
  <c r="Z1082" i="2"/>
  <c r="Z1035" i="2"/>
  <c r="Z1266" i="2"/>
  <c r="Z1364" i="2"/>
  <c r="Z5" i="2"/>
  <c r="Z1932" i="2"/>
  <c r="Z300" i="2"/>
  <c r="Z635" i="2"/>
  <c r="Z35" i="2"/>
  <c r="Z337" i="2"/>
  <c r="Z835" i="2"/>
  <c r="Z786" i="2"/>
  <c r="Z170" i="2"/>
  <c r="Z647" i="2"/>
  <c r="Z401" i="2"/>
  <c r="Z682" i="2"/>
  <c r="Z1706" i="2"/>
  <c r="Z1481" i="2"/>
  <c r="Z1168" i="2"/>
  <c r="Z1037" i="2"/>
  <c r="Z76" i="2"/>
  <c r="Z1945" i="2"/>
  <c r="Z395" i="2"/>
  <c r="Z1797" i="2"/>
  <c r="Z1170" i="2"/>
  <c r="Z1722" i="2"/>
  <c r="Z1898" i="2"/>
  <c r="Z1400" i="2"/>
  <c r="Z691" i="2"/>
  <c r="Z792" i="2"/>
  <c r="Z1834" i="2"/>
  <c r="Z1279" i="2"/>
  <c r="Z1139" i="2"/>
  <c r="Z842" i="2"/>
  <c r="Z671" i="2"/>
  <c r="Z1227" i="2"/>
  <c r="Z645" i="2"/>
  <c r="Z17" i="2"/>
  <c r="Z819" i="2"/>
  <c r="Z310" i="2"/>
  <c r="Z654" i="2"/>
  <c r="Z1110" i="2"/>
  <c r="Z939" i="2"/>
  <c r="Z83" i="2"/>
  <c r="Z505" i="2"/>
  <c r="Z532" i="2"/>
  <c r="Z78" i="2"/>
  <c r="Z1997" i="2"/>
  <c r="Z995" i="2"/>
  <c r="Z1580" i="2"/>
  <c r="Z955" i="2"/>
  <c r="Z844" i="2"/>
  <c r="Z1878" i="2"/>
  <c r="Z1761" i="2"/>
  <c r="Z1187" i="2"/>
  <c r="Z281" i="2"/>
  <c r="Z1748" i="2"/>
  <c r="Z1204" i="2"/>
  <c r="Z1691" i="2"/>
  <c r="Z1723" i="2"/>
  <c r="Z1041" i="2"/>
  <c r="Z1006" i="2"/>
  <c r="Z1108" i="2"/>
  <c r="Z397" i="2"/>
  <c r="Z109" i="2"/>
  <c r="Z413" i="2"/>
  <c r="Z510" i="2"/>
  <c r="Z1952" i="2"/>
  <c r="Z1442" i="2"/>
  <c r="Z1523" i="2"/>
  <c r="Z311" i="2"/>
  <c r="Z1881" i="2"/>
  <c r="Z909" i="2"/>
  <c r="Z1346" i="2"/>
  <c r="Z1638" i="2"/>
  <c r="Z1875" i="2"/>
  <c r="Z1861" i="2"/>
  <c r="Z1541" i="2"/>
  <c r="Z193" i="2"/>
  <c r="Z1850" i="2"/>
  <c r="Z871" i="2"/>
  <c r="Z1917" i="2"/>
  <c r="Z923" i="2"/>
  <c r="Z1939" i="2"/>
  <c r="Z37" i="2"/>
  <c r="Z1578" i="2"/>
  <c r="Z271" i="2"/>
  <c r="Z130" i="2"/>
  <c r="Z1518" i="2"/>
  <c r="Z425" i="2"/>
  <c r="Z675" i="2"/>
  <c r="Z63" i="2"/>
  <c r="Z712" i="2"/>
  <c r="Z1801" i="2"/>
  <c r="Z1937" i="2"/>
  <c r="Z420" i="2"/>
  <c r="Z806" i="2"/>
  <c r="Z1754" i="2"/>
  <c r="Z268" i="2"/>
  <c r="Z1615" i="2"/>
  <c r="Z810" i="2"/>
  <c r="Z807" i="2"/>
  <c r="Z1258" i="2"/>
  <c r="Z69" i="2"/>
  <c r="Z255" i="2"/>
  <c r="Z733" i="2"/>
  <c r="Z1764" i="2"/>
  <c r="Z1002" i="2"/>
  <c r="Z1114" i="2"/>
  <c r="Z437" i="2"/>
  <c r="Z1899" i="2"/>
  <c r="Z1522" i="2"/>
  <c r="Z1492" i="2"/>
  <c r="Z833" i="2"/>
  <c r="Z1401" i="2"/>
  <c r="Z407" i="2"/>
  <c r="Z312" i="2"/>
  <c r="Z580" i="2"/>
  <c r="Z1104" i="2"/>
  <c r="Z1872" i="2"/>
  <c r="Z1608" i="2"/>
  <c r="Z369" i="2"/>
  <c r="Z1813" i="2"/>
  <c r="Z114" i="2"/>
  <c r="Z736" i="2"/>
  <c r="Z958" i="2"/>
  <c r="Z246" i="2"/>
  <c r="Z1052" i="2"/>
  <c r="Z217" i="2"/>
  <c r="Z650" i="2"/>
  <c r="Z676" i="2"/>
  <c r="Z335" i="2"/>
  <c r="Z681" i="2"/>
  <c r="Z1671" i="2"/>
  <c r="Z796" i="2"/>
  <c r="Z1941" i="2"/>
  <c r="Z750" i="2"/>
  <c r="Z121" i="2"/>
  <c r="Z981" i="2"/>
  <c r="Z326" i="2"/>
  <c r="Z1155" i="2"/>
  <c r="Z1799" i="2"/>
  <c r="Z910" i="2"/>
  <c r="Z1307" i="2"/>
  <c r="Z146" i="2"/>
  <c r="Z157" i="2"/>
  <c r="Z578" i="2"/>
  <c r="Z308" i="2"/>
  <c r="Z1440" i="2"/>
  <c r="Z1301" i="2"/>
  <c r="Z516" i="2"/>
  <c r="Z316" i="2"/>
  <c r="Z760" i="2"/>
  <c r="Z1350" i="2"/>
  <c r="Z1389" i="2"/>
  <c r="Z1562" i="2"/>
  <c r="Z26" i="2"/>
  <c r="Z560" i="2"/>
  <c r="Z1730" i="2"/>
  <c r="Z1629" i="2"/>
  <c r="Z1418" i="2"/>
  <c r="Z948" i="2"/>
  <c r="Z1626" i="2"/>
  <c r="Z77" i="2"/>
  <c r="Z1193" i="2"/>
  <c r="Z940" i="2"/>
  <c r="Z152" i="2"/>
  <c r="Z1965" i="2"/>
  <c r="Z768" i="2"/>
  <c r="Z1273" i="2"/>
  <c r="Z1624" i="2"/>
  <c r="Z1112" i="2"/>
  <c r="Z1529" i="2"/>
  <c r="Z818" i="2"/>
  <c r="Z1740" i="2"/>
  <c r="Z1614" i="2"/>
  <c r="Z226" i="2"/>
  <c r="Z745" i="2"/>
  <c r="Z182" i="2"/>
  <c r="Z463" i="2"/>
  <c r="Z455" i="2"/>
  <c r="Z398" i="2"/>
  <c r="Z1826" i="2"/>
  <c r="Z874" i="2"/>
  <c r="Z264" i="2"/>
  <c r="Z359" i="2"/>
  <c r="Z1693" i="2"/>
  <c r="Z628" i="2"/>
  <c r="Z456" i="2"/>
  <c r="Z656" i="2"/>
  <c r="Z1814" i="2"/>
  <c r="Z127" i="2"/>
  <c r="Z295" i="2"/>
  <c r="Z149" i="2"/>
  <c r="Z1735" i="2"/>
  <c r="Z1804" i="2"/>
  <c r="Z1616" i="2"/>
  <c r="Z212" i="2"/>
  <c r="Z324" i="2"/>
  <c r="Z376" i="2"/>
  <c r="Z986" i="2"/>
  <c r="Z1637" i="2"/>
  <c r="Z1733" i="2"/>
  <c r="Z90" i="2"/>
  <c r="Z1331" i="2"/>
  <c r="Z1435" i="2"/>
  <c r="Z1461" i="2"/>
  <c r="Z881" i="2"/>
  <c r="Z1806" i="2"/>
  <c r="Z744" i="2"/>
  <c r="Z1436" i="2"/>
  <c r="Z370" i="2"/>
  <c r="Z1948" i="2"/>
  <c r="Z1323" i="2"/>
  <c r="Z155" i="2"/>
  <c r="Z1953" i="2"/>
  <c r="Z1848" i="2"/>
  <c r="Z171" i="2"/>
  <c r="Z1773" i="2"/>
  <c r="Z693" i="2"/>
  <c r="Z1915" i="2"/>
  <c r="Z632" i="2"/>
  <c r="Z243" i="2"/>
  <c r="Z604" i="2"/>
  <c r="Z1095" i="2"/>
  <c r="Z1692" i="2"/>
  <c r="Z1729" i="2"/>
  <c r="Z1738" i="2"/>
  <c r="Z1236" i="2"/>
  <c r="Z1381" i="2"/>
  <c r="Z25" i="2"/>
  <c r="Z659" i="2"/>
  <c r="Z687" i="2"/>
  <c r="Z1455" i="2"/>
  <c r="Z1294" i="2"/>
  <c r="Z297" i="2"/>
  <c r="Z364" i="2"/>
  <c r="Z391" i="2"/>
  <c r="Z1398" i="2"/>
  <c r="Z1632" i="2"/>
  <c r="Z486" i="2"/>
  <c r="Z472" i="2"/>
  <c r="Z548" i="2"/>
  <c r="Z1978" i="2"/>
  <c r="Z144" i="2"/>
  <c r="Z932" i="2"/>
  <c r="Z821" i="2"/>
  <c r="Z482" i="2"/>
  <c r="Z546" i="2"/>
  <c r="Z1743" i="2"/>
  <c r="Z1511" i="2"/>
  <c r="Z476" i="2"/>
  <c r="Z788" i="2"/>
  <c r="Z108" i="2"/>
  <c r="Z809" i="2"/>
  <c r="Z555" i="2"/>
  <c r="Z94" i="2"/>
  <c r="Z974" i="2"/>
  <c r="Z547" i="2"/>
  <c r="Z290" i="2"/>
  <c r="Z443" i="2"/>
  <c r="Z151" i="2"/>
  <c r="Z1090" i="2"/>
  <c r="Z1571" i="2"/>
  <c r="Z582" i="2"/>
  <c r="Z1354" i="2"/>
  <c r="Z1055" i="2"/>
  <c r="Z12" i="2"/>
  <c r="Z1427" i="2"/>
  <c r="Z988" i="2"/>
  <c r="Z1559" i="2"/>
  <c r="Z867" i="2"/>
  <c r="Z1732" i="2"/>
  <c r="Z1339" i="2"/>
  <c r="Z936" i="2"/>
  <c r="Z2" i="2"/>
  <c r="Z168" i="2"/>
  <c r="Z374" i="2"/>
  <c r="Z458" i="2"/>
  <c r="Z1831" i="2"/>
  <c r="Z1913" i="2"/>
  <c r="Z900" i="2"/>
  <c r="Z247" i="2"/>
  <c r="Z1969" i="2"/>
  <c r="Z686" i="2"/>
  <c r="Z54" i="2"/>
  <c r="Z231" i="2"/>
  <c r="Z763" i="2"/>
  <c r="Z409" i="2"/>
  <c r="Z453" i="2"/>
  <c r="Z1264" i="2"/>
  <c r="Z1213" i="2"/>
  <c r="Z1864" i="2"/>
  <c r="Z390" i="2"/>
  <c r="Z1058" i="2"/>
  <c r="Z1425" i="2"/>
  <c r="Z44" i="2"/>
  <c r="Z1396" i="2"/>
  <c r="Z1137" i="2"/>
  <c r="Z135" i="2"/>
  <c r="Z964" i="2"/>
  <c r="Z45" i="2"/>
  <c r="Z28" i="2"/>
  <c r="Z1231" i="2"/>
  <c r="Z223" i="2"/>
  <c r="Z1843" i="2"/>
  <c r="Z1925" i="2"/>
  <c r="Z1674" i="2"/>
  <c r="Z590" i="2"/>
  <c r="Z1635" i="2"/>
  <c r="Z330" i="2"/>
  <c r="Z1370" i="2"/>
  <c r="Z1216" i="2"/>
  <c r="Z1306" i="2"/>
  <c r="Z512" i="2"/>
  <c r="Z924" i="2"/>
  <c r="Z1628" i="2"/>
  <c r="Z534" i="2"/>
  <c r="Z1758" i="2"/>
  <c r="Z1228" i="2"/>
  <c r="Z1556" i="2"/>
  <c r="Z1392" i="2"/>
  <c r="Z487" i="2"/>
  <c r="Z1715" i="2"/>
  <c r="Z1956" i="2"/>
  <c r="Z1995" i="2"/>
  <c r="Z1936" i="2"/>
  <c r="Z751" i="2"/>
  <c r="Z864" i="2"/>
  <c r="Z1820" i="2"/>
  <c r="Z1452" i="2"/>
  <c r="Z1818" i="2"/>
  <c r="Z519" i="2"/>
  <c r="Z579" i="2"/>
  <c r="Z375" i="2"/>
  <c r="Z1362" i="2"/>
  <c r="Z147" i="2"/>
  <c r="Z499" i="2"/>
  <c r="Z1867" i="2"/>
  <c r="Z808" i="2"/>
  <c r="Z1157" i="2"/>
  <c r="Z1184" i="2"/>
  <c r="Z994" i="2"/>
  <c r="Z509" i="2"/>
  <c r="Z71" i="2"/>
  <c r="Z1143" i="2"/>
  <c r="Z685" i="2"/>
  <c r="Z575" i="2"/>
  <c r="Z410" i="2"/>
  <c r="Z1907" i="2"/>
  <c r="Z562" i="2"/>
  <c r="Z21" i="2"/>
  <c r="Z574" i="2"/>
  <c r="Z1161" i="2"/>
  <c r="Z903" i="2"/>
  <c r="Z283" i="2"/>
  <c r="Z1253" i="2"/>
  <c r="Z65" i="2"/>
  <c r="Z1325" i="2"/>
  <c r="Z1980" i="2"/>
  <c r="Z47" i="2"/>
  <c r="Z1046" i="2"/>
  <c r="Z416" i="2"/>
  <c r="Z1800" i="2"/>
  <c r="Z100" i="2"/>
  <c r="Z1025" i="2"/>
  <c r="Z216" i="2"/>
  <c r="Z336" i="2"/>
  <c r="Z1894" i="2"/>
  <c r="Z434" i="2"/>
  <c r="Z1332" i="2"/>
  <c r="Z256" i="2"/>
  <c r="Z639" i="2"/>
  <c r="Z1313" i="2"/>
  <c r="Z1431" i="2"/>
  <c r="Z384" i="2"/>
  <c r="Z827" i="2"/>
  <c r="Z1679" i="2"/>
  <c r="Z1950" i="2"/>
  <c r="Z1647" i="2"/>
  <c r="Z1066" i="2"/>
  <c r="Z1947" i="2"/>
  <c r="Z1340" i="2"/>
  <c r="Z1267" i="2"/>
  <c r="Z353" i="2"/>
  <c r="Z840" i="2"/>
  <c r="Z138" i="2"/>
  <c r="Z1957" i="2"/>
  <c r="Z1577" i="2"/>
  <c r="Z1885" i="2"/>
  <c r="Z1285" i="2"/>
  <c r="Z605" i="2"/>
  <c r="Z296" i="2"/>
  <c r="Z1031" i="2"/>
  <c r="Z1395" i="2"/>
  <c r="Z1156" i="2"/>
  <c r="Z772" i="2"/>
  <c r="Z1081" i="2"/>
  <c r="Z1293" i="2"/>
  <c r="Z1027" i="2"/>
  <c r="Z841" i="2"/>
  <c r="Z934" i="2"/>
  <c r="Z381" i="2"/>
  <c r="Z1120" i="2"/>
  <c r="Z1148" i="2"/>
  <c r="Z265" i="2"/>
  <c r="Z1545" i="2"/>
  <c r="Z1302" i="2"/>
  <c r="Z730" i="2"/>
  <c r="Z1097" i="2"/>
  <c r="Z208" i="2"/>
  <c r="Z1460" i="2"/>
  <c r="Z946" i="2"/>
  <c r="Z684" i="2"/>
  <c r="Z1958" i="2"/>
  <c r="Z526" i="2"/>
  <c r="Z183" i="2"/>
  <c r="Z436" i="2"/>
  <c r="Z1784" i="2"/>
  <c r="Z1281" i="2"/>
  <c r="Z1327" i="2"/>
  <c r="Z154" i="2"/>
  <c r="Z1001" i="2"/>
  <c r="Z1582" i="2"/>
  <c r="Z828" i="2"/>
  <c r="Z238" i="2"/>
  <c r="Z1613" i="2"/>
  <c r="Z925" i="2"/>
  <c r="Z556" i="2"/>
  <c r="Z1558" i="2"/>
  <c r="Z1092" i="2"/>
  <c r="Z1550" i="2"/>
  <c r="Z584" i="2"/>
  <c r="Z801" i="2"/>
  <c r="Z1083" i="2"/>
  <c r="Z1154" i="2"/>
  <c r="Z239" i="2"/>
  <c r="Z755" i="2"/>
  <c r="Z1196" i="2"/>
  <c r="Z585" i="2"/>
  <c r="Z1570" i="2"/>
  <c r="Z1458" i="2"/>
  <c r="Z435" i="2"/>
  <c r="Z1018" i="2"/>
  <c r="Z392" i="2"/>
  <c r="Z393" i="2"/>
  <c r="Z1180" i="2"/>
  <c r="Z1749" i="2"/>
  <c r="Z180" i="2"/>
  <c r="Z1816" i="2"/>
  <c r="Z1974" i="2"/>
  <c r="Z1087" i="2"/>
  <c r="Z1390" i="2"/>
  <c r="Z275" i="2"/>
  <c r="Z895" i="2"/>
  <c r="Z394" i="2"/>
  <c r="Z756" i="2"/>
  <c r="Z1118" i="2"/>
  <c r="Z1772" i="2"/>
  <c r="Z902" i="2"/>
  <c r="Z79" i="2"/>
  <c r="Z1747" i="2"/>
  <c r="Z779" i="2"/>
  <c r="Z710" i="2"/>
  <c r="Z831" i="2"/>
  <c r="Z1298" i="2"/>
  <c r="Z334" i="2"/>
  <c r="Z1811" i="2"/>
  <c r="Z139" i="2"/>
  <c r="Z1569" i="2"/>
  <c r="Z1206" i="2"/>
  <c r="Z41" i="2"/>
  <c r="Z480" i="2"/>
  <c r="Z1050" i="2"/>
  <c r="Z1592" i="2"/>
  <c r="Z1173" i="2"/>
  <c r="Z648" i="2"/>
  <c r="Z1930" i="2"/>
  <c r="Z318" i="2"/>
  <c r="Z899" i="2"/>
  <c r="Z965" i="2"/>
  <c r="Z591" i="2"/>
  <c r="Z977" i="2"/>
  <c r="Z747" i="2"/>
  <c r="Z1286" i="2"/>
  <c r="Z1716" i="2"/>
  <c r="Z1774" i="2"/>
  <c r="Z1414" i="2"/>
  <c r="Z1133" i="2"/>
  <c r="Z1444" i="2"/>
  <c r="Z122" i="2"/>
  <c r="Z1602" i="2"/>
  <c r="Z1374" i="2"/>
  <c r="Z1708" i="2"/>
  <c r="Z451" i="2"/>
  <c r="Z672" i="2"/>
  <c r="Z826" i="2"/>
  <c r="Z9" i="2"/>
  <c r="Z1841" i="2"/>
  <c r="Z252" i="2"/>
  <c r="Z1021" i="2"/>
  <c r="Z1308" i="2"/>
  <c r="Z33" i="2"/>
  <c r="Z161" i="2"/>
  <c r="Z1472" i="2"/>
  <c r="Z1071" i="2"/>
  <c r="Z305" i="2"/>
  <c r="Z912" i="2"/>
  <c r="Z1859" i="2"/>
  <c r="Z1384" i="2"/>
  <c r="Z834" i="2"/>
  <c r="Z666" i="2"/>
  <c r="Z104" i="2"/>
  <c r="Z1241" i="2"/>
  <c r="Z683" i="2"/>
  <c r="Z16" i="2"/>
  <c r="Z1667" i="2"/>
  <c r="Z921" i="2"/>
  <c r="Z446" i="2"/>
  <c r="Z1865" i="2"/>
  <c r="Z191" i="2"/>
  <c r="Z253" i="2"/>
  <c r="Z1239" i="2"/>
  <c r="Z64" i="2"/>
  <c r="Z1701" i="2"/>
  <c r="Z539" i="2"/>
  <c r="Z1393" i="2"/>
  <c r="Z1728" i="2"/>
  <c r="Z278" i="2"/>
  <c r="Z1596" i="2"/>
  <c r="Z663" i="2"/>
  <c r="Z855" i="2"/>
  <c r="Z1526" i="2"/>
  <c r="Z137" i="2"/>
  <c r="Z896" i="2"/>
  <c r="Z186" i="2"/>
  <c r="Z13" i="2"/>
  <c r="Z302" i="2"/>
  <c r="Z233" i="2"/>
  <c r="Z674" i="2"/>
  <c r="Z492" i="2"/>
  <c r="Z847" i="2"/>
  <c r="Z141" i="2"/>
  <c r="Z1534" i="2"/>
  <c r="Z31" i="2"/>
  <c r="Z465" i="2"/>
  <c r="Z441" i="2"/>
  <c r="Z198" i="2"/>
  <c r="Z740" i="2"/>
  <c r="Z1468" i="2"/>
  <c r="Z213" i="2"/>
  <c r="Z785" i="2"/>
  <c r="Z1271" i="2"/>
  <c r="Z987" i="2"/>
  <c r="Z898" i="2"/>
  <c r="Z1619" i="2"/>
  <c r="Z738" i="2"/>
  <c r="Z338" i="2"/>
  <c r="Z836" i="2"/>
  <c r="Z1920" i="2"/>
  <c r="Z1922" i="2"/>
  <c r="Z473" i="2"/>
  <c r="Z112" i="2"/>
  <c r="Z621" i="2"/>
  <c r="Z1627" i="2"/>
  <c r="Z1212" i="2"/>
  <c r="Z1979" i="2"/>
  <c r="Z1757" i="2"/>
  <c r="Z784" i="2"/>
  <c r="Z1176" i="2"/>
  <c r="Z1489" i="2"/>
  <c r="Z1618" i="2"/>
  <c r="Z595" i="2"/>
  <c r="Z1788" i="2"/>
  <c r="Z315" i="2"/>
  <c r="Z1775" i="2"/>
  <c r="Z1355" i="2"/>
  <c r="Z440" i="2"/>
  <c r="Z603" i="2"/>
  <c r="Z668" i="2"/>
  <c r="Z1167" i="2"/>
  <c r="Z1636" i="2"/>
  <c r="Z347" i="2"/>
  <c r="Z1542" i="2"/>
  <c r="Z1919" i="2"/>
  <c r="Z1465" i="2"/>
  <c r="Z1711" i="2"/>
  <c r="Z1188" i="2"/>
  <c r="Z1844" i="2"/>
  <c r="Z830" i="2"/>
  <c r="Z619" i="2"/>
  <c r="Z55" i="2"/>
  <c r="Z224" i="2"/>
  <c r="Z1951" i="2"/>
  <c r="Z1337" i="2"/>
  <c r="Z913" i="2"/>
  <c r="Z241" i="2"/>
  <c r="Z1653" i="2"/>
  <c r="Z259" i="2"/>
  <c r="Z570" i="2"/>
  <c r="Z1505" i="2"/>
  <c r="Z1453" i="2"/>
  <c r="Z102" i="2"/>
  <c r="Z266" i="2"/>
  <c r="Z368" i="2"/>
  <c r="Z269" i="2"/>
  <c r="Z1678" i="2"/>
  <c r="Z587" i="2"/>
  <c r="Z1981" i="2"/>
  <c r="Z406" i="2"/>
  <c r="Z557" i="2"/>
  <c r="Z856" i="2"/>
  <c r="Z126" i="2"/>
  <c r="Z40" i="2"/>
  <c r="Z1533" i="2"/>
  <c r="Z1487" i="2"/>
  <c r="Z922" i="2"/>
  <c r="Z188" i="2"/>
  <c r="Z722" i="2"/>
  <c r="Z1441" i="2"/>
  <c r="Z185" i="2"/>
  <c r="Z1059" i="2"/>
  <c r="Z886" i="2"/>
  <c r="Z262" i="2"/>
  <c r="Z1855" i="2"/>
  <c r="Z70" i="2"/>
  <c r="Z573" i="2"/>
  <c r="Z1966" i="2"/>
  <c r="Z1737" i="2"/>
  <c r="Z759" i="2"/>
  <c r="Z719" i="2"/>
  <c r="Z960" i="2"/>
  <c r="Z73" i="2"/>
  <c r="Z1766" i="2"/>
  <c r="Z1929" i="2"/>
  <c r="Z110" i="2"/>
  <c r="Z1812" i="2"/>
  <c r="Z331" i="2"/>
  <c r="Z1718" i="2"/>
  <c r="Z1192" i="2"/>
  <c r="Z1318" i="2"/>
  <c r="Z1507" i="2"/>
  <c r="Z1291" i="2"/>
  <c r="Z1549" i="2"/>
  <c r="Z949" i="2"/>
  <c r="Z495" i="2"/>
  <c r="Z158" i="2"/>
  <c r="Z128" i="2"/>
  <c r="Z778" i="2"/>
  <c r="Z1270" i="2"/>
  <c r="Z602" i="2"/>
  <c r="Z1023" i="2"/>
  <c r="Z1810" i="2"/>
  <c r="Z242" i="2"/>
  <c r="Z848" i="2"/>
  <c r="Z351" i="2"/>
  <c r="Z1060" i="2"/>
  <c r="Z1642" i="2"/>
  <c r="Z342" i="2"/>
  <c r="Z1051" i="2"/>
  <c r="Z530" i="2"/>
  <c r="Z1064" i="2"/>
  <c r="Z304" i="2"/>
  <c r="Z1065" i="2"/>
  <c r="Z367" i="2"/>
  <c r="Z1641" i="2"/>
  <c r="Z169" i="2"/>
  <c r="Z1421" i="2"/>
  <c r="Z489" i="2"/>
  <c r="Z1189" i="2"/>
  <c r="Z1805" i="2"/>
  <c r="Z618" i="2"/>
  <c r="Z1248" i="2"/>
  <c r="Z319" i="2"/>
  <c r="Z48" i="2"/>
  <c r="Z1043" i="2"/>
  <c r="Z39" i="2"/>
  <c r="Z1010" i="2"/>
  <c r="Z276" i="2"/>
  <c r="Z1024" i="2"/>
  <c r="Z541" i="2"/>
  <c r="Z630" i="2"/>
  <c r="Z1202" i="2"/>
  <c r="Z863" i="2"/>
  <c r="Z249" i="2"/>
  <c r="Z851" i="2"/>
  <c r="Z1411" i="2"/>
  <c r="Z1781" i="2"/>
  <c r="Z201" i="2"/>
  <c r="Z1590" i="2"/>
  <c r="Z1527" i="2"/>
  <c r="Z1597" i="2"/>
  <c r="Z1946" i="2"/>
  <c r="Z1519" i="2"/>
  <c r="Z1942" i="2"/>
  <c r="Z1933" i="2"/>
  <c r="Z1914" i="2"/>
  <c r="Z816" i="2"/>
  <c r="Z527" i="2"/>
  <c r="Z1067" i="2"/>
  <c r="Z507" i="2"/>
  <c r="Z1255" i="2"/>
  <c r="Z1124" i="2"/>
  <c r="Z513" i="2"/>
  <c r="Z1430" i="2"/>
  <c r="Z845" i="2"/>
  <c r="Z660" i="2"/>
  <c r="Z1105" i="2"/>
  <c r="Z1290" i="2"/>
  <c r="Z1631" i="2"/>
  <c r="Z716" i="2"/>
  <c r="Z1868" i="2"/>
  <c r="Z545" i="2"/>
  <c r="Z1771" i="2"/>
  <c r="Z1911" i="2"/>
  <c r="Z1780" i="2"/>
  <c r="Z1736" i="2"/>
  <c r="Z1488" i="2"/>
  <c r="Z606" i="2"/>
  <c r="Z729" i="2"/>
  <c r="Z708" i="2"/>
  <c r="Z875" i="2"/>
  <c r="Z1707" i="2"/>
  <c r="Z1382" i="2"/>
  <c r="Z861" i="2"/>
  <c r="Z589" i="2"/>
  <c r="Z92" i="2"/>
  <c r="Z74" i="2"/>
  <c r="Z521" i="2"/>
  <c r="Z1399" i="2"/>
  <c r="Z1961" i="2"/>
  <c r="Z1888" i="2"/>
  <c r="Z422" i="2"/>
  <c r="Z1483" i="2"/>
  <c r="Z314" i="2"/>
  <c r="Z613" i="2"/>
  <c r="Z430" i="2"/>
  <c r="Z107" i="2"/>
  <c r="Z1057" i="2"/>
  <c r="Z773" i="2"/>
  <c r="Z889" i="2"/>
  <c r="Z1101" i="2"/>
  <c r="Z184" i="2"/>
  <c r="Z1985" i="2"/>
  <c r="Z962" i="2"/>
  <c r="Z1080" i="2"/>
  <c r="Z1132" i="2"/>
  <c r="Z1517" i="2"/>
  <c r="Z474" i="2"/>
  <c r="Z1721" i="2"/>
  <c r="Z174" i="2"/>
  <c r="Z1659" i="2"/>
  <c r="Z850" i="2"/>
  <c r="Z1162" i="2"/>
  <c r="Z419" i="2"/>
  <c r="Z1009" i="2"/>
  <c r="Z251" i="2"/>
  <c r="Z884" i="2"/>
  <c r="Z418" i="2"/>
  <c r="Z1303" i="2"/>
  <c r="Z1682" i="2"/>
  <c r="Z947" i="2"/>
  <c r="Z703" i="2"/>
  <c r="Z1109" i="2"/>
  <c r="Z1656" i="2"/>
  <c r="Z218" i="2"/>
  <c r="Z1809" i="2"/>
  <c r="Z1338" i="2"/>
  <c r="Z1315" i="2"/>
  <c r="Z1568" i="2"/>
  <c r="Z914" i="2"/>
  <c r="Z1305" i="2"/>
  <c r="Z1357" i="2"/>
  <c r="Z549" i="2"/>
  <c r="Z1254" i="2"/>
  <c r="Z568" i="2"/>
  <c r="Z1242" i="2"/>
  <c r="Z757" i="2"/>
  <c r="Z1351" i="2"/>
  <c r="Z366" i="2"/>
  <c r="Z429" i="2"/>
  <c r="Z1116" i="2"/>
  <c r="Z975" i="2"/>
  <c r="Z1077" i="2"/>
  <c r="Z1617" i="2"/>
  <c r="Z1605" i="2"/>
  <c r="Z1252" i="2"/>
  <c r="Z999" i="2"/>
  <c r="Z1179" i="2"/>
  <c r="Z1836" i="2"/>
  <c r="Z140" i="2"/>
  <c r="Z1685" i="2"/>
  <c r="Z1910" i="2"/>
  <c r="Z1141" i="2"/>
  <c r="Z325" i="2"/>
  <c r="Z1446" i="2"/>
  <c r="Z1567" i="2"/>
  <c r="Z641" i="2"/>
  <c r="Z461" i="2"/>
  <c r="Z631" i="2"/>
  <c r="Z1655" i="2"/>
  <c r="Z1535" i="2"/>
  <c r="Z1599" i="2"/>
  <c r="Z490" i="2"/>
  <c r="Z1745" i="2"/>
  <c r="Z1070" i="2"/>
  <c r="Z260" i="2"/>
  <c r="Z673" i="2"/>
  <c r="Z535" i="2"/>
  <c r="Z1791" i="2"/>
  <c r="Z858" i="2"/>
  <c r="Z1130" i="2"/>
  <c r="Z748" i="2"/>
  <c r="Z1174" i="2"/>
  <c r="Z540" i="2"/>
  <c r="Z1796" i="2"/>
  <c r="Z1194" i="2"/>
  <c r="Z344" i="2"/>
  <c r="Z1282" i="2"/>
  <c r="Z849" i="2"/>
  <c r="Z1837" i="2"/>
  <c r="Z56" i="2"/>
  <c r="Z669" i="2"/>
  <c r="Z412" i="2"/>
  <c r="Z793" i="2"/>
  <c r="Z1407" i="2"/>
  <c r="Z1501" i="2"/>
  <c r="Z1508" i="2"/>
  <c r="Z118" i="2"/>
  <c r="Z551" i="2"/>
  <c r="Z1845" i="2"/>
  <c r="Z22" i="2"/>
  <c r="Z1422" i="2"/>
  <c r="Z1135" i="2"/>
  <c r="Z129" i="2"/>
  <c r="Z1230" i="2"/>
  <c r="Z1459" i="2"/>
  <c r="Z1121" i="2"/>
  <c r="Z1792" i="2"/>
  <c r="Z1630" i="2"/>
  <c r="Z464" i="2"/>
  <c r="Z558" i="2"/>
  <c r="Z1639" i="2"/>
  <c r="Z1244" i="2"/>
  <c r="Z594" i="2"/>
  <c r="Z1889" i="2"/>
  <c r="Z704" i="2"/>
  <c r="Z961" i="2"/>
  <c r="Z1896" i="2"/>
  <c r="Z388" i="2"/>
  <c r="Z1183" i="2"/>
  <c r="Z1221" i="2"/>
  <c r="Z1476" i="2"/>
  <c r="Z1045" i="2"/>
  <c r="Z1622" i="2"/>
  <c r="Z1397" i="2"/>
  <c r="Z1934" i="2"/>
  <c r="Z1345" i="2"/>
  <c r="Z339" i="2"/>
  <c r="Z787" i="2"/>
  <c r="Z120" i="2"/>
  <c r="Z1877" i="2"/>
  <c r="Z345" i="2"/>
  <c r="Z234" i="2"/>
  <c r="Z1376" i="2"/>
  <c r="Z1835" i="2"/>
  <c r="Z1790" i="2"/>
  <c r="Z1540" i="2"/>
  <c r="Z1061" i="2"/>
  <c r="Z1106" i="2"/>
  <c r="Z1404" i="2"/>
  <c r="Z998" i="2"/>
  <c r="Z1623" i="2"/>
  <c r="Z571" i="2"/>
  <c r="Z59" i="2"/>
  <c r="Z8" i="2"/>
  <c r="Z475" i="2"/>
  <c r="Z1670" i="2"/>
  <c r="Z1146" i="2"/>
  <c r="Z46" i="2"/>
  <c r="Z991" i="2"/>
  <c r="Z1175" i="2"/>
  <c r="Z1935" i="2"/>
  <c r="Z1263" i="2"/>
  <c r="Z1669" i="2"/>
  <c r="Z797" i="2"/>
  <c r="Z1462" i="2"/>
  <c r="Z1288" i="2"/>
  <c r="Z983" i="2"/>
  <c r="Z1993" i="2"/>
  <c r="Z1467" i="2"/>
  <c r="Z1201" i="2"/>
  <c r="Z1649" i="2"/>
  <c r="Z1245" i="2"/>
  <c r="Z232" i="2"/>
  <c r="Z1557" i="2"/>
  <c r="Z1049" i="2"/>
  <c r="Z607" i="2"/>
  <c r="Z382" i="2"/>
  <c r="Z1454" i="2"/>
  <c r="Z211" i="2"/>
  <c r="Z358" i="2"/>
  <c r="Z612" i="2"/>
  <c r="Z200" i="2"/>
  <c r="Z1676" i="2"/>
  <c r="Z938" i="2"/>
  <c r="Z1218" i="2"/>
  <c r="Z228" i="2"/>
  <c r="Z1871" i="2"/>
  <c r="Z1927" i="2"/>
  <c r="Z1645" i="2"/>
  <c r="Z421" i="2"/>
  <c r="Z1229" i="2"/>
  <c r="Z1099" i="2"/>
  <c r="Z362" i="2"/>
  <c r="Z782" i="2"/>
  <c r="Z1731" i="2"/>
  <c r="Z610" i="2"/>
  <c r="Z620" i="2"/>
  <c r="Z1233" i="2"/>
  <c r="Z1178" i="2"/>
  <c r="Z593" i="2"/>
  <c r="Z447" i="2"/>
  <c r="Z341" i="2"/>
  <c r="Z97" i="2"/>
  <c r="Z588" i="2"/>
  <c r="Z980" i="2"/>
  <c r="Z1660" i="2"/>
  <c r="Z1768" i="2"/>
  <c r="Z1203" i="2"/>
  <c r="Z1145" i="2"/>
  <c r="Z426" i="2"/>
  <c r="Z1259" i="2"/>
  <c r="Z1375" i="2"/>
  <c r="Z1341" i="2"/>
  <c r="Z1901" i="2"/>
  <c r="Z1710" i="2"/>
  <c r="Z1405" i="2"/>
  <c r="Z783" i="2"/>
  <c r="Z1794" i="2"/>
  <c r="Z277" i="2"/>
  <c r="Z220" i="2"/>
  <c r="Z1380" i="2"/>
  <c r="Z1575" i="2"/>
  <c r="Z1426" i="2"/>
  <c r="Z1451" i="2"/>
  <c r="Z1967" i="2"/>
  <c r="Z1186" i="2"/>
  <c r="Z1026" i="2"/>
  <c r="Z1028" i="2"/>
  <c r="Z240" i="2"/>
  <c r="Z915" i="2"/>
  <c r="Z901" i="2"/>
  <c r="Z1923" i="2"/>
  <c r="Z1538" i="2"/>
  <c r="Z1383" i="2"/>
  <c r="Z878" i="2"/>
  <c r="Z930" i="2"/>
  <c r="Z1470" i="2"/>
  <c r="Z237" i="2"/>
  <c r="Z799" i="2"/>
  <c r="Z695" i="2"/>
  <c r="Z1726" i="2"/>
  <c r="Z1595" i="2"/>
  <c r="Z969" i="2"/>
  <c r="Z862" i="2"/>
  <c r="Z1510" i="2"/>
  <c r="Z1497" i="2"/>
  <c r="Z1198" i="2"/>
  <c r="Z1803" i="2"/>
  <c r="Z1552" i="2"/>
  <c r="Z1498" i="2"/>
  <c r="Z1358" i="2"/>
  <c r="Z1164" i="2"/>
  <c r="Z762" i="2"/>
  <c r="Z1085" i="2"/>
  <c r="Z15" i="2"/>
  <c r="Z941" i="2"/>
  <c r="Z1986" i="2"/>
  <c r="Z371" i="2"/>
  <c r="Z215" i="2"/>
  <c r="Z1863" i="2"/>
  <c r="Z1860" i="2"/>
  <c r="Z58" i="2"/>
  <c r="Z1988" i="2"/>
  <c r="Z1646" i="2"/>
  <c r="Z552" i="2"/>
  <c r="Z1652" i="2"/>
  <c r="Z1908" i="2"/>
  <c r="Z1352" i="2"/>
  <c r="Z937" i="2"/>
  <c r="Z1185" i="2"/>
  <c r="Z1471" i="2"/>
  <c r="Z105" i="2"/>
  <c r="Z1551" i="2"/>
  <c r="Z528" i="2"/>
  <c r="Z1275" i="2"/>
  <c r="Z267" i="2"/>
  <c r="Z1696" i="2"/>
  <c r="Z1565" i="2"/>
  <c r="Z89" i="2"/>
  <c r="Z1377" i="2"/>
  <c r="Z379" i="2"/>
  <c r="Z989" i="2"/>
  <c r="Z1852" i="2"/>
  <c r="Z997" i="2"/>
  <c r="Z629" i="2"/>
  <c r="Z1047" i="2"/>
  <c r="Z956" i="2"/>
  <c r="Z27" i="2"/>
  <c r="Z1704" i="2"/>
  <c r="Z504" i="2"/>
  <c r="Z1996" i="2"/>
  <c r="Z178" i="2"/>
  <c r="Z1159" i="2"/>
  <c r="Z1102" i="2"/>
  <c r="Z1361" i="2"/>
  <c r="Z20" i="2"/>
  <c r="Z852" i="2"/>
  <c r="Z457" i="2"/>
  <c r="Z843" i="2"/>
  <c r="Z250" i="2"/>
  <c r="Z1073" i="2"/>
  <c r="Z794" i="2"/>
  <c r="Z159" i="2"/>
  <c r="Z1763" i="2"/>
  <c r="Z1866" i="2"/>
  <c r="Z1474" i="2"/>
  <c r="Z1448" i="2"/>
  <c r="Z1983" i="2"/>
  <c r="Z1589" i="2"/>
  <c r="Z1938" i="2"/>
  <c r="Z1680" i="2"/>
  <c r="Z1634" i="2"/>
  <c r="Z1424" i="2"/>
  <c r="Z1999" i="2"/>
  <c r="Z7" i="2"/>
  <c r="Z306" i="2"/>
  <c r="Z1437" i="2"/>
  <c r="Z637" i="2"/>
  <c r="Z1119" i="2"/>
  <c r="Z1215" i="2"/>
  <c r="Z125" i="2"/>
  <c r="Z770" i="2"/>
  <c r="Z577" i="2"/>
  <c r="Z1972" i="2"/>
  <c r="Z1537" i="2"/>
  <c r="Z644" i="2"/>
  <c r="Z101" i="2"/>
  <c r="Z148" i="2"/>
  <c r="Z1762" i="2"/>
  <c r="Z916" i="2"/>
  <c r="Z272" i="2"/>
  <c r="Z1127" i="2"/>
  <c r="Z500" i="2"/>
  <c r="Z1496" i="2"/>
  <c r="Z93" i="2"/>
  <c r="Z199" i="2"/>
  <c r="Z1036" i="2"/>
  <c r="Z1111" i="2"/>
  <c r="Z1475" i="2"/>
  <c r="Z493" i="2"/>
  <c r="Z301" i="2"/>
  <c r="Z1700" i="2"/>
  <c r="Z142" i="2"/>
  <c r="Z1379" i="2"/>
  <c r="Z714" i="2"/>
  <c r="Z942" i="2"/>
  <c r="Z289" i="2"/>
  <c r="Z561" i="2"/>
  <c r="Z423" i="2"/>
  <c r="Z559" i="2"/>
  <c r="Z99" i="2"/>
  <c r="Z1373" i="2"/>
  <c r="Z98" i="2"/>
  <c r="Z1971" i="2"/>
  <c r="Z928" i="2"/>
  <c r="Z820" i="2"/>
  <c r="Z1032" i="2"/>
  <c r="Z649" i="2"/>
  <c r="Z1838" i="2"/>
  <c r="Z350" i="2"/>
  <c r="Z115" i="2"/>
  <c r="Z1278" i="2"/>
  <c r="Z636" i="2"/>
  <c r="Z438" i="2"/>
  <c r="Z72" i="2"/>
  <c r="Z1769" i="2"/>
  <c r="Z1138" i="2"/>
  <c r="Z1940" i="2"/>
  <c r="Z1149" i="2"/>
  <c r="Z1640" i="2"/>
  <c r="Z1068" i="2"/>
  <c r="Z774" i="2"/>
  <c r="Z270" i="2"/>
  <c r="Z14" i="2"/>
  <c r="Z365" i="2"/>
  <c r="Z23" i="2"/>
  <c r="Z1512" i="2"/>
  <c r="Z1456" i="2"/>
  <c r="Z563" i="2"/>
  <c r="Z1709" i="2"/>
  <c r="Z117" i="2"/>
  <c r="Z404" i="2"/>
  <c r="Z766" i="2"/>
  <c r="Z1491" i="2"/>
  <c r="Z1787" i="2"/>
  <c r="Z1220" i="2"/>
  <c r="Z711" i="2"/>
  <c r="Z600" i="2"/>
  <c r="Z1755" i="2"/>
  <c r="Z4" i="2"/>
  <c r="Z1000" i="2"/>
  <c r="Z1752" i="2"/>
  <c r="Z1445" i="2"/>
  <c r="Z1158" i="2"/>
  <c r="Z282" i="2"/>
  <c r="Z737" i="2"/>
  <c r="Z57" i="2"/>
  <c r="Z1856" i="2"/>
  <c r="Z993" i="2"/>
  <c r="Z893" i="2"/>
  <c r="Z1524" i="2"/>
  <c r="Z448" i="2"/>
  <c r="Z908" i="2"/>
  <c r="Z661" i="2"/>
  <c r="Z156" i="2"/>
  <c r="Z1739" i="2"/>
  <c r="Z1943" i="2"/>
  <c r="Z1371" i="2"/>
  <c r="Z1128" i="2"/>
  <c r="Z1217" i="2"/>
  <c r="Z202" i="2"/>
  <c r="Z322" i="2"/>
  <c r="Z320" i="2"/>
  <c r="Z1423" i="2"/>
  <c r="Z1684" i="2"/>
  <c r="Z1003" i="2"/>
  <c r="Z111" i="2"/>
  <c r="Z172" i="2"/>
  <c r="Z1260" i="2"/>
  <c r="Z1819" i="2"/>
  <c r="Z877" i="2"/>
  <c r="Z1536" i="2"/>
  <c r="Z1998" i="2"/>
  <c r="Z439" i="2"/>
  <c r="Z927" i="2"/>
  <c r="Z133" i="2"/>
  <c r="Z697" i="2"/>
  <c r="Z800" i="2"/>
  <c r="Z261" i="2"/>
  <c r="Z1782" i="2"/>
  <c r="Z1880" i="2"/>
  <c r="Z236" i="2"/>
  <c r="Z1490" i="2"/>
  <c r="Z303" i="2"/>
  <c r="Z1727" i="2"/>
  <c r="Z1776" i="2"/>
  <c r="Z658" i="2"/>
  <c r="Z1372" i="2"/>
  <c r="Z1830" i="2"/>
  <c r="Z1779" i="2"/>
  <c r="Z1760" i="2"/>
  <c r="Z992" i="2"/>
  <c r="Z1200" i="2"/>
  <c r="Z323" i="2"/>
  <c r="Z1394" i="2"/>
  <c r="Z175" i="2"/>
  <c r="Z462" i="2"/>
  <c r="Z764" i="2"/>
  <c r="Z1261" i="2"/>
  <c r="Z1513" i="2"/>
  <c r="Z511" i="2"/>
  <c r="Z614" i="2"/>
  <c r="Z1326" i="2"/>
  <c r="Z1069" i="2"/>
  <c r="Z176" i="2"/>
  <c r="Z399" i="2"/>
  <c r="Z531" i="2"/>
  <c r="Z1588" i="2"/>
  <c r="Z586" i="2"/>
  <c r="Z51" i="2"/>
  <c r="Z1211" i="2"/>
  <c r="Z1500" i="2"/>
  <c r="Z680" i="2"/>
  <c r="Z1576" i="2"/>
  <c r="Z1807" i="2"/>
  <c r="Z1250" i="2"/>
  <c r="Z1525" i="2"/>
  <c r="Z957" i="2"/>
  <c r="Z777" i="2"/>
  <c r="Z906" i="2"/>
  <c r="Z761" i="2"/>
  <c r="Z742" i="2"/>
  <c r="Z967" i="2"/>
  <c r="Z1572" i="2"/>
  <c r="Z524" i="2"/>
  <c r="Z506" i="2"/>
  <c r="Z221" i="2"/>
  <c r="Z488" i="2"/>
  <c r="Z361" i="2"/>
  <c r="Z1134" i="2"/>
  <c r="Z298" i="2"/>
  <c r="Z96" i="2"/>
  <c r="Z752" i="2"/>
  <c r="Z611" i="2"/>
  <c r="Z822" i="2"/>
  <c r="Z498" i="2"/>
  <c r="Z1246" i="2"/>
  <c r="Z1987" i="2"/>
  <c r="Z299" i="2"/>
  <c r="Z119" i="2"/>
  <c r="Z1909" i="2"/>
  <c r="Z1333" i="2"/>
  <c r="Z599" i="2"/>
  <c r="Z1348" i="2"/>
  <c r="Z187" i="2"/>
  <c r="Z1482" i="2"/>
  <c r="Z1030" i="2"/>
  <c r="Z1854" i="2"/>
  <c r="Z1574" i="2"/>
  <c r="Z1088" i="2"/>
  <c r="Z1140" i="2"/>
  <c r="Z1990" i="2"/>
  <c r="Z471" i="2"/>
  <c r="Z1609" i="2"/>
  <c r="Z442" i="2"/>
  <c r="Z356" i="2"/>
  <c r="Z206" i="2"/>
  <c r="Z1573" i="2"/>
  <c r="Z468" i="2"/>
  <c r="Z1883" i="2"/>
  <c r="Z1697" i="2"/>
  <c r="Z1503" i="2"/>
  <c r="Z1992" i="2"/>
  <c r="Z294" i="2"/>
  <c r="Z1107" i="2"/>
  <c r="Z1594" i="2"/>
  <c r="Z1262" i="2"/>
  <c r="Z68" i="2"/>
  <c r="Z689" i="2"/>
  <c r="Z638" i="2"/>
  <c r="Z1433" i="2"/>
  <c r="Z1013" i="2"/>
  <c r="Z894" i="2"/>
  <c r="Z153" i="2"/>
  <c r="Z690" i="2"/>
  <c r="Z1226" i="2"/>
  <c r="Z1268" i="2"/>
  <c r="Z483" i="2"/>
  <c r="Z43" i="2"/>
  <c r="Z1668" i="2"/>
  <c r="Z1495" i="2"/>
  <c r="Z1606" i="2"/>
  <c r="Z173" i="2"/>
  <c r="Z481" i="2"/>
  <c r="Z1171" i="2"/>
  <c r="Z1447" i="2"/>
  <c r="Z123" i="2"/>
  <c r="Z1274" i="2"/>
  <c r="Z1208" i="2"/>
  <c r="Z30" i="2"/>
  <c r="Z1677" i="2"/>
  <c r="Z805" i="2"/>
  <c r="Z1463" i="2"/>
  <c r="Z1681" i="2"/>
  <c r="Z1048" i="2"/>
  <c r="Z244" i="2"/>
  <c r="Z1853" i="2"/>
  <c r="Z1450" i="2"/>
  <c r="Z1695" i="2"/>
  <c r="Z1583" i="2"/>
  <c r="Z870" i="2"/>
  <c r="Z357" i="2"/>
  <c r="Z209" i="2"/>
  <c r="Z529" i="2"/>
  <c r="Z873" i="2"/>
  <c r="Z1528" i="2"/>
  <c r="Z868" i="2"/>
  <c r="Z769" i="2"/>
  <c r="Z976" i="2"/>
  <c r="Z652" i="2"/>
  <c r="Z1516" i="2"/>
  <c r="Z179" i="2"/>
  <c r="Z197" i="2"/>
  <c r="Z791" i="2"/>
  <c r="Z514" i="2"/>
  <c r="Z907" i="2"/>
  <c r="Z508" i="2"/>
  <c r="Z411" i="2"/>
  <c r="Z935" i="2"/>
  <c r="Z853" i="2"/>
  <c r="Z222" i="2"/>
  <c r="Z1115" i="2"/>
  <c r="Z383" i="2"/>
  <c r="Z972" i="2"/>
  <c r="Z1916" i="2"/>
  <c r="Z857" i="2"/>
  <c r="Z1633" i="2"/>
  <c r="Z1432" i="2"/>
  <c r="Z931" i="2"/>
  <c r="Z1412" i="2"/>
  <c r="Z452" i="2"/>
  <c r="Z1548" i="2"/>
  <c r="Z642" i="2"/>
  <c r="Z1976" i="2"/>
  <c r="Z1515" i="2"/>
  <c r="Z625" i="2"/>
  <c r="Z1365" i="2"/>
  <c r="Z1912" i="2"/>
  <c r="Z162" i="2"/>
  <c r="Z1561" i="2"/>
  <c r="Z665" i="2"/>
  <c r="Z477" i="2"/>
  <c r="Z1833" i="2"/>
  <c r="Z167" i="2"/>
  <c r="Z1970" i="2"/>
  <c r="Z1238" i="2"/>
  <c r="Z85" i="2"/>
  <c r="Z885" i="2"/>
  <c r="Z1296" i="2"/>
  <c r="Z1756" i="2"/>
  <c r="Z1858" i="2"/>
  <c r="Z702" i="2"/>
  <c r="Z601" i="2"/>
  <c r="Z715" i="2"/>
  <c r="Z718" i="2"/>
  <c r="Z1388" i="2"/>
  <c r="Z1466" i="2"/>
  <c r="Z1136" i="2"/>
  <c r="Z396" i="2"/>
  <c r="Z1084" i="2"/>
  <c r="Z459" i="2"/>
  <c r="Z1724" i="2"/>
  <c r="Z1751" i="2"/>
  <c r="Z1074" i="2"/>
  <c r="Z1688" i="2"/>
  <c r="Z1419" i="2"/>
  <c r="Z229" i="2"/>
  <c r="Z706" i="2"/>
  <c r="Z1369" i="2"/>
  <c r="Z377" i="2"/>
  <c r="Z1903" i="2"/>
  <c r="Z1385" i="2"/>
  <c r="Z1673" i="2"/>
  <c r="Z1876" i="2"/>
  <c r="Z1849" i="2"/>
  <c r="Z543" i="2"/>
  <c r="Z1664" i="2"/>
  <c r="Z1734" i="2"/>
  <c r="Z735" i="2"/>
  <c r="Z1717" i="2"/>
  <c r="Z343" i="2"/>
  <c r="Z564" i="2"/>
  <c r="Z61" i="2"/>
  <c r="Z1181" i="2"/>
  <c r="Z724" i="2"/>
  <c r="Z1644" i="2"/>
  <c r="Z1750" i="2"/>
  <c r="Z293" i="2"/>
  <c r="Z230" i="2"/>
  <c r="Z207" i="2"/>
  <c r="Z1486" i="2"/>
  <c r="Z1479" i="2"/>
  <c r="Z163" i="2"/>
  <c r="Z1874" i="2"/>
  <c r="Z679" i="2"/>
  <c r="Z1272" i="2"/>
  <c r="Z1829" i="2"/>
  <c r="Z1539" i="2"/>
  <c r="Z460" i="2"/>
  <c r="Z1403" i="2"/>
  <c r="Z1378" i="2"/>
  <c r="Z1408" i="2"/>
  <c r="Z1402" i="2"/>
  <c r="Z544" i="2"/>
  <c r="Z1223" i="2"/>
  <c r="Z952" i="2"/>
  <c r="Z134" i="2"/>
  <c r="Z466" i="2"/>
  <c r="Z1566" i="2"/>
  <c r="Z431" i="2"/>
  <c r="Z640" i="2"/>
  <c r="Z194" i="2"/>
  <c r="Z1584" i="2"/>
  <c r="Z380" i="2"/>
  <c r="Z1991" i="2"/>
  <c r="Z1795" i="2"/>
  <c r="Z705" i="2"/>
  <c r="Z616" i="2"/>
  <c r="Z1846" i="2"/>
  <c r="Z1304" i="2"/>
  <c r="Z1601" i="2"/>
  <c r="Z1413" i="2"/>
  <c r="Z273" i="2"/>
  <c r="Z1387" i="2"/>
  <c r="Z80" i="2"/>
  <c r="Z727" i="2"/>
  <c r="Z227" i="2"/>
  <c r="Z721" i="2"/>
  <c r="Z1147" i="2"/>
  <c r="Z688" i="2"/>
  <c r="Z284" i="2"/>
  <c r="Z865" i="2"/>
  <c r="Z131" i="2"/>
  <c r="Z1153" i="2"/>
  <c r="Z496" i="2"/>
  <c r="Z1742" i="2"/>
  <c r="Z1406" i="2"/>
  <c r="Z1289" i="2"/>
  <c r="Z1977" i="2"/>
  <c r="Z709" i="2"/>
  <c r="Z1746" i="2"/>
  <c r="Z1839" i="2"/>
  <c r="Z646" i="2"/>
  <c r="Z1869" i="2"/>
  <c r="Z292" i="2"/>
  <c r="Z1005" i="2"/>
  <c r="Z1514" i="2"/>
  <c r="Z1786" i="2"/>
  <c r="Z959" i="2"/>
  <c r="Z1429" i="2"/>
  <c r="Z95" i="2"/>
  <c r="Z1163" i="2"/>
  <c r="Z1817" i="2"/>
  <c r="Z1555" i="2"/>
  <c r="Z1842" i="2"/>
  <c r="Z1554" i="2"/>
  <c r="Z1962" i="2"/>
  <c r="Z1705" i="2"/>
  <c r="Z405" i="2"/>
  <c r="Z106" i="2"/>
  <c r="Z18" i="2"/>
  <c r="Z1502" i="2"/>
  <c r="Z340" i="2"/>
  <c r="Z1926" i="2"/>
  <c r="Z823" i="2"/>
  <c r="Z553" i="2"/>
  <c r="Z1893" i="2"/>
  <c r="Z360" i="2"/>
  <c r="Z1222" i="2"/>
  <c r="Z67" i="2"/>
  <c r="Z1478" i="2"/>
  <c r="Z1847" i="2"/>
  <c r="Z124" i="2"/>
  <c r="Z655" i="2"/>
  <c r="Z627" i="2"/>
  <c r="Z1620" i="2"/>
  <c r="Z1484" i="2"/>
  <c r="Z1564" i="2"/>
  <c r="Z50" i="2"/>
  <c r="Z66" i="2"/>
  <c r="Z1918" i="2"/>
  <c r="Z692" i="2"/>
  <c r="Z1416" i="2"/>
  <c r="Z1224" i="2"/>
  <c r="Z883" i="2"/>
  <c r="Z1973" i="2"/>
  <c r="Z617" i="2"/>
  <c r="Z517" i="2"/>
  <c r="Z1330" i="2"/>
  <c r="Z1347" i="2"/>
  <c r="Z449" i="2"/>
  <c r="Z2000" i="2"/>
  <c r="Z1251" i="2"/>
  <c r="Z1648" i="2"/>
  <c r="Z1581" i="2"/>
  <c r="Z838" i="2"/>
  <c r="Z1334" i="2"/>
  <c r="Z1884" i="2"/>
  <c r="Z1960" i="2"/>
  <c r="Z501" i="2"/>
  <c r="Z1886" i="2"/>
  <c r="Z1928" i="2"/>
  <c r="Z1042" i="2"/>
  <c r="Z11" i="2"/>
  <c r="Z966" i="2"/>
  <c r="Z1076" i="2"/>
  <c r="Z749" i="2"/>
  <c r="Z970" i="2"/>
  <c r="Z945" i="2"/>
  <c r="Z1663" i="2"/>
  <c r="Z1699" i="2"/>
  <c r="Z1890" i="2"/>
  <c r="Z317" i="2"/>
  <c r="Z494" i="2"/>
  <c r="Z643" i="2"/>
  <c r="Z1062" i="2"/>
  <c r="Z615" i="2"/>
  <c r="Z804" i="2"/>
  <c r="Z891" i="2"/>
  <c r="Z444" i="2"/>
  <c r="Z1014" i="2"/>
  <c r="Z854" i="2"/>
  <c r="Z329" i="2"/>
  <c r="Z1292" i="2"/>
  <c r="Z1702" i="2"/>
  <c r="Z1122" i="2"/>
  <c r="Z1343" i="2"/>
  <c r="Z725" i="2"/>
  <c r="Z1793" i="2"/>
  <c r="Z470" i="2"/>
  <c r="Z1152" i="2"/>
  <c r="Z609" i="2"/>
  <c r="Z1612" i="2"/>
  <c r="Z1694" i="2"/>
  <c r="Z1039" i="2"/>
  <c r="Z550" i="2"/>
  <c r="Z1532" i="2"/>
  <c r="Z1366" i="2"/>
  <c r="Z408" i="2"/>
  <c r="Z1054" i="2"/>
  <c r="Z726" i="2"/>
  <c r="Z859" i="2"/>
  <c r="Z1686" i="2"/>
  <c r="Z1359" i="2"/>
  <c r="Z1100" i="2"/>
  <c r="Z1984" i="2"/>
  <c r="Z880" i="2"/>
  <c r="Z1344" i="2"/>
  <c r="Z1720" i="2"/>
  <c r="Z576" i="2"/>
  <c r="Z136" i="2"/>
  <c r="Z1485" i="2"/>
  <c r="Z678" i="2"/>
  <c r="Z522" i="2"/>
  <c r="Z450" i="2"/>
  <c r="Z765" i="2"/>
  <c r="Z520" i="2"/>
  <c r="Z624" i="2"/>
  <c r="Z1324" i="2"/>
  <c r="Z743" i="2"/>
  <c r="Z428" i="2"/>
  <c r="Z1011" i="2"/>
  <c r="Z1989" i="2"/>
  <c r="Z781" i="2"/>
  <c r="Z1477" i="2"/>
  <c r="Z1825" i="2"/>
  <c r="Z525" i="2"/>
  <c r="Z1904" i="2"/>
  <c r="Z1593" i="2"/>
  <c r="Z1391" i="2"/>
  <c r="Z1994" i="2"/>
  <c r="Z754" i="2"/>
  <c r="Z1225" i="2"/>
  <c r="Z1360" i="2"/>
  <c r="Z802" i="2"/>
  <c r="Z626" i="2"/>
  <c r="Z569" i="2"/>
  <c r="Z1563" i="2"/>
  <c r="Z1316" i="2"/>
  <c r="Z1654" i="2"/>
  <c r="Z190" i="2"/>
  <c r="Z2001" i="2"/>
  <c r="Z1603" i="2"/>
  <c r="Z1015" i="2"/>
  <c r="Z670" i="2"/>
  <c r="Z1658" i="2"/>
  <c r="Z1892" i="2"/>
  <c r="Z592" i="2"/>
  <c r="Z1506" i="2"/>
  <c r="Z1625" i="2"/>
  <c r="Z963" i="2"/>
  <c r="Z491" i="2"/>
  <c r="Z746" i="2"/>
  <c r="Z926" i="2"/>
  <c r="Z1177" i="2"/>
  <c r="Z1650" i="2"/>
  <c r="Z1439" i="2"/>
  <c r="Z533" i="2"/>
  <c r="Z1897" i="2"/>
  <c r="Z869" i="2"/>
  <c r="Z1887" i="2"/>
  <c r="Z1335" i="2"/>
  <c r="Z790" i="2"/>
  <c r="Z355" i="2"/>
  <c r="Z1610" i="2"/>
  <c r="Z537" i="2"/>
  <c r="Z280" i="2"/>
  <c r="Z42" i="2"/>
  <c r="Z402" i="2"/>
  <c r="Z1310" i="2"/>
  <c r="Z1022" i="2"/>
  <c r="Z1968" i="2"/>
  <c r="Z1808" i="2"/>
  <c r="Z87" i="2"/>
  <c r="Z346" i="2"/>
  <c r="Z789" i="2"/>
  <c r="Z34" i="2"/>
  <c r="Z1150" i="2"/>
  <c r="Z1300" i="2"/>
  <c r="Z245" i="2"/>
  <c r="Z1683" i="2"/>
  <c r="Z433" i="2"/>
  <c r="Z389" i="2"/>
  <c r="Z1744" i="2"/>
  <c r="Z467" i="2"/>
  <c r="Z333" i="2"/>
  <c r="Z373" i="2"/>
  <c r="Z307" i="2"/>
  <c r="Z707" i="2"/>
  <c r="Z1232" i="2"/>
  <c r="Z1319" i="2"/>
  <c r="Z1356" i="2"/>
  <c r="Z1963" i="2"/>
  <c r="Z49" i="2"/>
  <c r="Z1546" i="2"/>
  <c r="Z1873" i="2"/>
  <c r="Z352" i="2"/>
  <c r="Z565" i="2"/>
  <c r="Z1012" i="2"/>
  <c r="Z75" i="2"/>
  <c r="Z1283" i="2"/>
  <c r="Z1713" i="2"/>
  <c r="Z803" i="2"/>
  <c r="Z1040" i="2"/>
  <c r="Z1944" i="2"/>
  <c r="Z132" i="2"/>
  <c r="Z29" i="2"/>
  <c r="Z1299" i="2"/>
  <c r="Z698" i="2"/>
  <c r="Z309" i="2"/>
  <c r="Z1798" i="2"/>
  <c r="Z1499" i="2"/>
  <c r="Z210" i="2"/>
  <c r="Z254" i="2"/>
  <c r="Z38" i="2"/>
  <c r="Z403" i="2"/>
  <c r="Z1209" i="2"/>
  <c r="Z291" i="2"/>
  <c r="Z1587" i="2"/>
  <c r="Z36" i="2"/>
  <c r="Z1317" i="2"/>
  <c r="Z479" i="2"/>
  <c r="Z1284" i="2"/>
  <c r="Z103" i="2"/>
  <c r="Z950" i="2"/>
  <c r="Z1311" i="2"/>
  <c r="Z717" i="2"/>
  <c r="Z1008" i="2"/>
  <c r="Z1822" i="2"/>
  <c r="Z1712" i="2"/>
  <c r="Z1151" i="2"/>
  <c r="Z917" i="2"/>
  <c r="Z1072" i="2"/>
  <c r="Z372" i="2"/>
  <c r="Z1309" i="2"/>
  <c r="Z1443" i="2"/>
  <c r="Z1219" i="2"/>
  <c r="Z554" i="2"/>
  <c r="Z538" i="2"/>
  <c r="Z1959" i="2"/>
  <c r="Z1473" i="2"/>
  <c r="Z10" i="2"/>
  <c r="Z91" i="2"/>
  <c r="Z1586" i="2"/>
  <c r="Z741" i="2"/>
  <c r="Z1336" i="2"/>
  <c r="Z1789" i="2"/>
  <c r="Z116" i="2"/>
  <c r="Z82" i="2"/>
  <c r="Z879" i="2"/>
  <c r="Z1078" i="2"/>
  <c r="Z1725" i="2"/>
  <c r="Z235" i="2"/>
  <c r="Z1329" i="2"/>
  <c r="Z166" i="2"/>
  <c r="Z905" i="2"/>
  <c r="Z1093" i="2"/>
  <c r="Z1096" i="2"/>
  <c r="Z192" i="2"/>
  <c r="Z1643" i="2"/>
  <c r="Z720" i="2"/>
  <c r="Z813" i="2"/>
  <c r="Z1778" i="2"/>
  <c r="Z723" i="2"/>
  <c r="Z1210" i="2"/>
  <c r="Z286" i="2"/>
  <c r="Z1687" i="2"/>
  <c r="Z145" i="2"/>
  <c r="Z1172" i="2"/>
  <c r="Z387" i="2"/>
  <c r="Z1195" i="2"/>
  <c r="Z1131" i="2"/>
  <c r="Z990" i="2"/>
  <c r="Z677" i="2"/>
  <c r="Z795" i="2"/>
  <c r="Z1600" i="2"/>
  <c r="Z1931" i="2"/>
  <c r="Z225" i="2"/>
  <c r="Z904" i="2"/>
  <c r="Z1585" i="2"/>
  <c r="Z597" i="2"/>
  <c r="Z1457" i="2"/>
  <c r="Z1882" i="2"/>
  <c r="Z150" i="2"/>
  <c r="Z62" i="2"/>
  <c r="Z651" i="2"/>
  <c r="Z1975" i="2"/>
  <c r="Z1091" i="2"/>
  <c r="Z1521" i="2"/>
  <c r="Z758" i="2"/>
  <c r="Z1142" i="2"/>
  <c r="Z1870" i="2"/>
  <c r="Z386" i="2"/>
  <c r="Z1719" i="2"/>
  <c r="Z1126" i="2"/>
  <c r="Z53" i="2"/>
  <c r="Z608" i="2"/>
  <c r="Z780" i="2"/>
  <c r="Z1017" i="2"/>
  <c r="Z1714" i="2"/>
  <c r="Z1237" i="2"/>
  <c r="Z662" i="2"/>
  <c r="Z890" i="2"/>
  <c r="Z313" i="2"/>
  <c r="Z954" i="2"/>
  <c r="Z985" i="2"/>
  <c r="Z978" i="2"/>
  <c r="Z1276" i="2"/>
  <c r="Z701" i="2"/>
  <c r="Z664" i="2"/>
  <c r="Z279" i="2"/>
  <c r="Z219" i="2"/>
  <c r="Z1098" i="2"/>
  <c r="Z1160" i="2"/>
  <c r="Z653" i="2"/>
  <c r="Z1657" i="2"/>
  <c r="Z497" i="2"/>
  <c r="Z1197" i="2"/>
  <c r="Z1191" i="2"/>
  <c r="Z598" i="2"/>
  <c r="Z951" i="2"/>
  <c r="Z3" i="2"/>
  <c r="Z1249" i="2"/>
  <c r="Z1103" i="2"/>
  <c r="Z1464" i="2"/>
  <c r="Z1828" i="2"/>
  <c r="Z1386" i="2"/>
  <c r="Z1235" i="2"/>
  <c r="Z1314" i="2"/>
  <c r="Z1879" i="2"/>
  <c r="Z1129" i="2"/>
  <c r="Z385" i="2"/>
  <c r="Z348" i="2"/>
  <c r="Z667" i="2"/>
  <c r="Z1675" i="2"/>
  <c r="Z811" i="2"/>
  <c r="Z177" i="2"/>
  <c r="Z815" i="2"/>
  <c r="Z1320" i="2"/>
  <c r="Z918" i="2"/>
  <c r="Z400" i="2"/>
  <c r="Z1410" i="2"/>
  <c r="Z1434" i="2"/>
  <c r="Z1169" i="2"/>
  <c r="Z24" i="2"/>
  <c r="Z1954" i="2"/>
  <c r="Z1417" i="2"/>
  <c r="Z1703" i="2"/>
  <c r="Z1056" i="2"/>
  <c r="Z911" i="2"/>
  <c r="Z892" i="2"/>
  <c r="Z1982" i="2"/>
  <c r="Z872" i="2"/>
  <c r="Z378" i="2"/>
  <c r="Z327" i="2"/>
  <c r="Z1214" i="2"/>
  <c r="Z354" i="2"/>
  <c r="Z824" i="2"/>
  <c r="Z1895" i="2"/>
  <c r="Z943" i="2"/>
  <c r="Z332" i="2"/>
  <c r="Z1312" i="2"/>
  <c r="Z1604" i="2"/>
  <c r="Z1591" i="2"/>
  <c r="Z1802" i="2"/>
  <c r="Z814" i="2"/>
  <c r="Z1342" i="2"/>
  <c r="Z1494" i="2"/>
  <c r="Z181" i="2"/>
  <c r="Z52" i="2"/>
  <c r="Z734" i="2"/>
  <c r="Z1367" i="2"/>
  <c r="Z1363" i="2"/>
  <c r="Z1857" i="2"/>
  <c r="Z1079" i="2"/>
  <c r="Z1117" i="2"/>
  <c r="Z887" i="2"/>
  <c r="Z485" i="2"/>
  <c r="Z1900" i="2"/>
  <c r="Z839" i="2"/>
  <c r="Z445" i="2"/>
  <c r="Z1964" i="2"/>
  <c r="Z1661" i="2"/>
  <c r="Z1113" i="2"/>
  <c r="Z1089" i="2"/>
  <c r="Z1349" i="2"/>
  <c r="Z258" i="2"/>
  <c r="Z1840" i="2"/>
  <c r="Z1783" i="2"/>
  <c r="Z817" i="2"/>
  <c r="Z1016" i="2"/>
  <c r="Z1044" i="2"/>
  <c r="Z203" i="2"/>
  <c r="Z1777" i="2"/>
  <c r="Z1415" i="2"/>
  <c r="Z982" i="2"/>
  <c r="Z876" i="2"/>
  <c r="Z996" i="2"/>
  <c r="Z1665" i="2"/>
  <c r="Z832" i="2"/>
  <c r="Z214" i="2"/>
  <c r="Z1493" i="2"/>
  <c r="Z1553" i="2"/>
  <c r="Z60" i="2"/>
  <c r="Z1328" i="2"/>
  <c r="Z731" i="2"/>
  <c r="Z1770" i="2"/>
  <c r="Z1504" i="2"/>
  <c r="Z837" i="2"/>
  <c r="Z973" i="2"/>
  <c r="Z478" i="2"/>
  <c r="Z1243" i="2"/>
  <c r="Z866" i="2"/>
  <c r="Z1368" i="2"/>
  <c r="Z288" i="2"/>
  <c r="Z633" i="2"/>
  <c r="Z1531" i="2"/>
  <c r="Z257" i="2"/>
  <c r="Z1199" i="2"/>
  <c r="Z1144" i="2"/>
  <c r="Z195" i="2"/>
  <c r="Z287" i="2"/>
  <c r="Z596" i="2"/>
  <c r="Z1033" i="2"/>
  <c r="Z1269" i="2"/>
  <c r="Z919" i="2"/>
  <c r="Z1240" i="2"/>
  <c r="Z417" i="2"/>
  <c r="Z1906" i="2"/>
  <c r="Z1020" i="2"/>
  <c r="Z888" i="2"/>
  <c r="Z1257" i="2"/>
  <c r="Z1767" i="2"/>
  <c r="Z19" i="2"/>
  <c r="Z502" i="2"/>
  <c r="Z1520" i="2"/>
  <c r="Z1598" i="2"/>
  <c r="Y623" i="2"/>
  <c r="Y1165" i="2"/>
  <c r="Y1063" i="2"/>
  <c r="Y248" i="2"/>
  <c r="Y1029" i="2"/>
  <c r="Y1832" i="2"/>
  <c r="Y984" i="2"/>
  <c r="Y189" i="2"/>
  <c r="Y1265" i="2"/>
  <c r="Y897" i="2"/>
  <c r="Y1190" i="2"/>
  <c r="Y515" i="2"/>
  <c r="Y1785" i="2"/>
  <c r="Y1075" i="2"/>
  <c r="Y732" i="2"/>
  <c r="Y1753" i="2"/>
  <c r="Y1019" i="2"/>
  <c r="Y1287" i="2"/>
  <c r="Y1420" i="2"/>
  <c r="Y622" i="2"/>
  <c r="Y1297" i="2"/>
  <c r="Y1449" i="2"/>
  <c r="Y424" i="2"/>
  <c r="Y728" i="2"/>
  <c r="Y1662" i="2"/>
  <c r="Y1924" i="2"/>
  <c r="Y1560" i="2"/>
  <c r="Y88" i="2"/>
  <c r="Y944" i="2"/>
  <c r="Y829" i="2"/>
  <c r="Y1094" i="2"/>
  <c r="Y657" i="2"/>
  <c r="Y427" i="2"/>
  <c r="Y771" i="2"/>
  <c r="Y567" i="2"/>
  <c r="Y1123" i="2"/>
  <c r="Y775" i="2"/>
  <c r="Y164" i="2"/>
  <c r="Y696" i="2"/>
  <c r="Y328" i="2"/>
  <c r="Y1428" i="2"/>
  <c r="Y825" i="2"/>
  <c r="Y542" i="2"/>
  <c r="Y1480" i="2"/>
  <c r="Y363" i="2"/>
  <c r="Y694" i="2"/>
  <c r="Y1827" i="2"/>
  <c r="Y349" i="2"/>
  <c r="Y882" i="2"/>
  <c r="Y1824" i="2"/>
  <c r="Y1295" i="2"/>
  <c r="Y1821" i="2"/>
  <c r="Y484" i="2"/>
  <c r="Y536" i="2"/>
  <c r="Y1509" i="2"/>
  <c r="Y713" i="2"/>
  <c r="Y1921" i="2"/>
  <c r="Y581" i="2"/>
  <c r="Y6" i="2"/>
  <c r="Y1759" i="2"/>
  <c r="Y1905" i="2"/>
  <c r="Y1322" i="2"/>
  <c r="Y518" i="2"/>
  <c r="Y32" i="2"/>
  <c r="Y1034" i="2"/>
  <c r="Y1205" i="2"/>
  <c r="Y1247" i="2"/>
  <c r="Y86" i="2"/>
  <c r="Y1672" i="2"/>
  <c r="Y1007" i="2"/>
  <c r="Y1902" i="2"/>
  <c r="Y160" i="2"/>
  <c r="Y1438" i="2"/>
  <c r="Y1125" i="2"/>
  <c r="Y1621" i="2"/>
  <c r="Y1166" i="2"/>
  <c r="Y700" i="2"/>
  <c r="Y634" i="2"/>
  <c r="Y414" i="2"/>
  <c r="Y860" i="2"/>
  <c r="Y81" i="2"/>
  <c r="Y1543" i="2"/>
  <c r="Y1280" i="2"/>
  <c r="Y1949" i="2"/>
  <c r="Y1741" i="2"/>
  <c r="Y846" i="2"/>
  <c r="Y1353" i="2"/>
  <c r="Y753" i="2"/>
  <c r="Y1086" i="2"/>
  <c r="Y321" i="2"/>
  <c r="Y798" i="2"/>
  <c r="Y572" i="2"/>
  <c r="Y739" i="2"/>
  <c r="Y929" i="2"/>
  <c r="Y1689" i="2"/>
  <c r="Y1955" i="2"/>
  <c r="Y1182" i="2"/>
  <c r="Y1765" i="2"/>
  <c r="Y1277" i="2"/>
  <c r="Y285" i="2"/>
  <c r="Y1544" i="2"/>
  <c r="Y113" i="2"/>
  <c r="Y1321" i="2"/>
  <c r="Y1004" i="2"/>
  <c r="Y1607" i="2"/>
  <c r="Y263" i="2"/>
  <c r="Y1530" i="2"/>
  <c r="Y1234" i="2"/>
  <c r="Y971" i="2"/>
  <c r="Y1038" i="2"/>
  <c r="Y1862" i="2"/>
  <c r="Y776" i="2"/>
  <c r="Y432" i="2"/>
  <c r="Y1651" i="2"/>
  <c r="Y274" i="2"/>
  <c r="Y1611" i="2"/>
  <c r="Y84" i="2"/>
  <c r="Y933" i="2"/>
  <c r="Y1207" i="2"/>
  <c r="Y1469" i="2"/>
  <c r="Y469" i="2"/>
  <c r="Y1698" i="2"/>
  <c r="Y1666" i="2"/>
  <c r="Y1815" i="2"/>
  <c r="Y523" i="2"/>
  <c r="Y454" i="2"/>
  <c r="Y968" i="2"/>
  <c r="Y953" i="2"/>
  <c r="Y812" i="2"/>
  <c r="Y1256" i="2"/>
  <c r="Y1823" i="2"/>
  <c r="Y1053" i="2"/>
  <c r="Y699" i="2"/>
  <c r="Y196" i="2"/>
  <c r="Y1547" i="2"/>
  <c r="Y920" i="2"/>
  <c r="Y143" i="2"/>
  <c r="Y1851" i="2"/>
  <c r="Y1579" i="2"/>
  <c r="Y767" i="2"/>
  <c r="Y415" i="2"/>
  <c r="Y566" i="2"/>
  <c r="Y1409" i="2"/>
  <c r="Y979" i="2"/>
  <c r="Y204" i="2"/>
  <c r="Y165" i="2"/>
  <c r="Y1891" i="2"/>
  <c r="Y583" i="2"/>
  <c r="Y205" i="2"/>
  <c r="Y1690" i="2"/>
  <c r="Y1082" i="2"/>
  <c r="Y1035" i="2"/>
  <c r="Y1266" i="2"/>
  <c r="Y1364" i="2"/>
  <c r="Y5" i="2"/>
  <c r="Y1932" i="2"/>
  <c r="Y300" i="2"/>
  <c r="Y635" i="2"/>
  <c r="Y35" i="2"/>
  <c r="Y337" i="2"/>
  <c r="Y835" i="2"/>
  <c r="Y786" i="2"/>
  <c r="Y170" i="2"/>
  <c r="Y647" i="2"/>
  <c r="Y401" i="2"/>
  <c r="Y682" i="2"/>
  <c r="Y1706" i="2"/>
  <c r="Y1481" i="2"/>
  <c r="Y1168" i="2"/>
  <c r="Y1037" i="2"/>
  <c r="Y76" i="2"/>
  <c r="Y1945" i="2"/>
  <c r="Y395" i="2"/>
  <c r="Y1797" i="2"/>
  <c r="Y1170" i="2"/>
  <c r="Y1722" i="2"/>
  <c r="Y1898" i="2"/>
  <c r="Y1400" i="2"/>
  <c r="Y691" i="2"/>
  <c r="Y792" i="2"/>
  <c r="Y1834" i="2"/>
  <c r="Y1279" i="2"/>
  <c r="Y1139" i="2"/>
  <c r="Y842" i="2"/>
  <c r="Y671" i="2"/>
  <c r="Y1227" i="2"/>
  <c r="Y645" i="2"/>
  <c r="Y17" i="2"/>
  <c r="Y819" i="2"/>
  <c r="Y310" i="2"/>
  <c r="Y654" i="2"/>
  <c r="Y1110" i="2"/>
  <c r="Y939" i="2"/>
  <c r="Y83" i="2"/>
  <c r="Y505" i="2"/>
  <c r="Y532" i="2"/>
  <c r="Y78" i="2"/>
  <c r="Y1997" i="2"/>
  <c r="Y995" i="2"/>
  <c r="Y1580" i="2"/>
  <c r="Y955" i="2"/>
  <c r="Y844" i="2"/>
  <c r="Y1878" i="2"/>
  <c r="Y1761" i="2"/>
  <c r="Y1187" i="2"/>
  <c r="Y281" i="2"/>
  <c r="Y1748" i="2"/>
  <c r="Y1204" i="2"/>
  <c r="Y1691" i="2"/>
  <c r="Y1723" i="2"/>
  <c r="Y1041" i="2"/>
  <c r="Y1006" i="2"/>
  <c r="Y1108" i="2"/>
  <c r="Y397" i="2"/>
  <c r="Y109" i="2"/>
  <c r="Y413" i="2"/>
  <c r="Y510" i="2"/>
  <c r="Y1952" i="2"/>
  <c r="Y1442" i="2"/>
  <c r="Y1523" i="2"/>
  <c r="Y311" i="2"/>
  <c r="Y1881" i="2"/>
  <c r="Y909" i="2"/>
  <c r="Y1346" i="2"/>
  <c r="Y1638" i="2"/>
  <c r="Y1875" i="2"/>
  <c r="Y1861" i="2"/>
  <c r="Y1541" i="2"/>
  <c r="Y193" i="2"/>
  <c r="Y1850" i="2"/>
  <c r="Y871" i="2"/>
  <c r="Y1917" i="2"/>
  <c r="Y923" i="2"/>
  <c r="Y1939" i="2"/>
  <c r="Y37" i="2"/>
  <c r="Y1578" i="2"/>
  <c r="Y271" i="2"/>
  <c r="Y130" i="2"/>
  <c r="Y1518" i="2"/>
  <c r="Y425" i="2"/>
  <c r="Y675" i="2"/>
  <c r="Y63" i="2"/>
  <c r="Y712" i="2"/>
  <c r="Y1801" i="2"/>
  <c r="Y1937" i="2"/>
  <c r="Y420" i="2"/>
  <c r="Y806" i="2"/>
  <c r="Y1754" i="2"/>
  <c r="Y268" i="2"/>
  <c r="Y1615" i="2"/>
  <c r="Y810" i="2"/>
  <c r="Y807" i="2"/>
  <c r="Y1258" i="2"/>
  <c r="Y69" i="2"/>
  <c r="Y255" i="2"/>
  <c r="Y733" i="2"/>
  <c r="Y1764" i="2"/>
  <c r="Y1002" i="2"/>
  <c r="Y1114" i="2"/>
  <c r="Y437" i="2"/>
  <c r="Y1899" i="2"/>
  <c r="Y1522" i="2"/>
  <c r="Y1492" i="2"/>
  <c r="Y833" i="2"/>
  <c r="Y1401" i="2"/>
  <c r="Y407" i="2"/>
  <c r="Y312" i="2"/>
  <c r="Y580" i="2"/>
  <c r="Y1104" i="2"/>
  <c r="Y1872" i="2"/>
  <c r="Y1608" i="2"/>
  <c r="Y369" i="2"/>
  <c r="Y1813" i="2"/>
  <c r="Y114" i="2"/>
  <c r="Y736" i="2"/>
  <c r="Y958" i="2"/>
  <c r="Y246" i="2"/>
  <c r="Y1052" i="2"/>
  <c r="Y217" i="2"/>
  <c r="Y650" i="2"/>
  <c r="Y676" i="2"/>
  <c r="Y335" i="2"/>
  <c r="Y681" i="2"/>
  <c r="Y1671" i="2"/>
  <c r="Y796" i="2"/>
  <c r="Y1941" i="2"/>
  <c r="Y750" i="2"/>
  <c r="Y121" i="2"/>
  <c r="Y981" i="2"/>
  <c r="Y326" i="2"/>
  <c r="Y1155" i="2"/>
  <c r="Y1799" i="2"/>
  <c r="Y910" i="2"/>
  <c r="Y1307" i="2"/>
  <c r="Y146" i="2"/>
  <c r="Y157" i="2"/>
  <c r="Y578" i="2"/>
  <c r="Y308" i="2"/>
  <c r="Y1440" i="2"/>
  <c r="Y1301" i="2"/>
  <c r="Y516" i="2"/>
  <c r="Y316" i="2"/>
  <c r="Y760" i="2"/>
  <c r="Y1350" i="2"/>
  <c r="Y1389" i="2"/>
  <c r="Y1562" i="2"/>
  <c r="Y26" i="2"/>
  <c r="Y560" i="2"/>
  <c r="Y1730" i="2"/>
  <c r="Y1629" i="2"/>
  <c r="Y1418" i="2"/>
  <c r="Y948" i="2"/>
  <c r="Y1626" i="2"/>
  <c r="Y77" i="2"/>
  <c r="Y1193" i="2"/>
  <c r="Y940" i="2"/>
  <c r="Y152" i="2"/>
  <c r="Y1965" i="2"/>
  <c r="Y768" i="2"/>
  <c r="Y1273" i="2"/>
  <c r="Y1624" i="2"/>
  <c r="Y1112" i="2"/>
  <c r="Y1529" i="2"/>
  <c r="Y818" i="2"/>
  <c r="Y1740" i="2"/>
  <c r="Y1614" i="2"/>
  <c r="Y226" i="2"/>
  <c r="Y745" i="2"/>
  <c r="Y182" i="2"/>
  <c r="Y463" i="2"/>
  <c r="Y455" i="2"/>
  <c r="Y398" i="2"/>
  <c r="Y1826" i="2"/>
  <c r="Y874" i="2"/>
  <c r="Y264" i="2"/>
  <c r="Y359" i="2"/>
  <c r="Y1693" i="2"/>
  <c r="Y628" i="2"/>
  <c r="Y456" i="2"/>
  <c r="Y656" i="2"/>
  <c r="Y1814" i="2"/>
  <c r="Y127" i="2"/>
  <c r="Y295" i="2"/>
  <c r="Y149" i="2"/>
  <c r="Y1735" i="2"/>
  <c r="Y1804" i="2"/>
  <c r="Y1616" i="2"/>
  <c r="Y212" i="2"/>
  <c r="Y324" i="2"/>
  <c r="Y376" i="2"/>
  <c r="Y986" i="2"/>
  <c r="Y1637" i="2"/>
  <c r="Y1733" i="2"/>
  <c r="Y90" i="2"/>
  <c r="Y1331" i="2"/>
  <c r="Y1435" i="2"/>
  <c r="Y1461" i="2"/>
  <c r="Y881" i="2"/>
  <c r="Y1806" i="2"/>
  <c r="Y744" i="2"/>
  <c r="Y1436" i="2"/>
  <c r="Y370" i="2"/>
  <c r="Y1948" i="2"/>
  <c r="Y1323" i="2"/>
  <c r="Y155" i="2"/>
  <c r="Y1953" i="2"/>
  <c r="Y1848" i="2"/>
  <c r="Y171" i="2"/>
  <c r="Y1773" i="2"/>
  <c r="Y693" i="2"/>
  <c r="Y1915" i="2"/>
  <c r="Y632" i="2"/>
  <c r="Y243" i="2"/>
  <c r="Y604" i="2"/>
  <c r="Y1095" i="2"/>
  <c r="Y1692" i="2"/>
  <c r="Y1729" i="2"/>
  <c r="Y1738" i="2"/>
  <c r="Y1236" i="2"/>
  <c r="Y1381" i="2"/>
  <c r="Y25" i="2"/>
  <c r="Y659" i="2"/>
  <c r="Y687" i="2"/>
  <c r="Y1455" i="2"/>
  <c r="Y1294" i="2"/>
  <c r="Y297" i="2"/>
  <c r="Y364" i="2"/>
  <c r="Y391" i="2"/>
  <c r="Y1398" i="2"/>
  <c r="Y1632" i="2"/>
  <c r="Y486" i="2"/>
  <c r="Y472" i="2"/>
  <c r="Y548" i="2"/>
  <c r="Y1978" i="2"/>
  <c r="Y144" i="2"/>
  <c r="Y932" i="2"/>
  <c r="Y821" i="2"/>
  <c r="Y482" i="2"/>
  <c r="Y546" i="2"/>
  <c r="Y1743" i="2"/>
  <c r="Y1511" i="2"/>
  <c r="Y476" i="2"/>
  <c r="Y788" i="2"/>
  <c r="Y108" i="2"/>
  <c r="Y809" i="2"/>
  <c r="Y555" i="2"/>
  <c r="Y94" i="2"/>
  <c r="Y974" i="2"/>
  <c r="Y547" i="2"/>
  <c r="Y290" i="2"/>
  <c r="Y443" i="2"/>
  <c r="Y151" i="2"/>
  <c r="Y1090" i="2"/>
  <c r="Y1571" i="2"/>
  <c r="Y582" i="2"/>
  <c r="Y1354" i="2"/>
  <c r="Y1055" i="2"/>
  <c r="Y12" i="2"/>
  <c r="Y1427" i="2"/>
  <c r="Y988" i="2"/>
  <c r="Y1559" i="2"/>
  <c r="Y867" i="2"/>
  <c r="Y1732" i="2"/>
  <c r="Y1339" i="2"/>
  <c r="Y936" i="2"/>
  <c r="Y2" i="2"/>
  <c r="Y168" i="2"/>
  <c r="Y374" i="2"/>
  <c r="Y458" i="2"/>
  <c r="Y1831" i="2"/>
  <c r="Y1913" i="2"/>
  <c r="Y900" i="2"/>
  <c r="Y247" i="2"/>
  <c r="Y1969" i="2"/>
  <c r="Y686" i="2"/>
  <c r="Y54" i="2"/>
  <c r="Y231" i="2"/>
  <c r="Y763" i="2"/>
  <c r="Y409" i="2"/>
  <c r="Y453" i="2"/>
  <c r="Y1264" i="2"/>
  <c r="Y1213" i="2"/>
  <c r="Y1864" i="2"/>
  <c r="Y390" i="2"/>
  <c r="Y1058" i="2"/>
  <c r="Y1425" i="2"/>
  <c r="Y44" i="2"/>
  <c r="Y1396" i="2"/>
  <c r="Y1137" i="2"/>
  <c r="Y135" i="2"/>
  <c r="Y964" i="2"/>
  <c r="Y45" i="2"/>
  <c r="Y28" i="2"/>
  <c r="Y1231" i="2"/>
  <c r="Y223" i="2"/>
  <c r="Y1843" i="2"/>
  <c r="Y1925" i="2"/>
  <c r="Y1674" i="2"/>
  <c r="Y590" i="2"/>
  <c r="Y1635" i="2"/>
  <c r="Y330" i="2"/>
  <c r="Y1370" i="2"/>
  <c r="Y1216" i="2"/>
  <c r="Y1306" i="2"/>
  <c r="Y512" i="2"/>
  <c r="Y924" i="2"/>
  <c r="Y1628" i="2"/>
  <c r="Y534" i="2"/>
  <c r="Y1758" i="2"/>
  <c r="Y1228" i="2"/>
  <c r="Y1556" i="2"/>
  <c r="Y1392" i="2"/>
  <c r="Y487" i="2"/>
  <c r="Y1715" i="2"/>
  <c r="Y1956" i="2"/>
  <c r="Y1995" i="2"/>
  <c r="Y1936" i="2"/>
  <c r="Y751" i="2"/>
  <c r="Y864" i="2"/>
  <c r="Y1820" i="2"/>
  <c r="Y1452" i="2"/>
  <c r="Y1818" i="2"/>
  <c r="Y519" i="2"/>
  <c r="Y579" i="2"/>
  <c r="Y375" i="2"/>
  <c r="Y1362" i="2"/>
  <c r="Y147" i="2"/>
  <c r="Y499" i="2"/>
  <c r="Y1867" i="2"/>
  <c r="Y808" i="2"/>
  <c r="Y1157" i="2"/>
  <c r="Y1184" i="2"/>
  <c r="Y994" i="2"/>
  <c r="Y509" i="2"/>
  <c r="Y71" i="2"/>
  <c r="Y1143" i="2"/>
  <c r="Y685" i="2"/>
  <c r="Y575" i="2"/>
  <c r="Y410" i="2"/>
  <c r="Y1907" i="2"/>
  <c r="Y562" i="2"/>
  <c r="Y21" i="2"/>
  <c r="Y574" i="2"/>
  <c r="Y1161" i="2"/>
  <c r="Y903" i="2"/>
  <c r="Y283" i="2"/>
  <c r="Y1253" i="2"/>
  <c r="Y65" i="2"/>
  <c r="Y1325" i="2"/>
  <c r="Y1980" i="2"/>
  <c r="Y47" i="2"/>
  <c r="Y1046" i="2"/>
  <c r="Y416" i="2"/>
  <c r="Y1800" i="2"/>
  <c r="Y100" i="2"/>
  <c r="Y1025" i="2"/>
  <c r="Y216" i="2"/>
  <c r="Y336" i="2"/>
  <c r="Y1894" i="2"/>
  <c r="Y434" i="2"/>
  <c r="Y1332" i="2"/>
  <c r="Y256" i="2"/>
  <c r="Y639" i="2"/>
  <c r="Y1313" i="2"/>
  <c r="Y1431" i="2"/>
  <c r="Y384" i="2"/>
  <c r="Y827" i="2"/>
  <c r="Y1679" i="2"/>
  <c r="Y1950" i="2"/>
  <c r="Y1647" i="2"/>
  <c r="Y1066" i="2"/>
  <c r="Y1947" i="2"/>
  <c r="Y1340" i="2"/>
  <c r="Y1267" i="2"/>
  <c r="Y353" i="2"/>
  <c r="Y840" i="2"/>
  <c r="Y138" i="2"/>
  <c r="Y1957" i="2"/>
  <c r="Y1577" i="2"/>
  <c r="Y1885" i="2"/>
  <c r="Y1285" i="2"/>
  <c r="Y605" i="2"/>
  <c r="Y296" i="2"/>
  <c r="Y1031" i="2"/>
  <c r="Y1395" i="2"/>
  <c r="Y1156" i="2"/>
  <c r="Y772" i="2"/>
  <c r="Y1081" i="2"/>
  <c r="Y1293" i="2"/>
  <c r="Y1027" i="2"/>
  <c r="Y841" i="2"/>
  <c r="Y934" i="2"/>
  <c r="Y381" i="2"/>
  <c r="Y1120" i="2"/>
  <c r="Y1148" i="2"/>
  <c r="Y265" i="2"/>
  <c r="Y1545" i="2"/>
  <c r="Y1302" i="2"/>
  <c r="Y730" i="2"/>
  <c r="Y1097" i="2"/>
  <c r="Y208" i="2"/>
  <c r="Y1460" i="2"/>
  <c r="Y946" i="2"/>
  <c r="Y684" i="2"/>
  <c r="Y1958" i="2"/>
  <c r="Y526" i="2"/>
  <c r="Y183" i="2"/>
  <c r="Y436" i="2"/>
  <c r="Y1784" i="2"/>
  <c r="Y1281" i="2"/>
  <c r="Y1327" i="2"/>
  <c r="Y154" i="2"/>
  <c r="Y1001" i="2"/>
  <c r="Y1582" i="2"/>
  <c r="Y828" i="2"/>
  <c r="Y238" i="2"/>
  <c r="Y1613" i="2"/>
  <c r="Y925" i="2"/>
  <c r="Y556" i="2"/>
  <c r="Y1558" i="2"/>
  <c r="Y1092" i="2"/>
  <c r="Y1550" i="2"/>
  <c r="Y584" i="2"/>
  <c r="Y801" i="2"/>
  <c r="Y1083" i="2"/>
  <c r="Y1154" i="2"/>
  <c r="Y239" i="2"/>
  <c r="Y755" i="2"/>
  <c r="Y1196" i="2"/>
  <c r="Y585" i="2"/>
  <c r="Y1570" i="2"/>
  <c r="Y1458" i="2"/>
  <c r="Y435" i="2"/>
  <c r="Y1018" i="2"/>
  <c r="Y392" i="2"/>
  <c r="Y393" i="2"/>
  <c r="Y1180" i="2"/>
  <c r="Y1749" i="2"/>
  <c r="Y180" i="2"/>
  <c r="Y1816" i="2"/>
  <c r="Y1974" i="2"/>
  <c r="Y1087" i="2"/>
  <c r="Y1390" i="2"/>
  <c r="Y275" i="2"/>
  <c r="Y895" i="2"/>
  <c r="Y394" i="2"/>
  <c r="Y756" i="2"/>
  <c r="Y1118" i="2"/>
  <c r="Y1772" i="2"/>
  <c r="Y902" i="2"/>
  <c r="Y79" i="2"/>
  <c r="Y1747" i="2"/>
  <c r="Y779" i="2"/>
  <c r="Y710" i="2"/>
  <c r="Y831" i="2"/>
  <c r="Y1298" i="2"/>
  <c r="Y334" i="2"/>
  <c r="Y1811" i="2"/>
  <c r="Y139" i="2"/>
  <c r="Y1569" i="2"/>
  <c r="Y1206" i="2"/>
  <c r="Y41" i="2"/>
  <c r="Y480" i="2"/>
  <c r="Y1050" i="2"/>
  <c r="Y1592" i="2"/>
  <c r="Y1173" i="2"/>
  <c r="Y648" i="2"/>
  <c r="Y1930" i="2"/>
  <c r="Y318" i="2"/>
  <c r="Y899" i="2"/>
  <c r="Y965" i="2"/>
  <c r="Y591" i="2"/>
  <c r="Y977" i="2"/>
  <c r="Y747" i="2"/>
  <c r="Y1286" i="2"/>
  <c r="Y1716" i="2"/>
  <c r="Y1774" i="2"/>
  <c r="Y1414" i="2"/>
  <c r="Y1133" i="2"/>
  <c r="Y1444" i="2"/>
  <c r="Y122" i="2"/>
  <c r="Y1602" i="2"/>
  <c r="Y1374" i="2"/>
  <c r="Y1708" i="2"/>
  <c r="Y451" i="2"/>
  <c r="Y672" i="2"/>
  <c r="Y826" i="2"/>
  <c r="Y9" i="2"/>
  <c r="Y1841" i="2"/>
  <c r="Y252" i="2"/>
  <c r="Y1021" i="2"/>
  <c r="Y1308" i="2"/>
  <c r="Y33" i="2"/>
  <c r="Y161" i="2"/>
  <c r="Y1472" i="2"/>
  <c r="Y1071" i="2"/>
  <c r="Y305" i="2"/>
  <c r="Y912" i="2"/>
  <c r="Y1859" i="2"/>
  <c r="Y1384" i="2"/>
  <c r="Y834" i="2"/>
  <c r="Y666" i="2"/>
  <c r="Y104" i="2"/>
  <c r="Y1241" i="2"/>
  <c r="Y683" i="2"/>
  <c r="Y16" i="2"/>
  <c r="Y1667" i="2"/>
  <c r="Y921" i="2"/>
  <c r="Y446" i="2"/>
  <c r="Y1865" i="2"/>
  <c r="Y191" i="2"/>
  <c r="Y253" i="2"/>
  <c r="Y1239" i="2"/>
  <c r="Y64" i="2"/>
  <c r="Y1701" i="2"/>
  <c r="Y539" i="2"/>
  <c r="Y1393" i="2"/>
  <c r="Y1728" i="2"/>
  <c r="Y278" i="2"/>
  <c r="Y1596" i="2"/>
  <c r="Y663" i="2"/>
  <c r="Y855" i="2"/>
  <c r="Y1526" i="2"/>
  <c r="Y137" i="2"/>
  <c r="Y896" i="2"/>
  <c r="Y186" i="2"/>
  <c r="Y13" i="2"/>
  <c r="Y302" i="2"/>
  <c r="Y233" i="2"/>
  <c r="Y674" i="2"/>
  <c r="Y492" i="2"/>
  <c r="Y847" i="2"/>
  <c r="Y141" i="2"/>
  <c r="Y1534" i="2"/>
  <c r="Y31" i="2"/>
  <c r="Y465" i="2"/>
  <c r="Y441" i="2"/>
  <c r="Y198" i="2"/>
  <c r="Y740" i="2"/>
  <c r="Y1468" i="2"/>
  <c r="Y213" i="2"/>
  <c r="Y785" i="2"/>
  <c r="Y1271" i="2"/>
  <c r="Y987" i="2"/>
  <c r="Y898" i="2"/>
  <c r="Y1619" i="2"/>
  <c r="Y738" i="2"/>
  <c r="Y338" i="2"/>
  <c r="Y836" i="2"/>
  <c r="Y1920" i="2"/>
  <c r="Y1922" i="2"/>
  <c r="Y473" i="2"/>
  <c r="Y112" i="2"/>
  <c r="Y621" i="2"/>
  <c r="Y1627" i="2"/>
  <c r="Y1212" i="2"/>
  <c r="Y1979" i="2"/>
  <c r="Y1757" i="2"/>
  <c r="Y784" i="2"/>
  <c r="Y1176" i="2"/>
  <c r="Y1489" i="2"/>
  <c r="Y1618" i="2"/>
  <c r="Y595" i="2"/>
  <c r="Y1788" i="2"/>
  <c r="Y315" i="2"/>
  <c r="Y1775" i="2"/>
  <c r="Y1355" i="2"/>
  <c r="Y440" i="2"/>
  <c r="Y603" i="2"/>
  <c r="Y668" i="2"/>
  <c r="Y1167" i="2"/>
  <c r="Y1636" i="2"/>
  <c r="Y347" i="2"/>
  <c r="Y1542" i="2"/>
  <c r="Y1919" i="2"/>
  <c r="Y1465" i="2"/>
  <c r="Y1711" i="2"/>
  <c r="Y1188" i="2"/>
  <c r="Y1844" i="2"/>
  <c r="Y830" i="2"/>
  <c r="Y619" i="2"/>
  <c r="Y55" i="2"/>
  <c r="Y224" i="2"/>
  <c r="Y1951" i="2"/>
  <c r="Y1337" i="2"/>
  <c r="Y913" i="2"/>
  <c r="Y241" i="2"/>
  <c r="Y1653" i="2"/>
  <c r="Y259" i="2"/>
  <c r="Y570" i="2"/>
  <c r="Y1505" i="2"/>
  <c r="Y1453" i="2"/>
  <c r="Y102" i="2"/>
  <c r="Y266" i="2"/>
  <c r="Y368" i="2"/>
  <c r="Y269" i="2"/>
  <c r="Y1678" i="2"/>
  <c r="Y587" i="2"/>
  <c r="Y1981" i="2"/>
  <c r="Y406" i="2"/>
  <c r="Y557" i="2"/>
  <c r="Y856" i="2"/>
  <c r="Y126" i="2"/>
  <c r="Y40" i="2"/>
  <c r="Y1533" i="2"/>
  <c r="Y1487" i="2"/>
  <c r="Y922" i="2"/>
  <c r="Y188" i="2"/>
  <c r="Y722" i="2"/>
  <c r="Y1441" i="2"/>
  <c r="Y185" i="2"/>
  <c r="Y1059" i="2"/>
  <c r="Y886" i="2"/>
  <c r="Y262" i="2"/>
  <c r="Y1855" i="2"/>
  <c r="Y70" i="2"/>
  <c r="Y573" i="2"/>
  <c r="Y1966" i="2"/>
  <c r="Y1737" i="2"/>
  <c r="Y759" i="2"/>
  <c r="Y719" i="2"/>
  <c r="Y960" i="2"/>
  <c r="Y73" i="2"/>
  <c r="Y1766" i="2"/>
  <c r="Y1929" i="2"/>
  <c r="Y110" i="2"/>
  <c r="Y1812" i="2"/>
  <c r="Y331" i="2"/>
  <c r="Y1718" i="2"/>
  <c r="Y1192" i="2"/>
  <c r="Y1318" i="2"/>
  <c r="Y1507" i="2"/>
  <c r="Y1291" i="2"/>
  <c r="Y1549" i="2"/>
  <c r="Y949" i="2"/>
  <c r="Y495" i="2"/>
  <c r="Y158" i="2"/>
  <c r="Y128" i="2"/>
  <c r="Y778" i="2"/>
  <c r="Y1270" i="2"/>
  <c r="Y602" i="2"/>
  <c r="Y1023" i="2"/>
  <c r="Y1810" i="2"/>
  <c r="Y242" i="2"/>
  <c r="Y848" i="2"/>
  <c r="Y351" i="2"/>
  <c r="Y1060" i="2"/>
  <c r="Y1642" i="2"/>
  <c r="Y342" i="2"/>
  <c r="Y1051" i="2"/>
  <c r="Y530" i="2"/>
  <c r="Y1064" i="2"/>
  <c r="Y304" i="2"/>
  <c r="Y1065" i="2"/>
  <c r="Y367" i="2"/>
  <c r="Y1641" i="2"/>
  <c r="Y169" i="2"/>
  <c r="Y1421" i="2"/>
  <c r="Y489" i="2"/>
  <c r="Y1189" i="2"/>
  <c r="Y1805" i="2"/>
  <c r="Y618" i="2"/>
  <c r="Y1248" i="2"/>
  <c r="Y319" i="2"/>
  <c r="Y48" i="2"/>
  <c r="Y1043" i="2"/>
  <c r="Y39" i="2"/>
  <c r="Y1010" i="2"/>
  <c r="Y276" i="2"/>
  <c r="Y1024" i="2"/>
  <c r="Y541" i="2"/>
  <c r="Y630" i="2"/>
  <c r="Y1202" i="2"/>
  <c r="Y863" i="2"/>
  <c r="Y249" i="2"/>
  <c r="Y851" i="2"/>
  <c r="Y1411" i="2"/>
  <c r="Y1781" i="2"/>
  <c r="Y201" i="2"/>
  <c r="Y1590" i="2"/>
  <c r="Y1527" i="2"/>
  <c r="Y1597" i="2"/>
  <c r="Y1946" i="2"/>
  <c r="Y1519" i="2"/>
  <c r="Y1942" i="2"/>
  <c r="Y1933" i="2"/>
  <c r="Y1914" i="2"/>
  <c r="Y816" i="2"/>
  <c r="Y527" i="2"/>
  <c r="Y1067" i="2"/>
  <c r="Y507" i="2"/>
  <c r="Y1255" i="2"/>
  <c r="Y1124" i="2"/>
  <c r="Y513" i="2"/>
  <c r="Y1430" i="2"/>
  <c r="Y845" i="2"/>
  <c r="Y660" i="2"/>
  <c r="Y1105" i="2"/>
  <c r="Y1290" i="2"/>
  <c r="Y1631" i="2"/>
  <c r="Y716" i="2"/>
  <c r="Y1868" i="2"/>
  <c r="Y545" i="2"/>
  <c r="Y1771" i="2"/>
  <c r="Y1911" i="2"/>
  <c r="Y1780" i="2"/>
  <c r="Y1736" i="2"/>
  <c r="Y1488" i="2"/>
  <c r="Y606" i="2"/>
  <c r="Y729" i="2"/>
  <c r="Y708" i="2"/>
  <c r="Y875" i="2"/>
  <c r="Y1707" i="2"/>
  <c r="Y1382" i="2"/>
  <c r="Y861" i="2"/>
  <c r="Y589" i="2"/>
  <c r="Y92" i="2"/>
  <c r="Y74" i="2"/>
  <c r="Y521" i="2"/>
  <c r="Y1399" i="2"/>
  <c r="Y1961" i="2"/>
  <c r="Y1888" i="2"/>
  <c r="Y422" i="2"/>
  <c r="Y1483" i="2"/>
  <c r="Y314" i="2"/>
  <c r="Y613" i="2"/>
  <c r="Y430" i="2"/>
  <c r="Y107" i="2"/>
  <c r="Y1057" i="2"/>
  <c r="Y773" i="2"/>
  <c r="Y889" i="2"/>
  <c r="Y1101" i="2"/>
  <c r="Y184" i="2"/>
  <c r="Y1985" i="2"/>
  <c r="Y962" i="2"/>
  <c r="Y1080" i="2"/>
  <c r="Y1132" i="2"/>
  <c r="Y1517" i="2"/>
  <c r="Y474" i="2"/>
  <c r="Y1721" i="2"/>
  <c r="Y174" i="2"/>
  <c r="Y1659" i="2"/>
  <c r="Y850" i="2"/>
  <c r="Y1162" i="2"/>
  <c r="Y419" i="2"/>
  <c r="Y1009" i="2"/>
  <c r="Y251" i="2"/>
  <c r="Y884" i="2"/>
  <c r="Y418" i="2"/>
  <c r="Y1303" i="2"/>
  <c r="Y1682" i="2"/>
  <c r="Y947" i="2"/>
  <c r="Y703" i="2"/>
  <c r="Y1109" i="2"/>
  <c r="Y1656" i="2"/>
  <c r="Y218" i="2"/>
  <c r="Y1809" i="2"/>
  <c r="Y1338" i="2"/>
  <c r="Y1315" i="2"/>
  <c r="Y1568" i="2"/>
  <c r="Y914" i="2"/>
  <c r="Y1305" i="2"/>
  <c r="Y1357" i="2"/>
  <c r="Y549" i="2"/>
  <c r="Y1254" i="2"/>
  <c r="Y568" i="2"/>
  <c r="Y1242" i="2"/>
  <c r="Y757" i="2"/>
  <c r="Y1351" i="2"/>
  <c r="Y366" i="2"/>
  <c r="Y429" i="2"/>
  <c r="Y1116" i="2"/>
  <c r="Y975" i="2"/>
  <c r="Y1077" i="2"/>
  <c r="Y1617" i="2"/>
  <c r="Y1605" i="2"/>
  <c r="Y1252" i="2"/>
  <c r="Y999" i="2"/>
  <c r="Y1179" i="2"/>
  <c r="Y1836" i="2"/>
  <c r="Y140" i="2"/>
  <c r="Y1685" i="2"/>
  <c r="Y1910" i="2"/>
  <c r="Y1141" i="2"/>
  <c r="Y325" i="2"/>
  <c r="Y1446" i="2"/>
  <c r="Y1567" i="2"/>
  <c r="Y641" i="2"/>
  <c r="Y461" i="2"/>
  <c r="Y631" i="2"/>
  <c r="Y1655" i="2"/>
  <c r="Y1535" i="2"/>
  <c r="Y1599" i="2"/>
  <c r="Y490" i="2"/>
  <c r="Y1745" i="2"/>
  <c r="Y1070" i="2"/>
  <c r="Y260" i="2"/>
  <c r="Y673" i="2"/>
  <c r="Y535" i="2"/>
  <c r="Y1791" i="2"/>
  <c r="Y858" i="2"/>
  <c r="Y1130" i="2"/>
  <c r="Y748" i="2"/>
  <c r="Y1174" i="2"/>
  <c r="Y540" i="2"/>
  <c r="Y1796" i="2"/>
  <c r="Y1194" i="2"/>
  <c r="Y344" i="2"/>
  <c r="Y1282" i="2"/>
  <c r="Y849" i="2"/>
  <c r="Y1837" i="2"/>
  <c r="Y56" i="2"/>
  <c r="Y669" i="2"/>
  <c r="Y412" i="2"/>
  <c r="Y793" i="2"/>
  <c r="Y1407" i="2"/>
  <c r="Y1501" i="2"/>
  <c r="Y1508" i="2"/>
  <c r="Y118" i="2"/>
  <c r="Y551" i="2"/>
  <c r="Y1845" i="2"/>
  <c r="Y22" i="2"/>
  <c r="Y1422" i="2"/>
  <c r="Y1135" i="2"/>
  <c r="Y129" i="2"/>
  <c r="Y1230" i="2"/>
  <c r="Y1459" i="2"/>
  <c r="Y1121" i="2"/>
  <c r="Y1792" i="2"/>
  <c r="Y1630" i="2"/>
  <c r="Y464" i="2"/>
  <c r="Y558" i="2"/>
  <c r="Y1639" i="2"/>
  <c r="Y1244" i="2"/>
  <c r="Y594" i="2"/>
  <c r="Y1889" i="2"/>
  <c r="Y704" i="2"/>
  <c r="Y961" i="2"/>
  <c r="Y1896" i="2"/>
  <c r="Y388" i="2"/>
  <c r="Y1183" i="2"/>
  <c r="Y1221" i="2"/>
  <c r="Y1476" i="2"/>
  <c r="Y1045" i="2"/>
  <c r="Y1622" i="2"/>
  <c r="Y1397" i="2"/>
  <c r="Y1934" i="2"/>
  <c r="Y1345" i="2"/>
  <c r="Y339" i="2"/>
  <c r="Y787" i="2"/>
  <c r="Y120" i="2"/>
  <c r="Y1877" i="2"/>
  <c r="Y345" i="2"/>
  <c r="Y234" i="2"/>
  <c r="Y1376" i="2"/>
  <c r="Y1835" i="2"/>
  <c r="Y1790" i="2"/>
  <c r="Y1540" i="2"/>
  <c r="Y1061" i="2"/>
  <c r="Y1106" i="2"/>
  <c r="Y1404" i="2"/>
  <c r="Y998" i="2"/>
  <c r="Y1623" i="2"/>
  <c r="Y571" i="2"/>
  <c r="Y59" i="2"/>
  <c r="Y8" i="2"/>
  <c r="Y475" i="2"/>
  <c r="Y1670" i="2"/>
  <c r="Y1146" i="2"/>
  <c r="Y46" i="2"/>
  <c r="Y991" i="2"/>
  <c r="Y1175" i="2"/>
  <c r="Y1935" i="2"/>
  <c r="Y1263" i="2"/>
  <c r="Y1669" i="2"/>
  <c r="Y797" i="2"/>
  <c r="Y1462" i="2"/>
  <c r="Y1288" i="2"/>
  <c r="Y983" i="2"/>
  <c r="Y1993" i="2"/>
  <c r="Y1467" i="2"/>
  <c r="Y1201" i="2"/>
  <c r="Y1649" i="2"/>
  <c r="Y1245" i="2"/>
  <c r="Y232" i="2"/>
  <c r="Y1557" i="2"/>
  <c r="Y1049" i="2"/>
  <c r="Y607" i="2"/>
  <c r="Y382" i="2"/>
  <c r="Y1454" i="2"/>
  <c r="Y211" i="2"/>
  <c r="Y358" i="2"/>
  <c r="Y612" i="2"/>
  <c r="Y200" i="2"/>
  <c r="Y1676" i="2"/>
  <c r="Y938" i="2"/>
  <c r="Y1218" i="2"/>
  <c r="Y228" i="2"/>
  <c r="Y1871" i="2"/>
  <c r="Y1927" i="2"/>
  <c r="Y1645" i="2"/>
  <c r="Y421" i="2"/>
  <c r="Y1229" i="2"/>
  <c r="Y1099" i="2"/>
  <c r="Y362" i="2"/>
  <c r="Y782" i="2"/>
  <c r="Y1731" i="2"/>
  <c r="Y610" i="2"/>
  <c r="Y620" i="2"/>
  <c r="Y1233" i="2"/>
  <c r="Y1178" i="2"/>
  <c r="Y593" i="2"/>
  <c r="Y447" i="2"/>
  <c r="Y341" i="2"/>
  <c r="Y97" i="2"/>
  <c r="Y588" i="2"/>
  <c r="Y980" i="2"/>
  <c r="Y1660" i="2"/>
  <c r="Y1768" i="2"/>
  <c r="Y1203" i="2"/>
  <c r="Y1145" i="2"/>
  <c r="Y426" i="2"/>
  <c r="Y1259" i="2"/>
  <c r="Y1375" i="2"/>
  <c r="Y1341" i="2"/>
  <c r="Y1901" i="2"/>
  <c r="Y1710" i="2"/>
  <c r="Y1405" i="2"/>
  <c r="Y783" i="2"/>
  <c r="Y1794" i="2"/>
  <c r="Y277" i="2"/>
  <c r="Y220" i="2"/>
  <c r="Y1380" i="2"/>
  <c r="Y1575" i="2"/>
  <c r="Y1426" i="2"/>
  <c r="Y1451" i="2"/>
  <c r="Y1967" i="2"/>
  <c r="Y1186" i="2"/>
  <c r="Y1026" i="2"/>
  <c r="Y1028" i="2"/>
  <c r="Y240" i="2"/>
  <c r="Y915" i="2"/>
  <c r="Y901" i="2"/>
  <c r="Y1923" i="2"/>
  <c r="Y1538" i="2"/>
  <c r="Y1383" i="2"/>
  <c r="Y878" i="2"/>
  <c r="Y930" i="2"/>
  <c r="Y1470" i="2"/>
  <c r="Y237" i="2"/>
  <c r="Y799" i="2"/>
  <c r="Y695" i="2"/>
  <c r="Y1726" i="2"/>
  <c r="Y1595" i="2"/>
  <c r="Y969" i="2"/>
  <c r="Y862" i="2"/>
  <c r="Y1510" i="2"/>
  <c r="Y1497" i="2"/>
  <c r="Y1198" i="2"/>
  <c r="Y1803" i="2"/>
  <c r="Y1552" i="2"/>
  <c r="Y1498" i="2"/>
  <c r="Y1358" i="2"/>
  <c r="Y1164" i="2"/>
  <c r="Y762" i="2"/>
  <c r="Y1085" i="2"/>
  <c r="Y15" i="2"/>
  <c r="Y941" i="2"/>
  <c r="Y1986" i="2"/>
  <c r="Y371" i="2"/>
  <c r="Y215" i="2"/>
  <c r="Y1863" i="2"/>
  <c r="Y1860" i="2"/>
  <c r="Y58" i="2"/>
  <c r="Y1988" i="2"/>
  <c r="Y1646" i="2"/>
  <c r="Y552" i="2"/>
  <c r="Y1652" i="2"/>
  <c r="Y1908" i="2"/>
  <c r="Y1352" i="2"/>
  <c r="Y937" i="2"/>
  <c r="Y1185" i="2"/>
  <c r="Y1471" i="2"/>
  <c r="Y105" i="2"/>
  <c r="Y1551" i="2"/>
  <c r="Y528" i="2"/>
  <c r="Y1275" i="2"/>
  <c r="Y267" i="2"/>
  <c r="Y1696" i="2"/>
  <c r="Y1565" i="2"/>
  <c r="Y89" i="2"/>
  <c r="Y1377" i="2"/>
  <c r="Y379" i="2"/>
  <c r="Y989" i="2"/>
  <c r="Y1852" i="2"/>
  <c r="Y997" i="2"/>
  <c r="Y629" i="2"/>
  <c r="Y1047" i="2"/>
  <c r="Y956" i="2"/>
  <c r="Y27" i="2"/>
  <c r="Y1704" i="2"/>
  <c r="Y504" i="2"/>
  <c r="Y1996" i="2"/>
  <c r="Y178" i="2"/>
  <c r="Y1159" i="2"/>
  <c r="Y1102" i="2"/>
  <c r="Y1361" i="2"/>
  <c r="Y20" i="2"/>
  <c r="Y852" i="2"/>
  <c r="Y457" i="2"/>
  <c r="Y843" i="2"/>
  <c r="Y250" i="2"/>
  <c r="Y1073" i="2"/>
  <c r="Y794" i="2"/>
  <c r="Y159" i="2"/>
  <c r="Y1763" i="2"/>
  <c r="Y1866" i="2"/>
  <c r="Y1474" i="2"/>
  <c r="Y1448" i="2"/>
  <c r="Y1983" i="2"/>
  <c r="Y1589" i="2"/>
  <c r="Y1938" i="2"/>
  <c r="Y1680" i="2"/>
  <c r="Y1634" i="2"/>
  <c r="Y1424" i="2"/>
  <c r="Y1999" i="2"/>
  <c r="Y7" i="2"/>
  <c r="Y306" i="2"/>
  <c r="Y1437" i="2"/>
  <c r="Y637" i="2"/>
  <c r="Y1119" i="2"/>
  <c r="Y1215" i="2"/>
  <c r="Y125" i="2"/>
  <c r="Y770" i="2"/>
  <c r="Y577" i="2"/>
  <c r="Y1972" i="2"/>
  <c r="Y1537" i="2"/>
  <c r="Y644" i="2"/>
  <c r="Y101" i="2"/>
  <c r="Y148" i="2"/>
  <c r="Y1762" i="2"/>
  <c r="Y916" i="2"/>
  <c r="Y272" i="2"/>
  <c r="Y1127" i="2"/>
  <c r="Y500" i="2"/>
  <c r="Y1496" i="2"/>
  <c r="Y93" i="2"/>
  <c r="Y199" i="2"/>
  <c r="Y1036" i="2"/>
  <c r="Y1111" i="2"/>
  <c r="Y1475" i="2"/>
  <c r="Y493" i="2"/>
  <c r="Y301" i="2"/>
  <c r="Y1700" i="2"/>
  <c r="Y142" i="2"/>
  <c r="Y1379" i="2"/>
  <c r="Y714" i="2"/>
  <c r="Y942" i="2"/>
  <c r="Y289" i="2"/>
  <c r="Y561" i="2"/>
  <c r="Y423" i="2"/>
  <c r="Y559" i="2"/>
  <c r="Y99" i="2"/>
  <c r="Y1373" i="2"/>
  <c r="Y98" i="2"/>
  <c r="Y1971" i="2"/>
  <c r="Y928" i="2"/>
  <c r="Y820" i="2"/>
  <c r="Y1032" i="2"/>
  <c r="Y649" i="2"/>
  <c r="Y1838" i="2"/>
  <c r="Y350" i="2"/>
  <c r="Y115" i="2"/>
  <c r="Y1278" i="2"/>
  <c r="Y636" i="2"/>
  <c r="Y438" i="2"/>
  <c r="Y72" i="2"/>
  <c r="Y1769" i="2"/>
  <c r="Y1138" i="2"/>
  <c r="Y1940" i="2"/>
  <c r="Y1149" i="2"/>
  <c r="Y1640" i="2"/>
  <c r="Y1068" i="2"/>
  <c r="Y774" i="2"/>
  <c r="Y270" i="2"/>
  <c r="Y14" i="2"/>
  <c r="Y365" i="2"/>
  <c r="Y23" i="2"/>
  <c r="Y1512" i="2"/>
  <c r="Y1456" i="2"/>
  <c r="Y563" i="2"/>
  <c r="Y1709" i="2"/>
  <c r="Y117" i="2"/>
  <c r="Y404" i="2"/>
  <c r="Y766" i="2"/>
  <c r="Y1491" i="2"/>
  <c r="Y1787" i="2"/>
  <c r="Y1220" i="2"/>
  <c r="Y711" i="2"/>
  <c r="Y600" i="2"/>
  <c r="Y1755" i="2"/>
  <c r="Y4" i="2"/>
  <c r="Y1000" i="2"/>
  <c r="Y1752" i="2"/>
  <c r="Y1445" i="2"/>
  <c r="Y1158" i="2"/>
  <c r="Y282" i="2"/>
  <c r="Y737" i="2"/>
  <c r="Y57" i="2"/>
  <c r="Y1856" i="2"/>
  <c r="Y993" i="2"/>
  <c r="Y893" i="2"/>
  <c r="Y1524" i="2"/>
  <c r="Y448" i="2"/>
  <c r="Y908" i="2"/>
  <c r="Y661" i="2"/>
  <c r="Y156" i="2"/>
  <c r="Y1739" i="2"/>
  <c r="Y1943" i="2"/>
  <c r="Y1371" i="2"/>
  <c r="Y1128" i="2"/>
  <c r="Y1217" i="2"/>
  <c r="Y202" i="2"/>
  <c r="Y322" i="2"/>
  <c r="Y320" i="2"/>
  <c r="Y1423" i="2"/>
  <c r="Y1684" i="2"/>
  <c r="Y1003" i="2"/>
  <c r="Y111" i="2"/>
  <c r="Y172" i="2"/>
  <c r="Y1260" i="2"/>
  <c r="Y1819" i="2"/>
  <c r="Y877" i="2"/>
  <c r="Y1536" i="2"/>
  <c r="Y1998" i="2"/>
  <c r="Y439" i="2"/>
  <c r="Y927" i="2"/>
  <c r="Y133" i="2"/>
  <c r="Y697" i="2"/>
  <c r="Y800" i="2"/>
  <c r="Y261" i="2"/>
  <c r="Y1782" i="2"/>
  <c r="Y1880" i="2"/>
  <c r="Y236" i="2"/>
  <c r="Y1490" i="2"/>
  <c r="Y303" i="2"/>
  <c r="Y1727" i="2"/>
  <c r="Y1776" i="2"/>
  <c r="Y658" i="2"/>
  <c r="Y1372" i="2"/>
  <c r="Y1830" i="2"/>
  <c r="Y1779" i="2"/>
  <c r="Y1760" i="2"/>
  <c r="Y992" i="2"/>
  <c r="Y1200" i="2"/>
  <c r="Y323" i="2"/>
  <c r="Y1394" i="2"/>
  <c r="Y175" i="2"/>
  <c r="Y462" i="2"/>
  <c r="Y764" i="2"/>
  <c r="Y1261" i="2"/>
  <c r="Y1513" i="2"/>
  <c r="Y511" i="2"/>
  <c r="Y614" i="2"/>
  <c r="Y1326" i="2"/>
  <c r="Y1069" i="2"/>
  <c r="Y176" i="2"/>
  <c r="Y399" i="2"/>
  <c r="Y531" i="2"/>
  <c r="Y1588" i="2"/>
  <c r="Y586" i="2"/>
  <c r="Y51" i="2"/>
  <c r="Y1211" i="2"/>
  <c r="Y1500" i="2"/>
  <c r="Y680" i="2"/>
  <c r="Y1576" i="2"/>
  <c r="Y1807" i="2"/>
  <c r="Y1250" i="2"/>
  <c r="Y1525" i="2"/>
  <c r="Y957" i="2"/>
  <c r="Y777" i="2"/>
  <c r="Y906" i="2"/>
  <c r="Y761" i="2"/>
  <c r="Y742" i="2"/>
  <c r="Y967" i="2"/>
  <c r="Y1572" i="2"/>
  <c r="Y524" i="2"/>
  <c r="Y506" i="2"/>
  <c r="Y221" i="2"/>
  <c r="Y488" i="2"/>
  <c r="Y361" i="2"/>
  <c r="Y1134" i="2"/>
  <c r="Y298" i="2"/>
  <c r="Y96" i="2"/>
  <c r="Y752" i="2"/>
  <c r="Y611" i="2"/>
  <c r="Y822" i="2"/>
  <c r="Y498" i="2"/>
  <c r="Y1246" i="2"/>
  <c r="Y1987" i="2"/>
  <c r="Y299" i="2"/>
  <c r="Y119" i="2"/>
  <c r="Y1909" i="2"/>
  <c r="Y1333" i="2"/>
  <c r="Y599" i="2"/>
  <c r="Y1348" i="2"/>
  <c r="Y187" i="2"/>
  <c r="Y1482" i="2"/>
  <c r="Y1030" i="2"/>
  <c r="Y1854" i="2"/>
  <c r="Y1574" i="2"/>
  <c r="Y1088" i="2"/>
  <c r="Y1140" i="2"/>
  <c r="Y1990" i="2"/>
  <c r="Y471" i="2"/>
  <c r="Y1609" i="2"/>
  <c r="Y442" i="2"/>
  <c r="Y356" i="2"/>
  <c r="Y206" i="2"/>
  <c r="Y1573" i="2"/>
  <c r="Y468" i="2"/>
  <c r="Y1883" i="2"/>
  <c r="Y1697" i="2"/>
  <c r="Y1503" i="2"/>
  <c r="Y1992" i="2"/>
  <c r="Y294" i="2"/>
  <c r="Y1107" i="2"/>
  <c r="Y1594" i="2"/>
  <c r="Y1262" i="2"/>
  <c r="Y68" i="2"/>
  <c r="Y689" i="2"/>
  <c r="Y638" i="2"/>
  <c r="Y1433" i="2"/>
  <c r="Y1013" i="2"/>
  <c r="Y894" i="2"/>
  <c r="Y153" i="2"/>
  <c r="Y690" i="2"/>
  <c r="Y1226" i="2"/>
  <c r="Y1268" i="2"/>
  <c r="Y483" i="2"/>
  <c r="Y43" i="2"/>
  <c r="Y1668" i="2"/>
  <c r="Y1495" i="2"/>
  <c r="Y1606" i="2"/>
  <c r="Y173" i="2"/>
  <c r="Y481" i="2"/>
  <c r="Y1171" i="2"/>
  <c r="Y1447" i="2"/>
  <c r="Y123" i="2"/>
  <c r="Y1274" i="2"/>
  <c r="Y1208" i="2"/>
  <c r="Y30" i="2"/>
  <c r="Y1677" i="2"/>
  <c r="Y805" i="2"/>
  <c r="Y1463" i="2"/>
  <c r="Y1681" i="2"/>
  <c r="Y1048" i="2"/>
  <c r="Y244" i="2"/>
  <c r="Y1853" i="2"/>
  <c r="Y1450" i="2"/>
  <c r="Y1695" i="2"/>
  <c r="Y1583" i="2"/>
  <c r="Y870" i="2"/>
  <c r="Y357" i="2"/>
  <c r="Y209" i="2"/>
  <c r="Y529" i="2"/>
  <c r="Y873" i="2"/>
  <c r="Y1528" i="2"/>
  <c r="Y868" i="2"/>
  <c r="Y769" i="2"/>
  <c r="Y976" i="2"/>
  <c r="Y652" i="2"/>
  <c r="Y1516" i="2"/>
  <c r="Y179" i="2"/>
  <c r="Y197" i="2"/>
  <c r="Y791" i="2"/>
  <c r="Y514" i="2"/>
  <c r="Y907" i="2"/>
  <c r="Y508" i="2"/>
  <c r="Y411" i="2"/>
  <c r="Y935" i="2"/>
  <c r="Y853" i="2"/>
  <c r="Y222" i="2"/>
  <c r="Y1115" i="2"/>
  <c r="Y383" i="2"/>
  <c r="Y972" i="2"/>
  <c r="Y1916" i="2"/>
  <c r="Y857" i="2"/>
  <c r="Y1633" i="2"/>
  <c r="Y1432" i="2"/>
  <c r="Y931" i="2"/>
  <c r="Y1412" i="2"/>
  <c r="Y452" i="2"/>
  <c r="Y1548" i="2"/>
  <c r="Y642" i="2"/>
  <c r="Y1976" i="2"/>
  <c r="Y1515" i="2"/>
  <c r="Y625" i="2"/>
  <c r="Y1365" i="2"/>
  <c r="Y1912" i="2"/>
  <c r="Y162" i="2"/>
  <c r="Y1561" i="2"/>
  <c r="Y665" i="2"/>
  <c r="Y477" i="2"/>
  <c r="Y1833" i="2"/>
  <c r="Y167" i="2"/>
  <c r="Y1970" i="2"/>
  <c r="Y1238" i="2"/>
  <c r="Y85" i="2"/>
  <c r="Y885" i="2"/>
  <c r="Y1296" i="2"/>
  <c r="Y1756" i="2"/>
  <c r="Y1858" i="2"/>
  <c r="Y702" i="2"/>
  <c r="Y601" i="2"/>
  <c r="Y715" i="2"/>
  <c r="Y718" i="2"/>
  <c r="Y1388" i="2"/>
  <c r="Y1466" i="2"/>
  <c r="Y1136" i="2"/>
  <c r="Y396" i="2"/>
  <c r="Y1084" i="2"/>
  <c r="Y459" i="2"/>
  <c r="Y1724" i="2"/>
  <c r="Y1751" i="2"/>
  <c r="Y1074" i="2"/>
  <c r="Y1688" i="2"/>
  <c r="Y1419" i="2"/>
  <c r="Y229" i="2"/>
  <c r="Y706" i="2"/>
  <c r="Y1369" i="2"/>
  <c r="Y377" i="2"/>
  <c r="Y1903" i="2"/>
  <c r="Y1385" i="2"/>
  <c r="Y1673" i="2"/>
  <c r="Y1876" i="2"/>
  <c r="Y1849" i="2"/>
  <c r="Y543" i="2"/>
  <c r="Y1664" i="2"/>
  <c r="Y1734" i="2"/>
  <c r="Y735" i="2"/>
  <c r="Y1717" i="2"/>
  <c r="Y343" i="2"/>
  <c r="Y564" i="2"/>
  <c r="Y61" i="2"/>
  <c r="Y1181" i="2"/>
  <c r="Y724" i="2"/>
  <c r="Y1644" i="2"/>
  <c r="Y1750" i="2"/>
  <c r="Y293" i="2"/>
  <c r="Y230" i="2"/>
  <c r="Y207" i="2"/>
  <c r="Y1486" i="2"/>
  <c r="Y1479" i="2"/>
  <c r="Y163" i="2"/>
  <c r="Y1874" i="2"/>
  <c r="Y679" i="2"/>
  <c r="Y1272" i="2"/>
  <c r="Y1829" i="2"/>
  <c r="Y1539" i="2"/>
  <c r="Y460" i="2"/>
  <c r="Y1403" i="2"/>
  <c r="Y1378" i="2"/>
  <c r="Y1408" i="2"/>
  <c r="Y1402" i="2"/>
  <c r="Y544" i="2"/>
  <c r="Y1223" i="2"/>
  <c r="Y952" i="2"/>
  <c r="Y134" i="2"/>
  <c r="Y466" i="2"/>
  <c r="Y1566" i="2"/>
  <c r="Y431" i="2"/>
  <c r="Y640" i="2"/>
  <c r="Y194" i="2"/>
  <c r="Y1584" i="2"/>
  <c r="Y380" i="2"/>
  <c r="Y1991" i="2"/>
  <c r="Y1795" i="2"/>
  <c r="Y705" i="2"/>
  <c r="Y616" i="2"/>
  <c r="Y1846" i="2"/>
  <c r="Y1304" i="2"/>
  <c r="Y1601" i="2"/>
  <c r="Y1413" i="2"/>
  <c r="Y273" i="2"/>
  <c r="Y1387" i="2"/>
  <c r="Y80" i="2"/>
  <c r="Y727" i="2"/>
  <c r="Y227" i="2"/>
  <c r="Y721" i="2"/>
  <c r="Y1147" i="2"/>
  <c r="Y688" i="2"/>
  <c r="Y284" i="2"/>
  <c r="Y865" i="2"/>
  <c r="Y131" i="2"/>
  <c r="Y1153" i="2"/>
  <c r="Y496" i="2"/>
  <c r="Y1742" i="2"/>
  <c r="Y1406" i="2"/>
  <c r="Y1289" i="2"/>
  <c r="Y1977" i="2"/>
  <c r="Y709" i="2"/>
  <c r="Y1746" i="2"/>
  <c r="Y1839" i="2"/>
  <c r="Y646" i="2"/>
  <c r="Y1869" i="2"/>
  <c r="Y292" i="2"/>
  <c r="Y1005" i="2"/>
  <c r="Y1514" i="2"/>
  <c r="Y1786" i="2"/>
  <c r="Y959" i="2"/>
  <c r="Y1429" i="2"/>
  <c r="Y95" i="2"/>
  <c r="Y1163" i="2"/>
  <c r="Y1817" i="2"/>
  <c r="Y1555" i="2"/>
  <c r="Y1842" i="2"/>
  <c r="Y1554" i="2"/>
  <c r="Y1962" i="2"/>
  <c r="Y1705" i="2"/>
  <c r="Y405" i="2"/>
  <c r="Y106" i="2"/>
  <c r="Y18" i="2"/>
  <c r="Y1502" i="2"/>
  <c r="Y340" i="2"/>
  <c r="Y1926" i="2"/>
  <c r="Y823" i="2"/>
  <c r="Y553" i="2"/>
  <c r="Y1893" i="2"/>
  <c r="Y360" i="2"/>
  <c r="Y1222" i="2"/>
  <c r="Y67" i="2"/>
  <c r="Y1478" i="2"/>
  <c r="Y1847" i="2"/>
  <c r="Y124" i="2"/>
  <c r="Y655" i="2"/>
  <c r="Y627" i="2"/>
  <c r="Y1620" i="2"/>
  <c r="Y1484" i="2"/>
  <c r="Y1564" i="2"/>
  <c r="Y50" i="2"/>
  <c r="Y66" i="2"/>
  <c r="Y1918" i="2"/>
  <c r="Y692" i="2"/>
  <c r="Y1416" i="2"/>
  <c r="Y1224" i="2"/>
  <c r="Y883" i="2"/>
  <c r="Y1973" i="2"/>
  <c r="Y617" i="2"/>
  <c r="Y517" i="2"/>
  <c r="Y1330" i="2"/>
  <c r="Y1347" i="2"/>
  <c r="Y449" i="2"/>
  <c r="Y2000" i="2"/>
  <c r="Y1251" i="2"/>
  <c r="Y1648" i="2"/>
  <c r="Y1581" i="2"/>
  <c r="Y838" i="2"/>
  <c r="Y1334" i="2"/>
  <c r="Y1884" i="2"/>
  <c r="Y1960" i="2"/>
  <c r="Y501" i="2"/>
  <c r="Y1886" i="2"/>
  <c r="Y1928" i="2"/>
  <c r="Y1042" i="2"/>
  <c r="Y11" i="2"/>
  <c r="Y966" i="2"/>
  <c r="Y1076" i="2"/>
  <c r="Y749" i="2"/>
  <c r="Y970" i="2"/>
  <c r="Y945" i="2"/>
  <c r="Y1663" i="2"/>
  <c r="Y1699" i="2"/>
  <c r="Y1890" i="2"/>
  <c r="Y317" i="2"/>
  <c r="Y494" i="2"/>
  <c r="Y643" i="2"/>
  <c r="Y1062" i="2"/>
  <c r="Y615" i="2"/>
  <c r="Y804" i="2"/>
  <c r="Y891" i="2"/>
  <c r="Y444" i="2"/>
  <c r="Y1014" i="2"/>
  <c r="Y854" i="2"/>
  <c r="Y329" i="2"/>
  <c r="Y1292" i="2"/>
  <c r="Y1702" i="2"/>
  <c r="Y1122" i="2"/>
  <c r="Y1343" i="2"/>
  <c r="Y725" i="2"/>
  <c r="Y1793" i="2"/>
  <c r="Y470" i="2"/>
  <c r="Y1152" i="2"/>
  <c r="Y609" i="2"/>
  <c r="Y1612" i="2"/>
  <c r="Y1694" i="2"/>
  <c r="Y1039" i="2"/>
  <c r="Y550" i="2"/>
  <c r="Y1532" i="2"/>
  <c r="Y1366" i="2"/>
  <c r="Y408" i="2"/>
  <c r="Y1054" i="2"/>
  <c r="Y726" i="2"/>
  <c r="Y859" i="2"/>
  <c r="Y1686" i="2"/>
  <c r="Y1359" i="2"/>
  <c r="Y1100" i="2"/>
  <c r="Y1984" i="2"/>
  <c r="Y880" i="2"/>
  <c r="Y1344" i="2"/>
  <c r="Y1720" i="2"/>
  <c r="Y576" i="2"/>
  <c r="Y136" i="2"/>
  <c r="Y1485" i="2"/>
  <c r="Y678" i="2"/>
  <c r="Y522" i="2"/>
  <c r="Y450" i="2"/>
  <c r="Y765" i="2"/>
  <c r="Y520" i="2"/>
  <c r="Y624" i="2"/>
  <c r="Y1324" i="2"/>
  <c r="Y743" i="2"/>
  <c r="Y428" i="2"/>
  <c r="Y1011" i="2"/>
  <c r="Y1989" i="2"/>
  <c r="Y781" i="2"/>
  <c r="Y1477" i="2"/>
  <c r="Y1825" i="2"/>
  <c r="Y525" i="2"/>
  <c r="Y1904" i="2"/>
  <c r="Y1593" i="2"/>
  <c r="Y1391" i="2"/>
  <c r="Y1994" i="2"/>
  <c r="Y754" i="2"/>
  <c r="Y1225" i="2"/>
  <c r="Y1360" i="2"/>
  <c r="Y802" i="2"/>
  <c r="Y626" i="2"/>
  <c r="Y569" i="2"/>
  <c r="Y1563" i="2"/>
  <c r="Y1316" i="2"/>
  <c r="Y1654" i="2"/>
  <c r="Y190" i="2"/>
  <c r="Y2001" i="2"/>
  <c r="Y1603" i="2"/>
  <c r="Y1015" i="2"/>
  <c r="Y670" i="2"/>
  <c r="Y1658" i="2"/>
  <c r="Y1892" i="2"/>
  <c r="Y592" i="2"/>
  <c r="Y1506" i="2"/>
  <c r="Y1625" i="2"/>
  <c r="Y963" i="2"/>
  <c r="Y491" i="2"/>
  <c r="Y746" i="2"/>
  <c r="Y926" i="2"/>
  <c r="Y1177" i="2"/>
  <c r="Y1650" i="2"/>
  <c r="Y1439" i="2"/>
  <c r="Y533" i="2"/>
  <c r="Y1897" i="2"/>
  <c r="Y869" i="2"/>
  <c r="Y1887" i="2"/>
  <c r="Y1335" i="2"/>
  <c r="Y790" i="2"/>
  <c r="Y355" i="2"/>
  <c r="Y1610" i="2"/>
  <c r="Y537" i="2"/>
  <c r="Y280" i="2"/>
  <c r="Y42" i="2"/>
  <c r="Y402" i="2"/>
  <c r="Y1310" i="2"/>
  <c r="Y1022" i="2"/>
  <c r="Y1968" i="2"/>
  <c r="Y1808" i="2"/>
  <c r="Y87" i="2"/>
  <c r="Y346" i="2"/>
  <c r="Y789" i="2"/>
  <c r="Y34" i="2"/>
  <c r="Y1150" i="2"/>
  <c r="Y1300" i="2"/>
  <c r="Y245" i="2"/>
  <c r="Y1683" i="2"/>
  <c r="Y433" i="2"/>
  <c r="Y389" i="2"/>
  <c r="Y1744" i="2"/>
  <c r="Y467" i="2"/>
  <c r="Y333" i="2"/>
  <c r="Y373" i="2"/>
  <c r="Y307" i="2"/>
  <c r="Y707" i="2"/>
  <c r="Y1232" i="2"/>
  <c r="Y1319" i="2"/>
  <c r="Y1356" i="2"/>
  <c r="Y1963" i="2"/>
  <c r="Y49" i="2"/>
  <c r="Y1546" i="2"/>
  <c r="Y1873" i="2"/>
  <c r="Y352" i="2"/>
  <c r="Y565" i="2"/>
  <c r="Y1012" i="2"/>
  <c r="Y75" i="2"/>
  <c r="Y1283" i="2"/>
  <c r="Y1713" i="2"/>
  <c r="Y803" i="2"/>
  <c r="Y1040" i="2"/>
  <c r="Y1944" i="2"/>
  <c r="Y132" i="2"/>
  <c r="Y29" i="2"/>
  <c r="Y1299" i="2"/>
  <c r="Y698" i="2"/>
  <c r="Y309" i="2"/>
  <c r="Y1798" i="2"/>
  <c r="Y1499" i="2"/>
  <c r="Y210" i="2"/>
  <c r="Y254" i="2"/>
  <c r="Y38" i="2"/>
  <c r="Y403" i="2"/>
  <c r="Y1209" i="2"/>
  <c r="Y291" i="2"/>
  <c r="Y1587" i="2"/>
  <c r="Y36" i="2"/>
  <c r="Y1317" i="2"/>
  <c r="Y479" i="2"/>
  <c r="Y1284" i="2"/>
  <c r="Y103" i="2"/>
  <c r="Y950" i="2"/>
  <c r="Y1311" i="2"/>
  <c r="Y717" i="2"/>
  <c r="Y1008" i="2"/>
  <c r="Y1822" i="2"/>
  <c r="Y1712" i="2"/>
  <c r="Y1151" i="2"/>
  <c r="Y917" i="2"/>
  <c r="Y1072" i="2"/>
  <c r="Y372" i="2"/>
  <c r="Y1309" i="2"/>
  <c r="Y1443" i="2"/>
  <c r="Y1219" i="2"/>
  <c r="Y554" i="2"/>
  <c r="Y538" i="2"/>
  <c r="Y1959" i="2"/>
  <c r="Y1473" i="2"/>
  <c r="Y10" i="2"/>
  <c r="Y91" i="2"/>
  <c r="Y1586" i="2"/>
  <c r="Y741" i="2"/>
  <c r="Y1336" i="2"/>
  <c r="Y1789" i="2"/>
  <c r="Y116" i="2"/>
  <c r="Y82" i="2"/>
  <c r="Y879" i="2"/>
  <c r="Y1078" i="2"/>
  <c r="Y1725" i="2"/>
  <c r="Y235" i="2"/>
  <c r="Y1329" i="2"/>
  <c r="Y166" i="2"/>
  <c r="Y905" i="2"/>
  <c r="Y1093" i="2"/>
  <c r="Y1096" i="2"/>
  <c r="Y192" i="2"/>
  <c r="Y1643" i="2"/>
  <c r="Y720" i="2"/>
  <c r="Y813" i="2"/>
  <c r="Y1778" i="2"/>
  <c r="Y723" i="2"/>
  <c r="Y1210" i="2"/>
  <c r="Y286" i="2"/>
  <c r="Y1687" i="2"/>
  <c r="Y145" i="2"/>
  <c r="Y1172" i="2"/>
  <c r="Y387" i="2"/>
  <c r="Y1195" i="2"/>
  <c r="Y1131" i="2"/>
  <c r="Y990" i="2"/>
  <c r="Y677" i="2"/>
  <c r="Y795" i="2"/>
  <c r="Y1600" i="2"/>
  <c r="Y1931" i="2"/>
  <c r="Y225" i="2"/>
  <c r="Y904" i="2"/>
  <c r="Y1585" i="2"/>
  <c r="Y597" i="2"/>
  <c r="Y1457" i="2"/>
  <c r="Y1882" i="2"/>
  <c r="Y150" i="2"/>
  <c r="Y62" i="2"/>
  <c r="Y651" i="2"/>
  <c r="Y1975" i="2"/>
  <c r="Y1091" i="2"/>
  <c r="Y1521" i="2"/>
  <c r="Y758" i="2"/>
  <c r="Y1142" i="2"/>
  <c r="Y1870" i="2"/>
  <c r="Y386" i="2"/>
  <c r="Y1719" i="2"/>
  <c r="Y1126" i="2"/>
  <c r="Y53" i="2"/>
  <c r="Y608" i="2"/>
  <c r="Y780" i="2"/>
  <c r="Y1017" i="2"/>
  <c r="Y1714" i="2"/>
  <c r="Y1237" i="2"/>
  <c r="Y662" i="2"/>
  <c r="Y890" i="2"/>
  <c r="Y313" i="2"/>
  <c r="Y954" i="2"/>
  <c r="Y985" i="2"/>
  <c r="Y978" i="2"/>
  <c r="Y1276" i="2"/>
  <c r="Y701" i="2"/>
  <c r="Y664" i="2"/>
  <c r="Y279" i="2"/>
  <c r="Y219" i="2"/>
  <c r="Y1098" i="2"/>
  <c r="Y1160" i="2"/>
  <c r="Y653" i="2"/>
  <c r="Y1657" i="2"/>
  <c r="Y497" i="2"/>
  <c r="Y1197" i="2"/>
  <c r="Y1191" i="2"/>
  <c r="Y598" i="2"/>
  <c r="Y951" i="2"/>
  <c r="Y3" i="2"/>
  <c r="Y1249" i="2"/>
  <c r="Y1103" i="2"/>
  <c r="Y1464" i="2"/>
  <c r="Y1828" i="2"/>
  <c r="Y1386" i="2"/>
  <c r="Y1235" i="2"/>
  <c r="Y1314" i="2"/>
  <c r="Y1879" i="2"/>
  <c r="Y1129" i="2"/>
  <c r="Y385" i="2"/>
  <c r="Y348" i="2"/>
  <c r="Y667" i="2"/>
  <c r="Y1675" i="2"/>
  <c r="Y811" i="2"/>
  <c r="Y177" i="2"/>
  <c r="Y815" i="2"/>
  <c r="Y1320" i="2"/>
  <c r="Y918" i="2"/>
  <c r="Y400" i="2"/>
  <c r="Y1410" i="2"/>
  <c r="Y1434" i="2"/>
  <c r="Y1169" i="2"/>
  <c r="Y24" i="2"/>
  <c r="Y1954" i="2"/>
  <c r="Y1417" i="2"/>
  <c r="Y1703" i="2"/>
  <c r="Y1056" i="2"/>
  <c r="Y911" i="2"/>
  <c r="Y892" i="2"/>
  <c r="Y1982" i="2"/>
  <c r="Y872" i="2"/>
  <c r="Y378" i="2"/>
  <c r="Y327" i="2"/>
  <c r="Y1214" i="2"/>
  <c r="Y354" i="2"/>
  <c r="Y824" i="2"/>
  <c r="Y1895" i="2"/>
  <c r="Y943" i="2"/>
  <c r="Y332" i="2"/>
  <c r="Y1312" i="2"/>
  <c r="Y1604" i="2"/>
  <c r="Y1591" i="2"/>
  <c r="Y1802" i="2"/>
  <c r="Y814" i="2"/>
  <c r="Y1342" i="2"/>
  <c r="Y1494" i="2"/>
  <c r="Y181" i="2"/>
  <c r="Y52" i="2"/>
  <c r="Y734" i="2"/>
  <c r="Y1367" i="2"/>
  <c r="Y1363" i="2"/>
  <c r="Y1857" i="2"/>
  <c r="Y1079" i="2"/>
  <c r="Y1117" i="2"/>
  <c r="Y887" i="2"/>
  <c r="Y485" i="2"/>
  <c r="Y1900" i="2"/>
  <c r="Y839" i="2"/>
  <c r="Y445" i="2"/>
  <c r="Y1964" i="2"/>
  <c r="Y1661" i="2"/>
  <c r="Y1113" i="2"/>
  <c r="Y1089" i="2"/>
  <c r="Y1349" i="2"/>
  <c r="Y258" i="2"/>
  <c r="Y1840" i="2"/>
  <c r="Y1783" i="2"/>
  <c r="Y817" i="2"/>
  <c r="Y1016" i="2"/>
  <c r="Y1044" i="2"/>
  <c r="Y203" i="2"/>
  <c r="Y1777" i="2"/>
  <c r="Y1415" i="2"/>
  <c r="Y982" i="2"/>
  <c r="Y876" i="2"/>
  <c r="Y996" i="2"/>
  <c r="Y1665" i="2"/>
  <c r="Y832" i="2"/>
  <c r="Y214" i="2"/>
  <c r="Y1493" i="2"/>
  <c r="Y1553" i="2"/>
  <c r="Y60" i="2"/>
  <c r="Y1328" i="2"/>
  <c r="Y731" i="2"/>
  <c r="Y1770" i="2"/>
  <c r="Y1504" i="2"/>
  <c r="Y837" i="2"/>
  <c r="Y973" i="2"/>
  <c r="Y478" i="2"/>
  <c r="Y1243" i="2"/>
  <c r="Y866" i="2"/>
  <c r="Y1368" i="2"/>
  <c r="Y288" i="2"/>
  <c r="Y633" i="2"/>
  <c r="Y1531" i="2"/>
  <c r="Y257" i="2"/>
  <c r="Y1199" i="2"/>
  <c r="Y1144" i="2"/>
  <c r="Y195" i="2"/>
  <c r="Y287" i="2"/>
  <c r="Y596" i="2"/>
  <c r="Y1033" i="2"/>
  <c r="Y1269" i="2"/>
  <c r="Y919" i="2"/>
  <c r="Y1240" i="2"/>
  <c r="Y417" i="2"/>
  <c r="Y1906" i="2"/>
  <c r="Y1020" i="2"/>
  <c r="Y888" i="2"/>
  <c r="Y1257" i="2"/>
  <c r="Y1767" i="2"/>
  <c r="Y19" i="2"/>
  <c r="Y502" i="2"/>
  <c r="Y1520" i="2"/>
  <c r="Y1598" i="2"/>
  <c r="X503" i="2"/>
  <c r="X623" i="2"/>
  <c r="X1165" i="2"/>
  <c r="X1063" i="2"/>
  <c r="X248" i="2"/>
  <c r="X1029" i="2"/>
  <c r="X1832" i="2"/>
  <c r="X984" i="2"/>
  <c r="X189" i="2"/>
  <c r="X1265" i="2"/>
  <c r="X897" i="2"/>
  <c r="X1190" i="2"/>
  <c r="X515" i="2"/>
  <c r="X1785" i="2"/>
  <c r="X1075" i="2"/>
  <c r="X732" i="2"/>
  <c r="X1753" i="2"/>
  <c r="X1019" i="2"/>
  <c r="X1287" i="2"/>
  <c r="X1420" i="2"/>
  <c r="X622" i="2"/>
  <c r="X1297" i="2"/>
  <c r="X1449" i="2"/>
  <c r="X424" i="2"/>
  <c r="X728" i="2"/>
  <c r="X1662" i="2"/>
  <c r="X1924" i="2"/>
  <c r="X1560" i="2"/>
  <c r="X88" i="2"/>
  <c r="X944" i="2"/>
  <c r="X829" i="2"/>
  <c r="X1094" i="2"/>
  <c r="X657" i="2"/>
  <c r="X427" i="2"/>
  <c r="X771" i="2"/>
  <c r="X567" i="2"/>
  <c r="X1123" i="2"/>
  <c r="X775" i="2"/>
  <c r="X164" i="2"/>
  <c r="X696" i="2"/>
  <c r="X328" i="2"/>
  <c r="X1428" i="2"/>
  <c r="X825" i="2"/>
  <c r="X542" i="2"/>
  <c r="X1480" i="2"/>
  <c r="X363" i="2"/>
  <c r="X694" i="2"/>
  <c r="X1827" i="2"/>
  <c r="X349" i="2"/>
  <c r="X882" i="2"/>
  <c r="X1824" i="2"/>
  <c r="X1295" i="2"/>
  <c r="X1821" i="2"/>
  <c r="X484" i="2"/>
  <c r="X536" i="2"/>
  <c r="X1509" i="2"/>
  <c r="X713" i="2"/>
  <c r="X1921" i="2"/>
  <c r="X581" i="2"/>
  <c r="X6" i="2"/>
  <c r="X1759" i="2"/>
  <c r="X1905" i="2"/>
  <c r="X1322" i="2"/>
  <c r="X518" i="2"/>
  <c r="X32" i="2"/>
  <c r="X1034" i="2"/>
  <c r="X1205" i="2"/>
  <c r="X1247" i="2"/>
  <c r="X86" i="2"/>
  <c r="X1672" i="2"/>
  <c r="X1007" i="2"/>
  <c r="X1902" i="2"/>
  <c r="X160" i="2"/>
  <c r="X1438" i="2"/>
  <c r="X1125" i="2"/>
  <c r="X1621" i="2"/>
  <c r="X1166" i="2"/>
  <c r="X700" i="2"/>
  <c r="X634" i="2"/>
  <c r="X414" i="2"/>
  <c r="X860" i="2"/>
  <c r="X81" i="2"/>
  <c r="X1543" i="2"/>
  <c r="X1280" i="2"/>
  <c r="X1949" i="2"/>
  <c r="X1741" i="2"/>
  <c r="X846" i="2"/>
  <c r="X1353" i="2"/>
  <c r="X753" i="2"/>
  <c r="X1086" i="2"/>
  <c r="X321" i="2"/>
  <c r="X798" i="2"/>
  <c r="X572" i="2"/>
  <c r="X739" i="2"/>
  <c r="X929" i="2"/>
  <c r="X1689" i="2"/>
  <c r="X1955" i="2"/>
  <c r="X1182" i="2"/>
  <c r="X1765" i="2"/>
  <c r="X1277" i="2"/>
  <c r="X285" i="2"/>
  <c r="X1544" i="2"/>
  <c r="X113" i="2"/>
  <c r="X1321" i="2"/>
  <c r="X1004" i="2"/>
  <c r="X1607" i="2"/>
  <c r="X263" i="2"/>
  <c r="X1530" i="2"/>
  <c r="X1234" i="2"/>
  <c r="X971" i="2"/>
  <c r="X1038" i="2"/>
  <c r="X1862" i="2"/>
  <c r="X776" i="2"/>
  <c r="X432" i="2"/>
  <c r="X1651" i="2"/>
  <c r="X274" i="2"/>
  <c r="X1611" i="2"/>
  <c r="X84" i="2"/>
  <c r="X933" i="2"/>
  <c r="X1207" i="2"/>
  <c r="X1469" i="2"/>
  <c r="X469" i="2"/>
  <c r="X1698" i="2"/>
  <c r="X1666" i="2"/>
  <c r="X1815" i="2"/>
  <c r="X523" i="2"/>
  <c r="X454" i="2"/>
  <c r="X968" i="2"/>
  <c r="X953" i="2"/>
  <c r="X812" i="2"/>
  <c r="X1256" i="2"/>
  <c r="X1823" i="2"/>
  <c r="X1053" i="2"/>
  <c r="X699" i="2"/>
  <c r="X196" i="2"/>
  <c r="X1547" i="2"/>
  <c r="X920" i="2"/>
  <c r="X143" i="2"/>
  <c r="X1851" i="2"/>
  <c r="X1579" i="2"/>
  <c r="X767" i="2"/>
  <c r="X415" i="2"/>
  <c r="X566" i="2"/>
  <c r="X1409" i="2"/>
  <c r="X979" i="2"/>
  <c r="X204" i="2"/>
  <c r="X165" i="2"/>
  <c r="X1891" i="2"/>
  <c r="X583" i="2"/>
  <c r="X205" i="2"/>
  <c r="X1690" i="2"/>
  <c r="X1082" i="2"/>
  <c r="X1035" i="2"/>
  <c r="X1266" i="2"/>
  <c r="X1364" i="2"/>
  <c r="X5" i="2"/>
  <c r="X1932" i="2"/>
  <c r="X300" i="2"/>
  <c r="X635" i="2"/>
  <c r="X35" i="2"/>
  <c r="X337" i="2"/>
  <c r="X835" i="2"/>
  <c r="X786" i="2"/>
  <c r="X170" i="2"/>
  <c r="X647" i="2"/>
  <c r="X401" i="2"/>
  <c r="X682" i="2"/>
  <c r="X1706" i="2"/>
  <c r="X1481" i="2"/>
  <c r="X1168" i="2"/>
  <c r="X1037" i="2"/>
  <c r="X76" i="2"/>
  <c r="X1945" i="2"/>
  <c r="X395" i="2"/>
  <c r="X1797" i="2"/>
  <c r="X1170" i="2"/>
  <c r="X1722" i="2"/>
  <c r="X1898" i="2"/>
  <c r="X1400" i="2"/>
  <c r="X691" i="2"/>
  <c r="X792" i="2"/>
  <c r="X1834" i="2"/>
  <c r="X1279" i="2"/>
  <c r="X1139" i="2"/>
  <c r="X842" i="2"/>
  <c r="X671" i="2"/>
  <c r="X1227" i="2"/>
  <c r="X645" i="2"/>
  <c r="X17" i="2"/>
  <c r="X819" i="2"/>
  <c r="X310" i="2"/>
  <c r="X654" i="2"/>
  <c r="X1110" i="2"/>
  <c r="X939" i="2"/>
  <c r="X83" i="2"/>
  <c r="X505" i="2"/>
  <c r="X532" i="2"/>
  <c r="X78" i="2"/>
  <c r="X1997" i="2"/>
  <c r="X995" i="2"/>
  <c r="X1580" i="2"/>
  <c r="X955" i="2"/>
  <c r="X844" i="2"/>
  <c r="X1878" i="2"/>
  <c r="X1761" i="2"/>
  <c r="X1187" i="2"/>
  <c r="X281" i="2"/>
  <c r="X1748" i="2"/>
  <c r="X1204" i="2"/>
  <c r="X1691" i="2"/>
  <c r="X1723" i="2"/>
  <c r="X1041" i="2"/>
  <c r="X1006" i="2"/>
  <c r="X1108" i="2"/>
  <c r="X397" i="2"/>
  <c r="X109" i="2"/>
  <c r="X413" i="2"/>
  <c r="X510" i="2"/>
  <c r="X1952" i="2"/>
  <c r="X1442" i="2"/>
  <c r="X1523" i="2"/>
  <c r="X311" i="2"/>
  <c r="X1881" i="2"/>
  <c r="X909" i="2"/>
  <c r="X1346" i="2"/>
  <c r="X1638" i="2"/>
  <c r="X1875" i="2"/>
  <c r="X1861" i="2"/>
  <c r="X1541" i="2"/>
  <c r="X193" i="2"/>
  <c r="X1850" i="2"/>
  <c r="X871" i="2"/>
  <c r="X1917" i="2"/>
  <c r="X923" i="2"/>
  <c r="X1939" i="2"/>
  <c r="X37" i="2"/>
  <c r="X1578" i="2"/>
  <c r="X271" i="2"/>
  <c r="X130" i="2"/>
  <c r="X1518" i="2"/>
  <c r="X425" i="2"/>
  <c r="X675" i="2"/>
  <c r="X63" i="2"/>
  <c r="X712" i="2"/>
  <c r="X1801" i="2"/>
  <c r="X1937" i="2"/>
  <c r="X420" i="2"/>
  <c r="X806" i="2"/>
  <c r="X1754" i="2"/>
  <c r="X268" i="2"/>
  <c r="X1615" i="2"/>
  <c r="X810" i="2"/>
  <c r="X807" i="2"/>
  <c r="X1258" i="2"/>
  <c r="X69" i="2"/>
  <c r="X255" i="2"/>
  <c r="X733" i="2"/>
  <c r="X1764" i="2"/>
  <c r="X1002" i="2"/>
  <c r="X1114" i="2"/>
  <c r="X437" i="2"/>
  <c r="X1899" i="2"/>
  <c r="X1522" i="2"/>
  <c r="X1492" i="2"/>
  <c r="X833" i="2"/>
  <c r="X1401" i="2"/>
  <c r="X407" i="2"/>
  <c r="X312" i="2"/>
  <c r="X580" i="2"/>
  <c r="X1104" i="2"/>
  <c r="X1872" i="2"/>
  <c r="X1608" i="2"/>
  <c r="X369" i="2"/>
  <c r="X1813" i="2"/>
  <c r="X114" i="2"/>
  <c r="X736" i="2"/>
  <c r="X958" i="2"/>
  <c r="X246" i="2"/>
  <c r="X1052" i="2"/>
  <c r="X217" i="2"/>
  <c r="X650" i="2"/>
  <c r="X676" i="2"/>
  <c r="X335" i="2"/>
  <c r="X681" i="2"/>
  <c r="X1671" i="2"/>
  <c r="X796" i="2"/>
  <c r="X1941" i="2"/>
  <c r="X750" i="2"/>
  <c r="X121" i="2"/>
  <c r="X981" i="2"/>
  <c r="X326" i="2"/>
  <c r="X1155" i="2"/>
  <c r="X1799" i="2"/>
  <c r="X910" i="2"/>
  <c r="X1307" i="2"/>
  <c r="X146" i="2"/>
  <c r="X157" i="2"/>
  <c r="X578" i="2"/>
  <c r="X308" i="2"/>
  <c r="X1440" i="2"/>
  <c r="X1301" i="2"/>
  <c r="X516" i="2"/>
  <c r="X316" i="2"/>
  <c r="X760" i="2"/>
  <c r="X1350" i="2"/>
  <c r="X1389" i="2"/>
  <c r="X1562" i="2"/>
  <c r="X26" i="2"/>
  <c r="X560" i="2"/>
  <c r="X1730" i="2"/>
  <c r="X1629" i="2"/>
  <c r="X1418" i="2"/>
  <c r="X948" i="2"/>
  <c r="X1626" i="2"/>
  <c r="X77" i="2"/>
  <c r="X1193" i="2"/>
  <c r="X940" i="2"/>
  <c r="X152" i="2"/>
  <c r="X1965" i="2"/>
  <c r="X768" i="2"/>
  <c r="X1273" i="2"/>
  <c r="X1624" i="2"/>
  <c r="X1112" i="2"/>
  <c r="X1529" i="2"/>
  <c r="X818" i="2"/>
  <c r="X1740" i="2"/>
  <c r="X1614" i="2"/>
  <c r="X226" i="2"/>
  <c r="X745" i="2"/>
  <c r="X182" i="2"/>
  <c r="X463" i="2"/>
  <c r="X455" i="2"/>
  <c r="X398" i="2"/>
  <c r="X1826" i="2"/>
  <c r="X874" i="2"/>
  <c r="X264" i="2"/>
  <c r="X359" i="2"/>
  <c r="X1693" i="2"/>
  <c r="X628" i="2"/>
  <c r="X456" i="2"/>
  <c r="X656" i="2"/>
  <c r="X1814" i="2"/>
  <c r="X127" i="2"/>
  <c r="X295" i="2"/>
  <c r="X149" i="2"/>
  <c r="X1735" i="2"/>
  <c r="X1804" i="2"/>
  <c r="X1616" i="2"/>
  <c r="X212" i="2"/>
  <c r="X324" i="2"/>
  <c r="X376" i="2"/>
  <c r="X986" i="2"/>
  <c r="X1637" i="2"/>
  <c r="X1733" i="2"/>
  <c r="X90" i="2"/>
  <c r="X1331" i="2"/>
  <c r="X1435" i="2"/>
  <c r="X1461" i="2"/>
  <c r="X881" i="2"/>
  <c r="X1806" i="2"/>
  <c r="X744" i="2"/>
  <c r="X1436" i="2"/>
  <c r="X370" i="2"/>
  <c r="X1948" i="2"/>
  <c r="X1323" i="2"/>
  <c r="X155" i="2"/>
  <c r="X1953" i="2"/>
  <c r="X1848" i="2"/>
  <c r="X171" i="2"/>
  <c r="X1773" i="2"/>
  <c r="X693" i="2"/>
  <c r="X1915" i="2"/>
  <c r="X632" i="2"/>
  <c r="X243" i="2"/>
  <c r="X604" i="2"/>
  <c r="X1095" i="2"/>
  <c r="X1692" i="2"/>
  <c r="X1729" i="2"/>
  <c r="X1738" i="2"/>
  <c r="X1236" i="2"/>
  <c r="X1381" i="2"/>
  <c r="X25" i="2"/>
  <c r="X659" i="2"/>
  <c r="X687" i="2"/>
  <c r="X1455" i="2"/>
  <c r="X1294" i="2"/>
  <c r="X297" i="2"/>
  <c r="X364" i="2"/>
  <c r="X391" i="2"/>
  <c r="X1398" i="2"/>
  <c r="X1632" i="2"/>
  <c r="X486" i="2"/>
  <c r="X472" i="2"/>
  <c r="X548" i="2"/>
  <c r="X1978" i="2"/>
  <c r="X144" i="2"/>
  <c r="X932" i="2"/>
  <c r="X821" i="2"/>
  <c r="X482" i="2"/>
  <c r="X546" i="2"/>
  <c r="X1743" i="2"/>
  <c r="X1511" i="2"/>
  <c r="X476" i="2"/>
  <c r="X788" i="2"/>
  <c r="X108" i="2"/>
  <c r="X809" i="2"/>
  <c r="X555" i="2"/>
  <c r="X94" i="2"/>
  <c r="X974" i="2"/>
  <c r="X547" i="2"/>
  <c r="X290" i="2"/>
  <c r="X443" i="2"/>
  <c r="X151" i="2"/>
  <c r="X1090" i="2"/>
  <c r="X1571" i="2"/>
  <c r="X582" i="2"/>
  <c r="X1354" i="2"/>
  <c r="X1055" i="2"/>
  <c r="X12" i="2"/>
  <c r="X1427" i="2"/>
  <c r="X988" i="2"/>
  <c r="X1559" i="2"/>
  <c r="X867" i="2"/>
  <c r="X1732" i="2"/>
  <c r="X1339" i="2"/>
  <c r="X936" i="2"/>
  <c r="X2" i="2"/>
  <c r="X168" i="2"/>
  <c r="X374" i="2"/>
  <c r="X458" i="2"/>
  <c r="X1831" i="2"/>
  <c r="X1913" i="2"/>
  <c r="X900" i="2"/>
  <c r="X247" i="2"/>
  <c r="X1969" i="2"/>
  <c r="X686" i="2"/>
  <c r="X54" i="2"/>
  <c r="X231" i="2"/>
  <c r="X763" i="2"/>
  <c r="X409" i="2"/>
  <c r="X453" i="2"/>
  <c r="X1264" i="2"/>
  <c r="X1213" i="2"/>
  <c r="X1864" i="2"/>
  <c r="X390" i="2"/>
  <c r="X1058" i="2"/>
  <c r="X1425" i="2"/>
  <c r="X44" i="2"/>
  <c r="X1396" i="2"/>
  <c r="X1137" i="2"/>
  <c r="X135" i="2"/>
  <c r="X964" i="2"/>
  <c r="X45" i="2"/>
  <c r="X28" i="2"/>
  <c r="X1231" i="2"/>
  <c r="X223" i="2"/>
  <c r="X1843" i="2"/>
  <c r="X1925" i="2"/>
  <c r="X1674" i="2"/>
  <c r="X590" i="2"/>
  <c r="X1635" i="2"/>
  <c r="X330" i="2"/>
  <c r="X1370" i="2"/>
  <c r="X1216" i="2"/>
  <c r="X1306" i="2"/>
  <c r="X512" i="2"/>
  <c r="X924" i="2"/>
  <c r="X1628" i="2"/>
  <c r="X534" i="2"/>
  <c r="X1758" i="2"/>
  <c r="X1228" i="2"/>
  <c r="X1556" i="2"/>
  <c r="X1392" i="2"/>
  <c r="X487" i="2"/>
  <c r="X1715" i="2"/>
  <c r="X1956" i="2"/>
  <c r="X1995" i="2"/>
  <c r="X1936" i="2"/>
  <c r="X751" i="2"/>
  <c r="X864" i="2"/>
  <c r="X1820" i="2"/>
  <c r="X1452" i="2"/>
  <c r="X1818" i="2"/>
  <c r="X519" i="2"/>
  <c r="X579" i="2"/>
  <c r="X375" i="2"/>
  <c r="X1362" i="2"/>
  <c r="X147" i="2"/>
  <c r="X499" i="2"/>
  <c r="X1867" i="2"/>
  <c r="X808" i="2"/>
  <c r="X1157" i="2"/>
  <c r="X1184" i="2"/>
  <c r="X994" i="2"/>
  <c r="X509" i="2"/>
  <c r="X71" i="2"/>
  <c r="X1143" i="2"/>
  <c r="X685" i="2"/>
  <c r="X575" i="2"/>
  <c r="X410" i="2"/>
  <c r="X1907" i="2"/>
  <c r="X562" i="2"/>
  <c r="X21" i="2"/>
  <c r="X574" i="2"/>
  <c r="X1161" i="2"/>
  <c r="X903" i="2"/>
  <c r="X283" i="2"/>
  <c r="X1253" i="2"/>
  <c r="X65" i="2"/>
  <c r="X1325" i="2"/>
  <c r="X1980" i="2"/>
  <c r="X47" i="2"/>
  <c r="X1046" i="2"/>
  <c r="X416" i="2"/>
  <c r="X1800" i="2"/>
  <c r="X100" i="2"/>
  <c r="X1025" i="2"/>
  <c r="X216" i="2"/>
  <c r="X336" i="2"/>
  <c r="X1894" i="2"/>
  <c r="X434" i="2"/>
  <c r="X1332" i="2"/>
  <c r="X256" i="2"/>
  <c r="X639" i="2"/>
  <c r="X1313" i="2"/>
  <c r="X1431" i="2"/>
  <c r="X384" i="2"/>
  <c r="X827" i="2"/>
  <c r="X1679" i="2"/>
  <c r="X1950" i="2"/>
  <c r="X1647" i="2"/>
  <c r="X1066" i="2"/>
  <c r="X1947" i="2"/>
  <c r="X1340" i="2"/>
  <c r="X1267" i="2"/>
  <c r="X353" i="2"/>
  <c r="X840" i="2"/>
  <c r="X138" i="2"/>
  <c r="X1957" i="2"/>
  <c r="X1577" i="2"/>
  <c r="X1885" i="2"/>
  <c r="X1285" i="2"/>
  <c r="X605" i="2"/>
  <c r="X296" i="2"/>
  <c r="X1031" i="2"/>
  <c r="X1395" i="2"/>
  <c r="X1156" i="2"/>
  <c r="X772" i="2"/>
  <c r="X1081" i="2"/>
  <c r="X1293" i="2"/>
  <c r="X1027" i="2"/>
  <c r="X841" i="2"/>
  <c r="X934" i="2"/>
  <c r="X381" i="2"/>
  <c r="X1120" i="2"/>
  <c r="X1148" i="2"/>
  <c r="X265" i="2"/>
  <c r="X1545" i="2"/>
  <c r="X1302" i="2"/>
  <c r="X730" i="2"/>
  <c r="X1097" i="2"/>
  <c r="X208" i="2"/>
  <c r="X1460" i="2"/>
  <c r="X946" i="2"/>
  <c r="X684" i="2"/>
  <c r="X1958" i="2"/>
  <c r="X526" i="2"/>
  <c r="X183" i="2"/>
  <c r="X436" i="2"/>
  <c r="X1784" i="2"/>
  <c r="X1281" i="2"/>
  <c r="X1327" i="2"/>
  <c r="X154" i="2"/>
  <c r="X1001" i="2"/>
  <c r="X1582" i="2"/>
  <c r="X828" i="2"/>
  <c r="X238" i="2"/>
  <c r="X1613" i="2"/>
  <c r="X925" i="2"/>
  <c r="X556" i="2"/>
  <c r="X1558" i="2"/>
  <c r="X1092" i="2"/>
  <c r="X1550" i="2"/>
  <c r="X584" i="2"/>
  <c r="X801" i="2"/>
  <c r="X1083" i="2"/>
  <c r="X1154" i="2"/>
  <c r="X239" i="2"/>
  <c r="X755" i="2"/>
  <c r="X1196" i="2"/>
  <c r="X585" i="2"/>
  <c r="X1570" i="2"/>
  <c r="X1458" i="2"/>
  <c r="X435" i="2"/>
  <c r="X1018" i="2"/>
  <c r="X392" i="2"/>
  <c r="X393" i="2"/>
  <c r="X1180" i="2"/>
  <c r="X1749" i="2"/>
  <c r="X180" i="2"/>
  <c r="X1816" i="2"/>
  <c r="X1974" i="2"/>
  <c r="X1087" i="2"/>
  <c r="X1390" i="2"/>
  <c r="X275" i="2"/>
  <c r="X895" i="2"/>
  <c r="X394" i="2"/>
  <c r="X756" i="2"/>
  <c r="X1118" i="2"/>
  <c r="X1772" i="2"/>
  <c r="X902" i="2"/>
  <c r="X79" i="2"/>
  <c r="X1747" i="2"/>
  <c r="X779" i="2"/>
  <c r="X710" i="2"/>
  <c r="X831" i="2"/>
  <c r="X1298" i="2"/>
  <c r="X334" i="2"/>
  <c r="X1811" i="2"/>
  <c r="X139" i="2"/>
  <c r="X1569" i="2"/>
  <c r="X1206" i="2"/>
  <c r="X41" i="2"/>
  <c r="X480" i="2"/>
  <c r="X1050" i="2"/>
  <c r="X1592" i="2"/>
  <c r="X1173" i="2"/>
  <c r="X648" i="2"/>
  <c r="X1930" i="2"/>
  <c r="X318" i="2"/>
  <c r="X899" i="2"/>
  <c r="X965" i="2"/>
  <c r="X591" i="2"/>
  <c r="X977" i="2"/>
  <c r="X747" i="2"/>
  <c r="X1286" i="2"/>
  <c r="X1716" i="2"/>
  <c r="X1774" i="2"/>
  <c r="X1414" i="2"/>
  <c r="X1133" i="2"/>
  <c r="X1444" i="2"/>
  <c r="X122" i="2"/>
  <c r="X1602" i="2"/>
  <c r="X1374" i="2"/>
  <c r="X1708" i="2"/>
  <c r="X451" i="2"/>
  <c r="X672" i="2"/>
  <c r="X826" i="2"/>
  <c r="X9" i="2"/>
  <c r="X1841" i="2"/>
  <c r="X252" i="2"/>
  <c r="X1021" i="2"/>
  <c r="X1308" i="2"/>
  <c r="X33" i="2"/>
  <c r="X161" i="2"/>
  <c r="X1472" i="2"/>
  <c r="X1071" i="2"/>
  <c r="X305" i="2"/>
  <c r="X912" i="2"/>
  <c r="X1859" i="2"/>
  <c r="X1384" i="2"/>
  <c r="X834" i="2"/>
  <c r="X666" i="2"/>
  <c r="X104" i="2"/>
  <c r="X1241" i="2"/>
  <c r="X683" i="2"/>
  <c r="X16" i="2"/>
  <c r="X1667" i="2"/>
  <c r="X921" i="2"/>
  <c r="X446" i="2"/>
  <c r="X1865" i="2"/>
  <c r="X191" i="2"/>
  <c r="X253" i="2"/>
  <c r="X1239" i="2"/>
  <c r="X64" i="2"/>
  <c r="X1701" i="2"/>
  <c r="X539" i="2"/>
  <c r="X1393" i="2"/>
  <c r="X1728" i="2"/>
  <c r="X278" i="2"/>
  <c r="X1596" i="2"/>
  <c r="X663" i="2"/>
  <c r="X855" i="2"/>
  <c r="X1526" i="2"/>
  <c r="X137" i="2"/>
  <c r="X896" i="2"/>
  <c r="X186" i="2"/>
  <c r="X13" i="2"/>
  <c r="X302" i="2"/>
  <c r="X233" i="2"/>
  <c r="X674" i="2"/>
  <c r="X492" i="2"/>
  <c r="X847" i="2"/>
  <c r="X141" i="2"/>
  <c r="X1534" i="2"/>
  <c r="X31" i="2"/>
  <c r="X465" i="2"/>
  <c r="X441" i="2"/>
  <c r="X198" i="2"/>
  <c r="X740" i="2"/>
  <c r="X1468" i="2"/>
  <c r="X213" i="2"/>
  <c r="X785" i="2"/>
  <c r="X1271" i="2"/>
  <c r="X987" i="2"/>
  <c r="X898" i="2"/>
  <c r="X1619" i="2"/>
  <c r="X738" i="2"/>
  <c r="X338" i="2"/>
  <c r="X836" i="2"/>
  <c r="X1920" i="2"/>
  <c r="X1922" i="2"/>
  <c r="X473" i="2"/>
  <c r="X112" i="2"/>
  <c r="X621" i="2"/>
  <c r="X1627" i="2"/>
  <c r="X1212" i="2"/>
  <c r="X1979" i="2"/>
  <c r="X1757" i="2"/>
  <c r="X784" i="2"/>
  <c r="X1176" i="2"/>
  <c r="X1489" i="2"/>
  <c r="X1618" i="2"/>
  <c r="X595" i="2"/>
  <c r="X1788" i="2"/>
  <c r="X315" i="2"/>
  <c r="X1775" i="2"/>
  <c r="X1355" i="2"/>
  <c r="X440" i="2"/>
  <c r="X603" i="2"/>
  <c r="X668" i="2"/>
  <c r="X1167" i="2"/>
  <c r="X1636" i="2"/>
  <c r="X347" i="2"/>
  <c r="X1542" i="2"/>
  <c r="X1919" i="2"/>
  <c r="X1465" i="2"/>
  <c r="X1711" i="2"/>
  <c r="X1188" i="2"/>
  <c r="X1844" i="2"/>
  <c r="X830" i="2"/>
  <c r="X619" i="2"/>
  <c r="X55" i="2"/>
  <c r="X224" i="2"/>
  <c r="X1951" i="2"/>
  <c r="X1337" i="2"/>
  <c r="X913" i="2"/>
  <c r="X241" i="2"/>
  <c r="X1653" i="2"/>
  <c r="X259" i="2"/>
  <c r="X570" i="2"/>
  <c r="X1505" i="2"/>
  <c r="X1453" i="2"/>
  <c r="X102" i="2"/>
  <c r="X266" i="2"/>
  <c r="X368" i="2"/>
  <c r="X269" i="2"/>
  <c r="X1678" i="2"/>
  <c r="X587" i="2"/>
  <c r="X1981" i="2"/>
  <c r="X406" i="2"/>
  <c r="X557" i="2"/>
  <c r="X856" i="2"/>
  <c r="X126" i="2"/>
  <c r="X40" i="2"/>
  <c r="X1533" i="2"/>
  <c r="X1487" i="2"/>
  <c r="X922" i="2"/>
  <c r="X188" i="2"/>
  <c r="X722" i="2"/>
  <c r="X1441" i="2"/>
  <c r="X185" i="2"/>
  <c r="X1059" i="2"/>
  <c r="X886" i="2"/>
  <c r="X262" i="2"/>
  <c r="X1855" i="2"/>
  <c r="X70" i="2"/>
  <c r="X573" i="2"/>
  <c r="X1966" i="2"/>
  <c r="X1737" i="2"/>
  <c r="X759" i="2"/>
  <c r="X719" i="2"/>
  <c r="X960" i="2"/>
  <c r="X73" i="2"/>
  <c r="X1766" i="2"/>
  <c r="X1929" i="2"/>
  <c r="X110" i="2"/>
  <c r="X1812" i="2"/>
  <c r="X331" i="2"/>
  <c r="X1718" i="2"/>
  <c r="X1192" i="2"/>
  <c r="X1318" i="2"/>
  <c r="X1507" i="2"/>
  <c r="X1291" i="2"/>
  <c r="X1549" i="2"/>
  <c r="X949" i="2"/>
  <c r="X495" i="2"/>
  <c r="X158" i="2"/>
  <c r="X128" i="2"/>
  <c r="X778" i="2"/>
  <c r="X1270" i="2"/>
  <c r="X602" i="2"/>
  <c r="X1023" i="2"/>
  <c r="X1810" i="2"/>
  <c r="X242" i="2"/>
  <c r="X848" i="2"/>
  <c r="X351" i="2"/>
  <c r="X1060" i="2"/>
  <c r="X1642" i="2"/>
  <c r="X342" i="2"/>
  <c r="X1051" i="2"/>
  <c r="X530" i="2"/>
  <c r="X1064" i="2"/>
  <c r="X304" i="2"/>
  <c r="X1065" i="2"/>
  <c r="X367" i="2"/>
  <c r="X1641" i="2"/>
  <c r="X169" i="2"/>
  <c r="X1421" i="2"/>
  <c r="X489" i="2"/>
  <c r="X1189" i="2"/>
  <c r="X1805" i="2"/>
  <c r="X618" i="2"/>
  <c r="X1248" i="2"/>
  <c r="X319" i="2"/>
  <c r="X48" i="2"/>
  <c r="X1043" i="2"/>
  <c r="X39" i="2"/>
  <c r="X1010" i="2"/>
  <c r="X276" i="2"/>
  <c r="X1024" i="2"/>
  <c r="X541" i="2"/>
  <c r="X630" i="2"/>
  <c r="X1202" i="2"/>
  <c r="X863" i="2"/>
  <c r="X249" i="2"/>
  <c r="X851" i="2"/>
  <c r="X1411" i="2"/>
  <c r="X1781" i="2"/>
  <c r="X201" i="2"/>
  <c r="X1590" i="2"/>
  <c r="X1527" i="2"/>
  <c r="X1597" i="2"/>
  <c r="X1946" i="2"/>
  <c r="X1519" i="2"/>
  <c r="X1942" i="2"/>
  <c r="X1933" i="2"/>
  <c r="X1914" i="2"/>
  <c r="X816" i="2"/>
  <c r="X527" i="2"/>
  <c r="X1067" i="2"/>
  <c r="X507" i="2"/>
  <c r="X1255" i="2"/>
  <c r="X1124" i="2"/>
  <c r="X513" i="2"/>
  <c r="X1430" i="2"/>
  <c r="X845" i="2"/>
  <c r="X660" i="2"/>
  <c r="X1105" i="2"/>
  <c r="X1290" i="2"/>
  <c r="X1631" i="2"/>
  <c r="X716" i="2"/>
  <c r="X1868" i="2"/>
  <c r="X545" i="2"/>
  <c r="X1771" i="2"/>
  <c r="X1911" i="2"/>
  <c r="X1780" i="2"/>
  <c r="X1736" i="2"/>
  <c r="X1488" i="2"/>
  <c r="X606" i="2"/>
  <c r="X729" i="2"/>
  <c r="X708" i="2"/>
  <c r="X875" i="2"/>
  <c r="X1707" i="2"/>
  <c r="X1382" i="2"/>
  <c r="X861" i="2"/>
  <c r="X589" i="2"/>
  <c r="X92" i="2"/>
  <c r="X74" i="2"/>
  <c r="X521" i="2"/>
  <c r="X1399" i="2"/>
  <c r="X1961" i="2"/>
  <c r="X1888" i="2"/>
  <c r="X422" i="2"/>
  <c r="X1483" i="2"/>
  <c r="X314" i="2"/>
  <c r="X613" i="2"/>
  <c r="X430" i="2"/>
  <c r="X107" i="2"/>
  <c r="X1057" i="2"/>
  <c r="X773" i="2"/>
  <c r="X889" i="2"/>
  <c r="X1101" i="2"/>
  <c r="X184" i="2"/>
  <c r="X1985" i="2"/>
  <c r="X962" i="2"/>
  <c r="X1080" i="2"/>
  <c r="X1132" i="2"/>
  <c r="X1517" i="2"/>
  <c r="X474" i="2"/>
  <c r="X1721" i="2"/>
  <c r="X174" i="2"/>
  <c r="X1659" i="2"/>
  <c r="X850" i="2"/>
  <c r="X1162" i="2"/>
  <c r="X419" i="2"/>
  <c r="X1009" i="2"/>
  <c r="X251" i="2"/>
  <c r="X884" i="2"/>
  <c r="X418" i="2"/>
  <c r="X1303" i="2"/>
  <c r="X1682" i="2"/>
  <c r="X947" i="2"/>
  <c r="X703" i="2"/>
  <c r="X1109" i="2"/>
  <c r="X1656" i="2"/>
  <c r="X218" i="2"/>
  <c r="X1809" i="2"/>
  <c r="X1338" i="2"/>
  <c r="X1315" i="2"/>
  <c r="X1568" i="2"/>
  <c r="X914" i="2"/>
  <c r="X1305" i="2"/>
  <c r="X1357" i="2"/>
  <c r="X549" i="2"/>
  <c r="X1254" i="2"/>
  <c r="X568" i="2"/>
  <c r="X1242" i="2"/>
  <c r="X757" i="2"/>
  <c r="X1351" i="2"/>
  <c r="X366" i="2"/>
  <c r="X429" i="2"/>
  <c r="X1116" i="2"/>
  <c r="X975" i="2"/>
  <c r="X1077" i="2"/>
  <c r="X1617" i="2"/>
  <c r="X1605" i="2"/>
  <c r="X1252" i="2"/>
  <c r="X999" i="2"/>
  <c r="X1179" i="2"/>
  <c r="X1836" i="2"/>
  <c r="X140" i="2"/>
  <c r="X1685" i="2"/>
  <c r="X1910" i="2"/>
  <c r="X1141" i="2"/>
  <c r="X325" i="2"/>
  <c r="X1446" i="2"/>
  <c r="X1567" i="2"/>
  <c r="X641" i="2"/>
  <c r="X461" i="2"/>
  <c r="X631" i="2"/>
  <c r="X1655" i="2"/>
  <c r="X1535" i="2"/>
  <c r="X1599" i="2"/>
  <c r="X490" i="2"/>
  <c r="X1745" i="2"/>
  <c r="X1070" i="2"/>
  <c r="X260" i="2"/>
  <c r="X673" i="2"/>
  <c r="X535" i="2"/>
  <c r="X1791" i="2"/>
  <c r="X858" i="2"/>
  <c r="X1130" i="2"/>
  <c r="X748" i="2"/>
  <c r="X1174" i="2"/>
  <c r="X540" i="2"/>
  <c r="X1796" i="2"/>
  <c r="X1194" i="2"/>
  <c r="X344" i="2"/>
  <c r="X1282" i="2"/>
  <c r="X849" i="2"/>
  <c r="X1837" i="2"/>
  <c r="X56" i="2"/>
  <c r="X669" i="2"/>
  <c r="X412" i="2"/>
  <c r="X793" i="2"/>
  <c r="X1407" i="2"/>
  <c r="X1501" i="2"/>
  <c r="X1508" i="2"/>
  <c r="X118" i="2"/>
  <c r="X551" i="2"/>
  <c r="X1845" i="2"/>
  <c r="X22" i="2"/>
  <c r="X1422" i="2"/>
  <c r="X1135" i="2"/>
  <c r="X129" i="2"/>
  <c r="X1230" i="2"/>
  <c r="X1459" i="2"/>
  <c r="X1121" i="2"/>
  <c r="X1792" i="2"/>
  <c r="X1630" i="2"/>
  <c r="X464" i="2"/>
  <c r="X558" i="2"/>
  <c r="X1639" i="2"/>
  <c r="X1244" i="2"/>
  <c r="X594" i="2"/>
  <c r="X1889" i="2"/>
  <c r="X704" i="2"/>
  <c r="X961" i="2"/>
  <c r="X1896" i="2"/>
  <c r="X388" i="2"/>
  <c r="X1183" i="2"/>
  <c r="X1221" i="2"/>
  <c r="X1476" i="2"/>
  <c r="X1045" i="2"/>
  <c r="X1622" i="2"/>
  <c r="X1397" i="2"/>
  <c r="X1934" i="2"/>
  <c r="X1345" i="2"/>
  <c r="X339" i="2"/>
  <c r="X787" i="2"/>
  <c r="X120" i="2"/>
  <c r="X1877" i="2"/>
  <c r="X345" i="2"/>
  <c r="X234" i="2"/>
  <c r="X1376" i="2"/>
  <c r="X1835" i="2"/>
  <c r="X1790" i="2"/>
  <c r="X1540" i="2"/>
  <c r="X1061" i="2"/>
  <c r="X1106" i="2"/>
  <c r="X1404" i="2"/>
  <c r="X998" i="2"/>
  <c r="X1623" i="2"/>
  <c r="X571" i="2"/>
  <c r="X59" i="2"/>
  <c r="X8" i="2"/>
  <c r="X475" i="2"/>
  <c r="X1670" i="2"/>
  <c r="X1146" i="2"/>
  <c r="X46" i="2"/>
  <c r="X991" i="2"/>
  <c r="X1175" i="2"/>
  <c r="X1935" i="2"/>
  <c r="X1263" i="2"/>
  <c r="X1669" i="2"/>
  <c r="X797" i="2"/>
  <c r="X1462" i="2"/>
  <c r="X1288" i="2"/>
  <c r="X983" i="2"/>
  <c r="X1993" i="2"/>
  <c r="X1467" i="2"/>
  <c r="X1201" i="2"/>
  <c r="X1649" i="2"/>
  <c r="X1245" i="2"/>
  <c r="X232" i="2"/>
  <c r="X1557" i="2"/>
  <c r="X1049" i="2"/>
  <c r="X607" i="2"/>
  <c r="X382" i="2"/>
  <c r="X1454" i="2"/>
  <c r="X211" i="2"/>
  <c r="X358" i="2"/>
  <c r="X612" i="2"/>
  <c r="X200" i="2"/>
  <c r="X1676" i="2"/>
  <c r="X938" i="2"/>
  <c r="X1218" i="2"/>
  <c r="X228" i="2"/>
  <c r="X1871" i="2"/>
  <c r="X1927" i="2"/>
  <c r="X1645" i="2"/>
  <c r="X421" i="2"/>
  <c r="X1229" i="2"/>
  <c r="X1099" i="2"/>
  <c r="X362" i="2"/>
  <c r="X782" i="2"/>
  <c r="X1731" i="2"/>
  <c r="X610" i="2"/>
  <c r="X620" i="2"/>
  <c r="X1233" i="2"/>
  <c r="X1178" i="2"/>
  <c r="X593" i="2"/>
  <c r="X447" i="2"/>
  <c r="X341" i="2"/>
  <c r="X97" i="2"/>
  <c r="X588" i="2"/>
  <c r="X980" i="2"/>
  <c r="X1660" i="2"/>
  <c r="X1768" i="2"/>
  <c r="X1203" i="2"/>
  <c r="X1145" i="2"/>
  <c r="X426" i="2"/>
  <c r="X1259" i="2"/>
  <c r="X1375" i="2"/>
  <c r="X1341" i="2"/>
  <c r="X1901" i="2"/>
  <c r="X1710" i="2"/>
  <c r="X1405" i="2"/>
  <c r="X783" i="2"/>
  <c r="X1794" i="2"/>
  <c r="X277" i="2"/>
  <c r="X220" i="2"/>
  <c r="X1380" i="2"/>
  <c r="X1575" i="2"/>
  <c r="X1426" i="2"/>
  <c r="X1451" i="2"/>
  <c r="X1967" i="2"/>
  <c r="X1186" i="2"/>
  <c r="X1026" i="2"/>
  <c r="X1028" i="2"/>
  <c r="X240" i="2"/>
  <c r="X915" i="2"/>
  <c r="X901" i="2"/>
  <c r="X1923" i="2"/>
  <c r="X1538" i="2"/>
  <c r="X1383" i="2"/>
  <c r="X878" i="2"/>
  <c r="X930" i="2"/>
  <c r="X1470" i="2"/>
  <c r="X237" i="2"/>
  <c r="X799" i="2"/>
  <c r="X695" i="2"/>
  <c r="X1726" i="2"/>
  <c r="X1595" i="2"/>
  <c r="X969" i="2"/>
  <c r="X862" i="2"/>
  <c r="X1510" i="2"/>
  <c r="X1497" i="2"/>
  <c r="X1198" i="2"/>
  <c r="X1803" i="2"/>
  <c r="X1552" i="2"/>
  <c r="X1498" i="2"/>
  <c r="X1358" i="2"/>
  <c r="X1164" i="2"/>
  <c r="X762" i="2"/>
  <c r="X1085" i="2"/>
  <c r="X15" i="2"/>
  <c r="X941" i="2"/>
  <c r="X1986" i="2"/>
  <c r="X371" i="2"/>
  <c r="X215" i="2"/>
  <c r="X1863" i="2"/>
  <c r="X1860" i="2"/>
  <c r="X58" i="2"/>
  <c r="X1988" i="2"/>
  <c r="X1646" i="2"/>
  <c r="X552" i="2"/>
  <c r="X1652" i="2"/>
  <c r="X1908" i="2"/>
  <c r="X1352" i="2"/>
  <c r="X937" i="2"/>
  <c r="X1185" i="2"/>
  <c r="X1471" i="2"/>
  <c r="X105" i="2"/>
  <c r="X1551" i="2"/>
  <c r="X528" i="2"/>
  <c r="X1275" i="2"/>
  <c r="X267" i="2"/>
  <c r="X1696" i="2"/>
  <c r="X1565" i="2"/>
  <c r="X89" i="2"/>
  <c r="X1377" i="2"/>
  <c r="X379" i="2"/>
  <c r="X989" i="2"/>
  <c r="X1852" i="2"/>
  <c r="X997" i="2"/>
  <c r="X629" i="2"/>
  <c r="X1047" i="2"/>
  <c r="X956" i="2"/>
  <c r="X27" i="2"/>
  <c r="X1704" i="2"/>
  <c r="X504" i="2"/>
  <c r="X1996" i="2"/>
  <c r="X178" i="2"/>
  <c r="X1159" i="2"/>
  <c r="X1102" i="2"/>
  <c r="X1361" i="2"/>
  <c r="X20" i="2"/>
  <c r="X852" i="2"/>
  <c r="X457" i="2"/>
  <c r="X843" i="2"/>
  <c r="X250" i="2"/>
  <c r="X1073" i="2"/>
  <c r="X794" i="2"/>
  <c r="X159" i="2"/>
  <c r="X1763" i="2"/>
  <c r="X1866" i="2"/>
  <c r="X1474" i="2"/>
  <c r="X1448" i="2"/>
  <c r="X1983" i="2"/>
  <c r="X1589" i="2"/>
  <c r="X1938" i="2"/>
  <c r="X1680" i="2"/>
  <c r="X1634" i="2"/>
  <c r="X1424" i="2"/>
  <c r="X1999" i="2"/>
  <c r="X7" i="2"/>
  <c r="X306" i="2"/>
  <c r="X1437" i="2"/>
  <c r="X637" i="2"/>
  <c r="X1119" i="2"/>
  <c r="X1215" i="2"/>
  <c r="X125" i="2"/>
  <c r="X770" i="2"/>
  <c r="X577" i="2"/>
  <c r="X1972" i="2"/>
  <c r="X1537" i="2"/>
  <c r="X644" i="2"/>
  <c r="X101" i="2"/>
  <c r="X148" i="2"/>
  <c r="X1762" i="2"/>
  <c r="X916" i="2"/>
  <c r="X272" i="2"/>
  <c r="X1127" i="2"/>
  <c r="X500" i="2"/>
  <c r="X1496" i="2"/>
  <c r="X93" i="2"/>
  <c r="X199" i="2"/>
  <c r="X1036" i="2"/>
  <c r="X1111" i="2"/>
  <c r="X1475" i="2"/>
  <c r="X493" i="2"/>
  <c r="X301" i="2"/>
  <c r="X1700" i="2"/>
  <c r="X142" i="2"/>
  <c r="X1379" i="2"/>
  <c r="X714" i="2"/>
  <c r="X942" i="2"/>
  <c r="X289" i="2"/>
  <c r="X561" i="2"/>
  <c r="X423" i="2"/>
  <c r="X559" i="2"/>
  <c r="X99" i="2"/>
  <c r="X1373" i="2"/>
  <c r="X98" i="2"/>
  <c r="X1971" i="2"/>
  <c r="X928" i="2"/>
  <c r="X820" i="2"/>
  <c r="X1032" i="2"/>
  <c r="X649" i="2"/>
  <c r="X1838" i="2"/>
  <c r="X350" i="2"/>
  <c r="X115" i="2"/>
  <c r="X1278" i="2"/>
  <c r="X636" i="2"/>
  <c r="X438" i="2"/>
  <c r="X72" i="2"/>
  <c r="X1769" i="2"/>
  <c r="X1138" i="2"/>
  <c r="X1940" i="2"/>
  <c r="X1149" i="2"/>
  <c r="X1640" i="2"/>
  <c r="X1068" i="2"/>
  <c r="X774" i="2"/>
  <c r="X270" i="2"/>
  <c r="X14" i="2"/>
  <c r="X365" i="2"/>
  <c r="X23" i="2"/>
  <c r="X1512" i="2"/>
  <c r="X1456" i="2"/>
  <c r="X563" i="2"/>
  <c r="X1709" i="2"/>
  <c r="X117" i="2"/>
  <c r="X404" i="2"/>
  <c r="X766" i="2"/>
  <c r="X1491" i="2"/>
  <c r="X1787" i="2"/>
  <c r="X1220" i="2"/>
  <c r="X711" i="2"/>
  <c r="X600" i="2"/>
  <c r="X1755" i="2"/>
  <c r="X4" i="2"/>
  <c r="X1000" i="2"/>
  <c r="X1752" i="2"/>
  <c r="X1445" i="2"/>
  <c r="X1158" i="2"/>
  <c r="X282" i="2"/>
  <c r="X737" i="2"/>
  <c r="X57" i="2"/>
  <c r="X1856" i="2"/>
  <c r="X993" i="2"/>
  <c r="X893" i="2"/>
  <c r="X1524" i="2"/>
  <c r="X448" i="2"/>
  <c r="X908" i="2"/>
  <c r="X661" i="2"/>
  <c r="X156" i="2"/>
  <c r="X1739" i="2"/>
  <c r="X1943" i="2"/>
  <c r="X1371" i="2"/>
  <c r="X1128" i="2"/>
  <c r="X1217" i="2"/>
  <c r="X202" i="2"/>
  <c r="X322" i="2"/>
  <c r="X320" i="2"/>
  <c r="X1423" i="2"/>
  <c r="X1684" i="2"/>
  <c r="X1003" i="2"/>
  <c r="X111" i="2"/>
  <c r="X172" i="2"/>
  <c r="X1260" i="2"/>
  <c r="X1819" i="2"/>
  <c r="X877" i="2"/>
  <c r="X1536" i="2"/>
  <c r="X1998" i="2"/>
  <c r="X439" i="2"/>
  <c r="X927" i="2"/>
  <c r="X133" i="2"/>
  <c r="X697" i="2"/>
  <c r="X800" i="2"/>
  <c r="X261" i="2"/>
  <c r="X1782" i="2"/>
  <c r="X1880" i="2"/>
  <c r="X236" i="2"/>
  <c r="X1490" i="2"/>
  <c r="X303" i="2"/>
  <c r="X1727" i="2"/>
  <c r="X1776" i="2"/>
  <c r="X658" i="2"/>
  <c r="X1372" i="2"/>
  <c r="X1830" i="2"/>
  <c r="X1779" i="2"/>
  <c r="X1760" i="2"/>
  <c r="X992" i="2"/>
  <c r="X1200" i="2"/>
  <c r="X323" i="2"/>
  <c r="X1394" i="2"/>
  <c r="X175" i="2"/>
  <c r="X462" i="2"/>
  <c r="X764" i="2"/>
  <c r="X1261" i="2"/>
  <c r="X1513" i="2"/>
  <c r="X511" i="2"/>
  <c r="X614" i="2"/>
  <c r="X1326" i="2"/>
  <c r="X1069" i="2"/>
  <c r="X176" i="2"/>
  <c r="X399" i="2"/>
  <c r="X531" i="2"/>
  <c r="X1588" i="2"/>
  <c r="X586" i="2"/>
  <c r="X51" i="2"/>
  <c r="X1211" i="2"/>
  <c r="X1500" i="2"/>
  <c r="X680" i="2"/>
  <c r="X1576" i="2"/>
  <c r="X1807" i="2"/>
  <c r="X1250" i="2"/>
  <c r="X1525" i="2"/>
  <c r="X957" i="2"/>
  <c r="X777" i="2"/>
  <c r="X906" i="2"/>
  <c r="X761" i="2"/>
  <c r="X742" i="2"/>
  <c r="X967" i="2"/>
  <c r="X1572" i="2"/>
  <c r="X524" i="2"/>
  <c r="X506" i="2"/>
  <c r="X221" i="2"/>
  <c r="X488" i="2"/>
  <c r="X361" i="2"/>
  <c r="X1134" i="2"/>
  <c r="X298" i="2"/>
  <c r="X96" i="2"/>
  <c r="X752" i="2"/>
  <c r="X611" i="2"/>
  <c r="X822" i="2"/>
  <c r="X498" i="2"/>
  <c r="X1246" i="2"/>
  <c r="X1987" i="2"/>
  <c r="X299" i="2"/>
  <c r="X119" i="2"/>
  <c r="X1909" i="2"/>
  <c r="X1333" i="2"/>
  <c r="X599" i="2"/>
  <c r="X1348" i="2"/>
  <c r="X187" i="2"/>
  <c r="X1482" i="2"/>
  <c r="X1030" i="2"/>
  <c r="X1854" i="2"/>
  <c r="X1574" i="2"/>
  <c r="X1088" i="2"/>
  <c r="X1140" i="2"/>
  <c r="X1990" i="2"/>
  <c r="X471" i="2"/>
  <c r="X1609" i="2"/>
  <c r="X442" i="2"/>
  <c r="X356" i="2"/>
  <c r="X206" i="2"/>
  <c r="X1573" i="2"/>
  <c r="X468" i="2"/>
  <c r="X1883" i="2"/>
  <c r="X1697" i="2"/>
  <c r="X1503" i="2"/>
  <c r="X1992" i="2"/>
  <c r="X294" i="2"/>
  <c r="X1107" i="2"/>
  <c r="X1594" i="2"/>
  <c r="X1262" i="2"/>
  <c r="X68" i="2"/>
  <c r="X689" i="2"/>
  <c r="X638" i="2"/>
  <c r="X1433" i="2"/>
  <c r="X1013" i="2"/>
  <c r="X894" i="2"/>
  <c r="X153" i="2"/>
  <c r="X690" i="2"/>
  <c r="X1226" i="2"/>
  <c r="X1268" i="2"/>
  <c r="X483" i="2"/>
  <c r="X43" i="2"/>
  <c r="X1668" i="2"/>
  <c r="X1495" i="2"/>
  <c r="X1606" i="2"/>
  <c r="X173" i="2"/>
  <c r="X481" i="2"/>
  <c r="X1171" i="2"/>
  <c r="X1447" i="2"/>
  <c r="X123" i="2"/>
  <c r="X1274" i="2"/>
  <c r="X1208" i="2"/>
  <c r="X30" i="2"/>
  <c r="X1677" i="2"/>
  <c r="X805" i="2"/>
  <c r="X1463" i="2"/>
  <c r="X1681" i="2"/>
  <c r="X1048" i="2"/>
  <c r="X244" i="2"/>
  <c r="X1853" i="2"/>
  <c r="X1450" i="2"/>
  <c r="X1695" i="2"/>
  <c r="X1583" i="2"/>
  <c r="X870" i="2"/>
  <c r="X357" i="2"/>
  <c r="X209" i="2"/>
  <c r="X529" i="2"/>
  <c r="X873" i="2"/>
  <c r="X1528" i="2"/>
  <c r="X868" i="2"/>
  <c r="X769" i="2"/>
  <c r="X976" i="2"/>
  <c r="X652" i="2"/>
  <c r="X1516" i="2"/>
  <c r="X179" i="2"/>
  <c r="X197" i="2"/>
  <c r="X791" i="2"/>
  <c r="X514" i="2"/>
  <c r="X907" i="2"/>
  <c r="X508" i="2"/>
  <c r="X411" i="2"/>
  <c r="X935" i="2"/>
  <c r="X853" i="2"/>
  <c r="X222" i="2"/>
  <c r="X1115" i="2"/>
  <c r="X383" i="2"/>
  <c r="X972" i="2"/>
  <c r="X1916" i="2"/>
  <c r="X857" i="2"/>
  <c r="X1633" i="2"/>
  <c r="X1432" i="2"/>
  <c r="X931" i="2"/>
  <c r="X1412" i="2"/>
  <c r="X452" i="2"/>
  <c r="X1548" i="2"/>
  <c r="X642" i="2"/>
  <c r="X1976" i="2"/>
  <c r="X1515" i="2"/>
  <c r="X625" i="2"/>
  <c r="X1365" i="2"/>
  <c r="X1912" i="2"/>
  <c r="X162" i="2"/>
  <c r="X1561" i="2"/>
  <c r="X665" i="2"/>
  <c r="X477" i="2"/>
  <c r="X1833" i="2"/>
  <c r="X167" i="2"/>
  <c r="X1970" i="2"/>
  <c r="X1238" i="2"/>
  <c r="X85" i="2"/>
  <c r="X885" i="2"/>
  <c r="X1296" i="2"/>
  <c r="X1756" i="2"/>
  <c r="X1858" i="2"/>
  <c r="X702" i="2"/>
  <c r="X601" i="2"/>
  <c r="X715" i="2"/>
  <c r="X718" i="2"/>
  <c r="X1388" i="2"/>
  <c r="X1466" i="2"/>
  <c r="X1136" i="2"/>
  <c r="X396" i="2"/>
  <c r="X1084" i="2"/>
  <c r="X459" i="2"/>
  <c r="X1724" i="2"/>
  <c r="X1751" i="2"/>
  <c r="X1074" i="2"/>
  <c r="X1688" i="2"/>
  <c r="X1419" i="2"/>
  <c r="X229" i="2"/>
  <c r="X706" i="2"/>
  <c r="X1369" i="2"/>
  <c r="X377" i="2"/>
  <c r="X1903" i="2"/>
  <c r="X1385" i="2"/>
  <c r="X1673" i="2"/>
  <c r="X1876" i="2"/>
  <c r="X1849" i="2"/>
  <c r="X543" i="2"/>
  <c r="X1664" i="2"/>
  <c r="X1734" i="2"/>
  <c r="X735" i="2"/>
  <c r="X1717" i="2"/>
  <c r="X343" i="2"/>
  <c r="X564" i="2"/>
  <c r="X61" i="2"/>
  <c r="X1181" i="2"/>
  <c r="X724" i="2"/>
  <c r="X1644" i="2"/>
  <c r="X1750" i="2"/>
  <c r="X293" i="2"/>
  <c r="X230" i="2"/>
  <c r="X207" i="2"/>
  <c r="X1486" i="2"/>
  <c r="X1479" i="2"/>
  <c r="X163" i="2"/>
  <c r="X1874" i="2"/>
  <c r="X679" i="2"/>
  <c r="X1272" i="2"/>
  <c r="X1829" i="2"/>
  <c r="X1539" i="2"/>
  <c r="X460" i="2"/>
  <c r="X1403" i="2"/>
  <c r="X1378" i="2"/>
  <c r="X1408" i="2"/>
  <c r="X1402" i="2"/>
  <c r="X544" i="2"/>
  <c r="X1223" i="2"/>
  <c r="X952" i="2"/>
  <c r="X134" i="2"/>
  <c r="X466" i="2"/>
  <c r="X1566" i="2"/>
  <c r="X431" i="2"/>
  <c r="X640" i="2"/>
  <c r="X194" i="2"/>
  <c r="X1584" i="2"/>
  <c r="X380" i="2"/>
  <c r="X1991" i="2"/>
  <c r="X1795" i="2"/>
  <c r="X705" i="2"/>
  <c r="X616" i="2"/>
  <c r="X1846" i="2"/>
  <c r="X1304" i="2"/>
  <c r="X1601" i="2"/>
  <c r="X1413" i="2"/>
  <c r="X273" i="2"/>
  <c r="X1387" i="2"/>
  <c r="X80" i="2"/>
  <c r="X727" i="2"/>
  <c r="X227" i="2"/>
  <c r="X721" i="2"/>
  <c r="X1147" i="2"/>
  <c r="X688" i="2"/>
  <c r="X284" i="2"/>
  <c r="X865" i="2"/>
  <c r="X131" i="2"/>
  <c r="X1153" i="2"/>
  <c r="X496" i="2"/>
  <c r="X1742" i="2"/>
  <c r="X1406" i="2"/>
  <c r="X1289" i="2"/>
  <c r="X1977" i="2"/>
  <c r="X709" i="2"/>
  <c r="X1746" i="2"/>
  <c r="X1839" i="2"/>
  <c r="X646" i="2"/>
  <c r="X1869" i="2"/>
  <c r="X292" i="2"/>
  <c r="X1005" i="2"/>
  <c r="X1514" i="2"/>
  <c r="X1786" i="2"/>
  <c r="X959" i="2"/>
  <c r="X1429" i="2"/>
  <c r="X95" i="2"/>
  <c r="X1163" i="2"/>
  <c r="X1817" i="2"/>
  <c r="X1555" i="2"/>
  <c r="X1842" i="2"/>
  <c r="X1554" i="2"/>
  <c r="X1962" i="2"/>
  <c r="X1705" i="2"/>
  <c r="X405" i="2"/>
  <c r="X106" i="2"/>
  <c r="X18" i="2"/>
  <c r="X1502" i="2"/>
  <c r="X340" i="2"/>
  <c r="X1926" i="2"/>
  <c r="X823" i="2"/>
  <c r="X553" i="2"/>
  <c r="X1893" i="2"/>
  <c r="X360" i="2"/>
  <c r="X1222" i="2"/>
  <c r="X67" i="2"/>
  <c r="X1478" i="2"/>
  <c r="X1847" i="2"/>
  <c r="X124" i="2"/>
  <c r="X655" i="2"/>
  <c r="X627" i="2"/>
  <c r="X1620" i="2"/>
  <c r="X1484" i="2"/>
  <c r="X1564" i="2"/>
  <c r="X50" i="2"/>
  <c r="X66" i="2"/>
  <c r="X1918" i="2"/>
  <c r="X692" i="2"/>
  <c r="X1416" i="2"/>
  <c r="X1224" i="2"/>
  <c r="X883" i="2"/>
  <c r="X1973" i="2"/>
  <c r="X617" i="2"/>
  <c r="X517" i="2"/>
  <c r="X1330" i="2"/>
  <c r="X1347" i="2"/>
  <c r="X449" i="2"/>
  <c r="X2000" i="2"/>
  <c r="X1251" i="2"/>
  <c r="X1648" i="2"/>
  <c r="X1581" i="2"/>
  <c r="X838" i="2"/>
  <c r="X1334" i="2"/>
  <c r="X1884" i="2"/>
  <c r="X1960" i="2"/>
  <c r="X501" i="2"/>
  <c r="X1886" i="2"/>
  <c r="X1928" i="2"/>
  <c r="X1042" i="2"/>
  <c r="X11" i="2"/>
  <c r="X966" i="2"/>
  <c r="X1076" i="2"/>
  <c r="X749" i="2"/>
  <c r="X970" i="2"/>
  <c r="X945" i="2"/>
  <c r="X1663" i="2"/>
  <c r="X1699" i="2"/>
  <c r="X1890" i="2"/>
  <c r="X317" i="2"/>
  <c r="X494" i="2"/>
  <c r="X643" i="2"/>
  <c r="X1062" i="2"/>
  <c r="X615" i="2"/>
  <c r="X804" i="2"/>
  <c r="X891" i="2"/>
  <c r="X444" i="2"/>
  <c r="X1014" i="2"/>
  <c r="X854" i="2"/>
  <c r="X329" i="2"/>
  <c r="X1292" i="2"/>
  <c r="X1702" i="2"/>
  <c r="X1122" i="2"/>
  <c r="X1343" i="2"/>
  <c r="X725" i="2"/>
  <c r="X1793" i="2"/>
  <c r="X470" i="2"/>
  <c r="X1152" i="2"/>
  <c r="X609" i="2"/>
  <c r="X1612" i="2"/>
  <c r="X1694" i="2"/>
  <c r="X1039" i="2"/>
  <c r="X550" i="2"/>
  <c r="X1532" i="2"/>
  <c r="X1366" i="2"/>
  <c r="X408" i="2"/>
  <c r="X1054" i="2"/>
  <c r="X726" i="2"/>
  <c r="X859" i="2"/>
  <c r="X1686" i="2"/>
  <c r="X1359" i="2"/>
  <c r="X1100" i="2"/>
  <c r="X1984" i="2"/>
  <c r="X880" i="2"/>
  <c r="X1344" i="2"/>
  <c r="X1720" i="2"/>
  <c r="X576" i="2"/>
  <c r="X136" i="2"/>
  <c r="X1485" i="2"/>
  <c r="X678" i="2"/>
  <c r="X522" i="2"/>
  <c r="X450" i="2"/>
  <c r="X765" i="2"/>
  <c r="X520" i="2"/>
  <c r="X624" i="2"/>
  <c r="X1324" i="2"/>
  <c r="X743" i="2"/>
  <c r="X428" i="2"/>
  <c r="X1011" i="2"/>
  <c r="X1989" i="2"/>
  <c r="X781" i="2"/>
  <c r="X1477" i="2"/>
  <c r="X1825" i="2"/>
  <c r="X525" i="2"/>
  <c r="X1904" i="2"/>
  <c r="X1593" i="2"/>
  <c r="X1391" i="2"/>
  <c r="X1994" i="2"/>
  <c r="X754" i="2"/>
  <c r="X1225" i="2"/>
  <c r="X1360" i="2"/>
  <c r="X802" i="2"/>
  <c r="X626" i="2"/>
  <c r="X569" i="2"/>
  <c r="X1563" i="2"/>
  <c r="X1316" i="2"/>
  <c r="X1654" i="2"/>
  <c r="X190" i="2"/>
  <c r="X2001" i="2"/>
  <c r="X1603" i="2"/>
  <c r="X1015" i="2"/>
  <c r="X670" i="2"/>
  <c r="X1658" i="2"/>
  <c r="X1892" i="2"/>
  <c r="X592" i="2"/>
  <c r="X1506" i="2"/>
  <c r="X1625" i="2"/>
  <c r="X963" i="2"/>
  <c r="X491" i="2"/>
  <c r="X746" i="2"/>
  <c r="X926" i="2"/>
  <c r="X1177" i="2"/>
  <c r="X1650" i="2"/>
  <c r="X1439" i="2"/>
  <c r="X533" i="2"/>
  <c r="X1897" i="2"/>
  <c r="X869" i="2"/>
  <c r="X1887" i="2"/>
  <c r="X1335" i="2"/>
  <c r="X790" i="2"/>
  <c r="X355" i="2"/>
  <c r="X1610" i="2"/>
  <c r="X537" i="2"/>
  <c r="X280" i="2"/>
  <c r="X42" i="2"/>
  <c r="X402" i="2"/>
  <c r="X1310" i="2"/>
  <c r="X1022" i="2"/>
  <c r="X1968" i="2"/>
  <c r="X1808" i="2"/>
  <c r="X87" i="2"/>
  <c r="X346" i="2"/>
  <c r="X789" i="2"/>
  <c r="X34" i="2"/>
  <c r="X1150" i="2"/>
  <c r="X1300" i="2"/>
  <c r="X245" i="2"/>
  <c r="X1683" i="2"/>
  <c r="X433" i="2"/>
  <c r="X389" i="2"/>
  <c r="X1744" i="2"/>
  <c r="X467" i="2"/>
  <c r="X333" i="2"/>
  <c r="X373" i="2"/>
  <c r="X307" i="2"/>
  <c r="X707" i="2"/>
  <c r="X1232" i="2"/>
  <c r="X1319" i="2"/>
  <c r="X1356" i="2"/>
  <c r="X1963" i="2"/>
  <c r="X49" i="2"/>
  <c r="X1546" i="2"/>
  <c r="X1873" i="2"/>
  <c r="X352" i="2"/>
  <c r="X565" i="2"/>
  <c r="X1012" i="2"/>
  <c r="X75" i="2"/>
  <c r="X1283" i="2"/>
  <c r="X1713" i="2"/>
  <c r="X803" i="2"/>
  <c r="X1040" i="2"/>
  <c r="X1944" i="2"/>
  <c r="X132" i="2"/>
  <c r="X29" i="2"/>
  <c r="X1299" i="2"/>
  <c r="X698" i="2"/>
  <c r="X309" i="2"/>
  <c r="X1798" i="2"/>
  <c r="X1499" i="2"/>
  <c r="X210" i="2"/>
  <c r="X254" i="2"/>
  <c r="X38" i="2"/>
  <c r="X403" i="2"/>
  <c r="X1209" i="2"/>
  <c r="X291" i="2"/>
  <c r="X1587" i="2"/>
  <c r="X36" i="2"/>
  <c r="X1317" i="2"/>
  <c r="X479" i="2"/>
  <c r="X1284" i="2"/>
  <c r="X103" i="2"/>
  <c r="X950" i="2"/>
  <c r="X1311" i="2"/>
  <c r="X717" i="2"/>
  <c r="X1008" i="2"/>
  <c r="X1822" i="2"/>
  <c r="X1712" i="2"/>
  <c r="X1151" i="2"/>
  <c r="X917" i="2"/>
  <c r="X1072" i="2"/>
  <c r="X372" i="2"/>
  <c r="X1309" i="2"/>
  <c r="X1443" i="2"/>
  <c r="X1219" i="2"/>
  <c r="X554" i="2"/>
  <c r="X538" i="2"/>
  <c r="X1959" i="2"/>
  <c r="X1473" i="2"/>
  <c r="X10" i="2"/>
  <c r="X91" i="2"/>
  <c r="X1586" i="2"/>
  <c r="X741" i="2"/>
  <c r="X1336" i="2"/>
  <c r="X1789" i="2"/>
  <c r="X116" i="2"/>
  <c r="X82" i="2"/>
  <c r="X879" i="2"/>
  <c r="X1078" i="2"/>
  <c r="X1725" i="2"/>
  <c r="X235" i="2"/>
  <c r="X1329" i="2"/>
  <c r="X166" i="2"/>
  <c r="X905" i="2"/>
  <c r="X1093" i="2"/>
  <c r="X1096" i="2"/>
  <c r="X192" i="2"/>
  <c r="X1643" i="2"/>
  <c r="X720" i="2"/>
  <c r="X813" i="2"/>
  <c r="X1778" i="2"/>
  <c r="X723" i="2"/>
  <c r="X1210" i="2"/>
  <c r="X286" i="2"/>
  <c r="X1687" i="2"/>
  <c r="X145" i="2"/>
  <c r="X1172" i="2"/>
  <c r="X387" i="2"/>
  <c r="X1195" i="2"/>
  <c r="X1131" i="2"/>
  <c r="X990" i="2"/>
  <c r="X677" i="2"/>
  <c r="X795" i="2"/>
  <c r="X1600" i="2"/>
  <c r="X1931" i="2"/>
  <c r="X225" i="2"/>
  <c r="X904" i="2"/>
  <c r="X1585" i="2"/>
  <c r="X597" i="2"/>
  <c r="X1457" i="2"/>
  <c r="X1882" i="2"/>
  <c r="X150" i="2"/>
  <c r="X62" i="2"/>
  <c r="X651" i="2"/>
  <c r="X1975" i="2"/>
  <c r="X1091" i="2"/>
  <c r="X1521" i="2"/>
  <c r="X758" i="2"/>
  <c r="X1142" i="2"/>
  <c r="X1870" i="2"/>
  <c r="X386" i="2"/>
  <c r="X1719" i="2"/>
  <c r="X1126" i="2"/>
  <c r="X53" i="2"/>
  <c r="X608" i="2"/>
  <c r="X780" i="2"/>
  <c r="X1017" i="2"/>
  <c r="X1714" i="2"/>
  <c r="X1237" i="2"/>
  <c r="X662" i="2"/>
  <c r="X890" i="2"/>
  <c r="X313" i="2"/>
  <c r="X954" i="2"/>
  <c r="X985" i="2"/>
  <c r="X978" i="2"/>
  <c r="X1276" i="2"/>
  <c r="X701" i="2"/>
  <c r="X664" i="2"/>
  <c r="X279" i="2"/>
  <c r="X219" i="2"/>
  <c r="X1098" i="2"/>
  <c r="X1160" i="2"/>
  <c r="X653" i="2"/>
  <c r="X1657" i="2"/>
  <c r="X497" i="2"/>
  <c r="X1197" i="2"/>
  <c r="X1191" i="2"/>
  <c r="X598" i="2"/>
  <c r="X951" i="2"/>
  <c r="X3" i="2"/>
  <c r="X1249" i="2"/>
  <c r="X1103" i="2"/>
  <c r="X1464" i="2"/>
  <c r="X1828" i="2"/>
  <c r="X1386" i="2"/>
  <c r="X1235" i="2"/>
  <c r="X1314" i="2"/>
  <c r="X1879" i="2"/>
  <c r="X1129" i="2"/>
  <c r="X385" i="2"/>
  <c r="X348" i="2"/>
  <c r="X667" i="2"/>
  <c r="X1675" i="2"/>
  <c r="X811" i="2"/>
  <c r="X177" i="2"/>
  <c r="X815" i="2"/>
  <c r="X1320" i="2"/>
  <c r="X918" i="2"/>
  <c r="X400" i="2"/>
  <c r="X1410" i="2"/>
  <c r="X1434" i="2"/>
  <c r="X1169" i="2"/>
  <c r="X24" i="2"/>
  <c r="X1954" i="2"/>
  <c r="X1417" i="2"/>
  <c r="X1703" i="2"/>
  <c r="X1056" i="2"/>
  <c r="X911" i="2"/>
  <c r="X892" i="2"/>
  <c r="X1982" i="2"/>
  <c r="X872" i="2"/>
  <c r="X378" i="2"/>
  <c r="X327" i="2"/>
  <c r="X1214" i="2"/>
  <c r="X354" i="2"/>
  <c r="X824" i="2"/>
  <c r="X1895" i="2"/>
  <c r="X943" i="2"/>
  <c r="X332" i="2"/>
  <c r="X1312" i="2"/>
  <c r="X1604" i="2"/>
  <c r="X1591" i="2"/>
  <c r="X1802" i="2"/>
  <c r="X814" i="2"/>
  <c r="X1342" i="2"/>
  <c r="X1494" i="2"/>
  <c r="X181" i="2"/>
  <c r="X52" i="2"/>
  <c r="X734" i="2"/>
  <c r="X1367" i="2"/>
  <c r="X1363" i="2"/>
  <c r="X1857" i="2"/>
  <c r="X1079" i="2"/>
  <c r="X1117" i="2"/>
  <c r="X887" i="2"/>
  <c r="X485" i="2"/>
  <c r="X1900" i="2"/>
  <c r="X839" i="2"/>
  <c r="X445" i="2"/>
  <c r="X1964" i="2"/>
  <c r="X1661" i="2"/>
  <c r="X1113" i="2"/>
  <c r="X1089" i="2"/>
  <c r="X1349" i="2"/>
  <c r="X258" i="2"/>
  <c r="X1840" i="2"/>
  <c r="X1783" i="2"/>
  <c r="X817" i="2"/>
  <c r="X1016" i="2"/>
  <c r="X1044" i="2"/>
  <c r="X203" i="2"/>
  <c r="X1777" i="2"/>
  <c r="X1415" i="2"/>
  <c r="X982" i="2"/>
  <c r="X876" i="2"/>
  <c r="X996" i="2"/>
  <c r="X1665" i="2"/>
  <c r="X832" i="2"/>
  <c r="X214" i="2"/>
  <c r="X1493" i="2"/>
  <c r="X1553" i="2"/>
  <c r="X60" i="2"/>
  <c r="X1328" i="2"/>
  <c r="X731" i="2"/>
  <c r="X1770" i="2"/>
  <c r="X1504" i="2"/>
  <c r="X837" i="2"/>
  <c r="X973" i="2"/>
  <c r="X478" i="2"/>
  <c r="X1243" i="2"/>
  <c r="X866" i="2"/>
  <c r="X1368" i="2"/>
  <c r="X288" i="2"/>
  <c r="X633" i="2"/>
  <c r="X1531" i="2"/>
  <c r="X257" i="2"/>
  <c r="X1199" i="2"/>
  <c r="X1144" i="2"/>
  <c r="X195" i="2"/>
  <c r="X287" i="2"/>
  <c r="X596" i="2"/>
  <c r="X1033" i="2"/>
  <c r="X1269" i="2"/>
  <c r="X919" i="2"/>
  <c r="X1240" i="2"/>
  <c r="X417" i="2"/>
  <c r="X1906" i="2"/>
  <c r="X1020" i="2"/>
  <c r="X888" i="2"/>
  <c r="X1257" i="2"/>
  <c r="X1767" i="2"/>
  <c r="X19" i="2"/>
  <c r="X502" i="2"/>
  <c r="X1520" i="2"/>
  <c r="X1598" i="2"/>
  <c r="W503" i="2"/>
  <c r="W623" i="2"/>
  <c r="W1165" i="2"/>
  <c r="W1063" i="2"/>
  <c r="W248" i="2"/>
  <c r="W1029" i="2"/>
  <c r="W1832" i="2"/>
  <c r="W984" i="2"/>
  <c r="W189" i="2"/>
  <c r="W1265" i="2"/>
  <c r="W897" i="2"/>
  <c r="W1190" i="2"/>
  <c r="W515" i="2"/>
  <c r="W1785" i="2"/>
  <c r="W1075" i="2"/>
  <c r="W732" i="2"/>
  <c r="W1753" i="2"/>
  <c r="W1019" i="2"/>
  <c r="W1287" i="2"/>
  <c r="W1420" i="2"/>
  <c r="W622" i="2"/>
  <c r="W1297" i="2"/>
  <c r="W1449" i="2"/>
  <c r="W424" i="2"/>
  <c r="W728" i="2"/>
  <c r="W1662" i="2"/>
  <c r="W1924" i="2"/>
  <c r="W1560" i="2"/>
  <c r="W88" i="2"/>
  <c r="W944" i="2"/>
  <c r="W829" i="2"/>
  <c r="W1094" i="2"/>
  <c r="W657" i="2"/>
  <c r="W427" i="2"/>
  <c r="W771" i="2"/>
  <c r="W567" i="2"/>
  <c r="W1123" i="2"/>
  <c r="W775" i="2"/>
  <c r="W164" i="2"/>
  <c r="W696" i="2"/>
  <c r="W328" i="2"/>
  <c r="W1428" i="2"/>
  <c r="W825" i="2"/>
  <c r="W542" i="2"/>
  <c r="W1480" i="2"/>
  <c r="W363" i="2"/>
  <c r="W694" i="2"/>
  <c r="W1827" i="2"/>
  <c r="W349" i="2"/>
  <c r="W882" i="2"/>
  <c r="W1824" i="2"/>
  <c r="W1295" i="2"/>
  <c r="W1821" i="2"/>
  <c r="W484" i="2"/>
  <c r="W536" i="2"/>
  <c r="W1509" i="2"/>
  <c r="W713" i="2"/>
  <c r="W1921" i="2"/>
  <c r="W581" i="2"/>
  <c r="W6" i="2"/>
  <c r="W1759" i="2"/>
  <c r="W1905" i="2"/>
  <c r="W1322" i="2"/>
  <c r="W518" i="2"/>
  <c r="W32" i="2"/>
  <c r="W1034" i="2"/>
  <c r="W1205" i="2"/>
  <c r="W1247" i="2"/>
  <c r="W86" i="2"/>
  <c r="W1672" i="2"/>
  <c r="W1007" i="2"/>
  <c r="W1902" i="2"/>
  <c r="W160" i="2"/>
  <c r="W1438" i="2"/>
  <c r="W1125" i="2"/>
  <c r="W1621" i="2"/>
  <c r="W1166" i="2"/>
  <c r="W700" i="2"/>
  <c r="W634" i="2"/>
  <c r="W414" i="2"/>
  <c r="W860" i="2"/>
  <c r="W81" i="2"/>
  <c r="W1543" i="2"/>
  <c r="W1280" i="2"/>
  <c r="W1949" i="2"/>
  <c r="W1741" i="2"/>
  <c r="W846" i="2"/>
  <c r="W1353" i="2"/>
  <c r="W753" i="2"/>
  <c r="W1086" i="2"/>
  <c r="W321" i="2"/>
  <c r="W798" i="2"/>
  <c r="W572" i="2"/>
  <c r="W739" i="2"/>
  <c r="W929" i="2"/>
  <c r="W1689" i="2"/>
  <c r="W1955" i="2"/>
  <c r="W1182" i="2"/>
  <c r="W1765" i="2"/>
  <c r="W1277" i="2"/>
  <c r="W285" i="2"/>
  <c r="W1544" i="2"/>
  <c r="W113" i="2"/>
  <c r="W1321" i="2"/>
  <c r="W1004" i="2"/>
  <c r="W1607" i="2"/>
  <c r="W263" i="2"/>
  <c r="W1530" i="2"/>
  <c r="W1234" i="2"/>
  <c r="W971" i="2"/>
  <c r="W1038" i="2"/>
  <c r="W1862" i="2"/>
  <c r="W776" i="2"/>
  <c r="W432" i="2"/>
  <c r="W1651" i="2"/>
  <c r="W274" i="2"/>
  <c r="W1611" i="2"/>
  <c r="W84" i="2"/>
  <c r="W933" i="2"/>
  <c r="W1207" i="2"/>
  <c r="W1469" i="2"/>
  <c r="W469" i="2"/>
  <c r="W1698" i="2"/>
  <c r="W1666" i="2"/>
  <c r="W1815" i="2"/>
  <c r="W523" i="2"/>
  <c r="W454" i="2"/>
  <c r="W968" i="2"/>
  <c r="W953" i="2"/>
  <c r="W812" i="2"/>
  <c r="W1256" i="2"/>
  <c r="W1823" i="2"/>
  <c r="W1053" i="2"/>
  <c r="W699" i="2"/>
  <c r="W196" i="2"/>
  <c r="W1547" i="2"/>
  <c r="W920" i="2"/>
  <c r="W143" i="2"/>
  <c r="W1851" i="2"/>
  <c r="W1579" i="2"/>
  <c r="W767" i="2"/>
  <c r="W415" i="2"/>
  <c r="W566" i="2"/>
  <c r="W1409" i="2"/>
  <c r="W979" i="2"/>
  <c r="W204" i="2"/>
  <c r="W165" i="2"/>
  <c r="W1891" i="2"/>
  <c r="W583" i="2"/>
  <c r="W205" i="2"/>
  <c r="W1690" i="2"/>
  <c r="W1082" i="2"/>
  <c r="W1035" i="2"/>
  <c r="W1266" i="2"/>
  <c r="W1364" i="2"/>
  <c r="W5" i="2"/>
  <c r="W1932" i="2"/>
  <c r="W300" i="2"/>
  <c r="W635" i="2"/>
  <c r="W35" i="2"/>
  <c r="W337" i="2"/>
  <c r="W835" i="2"/>
  <c r="W786" i="2"/>
  <c r="W170" i="2"/>
  <c r="W647" i="2"/>
  <c r="W401" i="2"/>
  <c r="W682" i="2"/>
  <c r="W1706" i="2"/>
  <c r="W1481" i="2"/>
  <c r="W1168" i="2"/>
  <c r="W1037" i="2"/>
  <c r="W76" i="2"/>
  <c r="W1945" i="2"/>
  <c r="W395" i="2"/>
  <c r="W1797" i="2"/>
  <c r="W1170" i="2"/>
  <c r="W1722" i="2"/>
  <c r="W1898" i="2"/>
  <c r="W1400" i="2"/>
  <c r="W691" i="2"/>
  <c r="W792" i="2"/>
  <c r="W1834" i="2"/>
  <c r="W1279" i="2"/>
  <c r="W1139" i="2"/>
  <c r="W842" i="2"/>
  <c r="W671" i="2"/>
  <c r="W1227" i="2"/>
  <c r="W645" i="2"/>
  <c r="W17" i="2"/>
  <c r="W819" i="2"/>
  <c r="W310" i="2"/>
  <c r="W654" i="2"/>
  <c r="W1110" i="2"/>
  <c r="W939" i="2"/>
  <c r="W83" i="2"/>
  <c r="W505" i="2"/>
  <c r="W532" i="2"/>
  <c r="W78" i="2"/>
  <c r="W1997" i="2"/>
  <c r="W995" i="2"/>
  <c r="W1580" i="2"/>
  <c r="W955" i="2"/>
  <c r="W844" i="2"/>
  <c r="W1878" i="2"/>
  <c r="W1761" i="2"/>
  <c r="W1187" i="2"/>
  <c r="W281" i="2"/>
  <c r="W1748" i="2"/>
  <c r="W1204" i="2"/>
  <c r="W1691" i="2"/>
  <c r="W1723" i="2"/>
  <c r="W1041" i="2"/>
  <c r="W1006" i="2"/>
  <c r="W1108" i="2"/>
  <c r="W397" i="2"/>
  <c r="W109" i="2"/>
  <c r="W413" i="2"/>
  <c r="W510" i="2"/>
  <c r="W1952" i="2"/>
  <c r="W1442" i="2"/>
  <c r="W1523" i="2"/>
  <c r="W311" i="2"/>
  <c r="W1881" i="2"/>
  <c r="W909" i="2"/>
  <c r="W1346" i="2"/>
  <c r="W1638" i="2"/>
  <c r="W1875" i="2"/>
  <c r="W1861" i="2"/>
  <c r="W1541" i="2"/>
  <c r="W193" i="2"/>
  <c r="W1850" i="2"/>
  <c r="W871" i="2"/>
  <c r="W1917" i="2"/>
  <c r="W923" i="2"/>
  <c r="W1939" i="2"/>
  <c r="W37" i="2"/>
  <c r="W1578" i="2"/>
  <c r="W271" i="2"/>
  <c r="W130" i="2"/>
  <c r="W1518" i="2"/>
  <c r="W425" i="2"/>
  <c r="W675" i="2"/>
  <c r="W63" i="2"/>
  <c r="W712" i="2"/>
  <c r="W1801" i="2"/>
  <c r="W1937" i="2"/>
  <c r="W420" i="2"/>
  <c r="W806" i="2"/>
  <c r="W1754" i="2"/>
  <c r="W268" i="2"/>
  <c r="W1615" i="2"/>
  <c r="W810" i="2"/>
  <c r="W807" i="2"/>
  <c r="W1258" i="2"/>
  <c r="W69" i="2"/>
  <c r="W255" i="2"/>
  <c r="W733" i="2"/>
  <c r="W1764" i="2"/>
  <c r="W1002" i="2"/>
  <c r="W1114" i="2"/>
  <c r="W437" i="2"/>
  <c r="W1899" i="2"/>
  <c r="W1522" i="2"/>
  <c r="W1492" i="2"/>
  <c r="W833" i="2"/>
  <c r="W1401" i="2"/>
  <c r="W407" i="2"/>
  <c r="W312" i="2"/>
  <c r="W580" i="2"/>
  <c r="W1104" i="2"/>
  <c r="W1872" i="2"/>
  <c r="W1608" i="2"/>
  <c r="W369" i="2"/>
  <c r="W1813" i="2"/>
  <c r="W114" i="2"/>
  <c r="W736" i="2"/>
  <c r="W958" i="2"/>
  <c r="W246" i="2"/>
  <c r="W1052" i="2"/>
  <c r="W217" i="2"/>
  <c r="W650" i="2"/>
  <c r="W676" i="2"/>
  <c r="W335" i="2"/>
  <c r="W681" i="2"/>
  <c r="W1671" i="2"/>
  <c r="W796" i="2"/>
  <c r="W1941" i="2"/>
  <c r="W750" i="2"/>
  <c r="W121" i="2"/>
  <c r="W981" i="2"/>
  <c r="W326" i="2"/>
  <c r="W1155" i="2"/>
  <c r="W1799" i="2"/>
  <c r="W910" i="2"/>
  <c r="W1307" i="2"/>
  <c r="W146" i="2"/>
  <c r="W157" i="2"/>
  <c r="W578" i="2"/>
  <c r="W308" i="2"/>
  <c r="W1440" i="2"/>
  <c r="W1301" i="2"/>
  <c r="W516" i="2"/>
  <c r="W316" i="2"/>
  <c r="W760" i="2"/>
  <c r="W1350" i="2"/>
  <c r="W1389" i="2"/>
  <c r="W1562" i="2"/>
  <c r="W26" i="2"/>
  <c r="W560" i="2"/>
  <c r="W1730" i="2"/>
  <c r="W1629" i="2"/>
  <c r="W1418" i="2"/>
  <c r="W948" i="2"/>
  <c r="W1626" i="2"/>
  <c r="W77" i="2"/>
  <c r="W1193" i="2"/>
  <c r="W940" i="2"/>
  <c r="W152" i="2"/>
  <c r="W1965" i="2"/>
  <c r="W768" i="2"/>
  <c r="W1273" i="2"/>
  <c r="W1624" i="2"/>
  <c r="W1112" i="2"/>
  <c r="W1529" i="2"/>
  <c r="W818" i="2"/>
  <c r="W1740" i="2"/>
  <c r="W1614" i="2"/>
  <c r="W226" i="2"/>
  <c r="W745" i="2"/>
  <c r="W182" i="2"/>
  <c r="W463" i="2"/>
  <c r="W455" i="2"/>
  <c r="W398" i="2"/>
  <c r="W1826" i="2"/>
  <c r="W874" i="2"/>
  <c r="W264" i="2"/>
  <c r="W359" i="2"/>
  <c r="W1693" i="2"/>
  <c r="W628" i="2"/>
  <c r="W456" i="2"/>
  <c r="W656" i="2"/>
  <c r="W1814" i="2"/>
  <c r="W127" i="2"/>
  <c r="W295" i="2"/>
  <c r="W149" i="2"/>
  <c r="W1735" i="2"/>
  <c r="W1804" i="2"/>
  <c r="W1616" i="2"/>
  <c r="W212" i="2"/>
  <c r="W324" i="2"/>
  <c r="W376" i="2"/>
  <c r="W986" i="2"/>
  <c r="W1637" i="2"/>
  <c r="W1733" i="2"/>
  <c r="W90" i="2"/>
  <c r="W1331" i="2"/>
  <c r="W1435" i="2"/>
  <c r="W1461" i="2"/>
  <c r="W881" i="2"/>
  <c r="W1806" i="2"/>
  <c r="W744" i="2"/>
  <c r="W1436" i="2"/>
  <c r="W370" i="2"/>
  <c r="W1948" i="2"/>
  <c r="W1323" i="2"/>
  <c r="W155" i="2"/>
  <c r="W1953" i="2"/>
  <c r="W1848" i="2"/>
  <c r="W171" i="2"/>
  <c r="W1773" i="2"/>
  <c r="W693" i="2"/>
  <c r="W1915" i="2"/>
  <c r="W632" i="2"/>
  <c r="W243" i="2"/>
  <c r="W604" i="2"/>
  <c r="W1095" i="2"/>
  <c r="W1692" i="2"/>
  <c r="W1729" i="2"/>
  <c r="W1738" i="2"/>
  <c r="W1236" i="2"/>
  <c r="W1381" i="2"/>
  <c r="W25" i="2"/>
  <c r="W659" i="2"/>
  <c r="W687" i="2"/>
  <c r="W1455" i="2"/>
  <c r="W1294" i="2"/>
  <c r="W297" i="2"/>
  <c r="W364" i="2"/>
  <c r="W391" i="2"/>
  <c r="W1398" i="2"/>
  <c r="W1632" i="2"/>
  <c r="W486" i="2"/>
  <c r="W472" i="2"/>
  <c r="W548" i="2"/>
  <c r="W1978" i="2"/>
  <c r="W144" i="2"/>
  <c r="W932" i="2"/>
  <c r="W821" i="2"/>
  <c r="W482" i="2"/>
  <c r="W546" i="2"/>
  <c r="W1743" i="2"/>
  <c r="W1511" i="2"/>
  <c r="W476" i="2"/>
  <c r="W788" i="2"/>
  <c r="W108" i="2"/>
  <c r="W809" i="2"/>
  <c r="W555" i="2"/>
  <c r="W94" i="2"/>
  <c r="W974" i="2"/>
  <c r="W547" i="2"/>
  <c r="W290" i="2"/>
  <c r="W443" i="2"/>
  <c r="W151" i="2"/>
  <c r="W1090" i="2"/>
  <c r="W1571" i="2"/>
  <c r="W582" i="2"/>
  <c r="W1354" i="2"/>
  <c r="W1055" i="2"/>
  <c r="W12" i="2"/>
  <c r="W1427" i="2"/>
  <c r="W988" i="2"/>
  <c r="W1559" i="2"/>
  <c r="W867" i="2"/>
  <c r="W1732" i="2"/>
  <c r="W1339" i="2"/>
  <c r="W936" i="2"/>
  <c r="W2" i="2"/>
  <c r="W168" i="2"/>
  <c r="W374" i="2"/>
  <c r="W458" i="2"/>
  <c r="W1831" i="2"/>
  <c r="W1913" i="2"/>
  <c r="W900" i="2"/>
  <c r="W247" i="2"/>
  <c r="W1969" i="2"/>
  <c r="W686" i="2"/>
  <c r="W54" i="2"/>
  <c r="W231" i="2"/>
  <c r="W763" i="2"/>
  <c r="W409" i="2"/>
  <c r="W453" i="2"/>
  <c r="W1264" i="2"/>
  <c r="W1213" i="2"/>
  <c r="W1864" i="2"/>
  <c r="W390" i="2"/>
  <c r="W1058" i="2"/>
  <c r="W1425" i="2"/>
  <c r="W44" i="2"/>
  <c r="W1396" i="2"/>
  <c r="W1137" i="2"/>
  <c r="W135" i="2"/>
  <c r="W964" i="2"/>
  <c r="W45" i="2"/>
  <c r="W28" i="2"/>
  <c r="W1231" i="2"/>
  <c r="W223" i="2"/>
  <c r="W1843" i="2"/>
  <c r="W1925" i="2"/>
  <c r="W1674" i="2"/>
  <c r="W590" i="2"/>
  <c r="W1635" i="2"/>
  <c r="W330" i="2"/>
  <c r="W1370" i="2"/>
  <c r="W1216" i="2"/>
  <c r="W1306" i="2"/>
  <c r="W512" i="2"/>
  <c r="W924" i="2"/>
  <c r="W1628" i="2"/>
  <c r="W534" i="2"/>
  <c r="W1758" i="2"/>
  <c r="W1228" i="2"/>
  <c r="W1556" i="2"/>
  <c r="W1392" i="2"/>
  <c r="W487" i="2"/>
  <c r="W1715" i="2"/>
  <c r="W1956" i="2"/>
  <c r="W1995" i="2"/>
  <c r="W1936" i="2"/>
  <c r="W751" i="2"/>
  <c r="W864" i="2"/>
  <c r="W1820" i="2"/>
  <c r="W1452" i="2"/>
  <c r="W1818" i="2"/>
  <c r="W519" i="2"/>
  <c r="W579" i="2"/>
  <c r="W375" i="2"/>
  <c r="W1362" i="2"/>
  <c r="W147" i="2"/>
  <c r="W499" i="2"/>
  <c r="W1867" i="2"/>
  <c r="W808" i="2"/>
  <c r="W1157" i="2"/>
  <c r="W1184" i="2"/>
  <c r="W994" i="2"/>
  <c r="W509" i="2"/>
  <c r="W71" i="2"/>
  <c r="W1143" i="2"/>
  <c r="W685" i="2"/>
  <c r="W575" i="2"/>
  <c r="W410" i="2"/>
  <c r="W1907" i="2"/>
  <c r="W562" i="2"/>
  <c r="W21" i="2"/>
  <c r="W574" i="2"/>
  <c r="W1161" i="2"/>
  <c r="W903" i="2"/>
  <c r="W283" i="2"/>
  <c r="W1253" i="2"/>
  <c r="W65" i="2"/>
  <c r="W1325" i="2"/>
  <c r="W1980" i="2"/>
  <c r="W47" i="2"/>
  <c r="W1046" i="2"/>
  <c r="W416" i="2"/>
  <c r="W1800" i="2"/>
  <c r="W100" i="2"/>
  <c r="W1025" i="2"/>
  <c r="W216" i="2"/>
  <c r="W336" i="2"/>
  <c r="W1894" i="2"/>
  <c r="W434" i="2"/>
  <c r="W1332" i="2"/>
  <c r="W256" i="2"/>
  <c r="W639" i="2"/>
  <c r="W1313" i="2"/>
  <c r="W1431" i="2"/>
  <c r="W384" i="2"/>
  <c r="W827" i="2"/>
  <c r="W1679" i="2"/>
  <c r="W1950" i="2"/>
  <c r="W1647" i="2"/>
  <c r="W1066" i="2"/>
  <c r="W1947" i="2"/>
  <c r="W1340" i="2"/>
  <c r="W1267" i="2"/>
  <c r="W353" i="2"/>
  <c r="W840" i="2"/>
  <c r="W138" i="2"/>
  <c r="W1957" i="2"/>
  <c r="W1577" i="2"/>
  <c r="W1885" i="2"/>
  <c r="W1285" i="2"/>
  <c r="W605" i="2"/>
  <c r="W296" i="2"/>
  <c r="W1031" i="2"/>
  <c r="W1395" i="2"/>
  <c r="W1156" i="2"/>
  <c r="W772" i="2"/>
  <c r="W1081" i="2"/>
  <c r="W1293" i="2"/>
  <c r="W1027" i="2"/>
  <c r="W841" i="2"/>
  <c r="W934" i="2"/>
  <c r="W381" i="2"/>
  <c r="W1120" i="2"/>
  <c r="W1148" i="2"/>
  <c r="W265" i="2"/>
  <c r="W1545" i="2"/>
  <c r="W1302" i="2"/>
  <c r="W730" i="2"/>
  <c r="W1097" i="2"/>
  <c r="W208" i="2"/>
  <c r="W1460" i="2"/>
  <c r="W946" i="2"/>
  <c r="W684" i="2"/>
  <c r="W1958" i="2"/>
  <c r="W526" i="2"/>
  <c r="W183" i="2"/>
  <c r="W436" i="2"/>
  <c r="W1784" i="2"/>
  <c r="W1281" i="2"/>
  <c r="W1327" i="2"/>
  <c r="W154" i="2"/>
  <c r="W1001" i="2"/>
  <c r="W1582" i="2"/>
  <c r="W828" i="2"/>
  <c r="W238" i="2"/>
  <c r="W1613" i="2"/>
  <c r="W925" i="2"/>
  <c r="W556" i="2"/>
  <c r="W1558" i="2"/>
  <c r="W1092" i="2"/>
  <c r="W1550" i="2"/>
  <c r="W584" i="2"/>
  <c r="W801" i="2"/>
  <c r="W1083" i="2"/>
  <c r="W1154" i="2"/>
  <c r="W239" i="2"/>
  <c r="W755" i="2"/>
  <c r="W1196" i="2"/>
  <c r="W585" i="2"/>
  <c r="W1570" i="2"/>
  <c r="W1458" i="2"/>
  <c r="W435" i="2"/>
  <c r="W1018" i="2"/>
  <c r="W392" i="2"/>
  <c r="W393" i="2"/>
  <c r="W1180" i="2"/>
  <c r="W1749" i="2"/>
  <c r="W180" i="2"/>
  <c r="W1816" i="2"/>
  <c r="W1974" i="2"/>
  <c r="W1087" i="2"/>
  <c r="W1390" i="2"/>
  <c r="W275" i="2"/>
  <c r="W895" i="2"/>
  <c r="W394" i="2"/>
  <c r="W756" i="2"/>
  <c r="W1118" i="2"/>
  <c r="W1772" i="2"/>
  <c r="W902" i="2"/>
  <c r="W79" i="2"/>
  <c r="W1747" i="2"/>
  <c r="W779" i="2"/>
  <c r="W710" i="2"/>
  <c r="W831" i="2"/>
  <c r="W1298" i="2"/>
  <c r="W334" i="2"/>
  <c r="W1811" i="2"/>
  <c r="W139" i="2"/>
  <c r="W1569" i="2"/>
  <c r="W1206" i="2"/>
  <c r="W41" i="2"/>
  <c r="W480" i="2"/>
  <c r="W1050" i="2"/>
  <c r="W1592" i="2"/>
  <c r="W1173" i="2"/>
  <c r="W648" i="2"/>
  <c r="W1930" i="2"/>
  <c r="W318" i="2"/>
  <c r="W899" i="2"/>
  <c r="W965" i="2"/>
  <c r="W591" i="2"/>
  <c r="W977" i="2"/>
  <c r="W747" i="2"/>
  <c r="W1286" i="2"/>
  <c r="W1716" i="2"/>
  <c r="W1774" i="2"/>
  <c r="W1414" i="2"/>
  <c r="W1133" i="2"/>
  <c r="W1444" i="2"/>
  <c r="W122" i="2"/>
  <c r="W1602" i="2"/>
  <c r="W1374" i="2"/>
  <c r="W1708" i="2"/>
  <c r="W451" i="2"/>
  <c r="W672" i="2"/>
  <c r="W826" i="2"/>
  <c r="W9" i="2"/>
  <c r="W1841" i="2"/>
  <c r="W252" i="2"/>
  <c r="W1021" i="2"/>
  <c r="W1308" i="2"/>
  <c r="W33" i="2"/>
  <c r="W161" i="2"/>
  <c r="W1472" i="2"/>
  <c r="W1071" i="2"/>
  <c r="W305" i="2"/>
  <c r="W912" i="2"/>
  <c r="W1859" i="2"/>
  <c r="W1384" i="2"/>
  <c r="W834" i="2"/>
  <c r="W666" i="2"/>
  <c r="W104" i="2"/>
  <c r="W1241" i="2"/>
  <c r="W683" i="2"/>
  <c r="W16" i="2"/>
  <c r="W1667" i="2"/>
  <c r="W921" i="2"/>
  <c r="W446" i="2"/>
  <c r="W1865" i="2"/>
  <c r="W191" i="2"/>
  <c r="W253" i="2"/>
  <c r="W1239" i="2"/>
  <c r="W64" i="2"/>
  <c r="W1701" i="2"/>
  <c r="W539" i="2"/>
  <c r="W1393" i="2"/>
  <c r="W1728" i="2"/>
  <c r="W278" i="2"/>
  <c r="W1596" i="2"/>
  <c r="W663" i="2"/>
  <c r="W855" i="2"/>
  <c r="W1526" i="2"/>
  <c r="W137" i="2"/>
  <c r="W896" i="2"/>
  <c r="W186" i="2"/>
  <c r="W13" i="2"/>
  <c r="W302" i="2"/>
  <c r="W233" i="2"/>
  <c r="W674" i="2"/>
  <c r="W492" i="2"/>
  <c r="W847" i="2"/>
  <c r="W141" i="2"/>
  <c r="W1534" i="2"/>
  <c r="W31" i="2"/>
  <c r="W465" i="2"/>
  <c r="W441" i="2"/>
  <c r="W198" i="2"/>
  <c r="W740" i="2"/>
  <c r="W1468" i="2"/>
  <c r="W213" i="2"/>
  <c r="W785" i="2"/>
  <c r="W1271" i="2"/>
  <c r="W987" i="2"/>
  <c r="W898" i="2"/>
  <c r="W1619" i="2"/>
  <c r="W738" i="2"/>
  <c r="W338" i="2"/>
  <c r="W836" i="2"/>
  <c r="W1920" i="2"/>
  <c r="W1922" i="2"/>
  <c r="W473" i="2"/>
  <c r="W112" i="2"/>
  <c r="W621" i="2"/>
  <c r="W1627" i="2"/>
  <c r="W1212" i="2"/>
  <c r="W1979" i="2"/>
  <c r="W1757" i="2"/>
  <c r="W784" i="2"/>
  <c r="W1176" i="2"/>
  <c r="W1489" i="2"/>
  <c r="W1618" i="2"/>
  <c r="W595" i="2"/>
  <c r="W1788" i="2"/>
  <c r="W315" i="2"/>
  <c r="W1775" i="2"/>
  <c r="W1355" i="2"/>
  <c r="W440" i="2"/>
  <c r="W603" i="2"/>
  <c r="W668" i="2"/>
  <c r="W1167" i="2"/>
  <c r="W1636" i="2"/>
  <c r="W347" i="2"/>
  <c r="W1542" i="2"/>
  <c r="W1919" i="2"/>
  <c r="W1465" i="2"/>
  <c r="W1711" i="2"/>
  <c r="W1188" i="2"/>
  <c r="W1844" i="2"/>
  <c r="W830" i="2"/>
  <c r="W619" i="2"/>
  <c r="W55" i="2"/>
  <c r="W224" i="2"/>
  <c r="W1951" i="2"/>
  <c r="W1337" i="2"/>
  <c r="W913" i="2"/>
  <c r="W241" i="2"/>
  <c r="W1653" i="2"/>
  <c r="W259" i="2"/>
  <c r="W570" i="2"/>
  <c r="W1505" i="2"/>
  <c r="W1453" i="2"/>
  <c r="W102" i="2"/>
  <c r="W266" i="2"/>
  <c r="W368" i="2"/>
  <c r="W269" i="2"/>
  <c r="W1678" i="2"/>
  <c r="W587" i="2"/>
  <c r="W1981" i="2"/>
  <c r="W406" i="2"/>
  <c r="W557" i="2"/>
  <c r="W856" i="2"/>
  <c r="W126" i="2"/>
  <c r="W40" i="2"/>
  <c r="W1533" i="2"/>
  <c r="W1487" i="2"/>
  <c r="W922" i="2"/>
  <c r="W188" i="2"/>
  <c r="W722" i="2"/>
  <c r="W1441" i="2"/>
  <c r="W185" i="2"/>
  <c r="W1059" i="2"/>
  <c r="W886" i="2"/>
  <c r="W262" i="2"/>
  <c r="W1855" i="2"/>
  <c r="W70" i="2"/>
  <c r="W573" i="2"/>
  <c r="W1966" i="2"/>
  <c r="W1737" i="2"/>
  <c r="W759" i="2"/>
  <c r="W719" i="2"/>
  <c r="W960" i="2"/>
  <c r="W73" i="2"/>
  <c r="W1766" i="2"/>
  <c r="W1929" i="2"/>
  <c r="W110" i="2"/>
  <c r="W1812" i="2"/>
  <c r="W331" i="2"/>
  <c r="W1718" i="2"/>
  <c r="W1192" i="2"/>
  <c r="W1318" i="2"/>
  <c r="W1507" i="2"/>
  <c r="W1291" i="2"/>
  <c r="W1549" i="2"/>
  <c r="W949" i="2"/>
  <c r="W495" i="2"/>
  <c r="W158" i="2"/>
  <c r="W128" i="2"/>
  <c r="W778" i="2"/>
  <c r="W1270" i="2"/>
  <c r="W602" i="2"/>
  <c r="W1023" i="2"/>
  <c r="W1810" i="2"/>
  <c r="W242" i="2"/>
  <c r="W848" i="2"/>
  <c r="W351" i="2"/>
  <c r="W1060" i="2"/>
  <c r="W1642" i="2"/>
  <c r="W342" i="2"/>
  <c r="W1051" i="2"/>
  <c r="W530" i="2"/>
  <c r="W1064" i="2"/>
  <c r="W304" i="2"/>
  <c r="W1065" i="2"/>
  <c r="W367" i="2"/>
  <c r="W1641" i="2"/>
  <c r="W169" i="2"/>
  <c r="W1421" i="2"/>
  <c r="W489" i="2"/>
  <c r="W1189" i="2"/>
  <c r="W1805" i="2"/>
  <c r="W618" i="2"/>
  <c r="W1248" i="2"/>
  <c r="W319" i="2"/>
  <c r="W48" i="2"/>
  <c r="W1043" i="2"/>
  <c r="W39" i="2"/>
  <c r="W1010" i="2"/>
  <c r="W276" i="2"/>
  <c r="W1024" i="2"/>
  <c r="W541" i="2"/>
  <c r="W630" i="2"/>
  <c r="W1202" i="2"/>
  <c r="W863" i="2"/>
  <c r="W249" i="2"/>
  <c r="W851" i="2"/>
  <c r="W1411" i="2"/>
  <c r="W1781" i="2"/>
  <c r="W201" i="2"/>
  <c r="W1590" i="2"/>
  <c r="W1527" i="2"/>
  <c r="W1597" i="2"/>
  <c r="W1946" i="2"/>
  <c r="W1519" i="2"/>
  <c r="W1942" i="2"/>
  <c r="W1933" i="2"/>
  <c r="W1914" i="2"/>
  <c r="W816" i="2"/>
  <c r="W527" i="2"/>
  <c r="W1067" i="2"/>
  <c r="W507" i="2"/>
  <c r="W1255" i="2"/>
  <c r="W1124" i="2"/>
  <c r="W513" i="2"/>
  <c r="W1430" i="2"/>
  <c r="W845" i="2"/>
  <c r="W660" i="2"/>
  <c r="W1105" i="2"/>
  <c r="W1290" i="2"/>
  <c r="W1631" i="2"/>
  <c r="W716" i="2"/>
  <c r="W1868" i="2"/>
  <c r="W545" i="2"/>
  <c r="W1771" i="2"/>
  <c r="W1911" i="2"/>
  <c r="W1780" i="2"/>
  <c r="W1736" i="2"/>
  <c r="W1488" i="2"/>
  <c r="W606" i="2"/>
  <c r="W729" i="2"/>
  <c r="W708" i="2"/>
  <c r="W875" i="2"/>
  <c r="W1707" i="2"/>
  <c r="W1382" i="2"/>
  <c r="W861" i="2"/>
  <c r="W589" i="2"/>
  <c r="W92" i="2"/>
  <c r="W74" i="2"/>
  <c r="W521" i="2"/>
  <c r="W1399" i="2"/>
  <c r="W1961" i="2"/>
  <c r="W1888" i="2"/>
  <c r="W422" i="2"/>
  <c r="W1483" i="2"/>
  <c r="W314" i="2"/>
  <c r="W613" i="2"/>
  <c r="W430" i="2"/>
  <c r="W107" i="2"/>
  <c r="W1057" i="2"/>
  <c r="W773" i="2"/>
  <c r="W889" i="2"/>
  <c r="W1101" i="2"/>
  <c r="W184" i="2"/>
  <c r="W1985" i="2"/>
  <c r="W962" i="2"/>
  <c r="W1080" i="2"/>
  <c r="W1132" i="2"/>
  <c r="W1517" i="2"/>
  <c r="W474" i="2"/>
  <c r="W1721" i="2"/>
  <c r="W174" i="2"/>
  <c r="W1659" i="2"/>
  <c r="W850" i="2"/>
  <c r="W1162" i="2"/>
  <c r="W419" i="2"/>
  <c r="W1009" i="2"/>
  <c r="W251" i="2"/>
  <c r="W884" i="2"/>
  <c r="W418" i="2"/>
  <c r="W1303" i="2"/>
  <c r="W1682" i="2"/>
  <c r="W947" i="2"/>
  <c r="W703" i="2"/>
  <c r="W1109" i="2"/>
  <c r="W1656" i="2"/>
  <c r="W218" i="2"/>
  <c r="W1809" i="2"/>
  <c r="W1338" i="2"/>
  <c r="W1315" i="2"/>
  <c r="W1568" i="2"/>
  <c r="W914" i="2"/>
  <c r="W1305" i="2"/>
  <c r="W1357" i="2"/>
  <c r="W549" i="2"/>
  <c r="W1254" i="2"/>
  <c r="W568" i="2"/>
  <c r="W1242" i="2"/>
  <c r="W757" i="2"/>
  <c r="W1351" i="2"/>
  <c r="W366" i="2"/>
  <c r="W429" i="2"/>
  <c r="W1116" i="2"/>
  <c r="W975" i="2"/>
  <c r="W1077" i="2"/>
  <c r="W1617" i="2"/>
  <c r="W1605" i="2"/>
  <c r="W1252" i="2"/>
  <c r="W999" i="2"/>
  <c r="W1179" i="2"/>
  <c r="W1836" i="2"/>
  <c r="W140" i="2"/>
  <c r="W1685" i="2"/>
  <c r="W1910" i="2"/>
  <c r="W1141" i="2"/>
  <c r="W325" i="2"/>
  <c r="W1446" i="2"/>
  <c r="W1567" i="2"/>
  <c r="W641" i="2"/>
  <c r="W461" i="2"/>
  <c r="W631" i="2"/>
  <c r="W1655" i="2"/>
  <c r="W1535" i="2"/>
  <c r="W1599" i="2"/>
  <c r="W490" i="2"/>
  <c r="W1745" i="2"/>
  <c r="W1070" i="2"/>
  <c r="W260" i="2"/>
  <c r="W673" i="2"/>
  <c r="W535" i="2"/>
  <c r="W1791" i="2"/>
  <c r="W858" i="2"/>
  <c r="W1130" i="2"/>
  <c r="W748" i="2"/>
  <c r="W1174" i="2"/>
  <c r="W540" i="2"/>
  <c r="W1796" i="2"/>
  <c r="W1194" i="2"/>
  <c r="W344" i="2"/>
  <c r="W1282" i="2"/>
  <c r="W849" i="2"/>
  <c r="W1837" i="2"/>
  <c r="W56" i="2"/>
  <c r="W669" i="2"/>
  <c r="W412" i="2"/>
  <c r="W793" i="2"/>
  <c r="W1407" i="2"/>
  <c r="W1501" i="2"/>
  <c r="W1508" i="2"/>
  <c r="W118" i="2"/>
  <c r="W551" i="2"/>
  <c r="W1845" i="2"/>
  <c r="W22" i="2"/>
  <c r="W1422" i="2"/>
  <c r="W1135" i="2"/>
  <c r="W129" i="2"/>
  <c r="W1230" i="2"/>
  <c r="W1459" i="2"/>
  <c r="W1121" i="2"/>
  <c r="W1792" i="2"/>
  <c r="W1630" i="2"/>
  <c r="W464" i="2"/>
  <c r="W558" i="2"/>
  <c r="W1639" i="2"/>
  <c r="W1244" i="2"/>
  <c r="W594" i="2"/>
  <c r="W1889" i="2"/>
  <c r="W704" i="2"/>
  <c r="W961" i="2"/>
  <c r="W1896" i="2"/>
  <c r="W388" i="2"/>
  <c r="W1183" i="2"/>
  <c r="W1221" i="2"/>
  <c r="W1476" i="2"/>
  <c r="W1045" i="2"/>
  <c r="W1622" i="2"/>
  <c r="W1397" i="2"/>
  <c r="W1934" i="2"/>
  <c r="W1345" i="2"/>
  <c r="W339" i="2"/>
  <c r="W787" i="2"/>
  <c r="W120" i="2"/>
  <c r="W1877" i="2"/>
  <c r="W345" i="2"/>
  <c r="W234" i="2"/>
  <c r="W1376" i="2"/>
  <c r="W1835" i="2"/>
  <c r="W1790" i="2"/>
  <c r="W1540" i="2"/>
  <c r="W1061" i="2"/>
  <c r="W1106" i="2"/>
  <c r="W1404" i="2"/>
  <c r="W998" i="2"/>
  <c r="W1623" i="2"/>
  <c r="W571" i="2"/>
  <c r="W59" i="2"/>
  <c r="W8" i="2"/>
  <c r="W475" i="2"/>
  <c r="W1670" i="2"/>
  <c r="W1146" i="2"/>
  <c r="W46" i="2"/>
  <c r="W991" i="2"/>
  <c r="W1175" i="2"/>
  <c r="W1935" i="2"/>
  <c r="W1263" i="2"/>
  <c r="W1669" i="2"/>
  <c r="W797" i="2"/>
  <c r="W1462" i="2"/>
  <c r="W1288" i="2"/>
  <c r="W983" i="2"/>
  <c r="W1993" i="2"/>
  <c r="W1467" i="2"/>
  <c r="W1201" i="2"/>
  <c r="W1649" i="2"/>
  <c r="W1245" i="2"/>
  <c r="W232" i="2"/>
  <c r="W1557" i="2"/>
  <c r="W1049" i="2"/>
  <c r="W607" i="2"/>
  <c r="W382" i="2"/>
  <c r="W1454" i="2"/>
  <c r="W211" i="2"/>
  <c r="W358" i="2"/>
  <c r="W612" i="2"/>
  <c r="W200" i="2"/>
  <c r="W1676" i="2"/>
  <c r="W938" i="2"/>
  <c r="W1218" i="2"/>
  <c r="W228" i="2"/>
  <c r="W1871" i="2"/>
  <c r="W1927" i="2"/>
  <c r="W1645" i="2"/>
  <c r="W421" i="2"/>
  <c r="W1229" i="2"/>
  <c r="W1099" i="2"/>
  <c r="W362" i="2"/>
  <c r="W782" i="2"/>
  <c r="W1731" i="2"/>
  <c r="W610" i="2"/>
  <c r="W620" i="2"/>
  <c r="W1233" i="2"/>
  <c r="W1178" i="2"/>
  <c r="W593" i="2"/>
  <c r="W447" i="2"/>
  <c r="W341" i="2"/>
  <c r="W97" i="2"/>
  <c r="W588" i="2"/>
  <c r="W980" i="2"/>
  <c r="W1660" i="2"/>
  <c r="W1768" i="2"/>
  <c r="W1203" i="2"/>
  <c r="W1145" i="2"/>
  <c r="W426" i="2"/>
  <c r="W1259" i="2"/>
  <c r="W1375" i="2"/>
  <c r="W1341" i="2"/>
  <c r="W1901" i="2"/>
  <c r="W1710" i="2"/>
  <c r="W1405" i="2"/>
  <c r="W783" i="2"/>
  <c r="W1794" i="2"/>
  <c r="W277" i="2"/>
  <c r="W220" i="2"/>
  <c r="W1380" i="2"/>
  <c r="W1575" i="2"/>
  <c r="W1426" i="2"/>
  <c r="W1451" i="2"/>
  <c r="W1967" i="2"/>
  <c r="W1186" i="2"/>
  <c r="W1026" i="2"/>
  <c r="W1028" i="2"/>
  <c r="W240" i="2"/>
  <c r="W915" i="2"/>
  <c r="W901" i="2"/>
  <c r="W1923" i="2"/>
  <c r="W1538" i="2"/>
  <c r="W1383" i="2"/>
  <c r="W878" i="2"/>
  <c r="W930" i="2"/>
  <c r="W1470" i="2"/>
  <c r="W237" i="2"/>
  <c r="W799" i="2"/>
  <c r="W695" i="2"/>
  <c r="W1726" i="2"/>
  <c r="W1595" i="2"/>
  <c r="W969" i="2"/>
  <c r="W862" i="2"/>
  <c r="W1510" i="2"/>
  <c r="W1497" i="2"/>
  <c r="W1198" i="2"/>
  <c r="W1803" i="2"/>
  <c r="W1552" i="2"/>
  <c r="W1498" i="2"/>
  <c r="W1358" i="2"/>
  <c r="W1164" i="2"/>
  <c r="W762" i="2"/>
  <c r="W1085" i="2"/>
  <c r="W15" i="2"/>
  <c r="W941" i="2"/>
  <c r="W1986" i="2"/>
  <c r="W371" i="2"/>
  <c r="W215" i="2"/>
  <c r="W1863" i="2"/>
  <c r="W1860" i="2"/>
  <c r="W58" i="2"/>
  <c r="W1988" i="2"/>
  <c r="W1646" i="2"/>
  <c r="W552" i="2"/>
  <c r="W1652" i="2"/>
  <c r="W1908" i="2"/>
  <c r="W1352" i="2"/>
  <c r="W937" i="2"/>
  <c r="W1185" i="2"/>
  <c r="W1471" i="2"/>
  <c r="W105" i="2"/>
  <c r="W1551" i="2"/>
  <c r="W528" i="2"/>
  <c r="W1275" i="2"/>
  <c r="W267" i="2"/>
  <c r="W1696" i="2"/>
  <c r="W1565" i="2"/>
  <c r="W89" i="2"/>
  <c r="W1377" i="2"/>
  <c r="W379" i="2"/>
  <c r="W989" i="2"/>
  <c r="W1852" i="2"/>
  <c r="W997" i="2"/>
  <c r="W629" i="2"/>
  <c r="W1047" i="2"/>
  <c r="W956" i="2"/>
  <c r="W27" i="2"/>
  <c r="W1704" i="2"/>
  <c r="W504" i="2"/>
  <c r="W1996" i="2"/>
  <c r="W178" i="2"/>
  <c r="W1159" i="2"/>
  <c r="W1102" i="2"/>
  <c r="W1361" i="2"/>
  <c r="W20" i="2"/>
  <c r="W852" i="2"/>
  <c r="W457" i="2"/>
  <c r="W843" i="2"/>
  <c r="W250" i="2"/>
  <c r="W1073" i="2"/>
  <c r="W794" i="2"/>
  <c r="W159" i="2"/>
  <c r="W1763" i="2"/>
  <c r="W1866" i="2"/>
  <c r="W1474" i="2"/>
  <c r="W1448" i="2"/>
  <c r="W1983" i="2"/>
  <c r="W1589" i="2"/>
  <c r="W1938" i="2"/>
  <c r="W1680" i="2"/>
  <c r="W1634" i="2"/>
  <c r="W1424" i="2"/>
  <c r="W1999" i="2"/>
  <c r="W7" i="2"/>
  <c r="W306" i="2"/>
  <c r="W1437" i="2"/>
  <c r="W637" i="2"/>
  <c r="W1119" i="2"/>
  <c r="W1215" i="2"/>
  <c r="W125" i="2"/>
  <c r="W770" i="2"/>
  <c r="W577" i="2"/>
  <c r="W1972" i="2"/>
  <c r="W1537" i="2"/>
  <c r="W644" i="2"/>
  <c r="W101" i="2"/>
  <c r="W148" i="2"/>
  <c r="W1762" i="2"/>
  <c r="W916" i="2"/>
  <c r="W272" i="2"/>
  <c r="W1127" i="2"/>
  <c r="W500" i="2"/>
  <c r="W1496" i="2"/>
  <c r="W93" i="2"/>
  <c r="W199" i="2"/>
  <c r="W1036" i="2"/>
  <c r="W1111" i="2"/>
  <c r="W1475" i="2"/>
  <c r="W493" i="2"/>
  <c r="W301" i="2"/>
  <c r="W1700" i="2"/>
  <c r="W142" i="2"/>
  <c r="W1379" i="2"/>
  <c r="W714" i="2"/>
  <c r="W942" i="2"/>
  <c r="W289" i="2"/>
  <c r="W561" i="2"/>
  <c r="W423" i="2"/>
  <c r="W559" i="2"/>
  <c r="W99" i="2"/>
  <c r="W1373" i="2"/>
  <c r="W98" i="2"/>
  <c r="W1971" i="2"/>
  <c r="W928" i="2"/>
  <c r="W820" i="2"/>
  <c r="W1032" i="2"/>
  <c r="W649" i="2"/>
  <c r="W1838" i="2"/>
  <c r="W350" i="2"/>
  <c r="W115" i="2"/>
  <c r="W1278" i="2"/>
  <c r="W636" i="2"/>
  <c r="W438" i="2"/>
  <c r="W72" i="2"/>
  <c r="W1769" i="2"/>
  <c r="W1138" i="2"/>
  <c r="W1940" i="2"/>
  <c r="W1149" i="2"/>
  <c r="W1640" i="2"/>
  <c r="W1068" i="2"/>
  <c r="W774" i="2"/>
  <c r="W270" i="2"/>
  <c r="W14" i="2"/>
  <c r="W365" i="2"/>
  <c r="W23" i="2"/>
  <c r="W1512" i="2"/>
  <c r="W1456" i="2"/>
  <c r="W563" i="2"/>
  <c r="W1709" i="2"/>
  <c r="W117" i="2"/>
  <c r="W404" i="2"/>
  <c r="W766" i="2"/>
  <c r="W1491" i="2"/>
  <c r="W1787" i="2"/>
  <c r="W1220" i="2"/>
  <c r="W711" i="2"/>
  <c r="W600" i="2"/>
  <c r="W1755" i="2"/>
  <c r="W4" i="2"/>
  <c r="W1000" i="2"/>
  <c r="W1752" i="2"/>
  <c r="W1445" i="2"/>
  <c r="W1158" i="2"/>
  <c r="W282" i="2"/>
  <c r="W737" i="2"/>
  <c r="W57" i="2"/>
  <c r="W1856" i="2"/>
  <c r="W993" i="2"/>
  <c r="W893" i="2"/>
  <c r="W1524" i="2"/>
  <c r="W448" i="2"/>
  <c r="W908" i="2"/>
  <c r="W661" i="2"/>
  <c r="W156" i="2"/>
  <c r="W1739" i="2"/>
  <c r="W1943" i="2"/>
  <c r="W1371" i="2"/>
  <c r="W1128" i="2"/>
  <c r="W1217" i="2"/>
  <c r="W202" i="2"/>
  <c r="W322" i="2"/>
  <c r="W320" i="2"/>
  <c r="W1423" i="2"/>
  <c r="W1684" i="2"/>
  <c r="W1003" i="2"/>
  <c r="W111" i="2"/>
  <c r="W172" i="2"/>
  <c r="W1260" i="2"/>
  <c r="W1819" i="2"/>
  <c r="W877" i="2"/>
  <c r="W1536" i="2"/>
  <c r="W1998" i="2"/>
  <c r="W439" i="2"/>
  <c r="W927" i="2"/>
  <c r="W133" i="2"/>
  <c r="W697" i="2"/>
  <c r="W800" i="2"/>
  <c r="W261" i="2"/>
  <c r="W1782" i="2"/>
  <c r="W1880" i="2"/>
  <c r="W236" i="2"/>
  <c r="W1490" i="2"/>
  <c r="W303" i="2"/>
  <c r="W1727" i="2"/>
  <c r="W1776" i="2"/>
  <c r="W658" i="2"/>
  <c r="W1372" i="2"/>
  <c r="W1830" i="2"/>
  <c r="W1779" i="2"/>
  <c r="W1760" i="2"/>
  <c r="W992" i="2"/>
  <c r="W1200" i="2"/>
  <c r="W323" i="2"/>
  <c r="W1394" i="2"/>
  <c r="W175" i="2"/>
  <c r="W462" i="2"/>
  <c r="W764" i="2"/>
  <c r="W1261" i="2"/>
  <c r="W1513" i="2"/>
  <c r="W511" i="2"/>
  <c r="W614" i="2"/>
  <c r="W1326" i="2"/>
  <c r="W1069" i="2"/>
  <c r="W176" i="2"/>
  <c r="W399" i="2"/>
  <c r="W531" i="2"/>
  <c r="W1588" i="2"/>
  <c r="W586" i="2"/>
  <c r="W51" i="2"/>
  <c r="W1211" i="2"/>
  <c r="W1500" i="2"/>
  <c r="W680" i="2"/>
  <c r="W1576" i="2"/>
  <c r="W1807" i="2"/>
  <c r="W1250" i="2"/>
  <c r="W1525" i="2"/>
  <c r="W957" i="2"/>
  <c r="W777" i="2"/>
  <c r="W906" i="2"/>
  <c r="W761" i="2"/>
  <c r="W742" i="2"/>
  <c r="W967" i="2"/>
  <c r="W1572" i="2"/>
  <c r="W524" i="2"/>
  <c r="W506" i="2"/>
  <c r="W221" i="2"/>
  <c r="W488" i="2"/>
  <c r="W361" i="2"/>
  <c r="W1134" i="2"/>
  <c r="W298" i="2"/>
  <c r="W96" i="2"/>
  <c r="W752" i="2"/>
  <c r="W611" i="2"/>
  <c r="W822" i="2"/>
  <c r="W498" i="2"/>
  <c r="W1246" i="2"/>
  <c r="W1987" i="2"/>
  <c r="W299" i="2"/>
  <c r="W119" i="2"/>
  <c r="W1909" i="2"/>
  <c r="W1333" i="2"/>
  <c r="W599" i="2"/>
  <c r="W1348" i="2"/>
  <c r="W187" i="2"/>
  <c r="W1482" i="2"/>
  <c r="W1030" i="2"/>
  <c r="W1854" i="2"/>
  <c r="W1574" i="2"/>
  <c r="W1088" i="2"/>
  <c r="W1140" i="2"/>
  <c r="W1990" i="2"/>
  <c r="W471" i="2"/>
  <c r="W1609" i="2"/>
  <c r="W442" i="2"/>
  <c r="W356" i="2"/>
  <c r="W206" i="2"/>
  <c r="W1573" i="2"/>
  <c r="W468" i="2"/>
  <c r="W1883" i="2"/>
  <c r="W1697" i="2"/>
  <c r="W1503" i="2"/>
  <c r="W1992" i="2"/>
  <c r="W294" i="2"/>
  <c r="W1107" i="2"/>
  <c r="W1594" i="2"/>
  <c r="W1262" i="2"/>
  <c r="W68" i="2"/>
  <c r="W689" i="2"/>
  <c r="W638" i="2"/>
  <c r="W1433" i="2"/>
  <c r="W1013" i="2"/>
  <c r="W894" i="2"/>
  <c r="W153" i="2"/>
  <c r="W690" i="2"/>
  <c r="W1226" i="2"/>
  <c r="W1268" i="2"/>
  <c r="W483" i="2"/>
  <c r="W43" i="2"/>
  <c r="W1668" i="2"/>
  <c r="W1495" i="2"/>
  <c r="W1606" i="2"/>
  <c r="W173" i="2"/>
  <c r="W481" i="2"/>
  <c r="W1171" i="2"/>
  <c r="W1447" i="2"/>
  <c r="W123" i="2"/>
  <c r="W1274" i="2"/>
  <c r="W1208" i="2"/>
  <c r="W30" i="2"/>
  <c r="W1677" i="2"/>
  <c r="W805" i="2"/>
  <c r="W1463" i="2"/>
  <c r="W1681" i="2"/>
  <c r="W1048" i="2"/>
  <c r="W244" i="2"/>
  <c r="W1853" i="2"/>
  <c r="W1450" i="2"/>
  <c r="W1695" i="2"/>
  <c r="W1583" i="2"/>
  <c r="W870" i="2"/>
  <c r="W357" i="2"/>
  <c r="W209" i="2"/>
  <c r="W529" i="2"/>
  <c r="W873" i="2"/>
  <c r="W1528" i="2"/>
  <c r="W868" i="2"/>
  <c r="W769" i="2"/>
  <c r="W976" i="2"/>
  <c r="W652" i="2"/>
  <c r="W1516" i="2"/>
  <c r="W179" i="2"/>
  <c r="W197" i="2"/>
  <c r="W791" i="2"/>
  <c r="W514" i="2"/>
  <c r="W907" i="2"/>
  <c r="W508" i="2"/>
  <c r="W411" i="2"/>
  <c r="W935" i="2"/>
  <c r="W853" i="2"/>
  <c r="W222" i="2"/>
  <c r="W1115" i="2"/>
  <c r="W383" i="2"/>
  <c r="W972" i="2"/>
  <c r="W1916" i="2"/>
  <c r="W857" i="2"/>
  <c r="W1633" i="2"/>
  <c r="W1432" i="2"/>
  <c r="W931" i="2"/>
  <c r="W1412" i="2"/>
  <c r="W452" i="2"/>
  <c r="W1548" i="2"/>
  <c r="W642" i="2"/>
  <c r="W1976" i="2"/>
  <c r="W1515" i="2"/>
  <c r="W625" i="2"/>
  <c r="W1365" i="2"/>
  <c r="W1912" i="2"/>
  <c r="W162" i="2"/>
  <c r="W1561" i="2"/>
  <c r="W665" i="2"/>
  <c r="W477" i="2"/>
  <c r="W1833" i="2"/>
  <c r="W167" i="2"/>
  <c r="W1970" i="2"/>
  <c r="W1238" i="2"/>
  <c r="W85" i="2"/>
  <c r="W885" i="2"/>
  <c r="W1296" i="2"/>
  <c r="W1756" i="2"/>
  <c r="W1858" i="2"/>
  <c r="W702" i="2"/>
  <c r="W601" i="2"/>
  <c r="W715" i="2"/>
  <c r="W718" i="2"/>
  <c r="W1388" i="2"/>
  <c r="W1466" i="2"/>
  <c r="W1136" i="2"/>
  <c r="W396" i="2"/>
  <c r="W1084" i="2"/>
  <c r="W459" i="2"/>
  <c r="W1724" i="2"/>
  <c r="W1751" i="2"/>
  <c r="W1074" i="2"/>
  <c r="W1688" i="2"/>
  <c r="W1419" i="2"/>
  <c r="W229" i="2"/>
  <c r="W706" i="2"/>
  <c r="W1369" i="2"/>
  <c r="W377" i="2"/>
  <c r="W1903" i="2"/>
  <c r="W1385" i="2"/>
  <c r="W1673" i="2"/>
  <c r="W1876" i="2"/>
  <c r="W1849" i="2"/>
  <c r="W543" i="2"/>
  <c r="W1664" i="2"/>
  <c r="W1734" i="2"/>
  <c r="W735" i="2"/>
  <c r="W1717" i="2"/>
  <c r="W343" i="2"/>
  <c r="W564" i="2"/>
  <c r="W61" i="2"/>
  <c r="W1181" i="2"/>
  <c r="W724" i="2"/>
  <c r="W1644" i="2"/>
  <c r="W1750" i="2"/>
  <c r="W293" i="2"/>
  <c r="W230" i="2"/>
  <c r="W207" i="2"/>
  <c r="W1486" i="2"/>
  <c r="W1479" i="2"/>
  <c r="W163" i="2"/>
  <c r="W1874" i="2"/>
  <c r="W679" i="2"/>
  <c r="W1272" i="2"/>
  <c r="W1829" i="2"/>
  <c r="W1539" i="2"/>
  <c r="W460" i="2"/>
  <c r="W1403" i="2"/>
  <c r="W1378" i="2"/>
  <c r="W1408" i="2"/>
  <c r="W1402" i="2"/>
  <c r="W544" i="2"/>
  <c r="W1223" i="2"/>
  <c r="W952" i="2"/>
  <c r="W134" i="2"/>
  <c r="W466" i="2"/>
  <c r="W1566" i="2"/>
  <c r="W431" i="2"/>
  <c r="W640" i="2"/>
  <c r="W194" i="2"/>
  <c r="W1584" i="2"/>
  <c r="W380" i="2"/>
  <c r="W1991" i="2"/>
  <c r="W1795" i="2"/>
  <c r="W705" i="2"/>
  <c r="W616" i="2"/>
  <c r="W1846" i="2"/>
  <c r="W1304" i="2"/>
  <c r="W1601" i="2"/>
  <c r="W1413" i="2"/>
  <c r="W273" i="2"/>
  <c r="W1387" i="2"/>
  <c r="W80" i="2"/>
  <c r="W727" i="2"/>
  <c r="W227" i="2"/>
  <c r="W721" i="2"/>
  <c r="W1147" i="2"/>
  <c r="W688" i="2"/>
  <c r="W284" i="2"/>
  <c r="W865" i="2"/>
  <c r="W131" i="2"/>
  <c r="W1153" i="2"/>
  <c r="W496" i="2"/>
  <c r="W1742" i="2"/>
  <c r="W1406" i="2"/>
  <c r="W1289" i="2"/>
  <c r="W1977" i="2"/>
  <c r="W709" i="2"/>
  <c r="W1746" i="2"/>
  <c r="W1839" i="2"/>
  <c r="W646" i="2"/>
  <c r="W1869" i="2"/>
  <c r="W292" i="2"/>
  <c r="W1005" i="2"/>
  <c r="W1514" i="2"/>
  <c r="W1786" i="2"/>
  <c r="W959" i="2"/>
  <c r="W1429" i="2"/>
  <c r="W95" i="2"/>
  <c r="W1163" i="2"/>
  <c r="W1817" i="2"/>
  <c r="W1555" i="2"/>
  <c r="W1842" i="2"/>
  <c r="W1554" i="2"/>
  <c r="W1962" i="2"/>
  <c r="W1705" i="2"/>
  <c r="W405" i="2"/>
  <c r="W106" i="2"/>
  <c r="W18" i="2"/>
  <c r="W1502" i="2"/>
  <c r="W340" i="2"/>
  <c r="W1926" i="2"/>
  <c r="W823" i="2"/>
  <c r="W553" i="2"/>
  <c r="W1893" i="2"/>
  <c r="W360" i="2"/>
  <c r="W1222" i="2"/>
  <c r="W67" i="2"/>
  <c r="W1478" i="2"/>
  <c r="W1847" i="2"/>
  <c r="W124" i="2"/>
  <c r="W655" i="2"/>
  <c r="W627" i="2"/>
  <c r="W1620" i="2"/>
  <c r="W1484" i="2"/>
  <c r="W1564" i="2"/>
  <c r="W50" i="2"/>
  <c r="W66" i="2"/>
  <c r="W1918" i="2"/>
  <c r="W692" i="2"/>
  <c r="W1416" i="2"/>
  <c r="W1224" i="2"/>
  <c r="W883" i="2"/>
  <c r="W1973" i="2"/>
  <c r="W617" i="2"/>
  <c r="W517" i="2"/>
  <c r="W1330" i="2"/>
  <c r="W1347" i="2"/>
  <c r="W449" i="2"/>
  <c r="W2000" i="2"/>
  <c r="W1251" i="2"/>
  <c r="W1648" i="2"/>
  <c r="W1581" i="2"/>
  <c r="W838" i="2"/>
  <c r="W1334" i="2"/>
  <c r="W1884" i="2"/>
  <c r="W1960" i="2"/>
  <c r="W501" i="2"/>
  <c r="W1886" i="2"/>
  <c r="W1928" i="2"/>
  <c r="W1042" i="2"/>
  <c r="W11" i="2"/>
  <c r="W966" i="2"/>
  <c r="W1076" i="2"/>
  <c r="W749" i="2"/>
  <c r="W970" i="2"/>
  <c r="W945" i="2"/>
  <c r="W1663" i="2"/>
  <c r="W1699" i="2"/>
  <c r="W1890" i="2"/>
  <c r="W317" i="2"/>
  <c r="W494" i="2"/>
  <c r="W643" i="2"/>
  <c r="W1062" i="2"/>
  <c r="W615" i="2"/>
  <c r="W804" i="2"/>
  <c r="W891" i="2"/>
  <c r="W444" i="2"/>
  <c r="W1014" i="2"/>
  <c r="W854" i="2"/>
  <c r="W329" i="2"/>
  <c r="W1292" i="2"/>
  <c r="W1702" i="2"/>
  <c r="W1122" i="2"/>
  <c r="W1343" i="2"/>
  <c r="W725" i="2"/>
  <c r="W1793" i="2"/>
  <c r="W470" i="2"/>
  <c r="W1152" i="2"/>
  <c r="W609" i="2"/>
  <c r="W1612" i="2"/>
  <c r="W1694" i="2"/>
  <c r="W1039" i="2"/>
  <c r="W550" i="2"/>
  <c r="W1532" i="2"/>
  <c r="W1366" i="2"/>
  <c r="W408" i="2"/>
  <c r="W1054" i="2"/>
  <c r="W726" i="2"/>
  <c r="W859" i="2"/>
  <c r="W1686" i="2"/>
  <c r="W1359" i="2"/>
  <c r="W1100" i="2"/>
  <c r="W1984" i="2"/>
  <c r="W880" i="2"/>
  <c r="W1344" i="2"/>
  <c r="W1720" i="2"/>
  <c r="W576" i="2"/>
  <c r="W136" i="2"/>
  <c r="W1485" i="2"/>
  <c r="W678" i="2"/>
  <c r="W522" i="2"/>
  <c r="W450" i="2"/>
  <c r="W765" i="2"/>
  <c r="W520" i="2"/>
  <c r="W624" i="2"/>
  <c r="W1324" i="2"/>
  <c r="W743" i="2"/>
  <c r="W428" i="2"/>
  <c r="W1011" i="2"/>
  <c r="W1989" i="2"/>
  <c r="W781" i="2"/>
  <c r="W1477" i="2"/>
  <c r="W1825" i="2"/>
  <c r="W525" i="2"/>
  <c r="W1904" i="2"/>
  <c r="W1593" i="2"/>
  <c r="W1391" i="2"/>
  <c r="W1994" i="2"/>
  <c r="W754" i="2"/>
  <c r="W1225" i="2"/>
  <c r="W1360" i="2"/>
  <c r="W802" i="2"/>
  <c r="W626" i="2"/>
  <c r="W569" i="2"/>
  <c r="W1563" i="2"/>
  <c r="W1316" i="2"/>
  <c r="W1654" i="2"/>
  <c r="W190" i="2"/>
  <c r="W2001" i="2"/>
  <c r="W1603" i="2"/>
  <c r="W1015" i="2"/>
  <c r="W670" i="2"/>
  <c r="W1658" i="2"/>
  <c r="W1892" i="2"/>
  <c r="W592" i="2"/>
  <c r="W1506" i="2"/>
  <c r="W1625" i="2"/>
  <c r="W963" i="2"/>
  <c r="W491" i="2"/>
  <c r="W746" i="2"/>
  <c r="W926" i="2"/>
  <c r="W1177" i="2"/>
  <c r="W1650" i="2"/>
  <c r="W1439" i="2"/>
  <c r="W533" i="2"/>
  <c r="W1897" i="2"/>
  <c r="W869" i="2"/>
  <c r="W1887" i="2"/>
  <c r="W1335" i="2"/>
  <c r="W790" i="2"/>
  <c r="W355" i="2"/>
  <c r="W1610" i="2"/>
  <c r="W537" i="2"/>
  <c r="W280" i="2"/>
  <c r="W42" i="2"/>
  <c r="W402" i="2"/>
  <c r="W1310" i="2"/>
  <c r="W1022" i="2"/>
  <c r="W1968" i="2"/>
  <c r="W1808" i="2"/>
  <c r="W87" i="2"/>
  <c r="W346" i="2"/>
  <c r="W789" i="2"/>
  <c r="W34" i="2"/>
  <c r="W1150" i="2"/>
  <c r="W1300" i="2"/>
  <c r="W245" i="2"/>
  <c r="W1683" i="2"/>
  <c r="W433" i="2"/>
  <c r="W389" i="2"/>
  <c r="W1744" i="2"/>
  <c r="W467" i="2"/>
  <c r="W333" i="2"/>
  <c r="W373" i="2"/>
  <c r="W307" i="2"/>
  <c r="W707" i="2"/>
  <c r="W1232" i="2"/>
  <c r="W1319" i="2"/>
  <c r="W1356" i="2"/>
  <c r="W1963" i="2"/>
  <c r="W49" i="2"/>
  <c r="W1546" i="2"/>
  <c r="W1873" i="2"/>
  <c r="W352" i="2"/>
  <c r="W565" i="2"/>
  <c r="W1012" i="2"/>
  <c r="W75" i="2"/>
  <c r="W1283" i="2"/>
  <c r="W1713" i="2"/>
  <c r="W803" i="2"/>
  <c r="W1040" i="2"/>
  <c r="W1944" i="2"/>
  <c r="W132" i="2"/>
  <c r="W29" i="2"/>
  <c r="W1299" i="2"/>
  <c r="W698" i="2"/>
  <c r="W309" i="2"/>
  <c r="W1798" i="2"/>
  <c r="W1499" i="2"/>
  <c r="W210" i="2"/>
  <c r="W254" i="2"/>
  <c r="W38" i="2"/>
  <c r="W403" i="2"/>
  <c r="W1209" i="2"/>
  <c r="W291" i="2"/>
  <c r="W1587" i="2"/>
  <c r="W36" i="2"/>
  <c r="W1317" i="2"/>
  <c r="W479" i="2"/>
  <c r="W1284" i="2"/>
  <c r="W103" i="2"/>
  <c r="W950" i="2"/>
  <c r="W1311" i="2"/>
  <c r="W717" i="2"/>
  <c r="W1008" i="2"/>
  <c r="W1822" i="2"/>
  <c r="W1712" i="2"/>
  <c r="W1151" i="2"/>
  <c r="W917" i="2"/>
  <c r="W1072" i="2"/>
  <c r="W372" i="2"/>
  <c r="W1309" i="2"/>
  <c r="W1443" i="2"/>
  <c r="W1219" i="2"/>
  <c r="W554" i="2"/>
  <c r="W538" i="2"/>
  <c r="W1959" i="2"/>
  <c r="W1473" i="2"/>
  <c r="W10" i="2"/>
  <c r="W91" i="2"/>
  <c r="W1586" i="2"/>
  <c r="W741" i="2"/>
  <c r="W1336" i="2"/>
  <c r="W1789" i="2"/>
  <c r="W116" i="2"/>
  <c r="W82" i="2"/>
  <c r="W879" i="2"/>
  <c r="W1078" i="2"/>
  <c r="W1725" i="2"/>
  <c r="W235" i="2"/>
  <c r="W1329" i="2"/>
  <c r="W166" i="2"/>
  <c r="W905" i="2"/>
  <c r="W1093" i="2"/>
  <c r="W1096" i="2"/>
  <c r="W192" i="2"/>
  <c r="W1643" i="2"/>
  <c r="W720" i="2"/>
  <c r="W813" i="2"/>
  <c r="W1778" i="2"/>
  <c r="W723" i="2"/>
  <c r="W1210" i="2"/>
  <c r="W286" i="2"/>
  <c r="W1687" i="2"/>
  <c r="W145" i="2"/>
  <c r="W1172" i="2"/>
  <c r="W387" i="2"/>
  <c r="W1195" i="2"/>
  <c r="W1131" i="2"/>
  <c r="W990" i="2"/>
  <c r="W677" i="2"/>
  <c r="W795" i="2"/>
  <c r="W1600" i="2"/>
  <c r="W1931" i="2"/>
  <c r="W225" i="2"/>
  <c r="W904" i="2"/>
  <c r="W1585" i="2"/>
  <c r="W597" i="2"/>
  <c r="W1457" i="2"/>
  <c r="W1882" i="2"/>
  <c r="W150" i="2"/>
  <c r="W62" i="2"/>
  <c r="W651" i="2"/>
  <c r="W1975" i="2"/>
  <c r="W1091" i="2"/>
  <c r="W1521" i="2"/>
  <c r="W758" i="2"/>
  <c r="W1142" i="2"/>
  <c r="W1870" i="2"/>
  <c r="W386" i="2"/>
  <c r="W1719" i="2"/>
  <c r="W1126" i="2"/>
  <c r="W53" i="2"/>
  <c r="W608" i="2"/>
  <c r="W780" i="2"/>
  <c r="W1017" i="2"/>
  <c r="W1714" i="2"/>
  <c r="W1237" i="2"/>
  <c r="W662" i="2"/>
  <c r="W890" i="2"/>
  <c r="W313" i="2"/>
  <c r="W954" i="2"/>
  <c r="W985" i="2"/>
  <c r="W978" i="2"/>
  <c r="W1276" i="2"/>
  <c r="W701" i="2"/>
  <c r="W664" i="2"/>
  <c r="W279" i="2"/>
  <c r="W219" i="2"/>
  <c r="W1098" i="2"/>
  <c r="W1160" i="2"/>
  <c r="W653" i="2"/>
  <c r="W1657" i="2"/>
  <c r="W497" i="2"/>
  <c r="W1197" i="2"/>
  <c r="W1191" i="2"/>
  <c r="W598" i="2"/>
  <c r="W951" i="2"/>
  <c r="W3" i="2"/>
  <c r="W1249" i="2"/>
  <c r="W1103" i="2"/>
  <c r="W1464" i="2"/>
  <c r="W1828" i="2"/>
  <c r="W1386" i="2"/>
  <c r="W1235" i="2"/>
  <c r="W1314" i="2"/>
  <c r="W1879" i="2"/>
  <c r="W1129" i="2"/>
  <c r="W385" i="2"/>
  <c r="W348" i="2"/>
  <c r="W667" i="2"/>
  <c r="W1675" i="2"/>
  <c r="W811" i="2"/>
  <c r="W177" i="2"/>
  <c r="W815" i="2"/>
  <c r="W1320" i="2"/>
  <c r="W918" i="2"/>
  <c r="W400" i="2"/>
  <c r="W1410" i="2"/>
  <c r="W1434" i="2"/>
  <c r="W1169" i="2"/>
  <c r="W24" i="2"/>
  <c r="W1954" i="2"/>
  <c r="W1417" i="2"/>
  <c r="W1703" i="2"/>
  <c r="W1056" i="2"/>
  <c r="W911" i="2"/>
  <c r="W892" i="2"/>
  <c r="W1982" i="2"/>
  <c r="W872" i="2"/>
  <c r="W378" i="2"/>
  <c r="W327" i="2"/>
  <c r="W1214" i="2"/>
  <c r="W354" i="2"/>
  <c r="W824" i="2"/>
  <c r="W1895" i="2"/>
  <c r="W943" i="2"/>
  <c r="W332" i="2"/>
  <c r="W1312" i="2"/>
  <c r="W1604" i="2"/>
  <c r="W1591" i="2"/>
  <c r="W1802" i="2"/>
  <c r="W814" i="2"/>
  <c r="W1342" i="2"/>
  <c r="W1494" i="2"/>
  <c r="W181" i="2"/>
  <c r="W52" i="2"/>
  <c r="W734" i="2"/>
  <c r="W1367" i="2"/>
  <c r="W1363" i="2"/>
  <c r="W1857" i="2"/>
  <c r="W1079" i="2"/>
  <c r="W1117" i="2"/>
  <c r="W887" i="2"/>
  <c r="W485" i="2"/>
  <c r="W1900" i="2"/>
  <c r="W839" i="2"/>
  <c r="W445" i="2"/>
  <c r="W1964" i="2"/>
  <c r="W1661" i="2"/>
  <c r="W1113" i="2"/>
  <c r="W1089" i="2"/>
  <c r="W1349" i="2"/>
  <c r="W258" i="2"/>
  <c r="W1840" i="2"/>
  <c r="W1783" i="2"/>
  <c r="W817" i="2"/>
  <c r="W1016" i="2"/>
  <c r="W1044" i="2"/>
  <c r="W203" i="2"/>
  <c r="W1777" i="2"/>
  <c r="W1415" i="2"/>
  <c r="W982" i="2"/>
  <c r="W876" i="2"/>
  <c r="W996" i="2"/>
  <c r="W1665" i="2"/>
  <c r="W832" i="2"/>
  <c r="W214" i="2"/>
  <c r="W1493" i="2"/>
  <c r="W1553" i="2"/>
  <c r="W60" i="2"/>
  <c r="W1328" i="2"/>
  <c r="W731" i="2"/>
  <c r="W1770" i="2"/>
  <c r="W1504" i="2"/>
  <c r="W837" i="2"/>
  <c r="W973" i="2"/>
  <c r="W478" i="2"/>
  <c r="W1243" i="2"/>
  <c r="W866" i="2"/>
  <c r="W1368" i="2"/>
  <c r="W288" i="2"/>
  <c r="W633" i="2"/>
  <c r="W1531" i="2"/>
  <c r="W257" i="2"/>
  <c r="W1199" i="2"/>
  <c r="W1144" i="2"/>
  <c r="W195" i="2"/>
  <c r="W287" i="2"/>
  <c r="W596" i="2"/>
  <c r="W1033" i="2"/>
  <c r="W1269" i="2"/>
  <c r="W919" i="2"/>
  <c r="W1240" i="2"/>
  <c r="W417" i="2"/>
  <c r="W1906" i="2"/>
  <c r="W1020" i="2"/>
  <c r="W888" i="2"/>
  <c r="W1257" i="2"/>
  <c r="W1767" i="2"/>
  <c r="W19" i="2"/>
  <c r="W502" i="2"/>
  <c r="W1520" i="2"/>
  <c r="W1598" i="2"/>
  <c r="V623" i="2"/>
  <c r="V503" i="2"/>
  <c r="V1165" i="2"/>
  <c r="V1063" i="2"/>
  <c r="V248" i="2"/>
  <c r="V1029" i="2"/>
  <c r="V1832" i="2"/>
  <c r="V984" i="2"/>
  <c r="V189" i="2"/>
  <c r="V1265" i="2"/>
  <c r="V897" i="2"/>
  <c r="V1190" i="2"/>
  <c r="V515" i="2"/>
  <c r="V1785" i="2"/>
  <c r="V1075" i="2"/>
  <c r="V732" i="2"/>
  <c r="V1753" i="2"/>
  <c r="V1019" i="2"/>
  <c r="V1287" i="2"/>
  <c r="V1420" i="2"/>
  <c r="V622" i="2"/>
  <c r="V1297" i="2"/>
  <c r="V1449" i="2"/>
  <c r="V424" i="2"/>
  <c r="V728" i="2"/>
  <c r="V1662" i="2"/>
  <c r="V1924" i="2"/>
  <c r="V1560" i="2"/>
  <c r="V88" i="2"/>
  <c r="V944" i="2"/>
  <c r="V829" i="2"/>
  <c r="V1094" i="2"/>
  <c r="V657" i="2"/>
  <c r="V427" i="2"/>
  <c r="V771" i="2"/>
  <c r="V567" i="2"/>
  <c r="V1123" i="2"/>
  <c r="V775" i="2"/>
  <c r="V164" i="2"/>
  <c r="V696" i="2"/>
  <c r="V328" i="2"/>
  <c r="V1428" i="2"/>
  <c r="V825" i="2"/>
  <c r="V542" i="2"/>
  <c r="V1480" i="2"/>
  <c r="V363" i="2"/>
  <c r="V694" i="2"/>
  <c r="V1827" i="2"/>
  <c r="V349" i="2"/>
  <c r="V882" i="2"/>
  <c r="V1824" i="2"/>
  <c r="V1295" i="2"/>
  <c r="V1821" i="2"/>
  <c r="V484" i="2"/>
  <c r="V536" i="2"/>
  <c r="V1509" i="2"/>
  <c r="V713" i="2"/>
  <c r="V1921" i="2"/>
  <c r="V581" i="2"/>
  <c r="V6" i="2"/>
  <c r="V1759" i="2"/>
  <c r="V1905" i="2"/>
  <c r="V1322" i="2"/>
  <c r="V518" i="2"/>
  <c r="V32" i="2"/>
  <c r="V1034" i="2"/>
  <c r="V1205" i="2"/>
  <c r="V1247" i="2"/>
  <c r="V86" i="2"/>
  <c r="V1672" i="2"/>
  <c r="V1007" i="2"/>
  <c r="V1902" i="2"/>
  <c r="V160" i="2"/>
  <c r="V1438" i="2"/>
  <c r="V1125" i="2"/>
  <c r="V1621" i="2"/>
  <c r="V1166" i="2"/>
  <c r="V700" i="2"/>
  <c r="V634" i="2"/>
  <c r="V414" i="2"/>
  <c r="V860" i="2"/>
  <c r="V81" i="2"/>
  <c r="V1543" i="2"/>
  <c r="V1280" i="2"/>
  <c r="V1949" i="2"/>
  <c r="V1741" i="2"/>
  <c r="V846" i="2"/>
  <c r="V1353" i="2"/>
  <c r="V753" i="2"/>
  <c r="V1086" i="2"/>
  <c r="V321" i="2"/>
  <c r="V798" i="2"/>
  <c r="V572" i="2"/>
  <c r="V739" i="2"/>
  <c r="V929" i="2"/>
  <c r="V1689" i="2"/>
  <c r="V1955" i="2"/>
  <c r="V1182" i="2"/>
  <c r="V1765" i="2"/>
  <c r="V1277" i="2"/>
  <c r="V285" i="2"/>
  <c r="V1544" i="2"/>
  <c r="V113" i="2"/>
  <c r="V1321" i="2"/>
  <c r="V1004" i="2"/>
  <c r="V1607" i="2"/>
  <c r="V263" i="2"/>
  <c r="V1530" i="2"/>
  <c r="V1234" i="2"/>
  <c r="V971" i="2"/>
  <c r="V1038" i="2"/>
  <c r="V1862" i="2"/>
  <c r="V776" i="2"/>
  <c r="V432" i="2"/>
  <c r="V1651" i="2"/>
  <c r="V274" i="2"/>
  <c r="V1611" i="2"/>
  <c r="V84" i="2"/>
  <c r="V933" i="2"/>
  <c r="V1207" i="2"/>
  <c r="V1469" i="2"/>
  <c r="V469" i="2"/>
  <c r="V1698" i="2"/>
  <c r="V1666" i="2"/>
  <c r="V1815" i="2"/>
  <c r="V523" i="2"/>
  <c r="V454" i="2"/>
  <c r="V968" i="2"/>
  <c r="V953" i="2"/>
  <c r="V812" i="2"/>
  <c r="V1256" i="2"/>
  <c r="V1823" i="2"/>
  <c r="V1053" i="2"/>
  <c r="V699" i="2"/>
  <c r="V196" i="2"/>
  <c r="V1547" i="2"/>
  <c r="V920" i="2"/>
  <c r="V143" i="2"/>
  <c r="V1851" i="2"/>
  <c r="V1579" i="2"/>
  <c r="V767" i="2"/>
  <c r="V415" i="2"/>
  <c r="V566" i="2"/>
  <c r="V1409" i="2"/>
  <c r="V979" i="2"/>
  <c r="V204" i="2"/>
  <c r="V165" i="2"/>
  <c r="V1891" i="2"/>
  <c r="V583" i="2"/>
  <c r="V205" i="2"/>
  <c r="V1690" i="2"/>
  <c r="V1082" i="2"/>
  <c r="V1035" i="2"/>
  <c r="V1266" i="2"/>
  <c r="V1364" i="2"/>
  <c r="V5" i="2"/>
  <c r="V1932" i="2"/>
  <c r="V300" i="2"/>
  <c r="V635" i="2"/>
  <c r="V35" i="2"/>
  <c r="V337" i="2"/>
  <c r="V835" i="2"/>
  <c r="V786" i="2"/>
  <c r="V170" i="2"/>
  <c r="V647" i="2"/>
  <c r="V401" i="2"/>
  <c r="V682" i="2"/>
  <c r="V1706" i="2"/>
  <c r="V1481" i="2"/>
  <c r="V1168" i="2"/>
  <c r="V1037" i="2"/>
  <c r="V76" i="2"/>
  <c r="V1945" i="2"/>
  <c r="V395" i="2"/>
  <c r="V1797" i="2"/>
  <c r="V1170" i="2"/>
  <c r="V1722" i="2"/>
  <c r="V1898" i="2"/>
  <c r="V1400" i="2"/>
  <c r="V691" i="2"/>
  <c r="V792" i="2"/>
  <c r="V1834" i="2"/>
  <c r="V1279" i="2"/>
  <c r="V1139" i="2"/>
  <c r="V842" i="2"/>
  <c r="V671" i="2"/>
  <c r="V1227" i="2"/>
  <c r="V645" i="2"/>
  <c r="V17" i="2"/>
  <c r="V819" i="2"/>
  <c r="V310" i="2"/>
  <c r="V654" i="2"/>
  <c r="V1110" i="2"/>
  <c r="V939" i="2"/>
  <c r="V83" i="2"/>
  <c r="V505" i="2"/>
  <c r="V532" i="2"/>
  <c r="V78" i="2"/>
  <c r="V1997" i="2"/>
  <c r="V995" i="2"/>
  <c r="V1580" i="2"/>
  <c r="V955" i="2"/>
  <c r="V844" i="2"/>
  <c r="V1878" i="2"/>
  <c r="V1761" i="2"/>
  <c r="V1187" i="2"/>
  <c r="V281" i="2"/>
  <c r="V1748" i="2"/>
  <c r="V1204" i="2"/>
  <c r="V1691" i="2"/>
  <c r="V1723" i="2"/>
  <c r="V1041" i="2"/>
  <c r="V1006" i="2"/>
  <c r="V1108" i="2"/>
  <c r="V397" i="2"/>
  <c r="V109" i="2"/>
  <c r="V413" i="2"/>
  <c r="V510" i="2"/>
  <c r="V1952" i="2"/>
  <c r="V1442" i="2"/>
  <c r="V1523" i="2"/>
  <c r="V311" i="2"/>
  <c r="V1881" i="2"/>
  <c r="V909" i="2"/>
  <c r="V1346" i="2"/>
  <c r="V1638" i="2"/>
  <c r="V1875" i="2"/>
  <c r="V1861" i="2"/>
  <c r="V1541" i="2"/>
  <c r="V193" i="2"/>
  <c r="V1850" i="2"/>
  <c r="V871" i="2"/>
  <c r="V1917" i="2"/>
  <c r="V923" i="2"/>
  <c r="V1939" i="2"/>
  <c r="V37" i="2"/>
  <c r="V1578" i="2"/>
  <c r="V271" i="2"/>
  <c r="V130" i="2"/>
  <c r="V1518" i="2"/>
  <c r="V425" i="2"/>
  <c r="V675" i="2"/>
  <c r="V63" i="2"/>
  <c r="V712" i="2"/>
  <c r="V1801" i="2"/>
  <c r="V1937" i="2"/>
  <c r="V420" i="2"/>
  <c r="V806" i="2"/>
  <c r="V1754" i="2"/>
  <c r="V268" i="2"/>
  <c r="V1615" i="2"/>
  <c r="V810" i="2"/>
  <c r="V807" i="2"/>
  <c r="V1258" i="2"/>
  <c r="V69" i="2"/>
  <c r="V255" i="2"/>
  <c r="V733" i="2"/>
  <c r="V1764" i="2"/>
  <c r="V1002" i="2"/>
  <c r="V1114" i="2"/>
  <c r="V437" i="2"/>
  <c r="V1899" i="2"/>
  <c r="V1522" i="2"/>
  <c r="V1492" i="2"/>
  <c r="V833" i="2"/>
  <c r="V1401" i="2"/>
  <c r="V407" i="2"/>
  <c r="V312" i="2"/>
  <c r="V580" i="2"/>
  <c r="V1104" i="2"/>
  <c r="V1872" i="2"/>
  <c r="V1608" i="2"/>
  <c r="V369" i="2"/>
  <c r="V1813" i="2"/>
  <c r="V114" i="2"/>
  <c r="V736" i="2"/>
  <c r="V958" i="2"/>
  <c r="V246" i="2"/>
  <c r="V1052" i="2"/>
  <c r="V217" i="2"/>
  <c r="V650" i="2"/>
  <c r="V676" i="2"/>
  <c r="V335" i="2"/>
  <c r="V681" i="2"/>
  <c r="V1671" i="2"/>
  <c r="V796" i="2"/>
  <c r="V1941" i="2"/>
  <c r="V750" i="2"/>
  <c r="V121" i="2"/>
  <c r="V981" i="2"/>
  <c r="V326" i="2"/>
  <c r="V1155" i="2"/>
  <c r="V1799" i="2"/>
  <c r="V910" i="2"/>
  <c r="V1307" i="2"/>
  <c r="V146" i="2"/>
  <c r="V157" i="2"/>
  <c r="V578" i="2"/>
  <c r="V308" i="2"/>
  <c r="V1440" i="2"/>
  <c r="V1301" i="2"/>
  <c r="V516" i="2"/>
  <c r="V316" i="2"/>
  <c r="V760" i="2"/>
  <c r="V1350" i="2"/>
  <c r="V1389" i="2"/>
  <c r="V1562" i="2"/>
  <c r="V26" i="2"/>
  <c r="V560" i="2"/>
  <c r="V1730" i="2"/>
  <c r="V1629" i="2"/>
  <c r="V1418" i="2"/>
  <c r="V948" i="2"/>
  <c r="V1626" i="2"/>
  <c r="V77" i="2"/>
  <c r="V1193" i="2"/>
  <c r="V940" i="2"/>
  <c r="V152" i="2"/>
  <c r="V1965" i="2"/>
  <c r="V768" i="2"/>
  <c r="V1273" i="2"/>
  <c r="V1624" i="2"/>
  <c r="V1112" i="2"/>
  <c r="V1529" i="2"/>
  <c r="V818" i="2"/>
  <c r="V1740" i="2"/>
  <c r="V1614" i="2"/>
  <c r="V226" i="2"/>
  <c r="V745" i="2"/>
  <c r="V182" i="2"/>
  <c r="V463" i="2"/>
  <c r="V455" i="2"/>
  <c r="V398" i="2"/>
  <c r="V1826" i="2"/>
  <c r="V874" i="2"/>
  <c r="V264" i="2"/>
  <c r="V359" i="2"/>
  <c r="V1693" i="2"/>
  <c r="V628" i="2"/>
  <c r="V456" i="2"/>
  <c r="V656" i="2"/>
  <c r="V1814" i="2"/>
  <c r="V127" i="2"/>
  <c r="V295" i="2"/>
  <c r="V149" i="2"/>
  <c r="V1735" i="2"/>
  <c r="V1804" i="2"/>
  <c r="V1616" i="2"/>
  <c r="V212" i="2"/>
  <c r="V324" i="2"/>
  <c r="V376" i="2"/>
  <c r="V986" i="2"/>
  <c r="V1637" i="2"/>
  <c r="V1733" i="2"/>
  <c r="V90" i="2"/>
  <c r="V1331" i="2"/>
  <c r="V1435" i="2"/>
  <c r="V1461" i="2"/>
  <c r="V881" i="2"/>
  <c r="V1806" i="2"/>
  <c r="V744" i="2"/>
  <c r="V1436" i="2"/>
  <c r="V370" i="2"/>
  <c r="V1948" i="2"/>
  <c r="V1323" i="2"/>
  <c r="V155" i="2"/>
  <c r="V1953" i="2"/>
  <c r="V1848" i="2"/>
  <c r="V171" i="2"/>
  <c r="V1773" i="2"/>
  <c r="V693" i="2"/>
  <c r="V1915" i="2"/>
  <c r="V632" i="2"/>
  <c r="V243" i="2"/>
  <c r="V604" i="2"/>
  <c r="V1095" i="2"/>
  <c r="V1692" i="2"/>
  <c r="V1729" i="2"/>
  <c r="V1738" i="2"/>
  <c r="V1236" i="2"/>
  <c r="V1381" i="2"/>
  <c r="V25" i="2"/>
  <c r="V659" i="2"/>
  <c r="V687" i="2"/>
  <c r="V1455" i="2"/>
  <c r="V1294" i="2"/>
  <c r="V297" i="2"/>
  <c r="V364" i="2"/>
  <c r="V391" i="2"/>
  <c r="V1398" i="2"/>
  <c r="V1632" i="2"/>
  <c r="V486" i="2"/>
  <c r="V472" i="2"/>
  <c r="V548" i="2"/>
  <c r="V1978" i="2"/>
  <c r="V144" i="2"/>
  <c r="V932" i="2"/>
  <c r="V821" i="2"/>
  <c r="V482" i="2"/>
  <c r="V546" i="2"/>
  <c r="V1743" i="2"/>
  <c r="V1511" i="2"/>
  <c r="V476" i="2"/>
  <c r="V788" i="2"/>
  <c r="V108" i="2"/>
  <c r="V809" i="2"/>
  <c r="V555" i="2"/>
  <c r="V94" i="2"/>
  <c r="V974" i="2"/>
  <c r="V547" i="2"/>
  <c r="V290" i="2"/>
  <c r="V443" i="2"/>
  <c r="V151" i="2"/>
  <c r="V1090" i="2"/>
  <c r="V1571" i="2"/>
  <c r="V582" i="2"/>
  <c r="V1354" i="2"/>
  <c r="V1055" i="2"/>
  <c r="V12" i="2"/>
  <c r="V1427" i="2"/>
  <c r="V988" i="2"/>
  <c r="V1559" i="2"/>
  <c r="V867" i="2"/>
  <c r="V1732" i="2"/>
  <c r="V1339" i="2"/>
  <c r="V936" i="2"/>
  <c r="V2" i="2"/>
  <c r="V168" i="2"/>
  <c r="V374" i="2"/>
  <c r="V458" i="2"/>
  <c r="V1831" i="2"/>
  <c r="V1913" i="2"/>
  <c r="V900" i="2"/>
  <c r="V247" i="2"/>
  <c r="V1969" i="2"/>
  <c r="V686" i="2"/>
  <c r="V54" i="2"/>
  <c r="V231" i="2"/>
  <c r="V763" i="2"/>
  <c r="V409" i="2"/>
  <c r="V453" i="2"/>
  <c r="V1264" i="2"/>
  <c r="V1213" i="2"/>
  <c r="V1864" i="2"/>
  <c r="V390" i="2"/>
  <c r="V1058" i="2"/>
  <c r="V1425" i="2"/>
  <c r="V44" i="2"/>
  <c r="V1396" i="2"/>
  <c r="V1137" i="2"/>
  <c r="V135" i="2"/>
  <c r="V964" i="2"/>
  <c r="V45" i="2"/>
  <c r="V28" i="2"/>
  <c r="V1231" i="2"/>
  <c r="V223" i="2"/>
  <c r="V1843" i="2"/>
  <c r="V1925" i="2"/>
  <c r="V1674" i="2"/>
  <c r="V590" i="2"/>
  <c r="V1635" i="2"/>
  <c r="V330" i="2"/>
  <c r="V1370" i="2"/>
  <c r="V1216" i="2"/>
  <c r="V1306" i="2"/>
  <c r="V512" i="2"/>
  <c r="V924" i="2"/>
  <c r="V1628" i="2"/>
  <c r="V534" i="2"/>
  <c r="V1758" i="2"/>
  <c r="V1228" i="2"/>
  <c r="V1556" i="2"/>
  <c r="V1392" i="2"/>
  <c r="V487" i="2"/>
  <c r="V1715" i="2"/>
  <c r="V1956" i="2"/>
  <c r="V1995" i="2"/>
  <c r="V1936" i="2"/>
  <c r="V751" i="2"/>
  <c r="V864" i="2"/>
  <c r="V1820" i="2"/>
  <c r="V1452" i="2"/>
  <c r="V1818" i="2"/>
  <c r="V519" i="2"/>
  <c r="V579" i="2"/>
  <c r="V375" i="2"/>
  <c r="V1362" i="2"/>
  <c r="V147" i="2"/>
  <c r="V499" i="2"/>
  <c r="V1867" i="2"/>
  <c r="V808" i="2"/>
  <c r="V1157" i="2"/>
  <c r="V1184" i="2"/>
  <c r="V994" i="2"/>
  <c r="V509" i="2"/>
  <c r="V71" i="2"/>
  <c r="V1143" i="2"/>
  <c r="V685" i="2"/>
  <c r="V575" i="2"/>
  <c r="V410" i="2"/>
  <c r="V1907" i="2"/>
  <c r="V562" i="2"/>
  <c r="V21" i="2"/>
  <c r="V574" i="2"/>
  <c r="V1161" i="2"/>
  <c r="V903" i="2"/>
  <c r="V283" i="2"/>
  <c r="V1253" i="2"/>
  <c r="V65" i="2"/>
  <c r="V1325" i="2"/>
  <c r="V1980" i="2"/>
  <c r="V47" i="2"/>
  <c r="V1046" i="2"/>
  <c r="V416" i="2"/>
  <c r="V1800" i="2"/>
  <c r="V100" i="2"/>
  <c r="V1025" i="2"/>
  <c r="V216" i="2"/>
  <c r="V336" i="2"/>
  <c r="V1894" i="2"/>
  <c r="V434" i="2"/>
  <c r="V1332" i="2"/>
  <c r="V256" i="2"/>
  <c r="V639" i="2"/>
  <c r="V1313" i="2"/>
  <c r="V1431" i="2"/>
  <c r="V384" i="2"/>
  <c r="V827" i="2"/>
  <c r="V1679" i="2"/>
  <c r="V1950" i="2"/>
  <c r="V1647" i="2"/>
  <c r="V1066" i="2"/>
  <c r="V1947" i="2"/>
  <c r="V1340" i="2"/>
  <c r="V1267" i="2"/>
  <c r="V353" i="2"/>
  <c r="V840" i="2"/>
  <c r="V138" i="2"/>
  <c r="V1957" i="2"/>
  <c r="V1577" i="2"/>
  <c r="V1885" i="2"/>
  <c r="V1285" i="2"/>
  <c r="V605" i="2"/>
  <c r="V296" i="2"/>
  <c r="V1031" i="2"/>
  <c r="V1395" i="2"/>
  <c r="V1156" i="2"/>
  <c r="V772" i="2"/>
  <c r="V1081" i="2"/>
  <c r="V1293" i="2"/>
  <c r="V1027" i="2"/>
  <c r="V841" i="2"/>
  <c r="V934" i="2"/>
  <c r="V381" i="2"/>
  <c r="V1120" i="2"/>
  <c r="V1148" i="2"/>
  <c r="V265" i="2"/>
  <c r="V1545" i="2"/>
  <c r="V1302" i="2"/>
  <c r="V730" i="2"/>
  <c r="V1097" i="2"/>
  <c r="V208" i="2"/>
  <c r="V1460" i="2"/>
  <c r="V946" i="2"/>
  <c r="V684" i="2"/>
  <c r="V1958" i="2"/>
  <c r="V526" i="2"/>
  <c r="V183" i="2"/>
  <c r="V436" i="2"/>
  <c r="V1784" i="2"/>
  <c r="V1281" i="2"/>
  <c r="V1327" i="2"/>
  <c r="V154" i="2"/>
  <c r="V1001" i="2"/>
  <c r="V1582" i="2"/>
  <c r="V828" i="2"/>
  <c r="V238" i="2"/>
  <c r="V1613" i="2"/>
  <c r="V925" i="2"/>
  <c r="V556" i="2"/>
  <c r="V1558" i="2"/>
  <c r="V1092" i="2"/>
  <c r="V1550" i="2"/>
  <c r="V584" i="2"/>
  <c r="V801" i="2"/>
  <c r="V1083" i="2"/>
  <c r="V1154" i="2"/>
  <c r="V239" i="2"/>
  <c r="V755" i="2"/>
  <c r="V1196" i="2"/>
  <c r="V585" i="2"/>
  <c r="V1570" i="2"/>
  <c r="V1458" i="2"/>
  <c r="V435" i="2"/>
  <c r="V1018" i="2"/>
  <c r="V392" i="2"/>
  <c r="V393" i="2"/>
  <c r="V1180" i="2"/>
  <c r="V1749" i="2"/>
  <c r="V180" i="2"/>
  <c r="V1816" i="2"/>
  <c r="V1974" i="2"/>
  <c r="V1087" i="2"/>
  <c r="V1390" i="2"/>
  <c r="V275" i="2"/>
  <c r="V895" i="2"/>
  <c r="V394" i="2"/>
  <c r="V756" i="2"/>
  <c r="V1118" i="2"/>
  <c r="V1772" i="2"/>
  <c r="V902" i="2"/>
  <c r="V79" i="2"/>
  <c r="V1747" i="2"/>
  <c r="V779" i="2"/>
  <c r="V710" i="2"/>
  <c r="V831" i="2"/>
  <c r="V1298" i="2"/>
  <c r="V334" i="2"/>
  <c r="V1811" i="2"/>
  <c r="V139" i="2"/>
  <c r="V1569" i="2"/>
  <c r="V1206" i="2"/>
  <c r="V41" i="2"/>
  <c r="V480" i="2"/>
  <c r="V1050" i="2"/>
  <c r="V1592" i="2"/>
  <c r="V1173" i="2"/>
  <c r="V648" i="2"/>
  <c r="V1930" i="2"/>
  <c r="V318" i="2"/>
  <c r="V899" i="2"/>
  <c r="V965" i="2"/>
  <c r="V591" i="2"/>
  <c r="V977" i="2"/>
  <c r="V747" i="2"/>
  <c r="V1286" i="2"/>
  <c r="V1716" i="2"/>
  <c r="V1774" i="2"/>
  <c r="V1414" i="2"/>
  <c r="V1133" i="2"/>
  <c r="V1444" i="2"/>
  <c r="V122" i="2"/>
  <c r="V1602" i="2"/>
  <c r="V1374" i="2"/>
  <c r="V1708" i="2"/>
  <c r="V451" i="2"/>
  <c r="V672" i="2"/>
  <c r="V826" i="2"/>
  <c r="V9" i="2"/>
  <c r="V1841" i="2"/>
  <c r="V252" i="2"/>
  <c r="V1021" i="2"/>
  <c r="V1308" i="2"/>
  <c r="V33" i="2"/>
  <c r="V161" i="2"/>
  <c r="V1472" i="2"/>
  <c r="V1071" i="2"/>
  <c r="V305" i="2"/>
  <c r="V912" i="2"/>
  <c r="V1859" i="2"/>
  <c r="V1384" i="2"/>
  <c r="V834" i="2"/>
  <c r="V666" i="2"/>
  <c r="V104" i="2"/>
  <c r="V1241" i="2"/>
  <c r="V683" i="2"/>
  <c r="V16" i="2"/>
  <c r="V1667" i="2"/>
  <c r="V921" i="2"/>
  <c r="V446" i="2"/>
  <c r="V1865" i="2"/>
  <c r="V191" i="2"/>
  <c r="V253" i="2"/>
  <c r="V1239" i="2"/>
  <c r="V64" i="2"/>
  <c r="V1701" i="2"/>
  <c r="V539" i="2"/>
  <c r="V1393" i="2"/>
  <c r="V1728" i="2"/>
  <c r="V278" i="2"/>
  <c r="V1596" i="2"/>
  <c r="V663" i="2"/>
  <c r="V855" i="2"/>
  <c r="V1526" i="2"/>
  <c r="V137" i="2"/>
  <c r="V896" i="2"/>
  <c r="V186" i="2"/>
  <c r="V13" i="2"/>
  <c r="V302" i="2"/>
  <c r="V233" i="2"/>
  <c r="V674" i="2"/>
  <c r="V492" i="2"/>
  <c r="V847" i="2"/>
  <c r="V141" i="2"/>
  <c r="V1534" i="2"/>
  <c r="V31" i="2"/>
  <c r="V465" i="2"/>
  <c r="V441" i="2"/>
  <c r="V198" i="2"/>
  <c r="V740" i="2"/>
  <c r="V1468" i="2"/>
  <c r="V213" i="2"/>
  <c r="V785" i="2"/>
  <c r="V1271" i="2"/>
  <c r="V987" i="2"/>
  <c r="V898" i="2"/>
  <c r="V1619" i="2"/>
  <c r="V738" i="2"/>
  <c r="V338" i="2"/>
  <c r="V836" i="2"/>
  <c r="V1920" i="2"/>
  <c r="V1922" i="2"/>
  <c r="V473" i="2"/>
  <c r="V112" i="2"/>
  <c r="V621" i="2"/>
  <c r="V1627" i="2"/>
  <c r="V1212" i="2"/>
  <c r="V1979" i="2"/>
  <c r="V1757" i="2"/>
  <c r="V784" i="2"/>
  <c r="V1176" i="2"/>
  <c r="V1489" i="2"/>
  <c r="V1618" i="2"/>
  <c r="V595" i="2"/>
  <c r="V1788" i="2"/>
  <c r="V315" i="2"/>
  <c r="V1775" i="2"/>
  <c r="V1355" i="2"/>
  <c r="V440" i="2"/>
  <c r="V603" i="2"/>
  <c r="V668" i="2"/>
  <c r="V1167" i="2"/>
  <c r="V1636" i="2"/>
  <c r="V347" i="2"/>
  <c r="V1542" i="2"/>
  <c r="V1919" i="2"/>
  <c r="V1465" i="2"/>
  <c r="V1711" i="2"/>
  <c r="V1188" i="2"/>
  <c r="V1844" i="2"/>
  <c r="V830" i="2"/>
  <c r="V619" i="2"/>
  <c r="V55" i="2"/>
  <c r="V224" i="2"/>
  <c r="V1951" i="2"/>
  <c r="V1337" i="2"/>
  <c r="V913" i="2"/>
  <c r="V241" i="2"/>
  <c r="V1653" i="2"/>
  <c r="V259" i="2"/>
  <c r="V570" i="2"/>
  <c r="V1505" i="2"/>
  <c r="V1453" i="2"/>
  <c r="V102" i="2"/>
  <c r="V266" i="2"/>
  <c r="V368" i="2"/>
  <c r="V269" i="2"/>
  <c r="V1678" i="2"/>
  <c r="V587" i="2"/>
  <c r="V1981" i="2"/>
  <c r="V406" i="2"/>
  <c r="V557" i="2"/>
  <c r="V856" i="2"/>
  <c r="V126" i="2"/>
  <c r="V40" i="2"/>
  <c r="V1533" i="2"/>
  <c r="V1487" i="2"/>
  <c r="V922" i="2"/>
  <c r="V188" i="2"/>
  <c r="V722" i="2"/>
  <c r="V1441" i="2"/>
  <c r="V185" i="2"/>
  <c r="V1059" i="2"/>
  <c r="V886" i="2"/>
  <c r="V262" i="2"/>
  <c r="V1855" i="2"/>
  <c r="V70" i="2"/>
  <c r="V573" i="2"/>
  <c r="V1966" i="2"/>
  <c r="V1737" i="2"/>
  <c r="V759" i="2"/>
  <c r="V719" i="2"/>
  <c r="V960" i="2"/>
  <c r="V73" i="2"/>
  <c r="V1766" i="2"/>
  <c r="V1929" i="2"/>
  <c r="V110" i="2"/>
  <c r="V1812" i="2"/>
  <c r="V331" i="2"/>
  <c r="V1718" i="2"/>
  <c r="V1192" i="2"/>
  <c r="V1318" i="2"/>
  <c r="V1507" i="2"/>
  <c r="V1291" i="2"/>
  <c r="V1549" i="2"/>
  <c r="V949" i="2"/>
  <c r="V495" i="2"/>
  <c r="V158" i="2"/>
  <c r="V128" i="2"/>
  <c r="V778" i="2"/>
  <c r="V1270" i="2"/>
  <c r="V602" i="2"/>
  <c r="V1023" i="2"/>
  <c r="V1810" i="2"/>
  <c r="V242" i="2"/>
  <c r="V848" i="2"/>
  <c r="V351" i="2"/>
  <c r="V1060" i="2"/>
  <c r="V1642" i="2"/>
  <c r="V342" i="2"/>
  <c r="V1051" i="2"/>
  <c r="V530" i="2"/>
  <c r="V1064" i="2"/>
  <c r="V304" i="2"/>
  <c r="V1065" i="2"/>
  <c r="V367" i="2"/>
  <c r="V1641" i="2"/>
  <c r="V169" i="2"/>
  <c r="V1421" i="2"/>
  <c r="V489" i="2"/>
  <c r="V1189" i="2"/>
  <c r="V1805" i="2"/>
  <c r="V618" i="2"/>
  <c r="V1248" i="2"/>
  <c r="V319" i="2"/>
  <c r="V48" i="2"/>
  <c r="V1043" i="2"/>
  <c r="V39" i="2"/>
  <c r="V1010" i="2"/>
  <c r="V276" i="2"/>
  <c r="V1024" i="2"/>
  <c r="V541" i="2"/>
  <c r="V630" i="2"/>
  <c r="V1202" i="2"/>
  <c r="V863" i="2"/>
  <c r="V249" i="2"/>
  <c r="V851" i="2"/>
  <c r="V1411" i="2"/>
  <c r="V1781" i="2"/>
  <c r="V201" i="2"/>
  <c r="V1590" i="2"/>
  <c r="V1527" i="2"/>
  <c r="V1597" i="2"/>
  <c r="V1946" i="2"/>
  <c r="V1519" i="2"/>
  <c r="V1942" i="2"/>
  <c r="V1933" i="2"/>
  <c r="V1914" i="2"/>
  <c r="V816" i="2"/>
  <c r="V527" i="2"/>
  <c r="V1067" i="2"/>
  <c r="V507" i="2"/>
  <c r="V1255" i="2"/>
  <c r="V1124" i="2"/>
  <c r="V513" i="2"/>
  <c r="V1430" i="2"/>
  <c r="V845" i="2"/>
  <c r="V660" i="2"/>
  <c r="V1105" i="2"/>
  <c r="V1290" i="2"/>
  <c r="V1631" i="2"/>
  <c r="V716" i="2"/>
  <c r="V1868" i="2"/>
  <c r="V545" i="2"/>
  <c r="V1771" i="2"/>
  <c r="V1911" i="2"/>
  <c r="V1780" i="2"/>
  <c r="V1736" i="2"/>
  <c r="V1488" i="2"/>
  <c r="V606" i="2"/>
  <c r="V729" i="2"/>
  <c r="V708" i="2"/>
  <c r="V875" i="2"/>
  <c r="V1707" i="2"/>
  <c r="V1382" i="2"/>
  <c r="V861" i="2"/>
  <c r="V589" i="2"/>
  <c r="V92" i="2"/>
  <c r="V74" i="2"/>
  <c r="V521" i="2"/>
  <c r="V1399" i="2"/>
  <c r="V1961" i="2"/>
  <c r="V1888" i="2"/>
  <c r="V422" i="2"/>
  <c r="V1483" i="2"/>
  <c r="V314" i="2"/>
  <c r="V613" i="2"/>
  <c r="V430" i="2"/>
  <c r="V107" i="2"/>
  <c r="V1057" i="2"/>
  <c r="V773" i="2"/>
  <c r="V889" i="2"/>
  <c r="V1101" i="2"/>
  <c r="V184" i="2"/>
  <c r="V1985" i="2"/>
  <c r="V962" i="2"/>
  <c r="V1080" i="2"/>
  <c r="V1132" i="2"/>
  <c r="V1517" i="2"/>
  <c r="V474" i="2"/>
  <c r="V1721" i="2"/>
  <c r="V174" i="2"/>
  <c r="V1659" i="2"/>
  <c r="V850" i="2"/>
  <c r="V1162" i="2"/>
  <c r="V419" i="2"/>
  <c r="V1009" i="2"/>
  <c r="V251" i="2"/>
  <c r="V884" i="2"/>
  <c r="V418" i="2"/>
  <c r="V1303" i="2"/>
  <c r="V1682" i="2"/>
  <c r="V947" i="2"/>
  <c r="V703" i="2"/>
  <c r="V1109" i="2"/>
  <c r="V1656" i="2"/>
  <c r="V218" i="2"/>
  <c r="V1809" i="2"/>
  <c r="V1338" i="2"/>
  <c r="V1315" i="2"/>
  <c r="V1568" i="2"/>
  <c r="V914" i="2"/>
  <c r="V1305" i="2"/>
  <c r="V1357" i="2"/>
  <c r="V549" i="2"/>
  <c r="V1254" i="2"/>
  <c r="V568" i="2"/>
  <c r="V1242" i="2"/>
  <c r="V757" i="2"/>
  <c r="V1351" i="2"/>
  <c r="V366" i="2"/>
  <c r="V429" i="2"/>
  <c r="V1116" i="2"/>
  <c r="V975" i="2"/>
  <c r="V1077" i="2"/>
  <c r="V1617" i="2"/>
  <c r="V1605" i="2"/>
  <c r="V1252" i="2"/>
  <c r="V999" i="2"/>
  <c r="V1179" i="2"/>
  <c r="V1836" i="2"/>
  <c r="V140" i="2"/>
  <c r="V1685" i="2"/>
  <c r="V1910" i="2"/>
  <c r="V1141" i="2"/>
  <c r="V325" i="2"/>
  <c r="V1446" i="2"/>
  <c r="V1567" i="2"/>
  <c r="V641" i="2"/>
  <c r="V461" i="2"/>
  <c r="V631" i="2"/>
  <c r="V1655" i="2"/>
  <c r="V1535" i="2"/>
  <c r="V1599" i="2"/>
  <c r="V490" i="2"/>
  <c r="V1745" i="2"/>
  <c r="V1070" i="2"/>
  <c r="V260" i="2"/>
  <c r="V673" i="2"/>
  <c r="V535" i="2"/>
  <c r="V1791" i="2"/>
  <c r="V858" i="2"/>
  <c r="V1130" i="2"/>
  <c r="V748" i="2"/>
  <c r="V1174" i="2"/>
  <c r="V540" i="2"/>
  <c r="V1796" i="2"/>
  <c r="V1194" i="2"/>
  <c r="V344" i="2"/>
  <c r="V1282" i="2"/>
  <c r="V849" i="2"/>
  <c r="V1837" i="2"/>
  <c r="V56" i="2"/>
  <c r="V669" i="2"/>
  <c r="V412" i="2"/>
  <c r="V793" i="2"/>
  <c r="V1407" i="2"/>
  <c r="V1501" i="2"/>
  <c r="V1508" i="2"/>
  <c r="V118" i="2"/>
  <c r="V551" i="2"/>
  <c r="V1845" i="2"/>
  <c r="V22" i="2"/>
  <c r="V1422" i="2"/>
  <c r="V1135" i="2"/>
  <c r="V129" i="2"/>
  <c r="V1230" i="2"/>
  <c r="V1459" i="2"/>
  <c r="V1121" i="2"/>
  <c r="V1792" i="2"/>
  <c r="V1630" i="2"/>
  <c r="V464" i="2"/>
  <c r="V558" i="2"/>
  <c r="V1639" i="2"/>
  <c r="V1244" i="2"/>
  <c r="V594" i="2"/>
  <c r="V1889" i="2"/>
  <c r="V704" i="2"/>
  <c r="V961" i="2"/>
  <c r="V1896" i="2"/>
  <c r="V388" i="2"/>
  <c r="V1183" i="2"/>
  <c r="V1221" i="2"/>
  <c r="V1476" i="2"/>
  <c r="V1045" i="2"/>
  <c r="V1622" i="2"/>
  <c r="V1397" i="2"/>
  <c r="V1934" i="2"/>
  <c r="V1345" i="2"/>
  <c r="V339" i="2"/>
  <c r="V787" i="2"/>
  <c r="V120" i="2"/>
  <c r="V1877" i="2"/>
  <c r="V345" i="2"/>
  <c r="V234" i="2"/>
  <c r="V1376" i="2"/>
  <c r="V1835" i="2"/>
  <c r="V1790" i="2"/>
  <c r="V1540" i="2"/>
  <c r="V1061" i="2"/>
  <c r="V1106" i="2"/>
  <c r="V1404" i="2"/>
  <c r="V998" i="2"/>
  <c r="V1623" i="2"/>
  <c r="V571" i="2"/>
  <c r="V59" i="2"/>
  <c r="V8" i="2"/>
  <c r="V475" i="2"/>
  <c r="V1670" i="2"/>
  <c r="V1146" i="2"/>
  <c r="V46" i="2"/>
  <c r="V991" i="2"/>
  <c r="V1175" i="2"/>
  <c r="V1935" i="2"/>
  <c r="V1263" i="2"/>
  <c r="V1669" i="2"/>
  <c r="V797" i="2"/>
  <c r="V1462" i="2"/>
  <c r="V1288" i="2"/>
  <c r="V983" i="2"/>
  <c r="V1993" i="2"/>
  <c r="V1467" i="2"/>
  <c r="V1201" i="2"/>
  <c r="V1649" i="2"/>
  <c r="V1245" i="2"/>
  <c r="V232" i="2"/>
  <c r="V1557" i="2"/>
  <c r="V1049" i="2"/>
  <c r="V607" i="2"/>
  <c r="V382" i="2"/>
  <c r="V1454" i="2"/>
  <c r="V211" i="2"/>
  <c r="V358" i="2"/>
  <c r="V612" i="2"/>
  <c r="V200" i="2"/>
  <c r="V1676" i="2"/>
  <c r="V938" i="2"/>
  <c r="V1218" i="2"/>
  <c r="V228" i="2"/>
  <c r="V1871" i="2"/>
  <c r="V1927" i="2"/>
  <c r="V1645" i="2"/>
  <c r="V421" i="2"/>
  <c r="V1229" i="2"/>
  <c r="V1099" i="2"/>
  <c r="V362" i="2"/>
  <c r="V782" i="2"/>
  <c r="V1731" i="2"/>
  <c r="V610" i="2"/>
  <c r="V620" i="2"/>
  <c r="V1233" i="2"/>
  <c r="V1178" i="2"/>
  <c r="V593" i="2"/>
  <c r="V447" i="2"/>
  <c r="V341" i="2"/>
  <c r="V97" i="2"/>
  <c r="V588" i="2"/>
  <c r="V980" i="2"/>
  <c r="V1660" i="2"/>
  <c r="V1768" i="2"/>
  <c r="V1203" i="2"/>
  <c r="V1145" i="2"/>
  <c r="V426" i="2"/>
  <c r="V1259" i="2"/>
  <c r="V1375" i="2"/>
  <c r="V1341" i="2"/>
  <c r="V1901" i="2"/>
  <c r="V1710" i="2"/>
  <c r="V1405" i="2"/>
  <c r="V783" i="2"/>
  <c r="V1794" i="2"/>
  <c r="V277" i="2"/>
  <c r="V220" i="2"/>
  <c r="V1380" i="2"/>
  <c r="V1575" i="2"/>
  <c r="V1426" i="2"/>
  <c r="V1451" i="2"/>
  <c r="V1967" i="2"/>
  <c r="V1186" i="2"/>
  <c r="V1026" i="2"/>
  <c r="V1028" i="2"/>
  <c r="V240" i="2"/>
  <c r="V915" i="2"/>
  <c r="V901" i="2"/>
  <c r="V1923" i="2"/>
  <c r="V1538" i="2"/>
  <c r="V1383" i="2"/>
  <c r="V878" i="2"/>
  <c r="V930" i="2"/>
  <c r="V1470" i="2"/>
  <c r="V237" i="2"/>
  <c r="V799" i="2"/>
  <c r="V695" i="2"/>
  <c r="V1726" i="2"/>
  <c r="V1595" i="2"/>
  <c r="V969" i="2"/>
  <c r="V862" i="2"/>
  <c r="V1510" i="2"/>
  <c r="V1497" i="2"/>
  <c r="V1198" i="2"/>
  <c r="V1803" i="2"/>
  <c r="V1552" i="2"/>
  <c r="V1498" i="2"/>
  <c r="V1358" i="2"/>
  <c r="V1164" i="2"/>
  <c r="V762" i="2"/>
  <c r="V1085" i="2"/>
  <c r="V15" i="2"/>
  <c r="V941" i="2"/>
  <c r="V1986" i="2"/>
  <c r="V371" i="2"/>
  <c r="V215" i="2"/>
  <c r="V1863" i="2"/>
  <c r="V1860" i="2"/>
  <c r="V58" i="2"/>
  <c r="V1988" i="2"/>
  <c r="V1646" i="2"/>
  <c r="V552" i="2"/>
  <c r="V1652" i="2"/>
  <c r="V1908" i="2"/>
  <c r="V1352" i="2"/>
  <c r="V937" i="2"/>
  <c r="V1185" i="2"/>
  <c r="V1471" i="2"/>
  <c r="V105" i="2"/>
  <c r="V1551" i="2"/>
  <c r="V528" i="2"/>
  <c r="V1275" i="2"/>
  <c r="V267" i="2"/>
  <c r="V1696" i="2"/>
  <c r="V1565" i="2"/>
  <c r="V89" i="2"/>
  <c r="V1377" i="2"/>
  <c r="V379" i="2"/>
  <c r="V989" i="2"/>
  <c r="V1852" i="2"/>
  <c r="V997" i="2"/>
  <c r="V629" i="2"/>
  <c r="V1047" i="2"/>
  <c r="V956" i="2"/>
  <c r="V27" i="2"/>
  <c r="V1704" i="2"/>
  <c r="V504" i="2"/>
  <c r="V1996" i="2"/>
  <c r="V178" i="2"/>
  <c r="V1159" i="2"/>
  <c r="V1102" i="2"/>
  <c r="V1361" i="2"/>
  <c r="V20" i="2"/>
  <c r="V852" i="2"/>
  <c r="V457" i="2"/>
  <c r="V843" i="2"/>
  <c r="V250" i="2"/>
  <c r="V1073" i="2"/>
  <c r="V794" i="2"/>
  <c r="V159" i="2"/>
  <c r="V1763" i="2"/>
  <c r="V1866" i="2"/>
  <c r="V1474" i="2"/>
  <c r="V1448" i="2"/>
  <c r="V1983" i="2"/>
  <c r="V1589" i="2"/>
  <c r="V1938" i="2"/>
  <c r="V1680" i="2"/>
  <c r="V1634" i="2"/>
  <c r="V1424" i="2"/>
  <c r="V1999" i="2"/>
  <c r="V7" i="2"/>
  <c r="V306" i="2"/>
  <c r="V1437" i="2"/>
  <c r="V637" i="2"/>
  <c r="V1119" i="2"/>
  <c r="V1215" i="2"/>
  <c r="V125" i="2"/>
  <c r="V770" i="2"/>
  <c r="V577" i="2"/>
  <c r="V1972" i="2"/>
  <c r="V1537" i="2"/>
  <c r="V644" i="2"/>
  <c r="V101" i="2"/>
  <c r="V148" i="2"/>
  <c r="V1762" i="2"/>
  <c r="V916" i="2"/>
  <c r="V272" i="2"/>
  <c r="V1127" i="2"/>
  <c r="V500" i="2"/>
  <c r="V1496" i="2"/>
  <c r="V93" i="2"/>
  <c r="V199" i="2"/>
  <c r="V1036" i="2"/>
  <c r="V1111" i="2"/>
  <c r="V1475" i="2"/>
  <c r="V493" i="2"/>
  <c r="V301" i="2"/>
  <c r="V1700" i="2"/>
  <c r="V142" i="2"/>
  <c r="V1379" i="2"/>
  <c r="V714" i="2"/>
  <c r="V942" i="2"/>
  <c r="V289" i="2"/>
  <c r="V561" i="2"/>
  <c r="V423" i="2"/>
  <c r="V559" i="2"/>
  <c r="V99" i="2"/>
  <c r="V1373" i="2"/>
  <c r="V98" i="2"/>
  <c r="V1971" i="2"/>
  <c r="V928" i="2"/>
  <c r="V820" i="2"/>
  <c r="V1032" i="2"/>
  <c r="V649" i="2"/>
  <c r="V1838" i="2"/>
  <c r="V350" i="2"/>
  <c r="V115" i="2"/>
  <c r="V1278" i="2"/>
  <c r="V636" i="2"/>
  <c r="V438" i="2"/>
  <c r="V72" i="2"/>
  <c r="V1769" i="2"/>
  <c r="V1138" i="2"/>
  <c r="V1940" i="2"/>
  <c r="V1149" i="2"/>
  <c r="V1640" i="2"/>
  <c r="V1068" i="2"/>
  <c r="V774" i="2"/>
  <c r="V270" i="2"/>
  <c r="V14" i="2"/>
  <c r="V365" i="2"/>
  <c r="V23" i="2"/>
  <c r="V1512" i="2"/>
  <c r="V1456" i="2"/>
  <c r="V563" i="2"/>
  <c r="V1709" i="2"/>
  <c r="V117" i="2"/>
  <c r="V404" i="2"/>
  <c r="V766" i="2"/>
  <c r="V1491" i="2"/>
  <c r="V1787" i="2"/>
  <c r="V1220" i="2"/>
  <c r="V711" i="2"/>
  <c r="V600" i="2"/>
  <c r="V1755" i="2"/>
  <c r="V4" i="2"/>
  <c r="V1000" i="2"/>
  <c r="V1752" i="2"/>
  <c r="V1445" i="2"/>
  <c r="V1158" i="2"/>
  <c r="V282" i="2"/>
  <c r="V737" i="2"/>
  <c r="V57" i="2"/>
  <c r="V1856" i="2"/>
  <c r="V993" i="2"/>
  <c r="V893" i="2"/>
  <c r="V1524" i="2"/>
  <c r="V448" i="2"/>
  <c r="V908" i="2"/>
  <c r="V661" i="2"/>
  <c r="V156" i="2"/>
  <c r="V1739" i="2"/>
  <c r="V1943" i="2"/>
  <c r="V1371" i="2"/>
  <c r="V1128" i="2"/>
  <c r="V1217" i="2"/>
  <c r="V202" i="2"/>
  <c r="V322" i="2"/>
  <c r="V320" i="2"/>
  <c r="V1423" i="2"/>
  <c r="V1684" i="2"/>
  <c r="V1003" i="2"/>
  <c r="V111" i="2"/>
  <c r="V172" i="2"/>
  <c r="V1260" i="2"/>
  <c r="V1819" i="2"/>
  <c r="V877" i="2"/>
  <c r="V1536" i="2"/>
  <c r="V1998" i="2"/>
  <c r="V439" i="2"/>
  <c r="V927" i="2"/>
  <c r="V133" i="2"/>
  <c r="V697" i="2"/>
  <c r="V800" i="2"/>
  <c r="V261" i="2"/>
  <c r="V1782" i="2"/>
  <c r="V1880" i="2"/>
  <c r="V236" i="2"/>
  <c r="V1490" i="2"/>
  <c r="V303" i="2"/>
  <c r="V1727" i="2"/>
  <c r="V1776" i="2"/>
  <c r="V658" i="2"/>
  <c r="V1372" i="2"/>
  <c r="V1830" i="2"/>
  <c r="V1779" i="2"/>
  <c r="V1760" i="2"/>
  <c r="V992" i="2"/>
  <c r="V1200" i="2"/>
  <c r="V323" i="2"/>
  <c r="V1394" i="2"/>
  <c r="V175" i="2"/>
  <c r="V462" i="2"/>
  <c r="V764" i="2"/>
  <c r="V1261" i="2"/>
  <c r="V1513" i="2"/>
  <c r="V511" i="2"/>
  <c r="V614" i="2"/>
  <c r="V1326" i="2"/>
  <c r="V1069" i="2"/>
  <c r="V176" i="2"/>
  <c r="V399" i="2"/>
  <c r="V531" i="2"/>
  <c r="V1588" i="2"/>
  <c r="V586" i="2"/>
  <c r="V51" i="2"/>
  <c r="V1211" i="2"/>
  <c r="V1500" i="2"/>
  <c r="V680" i="2"/>
  <c r="V1576" i="2"/>
  <c r="V1807" i="2"/>
  <c r="V1250" i="2"/>
  <c r="V1525" i="2"/>
  <c r="V957" i="2"/>
  <c r="V777" i="2"/>
  <c r="V906" i="2"/>
  <c r="V761" i="2"/>
  <c r="V742" i="2"/>
  <c r="V967" i="2"/>
  <c r="V1572" i="2"/>
  <c r="V524" i="2"/>
  <c r="V506" i="2"/>
  <c r="V221" i="2"/>
  <c r="V488" i="2"/>
  <c r="V361" i="2"/>
  <c r="V1134" i="2"/>
  <c r="V298" i="2"/>
  <c r="V96" i="2"/>
  <c r="V752" i="2"/>
  <c r="V611" i="2"/>
  <c r="V822" i="2"/>
  <c r="V498" i="2"/>
  <c r="V1246" i="2"/>
  <c r="V1987" i="2"/>
  <c r="V299" i="2"/>
  <c r="V119" i="2"/>
  <c r="V1909" i="2"/>
  <c r="V1333" i="2"/>
  <c r="V599" i="2"/>
  <c r="V1348" i="2"/>
  <c r="V187" i="2"/>
  <c r="V1482" i="2"/>
  <c r="V1030" i="2"/>
  <c r="V1854" i="2"/>
  <c r="V1574" i="2"/>
  <c r="V1088" i="2"/>
  <c r="V1140" i="2"/>
  <c r="V1990" i="2"/>
  <c r="V471" i="2"/>
  <c r="V1609" i="2"/>
  <c r="V442" i="2"/>
  <c r="V356" i="2"/>
  <c r="V206" i="2"/>
  <c r="V1573" i="2"/>
  <c r="V468" i="2"/>
  <c r="V1883" i="2"/>
  <c r="V1697" i="2"/>
  <c r="V1503" i="2"/>
  <c r="V1992" i="2"/>
  <c r="V294" i="2"/>
  <c r="V1107" i="2"/>
  <c r="V1594" i="2"/>
  <c r="V1262" i="2"/>
  <c r="V68" i="2"/>
  <c r="V689" i="2"/>
  <c r="V638" i="2"/>
  <c r="V1433" i="2"/>
  <c r="V1013" i="2"/>
  <c r="V894" i="2"/>
  <c r="V153" i="2"/>
  <c r="V690" i="2"/>
  <c r="V1226" i="2"/>
  <c r="V1268" i="2"/>
  <c r="V483" i="2"/>
  <c r="V43" i="2"/>
  <c r="V1668" i="2"/>
  <c r="V1495" i="2"/>
  <c r="V1606" i="2"/>
  <c r="V173" i="2"/>
  <c r="V481" i="2"/>
  <c r="V1171" i="2"/>
  <c r="V1447" i="2"/>
  <c r="V123" i="2"/>
  <c r="V1274" i="2"/>
  <c r="V1208" i="2"/>
  <c r="V30" i="2"/>
  <c r="V1677" i="2"/>
  <c r="V805" i="2"/>
  <c r="V1463" i="2"/>
  <c r="V1681" i="2"/>
  <c r="V1048" i="2"/>
  <c r="V244" i="2"/>
  <c r="V1853" i="2"/>
  <c r="V1450" i="2"/>
  <c r="V1695" i="2"/>
  <c r="V1583" i="2"/>
  <c r="V870" i="2"/>
  <c r="V357" i="2"/>
  <c r="V209" i="2"/>
  <c r="V529" i="2"/>
  <c r="V873" i="2"/>
  <c r="V1528" i="2"/>
  <c r="V868" i="2"/>
  <c r="V769" i="2"/>
  <c r="V976" i="2"/>
  <c r="V652" i="2"/>
  <c r="V1516" i="2"/>
  <c r="V179" i="2"/>
  <c r="V197" i="2"/>
  <c r="V791" i="2"/>
  <c r="V514" i="2"/>
  <c r="V907" i="2"/>
  <c r="V508" i="2"/>
  <c r="V411" i="2"/>
  <c r="V935" i="2"/>
  <c r="V853" i="2"/>
  <c r="V222" i="2"/>
  <c r="V1115" i="2"/>
  <c r="V383" i="2"/>
  <c r="V972" i="2"/>
  <c r="V1916" i="2"/>
  <c r="V857" i="2"/>
  <c r="V1633" i="2"/>
  <c r="V1432" i="2"/>
  <c r="V931" i="2"/>
  <c r="V1412" i="2"/>
  <c r="V452" i="2"/>
  <c r="V1548" i="2"/>
  <c r="V642" i="2"/>
  <c r="V1976" i="2"/>
  <c r="V1515" i="2"/>
  <c r="V625" i="2"/>
  <c r="V1365" i="2"/>
  <c r="V1912" i="2"/>
  <c r="V162" i="2"/>
  <c r="V1561" i="2"/>
  <c r="V665" i="2"/>
  <c r="V477" i="2"/>
  <c r="V1833" i="2"/>
  <c r="V167" i="2"/>
  <c r="V1970" i="2"/>
  <c r="V1238" i="2"/>
  <c r="V85" i="2"/>
  <c r="V885" i="2"/>
  <c r="V1296" i="2"/>
  <c r="V1756" i="2"/>
  <c r="V1858" i="2"/>
  <c r="V702" i="2"/>
  <c r="V601" i="2"/>
  <c r="V715" i="2"/>
  <c r="V718" i="2"/>
  <c r="V1388" i="2"/>
  <c r="V1466" i="2"/>
  <c r="V1136" i="2"/>
  <c r="V396" i="2"/>
  <c r="V1084" i="2"/>
  <c r="V459" i="2"/>
  <c r="V1724" i="2"/>
  <c r="V1751" i="2"/>
  <c r="V1074" i="2"/>
  <c r="V1688" i="2"/>
  <c r="V1419" i="2"/>
  <c r="V229" i="2"/>
  <c r="V706" i="2"/>
  <c r="V1369" i="2"/>
  <c r="V377" i="2"/>
  <c r="V1903" i="2"/>
  <c r="V1385" i="2"/>
  <c r="V1673" i="2"/>
  <c r="V1876" i="2"/>
  <c r="V1849" i="2"/>
  <c r="V543" i="2"/>
  <c r="V1664" i="2"/>
  <c r="V1734" i="2"/>
  <c r="V735" i="2"/>
  <c r="V1717" i="2"/>
  <c r="V343" i="2"/>
  <c r="V564" i="2"/>
  <c r="V61" i="2"/>
  <c r="V1181" i="2"/>
  <c r="V724" i="2"/>
  <c r="V1644" i="2"/>
  <c r="V1750" i="2"/>
  <c r="V293" i="2"/>
  <c r="V230" i="2"/>
  <c r="V207" i="2"/>
  <c r="V1486" i="2"/>
  <c r="V1479" i="2"/>
  <c r="V163" i="2"/>
  <c r="V1874" i="2"/>
  <c r="V679" i="2"/>
  <c r="V1272" i="2"/>
  <c r="V1829" i="2"/>
  <c r="V1539" i="2"/>
  <c r="V460" i="2"/>
  <c r="V1403" i="2"/>
  <c r="V1378" i="2"/>
  <c r="V1408" i="2"/>
  <c r="V1402" i="2"/>
  <c r="V544" i="2"/>
  <c r="V1223" i="2"/>
  <c r="V952" i="2"/>
  <c r="V134" i="2"/>
  <c r="V466" i="2"/>
  <c r="V1566" i="2"/>
  <c r="V431" i="2"/>
  <c r="V640" i="2"/>
  <c r="V194" i="2"/>
  <c r="V1584" i="2"/>
  <c r="V380" i="2"/>
  <c r="V1991" i="2"/>
  <c r="V1795" i="2"/>
  <c r="V705" i="2"/>
  <c r="V616" i="2"/>
  <c r="V1846" i="2"/>
  <c r="V1304" i="2"/>
  <c r="V1601" i="2"/>
  <c r="V1413" i="2"/>
  <c r="V273" i="2"/>
  <c r="V1387" i="2"/>
  <c r="V80" i="2"/>
  <c r="V727" i="2"/>
  <c r="V227" i="2"/>
  <c r="V721" i="2"/>
  <c r="V1147" i="2"/>
  <c r="V688" i="2"/>
  <c r="V284" i="2"/>
  <c r="V865" i="2"/>
  <c r="V131" i="2"/>
  <c r="V1153" i="2"/>
  <c r="V496" i="2"/>
  <c r="V1742" i="2"/>
  <c r="V1406" i="2"/>
  <c r="V1289" i="2"/>
  <c r="V1977" i="2"/>
  <c r="V709" i="2"/>
  <c r="V1746" i="2"/>
  <c r="V1839" i="2"/>
  <c r="V646" i="2"/>
  <c r="V1869" i="2"/>
  <c r="V292" i="2"/>
  <c r="V1005" i="2"/>
  <c r="V1514" i="2"/>
  <c r="V1786" i="2"/>
  <c r="V959" i="2"/>
  <c r="V1429" i="2"/>
  <c r="V95" i="2"/>
  <c r="V1163" i="2"/>
  <c r="V1817" i="2"/>
  <c r="V1555" i="2"/>
  <c r="V1842" i="2"/>
  <c r="V1554" i="2"/>
  <c r="V1962" i="2"/>
  <c r="V1705" i="2"/>
  <c r="V405" i="2"/>
  <c r="V106" i="2"/>
  <c r="V18" i="2"/>
  <c r="V1502" i="2"/>
  <c r="V340" i="2"/>
  <c r="V1926" i="2"/>
  <c r="V823" i="2"/>
  <c r="V553" i="2"/>
  <c r="V1893" i="2"/>
  <c r="V360" i="2"/>
  <c r="V1222" i="2"/>
  <c r="V67" i="2"/>
  <c r="V1478" i="2"/>
  <c r="V1847" i="2"/>
  <c r="V124" i="2"/>
  <c r="V655" i="2"/>
  <c r="V627" i="2"/>
  <c r="V1620" i="2"/>
  <c r="V1484" i="2"/>
  <c r="V1564" i="2"/>
  <c r="V50" i="2"/>
  <c r="V66" i="2"/>
  <c r="V1918" i="2"/>
  <c r="V692" i="2"/>
  <c r="V1416" i="2"/>
  <c r="V1224" i="2"/>
  <c r="V883" i="2"/>
  <c r="V1973" i="2"/>
  <c r="V617" i="2"/>
  <c r="V517" i="2"/>
  <c r="V1330" i="2"/>
  <c r="V1347" i="2"/>
  <c r="V449" i="2"/>
  <c r="V2000" i="2"/>
  <c r="V1251" i="2"/>
  <c r="V1648" i="2"/>
  <c r="V1581" i="2"/>
  <c r="V838" i="2"/>
  <c r="V1334" i="2"/>
  <c r="V1884" i="2"/>
  <c r="V1960" i="2"/>
  <c r="V501" i="2"/>
  <c r="V1886" i="2"/>
  <c r="V1928" i="2"/>
  <c r="V1042" i="2"/>
  <c r="V11" i="2"/>
  <c r="V966" i="2"/>
  <c r="V1076" i="2"/>
  <c r="V749" i="2"/>
  <c r="V970" i="2"/>
  <c r="V945" i="2"/>
  <c r="V1663" i="2"/>
  <c r="V1699" i="2"/>
  <c r="V1890" i="2"/>
  <c r="V317" i="2"/>
  <c r="V494" i="2"/>
  <c r="V643" i="2"/>
  <c r="V1062" i="2"/>
  <c r="V615" i="2"/>
  <c r="V804" i="2"/>
  <c r="V891" i="2"/>
  <c r="V444" i="2"/>
  <c r="V1014" i="2"/>
  <c r="V854" i="2"/>
  <c r="V329" i="2"/>
  <c r="V1292" i="2"/>
  <c r="V1702" i="2"/>
  <c r="V1122" i="2"/>
  <c r="V1343" i="2"/>
  <c r="V725" i="2"/>
  <c r="V1793" i="2"/>
  <c r="V470" i="2"/>
  <c r="V1152" i="2"/>
  <c r="V609" i="2"/>
  <c r="V1612" i="2"/>
  <c r="V1694" i="2"/>
  <c r="V1039" i="2"/>
  <c r="V550" i="2"/>
  <c r="V1532" i="2"/>
  <c r="V1366" i="2"/>
  <c r="V408" i="2"/>
  <c r="V1054" i="2"/>
  <c r="V726" i="2"/>
  <c r="V859" i="2"/>
  <c r="V1686" i="2"/>
  <c r="V1359" i="2"/>
  <c r="V1100" i="2"/>
  <c r="V1984" i="2"/>
  <c r="V880" i="2"/>
  <c r="V1344" i="2"/>
  <c r="V1720" i="2"/>
  <c r="V576" i="2"/>
  <c r="V136" i="2"/>
  <c r="V1485" i="2"/>
  <c r="V678" i="2"/>
  <c r="V522" i="2"/>
  <c r="V450" i="2"/>
  <c r="V765" i="2"/>
  <c r="V520" i="2"/>
  <c r="V624" i="2"/>
  <c r="V1324" i="2"/>
  <c r="V743" i="2"/>
  <c r="V428" i="2"/>
  <c r="V1011" i="2"/>
  <c r="V1989" i="2"/>
  <c r="V781" i="2"/>
  <c r="V1477" i="2"/>
  <c r="V1825" i="2"/>
  <c r="V525" i="2"/>
  <c r="V1904" i="2"/>
  <c r="V1593" i="2"/>
  <c r="V1391" i="2"/>
  <c r="V1994" i="2"/>
  <c r="V754" i="2"/>
  <c r="V1225" i="2"/>
  <c r="V1360" i="2"/>
  <c r="V802" i="2"/>
  <c r="V626" i="2"/>
  <c r="V569" i="2"/>
  <c r="V1563" i="2"/>
  <c r="V1316" i="2"/>
  <c r="V1654" i="2"/>
  <c r="V190" i="2"/>
  <c r="V2001" i="2"/>
  <c r="V1603" i="2"/>
  <c r="V1015" i="2"/>
  <c r="V670" i="2"/>
  <c r="V1658" i="2"/>
  <c r="V1892" i="2"/>
  <c r="V592" i="2"/>
  <c r="V1506" i="2"/>
  <c r="V1625" i="2"/>
  <c r="V963" i="2"/>
  <c r="V491" i="2"/>
  <c r="V746" i="2"/>
  <c r="V926" i="2"/>
  <c r="V1177" i="2"/>
  <c r="V1650" i="2"/>
  <c r="V1439" i="2"/>
  <c r="V533" i="2"/>
  <c r="V1897" i="2"/>
  <c r="V869" i="2"/>
  <c r="V1887" i="2"/>
  <c r="V1335" i="2"/>
  <c r="V790" i="2"/>
  <c r="V355" i="2"/>
  <c r="V1610" i="2"/>
  <c r="V537" i="2"/>
  <c r="V280" i="2"/>
  <c r="V42" i="2"/>
  <c r="V402" i="2"/>
  <c r="V1310" i="2"/>
  <c r="V1022" i="2"/>
  <c r="V1968" i="2"/>
  <c r="V1808" i="2"/>
  <c r="V87" i="2"/>
  <c r="V346" i="2"/>
  <c r="V789" i="2"/>
  <c r="V34" i="2"/>
  <c r="V1150" i="2"/>
  <c r="V1300" i="2"/>
  <c r="V245" i="2"/>
  <c r="V1683" i="2"/>
  <c r="V433" i="2"/>
  <c r="V389" i="2"/>
  <c r="V1744" i="2"/>
  <c r="V467" i="2"/>
  <c r="V333" i="2"/>
  <c r="V373" i="2"/>
  <c r="V307" i="2"/>
  <c r="V707" i="2"/>
  <c r="V1232" i="2"/>
  <c r="V1319" i="2"/>
  <c r="V1356" i="2"/>
  <c r="V1963" i="2"/>
  <c r="V49" i="2"/>
  <c r="V1546" i="2"/>
  <c r="V1873" i="2"/>
  <c r="V352" i="2"/>
  <c r="V565" i="2"/>
  <c r="V1012" i="2"/>
  <c r="V75" i="2"/>
  <c r="V1283" i="2"/>
  <c r="V1713" i="2"/>
  <c r="V803" i="2"/>
  <c r="V1040" i="2"/>
  <c r="V1944" i="2"/>
  <c r="V132" i="2"/>
  <c r="V29" i="2"/>
  <c r="V1299" i="2"/>
  <c r="V698" i="2"/>
  <c r="V309" i="2"/>
  <c r="V1798" i="2"/>
  <c r="V1499" i="2"/>
  <c r="V210" i="2"/>
  <c r="V254" i="2"/>
  <c r="V38" i="2"/>
  <c r="V403" i="2"/>
  <c r="V1209" i="2"/>
  <c r="V291" i="2"/>
  <c r="V1587" i="2"/>
  <c r="V36" i="2"/>
  <c r="V1317" i="2"/>
  <c r="V479" i="2"/>
  <c r="V1284" i="2"/>
  <c r="V103" i="2"/>
  <c r="V950" i="2"/>
  <c r="V1311" i="2"/>
  <c r="V717" i="2"/>
  <c r="V1008" i="2"/>
  <c r="V1822" i="2"/>
  <c r="V1712" i="2"/>
  <c r="V1151" i="2"/>
  <c r="V917" i="2"/>
  <c r="V1072" i="2"/>
  <c r="V372" i="2"/>
  <c r="V1309" i="2"/>
  <c r="V1443" i="2"/>
  <c r="V1219" i="2"/>
  <c r="V554" i="2"/>
  <c r="V538" i="2"/>
  <c r="V1959" i="2"/>
  <c r="V1473" i="2"/>
  <c r="V10" i="2"/>
  <c r="V91" i="2"/>
  <c r="V1586" i="2"/>
  <c r="V741" i="2"/>
  <c r="V1336" i="2"/>
  <c r="V1789" i="2"/>
  <c r="V116" i="2"/>
  <c r="V82" i="2"/>
  <c r="V879" i="2"/>
  <c r="V1078" i="2"/>
  <c r="V1725" i="2"/>
  <c r="V235" i="2"/>
  <c r="V1329" i="2"/>
  <c r="V166" i="2"/>
  <c r="V905" i="2"/>
  <c r="V1093" i="2"/>
  <c r="V1096" i="2"/>
  <c r="V192" i="2"/>
  <c r="V1643" i="2"/>
  <c r="V720" i="2"/>
  <c r="V813" i="2"/>
  <c r="V1778" i="2"/>
  <c r="V723" i="2"/>
  <c r="V1210" i="2"/>
  <c r="V286" i="2"/>
  <c r="V1687" i="2"/>
  <c r="V145" i="2"/>
  <c r="V1172" i="2"/>
  <c r="V387" i="2"/>
  <c r="V1195" i="2"/>
  <c r="V1131" i="2"/>
  <c r="V990" i="2"/>
  <c r="V677" i="2"/>
  <c r="V795" i="2"/>
  <c r="V1600" i="2"/>
  <c r="V1931" i="2"/>
  <c r="V225" i="2"/>
  <c r="V904" i="2"/>
  <c r="V1585" i="2"/>
  <c r="V597" i="2"/>
  <c r="V1457" i="2"/>
  <c r="V1882" i="2"/>
  <c r="V150" i="2"/>
  <c r="V62" i="2"/>
  <c r="V651" i="2"/>
  <c r="V1975" i="2"/>
  <c r="V1091" i="2"/>
  <c r="V1521" i="2"/>
  <c r="V758" i="2"/>
  <c r="V1142" i="2"/>
  <c r="V1870" i="2"/>
  <c r="V386" i="2"/>
  <c r="V1719" i="2"/>
  <c r="V1126" i="2"/>
  <c r="V53" i="2"/>
  <c r="V608" i="2"/>
  <c r="V780" i="2"/>
  <c r="V1017" i="2"/>
  <c r="V1714" i="2"/>
  <c r="V1237" i="2"/>
  <c r="V662" i="2"/>
  <c r="V890" i="2"/>
  <c r="V313" i="2"/>
  <c r="V954" i="2"/>
  <c r="V985" i="2"/>
  <c r="V978" i="2"/>
  <c r="V1276" i="2"/>
  <c r="V701" i="2"/>
  <c r="V664" i="2"/>
  <c r="V279" i="2"/>
  <c r="V219" i="2"/>
  <c r="V1098" i="2"/>
  <c r="V1160" i="2"/>
  <c r="V653" i="2"/>
  <c r="V1657" i="2"/>
  <c r="V497" i="2"/>
  <c r="V1197" i="2"/>
  <c r="V1191" i="2"/>
  <c r="V598" i="2"/>
  <c r="V951" i="2"/>
  <c r="V3" i="2"/>
  <c r="V1249" i="2"/>
  <c r="V1103" i="2"/>
  <c r="V1464" i="2"/>
  <c r="V1828" i="2"/>
  <c r="V1386" i="2"/>
  <c r="V1235" i="2"/>
  <c r="V1314" i="2"/>
  <c r="V1879" i="2"/>
  <c r="V1129" i="2"/>
  <c r="V385" i="2"/>
  <c r="V348" i="2"/>
  <c r="V667" i="2"/>
  <c r="V1675" i="2"/>
  <c r="V811" i="2"/>
  <c r="V177" i="2"/>
  <c r="V815" i="2"/>
  <c r="V1320" i="2"/>
  <c r="V918" i="2"/>
  <c r="V400" i="2"/>
  <c r="V1410" i="2"/>
  <c r="V1434" i="2"/>
  <c r="V1169" i="2"/>
  <c r="V24" i="2"/>
  <c r="V1954" i="2"/>
  <c r="V1417" i="2"/>
  <c r="V1703" i="2"/>
  <c r="V1056" i="2"/>
  <c r="V911" i="2"/>
  <c r="V892" i="2"/>
  <c r="V1982" i="2"/>
  <c r="V872" i="2"/>
  <c r="V378" i="2"/>
  <c r="V327" i="2"/>
  <c r="V1214" i="2"/>
  <c r="V354" i="2"/>
  <c r="V824" i="2"/>
  <c r="V1895" i="2"/>
  <c r="V943" i="2"/>
  <c r="V332" i="2"/>
  <c r="V1312" i="2"/>
  <c r="V1604" i="2"/>
  <c r="V1591" i="2"/>
  <c r="V1802" i="2"/>
  <c r="V814" i="2"/>
  <c r="V1342" i="2"/>
  <c r="V1494" i="2"/>
  <c r="V181" i="2"/>
  <c r="V52" i="2"/>
  <c r="V734" i="2"/>
  <c r="V1367" i="2"/>
  <c r="V1363" i="2"/>
  <c r="V1857" i="2"/>
  <c r="V1079" i="2"/>
  <c r="V1117" i="2"/>
  <c r="V887" i="2"/>
  <c r="V485" i="2"/>
  <c r="V1900" i="2"/>
  <c r="V839" i="2"/>
  <c r="V445" i="2"/>
  <c r="V1964" i="2"/>
  <c r="V1661" i="2"/>
  <c r="V1113" i="2"/>
  <c r="V1089" i="2"/>
  <c r="V1349" i="2"/>
  <c r="V258" i="2"/>
  <c r="V1840" i="2"/>
  <c r="V1783" i="2"/>
  <c r="V817" i="2"/>
  <c r="V1016" i="2"/>
  <c r="V1044" i="2"/>
  <c r="V203" i="2"/>
  <c r="V1777" i="2"/>
  <c r="V1415" i="2"/>
  <c r="V982" i="2"/>
  <c r="V876" i="2"/>
  <c r="V996" i="2"/>
  <c r="V1665" i="2"/>
  <c r="V832" i="2"/>
  <c r="V214" i="2"/>
  <c r="V1493" i="2"/>
  <c r="V1553" i="2"/>
  <c r="V60" i="2"/>
  <c r="V1328" i="2"/>
  <c r="V731" i="2"/>
  <c r="V1770" i="2"/>
  <c r="V1504" i="2"/>
  <c r="V837" i="2"/>
  <c r="V973" i="2"/>
  <c r="V478" i="2"/>
  <c r="V1243" i="2"/>
  <c r="V866" i="2"/>
  <c r="V1368" i="2"/>
  <c r="V288" i="2"/>
  <c r="V633" i="2"/>
  <c r="V1531" i="2"/>
  <c r="V257" i="2"/>
  <c r="V1199" i="2"/>
  <c r="V1144" i="2"/>
  <c r="V195" i="2"/>
  <c r="V287" i="2"/>
  <c r="V596" i="2"/>
  <c r="V1033" i="2"/>
  <c r="V1269" i="2"/>
  <c r="V919" i="2"/>
  <c r="V1240" i="2"/>
  <c r="V417" i="2"/>
  <c r="V1906" i="2"/>
  <c r="V1020" i="2"/>
  <c r="V888" i="2"/>
  <c r="V1257" i="2"/>
  <c r="V1767" i="2"/>
  <c r="V19" i="2"/>
  <c r="V502" i="2"/>
  <c r="V1520" i="2"/>
  <c r="V1598" i="2"/>
  <c r="U503" i="2"/>
  <c r="U623" i="2"/>
  <c r="U1165" i="2"/>
  <c r="U1063" i="2"/>
  <c r="U248" i="2"/>
  <c r="U1029" i="2"/>
  <c r="U1832" i="2"/>
  <c r="U984" i="2"/>
  <c r="U189" i="2"/>
  <c r="U1265" i="2"/>
  <c r="U897" i="2"/>
  <c r="U1190" i="2"/>
  <c r="U515" i="2"/>
  <c r="U1785" i="2"/>
  <c r="U1075" i="2"/>
  <c r="U732" i="2"/>
  <c r="U1753" i="2"/>
  <c r="U1019" i="2"/>
  <c r="U1287" i="2"/>
  <c r="U1420" i="2"/>
  <c r="U622" i="2"/>
  <c r="U1297" i="2"/>
  <c r="U1449" i="2"/>
  <c r="U424" i="2"/>
  <c r="U728" i="2"/>
  <c r="U1662" i="2"/>
  <c r="U1924" i="2"/>
  <c r="U1560" i="2"/>
  <c r="U88" i="2"/>
  <c r="U944" i="2"/>
  <c r="U829" i="2"/>
  <c r="U1094" i="2"/>
  <c r="U657" i="2"/>
  <c r="U427" i="2"/>
  <c r="U771" i="2"/>
  <c r="U567" i="2"/>
  <c r="U1123" i="2"/>
  <c r="U775" i="2"/>
  <c r="U164" i="2"/>
  <c r="U696" i="2"/>
  <c r="U328" i="2"/>
  <c r="U1428" i="2"/>
  <c r="U825" i="2"/>
  <c r="U542" i="2"/>
  <c r="U1480" i="2"/>
  <c r="U363" i="2"/>
  <c r="U694" i="2"/>
  <c r="U1827" i="2"/>
  <c r="U349" i="2"/>
  <c r="U882" i="2"/>
  <c r="U1824" i="2"/>
  <c r="U1295" i="2"/>
  <c r="U1821" i="2"/>
  <c r="U484" i="2"/>
  <c r="U536" i="2"/>
  <c r="U1509" i="2"/>
  <c r="U713" i="2"/>
  <c r="U1921" i="2"/>
  <c r="U581" i="2"/>
  <c r="U6" i="2"/>
  <c r="U1759" i="2"/>
  <c r="U1905" i="2"/>
  <c r="U1322" i="2"/>
  <c r="U518" i="2"/>
  <c r="U32" i="2"/>
  <c r="U1034" i="2"/>
  <c r="U1205" i="2"/>
  <c r="U1247" i="2"/>
  <c r="U86" i="2"/>
  <c r="U1672" i="2"/>
  <c r="U1007" i="2"/>
  <c r="U1902" i="2"/>
  <c r="U160" i="2"/>
  <c r="U1438" i="2"/>
  <c r="U1125" i="2"/>
  <c r="U1621" i="2"/>
  <c r="U1166" i="2"/>
  <c r="U700" i="2"/>
  <c r="U634" i="2"/>
  <c r="U414" i="2"/>
  <c r="U860" i="2"/>
  <c r="U81" i="2"/>
  <c r="U1543" i="2"/>
  <c r="U1280" i="2"/>
  <c r="U1949" i="2"/>
  <c r="U1741" i="2"/>
  <c r="U846" i="2"/>
  <c r="U1353" i="2"/>
  <c r="U753" i="2"/>
  <c r="U1086" i="2"/>
  <c r="U321" i="2"/>
  <c r="U798" i="2"/>
  <c r="U572" i="2"/>
  <c r="U739" i="2"/>
  <c r="U929" i="2"/>
  <c r="U1689" i="2"/>
  <c r="U1955" i="2"/>
  <c r="U1182" i="2"/>
  <c r="U1765" i="2"/>
  <c r="U1277" i="2"/>
  <c r="U285" i="2"/>
  <c r="U1544" i="2"/>
  <c r="U113" i="2"/>
  <c r="U1321" i="2"/>
  <c r="U1004" i="2"/>
  <c r="U1607" i="2"/>
  <c r="U263" i="2"/>
  <c r="U1530" i="2"/>
  <c r="U1234" i="2"/>
  <c r="U971" i="2"/>
  <c r="U1038" i="2"/>
  <c r="U1862" i="2"/>
  <c r="U776" i="2"/>
  <c r="U432" i="2"/>
  <c r="U1651" i="2"/>
  <c r="U274" i="2"/>
  <c r="U1611" i="2"/>
  <c r="U84" i="2"/>
  <c r="U933" i="2"/>
  <c r="U1207" i="2"/>
  <c r="U1469" i="2"/>
  <c r="U469" i="2"/>
  <c r="U1698" i="2"/>
  <c r="U1666" i="2"/>
  <c r="U1815" i="2"/>
  <c r="U523" i="2"/>
  <c r="U454" i="2"/>
  <c r="U968" i="2"/>
  <c r="U953" i="2"/>
  <c r="U812" i="2"/>
  <c r="U1256" i="2"/>
  <c r="U1823" i="2"/>
  <c r="U1053" i="2"/>
  <c r="U699" i="2"/>
  <c r="U196" i="2"/>
  <c r="U1547" i="2"/>
  <c r="U920" i="2"/>
  <c r="U143" i="2"/>
  <c r="U1851" i="2"/>
  <c r="U1579" i="2"/>
  <c r="U767" i="2"/>
  <c r="U415" i="2"/>
  <c r="U566" i="2"/>
  <c r="U1409" i="2"/>
  <c r="U979" i="2"/>
  <c r="U204" i="2"/>
  <c r="U165" i="2"/>
  <c r="U1891" i="2"/>
  <c r="U583" i="2"/>
  <c r="U205" i="2"/>
  <c r="U1690" i="2"/>
  <c r="U1082" i="2"/>
  <c r="U1035" i="2"/>
  <c r="U1266" i="2"/>
  <c r="U1364" i="2"/>
  <c r="U5" i="2"/>
  <c r="U1932" i="2"/>
  <c r="U300" i="2"/>
  <c r="U635" i="2"/>
  <c r="U35" i="2"/>
  <c r="U337" i="2"/>
  <c r="U835" i="2"/>
  <c r="U786" i="2"/>
  <c r="U170" i="2"/>
  <c r="U647" i="2"/>
  <c r="U401" i="2"/>
  <c r="U682" i="2"/>
  <c r="U1706" i="2"/>
  <c r="U1481" i="2"/>
  <c r="U1168" i="2"/>
  <c r="U1037" i="2"/>
  <c r="U76" i="2"/>
  <c r="U1945" i="2"/>
  <c r="U395" i="2"/>
  <c r="U1797" i="2"/>
  <c r="U1170" i="2"/>
  <c r="U1722" i="2"/>
  <c r="U1898" i="2"/>
  <c r="U1400" i="2"/>
  <c r="U691" i="2"/>
  <c r="U792" i="2"/>
  <c r="U1834" i="2"/>
  <c r="U1279" i="2"/>
  <c r="U1139" i="2"/>
  <c r="U842" i="2"/>
  <c r="U671" i="2"/>
  <c r="U1227" i="2"/>
  <c r="U645" i="2"/>
  <c r="U17" i="2"/>
  <c r="U819" i="2"/>
  <c r="U310" i="2"/>
  <c r="U654" i="2"/>
  <c r="U1110" i="2"/>
  <c r="U939" i="2"/>
  <c r="U83" i="2"/>
  <c r="U505" i="2"/>
  <c r="U532" i="2"/>
  <c r="U78" i="2"/>
  <c r="U1997" i="2"/>
  <c r="U995" i="2"/>
  <c r="U1580" i="2"/>
  <c r="U955" i="2"/>
  <c r="U844" i="2"/>
  <c r="U1878" i="2"/>
  <c r="U1761" i="2"/>
  <c r="U1187" i="2"/>
  <c r="U281" i="2"/>
  <c r="U1748" i="2"/>
  <c r="U1204" i="2"/>
  <c r="U1691" i="2"/>
  <c r="U1723" i="2"/>
  <c r="U1041" i="2"/>
  <c r="U1006" i="2"/>
  <c r="U1108" i="2"/>
  <c r="U397" i="2"/>
  <c r="U109" i="2"/>
  <c r="U413" i="2"/>
  <c r="U510" i="2"/>
  <c r="U1952" i="2"/>
  <c r="U1442" i="2"/>
  <c r="U1523" i="2"/>
  <c r="U311" i="2"/>
  <c r="U1881" i="2"/>
  <c r="U909" i="2"/>
  <c r="U1346" i="2"/>
  <c r="U1638" i="2"/>
  <c r="U1875" i="2"/>
  <c r="U1861" i="2"/>
  <c r="U1541" i="2"/>
  <c r="U193" i="2"/>
  <c r="U1850" i="2"/>
  <c r="U871" i="2"/>
  <c r="U1917" i="2"/>
  <c r="U923" i="2"/>
  <c r="U1939" i="2"/>
  <c r="U37" i="2"/>
  <c r="U1578" i="2"/>
  <c r="U271" i="2"/>
  <c r="U130" i="2"/>
  <c r="U1518" i="2"/>
  <c r="U425" i="2"/>
  <c r="U675" i="2"/>
  <c r="U63" i="2"/>
  <c r="U712" i="2"/>
  <c r="U1801" i="2"/>
  <c r="U1937" i="2"/>
  <c r="U420" i="2"/>
  <c r="U806" i="2"/>
  <c r="U1754" i="2"/>
  <c r="U268" i="2"/>
  <c r="U1615" i="2"/>
  <c r="U810" i="2"/>
  <c r="U807" i="2"/>
  <c r="U1258" i="2"/>
  <c r="U69" i="2"/>
  <c r="U255" i="2"/>
  <c r="U733" i="2"/>
  <c r="U1764" i="2"/>
  <c r="U1002" i="2"/>
  <c r="U1114" i="2"/>
  <c r="U437" i="2"/>
  <c r="U1899" i="2"/>
  <c r="U1522" i="2"/>
  <c r="U1492" i="2"/>
  <c r="U833" i="2"/>
  <c r="U1401" i="2"/>
  <c r="U407" i="2"/>
  <c r="U312" i="2"/>
  <c r="U580" i="2"/>
  <c r="U1104" i="2"/>
  <c r="U1872" i="2"/>
  <c r="U1608" i="2"/>
  <c r="U369" i="2"/>
  <c r="U1813" i="2"/>
  <c r="U114" i="2"/>
  <c r="U736" i="2"/>
  <c r="U958" i="2"/>
  <c r="U246" i="2"/>
  <c r="U1052" i="2"/>
  <c r="U217" i="2"/>
  <c r="U650" i="2"/>
  <c r="U676" i="2"/>
  <c r="U335" i="2"/>
  <c r="U681" i="2"/>
  <c r="U1671" i="2"/>
  <c r="U796" i="2"/>
  <c r="U1941" i="2"/>
  <c r="U750" i="2"/>
  <c r="U121" i="2"/>
  <c r="U981" i="2"/>
  <c r="U326" i="2"/>
  <c r="U1155" i="2"/>
  <c r="U1799" i="2"/>
  <c r="U910" i="2"/>
  <c r="U1307" i="2"/>
  <c r="U146" i="2"/>
  <c r="U157" i="2"/>
  <c r="U578" i="2"/>
  <c r="U308" i="2"/>
  <c r="U1440" i="2"/>
  <c r="U1301" i="2"/>
  <c r="U516" i="2"/>
  <c r="U316" i="2"/>
  <c r="U760" i="2"/>
  <c r="U1350" i="2"/>
  <c r="U1389" i="2"/>
  <c r="U1562" i="2"/>
  <c r="U26" i="2"/>
  <c r="U560" i="2"/>
  <c r="U1730" i="2"/>
  <c r="U1629" i="2"/>
  <c r="U1418" i="2"/>
  <c r="U948" i="2"/>
  <c r="U1626" i="2"/>
  <c r="U77" i="2"/>
  <c r="U1193" i="2"/>
  <c r="U940" i="2"/>
  <c r="U152" i="2"/>
  <c r="U1965" i="2"/>
  <c r="U768" i="2"/>
  <c r="U1273" i="2"/>
  <c r="U1624" i="2"/>
  <c r="U1112" i="2"/>
  <c r="U1529" i="2"/>
  <c r="U818" i="2"/>
  <c r="U1740" i="2"/>
  <c r="U1614" i="2"/>
  <c r="U226" i="2"/>
  <c r="U745" i="2"/>
  <c r="U182" i="2"/>
  <c r="U463" i="2"/>
  <c r="U455" i="2"/>
  <c r="U398" i="2"/>
  <c r="U1826" i="2"/>
  <c r="U874" i="2"/>
  <c r="U264" i="2"/>
  <c r="U359" i="2"/>
  <c r="U1693" i="2"/>
  <c r="U628" i="2"/>
  <c r="U456" i="2"/>
  <c r="U656" i="2"/>
  <c r="U1814" i="2"/>
  <c r="U127" i="2"/>
  <c r="U295" i="2"/>
  <c r="U149" i="2"/>
  <c r="U1735" i="2"/>
  <c r="U1804" i="2"/>
  <c r="U1616" i="2"/>
  <c r="U212" i="2"/>
  <c r="U324" i="2"/>
  <c r="U376" i="2"/>
  <c r="U986" i="2"/>
  <c r="U1637" i="2"/>
  <c r="U1733" i="2"/>
  <c r="U90" i="2"/>
  <c r="U1331" i="2"/>
  <c r="U1435" i="2"/>
  <c r="U1461" i="2"/>
  <c r="U881" i="2"/>
  <c r="U1806" i="2"/>
  <c r="U744" i="2"/>
  <c r="U1436" i="2"/>
  <c r="U370" i="2"/>
  <c r="U1948" i="2"/>
  <c r="U1323" i="2"/>
  <c r="U155" i="2"/>
  <c r="U1953" i="2"/>
  <c r="U1848" i="2"/>
  <c r="U171" i="2"/>
  <c r="U1773" i="2"/>
  <c r="U693" i="2"/>
  <c r="U1915" i="2"/>
  <c r="U632" i="2"/>
  <c r="U243" i="2"/>
  <c r="U604" i="2"/>
  <c r="U1095" i="2"/>
  <c r="U1692" i="2"/>
  <c r="U1729" i="2"/>
  <c r="U1738" i="2"/>
  <c r="U1236" i="2"/>
  <c r="U1381" i="2"/>
  <c r="U25" i="2"/>
  <c r="U659" i="2"/>
  <c r="U687" i="2"/>
  <c r="U1455" i="2"/>
  <c r="U1294" i="2"/>
  <c r="U297" i="2"/>
  <c r="U364" i="2"/>
  <c r="U391" i="2"/>
  <c r="U1398" i="2"/>
  <c r="U1632" i="2"/>
  <c r="U486" i="2"/>
  <c r="U472" i="2"/>
  <c r="U548" i="2"/>
  <c r="U1978" i="2"/>
  <c r="U144" i="2"/>
  <c r="U932" i="2"/>
  <c r="U821" i="2"/>
  <c r="U482" i="2"/>
  <c r="U546" i="2"/>
  <c r="U1743" i="2"/>
  <c r="U1511" i="2"/>
  <c r="U476" i="2"/>
  <c r="U788" i="2"/>
  <c r="U108" i="2"/>
  <c r="U809" i="2"/>
  <c r="U555" i="2"/>
  <c r="U94" i="2"/>
  <c r="U974" i="2"/>
  <c r="U547" i="2"/>
  <c r="U290" i="2"/>
  <c r="U443" i="2"/>
  <c r="U151" i="2"/>
  <c r="U1090" i="2"/>
  <c r="U1571" i="2"/>
  <c r="U582" i="2"/>
  <c r="U1354" i="2"/>
  <c r="U1055" i="2"/>
  <c r="U12" i="2"/>
  <c r="U1427" i="2"/>
  <c r="U988" i="2"/>
  <c r="U1559" i="2"/>
  <c r="U867" i="2"/>
  <c r="U1732" i="2"/>
  <c r="U1339" i="2"/>
  <c r="U936" i="2"/>
  <c r="U2" i="2"/>
  <c r="U168" i="2"/>
  <c r="U374" i="2"/>
  <c r="U458" i="2"/>
  <c r="U1831" i="2"/>
  <c r="U1913" i="2"/>
  <c r="U900" i="2"/>
  <c r="U247" i="2"/>
  <c r="U1969" i="2"/>
  <c r="U686" i="2"/>
  <c r="U54" i="2"/>
  <c r="U231" i="2"/>
  <c r="U763" i="2"/>
  <c r="U409" i="2"/>
  <c r="U453" i="2"/>
  <c r="U1264" i="2"/>
  <c r="U1213" i="2"/>
  <c r="U1864" i="2"/>
  <c r="U390" i="2"/>
  <c r="U1058" i="2"/>
  <c r="U1425" i="2"/>
  <c r="U44" i="2"/>
  <c r="U1396" i="2"/>
  <c r="U1137" i="2"/>
  <c r="U135" i="2"/>
  <c r="U964" i="2"/>
  <c r="U45" i="2"/>
  <c r="U28" i="2"/>
  <c r="U1231" i="2"/>
  <c r="U223" i="2"/>
  <c r="U1843" i="2"/>
  <c r="U1925" i="2"/>
  <c r="U1674" i="2"/>
  <c r="U590" i="2"/>
  <c r="U1635" i="2"/>
  <c r="U330" i="2"/>
  <c r="U1370" i="2"/>
  <c r="U1216" i="2"/>
  <c r="U1306" i="2"/>
  <c r="U512" i="2"/>
  <c r="U924" i="2"/>
  <c r="U1628" i="2"/>
  <c r="U534" i="2"/>
  <c r="U1758" i="2"/>
  <c r="U1228" i="2"/>
  <c r="U1556" i="2"/>
  <c r="U1392" i="2"/>
  <c r="U487" i="2"/>
  <c r="U1715" i="2"/>
  <c r="U1956" i="2"/>
  <c r="U1995" i="2"/>
  <c r="U1936" i="2"/>
  <c r="U751" i="2"/>
  <c r="U864" i="2"/>
  <c r="U1820" i="2"/>
  <c r="U1452" i="2"/>
  <c r="U1818" i="2"/>
  <c r="U519" i="2"/>
  <c r="U579" i="2"/>
  <c r="U375" i="2"/>
  <c r="U1362" i="2"/>
  <c r="U147" i="2"/>
  <c r="U499" i="2"/>
  <c r="U1867" i="2"/>
  <c r="U808" i="2"/>
  <c r="U1157" i="2"/>
  <c r="U1184" i="2"/>
  <c r="U994" i="2"/>
  <c r="U509" i="2"/>
  <c r="U71" i="2"/>
  <c r="U1143" i="2"/>
  <c r="U685" i="2"/>
  <c r="U575" i="2"/>
  <c r="U410" i="2"/>
  <c r="U1907" i="2"/>
  <c r="U562" i="2"/>
  <c r="U21" i="2"/>
  <c r="U574" i="2"/>
  <c r="U1161" i="2"/>
  <c r="U903" i="2"/>
  <c r="U283" i="2"/>
  <c r="U1253" i="2"/>
  <c r="U65" i="2"/>
  <c r="U1325" i="2"/>
  <c r="U1980" i="2"/>
  <c r="U47" i="2"/>
  <c r="U1046" i="2"/>
  <c r="U416" i="2"/>
  <c r="U1800" i="2"/>
  <c r="U100" i="2"/>
  <c r="U1025" i="2"/>
  <c r="U216" i="2"/>
  <c r="U336" i="2"/>
  <c r="U1894" i="2"/>
  <c r="U434" i="2"/>
  <c r="U1332" i="2"/>
  <c r="U256" i="2"/>
  <c r="U639" i="2"/>
  <c r="U1313" i="2"/>
  <c r="U1431" i="2"/>
  <c r="U384" i="2"/>
  <c r="U827" i="2"/>
  <c r="U1679" i="2"/>
  <c r="U1950" i="2"/>
  <c r="U1647" i="2"/>
  <c r="U1066" i="2"/>
  <c r="U1947" i="2"/>
  <c r="U1340" i="2"/>
  <c r="U1267" i="2"/>
  <c r="U353" i="2"/>
  <c r="U840" i="2"/>
  <c r="U138" i="2"/>
  <c r="U1957" i="2"/>
  <c r="U1577" i="2"/>
  <c r="U1885" i="2"/>
  <c r="U1285" i="2"/>
  <c r="U605" i="2"/>
  <c r="U296" i="2"/>
  <c r="U1031" i="2"/>
  <c r="U1395" i="2"/>
  <c r="U1156" i="2"/>
  <c r="U772" i="2"/>
  <c r="U1081" i="2"/>
  <c r="U1293" i="2"/>
  <c r="U1027" i="2"/>
  <c r="U841" i="2"/>
  <c r="U934" i="2"/>
  <c r="U381" i="2"/>
  <c r="U1120" i="2"/>
  <c r="U1148" i="2"/>
  <c r="U265" i="2"/>
  <c r="U1545" i="2"/>
  <c r="U1302" i="2"/>
  <c r="U730" i="2"/>
  <c r="U1097" i="2"/>
  <c r="U208" i="2"/>
  <c r="U1460" i="2"/>
  <c r="U946" i="2"/>
  <c r="U684" i="2"/>
  <c r="U1958" i="2"/>
  <c r="U526" i="2"/>
  <c r="U183" i="2"/>
  <c r="U436" i="2"/>
  <c r="U1784" i="2"/>
  <c r="U1281" i="2"/>
  <c r="U1327" i="2"/>
  <c r="U154" i="2"/>
  <c r="U1001" i="2"/>
  <c r="U1582" i="2"/>
  <c r="U828" i="2"/>
  <c r="U238" i="2"/>
  <c r="U1613" i="2"/>
  <c r="U925" i="2"/>
  <c r="U556" i="2"/>
  <c r="U1558" i="2"/>
  <c r="U1092" i="2"/>
  <c r="U1550" i="2"/>
  <c r="U584" i="2"/>
  <c r="U801" i="2"/>
  <c r="U1083" i="2"/>
  <c r="U1154" i="2"/>
  <c r="U239" i="2"/>
  <c r="U755" i="2"/>
  <c r="U1196" i="2"/>
  <c r="U585" i="2"/>
  <c r="U1570" i="2"/>
  <c r="U1458" i="2"/>
  <c r="U435" i="2"/>
  <c r="U1018" i="2"/>
  <c r="U392" i="2"/>
  <c r="U393" i="2"/>
  <c r="U1180" i="2"/>
  <c r="U1749" i="2"/>
  <c r="U180" i="2"/>
  <c r="U1816" i="2"/>
  <c r="U1974" i="2"/>
  <c r="U1087" i="2"/>
  <c r="U1390" i="2"/>
  <c r="U275" i="2"/>
  <c r="U895" i="2"/>
  <c r="U394" i="2"/>
  <c r="U756" i="2"/>
  <c r="U1118" i="2"/>
  <c r="U1772" i="2"/>
  <c r="U902" i="2"/>
  <c r="U79" i="2"/>
  <c r="U1747" i="2"/>
  <c r="U779" i="2"/>
  <c r="U710" i="2"/>
  <c r="U831" i="2"/>
  <c r="U1298" i="2"/>
  <c r="U334" i="2"/>
  <c r="U1811" i="2"/>
  <c r="U139" i="2"/>
  <c r="U1569" i="2"/>
  <c r="U1206" i="2"/>
  <c r="U41" i="2"/>
  <c r="U480" i="2"/>
  <c r="U1050" i="2"/>
  <c r="U1592" i="2"/>
  <c r="U1173" i="2"/>
  <c r="U648" i="2"/>
  <c r="U1930" i="2"/>
  <c r="U318" i="2"/>
  <c r="U899" i="2"/>
  <c r="U965" i="2"/>
  <c r="U591" i="2"/>
  <c r="U977" i="2"/>
  <c r="U747" i="2"/>
  <c r="U1286" i="2"/>
  <c r="U1716" i="2"/>
  <c r="U1774" i="2"/>
  <c r="U1414" i="2"/>
  <c r="U1133" i="2"/>
  <c r="U1444" i="2"/>
  <c r="U122" i="2"/>
  <c r="U1602" i="2"/>
  <c r="U1374" i="2"/>
  <c r="U1708" i="2"/>
  <c r="U451" i="2"/>
  <c r="U672" i="2"/>
  <c r="U826" i="2"/>
  <c r="U9" i="2"/>
  <c r="U1841" i="2"/>
  <c r="U252" i="2"/>
  <c r="U1021" i="2"/>
  <c r="U1308" i="2"/>
  <c r="U33" i="2"/>
  <c r="U161" i="2"/>
  <c r="U1472" i="2"/>
  <c r="U1071" i="2"/>
  <c r="U305" i="2"/>
  <c r="U912" i="2"/>
  <c r="U1859" i="2"/>
  <c r="U1384" i="2"/>
  <c r="U834" i="2"/>
  <c r="U666" i="2"/>
  <c r="U104" i="2"/>
  <c r="U1241" i="2"/>
  <c r="U683" i="2"/>
  <c r="U16" i="2"/>
  <c r="U1667" i="2"/>
  <c r="U921" i="2"/>
  <c r="U446" i="2"/>
  <c r="U1865" i="2"/>
  <c r="U191" i="2"/>
  <c r="U253" i="2"/>
  <c r="U1239" i="2"/>
  <c r="U64" i="2"/>
  <c r="U1701" i="2"/>
  <c r="U539" i="2"/>
  <c r="U1393" i="2"/>
  <c r="U1728" i="2"/>
  <c r="U278" i="2"/>
  <c r="U1596" i="2"/>
  <c r="U663" i="2"/>
  <c r="U855" i="2"/>
  <c r="U1526" i="2"/>
  <c r="U137" i="2"/>
  <c r="U896" i="2"/>
  <c r="U186" i="2"/>
  <c r="U13" i="2"/>
  <c r="U302" i="2"/>
  <c r="U233" i="2"/>
  <c r="U674" i="2"/>
  <c r="U492" i="2"/>
  <c r="U847" i="2"/>
  <c r="U141" i="2"/>
  <c r="U1534" i="2"/>
  <c r="U31" i="2"/>
  <c r="U465" i="2"/>
  <c r="U441" i="2"/>
  <c r="U198" i="2"/>
  <c r="U740" i="2"/>
  <c r="U1468" i="2"/>
  <c r="U213" i="2"/>
  <c r="U785" i="2"/>
  <c r="U1271" i="2"/>
  <c r="U987" i="2"/>
  <c r="U898" i="2"/>
  <c r="U1619" i="2"/>
  <c r="U738" i="2"/>
  <c r="U338" i="2"/>
  <c r="U836" i="2"/>
  <c r="U1920" i="2"/>
  <c r="U1922" i="2"/>
  <c r="U473" i="2"/>
  <c r="U112" i="2"/>
  <c r="U621" i="2"/>
  <c r="U1627" i="2"/>
  <c r="U1212" i="2"/>
  <c r="U1979" i="2"/>
  <c r="U1757" i="2"/>
  <c r="U784" i="2"/>
  <c r="U1176" i="2"/>
  <c r="U1489" i="2"/>
  <c r="U1618" i="2"/>
  <c r="U595" i="2"/>
  <c r="U1788" i="2"/>
  <c r="U315" i="2"/>
  <c r="U1775" i="2"/>
  <c r="U1355" i="2"/>
  <c r="U440" i="2"/>
  <c r="U603" i="2"/>
  <c r="U668" i="2"/>
  <c r="U1167" i="2"/>
  <c r="U1636" i="2"/>
  <c r="U347" i="2"/>
  <c r="U1542" i="2"/>
  <c r="U1919" i="2"/>
  <c r="U1465" i="2"/>
  <c r="U1711" i="2"/>
  <c r="U1188" i="2"/>
  <c r="U1844" i="2"/>
  <c r="U830" i="2"/>
  <c r="U619" i="2"/>
  <c r="U55" i="2"/>
  <c r="U224" i="2"/>
  <c r="U1951" i="2"/>
  <c r="U1337" i="2"/>
  <c r="U913" i="2"/>
  <c r="U241" i="2"/>
  <c r="U1653" i="2"/>
  <c r="U259" i="2"/>
  <c r="U570" i="2"/>
  <c r="U1505" i="2"/>
  <c r="U1453" i="2"/>
  <c r="U102" i="2"/>
  <c r="U266" i="2"/>
  <c r="U368" i="2"/>
  <c r="U269" i="2"/>
  <c r="U1678" i="2"/>
  <c r="U587" i="2"/>
  <c r="U1981" i="2"/>
  <c r="U406" i="2"/>
  <c r="U557" i="2"/>
  <c r="U856" i="2"/>
  <c r="U126" i="2"/>
  <c r="U40" i="2"/>
  <c r="U1533" i="2"/>
  <c r="U1487" i="2"/>
  <c r="U922" i="2"/>
  <c r="U188" i="2"/>
  <c r="U722" i="2"/>
  <c r="U1441" i="2"/>
  <c r="U185" i="2"/>
  <c r="U1059" i="2"/>
  <c r="U886" i="2"/>
  <c r="U262" i="2"/>
  <c r="U1855" i="2"/>
  <c r="U70" i="2"/>
  <c r="U573" i="2"/>
  <c r="U1966" i="2"/>
  <c r="U1737" i="2"/>
  <c r="U759" i="2"/>
  <c r="U719" i="2"/>
  <c r="U960" i="2"/>
  <c r="U73" i="2"/>
  <c r="U1766" i="2"/>
  <c r="U1929" i="2"/>
  <c r="U110" i="2"/>
  <c r="U1812" i="2"/>
  <c r="U331" i="2"/>
  <c r="U1718" i="2"/>
  <c r="U1192" i="2"/>
  <c r="U1318" i="2"/>
  <c r="U1507" i="2"/>
  <c r="U1291" i="2"/>
  <c r="U1549" i="2"/>
  <c r="U949" i="2"/>
  <c r="U495" i="2"/>
  <c r="U158" i="2"/>
  <c r="U128" i="2"/>
  <c r="U778" i="2"/>
  <c r="U1270" i="2"/>
  <c r="U602" i="2"/>
  <c r="U1023" i="2"/>
  <c r="U1810" i="2"/>
  <c r="U242" i="2"/>
  <c r="U848" i="2"/>
  <c r="U351" i="2"/>
  <c r="U1060" i="2"/>
  <c r="U1642" i="2"/>
  <c r="U342" i="2"/>
  <c r="U1051" i="2"/>
  <c r="U530" i="2"/>
  <c r="U1064" i="2"/>
  <c r="U304" i="2"/>
  <c r="U1065" i="2"/>
  <c r="U367" i="2"/>
  <c r="U1641" i="2"/>
  <c r="U169" i="2"/>
  <c r="U1421" i="2"/>
  <c r="U489" i="2"/>
  <c r="U1189" i="2"/>
  <c r="U1805" i="2"/>
  <c r="U618" i="2"/>
  <c r="U1248" i="2"/>
  <c r="U319" i="2"/>
  <c r="U48" i="2"/>
  <c r="U1043" i="2"/>
  <c r="U39" i="2"/>
  <c r="U1010" i="2"/>
  <c r="U276" i="2"/>
  <c r="U1024" i="2"/>
  <c r="U541" i="2"/>
  <c r="U630" i="2"/>
  <c r="U1202" i="2"/>
  <c r="U863" i="2"/>
  <c r="U249" i="2"/>
  <c r="U851" i="2"/>
  <c r="U1411" i="2"/>
  <c r="U1781" i="2"/>
  <c r="U201" i="2"/>
  <c r="U1590" i="2"/>
  <c r="U1527" i="2"/>
  <c r="U1597" i="2"/>
  <c r="U1946" i="2"/>
  <c r="U1519" i="2"/>
  <c r="U1942" i="2"/>
  <c r="U1933" i="2"/>
  <c r="U1914" i="2"/>
  <c r="U816" i="2"/>
  <c r="U527" i="2"/>
  <c r="U1067" i="2"/>
  <c r="U507" i="2"/>
  <c r="U1255" i="2"/>
  <c r="U1124" i="2"/>
  <c r="U513" i="2"/>
  <c r="U1430" i="2"/>
  <c r="U845" i="2"/>
  <c r="U660" i="2"/>
  <c r="U1105" i="2"/>
  <c r="U1290" i="2"/>
  <c r="U1631" i="2"/>
  <c r="U716" i="2"/>
  <c r="U1868" i="2"/>
  <c r="U545" i="2"/>
  <c r="U1771" i="2"/>
  <c r="U1911" i="2"/>
  <c r="U1780" i="2"/>
  <c r="U1736" i="2"/>
  <c r="U1488" i="2"/>
  <c r="U606" i="2"/>
  <c r="U729" i="2"/>
  <c r="U708" i="2"/>
  <c r="U875" i="2"/>
  <c r="U1707" i="2"/>
  <c r="U1382" i="2"/>
  <c r="U861" i="2"/>
  <c r="U589" i="2"/>
  <c r="U92" i="2"/>
  <c r="U74" i="2"/>
  <c r="U521" i="2"/>
  <c r="U1399" i="2"/>
  <c r="U1961" i="2"/>
  <c r="U1888" i="2"/>
  <c r="U422" i="2"/>
  <c r="U1483" i="2"/>
  <c r="U314" i="2"/>
  <c r="U613" i="2"/>
  <c r="U430" i="2"/>
  <c r="U107" i="2"/>
  <c r="U1057" i="2"/>
  <c r="U773" i="2"/>
  <c r="U889" i="2"/>
  <c r="U1101" i="2"/>
  <c r="U184" i="2"/>
  <c r="U1985" i="2"/>
  <c r="U962" i="2"/>
  <c r="U1080" i="2"/>
  <c r="U1132" i="2"/>
  <c r="U1517" i="2"/>
  <c r="U474" i="2"/>
  <c r="U1721" i="2"/>
  <c r="U174" i="2"/>
  <c r="U1659" i="2"/>
  <c r="U850" i="2"/>
  <c r="U1162" i="2"/>
  <c r="U419" i="2"/>
  <c r="U1009" i="2"/>
  <c r="U251" i="2"/>
  <c r="U884" i="2"/>
  <c r="U418" i="2"/>
  <c r="U1303" i="2"/>
  <c r="U1682" i="2"/>
  <c r="U947" i="2"/>
  <c r="U703" i="2"/>
  <c r="U1109" i="2"/>
  <c r="U1656" i="2"/>
  <c r="U218" i="2"/>
  <c r="U1809" i="2"/>
  <c r="U1338" i="2"/>
  <c r="U1315" i="2"/>
  <c r="U1568" i="2"/>
  <c r="U914" i="2"/>
  <c r="U1305" i="2"/>
  <c r="U1357" i="2"/>
  <c r="U549" i="2"/>
  <c r="U1254" i="2"/>
  <c r="U568" i="2"/>
  <c r="U1242" i="2"/>
  <c r="U757" i="2"/>
  <c r="U1351" i="2"/>
  <c r="U366" i="2"/>
  <c r="U429" i="2"/>
  <c r="U1116" i="2"/>
  <c r="U975" i="2"/>
  <c r="U1077" i="2"/>
  <c r="U1617" i="2"/>
  <c r="U1605" i="2"/>
  <c r="U1252" i="2"/>
  <c r="U999" i="2"/>
  <c r="U1179" i="2"/>
  <c r="U1836" i="2"/>
  <c r="U140" i="2"/>
  <c r="U1685" i="2"/>
  <c r="U1910" i="2"/>
  <c r="U1141" i="2"/>
  <c r="U325" i="2"/>
  <c r="U1446" i="2"/>
  <c r="U1567" i="2"/>
  <c r="U641" i="2"/>
  <c r="U461" i="2"/>
  <c r="U631" i="2"/>
  <c r="U1655" i="2"/>
  <c r="U1535" i="2"/>
  <c r="U1599" i="2"/>
  <c r="U490" i="2"/>
  <c r="U1745" i="2"/>
  <c r="U1070" i="2"/>
  <c r="U260" i="2"/>
  <c r="U673" i="2"/>
  <c r="U535" i="2"/>
  <c r="U1791" i="2"/>
  <c r="U858" i="2"/>
  <c r="U1130" i="2"/>
  <c r="U748" i="2"/>
  <c r="U1174" i="2"/>
  <c r="U540" i="2"/>
  <c r="U1796" i="2"/>
  <c r="U1194" i="2"/>
  <c r="U344" i="2"/>
  <c r="U1282" i="2"/>
  <c r="U849" i="2"/>
  <c r="U1837" i="2"/>
  <c r="U56" i="2"/>
  <c r="U669" i="2"/>
  <c r="U412" i="2"/>
  <c r="U793" i="2"/>
  <c r="U1407" i="2"/>
  <c r="U1501" i="2"/>
  <c r="U1508" i="2"/>
  <c r="U118" i="2"/>
  <c r="U551" i="2"/>
  <c r="U1845" i="2"/>
  <c r="U22" i="2"/>
  <c r="U1422" i="2"/>
  <c r="U1135" i="2"/>
  <c r="U129" i="2"/>
  <c r="U1230" i="2"/>
  <c r="U1459" i="2"/>
  <c r="U1121" i="2"/>
  <c r="U1792" i="2"/>
  <c r="U1630" i="2"/>
  <c r="U464" i="2"/>
  <c r="U558" i="2"/>
  <c r="U1639" i="2"/>
  <c r="U1244" i="2"/>
  <c r="U594" i="2"/>
  <c r="U1889" i="2"/>
  <c r="U704" i="2"/>
  <c r="U961" i="2"/>
  <c r="U1896" i="2"/>
  <c r="U388" i="2"/>
  <c r="U1183" i="2"/>
  <c r="U1221" i="2"/>
  <c r="U1476" i="2"/>
  <c r="U1045" i="2"/>
  <c r="U1622" i="2"/>
  <c r="U1397" i="2"/>
  <c r="U1934" i="2"/>
  <c r="U1345" i="2"/>
  <c r="U339" i="2"/>
  <c r="U787" i="2"/>
  <c r="U120" i="2"/>
  <c r="U1877" i="2"/>
  <c r="U345" i="2"/>
  <c r="U234" i="2"/>
  <c r="U1376" i="2"/>
  <c r="U1835" i="2"/>
  <c r="U1790" i="2"/>
  <c r="U1540" i="2"/>
  <c r="U1061" i="2"/>
  <c r="U1106" i="2"/>
  <c r="U1404" i="2"/>
  <c r="U998" i="2"/>
  <c r="U1623" i="2"/>
  <c r="U571" i="2"/>
  <c r="U59" i="2"/>
  <c r="U8" i="2"/>
  <c r="U475" i="2"/>
  <c r="U1670" i="2"/>
  <c r="U1146" i="2"/>
  <c r="U46" i="2"/>
  <c r="U991" i="2"/>
  <c r="U1175" i="2"/>
  <c r="U1935" i="2"/>
  <c r="U1263" i="2"/>
  <c r="U1669" i="2"/>
  <c r="U797" i="2"/>
  <c r="U1462" i="2"/>
  <c r="U1288" i="2"/>
  <c r="U983" i="2"/>
  <c r="U1993" i="2"/>
  <c r="U1467" i="2"/>
  <c r="U1201" i="2"/>
  <c r="U1649" i="2"/>
  <c r="U1245" i="2"/>
  <c r="U232" i="2"/>
  <c r="U1557" i="2"/>
  <c r="U1049" i="2"/>
  <c r="U607" i="2"/>
  <c r="U382" i="2"/>
  <c r="U1454" i="2"/>
  <c r="U211" i="2"/>
  <c r="U358" i="2"/>
  <c r="U612" i="2"/>
  <c r="U200" i="2"/>
  <c r="U1676" i="2"/>
  <c r="U938" i="2"/>
  <c r="U1218" i="2"/>
  <c r="U228" i="2"/>
  <c r="U1871" i="2"/>
  <c r="U1927" i="2"/>
  <c r="U1645" i="2"/>
  <c r="U421" i="2"/>
  <c r="U1229" i="2"/>
  <c r="U1099" i="2"/>
  <c r="U362" i="2"/>
  <c r="U782" i="2"/>
  <c r="U1731" i="2"/>
  <c r="U610" i="2"/>
  <c r="U620" i="2"/>
  <c r="U1233" i="2"/>
  <c r="U1178" i="2"/>
  <c r="U593" i="2"/>
  <c r="U447" i="2"/>
  <c r="U341" i="2"/>
  <c r="U97" i="2"/>
  <c r="U588" i="2"/>
  <c r="U980" i="2"/>
  <c r="U1660" i="2"/>
  <c r="U1768" i="2"/>
  <c r="U1203" i="2"/>
  <c r="U1145" i="2"/>
  <c r="U426" i="2"/>
  <c r="U1259" i="2"/>
  <c r="U1375" i="2"/>
  <c r="U1341" i="2"/>
  <c r="U1901" i="2"/>
  <c r="U1710" i="2"/>
  <c r="U1405" i="2"/>
  <c r="U783" i="2"/>
  <c r="U1794" i="2"/>
  <c r="U277" i="2"/>
  <c r="U220" i="2"/>
  <c r="U1380" i="2"/>
  <c r="U1575" i="2"/>
  <c r="U1426" i="2"/>
  <c r="U1451" i="2"/>
  <c r="U1967" i="2"/>
  <c r="U1186" i="2"/>
  <c r="U1026" i="2"/>
  <c r="U1028" i="2"/>
  <c r="U240" i="2"/>
  <c r="U915" i="2"/>
  <c r="U901" i="2"/>
  <c r="U1923" i="2"/>
  <c r="U1538" i="2"/>
  <c r="U1383" i="2"/>
  <c r="U878" i="2"/>
  <c r="U930" i="2"/>
  <c r="U1470" i="2"/>
  <c r="U237" i="2"/>
  <c r="U799" i="2"/>
  <c r="U695" i="2"/>
  <c r="U1726" i="2"/>
  <c r="U1595" i="2"/>
  <c r="U969" i="2"/>
  <c r="U862" i="2"/>
  <c r="U1510" i="2"/>
  <c r="U1497" i="2"/>
  <c r="U1198" i="2"/>
  <c r="U1803" i="2"/>
  <c r="U1552" i="2"/>
  <c r="U1498" i="2"/>
  <c r="U1358" i="2"/>
  <c r="U1164" i="2"/>
  <c r="U762" i="2"/>
  <c r="U1085" i="2"/>
  <c r="U15" i="2"/>
  <c r="U941" i="2"/>
  <c r="U1986" i="2"/>
  <c r="U371" i="2"/>
  <c r="U215" i="2"/>
  <c r="U1863" i="2"/>
  <c r="U1860" i="2"/>
  <c r="U58" i="2"/>
  <c r="U1988" i="2"/>
  <c r="U1646" i="2"/>
  <c r="U552" i="2"/>
  <c r="U1652" i="2"/>
  <c r="U1908" i="2"/>
  <c r="U1352" i="2"/>
  <c r="U937" i="2"/>
  <c r="U1185" i="2"/>
  <c r="U1471" i="2"/>
  <c r="U105" i="2"/>
  <c r="U1551" i="2"/>
  <c r="U528" i="2"/>
  <c r="U1275" i="2"/>
  <c r="U267" i="2"/>
  <c r="U1696" i="2"/>
  <c r="U1565" i="2"/>
  <c r="U89" i="2"/>
  <c r="U1377" i="2"/>
  <c r="U379" i="2"/>
  <c r="U989" i="2"/>
  <c r="U1852" i="2"/>
  <c r="U997" i="2"/>
  <c r="U629" i="2"/>
  <c r="U1047" i="2"/>
  <c r="U956" i="2"/>
  <c r="U27" i="2"/>
  <c r="U1704" i="2"/>
  <c r="U504" i="2"/>
  <c r="U1996" i="2"/>
  <c r="U178" i="2"/>
  <c r="U1159" i="2"/>
  <c r="U1102" i="2"/>
  <c r="U1361" i="2"/>
  <c r="U20" i="2"/>
  <c r="U852" i="2"/>
  <c r="U457" i="2"/>
  <c r="U843" i="2"/>
  <c r="U250" i="2"/>
  <c r="U1073" i="2"/>
  <c r="U794" i="2"/>
  <c r="U159" i="2"/>
  <c r="U1763" i="2"/>
  <c r="U1866" i="2"/>
  <c r="U1474" i="2"/>
  <c r="U1448" i="2"/>
  <c r="U1983" i="2"/>
  <c r="U1589" i="2"/>
  <c r="U1938" i="2"/>
  <c r="U1680" i="2"/>
  <c r="U1634" i="2"/>
  <c r="U1424" i="2"/>
  <c r="U1999" i="2"/>
  <c r="U7" i="2"/>
  <c r="U306" i="2"/>
  <c r="U1437" i="2"/>
  <c r="U637" i="2"/>
  <c r="U1119" i="2"/>
  <c r="U1215" i="2"/>
  <c r="U125" i="2"/>
  <c r="U770" i="2"/>
  <c r="U577" i="2"/>
  <c r="U1972" i="2"/>
  <c r="U1537" i="2"/>
  <c r="U644" i="2"/>
  <c r="U101" i="2"/>
  <c r="U148" i="2"/>
  <c r="U1762" i="2"/>
  <c r="U916" i="2"/>
  <c r="U272" i="2"/>
  <c r="U1127" i="2"/>
  <c r="U500" i="2"/>
  <c r="U1496" i="2"/>
  <c r="U93" i="2"/>
  <c r="U199" i="2"/>
  <c r="U1036" i="2"/>
  <c r="U1111" i="2"/>
  <c r="U1475" i="2"/>
  <c r="U493" i="2"/>
  <c r="U301" i="2"/>
  <c r="U1700" i="2"/>
  <c r="U142" i="2"/>
  <c r="U1379" i="2"/>
  <c r="U714" i="2"/>
  <c r="U942" i="2"/>
  <c r="U289" i="2"/>
  <c r="U561" i="2"/>
  <c r="U423" i="2"/>
  <c r="U559" i="2"/>
  <c r="U99" i="2"/>
  <c r="U1373" i="2"/>
  <c r="U98" i="2"/>
  <c r="U1971" i="2"/>
  <c r="U928" i="2"/>
  <c r="U820" i="2"/>
  <c r="U1032" i="2"/>
  <c r="U649" i="2"/>
  <c r="U1838" i="2"/>
  <c r="U350" i="2"/>
  <c r="U115" i="2"/>
  <c r="U1278" i="2"/>
  <c r="U636" i="2"/>
  <c r="U438" i="2"/>
  <c r="U72" i="2"/>
  <c r="U1769" i="2"/>
  <c r="U1138" i="2"/>
  <c r="U1940" i="2"/>
  <c r="U1149" i="2"/>
  <c r="U1640" i="2"/>
  <c r="U1068" i="2"/>
  <c r="U774" i="2"/>
  <c r="U270" i="2"/>
  <c r="U14" i="2"/>
  <c r="U365" i="2"/>
  <c r="U23" i="2"/>
  <c r="U1512" i="2"/>
  <c r="U1456" i="2"/>
  <c r="U563" i="2"/>
  <c r="U1709" i="2"/>
  <c r="U117" i="2"/>
  <c r="U404" i="2"/>
  <c r="U766" i="2"/>
  <c r="U1491" i="2"/>
  <c r="U1787" i="2"/>
  <c r="U1220" i="2"/>
  <c r="U711" i="2"/>
  <c r="U600" i="2"/>
  <c r="U1755" i="2"/>
  <c r="U4" i="2"/>
  <c r="U1000" i="2"/>
  <c r="U1752" i="2"/>
  <c r="U1445" i="2"/>
  <c r="U1158" i="2"/>
  <c r="U282" i="2"/>
  <c r="U737" i="2"/>
  <c r="U57" i="2"/>
  <c r="U1856" i="2"/>
  <c r="U993" i="2"/>
  <c r="U893" i="2"/>
  <c r="U1524" i="2"/>
  <c r="U448" i="2"/>
  <c r="U908" i="2"/>
  <c r="U661" i="2"/>
  <c r="U156" i="2"/>
  <c r="U1739" i="2"/>
  <c r="U1943" i="2"/>
  <c r="U1371" i="2"/>
  <c r="U1128" i="2"/>
  <c r="U1217" i="2"/>
  <c r="U202" i="2"/>
  <c r="U322" i="2"/>
  <c r="U320" i="2"/>
  <c r="U1423" i="2"/>
  <c r="U1684" i="2"/>
  <c r="U1003" i="2"/>
  <c r="U111" i="2"/>
  <c r="U172" i="2"/>
  <c r="U1260" i="2"/>
  <c r="U1819" i="2"/>
  <c r="U877" i="2"/>
  <c r="U1536" i="2"/>
  <c r="U1998" i="2"/>
  <c r="U439" i="2"/>
  <c r="U927" i="2"/>
  <c r="U133" i="2"/>
  <c r="U697" i="2"/>
  <c r="U800" i="2"/>
  <c r="U261" i="2"/>
  <c r="U1782" i="2"/>
  <c r="U1880" i="2"/>
  <c r="U236" i="2"/>
  <c r="U1490" i="2"/>
  <c r="U303" i="2"/>
  <c r="U1727" i="2"/>
  <c r="U1776" i="2"/>
  <c r="U658" i="2"/>
  <c r="U1372" i="2"/>
  <c r="U1830" i="2"/>
  <c r="U1779" i="2"/>
  <c r="U1760" i="2"/>
  <c r="U992" i="2"/>
  <c r="U1200" i="2"/>
  <c r="U323" i="2"/>
  <c r="U1394" i="2"/>
  <c r="U175" i="2"/>
  <c r="U462" i="2"/>
  <c r="U764" i="2"/>
  <c r="U1261" i="2"/>
  <c r="U1513" i="2"/>
  <c r="U511" i="2"/>
  <c r="U614" i="2"/>
  <c r="U1326" i="2"/>
  <c r="U1069" i="2"/>
  <c r="U176" i="2"/>
  <c r="U399" i="2"/>
  <c r="U531" i="2"/>
  <c r="U1588" i="2"/>
  <c r="U586" i="2"/>
  <c r="U51" i="2"/>
  <c r="U1211" i="2"/>
  <c r="U1500" i="2"/>
  <c r="U680" i="2"/>
  <c r="U1576" i="2"/>
  <c r="U1807" i="2"/>
  <c r="U1250" i="2"/>
  <c r="U1525" i="2"/>
  <c r="U957" i="2"/>
  <c r="U777" i="2"/>
  <c r="U906" i="2"/>
  <c r="U761" i="2"/>
  <c r="U742" i="2"/>
  <c r="U967" i="2"/>
  <c r="U1572" i="2"/>
  <c r="U524" i="2"/>
  <c r="U506" i="2"/>
  <c r="U221" i="2"/>
  <c r="U488" i="2"/>
  <c r="U361" i="2"/>
  <c r="U1134" i="2"/>
  <c r="U298" i="2"/>
  <c r="U96" i="2"/>
  <c r="U752" i="2"/>
  <c r="U611" i="2"/>
  <c r="U822" i="2"/>
  <c r="U498" i="2"/>
  <c r="U1246" i="2"/>
  <c r="U1987" i="2"/>
  <c r="U299" i="2"/>
  <c r="U119" i="2"/>
  <c r="U1909" i="2"/>
  <c r="U1333" i="2"/>
  <c r="U599" i="2"/>
  <c r="U1348" i="2"/>
  <c r="U187" i="2"/>
  <c r="U1482" i="2"/>
  <c r="U1030" i="2"/>
  <c r="U1854" i="2"/>
  <c r="U1574" i="2"/>
  <c r="U1088" i="2"/>
  <c r="U1140" i="2"/>
  <c r="U1990" i="2"/>
  <c r="U471" i="2"/>
  <c r="U1609" i="2"/>
  <c r="U442" i="2"/>
  <c r="U356" i="2"/>
  <c r="U206" i="2"/>
  <c r="U1573" i="2"/>
  <c r="U468" i="2"/>
  <c r="U1883" i="2"/>
  <c r="U1697" i="2"/>
  <c r="U1503" i="2"/>
  <c r="U1992" i="2"/>
  <c r="U294" i="2"/>
  <c r="U1107" i="2"/>
  <c r="U1594" i="2"/>
  <c r="U1262" i="2"/>
  <c r="U68" i="2"/>
  <c r="U689" i="2"/>
  <c r="U638" i="2"/>
  <c r="U1433" i="2"/>
  <c r="U1013" i="2"/>
  <c r="U894" i="2"/>
  <c r="U153" i="2"/>
  <c r="U690" i="2"/>
  <c r="U1226" i="2"/>
  <c r="U1268" i="2"/>
  <c r="U483" i="2"/>
  <c r="U43" i="2"/>
  <c r="U1668" i="2"/>
  <c r="U1495" i="2"/>
  <c r="U1606" i="2"/>
  <c r="U173" i="2"/>
  <c r="U481" i="2"/>
  <c r="U1171" i="2"/>
  <c r="U1447" i="2"/>
  <c r="U123" i="2"/>
  <c r="U1274" i="2"/>
  <c r="U1208" i="2"/>
  <c r="U30" i="2"/>
  <c r="U1677" i="2"/>
  <c r="U805" i="2"/>
  <c r="U1463" i="2"/>
  <c r="U1681" i="2"/>
  <c r="U1048" i="2"/>
  <c r="U244" i="2"/>
  <c r="U1853" i="2"/>
  <c r="U1450" i="2"/>
  <c r="U1695" i="2"/>
  <c r="U1583" i="2"/>
  <c r="U870" i="2"/>
  <c r="U357" i="2"/>
  <c r="U209" i="2"/>
  <c r="U529" i="2"/>
  <c r="U873" i="2"/>
  <c r="U1528" i="2"/>
  <c r="U868" i="2"/>
  <c r="U769" i="2"/>
  <c r="U976" i="2"/>
  <c r="U652" i="2"/>
  <c r="U1516" i="2"/>
  <c r="U179" i="2"/>
  <c r="U197" i="2"/>
  <c r="U791" i="2"/>
  <c r="U514" i="2"/>
  <c r="U907" i="2"/>
  <c r="U508" i="2"/>
  <c r="U411" i="2"/>
  <c r="U935" i="2"/>
  <c r="U853" i="2"/>
  <c r="U222" i="2"/>
  <c r="U1115" i="2"/>
  <c r="U383" i="2"/>
  <c r="U972" i="2"/>
  <c r="U1916" i="2"/>
  <c r="U857" i="2"/>
  <c r="U1633" i="2"/>
  <c r="U1432" i="2"/>
  <c r="U931" i="2"/>
  <c r="U1412" i="2"/>
  <c r="U452" i="2"/>
  <c r="U1548" i="2"/>
  <c r="U642" i="2"/>
  <c r="U1976" i="2"/>
  <c r="U1515" i="2"/>
  <c r="U625" i="2"/>
  <c r="U1365" i="2"/>
  <c r="U1912" i="2"/>
  <c r="U162" i="2"/>
  <c r="U1561" i="2"/>
  <c r="U665" i="2"/>
  <c r="U477" i="2"/>
  <c r="U1833" i="2"/>
  <c r="U167" i="2"/>
  <c r="U1970" i="2"/>
  <c r="U1238" i="2"/>
  <c r="U85" i="2"/>
  <c r="U885" i="2"/>
  <c r="U1296" i="2"/>
  <c r="U1756" i="2"/>
  <c r="U1858" i="2"/>
  <c r="U702" i="2"/>
  <c r="U601" i="2"/>
  <c r="U715" i="2"/>
  <c r="U718" i="2"/>
  <c r="U1388" i="2"/>
  <c r="U1466" i="2"/>
  <c r="U1136" i="2"/>
  <c r="U396" i="2"/>
  <c r="U1084" i="2"/>
  <c r="U459" i="2"/>
  <c r="U1724" i="2"/>
  <c r="U1751" i="2"/>
  <c r="U1074" i="2"/>
  <c r="U1688" i="2"/>
  <c r="U1419" i="2"/>
  <c r="U229" i="2"/>
  <c r="U706" i="2"/>
  <c r="U1369" i="2"/>
  <c r="U377" i="2"/>
  <c r="U1903" i="2"/>
  <c r="U1385" i="2"/>
  <c r="U1673" i="2"/>
  <c r="U1876" i="2"/>
  <c r="U1849" i="2"/>
  <c r="U543" i="2"/>
  <c r="U1664" i="2"/>
  <c r="U1734" i="2"/>
  <c r="U735" i="2"/>
  <c r="U1717" i="2"/>
  <c r="U343" i="2"/>
  <c r="U564" i="2"/>
  <c r="U61" i="2"/>
  <c r="U1181" i="2"/>
  <c r="U724" i="2"/>
  <c r="U1644" i="2"/>
  <c r="U1750" i="2"/>
  <c r="U293" i="2"/>
  <c r="U230" i="2"/>
  <c r="U207" i="2"/>
  <c r="U1486" i="2"/>
  <c r="U1479" i="2"/>
  <c r="U163" i="2"/>
  <c r="U1874" i="2"/>
  <c r="U679" i="2"/>
  <c r="U1272" i="2"/>
  <c r="U1829" i="2"/>
  <c r="U1539" i="2"/>
  <c r="U460" i="2"/>
  <c r="U1403" i="2"/>
  <c r="U1378" i="2"/>
  <c r="U1408" i="2"/>
  <c r="U1402" i="2"/>
  <c r="U544" i="2"/>
  <c r="U1223" i="2"/>
  <c r="U952" i="2"/>
  <c r="U134" i="2"/>
  <c r="U466" i="2"/>
  <c r="U1566" i="2"/>
  <c r="U431" i="2"/>
  <c r="U640" i="2"/>
  <c r="U194" i="2"/>
  <c r="U1584" i="2"/>
  <c r="U380" i="2"/>
  <c r="U1991" i="2"/>
  <c r="U1795" i="2"/>
  <c r="U705" i="2"/>
  <c r="U616" i="2"/>
  <c r="U1846" i="2"/>
  <c r="U1304" i="2"/>
  <c r="U1601" i="2"/>
  <c r="U1413" i="2"/>
  <c r="U273" i="2"/>
  <c r="U1387" i="2"/>
  <c r="U80" i="2"/>
  <c r="U727" i="2"/>
  <c r="U227" i="2"/>
  <c r="U721" i="2"/>
  <c r="U1147" i="2"/>
  <c r="U688" i="2"/>
  <c r="U284" i="2"/>
  <c r="U865" i="2"/>
  <c r="U131" i="2"/>
  <c r="U1153" i="2"/>
  <c r="U496" i="2"/>
  <c r="U1742" i="2"/>
  <c r="U1406" i="2"/>
  <c r="U1289" i="2"/>
  <c r="U1977" i="2"/>
  <c r="U709" i="2"/>
  <c r="U1746" i="2"/>
  <c r="U1839" i="2"/>
  <c r="U646" i="2"/>
  <c r="U1869" i="2"/>
  <c r="U292" i="2"/>
  <c r="U1005" i="2"/>
  <c r="U1514" i="2"/>
  <c r="U1786" i="2"/>
  <c r="U959" i="2"/>
  <c r="U1429" i="2"/>
  <c r="U95" i="2"/>
  <c r="U1163" i="2"/>
  <c r="U1817" i="2"/>
  <c r="U1555" i="2"/>
  <c r="U1842" i="2"/>
  <c r="U1554" i="2"/>
  <c r="U1962" i="2"/>
  <c r="U1705" i="2"/>
  <c r="U405" i="2"/>
  <c r="U106" i="2"/>
  <c r="U18" i="2"/>
  <c r="U1502" i="2"/>
  <c r="U340" i="2"/>
  <c r="U1926" i="2"/>
  <c r="U823" i="2"/>
  <c r="U553" i="2"/>
  <c r="U1893" i="2"/>
  <c r="U360" i="2"/>
  <c r="U1222" i="2"/>
  <c r="U67" i="2"/>
  <c r="U1478" i="2"/>
  <c r="U1847" i="2"/>
  <c r="U124" i="2"/>
  <c r="U655" i="2"/>
  <c r="U627" i="2"/>
  <c r="U1620" i="2"/>
  <c r="U1484" i="2"/>
  <c r="U1564" i="2"/>
  <c r="U50" i="2"/>
  <c r="U66" i="2"/>
  <c r="U1918" i="2"/>
  <c r="U692" i="2"/>
  <c r="U1416" i="2"/>
  <c r="U1224" i="2"/>
  <c r="U883" i="2"/>
  <c r="U1973" i="2"/>
  <c r="U617" i="2"/>
  <c r="U517" i="2"/>
  <c r="U1330" i="2"/>
  <c r="U1347" i="2"/>
  <c r="U449" i="2"/>
  <c r="U2000" i="2"/>
  <c r="U1251" i="2"/>
  <c r="U1648" i="2"/>
  <c r="U1581" i="2"/>
  <c r="U838" i="2"/>
  <c r="U1334" i="2"/>
  <c r="U1884" i="2"/>
  <c r="U1960" i="2"/>
  <c r="U501" i="2"/>
  <c r="U1886" i="2"/>
  <c r="U1928" i="2"/>
  <c r="U1042" i="2"/>
  <c r="U11" i="2"/>
  <c r="U966" i="2"/>
  <c r="U1076" i="2"/>
  <c r="U749" i="2"/>
  <c r="U970" i="2"/>
  <c r="U945" i="2"/>
  <c r="U1663" i="2"/>
  <c r="U1699" i="2"/>
  <c r="U1890" i="2"/>
  <c r="U317" i="2"/>
  <c r="U494" i="2"/>
  <c r="U643" i="2"/>
  <c r="U1062" i="2"/>
  <c r="U615" i="2"/>
  <c r="U804" i="2"/>
  <c r="U891" i="2"/>
  <c r="U444" i="2"/>
  <c r="U1014" i="2"/>
  <c r="U854" i="2"/>
  <c r="U329" i="2"/>
  <c r="U1292" i="2"/>
  <c r="U1702" i="2"/>
  <c r="U1122" i="2"/>
  <c r="U1343" i="2"/>
  <c r="U725" i="2"/>
  <c r="U1793" i="2"/>
  <c r="U470" i="2"/>
  <c r="U1152" i="2"/>
  <c r="U609" i="2"/>
  <c r="U1612" i="2"/>
  <c r="U1694" i="2"/>
  <c r="U1039" i="2"/>
  <c r="U550" i="2"/>
  <c r="U1532" i="2"/>
  <c r="U1366" i="2"/>
  <c r="U408" i="2"/>
  <c r="U1054" i="2"/>
  <c r="U726" i="2"/>
  <c r="U859" i="2"/>
  <c r="U1686" i="2"/>
  <c r="U1359" i="2"/>
  <c r="U1100" i="2"/>
  <c r="U1984" i="2"/>
  <c r="U880" i="2"/>
  <c r="U1344" i="2"/>
  <c r="U1720" i="2"/>
  <c r="U576" i="2"/>
  <c r="U136" i="2"/>
  <c r="U1485" i="2"/>
  <c r="U678" i="2"/>
  <c r="U522" i="2"/>
  <c r="U450" i="2"/>
  <c r="U765" i="2"/>
  <c r="U520" i="2"/>
  <c r="U624" i="2"/>
  <c r="U1324" i="2"/>
  <c r="U743" i="2"/>
  <c r="U428" i="2"/>
  <c r="U1011" i="2"/>
  <c r="U1989" i="2"/>
  <c r="U781" i="2"/>
  <c r="U1477" i="2"/>
  <c r="U1825" i="2"/>
  <c r="U525" i="2"/>
  <c r="U1904" i="2"/>
  <c r="U1593" i="2"/>
  <c r="U1391" i="2"/>
  <c r="U1994" i="2"/>
  <c r="U754" i="2"/>
  <c r="U1225" i="2"/>
  <c r="U1360" i="2"/>
  <c r="U802" i="2"/>
  <c r="U626" i="2"/>
  <c r="U569" i="2"/>
  <c r="U1563" i="2"/>
  <c r="U1316" i="2"/>
  <c r="U1654" i="2"/>
  <c r="U190" i="2"/>
  <c r="U2001" i="2"/>
  <c r="U1603" i="2"/>
  <c r="U1015" i="2"/>
  <c r="U670" i="2"/>
  <c r="U1658" i="2"/>
  <c r="U1892" i="2"/>
  <c r="U592" i="2"/>
  <c r="U1506" i="2"/>
  <c r="U1625" i="2"/>
  <c r="U963" i="2"/>
  <c r="U491" i="2"/>
  <c r="U746" i="2"/>
  <c r="U926" i="2"/>
  <c r="U1177" i="2"/>
  <c r="U1650" i="2"/>
  <c r="U1439" i="2"/>
  <c r="U533" i="2"/>
  <c r="U1897" i="2"/>
  <c r="U869" i="2"/>
  <c r="U1887" i="2"/>
  <c r="U1335" i="2"/>
  <c r="U790" i="2"/>
  <c r="U355" i="2"/>
  <c r="U1610" i="2"/>
  <c r="U537" i="2"/>
  <c r="U280" i="2"/>
  <c r="U42" i="2"/>
  <c r="U402" i="2"/>
  <c r="U1310" i="2"/>
  <c r="U1022" i="2"/>
  <c r="U1968" i="2"/>
  <c r="U1808" i="2"/>
  <c r="U87" i="2"/>
  <c r="U346" i="2"/>
  <c r="U789" i="2"/>
  <c r="U34" i="2"/>
  <c r="U1150" i="2"/>
  <c r="U1300" i="2"/>
  <c r="U245" i="2"/>
  <c r="U1683" i="2"/>
  <c r="U433" i="2"/>
  <c r="U389" i="2"/>
  <c r="U1744" i="2"/>
  <c r="U467" i="2"/>
  <c r="U333" i="2"/>
  <c r="U373" i="2"/>
  <c r="U307" i="2"/>
  <c r="U707" i="2"/>
  <c r="U1232" i="2"/>
  <c r="U1319" i="2"/>
  <c r="U1356" i="2"/>
  <c r="U1963" i="2"/>
  <c r="U49" i="2"/>
  <c r="U1546" i="2"/>
  <c r="U1873" i="2"/>
  <c r="U352" i="2"/>
  <c r="U565" i="2"/>
  <c r="U1012" i="2"/>
  <c r="U75" i="2"/>
  <c r="U1283" i="2"/>
  <c r="U1713" i="2"/>
  <c r="U803" i="2"/>
  <c r="U1040" i="2"/>
  <c r="U1944" i="2"/>
  <c r="U132" i="2"/>
  <c r="U29" i="2"/>
  <c r="U1299" i="2"/>
  <c r="U698" i="2"/>
  <c r="U309" i="2"/>
  <c r="U1798" i="2"/>
  <c r="U1499" i="2"/>
  <c r="U210" i="2"/>
  <c r="U254" i="2"/>
  <c r="U38" i="2"/>
  <c r="U403" i="2"/>
  <c r="U1209" i="2"/>
  <c r="U291" i="2"/>
  <c r="U1587" i="2"/>
  <c r="U36" i="2"/>
  <c r="U1317" i="2"/>
  <c r="U479" i="2"/>
  <c r="U1284" i="2"/>
  <c r="U103" i="2"/>
  <c r="U950" i="2"/>
  <c r="U1311" i="2"/>
  <c r="U717" i="2"/>
  <c r="U1008" i="2"/>
  <c r="U1822" i="2"/>
  <c r="U1712" i="2"/>
  <c r="U1151" i="2"/>
  <c r="U917" i="2"/>
  <c r="U1072" i="2"/>
  <c r="U372" i="2"/>
  <c r="U1309" i="2"/>
  <c r="U1443" i="2"/>
  <c r="U1219" i="2"/>
  <c r="U554" i="2"/>
  <c r="U538" i="2"/>
  <c r="U1959" i="2"/>
  <c r="U1473" i="2"/>
  <c r="U10" i="2"/>
  <c r="U91" i="2"/>
  <c r="U1586" i="2"/>
  <c r="U741" i="2"/>
  <c r="U1336" i="2"/>
  <c r="U1789" i="2"/>
  <c r="U116" i="2"/>
  <c r="U82" i="2"/>
  <c r="U879" i="2"/>
  <c r="U1078" i="2"/>
  <c r="U1725" i="2"/>
  <c r="U235" i="2"/>
  <c r="U1329" i="2"/>
  <c r="U166" i="2"/>
  <c r="U905" i="2"/>
  <c r="U1093" i="2"/>
  <c r="U1096" i="2"/>
  <c r="U192" i="2"/>
  <c r="U1643" i="2"/>
  <c r="U720" i="2"/>
  <c r="U813" i="2"/>
  <c r="U1778" i="2"/>
  <c r="U723" i="2"/>
  <c r="U1210" i="2"/>
  <c r="U286" i="2"/>
  <c r="U1687" i="2"/>
  <c r="U145" i="2"/>
  <c r="U1172" i="2"/>
  <c r="U387" i="2"/>
  <c r="U1195" i="2"/>
  <c r="U1131" i="2"/>
  <c r="U990" i="2"/>
  <c r="U677" i="2"/>
  <c r="U795" i="2"/>
  <c r="U1600" i="2"/>
  <c r="U1931" i="2"/>
  <c r="U225" i="2"/>
  <c r="U904" i="2"/>
  <c r="U1585" i="2"/>
  <c r="U597" i="2"/>
  <c r="U1457" i="2"/>
  <c r="U1882" i="2"/>
  <c r="U150" i="2"/>
  <c r="U62" i="2"/>
  <c r="U651" i="2"/>
  <c r="U1975" i="2"/>
  <c r="U1091" i="2"/>
  <c r="U1521" i="2"/>
  <c r="U758" i="2"/>
  <c r="U1142" i="2"/>
  <c r="U1870" i="2"/>
  <c r="U386" i="2"/>
  <c r="U1719" i="2"/>
  <c r="U1126" i="2"/>
  <c r="U53" i="2"/>
  <c r="U608" i="2"/>
  <c r="U780" i="2"/>
  <c r="U1017" i="2"/>
  <c r="U1714" i="2"/>
  <c r="U1237" i="2"/>
  <c r="U662" i="2"/>
  <c r="U890" i="2"/>
  <c r="U313" i="2"/>
  <c r="U954" i="2"/>
  <c r="U985" i="2"/>
  <c r="U978" i="2"/>
  <c r="U1276" i="2"/>
  <c r="U701" i="2"/>
  <c r="U664" i="2"/>
  <c r="U279" i="2"/>
  <c r="U219" i="2"/>
  <c r="U1098" i="2"/>
  <c r="U1160" i="2"/>
  <c r="U653" i="2"/>
  <c r="U1657" i="2"/>
  <c r="U497" i="2"/>
  <c r="U1197" i="2"/>
  <c r="U1191" i="2"/>
  <c r="U598" i="2"/>
  <c r="U951" i="2"/>
  <c r="U3" i="2"/>
  <c r="U1249" i="2"/>
  <c r="U1103" i="2"/>
  <c r="U1464" i="2"/>
  <c r="U1828" i="2"/>
  <c r="U1386" i="2"/>
  <c r="U1235" i="2"/>
  <c r="U1314" i="2"/>
  <c r="U1879" i="2"/>
  <c r="U1129" i="2"/>
  <c r="U385" i="2"/>
  <c r="U348" i="2"/>
  <c r="U667" i="2"/>
  <c r="U1675" i="2"/>
  <c r="U811" i="2"/>
  <c r="U177" i="2"/>
  <c r="U815" i="2"/>
  <c r="U1320" i="2"/>
  <c r="U918" i="2"/>
  <c r="U400" i="2"/>
  <c r="U1410" i="2"/>
  <c r="U1434" i="2"/>
  <c r="U1169" i="2"/>
  <c r="U24" i="2"/>
  <c r="U1954" i="2"/>
  <c r="U1417" i="2"/>
  <c r="U1703" i="2"/>
  <c r="U1056" i="2"/>
  <c r="U911" i="2"/>
  <c r="U892" i="2"/>
  <c r="U1982" i="2"/>
  <c r="U872" i="2"/>
  <c r="U378" i="2"/>
  <c r="U327" i="2"/>
  <c r="U1214" i="2"/>
  <c r="U354" i="2"/>
  <c r="U824" i="2"/>
  <c r="U1895" i="2"/>
  <c r="U943" i="2"/>
  <c r="U332" i="2"/>
  <c r="U1312" i="2"/>
  <c r="U1604" i="2"/>
  <c r="U1591" i="2"/>
  <c r="U1802" i="2"/>
  <c r="U814" i="2"/>
  <c r="U1342" i="2"/>
  <c r="U1494" i="2"/>
  <c r="U181" i="2"/>
  <c r="U52" i="2"/>
  <c r="U734" i="2"/>
  <c r="U1367" i="2"/>
  <c r="U1363" i="2"/>
  <c r="U1857" i="2"/>
  <c r="U1079" i="2"/>
  <c r="U1117" i="2"/>
  <c r="U887" i="2"/>
  <c r="U485" i="2"/>
  <c r="U1900" i="2"/>
  <c r="U839" i="2"/>
  <c r="U445" i="2"/>
  <c r="U1964" i="2"/>
  <c r="U1661" i="2"/>
  <c r="U1113" i="2"/>
  <c r="U1089" i="2"/>
  <c r="U1349" i="2"/>
  <c r="U258" i="2"/>
  <c r="U1840" i="2"/>
  <c r="U1783" i="2"/>
  <c r="U817" i="2"/>
  <c r="U1016" i="2"/>
  <c r="U1044" i="2"/>
  <c r="U203" i="2"/>
  <c r="U1777" i="2"/>
  <c r="U1415" i="2"/>
  <c r="U982" i="2"/>
  <c r="U876" i="2"/>
  <c r="U996" i="2"/>
  <c r="U1665" i="2"/>
  <c r="U832" i="2"/>
  <c r="U214" i="2"/>
  <c r="U1493" i="2"/>
  <c r="U1553" i="2"/>
  <c r="U60" i="2"/>
  <c r="U1328" i="2"/>
  <c r="U731" i="2"/>
  <c r="U1770" i="2"/>
  <c r="U1504" i="2"/>
  <c r="U837" i="2"/>
  <c r="U973" i="2"/>
  <c r="U478" i="2"/>
  <c r="U1243" i="2"/>
  <c r="U866" i="2"/>
  <c r="U1368" i="2"/>
  <c r="U288" i="2"/>
  <c r="U633" i="2"/>
  <c r="U1531" i="2"/>
  <c r="U257" i="2"/>
  <c r="U1199" i="2"/>
  <c r="U1144" i="2"/>
  <c r="U195" i="2"/>
  <c r="U287" i="2"/>
  <c r="U596" i="2"/>
  <c r="U1033" i="2"/>
  <c r="U1269" i="2"/>
  <c r="U919" i="2"/>
  <c r="U1240" i="2"/>
  <c r="U417" i="2"/>
  <c r="U1906" i="2"/>
  <c r="U1020" i="2"/>
  <c r="U888" i="2"/>
  <c r="U1257" i="2"/>
  <c r="U1767" i="2"/>
  <c r="U19" i="2"/>
  <c r="U502" i="2"/>
  <c r="U1520" i="2"/>
  <c r="U1598" i="2"/>
  <c r="T1832" i="2"/>
  <c r="T1029" i="2"/>
  <c r="T623" i="2"/>
  <c r="T503" i="2"/>
  <c r="T1165" i="2"/>
  <c r="T1063" i="2"/>
  <c r="T248" i="2"/>
  <c r="T984" i="2"/>
  <c r="T189" i="2"/>
  <c r="T1265" i="2"/>
  <c r="T897" i="2"/>
  <c r="T1190" i="2"/>
  <c r="T515" i="2"/>
  <c r="T1785" i="2"/>
  <c r="T1075" i="2"/>
  <c r="T732" i="2"/>
  <c r="T1753" i="2"/>
  <c r="T1019" i="2"/>
  <c r="T1287" i="2"/>
  <c r="T1420" i="2"/>
  <c r="T622" i="2"/>
  <c r="T1297" i="2"/>
  <c r="T1449" i="2"/>
  <c r="T424" i="2"/>
  <c r="T728" i="2"/>
  <c r="T1662" i="2"/>
  <c r="T1924" i="2"/>
  <c r="T1560" i="2"/>
  <c r="T88" i="2"/>
  <c r="T944" i="2"/>
  <c r="T829" i="2"/>
  <c r="T1094" i="2"/>
  <c r="T657" i="2"/>
  <c r="T427" i="2"/>
  <c r="T771" i="2"/>
  <c r="T567" i="2"/>
  <c r="T1123" i="2"/>
  <c r="T775" i="2"/>
  <c r="T164" i="2"/>
  <c r="T696" i="2"/>
  <c r="T328" i="2"/>
  <c r="T1428" i="2"/>
  <c r="T825" i="2"/>
  <c r="T542" i="2"/>
  <c r="T1480" i="2"/>
  <c r="T363" i="2"/>
  <c r="T694" i="2"/>
  <c r="T1827" i="2"/>
  <c r="T349" i="2"/>
  <c r="T882" i="2"/>
  <c r="T1824" i="2"/>
  <c r="T1295" i="2"/>
  <c r="T1821" i="2"/>
  <c r="T484" i="2"/>
  <c r="T536" i="2"/>
  <c r="T1509" i="2"/>
  <c r="T713" i="2"/>
  <c r="T1921" i="2"/>
  <c r="T581" i="2"/>
  <c r="T6" i="2"/>
  <c r="T1759" i="2"/>
  <c r="T1905" i="2"/>
  <c r="T1322" i="2"/>
  <c r="T518" i="2"/>
  <c r="T32" i="2"/>
  <c r="T1034" i="2"/>
  <c r="T1205" i="2"/>
  <c r="T1247" i="2"/>
  <c r="T86" i="2"/>
  <c r="T1672" i="2"/>
  <c r="T1007" i="2"/>
  <c r="T1902" i="2"/>
  <c r="T160" i="2"/>
  <c r="T1438" i="2"/>
  <c r="T1125" i="2"/>
  <c r="T1621" i="2"/>
  <c r="T1166" i="2"/>
  <c r="T700" i="2"/>
  <c r="T634" i="2"/>
  <c r="T414" i="2"/>
  <c r="T860" i="2"/>
  <c r="T81" i="2"/>
  <c r="T1543" i="2"/>
  <c r="T1280" i="2"/>
  <c r="T1949" i="2"/>
  <c r="T1741" i="2"/>
  <c r="T846" i="2"/>
  <c r="T1353" i="2"/>
  <c r="T753" i="2"/>
  <c r="T1086" i="2"/>
  <c r="T321" i="2"/>
  <c r="T798" i="2"/>
  <c r="T572" i="2"/>
  <c r="T739" i="2"/>
  <c r="T929" i="2"/>
  <c r="T1689" i="2"/>
  <c r="T1955" i="2"/>
  <c r="T1182" i="2"/>
  <c r="T1765" i="2"/>
  <c r="T1277" i="2"/>
  <c r="T285" i="2"/>
  <c r="T1544" i="2"/>
  <c r="T113" i="2"/>
  <c r="T1321" i="2"/>
  <c r="T1004" i="2"/>
  <c r="T1607" i="2"/>
  <c r="T263" i="2"/>
  <c r="T1530" i="2"/>
  <c r="T1234" i="2"/>
  <c r="T971" i="2"/>
  <c r="T1038" i="2"/>
  <c r="T1862" i="2"/>
  <c r="T776" i="2"/>
  <c r="T432" i="2"/>
  <c r="T1651" i="2"/>
  <c r="T274" i="2"/>
  <c r="T1611" i="2"/>
  <c r="T84" i="2"/>
  <c r="T933" i="2"/>
  <c r="T1207" i="2"/>
  <c r="T1469" i="2"/>
  <c r="T469" i="2"/>
  <c r="T1698" i="2"/>
  <c r="T1666" i="2"/>
  <c r="T1815" i="2"/>
  <c r="T523" i="2"/>
  <c r="T454" i="2"/>
  <c r="T968" i="2"/>
  <c r="T953" i="2"/>
  <c r="T812" i="2"/>
  <c r="T1256" i="2"/>
  <c r="T1823" i="2"/>
  <c r="T1053" i="2"/>
  <c r="T699" i="2"/>
  <c r="T196" i="2"/>
  <c r="T1547" i="2"/>
  <c r="T920" i="2"/>
  <c r="T143" i="2"/>
  <c r="T1851" i="2"/>
  <c r="T1579" i="2"/>
  <c r="T767" i="2"/>
  <c r="T415" i="2"/>
  <c r="T566" i="2"/>
  <c r="T1409" i="2"/>
  <c r="T979" i="2"/>
  <c r="T204" i="2"/>
  <c r="T165" i="2"/>
  <c r="T1891" i="2"/>
  <c r="T583" i="2"/>
  <c r="T205" i="2"/>
  <c r="T1690" i="2"/>
  <c r="T1082" i="2"/>
  <c r="T1035" i="2"/>
  <c r="T1266" i="2"/>
  <c r="T1364" i="2"/>
  <c r="T5" i="2"/>
  <c r="T1932" i="2"/>
  <c r="T300" i="2"/>
  <c r="T635" i="2"/>
  <c r="T35" i="2"/>
  <c r="T337" i="2"/>
  <c r="T835" i="2"/>
  <c r="T786" i="2"/>
  <c r="T170" i="2"/>
  <c r="T647" i="2"/>
  <c r="T401" i="2"/>
  <c r="T682" i="2"/>
  <c r="T1706" i="2"/>
  <c r="T1481" i="2"/>
  <c r="T1168" i="2"/>
  <c r="T1037" i="2"/>
  <c r="T76" i="2"/>
  <c r="T1945" i="2"/>
  <c r="T395" i="2"/>
  <c r="T1797" i="2"/>
  <c r="T1170" i="2"/>
  <c r="T1722" i="2"/>
  <c r="T1898" i="2"/>
  <c r="T1400" i="2"/>
  <c r="T691" i="2"/>
  <c r="T792" i="2"/>
  <c r="T1834" i="2"/>
  <c r="T1279" i="2"/>
  <c r="T1139" i="2"/>
  <c r="T842" i="2"/>
  <c r="T671" i="2"/>
  <c r="T1227" i="2"/>
  <c r="T645" i="2"/>
  <c r="T17" i="2"/>
  <c r="T819" i="2"/>
  <c r="T310" i="2"/>
  <c r="T654" i="2"/>
  <c r="T1110" i="2"/>
  <c r="T939" i="2"/>
  <c r="T83" i="2"/>
  <c r="T505" i="2"/>
  <c r="T532" i="2"/>
  <c r="T78" i="2"/>
  <c r="T1997" i="2"/>
  <c r="T995" i="2"/>
  <c r="T1580" i="2"/>
  <c r="T955" i="2"/>
  <c r="T844" i="2"/>
  <c r="T1878" i="2"/>
  <c r="T1761" i="2"/>
  <c r="T1187" i="2"/>
  <c r="T281" i="2"/>
  <c r="T1748" i="2"/>
  <c r="T1204" i="2"/>
  <c r="T1691" i="2"/>
  <c r="T1723" i="2"/>
  <c r="T1041" i="2"/>
  <c r="T1006" i="2"/>
  <c r="T1108" i="2"/>
  <c r="T397" i="2"/>
  <c r="T109" i="2"/>
  <c r="T413" i="2"/>
  <c r="T510" i="2"/>
  <c r="T1952" i="2"/>
  <c r="T1442" i="2"/>
  <c r="T1523" i="2"/>
  <c r="T311" i="2"/>
  <c r="T1881" i="2"/>
  <c r="T909" i="2"/>
  <c r="T1346" i="2"/>
  <c r="T1638" i="2"/>
  <c r="T1875" i="2"/>
  <c r="T1861" i="2"/>
  <c r="T1541" i="2"/>
  <c r="T193" i="2"/>
  <c r="T1850" i="2"/>
  <c r="T871" i="2"/>
  <c r="T1917" i="2"/>
  <c r="T923" i="2"/>
  <c r="T1939" i="2"/>
  <c r="T37" i="2"/>
  <c r="T1578" i="2"/>
  <c r="T271" i="2"/>
  <c r="T130" i="2"/>
  <c r="T1518" i="2"/>
  <c r="T425" i="2"/>
  <c r="T675" i="2"/>
  <c r="T63" i="2"/>
  <c r="T712" i="2"/>
  <c r="T1801" i="2"/>
  <c r="T1937" i="2"/>
  <c r="T420" i="2"/>
  <c r="T806" i="2"/>
  <c r="T1754" i="2"/>
  <c r="T268" i="2"/>
  <c r="T1615" i="2"/>
  <c r="T810" i="2"/>
  <c r="T807" i="2"/>
  <c r="T1258" i="2"/>
  <c r="T69" i="2"/>
  <c r="T255" i="2"/>
  <c r="T733" i="2"/>
  <c r="T1764" i="2"/>
  <c r="T1002" i="2"/>
  <c r="T1114" i="2"/>
  <c r="T437" i="2"/>
  <c r="T1899" i="2"/>
  <c r="T1522" i="2"/>
  <c r="T1492" i="2"/>
  <c r="T833" i="2"/>
  <c r="T1401" i="2"/>
  <c r="T407" i="2"/>
  <c r="T312" i="2"/>
  <c r="T580" i="2"/>
  <c r="T1104" i="2"/>
  <c r="T1872" i="2"/>
  <c r="T1608" i="2"/>
  <c r="T369" i="2"/>
  <c r="T1813" i="2"/>
  <c r="T114" i="2"/>
  <c r="T736" i="2"/>
  <c r="T958" i="2"/>
  <c r="T246" i="2"/>
  <c r="T1052" i="2"/>
  <c r="T217" i="2"/>
  <c r="T650" i="2"/>
  <c r="T676" i="2"/>
  <c r="T335" i="2"/>
  <c r="T681" i="2"/>
  <c r="T1671" i="2"/>
  <c r="T796" i="2"/>
  <c r="T1941" i="2"/>
  <c r="T750" i="2"/>
  <c r="T121" i="2"/>
  <c r="T981" i="2"/>
  <c r="T326" i="2"/>
  <c r="T1155" i="2"/>
  <c r="T1799" i="2"/>
  <c r="T910" i="2"/>
  <c r="T1307" i="2"/>
  <c r="T146" i="2"/>
  <c r="T157" i="2"/>
  <c r="T578" i="2"/>
  <c r="T308" i="2"/>
  <c r="T1440" i="2"/>
  <c r="T1301" i="2"/>
  <c r="T516" i="2"/>
  <c r="T316" i="2"/>
  <c r="T760" i="2"/>
  <c r="T1350" i="2"/>
  <c r="T1389" i="2"/>
  <c r="T1562" i="2"/>
  <c r="T26" i="2"/>
  <c r="T560" i="2"/>
  <c r="T1730" i="2"/>
  <c r="T1629" i="2"/>
  <c r="T1418" i="2"/>
  <c r="T948" i="2"/>
  <c r="T1626" i="2"/>
  <c r="T77" i="2"/>
  <c r="T1193" i="2"/>
  <c r="T940" i="2"/>
  <c r="T152" i="2"/>
  <c r="T1965" i="2"/>
  <c r="T768" i="2"/>
  <c r="T1273" i="2"/>
  <c r="T1624" i="2"/>
  <c r="T1112" i="2"/>
  <c r="T1529" i="2"/>
  <c r="T818" i="2"/>
  <c r="T1740" i="2"/>
  <c r="T1614" i="2"/>
  <c r="T226" i="2"/>
  <c r="T745" i="2"/>
  <c r="T182" i="2"/>
  <c r="T463" i="2"/>
  <c r="T455" i="2"/>
  <c r="T398" i="2"/>
  <c r="T1826" i="2"/>
  <c r="T874" i="2"/>
  <c r="T264" i="2"/>
  <c r="T359" i="2"/>
  <c r="T1693" i="2"/>
  <c r="T628" i="2"/>
  <c r="T456" i="2"/>
  <c r="T656" i="2"/>
  <c r="T1814" i="2"/>
  <c r="T127" i="2"/>
  <c r="T295" i="2"/>
  <c r="T149" i="2"/>
  <c r="T1735" i="2"/>
  <c r="T1804" i="2"/>
  <c r="T1616" i="2"/>
  <c r="T212" i="2"/>
  <c r="T324" i="2"/>
  <c r="T376" i="2"/>
  <c r="T986" i="2"/>
  <c r="T1637" i="2"/>
  <c r="T1733" i="2"/>
  <c r="T90" i="2"/>
  <c r="T1331" i="2"/>
  <c r="T1435" i="2"/>
  <c r="T1461" i="2"/>
  <c r="T881" i="2"/>
  <c r="T1806" i="2"/>
  <c r="T744" i="2"/>
  <c r="T1436" i="2"/>
  <c r="T370" i="2"/>
  <c r="T1948" i="2"/>
  <c r="T1323" i="2"/>
  <c r="T155" i="2"/>
  <c r="T1953" i="2"/>
  <c r="T1848" i="2"/>
  <c r="T171" i="2"/>
  <c r="T1773" i="2"/>
  <c r="T693" i="2"/>
  <c r="T1915" i="2"/>
  <c r="T632" i="2"/>
  <c r="T243" i="2"/>
  <c r="T604" i="2"/>
  <c r="T1095" i="2"/>
  <c r="T1692" i="2"/>
  <c r="T1729" i="2"/>
  <c r="T1738" i="2"/>
  <c r="T1236" i="2"/>
  <c r="T1381" i="2"/>
  <c r="T25" i="2"/>
  <c r="T659" i="2"/>
  <c r="T687" i="2"/>
  <c r="T1455" i="2"/>
  <c r="T1294" i="2"/>
  <c r="T297" i="2"/>
  <c r="T364" i="2"/>
  <c r="T391" i="2"/>
  <c r="T1398" i="2"/>
  <c r="T1632" i="2"/>
  <c r="T486" i="2"/>
  <c r="T472" i="2"/>
  <c r="T548" i="2"/>
  <c r="T1978" i="2"/>
  <c r="T144" i="2"/>
  <c r="T932" i="2"/>
  <c r="T821" i="2"/>
  <c r="T482" i="2"/>
  <c r="T546" i="2"/>
  <c r="T1743" i="2"/>
  <c r="T1511" i="2"/>
  <c r="T476" i="2"/>
  <c r="T788" i="2"/>
  <c r="T108" i="2"/>
  <c r="T809" i="2"/>
  <c r="T555" i="2"/>
  <c r="T94" i="2"/>
  <c r="T974" i="2"/>
  <c r="T547" i="2"/>
  <c r="T290" i="2"/>
  <c r="T443" i="2"/>
  <c r="T151" i="2"/>
  <c r="T1090" i="2"/>
  <c r="T1571" i="2"/>
  <c r="T582" i="2"/>
  <c r="T1354" i="2"/>
  <c r="T1055" i="2"/>
  <c r="T12" i="2"/>
  <c r="T1427" i="2"/>
  <c r="T988" i="2"/>
  <c r="T1559" i="2"/>
  <c r="T867" i="2"/>
  <c r="T1732" i="2"/>
  <c r="T1339" i="2"/>
  <c r="T936" i="2"/>
  <c r="T2" i="2"/>
  <c r="T168" i="2"/>
  <c r="T374" i="2"/>
  <c r="T458" i="2"/>
  <c r="T1831" i="2"/>
  <c r="T1913" i="2"/>
  <c r="T900" i="2"/>
  <c r="T247" i="2"/>
  <c r="T1969" i="2"/>
  <c r="T686" i="2"/>
  <c r="T54" i="2"/>
  <c r="T231" i="2"/>
  <c r="T763" i="2"/>
  <c r="T409" i="2"/>
  <c r="T453" i="2"/>
  <c r="T1264" i="2"/>
  <c r="T1213" i="2"/>
  <c r="T1864" i="2"/>
  <c r="T390" i="2"/>
  <c r="T1058" i="2"/>
  <c r="T1425" i="2"/>
  <c r="T44" i="2"/>
  <c r="T1396" i="2"/>
  <c r="T1137" i="2"/>
  <c r="T135" i="2"/>
  <c r="T964" i="2"/>
  <c r="T45" i="2"/>
  <c r="T28" i="2"/>
  <c r="T1231" i="2"/>
  <c r="T223" i="2"/>
  <c r="T1843" i="2"/>
  <c r="T1925" i="2"/>
  <c r="T1674" i="2"/>
  <c r="T590" i="2"/>
  <c r="T1635" i="2"/>
  <c r="T330" i="2"/>
  <c r="T1370" i="2"/>
  <c r="T1216" i="2"/>
  <c r="T1306" i="2"/>
  <c r="T512" i="2"/>
  <c r="T924" i="2"/>
  <c r="T1628" i="2"/>
  <c r="T534" i="2"/>
  <c r="T1758" i="2"/>
  <c r="T1228" i="2"/>
  <c r="T1556" i="2"/>
  <c r="T1392" i="2"/>
  <c r="T487" i="2"/>
  <c r="T1715" i="2"/>
  <c r="T1956" i="2"/>
  <c r="T1995" i="2"/>
  <c r="T1936" i="2"/>
  <c r="T751" i="2"/>
  <c r="T864" i="2"/>
  <c r="T1820" i="2"/>
  <c r="T1452" i="2"/>
  <c r="T1818" i="2"/>
  <c r="T519" i="2"/>
  <c r="T579" i="2"/>
  <c r="T375" i="2"/>
  <c r="T1362" i="2"/>
  <c r="T147" i="2"/>
  <c r="T499" i="2"/>
  <c r="T1867" i="2"/>
  <c r="T808" i="2"/>
  <c r="T1157" i="2"/>
  <c r="T1184" i="2"/>
  <c r="T994" i="2"/>
  <c r="T509" i="2"/>
  <c r="T71" i="2"/>
  <c r="T1143" i="2"/>
  <c r="T685" i="2"/>
  <c r="T575" i="2"/>
  <c r="T410" i="2"/>
  <c r="T1907" i="2"/>
  <c r="T562" i="2"/>
  <c r="T21" i="2"/>
  <c r="T574" i="2"/>
  <c r="T1161" i="2"/>
  <c r="T903" i="2"/>
  <c r="T283" i="2"/>
  <c r="T1253" i="2"/>
  <c r="T65" i="2"/>
  <c r="T1325" i="2"/>
  <c r="T1980" i="2"/>
  <c r="T47" i="2"/>
  <c r="T1046" i="2"/>
  <c r="T416" i="2"/>
  <c r="T1800" i="2"/>
  <c r="T100" i="2"/>
  <c r="T1025" i="2"/>
  <c r="T216" i="2"/>
  <c r="T336" i="2"/>
  <c r="T1894" i="2"/>
  <c r="T434" i="2"/>
  <c r="T1332" i="2"/>
  <c r="T256" i="2"/>
  <c r="T639" i="2"/>
  <c r="T1313" i="2"/>
  <c r="T1431" i="2"/>
  <c r="T384" i="2"/>
  <c r="T827" i="2"/>
  <c r="T1679" i="2"/>
  <c r="T1950" i="2"/>
  <c r="T1647" i="2"/>
  <c r="T1066" i="2"/>
  <c r="T1947" i="2"/>
  <c r="T1340" i="2"/>
  <c r="T1267" i="2"/>
  <c r="T353" i="2"/>
  <c r="T840" i="2"/>
  <c r="T138" i="2"/>
  <c r="T1957" i="2"/>
  <c r="T1577" i="2"/>
  <c r="T1885" i="2"/>
  <c r="T1285" i="2"/>
  <c r="T605" i="2"/>
  <c r="T296" i="2"/>
  <c r="T1031" i="2"/>
  <c r="T1395" i="2"/>
  <c r="T1156" i="2"/>
  <c r="T772" i="2"/>
  <c r="T1081" i="2"/>
  <c r="T1293" i="2"/>
  <c r="T1027" i="2"/>
  <c r="T841" i="2"/>
  <c r="T934" i="2"/>
  <c r="T381" i="2"/>
  <c r="T1120" i="2"/>
  <c r="T1148" i="2"/>
  <c r="T265" i="2"/>
  <c r="T1545" i="2"/>
  <c r="T1302" i="2"/>
  <c r="T730" i="2"/>
  <c r="T1097" i="2"/>
  <c r="T208" i="2"/>
  <c r="T1460" i="2"/>
  <c r="T946" i="2"/>
  <c r="T684" i="2"/>
  <c r="T1958" i="2"/>
  <c r="T526" i="2"/>
  <c r="T183" i="2"/>
  <c r="T436" i="2"/>
  <c r="T1784" i="2"/>
  <c r="T1281" i="2"/>
  <c r="T1327" i="2"/>
  <c r="T154" i="2"/>
  <c r="T1001" i="2"/>
  <c r="T1582" i="2"/>
  <c r="T828" i="2"/>
  <c r="T238" i="2"/>
  <c r="T1613" i="2"/>
  <c r="T925" i="2"/>
  <c r="T556" i="2"/>
  <c r="T1558" i="2"/>
  <c r="T1092" i="2"/>
  <c r="T1550" i="2"/>
  <c r="T584" i="2"/>
  <c r="T801" i="2"/>
  <c r="T1083" i="2"/>
  <c r="T1154" i="2"/>
  <c r="T239" i="2"/>
  <c r="T755" i="2"/>
  <c r="T1196" i="2"/>
  <c r="T585" i="2"/>
  <c r="T1570" i="2"/>
  <c r="T1458" i="2"/>
  <c r="T435" i="2"/>
  <c r="T1018" i="2"/>
  <c r="T392" i="2"/>
  <c r="T393" i="2"/>
  <c r="T1180" i="2"/>
  <c r="T1749" i="2"/>
  <c r="T180" i="2"/>
  <c r="T1816" i="2"/>
  <c r="T1974" i="2"/>
  <c r="T1087" i="2"/>
  <c r="T1390" i="2"/>
  <c r="T275" i="2"/>
  <c r="T895" i="2"/>
  <c r="T394" i="2"/>
  <c r="T756" i="2"/>
  <c r="T1118" i="2"/>
  <c r="T1772" i="2"/>
  <c r="T902" i="2"/>
  <c r="T79" i="2"/>
  <c r="T1747" i="2"/>
  <c r="T779" i="2"/>
  <c r="T710" i="2"/>
  <c r="T831" i="2"/>
  <c r="T1298" i="2"/>
  <c r="T334" i="2"/>
  <c r="T1811" i="2"/>
  <c r="T139" i="2"/>
  <c r="T1569" i="2"/>
  <c r="T1206" i="2"/>
  <c r="T41" i="2"/>
  <c r="T480" i="2"/>
  <c r="T1050" i="2"/>
  <c r="T1592" i="2"/>
  <c r="T1173" i="2"/>
  <c r="T648" i="2"/>
  <c r="T1930" i="2"/>
  <c r="T318" i="2"/>
  <c r="T899" i="2"/>
  <c r="T965" i="2"/>
  <c r="T591" i="2"/>
  <c r="T977" i="2"/>
  <c r="T747" i="2"/>
  <c r="T1286" i="2"/>
  <c r="T1716" i="2"/>
  <c r="T1774" i="2"/>
  <c r="T1414" i="2"/>
  <c r="T1133" i="2"/>
  <c r="T1444" i="2"/>
  <c r="T122" i="2"/>
  <c r="T1602" i="2"/>
  <c r="T1374" i="2"/>
  <c r="T1708" i="2"/>
  <c r="T451" i="2"/>
  <c r="T672" i="2"/>
  <c r="T826" i="2"/>
  <c r="T9" i="2"/>
  <c r="T1841" i="2"/>
  <c r="T252" i="2"/>
  <c r="T1021" i="2"/>
  <c r="T1308" i="2"/>
  <c r="T33" i="2"/>
  <c r="T161" i="2"/>
  <c r="T1472" i="2"/>
  <c r="T1071" i="2"/>
  <c r="T305" i="2"/>
  <c r="T912" i="2"/>
  <c r="T1859" i="2"/>
  <c r="T1384" i="2"/>
  <c r="T834" i="2"/>
  <c r="T666" i="2"/>
  <c r="T104" i="2"/>
  <c r="T1241" i="2"/>
  <c r="T683" i="2"/>
  <c r="T16" i="2"/>
  <c r="T1667" i="2"/>
  <c r="T921" i="2"/>
  <c r="T446" i="2"/>
  <c r="T1865" i="2"/>
  <c r="T191" i="2"/>
  <c r="T253" i="2"/>
  <c r="T1239" i="2"/>
  <c r="T64" i="2"/>
  <c r="T1701" i="2"/>
  <c r="T539" i="2"/>
  <c r="T1393" i="2"/>
  <c r="T1728" i="2"/>
  <c r="T278" i="2"/>
  <c r="T1596" i="2"/>
  <c r="T663" i="2"/>
  <c r="T855" i="2"/>
  <c r="T1526" i="2"/>
  <c r="T137" i="2"/>
  <c r="T896" i="2"/>
  <c r="T186" i="2"/>
  <c r="T13" i="2"/>
  <c r="T302" i="2"/>
  <c r="T233" i="2"/>
  <c r="T674" i="2"/>
  <c r="T492" i="2"/>
  <c r="T847" i="2"/>
  <c r="T141" i="2"/>
  <c r="T1534" i="2"/>
  <c r="T31" i="2"/>
  <c r="T465" i="2"/>
  <c r="T441" i="2"/>
  <c r="T198" i="2"/>
  <c r="T740" i="2"/>
  <c r="T1468" i="2"/>
  <c r="T213" i="2"/>
  <c r="T785" i="2"/>
  <c r="T1271" i="2"/>
  <c r="T987" i="2"/>
  <c r="T898" i="2"/>
  <c r="T1619" i="2"/>
  <c r="T738" i="2"/>
  <c r="T338" i="2"/>
  <c r="T836" i="2"/>
  <c r="T1920" i="2"/>
  <c r="T1922" i="2"/>
  <c r="T473" i="2"/>
  <c r="T112" i="2"/>
  <c r="T621" i="2"/>
  <c r="T1627" i="2"/>
  <c r="T1212" i="2"/>
  <c r="T1979" i="2"/>
  <c r="T1757" i="2"/>
  <c r="T784" i="2"/>
  <c r="T1176" i="2"/>
  <c r="T1489" i="2"/>
  <c r="T1618" i="2"/>
  <c r="T595" i="2"/>
  <c r="T1788" i="2"/>
  <c r="T315" i="2"/>
  <c r="T1775" i="2"/>
  <c r="T1355" i="2"/>
  <c r="T440" i="2"/>
  <c r="T603" i="2"/>
  <c r="T668" i="2"/>
  <c r="T1167" i="2"/>
  <c r="T1636" i="2"/>
  <c r="T347" i="2"/>
  <c r="T1542" i="2"/>
  <c r="T1919" i="2"/>
  <c r="T1465" i="2"/>
  <c r="T1711" i="2"/>
  <c r="T1188" i="2"/>
  <c r="T1844" i="2"/>
  <c r="T830" i="2"/>
  <c r="T619" i="2"/>
  <c r="T55" i="2"/>
  <c r="T224" i="2"/>
  <c r="T1951" i="2"/>
  <c r="T1337" i="2"/>
  <c r="T913" i="2"/>
  <c r="T241" i="2"/>
  <c r="T1653" i="2"/>
  <c r="T259" i="2"/>
  <c r="T570" i="2"/>
  <c r="T1505" i="2"/>
  <c r="T1453" i="2"/>
  <c r="T102" i="2"/>
  <c r="T266" i="2"/>
  <c r="T368" i="2"/>
  <c r="T269" i="2"/>
  <c r="T1678" i="2"/>
  <c r="T587" i="2"/>
  <c r="T1981" i="2"/>
  <c r="T406" i="2"/>
  <c r="T557" i="2"/>
  <c r="T856" i="2"/>
  <c r="T126" i="2"/>
  <c r="T40" i="2"/>
  <c r="T1533" i="2"/>
  <c r="T1487" i="2"/>
  <c r="T922" i="2"/>
  <c r="T188" i="2"/>
  <c r="T722" i="2"/>
  <c r="T1441" i="2"/>
  <c r="T185" i="2"/>
  <c r="T1059" i="2"/>
  <c r="T886" i="2"/>
  <c r="T262" i="2"/>
  <c r="T1855" i="2"/>
  <c r="T70" i="2"/>
  <c r="T573" i="2"/>
  <c r="T1966" i="2"/>
  <c r="T1737" i="2"/>
  <c r="T759" i="2"/>
  <c r="T719" i="2"/>
  <c r="T960" i="2"/>
  <c r="T73" i="2"/>
  <c r="T1766" i="2"/>
  <c r="T1929" i="2"/>
  <c r="T110" i="2"/>
  <c r="T1812" i="2"/>
  <c r="T331" i="2"/>
  <c r="T1718" i="2"/>
  <c r="T1192" i="2"/>
  <c r="T1318" i="2"/>
  <c r="T1507" i="2"/>
  <c r="T1291" i="2"/>
  <c r="T1549" i="2"/>
  <c r="T949" i="2"/>
  <c r="T495" i="2"/>
  <c r="T158" i="2"/>
  <c r="T128" i="2"/>
  <c r="T778" i="2"/>
  <c r="T1270" i="2"/>
  <c r="T602" i="2"/>
  <c r="T1023" i="2"/>
  <c r="T1810" i="2"/>
  <c r="T242" i="2"/>
  <c r="T848" i="2"/>
  <c r="T351" i="2"/>
  <c r="T1060" i="2"/>
  <c r="T1642" i="2"/>
  <c r="T342" i="2"/>
  <c r="T1051" i="2"/>
  <c r="T530" i="2"/>
  <c r="T1064" i="2"/>
  <c r="T304" i="2"/>
  <c r="T1065" i="2"/>
  <c r="T367" i="2"/>
  <c r="T1641" i="2"/>
  <c r="T169" i="2"/>
  <c r="T1421" i="2"/>
  <c r="T489" i="2"/>
  <c r="T1189" i="2"/>
  <c r="T1805" i="2"/>
  <c r="T618" i="2"/>
  <c r="T1248" i="2"/>
  <c r="T319" i="2"/>
  <c r="T48" i="2"/>
  <c r="T1043" i="2"/>
  <c r="T39" i="2"/>
  <c r="T1010" i="2"/>
  <c r="T276" i="2"/>
  <c r="T1024" i="2"/>
  <c r="T541" i="2"/>
  <c r="T630" i="2"/>
  <c r="T1202" i="2"/>
  <c r="T863" i="2"/>
  <c r="T249" i="2"/>
  <c r="T851" i="2"/>
  <c r="T1411" i="2"/>
  <c r="T1781" i="2"/>
  <c r="T201" i="2"/>
  <c r="T1590" i="2"/>
  <c r="T1527" i="2"/>
  <c r="T1597" i="2"/>
  <c r="T1946" i="2"/>
  <c r="T1519" i="2"/>
  <c r="T1942" i="2"/>
  <c r="T1933" i="2"/>
  <c r="T1914" i="2"/>
  <c r="T816" i="2"/>
  <c r="T527" i="2"/>
  <c r="T1067" i="2"/>
  <c r="T507" i="2"/>
  <c r="T1255" i="2"/>
  <c r="T1124" i="2"/>
  <c r="T513" i="2"/>
  <c r="T1430" i="2"/>
  <c r="T845" i="2"/>
  <c r="T660" i="2"/>
  <c r="T1105" i="2"/>
  <c r="T1290" i="2"/>
  <c r="T1631" i="2"/>
  <c r="T716" i="2"/>
  <c r="T1868" i="2"/>
  <c r="T545" i="2"/>
  <c r="T1771" i="2"/>
  <c r="T1911" i="2"/>
  <c r="T1780" i="2"/>
  <c r="T1736" i="2"/>
  <c r="T1488" i="2"/>
  <c r="T606" i="2"/>
  <c r="T729" i="2"/>
  <c r="T708" i="2"/>
  <c r="T875" i="2"/>
  <c r="T1707" i="2"/>
  <c r="T1382" i="2"/>
  <c r="T861" i="2"/>
  <c r="T589" i="2"/>
  <c r="T92" i="2"/>
  <c r="T74" i="2"/>
  <c r="T521" i="2"/>
  <c r="T1399" i="2"/>
  <c r="T1961" i="2"/>
  <c r="T1888" i="2"/>
  <c r="T422" i="2"/>
  <c r="T1483" i="2"/>
  <c r="T314" i="2"/>
  <c r="T613" i="2"/>
  <c r="T430" i="2"/>
  <c r="T107" i="2"/>
  <c r="T1057" i="2"/>
  <c r="T773" i="2"/>
  <c r="T889" i="2"/>
  <c r="T1101" i="2"/>
  <c r="T184" i="2"/>
  <c r="T1985" i="2"/>
  <c r="T962" i="2"/>
  <c r="T1080" i="2"/>
  <c r="T1132" i="2"/>
  <c r="T1517" i="2"/>
  <c r="T474" i="2"/>
  <c r="T1721" i="2"/>
  <c r="T174" i="2"/>
  <c r="T1659" i="2"/>
  <c r="T850" i="2"/>
  <c r="T1162" i="2"/>
  <c r="T419" i="2"/>
  <c r="T1009" i="2"/>
  <c r="T251" i="2"/>
  <c r="T884" i="2"/>
  <c r="T418" i="2"/>
  <c r="T1303" i="2"/>
  <c r="T1682" i="2"/>
  <c r="T947" i="2"/>
  <c r="T703" i="2"/>
  <c r="T1109" i="2"/>
  <c r="T1656" i="2"/>
  <c r="T218" i="2"/>
  <c r="T1809" i="2"/>
  <c r="T1338" i="2"/>
  <c r="T1315" i="2"/>
  <c r="T1568" i="2"/>
  <c r="T914" i="2"/>
  <c r="T1305" i="2"/>
  <c r="T1357" i="2"/>
  <c r="T549" i="2"/>
  <c r="T1254" i="2"/>
  <c r="T568" i="2"/>
  <c r="T1242" i="2"/>
  <c r="T757" i="2"/>
  <c r="T1351" i="2"/>
  <c r="T366" i="2"/>
  <c r="T429" i="2"/>
  <c r="T1116" i="2"/>
  <c r="T975" i="2"/>
  <c r="T1077" i="2"/>
  <c r="T1617" i="2"/>
  <c r="T1605" i="2"/>
  <c r="T1252" i="2"/>
  <c r="T999" i="2"/>
  <c r="T1179" i="2"/>
  <c r="T1836" i="2"/>
  <c r="T140" i="2"/>
  <c r="T1685" i="2"/>
  <c r="T1910" i="2"/>
  <c r="T1141" i="2"/>
  <c r="T325" i="2"/>
  <c r="T1446" i="2"/>
  <c r="T1567" i="2"/>
  <c r="T641" i="2"/>
  <c r="T461" i="2"/>
  <c r="T631" i="2"/>
  <c r="T1655" i="2"/>
  <c r="T1535" i="2"/>
  <c r="T1599" i="2"/>
  <c r="T490" i="2"/>
  <c r="T1745" i="2"/>
  <c r="T1070" i="2"/>
  <c r="T260" i="2"/>
  <c r="T673" i="2"/>
  <c r="T535" i="2"/>
  <c r="T1791" i="2"/>
  <c r="T858" i="2"/>
  <c r="T1130" i="2"/>
  <c r="T748" i="2"/>
  <c r="T1174" i="2"/>
  <c r="T540" i="2"/>
  <c r="T1796" i="2"/>
  <c r="T1194" i="2"/>
  <c r="T344" i="2"/>
  <c r="T1282" i="2"/>
  <c r="T849" i="2"/>
  <c r="T1837" i="2"/>
  <c r="T56" i="2"/>
  <c r="T669" i="2"/>
  <c r="T412" i="2"/>
  <c r="T793" i="2"/>
  <c r="T1407" i="2"/>
  <c r="T1501" i="2"/>
  <c r="T1508" i="2"/>
  <c r="T118" i="2"/>
  <c r="T551" i="2"/>
  <c r="T1845" i="2"/>
  <c r="T22" i="2"/>
  <c r="T1422" i="2"/>
  <c r="T1135" i="2"/>
  <c r="T129" i="2"/>
  <c r="T1230" i="2"/>
  <c r="T1459" i="2"/>
  <c r="T1121" i="2"/>
  <c r="T1792" i="2"/>
  <c r="T1630" i="2"/>
  <c r="T464" i="2"/>
  <c r="T558" i="2"/>
  <c r="T1639" i="2"/>
  <c r="T1244" i="2"/>
  <c r="T594" i="2"/>
  <c r="T1889" i="2"/>
  <c r="T704" i="2"/>
  <c r="T961" i="2"/>
  <c r="T1896" i="2"/>
  <c r="T388" i="2"/>
  <c r="T1183" i="2"/>
  <c r="T1221" i="2"/>
  <c r="T1476" i="2"/>
  <c r="T1045" i="2"/>
  <c r="T1622" i="2"/>
  <c r="T1397" i="2"/>
  <c r="T1934" i="2"/>
  <c r="T1345" i="2"/>
  <c r="T339" i="2"/>
  <c r="T787" i="2"/>
  <c r="T120" i="2"/>
  <c r="T1877" i="2"/>
  <c r="T345" i="2"/>
  <c r="T234" i="2"/>
  <c r="T1376" i="2"/>
  <c r="T1835" i="2"/>
  <c r="T1790" i="2"/>
  <c r="T1540" i="2"/>
  <c r="T1061" i="2"/>
  <c r="T1106" i="2"/>
  <c r="T1404" i="2"/>
  <c r="T998" i="2"/>
  <c r="T1623" i="2"/>
  <c r="T571" i="2"/>
  <c r="T59" i="2"/>
  <c r="T8" i="2"/>
  <c r="T475" i="2"/>
  <c r="T1670" i="2"/>
  <c r="T1146" i="2"/>
  <c r="T46" i="2"/>
  <c r="T991" i="2"/>
  <c r="T1175" i="2"/>
  <c r="T1935" i="2"/>
  <c r="T1263" i="2"/>
  <c r="T1669" i="2"/>
  <c r="T797" i="2"/>
  <c r="T1462" i="2"/>
  <c r="T1288" i="2"/>
  <c r="T983" i="2"/>
  <c r="T1993" i="2"/>
  <c r="T1467" i="2"/>
  <c r="T1201" i="2"/>
  <c r="T1649" i="2"/>
  <c r="T1245" i="2"/>
  <c r="T232" i="2"/>
  <c r="T1557" i="2"/>
  <c r="T1049" i="2"/>
  <c r="T607" i="2"/>
  <c r="T382" i="2"/>
  <c r="T1454" i="2"/>
  <c r="T211" i="2"/>
  <c r="T358" i="2"/>
  <c r="T612" i="2"/>
  <c r="T200" i="2"/>
  <c r="T1676" i="2"/>
  <c r="T938" i="2"/>
  <c r="T1218" i="2"/>
  <c r="T228" i="2"/>
  <c r="T1871" i="2"/>
  <c r="T1927" i="2"/>
  <c r="T1645" i="2"/>
  <c r="T421" i="2"/>
  <c r="T1229" i="2"/>
  <c r="T1099" i="2"/>
  <c r="T362" i="2"/>
  <c r="T782" i="2"/>
  <c r="T1731" i="2"/>
  <c r="T610" i="2"/>
  <c r="T620" i="2"/>
  <c r="T1233" i="2"/>
  <c r="T1178" i="2"/>
  <c r="T593" i="2"/>
  <c r="T447" i="2"/>
  <c r="T341" i="2"/>
  <c r="T97" i="2"/>
  <c r="T588" i="2"/>
  <c r="T980" i="2"/>
  <c r="T1660" i="2"/>
  <c r="T1768" i="2"/>
  <c r="T1203" i="2"/>
  <c r="T1145" i="2"/>
  <c r="T426" i="2"/>
  <c r="T1259" i="2"/>
  <c r="T1375" i="2"/>
  <c r="T1341" i="2"/>
  <c r="T1901" i="2"/>
  <c r="T1710" i="2"/>
  <c r="T1405" i="2"/>
  <c r="T783" i="2"/>
  <c r="T1794" i="2"/>
  <c r="T277" i="2"/>
  <c r="T220" i="2"/>
  <c r="T1380" i="2"/>
  <c r="T1575" i="2"/>
  <c r="T1426" i="2"/>
  <c r="T1451" i="2"/>
  <c r="T1967" i="2"/>
  <c r="T1186" i="2"/>
  <c r="T1026" i="2"/>
  <c r="T1028" i="2"/>
  <c r="T240" i="2"/>
  <c r="T915" i="2"/>
  <c r="T901" i="2"/>
  <c r="T1923" i="2"/>
  <c r="T1538" i="2"/>
  <c r="T1383" i="2"/>
  <c r="T878" i="2"/>
  <c r="T930" i="2"/>
  <c r="T1470" i="2"/>
  <c r="T237" i="2"/>
  <c r="T799" i="2"/>
  <c r="T695" i="2"/>
  <c r="T1726" i="2"/>
  <c r="T1595" i="2"/>
  <c r="T969" i="2"/>
  <c r="T862" i="2"/>
  <c r="T1510" i="2"/>
  <c r="T1497" i="2"/>
  <c r="T1198" i="2"/>
  <c r="T1803" i="2"/>
  <c r="T1552" i="2"/>
  <c r="T1498" i="2"/>
  <c r="T1358" i="2"/>
  <c r="T1164" i="2"/>
  <c r="T762" i="2"/>
  <c r="T1085" i="2"/>
  <c r="T15" i="2"/>
  <c r="T941" i="2"/>
  <c r="T1986" i="2"/>
  <c r="T371" i="2"/>
  <c r="T215" i="2"/>
  <c r="T1863" i="2"/>
  <c r="T1860" i="2"/>
  <c r="T58" i="2"/>
  <c r="T1988" i="2"/>
  <c r="T1646" i="2"/>
  <c r="T552" i="2"/>
  <c r="T1652" i="2"/>
  <c r="T1908" i="2"/>
  <c r="T1352" i="2"/>
  <c r="T937" i="2"/>
  <c r="T1185" i="2"/>
  <c r="T1471" i="2"/>
  <c r="T105" i="2"/>
  <c r="T1551" i="2"/>
  <c r="T528" i="2"/>
  <c r="T1275" i="2"/>
  <c r="T267" i="2"/>
  <c r="T1696" i="2"/>
  <c r="T1565" i="2"/>
  <c r="T89" i="2"/>
  <c r="T1377" i="2"/>
  <c r="T379" i="2"/>
  <c r="T989" i="2"/>
  <c r="T1852" i="2"/>
  <c r="T997" i="2"/>
  <c r="T629" i="2"/>
  <c r="T1047" i="2"/>
  <c r="T956" i="2"/>
  <c r="T27" i="2"/>
  <c r="T1704" i="2"/>
  <c r="T504" i="2"/>
  <c r="T1996" i="2"/>
  <c r="T178" i="2"/>
  <c r="T1159" i="2"/>
  <c r="T1102" i="2"/>
  <c r="T1361" i="2"/>
  <c r="T20" i="2"/>
  <c r="T852" i="2"/>
  <c r="T457" i="2"/>
  <c r="T843" i="2"/>
  <c r="T250" i="2"/>
  <c r="T1073" i="2"/>
  <c r="T794" i="2"/>
  <c r="T159" i="2"/>
  <c r="T1763" i="2"/>
  <c r="T1866" i="2"/>
  <c r="T1474" i="2"/>
  <c r="T1448" i="2"/>
  <c r="T1983" i="2"/>
  <c r="T1589" i="2"/>
  <c r="T1938" i="2"/>
  <c r="T1680" i="2"/>
  <c r="T1634" i="2"/>
  <c r="T1424" i="2"/>
  <c r="T1999" i="2"/>
  <c r="T7" i="2"/>
  <c r="T306" i="2"/>
  <c r="T1437" i="2"/>
  <c r="T637" i="2"/>
  <c r="T1119" i="2"/>
  <c r="T1215" i="2"/>
  <c r="T125" i="2"/>
  <c r="T770" i="2"/>
  <c r="T577" i="2"/>
  <c r="T1972" i="2"/>
  <c r="T1537" i="2"/>
  <c r="T644" i="2"/>
  <c r="T101" i="2"/>
  <c r="T148" i="2"/>
  <c r="T1762" i="2"/>
  <c r="T916" i="2"/>
  <c r="T272" i="2"/>
  <c r="T1127" i="2"/>
  <c r="T500" i="2"/>
  <c r="T1496" i="2"/>
  <c r="T93" i="2"/>
  <c r="T199" i="2"/>
  <c r="T1036" i="2"/>
  <c r="T1111" i="2"/>
  <c r="T1475" i="2"/>
  <c r="T493" i="2"/>
  <c r="T301" i="2"/>
  <c r="T1700" i="2"/>
  <c r="T142" i="2"/>
  <c r="T1379" i="2"/>
  <c r="T714" i="2"/>
  <c r="T942" i="2"/>
  <c r="T289" i="2"/>
  <c r="T561" i="2"/>
  <c r="T423" i="2"/>
  <c r="T559" i="2"/>
  <c r="T99" i="2"/>
  <c r="T1373" i="2"/>
  <c r="T98" i="2"/>
  <c r="T1971" i="2"/>
  <c r="T928" i="2"/>
  <c r="T820" i="2"/>
  <c r="T1032" i="2"/>
  <c r="T649" i="2"/>
  <c r="T1838" i="2"/>
  <c r="T350" i="2"/>
  <c r="T115" i="2"/>
  <c r="T1278" i="2"/>
  <c r="T636" i="2"/>
  <c r="T438" i="2"/>
  <c r="T72" i="2"/>
  <c r="T1769" i="2"/>
  <c r="T1138" i="2"/>
  <c r="T1940" i="2"/>
  <c r="T1149" i="2"/>
  <c r="T1640" i="2"/>
  <c r="T1068" i="2"/>
  <c r="T774" i="2"/>
  <c r="T270" i="2"/>
  <c r="T14" i="2"/>
  <c r="T365" i="2"/>
  <c r="T23" i="2"/>
  <c r="T1512" i="2"/>
  <c r="T1456" i="2"/>
  <c r="T563" i="2"/>
  <c r="T1709" i="2"/>
  <c r="T117" i="2"/>
  <c r="T404" i="2"/>
  <c r="T766" i="2"/>
  <c r="T1491" i="2"/>
  <c r="T1787" i="2"/>
  <c r="T1220" i="2"/>
  <c r="T711" i="2"/>
  <c r="T600" i="2"/>
  <c r="T1755" i="2"/>
  <c r="T4" i="2"/>
  <c r="T1000" i="2"/>
  <c r="T1752" i="2"/>
  <c r="T1445" i="2"/>
  <c r="T1158" i="2"/>
  <c r="T282" i="2"/>
  <c r="T737" i="2"/>
  <c r="T57" i="2"/>
  <c r="T1856" i="2"/>
  <c r="T993" i="2"/>
  <c r="T893" i="2"/>
  <c r="T1524" i="2"/>
  <c r="T448" i="2"/>
  <c r="T908" i="2"/>
  <c r="T661" i="2"/>
  <c r="T156" i="2"/>
  <c r="T1739" i="2"/>
  <c r="T1943" i="2"/>
  <c r="T1371" i="2"/>
  <c r="T1128" i="2"/>
  <c r="T1217" i="2"/>
  <c r="T202" i="2"/>
  <c r="T322" i="2"/>
  <c r="T320" i="2"/>
  <c r="T1423" i="2"/>
  <c r="T1684" i="2"/>
  <c r="T1003" i="2"/>
  <c r="T111" i="2"/>
  <c r="T172" i="2"/>
  <c r="T1260" i="2"/>
  <c r="T1819" i="2"/>
  <c r="T877" i="2"/>
  <c r="T1536" i="2"/>
  <c r="T1998" i="2"/>
  <c r="T439" i="2"/>
  <c r="T927" i="2"/>
  <c r="T133" i="2"/>
  <c r="T697" i="2"/>
  <c r="T800" i="2"/>
  <c r="T261" i="2"/>
  <c r="T1782" i="2"/>
  <c r="T1880" i="2"/>
  <c r="T236" i="2"/>
  <c r="T1490" i="2"/>
  <c r="T303" i="2"/>
  <c r="T1727" i="2"/>
  <c r="T1776" i="2"/>
  <c r="T658" i="2"/>
  <c r="T1372" i="2"/>
  <c r="T1830" i="2"/>
  <c r="T1779" i="2"/>
  <c r="T1760" i="2"/>
  <c r="T992" i="2"/>
  <c r="T1200" i="2"/>
  <c r="T323" i="2"/>
  <c r="T1394" i="2"/>
  <c r="T175" i="2"/>
  <c r="T462" i="2"/>
  <c r="T764" i="2"/>
  <c r="T1261" i="2"/>
  <c r="T1513" i="2"/>
  <c r="T511" i="2"/>
  <c r="T614" i="2"/>
  <c r="T1326" i="2"/>
  <c r="T1069" i="2"/>
  <c r="T176" i="2"/>
  <c r="T399" i="2"/>
  <c r="T531" i="2"/>
  <c r="T1588" i="2"/>
  <c r="T586" i="2"/>
  <c r="T51" i="2"/>
  <c r="T1211" i="2"/>
  <c r="T1500" i="2"/>
  <c r="T680" i="2"/>
  <c r="T1576" i="2"/>
  <c r="T1807" i="2"/>
  <c r="T1250" i="2"/>
  <c r="T1525" i="2"/>
  <c r="T957" i="2"/>
  <c r="T777" i="2"/>
  <c r="T906" i="2"/>
  <c r="T761" i="2"/>
  <c r="T742" i="2"/>
  <c r="T967" i="2"/>
  <c r="T1572" i="2"/>
  <c r="T524" i="2"/>
  <c r="T506" i="2"/>
  <c r="T221" i="2"/>
  <c r="T488" i="2"/>
  <c r="T361" i="2"/>
  <c r="T1134" i="2"/>
  <c r="T298" i="2"/>
  <c r="T96" i="2"/>
  <c r="T752" i="2"/>
  <c r="T611" i="2"/>
  <c r="T822" i="2"/>
  <c r="T498" i="2"/>
  <c r="T1246" i="2"/>
  <c r="T1987" i="2"/>
  <c r="T299" i="2"/>
  <c r="T119" i="2"/>
  <c r="T1909" i="2"/>
  <c r="T1333" i="2"/>
  <c r="T599" i="2"/>
  <c r="T1348" i="2"/>
  <c r="T187" i="2"/>
  <c r="T1482" i="2"/>
  <c r="T1030" i="2"/>
  <c r="T1854" i="2"/>
  <c r="T1574" i="2"/>
  <c r="T1088" i="2"/>
  <c r="T1140" i="2"/>
  <c r="T1990" i="2"/>
  <c r="T471" i="2"/>
  <c r="T1609" i="2"/>
  <c r="T442" i="2"/>
  <c r="T356" i="2"/>
  <c r="T206" i="2"/>
  <c r="T1573" i="2"/>
  <c r="T468" i="2"/>
  <c r="T1883" i="2"/>
  <c r="T1697" i="2"/>
  <c r="T1503" i="2"/>
  <c r="T1992" i="2"/>
  <c r="T294" i="2"/>
  <c r="T1107" i="2"/>
  <c r="T1594" i="2"/>
  <c r="T1262" i="2"/>
  <c r="T68" i="2"/>
  <c r="T689" i="2"/>
  <c r="T638" i="2"/>
  <c r="T1433" i="2"/>
  <c r="T1013" i="2"/>
  <c r="T894" i="2"/>
  <c r="T153" i="2"/>
  <c r="T690" i="2"/>
  <c r="T1226" i="2"/>
  <c r="T1268" i="2"/>
  <c r="T483" i="2"/>
  <c r="T43" i="2"/>
  <c r="T1668" i="2"/>
  <c r="T1495" i="2"/>
  <c r="T1606" i="2"/>
  <c r="T173" i="2"/>
  <c r="T481" i="2"/>
  <c r="T1171" i="2"/>
  <c r="T1447" i="2"/>
  <c r="T123" i="2"/>
  <c r="T1274" i="2"/>
  <c r="T1208" i="2"/>
  <c r="T30" i="2"/>
  <c r="T1677" i="2"/>
  <c r="T805" i="2"/>
  <c r="T1463" i="2"/>
  <c r="T1681" i="2"/>
  <c r="T1048" i="2"/>
  <c r="T244" i="2"/>
  <c r="T1853" i="2"/>
  <c r="T1450" i="2"/>
  <c r="T1695" i="2"/>
  <c r="T1583" i="2"/>
  <c r="T870" i="2"/>
  <c r="T357" i="2"/>
  <c r="T209" i="2"/>
  <c r="T529" i="2"/>
  <c r="T873" i="2"/>
  <c r="T1528" i="2"/>
  <c r="T868" i="2"/>
  <c r="T769" i="2"/>
  <c r="T976" i="2"/>
  <c r="T652" i="2"/>
  <c r="T1516" i="2"/>
  <c r="T179" i="2"/>
  <c r="T197" i="2"/>
  <c r="T791" i="2"/>
  <c r="T514" i="2"/>
  <c r="T907" i="2"/>
  <c r="T508" i="2"/>
  <c r="T411" i="2"/>
  <c r="T935" i="2"/>
  <c r="T853" i="2"/>
  <c r="T222" i="2"/>
  <c r="T1115" i="2"/>
  <c r="T383" i="2"/>
  <c r="T972" i="2"/>
  <c r="T1916" i="2"/>
  <c r="T857" i="2"/>
  <c r="T1633" i="2"/>
  <c r="T1432" i="2"/>
  <c r="T931" i="2"/>
  <c r="T1412" i="2"/>
  <c r="T452" i="2"/>
  <c r="T1548" i="2"/>
  <c r="T642" i="2"/>
  <c r="T1976" i="2"/>
  <c r="T1515" i="2"/>
  <c r="T625" i="2"/>
  <c r="T1365" i="2"/>
  <c r="T1912" i="2"/>
  <c r="T162" i="2"/>
  <c r="T1561" i="2"/>
  <c r="T665" i="2"/>
  <c r="T477" i="2"/>
  <c r="T1833" i="2"/>
  <c r="T167" i="2"/>
  <c r="T1970" i="2"/>
  <c r="T1238" i="2"/>
  <c r="T85" i="2"/>
  <c r="T885" i="2"/>
  <c r="T1296" i="2"/>
  <c r="T1756" i="2"/>
  <c r="T1858" i="2"/>
  <c r="T702" i="2"/>
  <c r="T601" i="2"/>
  <c r="T715" i="2"/>
  <c r="T718" i="2"/>
  <c r="T1388" i="2"/>
  <c r="T1466" i="2"/>
  <c r="T1136" i="2"/>
  <c r="T396" i="2"/>
  <c r="T1084" i="2"/>
  <c r="T459" i="2"/>
  <c r="T1724" i="2"/>
  <c r="T1751" i="2"/>
  <c r="T1074" i="2"/>
  <c r="T1688" i="2"/>
  <c r="T1419" i="2"/>
  <c r="T229" i="2"/>
  <c r="T706" i="2"/>
  <c r="T1369" i="2"/>
  <c r="T377" i="2"/>
  <c r="T1903" i="2"/>
  <c r="T1385" i="2"/>
  <c r="T1673" i="2"/>
  <c r="T1876" i="2"/>
  <c r="T1849" i="2"/>
  <c r="T543" i="2"/>
  <c r="T1664" i="2"/>
  <c r="T1734" i="2"/>
  <c r="T735" i="2"/>
  <c r="T1717" i="2"/>
  <c r="T343" i="2"/>
  <c r="T564" i="2"/>
  <c r="T61" i="2"/>
  <c r="T1181" i="2"/>
  <c r="T724" i="2"/>
  <c r="T1644" i="2"/>
  <c r="T1750" i="2"/>
  <c r="T293" i="2"/>
  <c r="T230" i="2"/>
  <c r="T207" i="2"/>
  <c r="T1486" i="2"/>
  <c r="T1479" i="2"/>
  <c r="T163" i="2"/>
  <c r="T1874" i="2"/>
  <c r="T679" i="2"/>
  <c r="T1272" i="2"/>
  <c r="T1829" i="2"/>
  <c r="T1539" i="2"/>
  <c r="T460" i="2"/>
  <c r="T1403" i="2"/>
  <c r="T1378" i="2"/>
  <c r="T1408" i="2"/>
  <c r="T1402" i="2"/>
  <c r="T544" i="2"/>
  <c r="T1223" i="2"/>
  <c r="T952" i="2"/>
  <c r="T134" i="2"/>
  <c r="T466" i="2"/>
  <c r="T1566" i="2"/>
  <c r="T431" i="2"/>
  <c r="T640" i="2"/>
  <c r="T194" i="2"/>
  <c r="T1584" i="2"/>
  <c r="T380" i="2"/>
  <c r="T1991" i="2"/>
  <c r="T1795" i="2"/>
  <c r="T705" i="2"/>
  <c r="T616" i="2"/>
  <c r="T1846" i="2"/>
  <c r="T1304" i="2"/>
  <c r="T1601" i="2"/>
  <c r="T1413" i="2"/>
  <c r="T273" i="2"/>
  <c r="T1387" i="2"/>
  <c r="T80" i="2"/>
  <c r="T727" i="2"/>
  <c r="T227" i="2"/>
  <c r="T721" i="2"/>
  <c r="T1147" i="2"/>
  <c r="T688" i="2"/>
  <c r="T284" i="2"/>
  <c r="T865" i="2"/>
  <c r="T131" i="2"/>
  <c r="T1153" i="2"/>
  <c r="T496" i="2"/>
  <c r="T1742" i="2"/>
  <c r="T1406" i="2"/>
  <c r="T1289" i="2"/>
  <c r="T1977" i="2"/>
  <c r="T709" i="2"/>
  <c r="T1746" i="2"/>
  <c r="T1839" i="2"/>
  <c r="T646" i="2"/>
  <c r="T1869" i="2"/>
  <c r="T292" i="2"/>
  <c r="T1005" i="2"/>
  <c r="T1514" i="2"/>
  <c r="T1786" i="2"/>
  <c r="T959" i="2"/>
  <c r="T1429" i="2"/>
  <c r="T95" i="2"/>
  <c r="T1163" i="2"/>
  <c r="T1817" i="2"/>
  <c r="T1555" i="2"/>
  <c r="T1842" i="2"/>
  <c r="T1554" i="2"/>
  <c r="T1962" i="2"/>
  <c r="T1705" i="2"/>
  <c r="T405" i="2"/>
  <c r="T106" i="2"/>
  <c r="T18" i="2"/>
  <c r="T1502" i="2"/>
  <c r="T340" i="2"/>
  <c r="T1926" i="2"/>
  <c r="T823" i="2"/>
  <c r="T553" i="2"/>
  <c r="T1893" i="2"/>
  <c r="T360" i="2"/>
  <c r="T1222" i="2"/>
  <c r="T67" i="2"/>
  <c r="T1478" i="2"/>
  <c r="T1847" i="2"/>
  <c r="T124" i="2"/>
  <c r="T655" i="2"/>
  <c r="T627" i="2"/>
  <c r="T1620" i="2"/>
  <c r="T1484" i="2"/>
  <c r="T1564" i="2"/>
  <c r="T50" i="2"/>
  <c r="T66" i="2"/>
  <c r="T1918" i="2"/>
  <c r="T692" i="2"/>
  <c r="T1416" i="2"/>
  <c r="T1224" i="2"/>
  <c r="T883" i="2"/>
  <c r="T1973" i="2"/>
  <c r="T617" i="2"/>
  <c r="T517" i="2"/>
  <c r="T1330" i="2"/>
  <c r="T1347" i="2"/>
  <c r="T449" i="2"/>
  <c r="T2000" i="2"/>
  <c r="T1251" i="2"/>
  <c r="T1648" i="2"/>
  <c r="T1581" i="2"/>
  <c r="T838" i="2"/>
  <c r="T1334" i="2"/>
  <c r="T1884" i="2"/>
  <c r="T1960" i="2"/>
  <c r="T501" i="2"/>
  <c r="T1886" i="2"/>
  <c r="T1928" i="2"/>
  <c r="T1042" i="2"/>
  <c r="T11" i="2"/>
  <c r="T966" i="2"/>
  <c r="T1076" i="2"/>
  <c r="T749" i="2"/>
  <c r="T970" i="2"/>
  <c r="T945" i="2"/>
  <c r="T1663" i="2"/>
  <c r="T1699" i="2"/>
  <c r="T1890" i="2"/>
  <c r="T317" i="2"/>
  <c r="T494" i="2"/>
  <c r="T643" i="2"/>
  <c r="T1062" i="2"/>
  <c r="T615" i="2"/>
  <c r="T804" i="2"/>
  <c r="T891" i="2"/>
  <c r="T444" i="2"/>
  <c r="T1014" i="2"/>
  <c r="T854" i="2"/>
  <c r="T329" i="2"/>
  <c r="T1292" i="2"/>
  <c r="T1702" i="2"/>
  <c r="T1122" i="2"/>
  <c r="T1343" i="2"/>
  <c r="T725" i="2"/>
  <c r="T1793" i="2"/>
  <c r="T470" i="2"/>
  <c r="T1152" i="2"/>
  <c r="T609" i="2"/>
  <c r="T1612" i="2"/>
  <c r="T1694" i="2"/>
  <c r="T1039" i="2"/>
  <c r="T550" i="2"/>
  <c r="T1532" i="2"/>
  <c r="T1366" i="2"/>
  <c r="T408" i="2"/>
  <c r="T1054" i="2"/>
  <c r="T726" i="2"/>
  <c r="T859" i="2"/>
  <c r="T1686" i="2"/>
  <c r="T1359" i="2"/>
  <c r="T1100" i="2"/>
  <c r="T1984" i="2"/>
  <c r="T880" i="2"/>
  <c r="T1344" i="2"/>
  <c r="T1720" i="2"/>
  <c r="T576" i="2"/>
  <c r="T136" i="2"/>
  <c r="T1485" i="2"/>
  <c r="T678" i="2"/>
  <c r="T522" i="2"/>
  <c r="T450" i="2"/>
  <c r="T765" i="2"/>
  <c r="T520" i="2"/>
  <c r="T624" i="2"/>
  <c r="T1324" i="2"/>
  <c r="T743" i="2"/>
  <c r="T428" i="2"/>
  <c r="T1011" i="2"/>
  <c r="T1989" i="2"/>
  <c r="T781" i="2"/>
  <c r="T1477" i="2"/>
  <c r="T1825" i="2"/>
  <c r="T525" i="2"/>
  <c r="T1904" i="2"/>
  <c r="T1593" i="2"/>
  <c r="T1391" i="2"/>
  <c r="T1994" i="2"/>
  <c r="T754" i="2"/>
  <c r="T1225" i="2"/>
  <c r="T1360" i="2"/>
  <c r="T802" i="2"/>
  <c r="T626" i="2"/>
  <c r="T569" i="2"/>
  <c r="T1563" i="2"/>
  <c r="T1316" i="2"/>
  <c r="T1654" i="2"/>
  <c r="T190" i="2"/>
  <c r="T2001" i="2"/>
  <c r="T1603" i="2"/>
  <c r="T1015" i="2"/>
  <c r="T670" i="2"/>
  <c r="T1658" i="2"/>
  <c r="T1892" i="2"/>
  <c r="T592" i="2"/>
  <c r="T1506" i="2"/>
  <c r="T1625" i="2"/>
  <c r="T963" i="2"/>
  <c r="T491" i="2"/>
  <c r="T746" i="2"/>
  <c r="T926" i="2"/>
  <c r="T1177" i="2"/>
  <c r="T1650" i="2"/>
  <c r="T1439" i="2"/>
  <c r="T533" i="2"/>
  <c r="T1897" i="2"/>
  <c r="T869" i="2"/>
  <c r="T1887" i="2"/>
  <c r="T1335" i="2"/>
  <c r="T790" i="2"/>
  <c r="T355" i="2"/>
  <c r="T1610" i="2"/>
  <c r="T537" i="2"/>
  <c r="T280" i="2"/>
  <c r="T42" i="2"/>
  <c r="T402" i="2"/>
  <c r="T1310" i="2"/>
  <c r="T1022" i="2"/>
  <c r="T1968" i="2"/>
  <c r="T1808" i="2"/>
  <c r="T87" i="2"/>
  <c r="T346" i="2"/>
  <c r="T789" i="2"/>
  <c r="T34" i="2"/>
  <c r="T1150" i="2"/>
  <c r="T1300" i="2"/>
  <c r="T245" i="2"/>
  <c r="T1683" i="2"/>
  <c r="T433" i="2"/>
  <c r="T389" i="2"/>
  <c r="T1744" i="2"/>
  <c r="T467" i="2"/>
  <c r="T333" i="2"/>
  <c r="T373" i="2"/>
  <c r="T307" i="2"/>
  <c r="T707" i="2"/>
  <c r="T1232" i="2"/>
  <c r="T1319" i="2"/>
  <c r="T1356" i="2"/>
  <c r="T1963" i="2"/>
  <c r="T49" i="2"/>
  <c r="T1546" i="2"/>
  <c r="T1873" i="2"/>
  <c r="T352" i="2"/>
  <c r="T565" i="2"/>
  <c r="T1012" i="2"/>
  <c r="T75" i="2"/>
  <c r="T1283" i="2"/>
  <c r="T1713" i="2"/>
  <c r="T803" i="2"/>
  <c r="T1040" i="2"/>
  <c r="T1944" i="2"/>
  <c r="T132" i="2"/>
  <c r="T29" i="2"/>
  <c r="T1299" i="2"/>
  <c r="T698" i="2"/>
  <c r="T309" i="2"/>
  <c r="T1798" i="2"/>
  <c r="T1499" i="2"/>
  <c r="T210" i="2"/>
  <c r="T254" i="2"/>
  <c r="T38" i="2"/>
  <c r="T403" i="2"/>
  <c r="T1209" i="2"/>
  <c r="T291" i="2"/>
  <c r="T1587" i="2"/>
  <c r="T36" i="2"/>
  <c r="T1317" i="2"/>
  <c r="T479" i="2"/>
  <c r="T1284" i="2"/>
  <c r="T103" i="2"/>
  <c r="T950" i="2"/>
  <c r="T1311" i="2"/>
  <c r="T717" i="2"/>
  <c r="T1008" i="2"/>
  <c r="T1822" i="2"/>
  <c r="T1712" i="2"/>
  <c r="T1151" i="2"/>
  <c r="T917" i="2"/>
  <c r="T1072" i="2"/>
  <c r="T372" i="2"/>
  <c r="T1309" i="2"/>
  <c r="T1443" i="2"/>
  <c r="T1219" i="2"/>
  <c r="T554" i="2"/>
  <c r="T538" i="2"/>
  <c r="T1959" i="2"/>
  <c r="T1473" i="2"/>
  <c r="T10" i="2"/>
  <c r="T91" i="2"/>
  <c r="T1586" i="2"/>
  <c r="T741" i="2"/>
  <c r="T1336" i="2"/>
  <c r="T1789" i="2"/>
  <c r="T116" i="2"/>
  <c r="T82" i="2"/>
  <c r="T879" i="2"/>
  <c r="T1078" i="2"/>
  <c r="T1725" i="2"/>
  <c r="T235" i="2"/>
  <c r="T1329" i="2"/>
  <c r="T166" i="2"/>
  <c r="T905" i="2"/>
  <c r="T1093" i="2"/>
  <c r="T1096" i="2"/>
  <c r="T192" i="2"/>
  <c r="T1643" i="2"/>
  <c r="T720" i="2"/>
  <c r="T813" i="2"/>
  <c r="T1778" i="2"/>
  <c r="T723" i="2"/>
  <c r="T1210" i="2"/>
  <c r="T286" i="2"/>
  <c r="T1687" i="2"/>
  <c r="T145" i="2"/>
  <c r="T1172" i="2"/>
  <c r="T387" i="2"/>
  <c r="T1195" i="2"/>
  <c r="T1131" i="2"/>
  <c r="T990" i="2"/>
  <c r="T677" i="2"/>
  <c r="T795" i="2"/>
  <c r="T1600" i="2"/>
  <c r="T1931" i="2"/>
  <c r="T225" i="2"/>
  <c r="T904" i="2"/>
  <c r="T1585" i="2"/>
  <c r="T597" i="2"/>
  <c r="T1457" i="2"/>
  <c r="T1882" i="2"/>
  <c r="T150" i="2"/>
  <c r="T62" i="2"/>
  <c r="T651" i="2"/>
  <c r="T1975" i="2"/>
  <c r="T1091" i="2"/>
  <c r="T1521" i="2"/>
  <c r="T758" i="2"/>
  <c r="T1142" i="2"/>
  <c r="T1870" i="2"/>
  <c r="T386" i="2"/>
  <c r="T1719" i="2"/>
  <c r="T1126" i="2"/>
  <c r="T53" i="2"/>
  <c r="T608" i="2"/>
  <c r="T780" i="2"/>
  <c r="T1017" i="2"/>
  <c r="T1714" i="2"/>
  <c r="T1237" i="2"/>
  <c r="T662" i="2"/>
  <c r="T890" i="2"/>
  <c r="T313" i="2"/>
  <c r="T954" i="2"/>
  <c r="T985" i="2"/>
  <c r="T978" i="2"/>
  <c r="T1276" i="2"/>
  <c r="T701" i="2"/>
  <c r="T664" i="2"/>
  <c r="T279" i="2"/>
  <c r="T219" i="2"/>
  <c r="T1098" i="2"/>
  <c r="T1160" i="2"/>
  <c r="T653" i="2"/>
  <c r="T1657" i="2"/>
  <c r="T497" i="2"/>
  <c r="T1197" i="2"/>
  <c r="T1191" i="2"/>
  <c r="T598" i="2"/>
  <c r="T951" i="2"/>
  <c r="T3" i="2"/>
  <c r="T1249" i="2"/>
  <c r="T1103" i="2"/>
  <c r="T1464" i="2"/>
  <c r="T1828" i="2"/>
  <c r="T1386" i="2"/>
  <c r="T1235" i="2"/>
  <c r="T1314" i="2"/>
  <c r="T1879" i="2"/>
  <c r="T1129" i="2"/>
  <c r="T385" i="2"/>
  <c r="T348" i="2"/>
  <c r="T667" i="2"/>
  <c r="T1675" i="2"/>
  <c r="T811" i="2"/>
  <c r="T177" i="2"/>
  <c r="T815" i="2"/>
  <c r="T1320" i="2"/>
  <c r="T918" i="2"/>
  <c r="T400" i="2"/>
  <c r="T1410" i="2"/>
  <c r="T1434" i="2"/>
  <c r="T1169" i="2"/>
  <c r="T24" i="2"/>
  <c r="T1954" i="2"/>
  <c r="T1417" i="2"/>
  <c r="T1703" i="2"/>
  <c r="T1056" i="2"/>
  <c r="T911" i="2"/>
  <c r="T892" i="2"/>
  <c r="T1982" i="2"/>
  <c r="T872" i="2"/>
  <c r="T378" i="2"/>
  <c r="T327" i="2"/>
  <c r="T1214" i="2"/>
  <c r="T354" i="2"/>
  <c r="T824" i="2"/>
  <c r="T1895" i="2"/>
  <c r="T943" i="2"/>
  <c r="T332" i="2"/>
  <c r="T1312" i="2"/>
  <c r="T1604" i="2"/>
  <c r="T1591" i="2"/>
  <c r="T1802" i="2"/>
  <c r="T814" i="2"/>
  <c r="T1342" i="2"/>
  <c r="T1494" i="2"/>
  <c r="T181" i="2"/>
  <c r="T52" i="2"/>
  <c r="T734" i="2"/>
  <c r="T1367" i="2"/>
  <c r="T1363" i="2"/>
  <c r="T1857" i="2"/>
  <c r="T1079" i="2"/>
  <c r="T1117" i="2"/>
  <c r="T887" i="2"/>
  <c r="T485" i="2"/>
  <c r="T1900" i="2"/>
  <c r="T839" i="2"/>
  <c r="T445" i="2"/>
  <c r="T1964" i="2"/>
  <c r="T1661" i="2"/>
  <c r="T1113" i="2"/>
  <c r="T1089" i="2"/>
  <c r="T1349" i="2"/>
  <c r="T258" i="2"/>
  <c r="T1840" i="2"/>
  <c r="T1783" i="2"/>
  <c r="T817" i="2"/>
  <c r="T1016" i="2"/>
  <c r="T1044" i="2"/>
  <c r="T203" i="2"/>
  <c r="T1777" i="2"/>
  <c r="T1415" i="2"/>
  <c r="T982" i="2"/>
  <c r="T876" i="2"/>
  <c r="T996" i="2"/>
  <c r="T1665" i="2"/>
  <c r="T832" i="2"/>
  <c r="T214" i="2"/>
  <c r="T1493" i="2"/>
  <c r="T1553" i="2"/>
  <c r="T60" i="2"/>
  <c r="T1328" i="2"/>
  <c r="T731" i="2"/>
  <c r="T1770" i="2"/>
  <c r="T1504" i="2"/>
  <c r="T837" i="2"/>
  <c r="T973" i="2"/>
  <c r="T478" i="2"/>
  <c r="T1243" i="2"/>
  <c r="T866" i="2"/>
  <c r="T1368" i="2"/>
  <c r="T288" i="2"/>
  <c r="T633" i="2"/>
  <c r="T1531" i="2"/>
  <c r="T257" i="2"/>
  <c r="T1199" i="2"/>
  <c r="T1144" i="2"/>
  <c r="T195" i="2"/>
  <c r="T287" i="2"/>
  <c r="T596" i="2"/>
  <c r="T1033" i="2"/>
  <c r="T1269" i="2"/>
  <c r="T919" i="2"/>
  <c r="T1240" i="2"/>
  <c r="T417" i="2"/>
  <c r="T1906" i="2"/>
  <c r="T1020" i="2"/>
  <c r="T888" i="2"/>
  <c r="T1257" i="2"/>
  <c r="T1767" i="2"/>
  <c r="T19" i="2"/>
  <c r="T502" i="2"/>
  <c r="T1520" i="2"/>
  <c r="T159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8C399B-FA16-44A8-9143-01868B3DA741}"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27B86659-E24B-498B-AB4B-71AF48A652E3}"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FD2ACF55-BEC3-4FD0-8334-6F4E9F062BE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<sst xmlns="http://schemas.openxmlformats.org/spreadsheetml/2006/main" count="50178" uniqueCount="3162">
  <si>
    <t>order_id</t>
  </si>
  <si>
    <t>order_date</t>
  </si>
  <si>
    <t>ship_date</t>
  </si>
  <si>
    <t>customer_id</t>
  </si>
  <si>
    <t>customer_name</t>
  </si>
  <si>
    <t>segment</t>
  </si>
  <si>
    <t>region</t>
  </si>
  <si>
    <t>city</t>
  </si>
  <si>
    <t>product_id</t>
  </si>
  <si>
    <t>product_name</t>
  </si>
  <si>
    <t>category</t>
  </si>
  <si>
    <t>quantity</t>
  </si>
  <si>
    <t>unit_price</t>
  </si>
  <si>
    <t>discount_pct</t>
  </si>
  <si>
    <t>sales</t>
  </si>
  <si>
    <t>profit</t>
  </si>
  <si>
    <t>sales_rep</t>
  </si>
  <si>
    <t>channel</t>
  </si>
  <si>
    <t>payment_method</t>
  </si>
  <si>
    <t>ORD00502</t>
  </si>
  <si>
    <t>03-31-2025</t>
  </si>
  <si>
    <t>C0098</t>
  </si>
  <si>
    <t>Customer 98</t>
  </si>
  <si>
    <t>Corporate</t>
  </si>
  <si>
    <t>Hyderabad</t>
  </si>
  <si>
    <t>P005</t>
  </si>
  <si>
    <t>Office Chair</t>
  </si>
  <si>
    <t>Furniture</t>
  </si>
  <si>
    <t>Meena Iyer</t>
  </si>
  <si>
    <t>Online</t>
  </si>
  <si>
    <t>Cash</t>
  </si>
  <si>
    <t>ORD00622</t>
  </si>
  <si>
    <t>C0248</t>
  </si>
  <si>
    <t>Customer 248</t>
  </si>
  <si>
    <t>Consumer</t>
  </si>
  <si>
    <t>West</t>
  </si>
  <si>
    <t>Surat</t>
  </si>
  <si>
    <t>P006</t>
  </si>
  <si>
    <t>Study Desk</t>
  </si>
  <si>
    <t>Arjun Patel</t>
  </si>
  <si>
    <t>Net Banking</t>
  </si>
  <si>
    <t>ORD01164</t>
  </si>
  <si>
    <t>C0287</t>
  </si>
  <si>
    <t>Customer 287</t>
  </si>
  <si>
    <t>South</t>
  </si>
  <si>
    <t>Bengaluru</t>
  </si>
  <si>
    <t>P009</t>
  </si>
  <si>
    <t>Pen Set</t>
  </si>
  <si>
    <t>Stationery</t>
  </si>
  <si>
    <t>Retail Store</t>
  </si>
  <si>
    <t>Credit Card</t>
  </si>
  <si>
    <t>ORD01062</t>
  </si>
  <si>
    <t>11-24-2024</t>
  </si>
  <si>
    <t>C0041</t>
  </si>
  <si>
    <t>Customer 41</t>
  </si>
  <si>
    <t>Small Business</t>
  </si>
  <si>
    <t>Distributor</t>
  </si>
  <si>
    <t>Credit card</t>
  </si>
  <si>
    <t>ORD00247</t>
  </si>
  <si>
    <t>C0120</t>
  </si>
  <si>
    <t>Customer 120</t>
  </si>
  <si>
    <t>North</t>
  </si>
  <si>
    <t>Delhi</t>
  </si>
  <si>
    <t>P002</t>
  </si>
  <si>
    <t>Smartphone</t>
  </si>
  <si>
    <t>Electronics</t>
  </si>
  <si>
    <t>Ravi Kumar</t>
  </si>
  <si>
    <t>ORD01028</t>
  </si>
  <si>
    <t>05-26-2025</t>
  </si>
  <si>
    <t>C0064</t>
  </si>
  <si>
    <t>Customer 64</t>
  </si>
  <si>
    <t>P012</t>
  </si>
  <si>
    <t>Running Shoes</t>
  </si>
  <si>
    <t>Footwear</t>
  </si>
  <si>
    <t>Suresh Reddy</t>
  </si>
  <si>
    <t>ORD01831</t>
  </si>
  <si>
    <t>C0107</t>
  </si>
  <si>
    <t xml:space="preserve"> CUSTOMER 107  </t>
  </si>
  <si>
    <t>Lucknow</t>
  </si>
  <si>
    <t>P003</t>
  </si>
  <si>
    <t>Headphones</t>
  </si>
  <si>
    <t>ORD00983</t>
  </si>
  <si>
    <t>04-22-2024</t>
  </si>
  <si>
    <t>C0252</t>
  </si>
  <si>
    <t>Customer 252</t>
  </si>
  <si>
    <t>Mumbai</t>
  </si>
  <si>
    <t>UPI</t>
  </si>
  <si>
    <t>ORD00188</t>
  </si>
  <si>
    <t>02-14-2025</t>
  </si>
  <si>
    <t>C0246</t>
  </si>
  <si>
    <t>Customer 246</t>
  </si>
  <si>
    <t>East</t>
  </si>
  <si>
    <t>Guwahati</t>
  </si>
  <si>
    <t>P010</t>
  </si>
  <si>
    <t>Backpack</t>
  </si>
  <si>
    <t>Accessories</t>
  </si>
  <si>
    <t>CASH</t>
  </si>
  <si>
    <t>ORD01264</t>
  </si>
  <si>
    <t>C0274</t>
  </si>
  <si>
    <t>Customer 274</t>
  </si>
  <si>
    <t>ORD00896</t>
  </si>
  <si>
    <t>C0124</t>
  </si>
  <si>
    <t>Customer 124</t>
  </si>
  <si>
    <t>P004</t>
  </si>
  <si>
    <t>Smart Watch</t>
  </si>
  <si>
    <t>electronics</t>
  </si>
  <si>
    <t>ORD01189</t>
  </si>
  <si>
    <t>C0015</t>
  </si>
  <si>
    <t>Customer 15</t>
  </si>
  <si>
    <t>Kolkata</t>
  </si>
  <si>
    <t>Debit Card</t>
  </si>
  <si>
    <t>ORD00514</t>
  </si>
  <si>
    <t>C0185</t>
  </si>
  <si>
    <t>Customer 185</t>
  </si>
  <si>
    <t>P001</t>
  </si>
  <si>
    <t>Laptop</t>
  </si>
  <si>
    <t>ORD01784</t>
  </si>
  <si>
    <t>04-21-2024</t>
  </si>
  <si>
    <t>C0280</t>
  </si>
  <si>
    <t>Customer 280</t>
  </si>
  <si>
    <t>Patna</t>
  </si>
  <si>
    <t>Anita Sharma</t>
  </si>
  <si>
    <t>ORD01074</t>
  </si>
  <si>
    <t>C0244</t>
  </si>
  <si>
    <t>Customer 244</t>
  </si>
  <si>
    <t>Chandigarh</t>
  </si>
  <si>
    <t>P011</t>
  </si>
  <si>
    <t>Water Bottle</t>
  </si>
  <si>
    <t>ORD00731</t>
  </si>
  <si>
    <t>C0095</t>
  </si>
  <si>
    <t>Customer 95</t>
  </si>
  <si>
    <t>ORD01752</t>
  </si>
  <si>
    <t>C0145</t>
  </si>
  <si>
    <t>Customer 145</t>
  </si>
  <si>
    <t>P007</t>
  </si>
  <si>
    <t>Bookshelf</t>
  </si>
  <si>
    <t>ORD01018</t>
  </si>
  <si>
    <t>ORD01286</t>
  </si>
  <si>
    <t>C0034</t>
  </si>
  <si>
    <t>Customer 34</t>
  </si>
  <si>
    <t>ORD01419</t>
  </si>
  <si>
    <t>04-27-2024</t>
  </si>
  <si>
    <t>C0037</t>
  </si>
  <si>
    <t>Customer 37</t>
  </si>
  <si>
    <t>ORD00621</t>
  </si>
  <si>
    <t>C0281</t>
  </si>
  <si>
    <t>Customer 281</t>
  </si>
  <si>
    <t>P008</t>
  </si>
  <si>
    <t>Notebook Pack</t>
  </si>
  <si>
    <t>ORD01296</t>
  </si>
  <si>
    <t>C0066</t>
  </si>
  <si>
    <t>Customer 66</t>
  </si>
  <si>
    <t>ORD01448</t>
  </si>
  <si>
    <t>C0091</t>
  </si>
  <si>
    <t>Customer 91</t>
  </si>
  <si>
    <t>Chennai</t>
  </si>
  <si>
    <t>Neha Singh</t>
  </si>
  <si>
    <t>ORD00423</t>
  </si>
  <si>
    <t>05-30-2024</t>
  </si>
  <si>
    <t>C0196</t>
  </si>
  <si>
    <t>Customer 196</t>
  </si>
  <si>
    <t>Kochi</t>
  </si>
  <si>
    <t>ORD00727</t>
  </si>
  <si>
    <t>C0154</t>
  </si>
  <si>
    <t>Customer 154</t>
  </si>
  <si>
    <t>ORD01661</t>
  </si>
  <si>
    <t>C0243</t>
  </si>
  <si>
    <t>Customer 243</t>
  </si>
  <si>
    <t>ORD01923</t>
  </si>
  <si>
    <t>C0226</t>
  </si>
  <si>
    <t>Customer 226</t>
  </si>
  <si>
    <t>ORD01559</t>
  </si>
  <si>
    <t>C0056</t>
  </si>
  <si>
    <t>Customer 56</t>
  </si>
  <si>
    <t>ORD00087</t>
  </si>
  <si>
    <t>C0152</t>
  </si>
  <si>
    <t xml:space="preserve"> CUSTOMER 152  </t>
  </si>
  <si>
    <t>Bhubaneswar</t>
  </si>
  <si>
    <t>ORD00943</t>
  </si>
  <si>
    <t>C0055</t>
  </si>
  <si>
    <t>Customer 55</t>
  </si>
  <si>
    <t>ORD00828</t>
  </si>
  <si>
    <t>C0210</t>
  </si>
  <si>
    <t>Customer 210</t>
  </si>
  <si>
    <t>ORD01093</t>
  </si>
  <si>
    <t>C0233</t>
  </si>
  <si>
    <t>Customer 233</t>
  </si>
  <si>
    <t>Ahmedabad</t>
  </si>
  <si>
    <t>ORD00656</t>
  </si>
  <si>
    <t>C0070</t>
  </si>
  <si>
    <t>Customer 70</t>
  </si>
  <si>
    <t>ORD00426</t>
  </si>
  <si>
    <t>C0231</t>
  </si>
  <si>
    <t>Customer 231</t>
  </si>
  <si>
    <t>upi</t>
  </si>
  <si>
    <t>ORD00770</t>
  </si>
  <si>
    <t>C0035</t>
  </si>
  <si>
    <t>Customer 35</t>
  </si>
  <si>
    <t>ORD00566</t>
  </si>
  <si>
    <t>10-23-2024</t>
  </si>
  <si>
    <t>C0223</t>
  </si>
  <si>
    <t>Customer 223</t>
  </si>
  <si>
    <t>ORD01122</t>
  </si>
  <si>
    <t>C0050</t>
  </si>
  <si>
    <t>Customer 50</t>
  </si>
  <si>
    <t>ORD00774</t>
  </si>
  <si>
    <t>C0099</t>
  </si>
  <si>
    <t>Customer 99</t>
  </si>
  <si>
    <t>ORD00163</t>
  </si>
  <si>
    <t>C0025</t>
  </si>
  <si>
    <t>Customer 25</t>
  </si>
  <si>
    <t>Jaipur</t>
  </si>
  <si>
    <t>ORD00695</t>
  </si>
  <si>
    <t>ORD00327</t>
  </si>
  <si>
    <t>C0138</t>
  </si>
  <si>
    <t>Customer 138</t>
  </si>
  <si>
    <t>ORD01427</t>
  </si>
  <si>
    <t>C0286</t>
  </si>
  <si>
    <t>Customer 286</t>
  </si>
  <si>
    <t>ORD00824</t>
  </si>
  <si>
    <t>C0092</t>
  </si>
  <si>
    <t>Customer 92</t>
  </si>
  <si>
    <t>ORD00541</t>
  </si>
  <si>
    <t>C0155</t>
  </si>
  <si>
    <t>Customer 155</t>
  </si>
  <si>
    <t>ORD01479</t>
  </si>
  <si>
    <t>06-30-2025</t>
  </si>
  <si>
    <t>C0165</t>
  </si>
  <si>
    <t>Customer 165</t>
  </si>
  <si>
    <t>ORD00362</t>
  </si>
  <si>
    <t>C0250</t>
  </si>
  <si>
    <t>Customer 250</t>
  </si>
  <si>
    <t>ORD00693</t>
  </si>
  <si>
    <t>C0122</t>
  </si>
  <si>
    <t>Customer 122</t>
  </si>
  <si>
    <t>ORD01826</t>
  </si>
  <si>
    <t>ORD00348</t>
  </si>
  <si>
    <t>C0258</t>
  </si>
  <si>
    <t>Customer 258</t>
  </si>
  <si>
    <t>ORD00881</t>
  </si>
  <si>
    <t>01-26-2025</t>
  </si>
  <si>
    <t>C0273</t>
  </si>
  <si>
    <t>Customer 273</t>
  </si>
  <si>
    <t>ORD01823</t>
  </si>
  <si>
    <t>C0020</t>
  </si>
  <si>
    <t>Customer 20</t>
  </si>
  <si>
    <t>ORD01294</t>
  </si>
  <si>
    <t>C0019</t>
  </si>
  <si>
    <t>Customer 19</t>
  </si>
  <si>
    <t>ORD01820</t>
  </si>
  <si>
    <t>06-22-2024</t>
  </si>
  <si>
    <t xml:space="preserve"> CUSTOMER 226  </t>
  </si>
  <si>
    <t>ORD00483</t>
  </si>
  <si>
    <t>09-29-2025</t>
  </si>
  <si>
    <t>ORD00535</t>
  </si>
  <si>
    <t>02-13-2025</t>
  </si>
  <si>
    <t>C0045</t>
  </si>
  <si>
    <t>Customer 45</t>
  </si>
  <si>
    <t>Pune</t>
  </si>
  <si>
    <t>ORD01508</t>
  </si>
  <si>
    <t>01-14-2024</t>
  </si>
  <si>
    <t>C0212</t>
  </si>
  <si>
    <t>Customer 212</t>
  </si>
  <si>
    <t>ORD00712</t>
  </si>
  <si>
    <t>ORD01920</t>
  </si>
  <si>
    <t>C0278</t>
  </si>
  <si>
    <t>Customer 278</t>
  </si>
  <si>
    <t>ORD00580</t>
  </si>
  <si>
    <t>10-15-2025</t>
  </si>
  <si>
    <t>C0206</t>
  </si>
  <si>
    <t>Customer 206</t>
  </si>
  <si>
    <t>ORD00005</t>
  </si>
  <si>
    <t>C0293</t>
  </si>
  <si>
    <t>Customer 293</t>
  </si>
  <si>
    <t>ORD01758</t>
  </si>
  <si>
    <t>C0263</t>
  </si>
  <si>
    <t>Customer 263</t>
  </si>
  <si>
    <t>ORD01904</t>
  </si>
  <si>
    <t>C0190</t>
  </si>
  <si>
    <t>Customer 190</t>
  </si>
  <si>
    <t>ORD01321</t>
  </si>
  <si>
    <t>C0225</t>
  </si>
  <si>
    <t>Customer 225</t>
  </si>
  <si>
    <t>ORD00517</t>
  </si>
  <si>
    <t>09-15-2025</t>
  </si>
  <si>
    <t>C0148</t>
  </si>
  <si>
    <t>Customer 148</t>
  </si>
  <si>
    <t>ORD00031</t>
  </si>
  <si>
    <t>C0090</t>
  </si>
  <si>
    <t>Customer 90</t>
  </si>
  <si>
    <t>ORD01033</t>
  </si>
  <si>
    <t>C0283</t>
  </si>
  <si>
    <t>Customer 283</t>
  </si>
  <si>
    <t>ORD01204</t>
  </si>
  <si>
    <t>05-23-2025</t>
  </si>
  <si>
    <t>ORD01246</t>
  </si>
  <si>
    <t>08-17-2025</t>
  </si>
  <si>
    <t>C0219</t>
  </si>
  <si>
    <t xml:space="preserve"> CUSTOMER 219  </t>
  </si>
  <si>
    <t>ORD00085</t>
  </si>
  <si>
    <t>07-15-2024</t>
  </si>
  <si>
    <t>C0198</t>
  </si>
  <si>
    <t>Customer 198</t>
  </si>
  <si>
    <t>ORD01671</t>
  </si>
  <si>
    <t xml:space="preserve"> CUSTOMER 274  </t>
  </si>
  <si>
    <t>ORD01006</t>
  </si>
  <si>
    <t>ORD01901</t>
  </si>
  <si>
    <t>ORD00159</t>
  </si>
  <si>
    <t>C0161</t>
  </si>
  <si>
    <t>Customer 161</t>
  </si>
  <si>
    <t>ORD01437</t>
  </si>
  <si>
    <t>C0241</t>
  </si>
  <si>
    <t>Customer 241</t>
  </si>
  <si>
    <t>ORD01124</t>
  </si>
  <si>
    <t>C0257</t>
  </si>
  <si>
    <t>Customer 257</t>
  </si>
  <si>
    <t>ORD01620</t>
  </si>
  <si>
    <t>01-16-2024</t>
  </si>
  <si>
    <t>C0214</t>
  </si>
  <si>
    <t>Customer 214</t>
  </si>
  <si>
    <t>ORD01165</t>
  </si>
  <si>
    <t>C0292</t>
  </si>
  <si>
    <t>Customer 292</t>
  </si>
  <si>
    <t>ORD00699</t>
  </si>
  <si>
    <t>C0164</t>
  </si>
  <si>
    <t>Customer 164</t>
  </si>
  <si>
    <t>ORD00633</t>
  </si>
  <si>
    <t>ORD00413</t>
  </si>
  <si>
    <t>C0039</t>
  </si>
  <si>
    <t>Customer 39</t>
  </si>
  <si>
    <t>Vijayawada</t>
  </si>
  <si>
    <t>ORD00859</t>
  </si>
  <si>
    <t>C0008</t>
  </si>
  <si>
    <t>Customer 8</t>
  </si>
  <si>
    <t>ORD00080</t>
  </si>
  <si>
    <t>09-22-2024</t>
  </si>
  <si>
    <t>C0199</t>
  </si>
  <si>
    <t>Customer 199</t>
  </si>
  <si>
    <t>ORD01542</t>
  </si>
  <si>
    <t>09-15-2024</t>
  </si>
  <si>
    <t>C0290</t>
  </si>
  <si>
    <t>Customer 290</t>
  </si>
  <si>
    <t>ORD01279</t>
  </si>
  <si>
    <t>C0112</t>
  </si>
  <si>
    <t xml:space="preserve"> CUSTOMER 112  </t>
  </si>
  <si>
    <t>ORD01948</t>
  </si>
  <si>
    <t>C0284</t>
  </si>
  <si>
    <t>Customer 284</t>
  </si>
  <si>
    <t>ORD01740</t>
  </si>
  <si>
    <t>C0111</t>
  </si>
  <si>
    <t>Customer 111</t>
  </si>
  <si>
    <t>ORD00845</t>
  </si>
  <si>
    <t>C0021</t>
  </si>
  <si>
    <t>Customer 21</t>
  </si>
  <si>
    <t>ORD01352</t>
  </si>
  <si>
    <t>05-29-2024</t>
  </si>
  <si>
    <t>C0094</t>
  </si>
  <si>
    <t>Customer 94</t>
  </si>
  <si>
    <t>ORD00752</t>
  </si>
  <si>
    <t>C0117</t>
  </si>
  <si>
    <t>Customer 117</t>
  </si>
  <si>
    <t>ORD01085</t>
  </si>
  <si>
    <t>C0232</t>
  </si>
  <si>
    <t>Customer 232</t>
  </si>
  <si>
    <t>stationery</t>
  </si>
  <si>
    <t>ORD00320</t>
  </si>
  <si>
    <t>furniture</t>
  </si>
  <si>
    <t>ORD00797</t>
  </si>
  <si>
    <t>ORD00571</t>
  </si>
  <si>
    <t>Customer 112</t>
  </si>
  <si>
    <t>ORD00738</t>
  </si>
  <si>
    <t>02-15-2024</t>
  </si>
  <si>
    <t>ORD00928</t>
  </si>
  <si>
    <t>C0209</t>
  </si>
  <si>
    <t>Customer 209</t>
  </si>
  <si>
    <t>ELECTRONICS</t>
  </si>
  <si>
    <t>ORD01688</t>
  </si>
  <si>
    <t>12-16-2025</t>
  </si>
  <si>
    <t>C0072</t>
  </si>
  <si>
    <t>Customer 72</t>
  </si>
  <si>
    <t>ORD01954</t>
  </si>
  <si>
    <t>C0296</t>
  </si>
  <si>
    <t>Customer 296</t>
  </si>
  <si>
    <t>ORD01181</t>
  </si>
  <si>
    <t>C0038</t>
  </si>
  <si>
    <t>Customer 38</t>
  </si>
  <si>
    <t>ORD01764</t>
  </si>
  <si>
    <t>ORD01276</t>
  </si>
  <si>
    <t>C0016</t>
  </si>
  <si>
    <t>Customer 16</t>
  </si>
  <si>
    <t>ORD00284</t>
  </si>
  <si>
    <t>ORD01543</t>
  </si>
  <si>
    <t>C0031</t>
  </si>
  <si>
    <t>Customer 31</t>
  </si>
  <si>
    <t>ORD00112</t>
  </si>
  <si>
    <t>C0061</t>
  </si>
  <si>
    <t>Customer 61</t>
  </si>
  <si>
    <t>ORD01320</t>
  </si>
  <si>
    <t>ORD01003</t>
  </si>
  <si>
    <t>ORD01606</t>
  </si>
  <si>
    <t>C0005</t>
  </si>
  <si>
    <t>Customer 5</t>
  </si>
  <si>
    <t>ORD00262</t>
  </si>
  <si>
    <t>C0291</t>
  </si>
  <si>
    <t>Customer 291</t>
  </si>
  <si>
    <t>ORD01529</t>
  </si>
  <si>
    <t>C0238</t>
  </si>
  <si>
    <t>Customer 238</t>
  </si>
  <si>
    <t>ORD01233</t>
  </si>
  <si>
    <t>C0180</t>
  </si>
  <si>
    <t>Customer 180</t>
  </si>
  <si>
    <t>ORD00970</t>
  </si>
  <si>
    <t>05-16-2024</t>
  </si>
  <si>
    <t>C0136</t>
  </si>
  <si>
    <t>Customer 136</t>
  </si>
  <si>
    <t>ORD01037</t>
  </si>
  <si>
    <t>ORD01861</t>
  </si>
  <si>
    <t>12-26-2025</t>
  </si>
  <si>
    <t>C0128</t>
  </si>
  <si>
    <t>Customer 128</t>
  </si>
  <si>
    <t>ORD00775</t>
  </si>
  <si>
    <t>C0062</t>
  </si>
  <si>
    <t>Customer 62</t>
  </si>
  <si>
    <t>ORD00431</t>
  </si>
  <si>
    <t>02-27-2025</t>
  </si>
  <si>
    <t>C0267</t>
  </si>
  <si>
    <t>Customer 267</t>
  </si>
  <si>
    <t>ORD01650</t>
  </si>
  <si>
    <t>C0087</t>
  </si>
  <si>
    <t>Customer 87</t>
  </si>
  <si>
    <t>ORD00273</t>
  </si>
  <si>
    <t>C0084</t>
  </si>
  <si>
    <t>Customer 84</t>
  </si>
  <si>
    <t>ORD01610</t>
  </si>
  <si>
    <t>ORD00083</t>
  </si>
  <si>
    <t>C0162</t>
  </si>
  <si>
    <t>Customer 162</t>
  </si>
  <si>
    <t>ORD00932</t>
  </si>
  <si>
    <t>C0133</t>
  </si>
  <si>
    <t>Customer 133</t>
  </si>
  <si>
    <t>ORD01206</t>
  </si>
  <si>
    <t>online</t>
  </si>
  <si>
    <t>ORD01468</t>
  </si>
  <si>
    <t>ORD00468</t>
  </si>
  <si>
    <t>C0114</t>
  </si>
  <si>
    <t>Customer 114</t>
  </si>
  <si>
    <t>ORD01697</t>
  </si>
  <si>
    <t>ORD01665</t>
  </si>
  <si>
    <t>ORD01814</t>
  </si>
  <si>
    <t>08-13-2025</t>
  </si>
  <si>
    <t>C0089</t>
  </si>
  <si>
    <t>Customer 89</t>
  </si>
  <si>
    <t>ORD00522</t>
  </si>
  <si>
    <t>C0174</t>
  </si>
  <si>
    <t>Customer 174</t>
  </si>
  <si>
    <t>ORD00453</t>
  </si>
  <si>
    <t>02-18-2024</t>
  </si>
  <si>
    <t>C0069</t>
  </si>
  <si>
    <t>Customer 69</t>
  </si>
  <si>
    <t>ORD00967</t>
  </si>
  <si>
    <t>C0269</t>
  </si>
  <si>
    <t>Customer 269</t>
  </si>
  <si>
    <t>ORD00952</t>
  </si>
  <si>
    <t>C0135</t>
  </si>
  <si>
    <t>Customer 135</t>
  </si>
  <si>
    <t>ORD00811</t>
  </si>
  <si>
    <t>C0030</t>
  </si>
  <si>
    <t>Customer 30</t>
  </si>
  <si>
    <t>ORD01255</t>
  </si>
  <si>
    <t>10-25-2024</t>
  </si>
  <si>
    <t>C0218</t>
  </si>
  <si>
    <t>Customer 218</t>
  </si>
  <si>
    <t>ORD01822</t>
  </si>
  <si>
    <t>C0051</t>
  </si>
  <si>
    <t>Customer 51</t>
  </si>
  <si>
    <t>ORD01052</t>
  </si>
  <si>
    <t>ORD00698</t>
  </si>
  <si>
    <t>C0295</t>
  </si>
  <si>
    <t>Customer 295</t>
  </si>
  <si>
    <t>ORD00195</t>
  </si>
  <si>
    <t>04-21-2025</t>
  </si>
  <si>
    <t>ORD01546</t>
  </si>
  <si>
    <t>ORD00919</t>
  </si>
  <si>
    <t>C0003</t>
  </si>
  <si>
    <t>Customer 3</t>
  </si>
  <si>
    <t>ORD00142</t>
  </si>
  <si>
    <t>ORD01850</t>
  </si>
  <si>
    <t>07-17-2025</t>
  </si>
  <si>
    <t>C0265</t>
  </si>
  <si>
    <t>Customer 265</t>
  </si>
  <si>
    <t>ORD01578</t>
  </si>
  <si>
    <t>C0126</t>
  </si>
  <si>
    <t>Customer 126</t>
  </si>
  <si>
    <t>ORD00766</t>
  </si>
  <si>
    <t>C0235</t>
  </si>
  <si>
    <t>Customer 235</t>
  </si>
  <si>
    <t>ORD00414</t>
  </si>
  <si>
    <t>07-23-2024</t>
  </si>
  <si>
    <t>C0256</t>
  </si>
  <si>
    <t>Customer 256</t>
  </si>
  <si>
    <t>ORD00565</t>
  </si>
  <si>
    <t>ORD01408</t>
  </si>
  <si>
    <t xml:space="preserve"> CUSTOMER 51  </t>
  </si>
  <si>
    <t>ORD00978</t>
  </si>
  <si>
    <t xml:space="preserve"> CUSTOMER 138  </t>
  </si>
  <si>
    <t>ORD00203</t>
  </si>
  <si>
    <t>05-19-2024</t>
  </si>
  <si>
    <t>05-27-2024</t>
  </si>
  <si>
    <t>ORD00164</t>
  </si>
  <si>
    <t>C0234</t>
  </si>
  <si>
    <t>Customer 234</t>
  </si>
  <si>
    <t>ORD01890</t>
  </si>
  <si>
    <t>01-29-2024</t>
  </si>
  <si>
    <t>01-31-2024</t>
  </si>
  <si>
    <t>C0149</t>
  </si>
  <si>
    <t>Customer 149</t>
  </si>
  <si>
    <t>ORD00582</t>
  </si>
  <si>
    <t>C0184</t>
  </si>
  <si>
    <t>Customer 184</t>
  </si>
  <si>
    <t>ORD00204</t>
  </si>
  <si>
    <t>C0213</t>
  </si>
  <si>
    <t>Customer 213</t>
  </si>
  <si>
    <t>ORD01689</t>
  </si>
  <si>
    <t>11-26-2024</t>
  </si>
  <si>
    <t>C0042</t>
  </si>
  <si>
    <t>Customer 42</t>
  </si>
  <si>
    <t>ORD01081</t>
  </si>
  <si>
    <t>C0245</t>
  </si>
  <si>
    <t>Customer 245</t>
  </si>
  <si>
    <t>ORD01034</t>
  </si>
  <si>
    <t>08-22-2024</t>
  </si>
  <si>
    <t>C0004</t>
  </si>
  <si>
    <t>Customer 4</t>
  </si>
  <si>
    <t>ORD01265</t>
  </si>
  <si>
    <t>C0125</t>
  </si>
  <si>
    <t>Customer 125</t>
  </si>
  <si>
    <t>ORD01363</t>
  </si>
  <si>
    <t>ORD00004</t>
  </si>
  <si>
    <t>07-19-2025</t>
  </si>
  <si>
    <t>C0177</t>
  </si>
  <si>
    <t>Customer 177</t>
  </si>
  <si>
    <t>ORD01931</t>
  </si>
  <si>
    <t>ORD00299</t>
  </si>
  <si>
    <t>ORD00634</t>
  </si>
  <si>
    <t>ORD00034</t>
  </si>
  <si>
    <t>03-23-2024</t>
  </si>
  <si>
    <t>C0228</t>
  </si>
  <si>
    <t>Customer 228</t>
  </si>
  <si>
    <t>ORD00336</t>
  </si>
  <si>
    <t>ORD00834</t>
  </si>
  <si>
    <t>C0044</t>
  </si>
  <si>
    <t>Customer 44</t>
  </si>
  <si>
    <t>ORD00785</t>
  </si>
  <si>
    <t>ORD00169</t>
  </si>
  <si>
    <t>C0048</t>
  </si>
  <si>
    <t>Customer 48</t>
  </si>
  <si>
    <t>ORD00646</t>
  </si>
  <si>
    <t>C0060</t>
  </si>
  <si>
    <t>Customer 60</t>
  </si>
  <si>
    <t>ORD00400</t>
  </si>
  <si>
    <t>07-27-2025</t>
  </si>
  <si>
    <t>C0105</t>
  </si>
  <si>
    <t>Customer 105</t>
  </si>
  <si>
    <t>ORD00681</t>
  </si>
  <si>
    <t>ORD01705</t>
  </si>
  <si>
    <t>05-13-2024</t>
  </si>
  <si>
    <t>ORD01480</t>
  </si>
  <si>
    <t>ONLINE</t>
  </si>
  <si>
    <t>ORD01167</t>
  </si>
  <si>
    <t>01-24-2024</t>
  </si>
  <si>
    <t>C0093</t>
  </si>
  <si>
    <t>Customer 93</t>
  </si>
  <si>
    <t>ORD01036</t>
  </si>
  <si>
    <t>07-23-2025</t>
  </si>
  <si>
    <t>07-30-2025</t>
  </si>
  <si>
    <t>C0221</t>
  </si>
  <si>
    <t xml:space="preserve"> CUSTOMER 221  </t>
  </si>
  <si>
    <t>ORD00075</t>
  </si>
  <si>
    <t>C0230</t>
  </si>
  <si>
    <t>Customer 230</t>
  </si>
  <si>
    <t>ORD01944</t>
  </si>
  <si>
    <t>06-26-2025</t>
  </si>
  <si>
    <t>C0236</t>
  </si>
  <si>
    <t>Customer 236</t>
  </si>
  <si>
    <t>ORD00394</t>
  </si>
  <si>
    <t>ORD01796</t>
  </si>
  <si>
    <t>ORD01169</t>
  </si>
  <si>
    <t>ORD01721</t>
  </si>
  <si>
    <t>C0116</t>
  </si>
  <si>
    <t>Customer 116</t>
  </si>
  <si>
    <t>ORD01897</t>
  </si>
  <si>
    <t>04-26-2024</t>
  </si>
  <si>
    <t>C0023</t>
  </si>
  <si>
    <t>Customer 23</t>
  </si>
  <si>
    <t>ORD01399</t>
  </si>
  <si>
    <t>ORD00690</t>
  </si>
  <si>
    <t>C0029</t>
  </si>
  <si>
    <t>Customer 29</t>
  </si>
  <si>
    <t>ORD00791</t>
  </si>
  <si>
    <t>C0181</t>
  </si>
  <si>
    <t>Customer 181</t>
  </si>
  <si>
    <t>ORD01833</t>
  </si>
  <si>
    <t>C0067</t>
  </si>
  <si>
    <t>Customer 67</t>
  </si>
  <si>
    <t>ORD01278</t>
  </si>
  <si>
    <t>08-14-2025</t>
  </si>
  <si>
    <t>C0109</t>
  </si>
  <si>
    <t>Customer 109</t>
  </si>
  <si>
    <t>ORD01138</t>
  </si>
  <si>
    <t>C0204</t>
  </si>
  <si>
    <t>Customer 204</t>
  </si>
  <si>
    <t>STATIONERY</t>
  </si>
  <si>
    <t>ORD00841</t>
  </si>
  <si>
    <t>C0006</t>
  </si>
  <si>
    <t>Customer 6</t>
  </si>
  <si>
    <t>ORD00670</t>
  </si>
  <si>
    <t>11-23-2025</t>
  </si>
  <si>
    <t>C0194</t>
  </si>
  <si>
    <t>Customer 194</t>
  </si>
  <si>
    <t>ORD01226</t>
  </si>
  <si>
    <t>10-29-2025</t>
  </si>
  <si>
    <t>C0140</t>
  </si>
  <si>
    <t>Customer 140</t>
  </si>
  <si>
    <t>ORD00644</t>
  </si>
  <si>
    <t>05-20-2024</t>
  </si>
  <si>
    <t>C0074</t>
  </si>
  <si>
    <t>Customer 74</t>
  </si>
  <si>
    <t>ORD00016</t>
  </si>
  <si>
    <t>C0255</t>
  </si>
  <si>
    <t>Customer 255</t>
  </si>
  <si>
    <t>ORD00818</t>
  </si>
  <si>
    <t>ORD00309</t>
  </si>
  <si>
    <t>ORD00653</t>
  </si>
  <si>
    <t>ORD01109</t>
  </si>
  <si>
    <t>C0222</t>
  </si>
  <si>
    <t>Customer 222</t>
  </si>
  <si>
    <t>ORD00938</t>
  </si>
  <si>
    <t>ORD00082</t>
  </si>
  <si>
    <t>ORD00504</t>
  </si>
  <si>
    <t>C0058</t>
  </si>
  <si>
    <t>Customer 58</t>
  </si>
  <si>
    <t>ORD00531</t>
  </si>
  <si>
    <t>07-24-2024</t>
  </si>
  <si>
    <t>C0108</t>
  </si>
  <si>
    <t>Customer 108</t>
  </si>
  <si>
    <t>ORD00077</t>
  </si>
  <si>
    <t xml:space="preserve"> CUSTOMER 235  </t>
  </si>
  <si>
    <t>ORD01996</t>
  </si>
  <si>
    <t>ORD00994</t>
  </si>
  <si>
    <t>06-14-2024</t>
  </si>
  <si>
    <t>ORD01579</t>
  </si>
  <si>
    <t>ORD00954</t>
  </si>
  <si>
    <t>ORD00843</t>
  </si>
  <si>
    <t>C0159</t>
  </si>
  <si>
    <t>Customer 159</t>
  </si>
  <si>
    <t>ORD01877</t>
  </si>
  <si>
    <t>ORD01760</t>
  </si>
  <si>
    <t>C0073</t>
  </si>
  <si>
    <t>Customer 73</t>
  </si>
  <si>
    <t>ORD01186</t>
  </si>
  <si>
    <t>C0249</t>
  </si>
  <si>
    <t>Customer 249</t>
  </si>
  <si>
    <t>ORD00280</t>
  </si>
  <si>
    <t>01-14-2025</t>
  </si>
  <si>
    <t>ORD01747</t>
  </si>
  <si>
    <t>ORD01203</t>
  </si>
  <si>
    <t>Customer 107</t>
  </si>
  <si>
    <t>ORD01690</t>
  </si>
  <si>
    <t>ORD01722</t>
  </si>
  <si>
    <t>09-21-2025</t>
  </si>
  <si>
    <t>C0081</t>
  </si>
  <si>
    <t xml:space="preserve"> CUSTOMER 81  </t>
  </si>
  <si>
    <t>ORD01040</t>
  </si>
  <si>
    <t>ORD01005</t>
  </si>
  <si>
    <t>C0201</t>
  </si>
  <si>
    <t>Customer 201</t>
  </si>
  <si>
    <t>ORD01107</t>
  </si>
  <si>
    <t>04-30-2025</t>
  </si>
  <si>
    <t>ORD00396</t>
  </si>
  <si>
    <t>12-18-2025</t>
  </si>
  <si>
    <t>ACCESSORIES</t>
  </si>
  <si>
    <t>ORD00108</t>
  </si>
  <si>
    <t>C0158</t>
  </si>
  <si>
    <t>Customer 158</t>
  </si>
  <si>
    <t>ORD00412</t>
  </si>
  <si>
    <t>12-27-2024</t>
  </si>
  <si>
    <t>ORD00509</t>
  </si>
  <si>
    <t>ORD01951</t>
  </si>
  <si>
    <t>03-22-2025</t>
  </si>
  <si>
    <t>C0207</t>
  </si>
  <si>
    <t>Customer 207</t>
  </si>
  <si>
    <t>ORD01441</t>
  </si>
  <si>
    <t>C0272</t>
  </si>
  <si>
    <t xml:space="preserve"> CUSTOMER 272  </t>
  </si>
  <si>
    <t>FOOTWEAR</t>
  </si>
  <si>
    <t>ORD01522</t>
  </si>
  <si>
    <t>ORD00310</t>
  </si>
  <si>
    <t>04-15-2025</t>
  </si>
  <si>
    <t>ORD01880</t>
  </si>
  <si>
    <t>C0216</t>
  </si>
  <si>
    <t>Customer 216</t>
  </si>
  <si>
    <t>ORD00908</t>
  </si>
  <si>
    <t>ORD01345</t>
  </si>
  <si>
    <t>06-21-2025</t>
  </si>
  <si>
    <t>06-25-2025</t>
  </si>
  <si>
    <t>ORD01637</t>
  </si>
  <si>
    <t>ORD01874</t>
  </si>
  <si>
    <t>ORD01860</t>
  </si>
  <si>
    <t>ORD01540</t>
  </si>
  <si>
    <t>ORD00192</t>
  </si>
  <si>
    <t xml:space="preserve"> CUSTOMER 213  </t>
  </si>
  <si>
    <t>ORD01849</t>
  </si>
  <si>
    <t>ORD00870</t>
  </si>
  <si>
    <t>C0156</t>
  </si>
  <si>
    <t>Customer 156</t>
  </si>
  <si>
    <t>ORD01916</t>
  </si>
  <si>
    <t>C0131</t>
  </si>
  <si>
    <t>Customer 131</t>
  </si>
  <si>
    <t>ORD00922</t>
  </si>
  <si>
    <t>12-26-2024</t>
  </si>
  <si>
    <t>ORD01938</t>
  </si>
  <si>
    <t>C0002</t>
  </si>
  <si>
    <t>Customer 2</t>
  </si>
  <si>
    <t>ORD00036</t>
  </si>
  <si>
    <t>ORD01577</t>
  </si>
  <si>
    <t>ORD00270</t>
  </si>
  <si>
    <t>C0086</t>
  </si>
  <si>
    <t>Customer 86</t>
  </si>
  <si>
    <t>ORD00129</t>
  </si>
  <si>
    <t>ORD01517</t>
  </si>
  <si>
    <t>11-29-2024</t>
  </si>
  <si>
    <t>C0251</t>
  </si>
  <si>
    <t>Customer 251</t>
  </si>
  <si>
    <t>ORD00424</t>
  </si>
  <si>
    <t>ORD00674</t>
  </si>
  <si>
    <t>C0012</t>
  </si>
  <si>
    <t>Customer 12</t>
  </si>
  <si>
    <t>ORD00062</t>
  </si>
  <si>
    <t>ORD00711</t>
  </si>
  <si>
    <t>ORD01800</t>
  </si>
  <si>
    <t>C0014</t>
  </si>
  <si>
    <t>Customer 14</t>
  </si>
  <si>
    <t>ORD01936</t>
  </si>
  <si>
    <t>ORD00419</t>
  </si>
  <si>
    <t xml:space="preserve"> CUSTOMER 162  </t>
  </si>
  <si>
    <t>ORD00805</t>
  </si>
  <si>
    <t>10-28-2024</t>
  </si>
  <si>
    <t>ORD01753</t>
  </si>
  <si>
    <t>C0071</t>
  </si>
  <si>
    <t>Customer 71</t>
  </si>
  <si>
    <t>ORD00267</t>
  </si>
  <si>
    <t>C0288</t>
  </si>
  <si>
    <t>Customer 288</t>
  </si>
  <si>
    <t>ORD01614</t>
  </si>
  <si>
    <t>03-20-2024</t>
  </si>
  <si>
    <t>C0065</t>
  </si>
  <si>
    <t>Customer 65</t>
  </si>
  <si>
    <t>ORD00809</t>
  </si>
  <si>
    <t>ORD00806</t>
  </si>
  <si>
    <t>01-28-2025</t>
  </si>
  <si>
    <t>ORD01257</t>
  </si>
  <si>
    <t>C0083</t>
  </si>
  <si>
    <t>Customer 83</t>
  </si>
  <si>
    <t>ORD00068</t>
  </si>
  <si>
    <t>C0211</t>
  </si>
  <si>
    <t>Customer 211</t>
  </si>
  <si>
    <t>ORD00254</t>
  </si>
  <si>
    <t>C0022</t>
  </si>
  <si>
    <t>Customer 22</t>
  </si>
  <si>
    <t>ORD00732</t>
  </si>
  <si>
    <t>C0007</t>
  </si>
  <si>
    <t>Customer 7</t>
  </si>
  <si>
    <t>ORD01763</t>
  </si>
  <si>
    <t>ORD01001</t>
  </si>
  <si>
    <t>C0054</t>
  </si>
  <si>
    <t>Customer 54</t>
  </si>
  <si>
    <t>ORD01113</t>
  </si>
  <si>
    <t>04-14-2025</t>
  </si>
  <si>
    <t>04-18-2025</t>
  </si>
  <si>
    <t>C0240</t>
  </si>
  <si>
    <t>Customer 240</t>
  </si>
  <si>
    <t>ORD00436</t>
  </si>
  <si>
    <t>10-21-2025</t>
  </si>
  <si>
    <t>ORD01898</t>
  </si>
  <si>
    <t>C0285</t>
  </si>
  <si>
    <t>Customer 285</t>
  </si>
  <si>
    <t>ORD01521</t>
  </si>
  <si>
    <t>C0096</t>
  </si>
  <si>
    <t>Customer 96</t>
  </si>
  <si>
    <t>ORD01491</t>
  </si>
  <si>
    <t>C0080</t>
  </si>
  <si>
    <t>Customer 80</t>
  </si>
  <si>
    <t>ORD00832</t>
  </si>
  <si>
    <t>C0178</t>
  </si>
  <si>
    <t>Customer 178</t>
  </si>
  <si>
    <t>ORD01400</t>
  </si>
  <si>
    <t>01-22-2024</t>
  </si>
  <si>
    <t>ORD00406</t>
  </si>
  <si>
    <t>C0262</t>
  </si>
  <si>
    <t>Customer 262</t>
  </si>
  <si>
    <t>ORD00311</t>
  </si>
  <si>
    <t>ORD00579</t>
  </si>
  <si>
    <t>C0197</t>
  </si>
  <si>
    <t>Customer 197</t>
  </si>
  <si>
    <t>ORD01103</t>
  </si>
  <si>
    <t>C0139</t>
  </si>
  <si>
    <t>Customer 139</t>
  </si>
  <si>
    <t>ORD01871</t>
  </si>
  <si>
    <t>C0134</t>
  </si>
  <si>
    <t>Customer 134</t>
  </si>
  <si>
    <t>ORD01607</t>
  </si>
  <si>
    <t>05-22-2024</t>
  </si>
  <si>
    <t>ORD00368</t>
  </si>
  <si>
    <t>C0203</t>
  </si>
  <si>
    <t>Customer 203</t>
  </si>
  <si>
    <t>ORD01812</t>
  </si>
  <si>
    <t>03-26-2025</t>
  </si>
  <si>
    <t>ORD00113</t>
  </si>
  <si>
    <t>05-27-2025</t>
  </si>
  <si>
    <t>C0261</t>
  </si>
  <si>
    <t>Customer 261</t>
  </si>
  <si>
    <t>ORD00735</t>
  </si>
  <si>
    <t>C0276</t>
  </si>
  <si>
    <t>Customer 276</t>
  </si>
  <si>
    <t>ORD00957</t>
  </si>
  <si>
    <t>02-23-2024</t>
  </si>
  <si>
    <t>ORD00245</t>
  </si>
  <si>
    <t>C0298</t>
  </si>
  <si>
    <t>Customer 298</t>
  </si>
  <si>
    <t>ORD01051</t>
  </si>
  <si>
    <t>C0160</t>
  </si>
  <si>
    <t>Customer 160</t>
  </si>
  <si>
    <t>ORD00216</t>
  </si>
  <si>
    <t>12-17-2024</t>
  </si>
  <si>
    <t>12-25-2024</t>
  </si>
  <si>
    <t>ORD00649</t>
  </si>
  <si>
    <t>Customer 221</t>
  </si>
  <si>
    <t>ORD00675</t>
  </si>
  <si>
    <t>C0173</t>
  </si>
  <si>
    <t>Customer 173</t>
  </si>
  <si>
    <t>ORD00334</t>
  </si>
  <si>
    <t>ORD00680</t>
  </si>
  <si>
    <t>C0010</t>
  </si>
  <si>
    <t>Customer 10</t>
  </si>
  <si>
    <t>ORD01670</t>
  </si>
  <si>
    <t>ORD00795</t>
  </si>
  <si>
    <t>07-17-2024</t>
  </si>
  <si>
    <t>C0088</t>
  </si>
  <si>
    <t>Customer 88</t>
  </si>
  <si>
    <t>ORD01940</t>
  </si>
  <si>
    <t>accessories</t>
  </si>
  <si>
    <t>ORD00749</t>
  </si>
  <si>
    <t>05-25-2025</t>
  </si>
  <si>
    <t>C0227</t>
  </si>
  <si>
    <t>Customer 227</t>
  </si>
  <si>
    <t>ORD00120</t>
  </si>
  <si>
    <t>C0167</t>
  </si>
  <si>
    <t>Customer 167</t>
  </si>
  <si>
    <t>ORD00980</t>
  </si>
  <si>
    <t>02-29-2024</t>
  </si>
  <si>
    <t>ORD00325</t>
  </si>
  <si>
    <t>C0052</t>
  </si>
  <si>
    <t>Customer 52</t>
  </si>
  <si>
    <t>ORD01154</t>
  </si>
  <si>
    <t>C0260</t>
  </si>
  <si>
    <t>Customer 260</t>
  </si>
  <si>
    <t>ORD01798</t>
  </si>
  <si>
    <t>12-19-2024</t>
  </si>
  <si>
    <t>ORD00909</t>
  </si>
  <si>
    <t>11-27-2024</t>
  </si>
  <si>
    <t>ORD01306</t>
  </si>
  <si>
    <t>C0027</t>
  </si>
  <si>
    <t>Customer 27</t>
  </si>
  <si>
    <t>ORD00145</t>
  </si>
  <si>
    <t>ORD00156</t>
  </si>
  <si>
    <t xml:space="preserve"> CUSTOMER 156  </t>
  </si>
  <si>
    <t>ORD00577</t>
  </si>
  <si>
    <t>ORD00307</t>
  </si>
  <si>
    <t>ORD01439</t>
  </si>
  <si>
    <t>11-14-2025</t>
  </si>
  <si>
    <t>11-17-2025</t>
  </si>
  <si>
    <t>ORD01300</t>
  </si>
  <si>
    <t>C0106</t>
  </si>
  <si>
    <t xml:space="preserve"> CUSTOMER 106  </t>
  </si>
  <si>
    <t>ORD00515</t>
  </si>
  <si>
    <t>ORD00315</t>
  </si>
  <si>
    <t>C0153</t>
  </si>
  <si>
    <t>Customer 153</t>
  </si>
  <si>
    <t>ORD00759</t>
  </si>
  <si>
    <t>ORD01349</t>
  </si>
  <si>
    <t>C0049</t>
  </si>
  <si>
    <t>Customer 49</t>
  </si>
  <si>
    <t>ORD01388</t>
  </si>
  <si>
    <t>09-29-2024</t>
  </si>
  <si>
    <t>ORD01561</t>
  </si>
  <si>
    <t>09-16-2025</t>
  </si>
  <si>
    <t>C0113</t>
  </si>
  <si>
    <t>Customer 113</t>
  </si>
  <si>
    <t>ORD00025</t>
  </si>
  <si>
    <t>ORD00559</t>
  </si>
  <si>
    <t>07-31-2025</t>
  </si>
  <si>
    <t>ORD01729</t>
  </si>
  <si>
    <t>09-27-2024</t>
  </si>
  <si>
    <t>ORD01628</t>
  </si>
  <si>
    <t>C0169</t>
  </si>
  <si>
    <t>Customer 169</t>
  </si>
  <si>
    <t>ORD01417</t>
  </si>
  <si>
    <t>ORD00947</t>
  </si>
  <si>
    <t>ORD01625</t>
  </si>
  <si>
    <t>ORD00076</t>
  </si>
  <si>
    <t>C0271</t>
  </si>
  <si>
    <t>Customer 271</t>
  </si>
  <si>
    <t>ORD01192</t>
  </si>
  <si>
    <t>ORD00939</t>
  </si>
  <si>
    <t xml:space="preserve"> CUSTOMER 22  </t>
  </si>
  <si>
    <t>ORD00151</t>
  </si>
  <si>
    <t>11-26-2025</t>
  </si>
  <si>
    <t>ORD01964</t>
  </si>
  <si>
    <t>10-27-2025</t>
  </si>
  <si>
    <t>C0151</t>
  </si>
  <si>
    <t>Customer 151</t>
  </si>
  <si>
    <t>ORD00767</t>
  </si>
  <si>
    <t>ORD01272</t>
  </si>
  <si>
    <t>ORD01623</t>
  </si>
  <si>
    <t>C0146</t>
  </si>
  <si>
    <t>Customer 146</t>
  </si>
  <si>
    <t>ORD01111</t>
  </si>
  <si>
    <t>ORD01528</t>
  </si>
  <si>
    <t>ORD00817</t>
  </si>
  <si>
    <t>09-25-2024</t>
  </si>
  <si>
    <t>ORD01739</t>
  </si>
  <si>
    <t>ORD01613</t>
  </si>
  <si>
    <t>ORD00225</t>
  </si>
  <si>
    <t>01-28-2024</t>
  </si>
  <si>
    <t>ORD00744</t>
  </si>
  <si>
    <t>ORD00181</t>
  </si>
  <si>
    <t>C0253</t>
  </si>
  <si>
    <t>Customer 253</t>
  </si>
  <si>
    <t>ORD00462</t>
  </si>
  <si>
    <t>C0266</t>
  </si>
  <si>
    <t>Customer 266</t>
  </si>
  <si>
    <t>ORD00454</t>
  </si>
  <si>
    <t>C0279</t>
  </si>
  <si>
    <t>Customer 279</t>
  </si>
  <si>
    <t>ORD00397</t>
  </si>
  <si>
    <t>ORD01825</t>
  </si>
  <si>
    <t>ORD00873</t>
  </si>
  <si>
    <t>C0132</t>
  </si>
  <si>
    <t>Customer 132</t>
  </si>
  <si>
    <t>ORD00263</t>
  </si>
  <si>
    <t>ORD00358</t>
  </si>
  <si>
    <t>ORD01692</t>
  </si>
  <si>
    <t>ORD00627</t>
  </si>
  <si>
    <t>ORD00455</t>
  </si>
  <si>
    <t>09-26-2024</t>
  </si>
  <si>
    <t>ORD00655</t>
  </si>
  <si>
    <t>C0110</t>
  </si>
  <si>
    <t xml:space="preserve"> CUSTOMER 110  </t>
  </si>
  <si>
    <t>ORD01813</t>
  </si>
  <si>
    <t>C0102</t>
  </si>
  <si>
    <t>Customer 102</t>
  </si>
  <si>
    <t>ORD00126</t>
  </si>
  <si>
    <t xml:space="preserve"> CUSTOMER 116  </t>
  </si>
  <si>
    <t>ORD00294</t>
  </si>
  <si>
    <t>ORD00148</t>
  </si>
  <si>
    <t>C0229</t>
  </si>
  <si>
    <t>Customer 229</t>
  </si>
  <si>
    <t>ORD01734</t>
  </si>
  <si>
    <t>ORD01803</t>
  </si>
  <si>
    <t>ORD01615</t>
  </si>
  <si>
    <t>ORD00211</t>
  </si>
  <si>
    <t xml:space="preserve"> CUSTOMER 70  </t>
  </si>
  <si>
    <t>ORD00323</t>
  </si>
  <si>
    <t>C0121</t>
  </si>
  <si>
    <t>Customer 121</t>
  </si>
  <si>
    <t>ORD00375</t>
  </si>
  <si>
    <t>ORD00985</t>
  </si>
  <si>
    <t>ORD01636</t>
  </si>
  <si>
    <t>12-15-2025</t>
  </si>
  <si>
    <t>ORD01732</t>
  </si>
  <si>
    <t>ORD00089</t>
  </si>
  <si>
    <t>C0187</t>
  </si>
  <si>
    <t>Customer 187</t>
  </si>
  <si>
    <t>ORD01330</t>
  </si>
  <si>
    <t>ORD01434</t>
  </si>
  <si>
    <t>03-15-2025</t>
  </si>
  <si>
    <t>ORD01460</t>
  </si>
  <si>
    <t>ORD00880</t>
  </si>
  <si>
    <t>ORD01805</t>
  </si>
  <si>
    <t>12-21-2025</t>
  </si>
  <si>
    <t>C0188</t>
  </si>
  <si>
    <t>Customer 188</t>
  </si>
  <si>
    <t>ORD00743</t>
  </si>
  <si>
    <t>ORD01435</t>
  </si>
  <si>
    <t>ORD00369</t>
  </si>
  <si>
    <t>ORD01947</t>
  </si>
  <si>
    <t>ORD01322</t>
  </si>
  <si>
    <t>07-28-2024</t>
  </si>
  <si>
    <t>ORD00154</t>
  </si>
  <si>
    <t>10-24-2025</t>
  </si>
  <si>
    <t>10-28-2025</t>
  </si>
  <si>
    <t>ORD01952</t>
  </si>
  <si>
    <t>ORD01847</t>
  </si>
  <si>
    <t>C0191</t>
  </si>
  <si>
    <t>Customer 191</t>
  </si>
  <si>
    <t>ORD00170</t>
  </si>
  <si>
    <t>10-23-2025</t>
  </si>
  <si>
    <t>ORD01772</t>
  </si>
  <si>
    <t>ORD00692</t>
  </si>
  <si>
    <t>C0028</t>
  </si>
  <si>
    <t>Customer 28</t>
  </si>
  <si>
    <t>ORD01914</t>
  </si>
  <si>
    <t>ORD00631</t>
  </si>
  <si>
    <t>11-20-2025</t>
  </si>
  <si>
    <t>ORD00242</t>
  </si>
  <si>
    <t>C0013</t>
  </si>
  <si>
    <t>Customer 13</t>
  </si>
  <si>
    <t>ORD00603</t>
  </si>
  <si>
    <t>04-23-2024</t>
  </si>
  <si>
    <t>C0144</t>
  </si>
  <si>
    <t>Customer 144</t>
  </si>
  <si>
    <t>ORD01094</t>
  </si>
  <si>
    <t>ORD01691</t>
  </si>
  <si>
    <t>ORD01728</t>
  </si>
  <si>
    <t>07-25-2025</t>
  </si>
  <si>
    <t>ORD01737</t>
  </si>
  <si>
    <t>ORD01235</t>
  </si>
  <si>
    <t>03-28-2024</t>
  </si>
  <si>
    <t>C0192</t>
  </si>
  <si>
    <t>Customer 192</t>
  </si>
  <si>
    <t>ORD01380</t>
  </si>
  <si>
    <t>C0047</t>
  </si>
  <si>
    <t>Customer 47</t>
  </si>
  <si>
    <t>ORD00024</t>
  </si>
  <si>
    <t>ORD00658</t>
  </si>
  <si>
    <t>ORD00686</t>
  </si>
  <si>
    <t>C0011</t>
  </si>
  <si>
    <t>Customer 11</t>
  </si>
  <si>
    <t>ORD01454</t>
  </si>
  <si>
    <t>12-29-2025</t>
  </si>
  <si>
    <t>ORD01293</t>
  </si>
  <si>
    <t>ORD00296</t>
  </si>
  <si>
    <t>12-18-2024</t>
  </si>
  <si>
    <t>ORD00363</t>
  </si>
  <si>
    <t>03-15-2024</t>
  </si>
  <si>
    <t>ORD00390</t>
  </si>
  <si>
    <t>ORD01397</t>
  </si>
  <si>
    <t>ORD01631</t>
  </si>
  <si>
    <t>C0036</t>
  </si>
  <si>
    <t>Customer 36</t>
  </si>
  <si>
    <t>ORD00485</t>
  </si>
  <si>
    <t>ORD00471</t>
  </si>
  <si>
    <t>ORD00547</t>
  </si>
  <si>
    <t>ORD01977</t>
  </si>
  <si>
    <t>09-27-2025</t>
  </si>
  <si>
    <t>C0208</t>
  </si>
  <si>
    <t>Customer 208</t>
  </si>
  <si>
    <t>ORD00143</t>
  </si>
  <si>
    <t>C0147</t>
  </si>
  <si>
    <t>Customer 147</t>
  </si>
  <si>
    <t>ORD00931</t>
  </si>
  <si>
    <t>ORD00820</t>
  </si>
  <si>
    <t>07-19-2024</t>
  </si>
  <si>
    <t>ORD00481</t>
  </si>
  <si>
    <t>05-31-2024</t>
  </si>
  <si>
    <t>ORD00545</t>
  </si>
  <si>
    <t>05-21-2025</t>
  </si>
  <si>
    <t>C0195</t>
  </si>
  <si>
    <t>Customer 195</t>
  </si>
  <si>
    <t>ORD01742</t>
  </si>
  <si>
    <t>ORD01510</t>
  </si>
  <si>
    <t>07-26-2025</t>
  </si>
  <si>
    <t>C0289</t>
  </si>
  <si>
    <t>Customer 289</t>
  </si>
  <si>
    <t>ORD00475</t>
  </si>
  <si>
    <t>C0202</t>
  </si>
  <si>
    <t>Customer 202</t>
  </si>
  <si>
    <t>ORD00787</t>
  </si>
  <si>
    <t>ORD00107</t>
  </si>
  <si>
    <t>C0082</t>
  </si>
  <si>
    <t>Customer 82</t>
  </si>
  <si>
    <t>ORD00808</t>
  </si>
  <si>
    <t>06-13-2025</t>
  </si>
  <si>
    <t>ORD00554</t>
  </si>
  <si>
    <t>ORD00093</t>
  </si>
  <si>
    <t>10-21-2024</t>
  </si>
  <si>
    <t>Customer 110</t>
  </si>
  <si>
    <t>ORD00973</t>
  </si>
  <si>
    <t>08-25-2024</t>
  </si>
  <si>
    <t>ORD00546</t>
  </si>
  <si>
    <t>C0076</t>
  </si>
  <si>
    <t>Customer 76</t>
  </si>
  <si>
    <t>ORD00289</t>
  </si>
  <si>
    <t>ORD00442</t>
  </si>
  <si>
    <t>ORD00150</t>
  </si>
  <si>
    <t>ORD01089</t>
  </si>
  <si>
    <t>06-28-2024</t>
  </si>
  <si>
    <t>ORD01570</t>
  </si>
  <si>
    <t>ORD00581</t>
  </si>
  <si>
    <t>07-21-2025</t>
  </si>
  <si>
    <t>C0104</t>
  </si>
  <si>
    <t>Customer 104</t>
  </si>
  <si>
    <t>ORD01353</t>
  </si>
  <si>
    <t>ORD01054</t>
  </si>
  <si>
    <t>ORD00011</t>
  </si>
  <si>
    <t>ORD01426</t>
  </si>
  <si>
    <t>03-25-2025</t>
  </si>
  <si>
    <t>C0172</t>
  </si>
  <si>
    <t>Customer 172</t>
  </si>
  <si>
    <t>ORD00987</t>
  </si>
  <si>
    <t>Customer 219</t>
  </si>
  <si>
    <t>ORD01558</t>
  </si>
  <si>
    <t>05-23-2024</t>
  </si>
  <si>
    <t>05-24-2024</t>
  </si>
  <si>
    <t>ORD00866</t>
  </si>
  <si>
    <t>C0118</t>
  </si>
  <si>
    <t>Customer 118</t>
  </si>
  <si>
    <t>ORD01731</t>
  </si>
  <si>
    <t>01-18-2025</t>
  </si>
  <si>
    <t>01-24-2025</t>
  </si>
  <si>
    <t>ORD01338</t>
  </si>
  <si>
    <t>01-19-2024</t>
  </si>
  <si>
    <t>ORD00935</t>
  </si>
  <si>
    <t>03-22-2024</t>
  </si>
  <si>
    <t>ORD00001</t>
  </si>
  <si>
    <t>C0150</t>
  </si>
  <si>
    <t>Customer 150</t>
  </si>
  <si>
    <t>ORD00167</t>
  </si>
  <si>
    <t>ORD00373</t>
  </si>
  <si>
    <t>ORD00457</t>
  </si>
  <si>
    <t>ORD01830</t>
  </si>
  <si>
    <t>ORD01912</t>
  </si>
  <si>
    <t>C0085</t>
  </si>
  <si>
    <t>Customer 85</t>
  </si>
  <si>
    <t>ORD00899</t>
  </si>
  <si>
    <t>C0176</t>
  </si>
  <si>
    <t>Customer 176</t>
  </si>
  <si>
    <t>ORD00246</t>
  </si>
  <si>
    <t>09-24-2024</t>
  </si>
  <si>
    <t>09-30-2024</t>
  </si>
  <si>
    <t>ORD01968</t>
  </si>
  <si>
    <t>10-30-2024</t>
  </si>
  <si>
    <t>ORD00685</t>
  </si>
  <si>
    <t>09-21-2024</t>
  </si>
  <si>
    <t>ORD00053</t>
  </si>
  <si>
    <t>06-21-2024</t>
  </si>
  <si>
    <t>06-25-2024</t>
  </si>
  <si>
    <t>ORD00230</t>
  </si>
  <si>
    <t>12-24-2025</t>
  </si>
  <si>
    <t>ORD00762</t>
  </si>
  <si>
    <t>ORD00408</t>
  </si>
  <si>
    <t>ORD00452</t>
  </si>
  <si>
    <t>C0163</t>
  </si>
  <si>
    <t>Customer 163</t>
  </si>
  <si>
    <t>ORD01263</t>
  </si>
  <si>
    <t>ORD01212</t>
  </si>
  <si>
    <t>ORD01863</t>
  </si>
  <si>
    <t>ORD00389</t>
  </si>
  <si>
    <t>ORD01057</t>
  </si>
  <si>
    <t xml:space="preserve"> CUSTOMER 109  </t>
  </si>
  <si>
    <t>ORD01424</t>
  </si>
  <si>
    <t>ORD00043</t>
  </si>
  <si>
    <t>ORD01395</t>
  </si>
  <si>
    <t>ORD01136</t>
  </si>
  <si>
    <t>ORD00134</t>
  </si>
  <si>
    <t>ORD00963</t>
  </si>
  <si>
    <t>ORD00044</t>
  </si>
  <si>
    <t>ORD00027</t>
  </si>
  <si>
    <t>C0032</t>
  </si>
  <si>
    <t>Customer 32</t>
  </si>
  <si>
    <t>ORD01230</t>
  </si>
  <si>
    <t>C0009</t>
  </si>
  <si>
    <t>Customer 9</t>
  </si>
  <si>
    <t>ORD00222</t>
  </si>
  <si>
    <t>ORD01842</t>
  </si>
  <si>
    <t>05-14-2024</t>
  </si>
  <si>
    <t>ORD01924</t>
  </si>
  <si>
    <t>ORD01673</t>
  </si>
  <si>
    <t>ORD00589</t>
  </si>
  <si>
    <t>11-25-2024</t>
  </si>
  <si>
    <t>ORD01634</t>
  </si>
  <si>
    <t>06-19-2024</t>
  </si>
  <si>
    <t>ORD00329</t>
  </si>
  <si>
    <t>ORD01369</t>
  </si>
  <si>
    <t>C0053</t>
  </si>
  <si>
    <t>Customer 53</t>
  </si>
  <si>
    <t>ORD01215</t>
  </si>
  <si>
    <t>11-13-2024</t>
  </si>
  <si>
    <t>C0300</t>
  </si>
  <si>
    <t>Customer 300</t>
  </si>
  <si>
    <t>ORD01305</t>
  </si>
  <si>
    <t>C0268</t>
  </si>
  <si>
    <t>Customer 268</t>
  </si>
  <si>
    <t>ORD00511</t>
  </si>
  <si>
    <t>ORD00923</t>
  </si>
  <si>
    <t>ORD01627</t>
  </si>
  <si>
    <t>ORD00533</t>
  </si>
  <si>
    <t>05-28-2024</t>
  </si>
  <si>
    <t>ORD01757</t>
  </si>
  <si>
    <t>ORD01227</t>
  </si>
  <si>
    <t>ORD01555</t>
  </si>
  <si>
    <t>ORD01391</t>
  </si>
  <si>
    <t>C0115</t>
  </si>
  <si>
    <t>Customer 115</t>
  </si>
  <si>
    <t>ORD00486</t>
  </si>
  <si>
    <t>C0119</t>
  </si>
  <si>
    <t>Customer 119</t>
  </si>
  <si>
    <t>ORD01714</t>
  </si>
  <si>
    <t>ORD01955</t>
  </si>
  <si>
    <t>C0026</t>
  </si>
  <si>
    <t>Customer 26</t>
  </si>
  <si>
    <t>ORD01994</t>
  </si>
  <si>
    <t>ORD01935</t>
  </si>
  <si>
    <t>ORD00750</t>
  </si>
  <si>
    <t xml:space="preserve"> CUSTOMER 104  </t>
  </si>
  <si>
    <t>ORD00863</t>
  </si>
  <si>
    <t>ORD01819</t>
  </si>
  <si>
    <t>ORD01451</t>
  </si>
  <si>
    <t>C0157</t>
  </si>
  <si>
    <t>Customer 157</t>
  </si>
  <si>
    <t>ORD01817</t>
  </si>
  <si>
    <t>C0137</t>
  </si>
  <si>
    <t>Customer 137</t>
  </si>
  <si>
    <t>ORD00518</t>
  </si>
  <si>
    <t>ORD00578</t>
  </si>
  <si>
    <t>03-24-2025</t>
  </si>
  <si>
    <t xml:space="preserve"> CUSTOMER 252  </t>
  </si>
  <si>
    <t>ORD00374</t>
  </si>
  <si>
    <t>ORD01361</t>
  </si>
  <si>
    <t>ORD00146</t>
  </si>
  <si>
    <t>ORD00498</t>
  </si>
  <si>
    <t>11-18-2025</t>
  </si>
  <si>
    <t>ORD01866</t>
  </si>
  <si>
    <t>ORD00807</t>
  </si>
  <si>
    <t>ORD01156</t>
  </si>
  <si>
    <t>08-30-2024</t>
  </si>
  <si>
    <t>ORD01183</t>
  </si>
  <si>
    <t>ORD00993</t>
  </si>
  <si>
    <t>ORD00508</t>
  </si>
  <si>
    <t>ORD00070</t>
  </si>
  <si>
    <t>ORD01142</t>
  </si>
  <si>
    <t>ORD00684</t>
  </si>
  <si>
    <t>ORD00574</t>
  </si>
  <si>
    <t>ORD00409</t>
  </si>
  <si>
    <t>ORD01906</t>
  </si>
  <si>
    <t>ORD00561</t>
  </si>
  <si>
    <t>09-20-2024</t>
  </si>
  <si>
    <t>ORD00020</t>
  </si>
  <si>
    <t>ORD00573</t>
  </si>
  <si>
    <t>ORD01160</t>
  </si>
  <si>
    <t>C0017</t>
  </si>
  <si>
    <t>Customer 17</t>
  </si>
  <si>
    <t>ORD00902</t>
  </si>
  <si>
    <t>ORD00282</t>
  </si>
  <si>
    <t>08-20-2024</t>
  </si>
  <si>
    <t>ORD01252</t>
  </si>
  <si>
    <t>ORD00064</t>
  </si>
  <si>
    <t>ORD01324</t>
  </si>
  <si>
    <t>ORD01979</t>
  </si>
  <si>
    <t>ORD00046</t>
  </si>
  <si>
    <t>03-14-2025</t>
  </si>
  <si>
    <t>ORD01045</t>
  </si>
  <si>
    <t>C0193</t>
  </si>
  <si>
    <t>Customer 193</t>
  </si>
  <si>
    <t>ORD00415</t>
  </si>
  <si>
    <t>C0183</t>
  </si>
  <si>
    <t>Customer 183</t>
  </si>
  <si>
    <t>ORD01799</t>
  </si>
  <si>
    <t>ORD00099</t>
  </si>
  <si>
    <t>ORD01024</t>
  </si>
  <si>
    <t>ORD00215</t>
  </si>
  <si>
    <t>ORD00335</t>
  </si>
  <si>
    <t>03-21-2024</t>
  </si>
  <si>
    <t>ORD01893</t>
  </si>
  <si>
    <t>ORD00433</t>
  </si>
  <si>
    <t>ORD01331</t>
  </si>
  <si>
    <t>ORD00255</t>
  </si>
  <si>
    <t>ORD00638</t>
  </si>
  <si>
    <t>05-20-2025</t>
  </si>
  <si>
    <t>ORD01312</t>
  </si>
  <si>
    <t>ORD01430</t>
  </si>
  <si>
    <t>ORD00383</t>
  </si>
  <si>
    <t>ORD00826</t>
  </si>
  <si>
    <t xml:space="preserve"> CUSTOMER 218  </t>
  </si>
  <si>
    <t>ORD01678</t>
  </si>
  <si>
    <t>ORD01949</t>
  </si>
  <si>
    <t>ORD01646</t>
  </si>
  <si>
    <t>ORD01065</t>
  </si>
  <si>
    <t>ORD01946</t>
  </si>
  <si>
    <t>01-26-2024</t>
  </si>
  <si>
    <t>ORD01339</t>
  </si>
  <si>
    <t>ORD01266</t>
  </si>
  <si>
    <t>ORD00352</t>
  </si>
  <si>
    <t>C0200</t>
  </si>
  <si>
    <t>Customer 200</t>
  </si>
  <si>
    <t>ORD00839</t>
  </si>
  <si>
    <t>ORD00137</t>
  </si>
  <si>
    <t>07-20-2025</t>
  </si>
  <si>
    <t>ORD01956</t>
  </si>
  <si>
    <t>ORD01576</t>
  </si>
  <si>
    <t>08-29-2024</t>
  </si>
  <si>
    <t>C0217</t>
  </si>
  <si>
    <t>Customer 217</t>
  </si>
  <si>
    <t>ORD01884</t>
  </si>
  <si>
    <t>ORD01284</t>
  </si>
  <si>
    <t>04-28-2025</t>
  </si>
  <si>
    <t>ORD00604</t>
  </si>
  <si>
    <t>09-22-2025</t>
  </si>
  <si>
    <t>Customer 81</t>
  </si>
  <si>
    <t>ORD00295</t>
  </si>
  <si>
    <t>ORD01030</t>
  </si>
  <si>
    <t>ORD01394</t>
  </si>
  <si>
    <t>ORD01155</t>
  </si>
  <si>
    <t>12-29-2024</t>
  </si>
  <si>
    <t>ORD00771</t>
  </si>
  <si>
    <t>C0068</t>
  </si>
  <si>
    <t>Customer 68</t>
  </si>
  <si>
    <t>ORD01080</t>
  </si>
  <si>
    <t xml:space="preserve"> CUSTOMER 105  </t>
  </si>
  <si>
    <t>ORD01292</t>
  </si>
  <si>
    <t>ORD01026</t>
  </si>
  <si>
    <t>ORD00840</t>
  </si>
  <si>
    <t>07-29-2024</t>
  </si>
  <si>
    <t>ORD00933</t>
  </si>
  <si>
    <t>ORD00380</t>
  </si>
  <si>
    <t>ORD01119</t>
  </si>
  <si>
    <t>ORD01147</t>
  </si>
  <si>
    <t>04-19-2025</t>
  </si>
  <si>
    <t>04-24-2025</t>
  </si>
  <si>
    <t>ORD00264</t>
  </si>
  <si>
    <t>12-14-2024</t>
  </si>
  <si>
    <t>12-15-2024</t>
  </si>
  <si>
    <t>ORD01544</t>
  </si>
  <si>
    <t>ORD01301</t>
  </si>
  <si>
    <t>ORD00729</t>
  </si>
  <si>
    <t>ORD01096</t>
  </si>
  <si>
    <t>ORD00207</t>
  </si>
  <si>
    <t>ORD01459</t>
  </si>
  <si>
    <t>ORD00945</t>
  </si>
  <si>
    <t>ORD00683</t>
  </si>
  <si>
    <t>ORD01957</t>
  </si>
  <si>
    <t>ORD00525</t>
  </si>
  <si>
    <t>ORD00182</t>
  </si>
  <si>
    <t>C0127</t>
  </si>
  <si>
    <t>Customer 127</t>
  </si>
  <si>
    <t>ORD00435</t>
  </si>
  <si>
    <t>C0277</t>
  </si>
  <si>
    <t>Customer 277</t>
  </si>
  <si>
    <t>ORD01783</t>
  </si>
  <si>
    <t>ORD01280</t>
  </si>
  <si>
    <t>ORD01326</t>
  </si>
  <si>
    <t>ORD00153</t>
  </si>
  <si>
    <t>07-29-2025</t>
  </si>
  <si>
    <t>ORD01000</t>
  </si>
  <si>
    <t>10-19-2025</t>
  </si>
  <si>
    <t>ORD01581</t>
  </si>
  <si>
    <t>C0001</t>
  </si>
  <si>
    <t>Customer 1</t>
  </si>
  <si>
    <t>ORD00827</t>
  </si>
  <si>
    <t>ORD00237</t>
  </si>
  <si>
    <t>ORD01612</t>
  </si>
  <si>
    <t>10-31-2025</t>
  </si>
  <si>
    <t>ORD00924</t>
  </si>
  <si>
    <t xml:space="preserve"> CUSTOMER 217  </t>
  </si>
  <si>
    <t>ORD00555</t>
  </si>
  <si>
    <t>ORD01557</t>
  </si>
  <si>
    <t>ORD01091</t>
  </si>
  <si>
    <t>ORD01549</t>
  </si>
  <si>
    <t>ORD00583</t>
  </si>
  <si>
    <t>C0123</t>
  </si>
  <si>
    <t>Customer 123</t>
  </si>
  <si>
    <t>ORD00800</t>
  </si>
  <si>
    <t>08-19-2024</t>
  </si>
  <si>
    <t>ORD01082</t>
  </si>
  <si>
    <t>ORD01153</t>
  </si>
  <si>
    <t>ORD00238</t>
  </si>
  <si>
    <t>C0215</t>
  </si>
  <si>
    <t>Customer 215</t>
  </si>
  <si>
    <t>ORD00754</t>
  </si>
  <si>
    <t>ORD01195</t>
  </si>
  <si>
    <t>C0270</t>
  </si>
  <si>
    <t>Customer 270</t>
  </si>
  <si>
    <t>ORD00584</t>
  </si>
  <si>
    <t>ORD01569</t>
  </si>
  <si>
    <t>ORD01457</t>
  </si>
  <si>
    <t>ORD00434</t>
  </si>
  <si>
    <t>ORD01017</t>
  </si>
  <si>
    <t>ORD00391</t>
  </si>
  <si>
    <t>C0242</t>
  </si>
  <si>
    <t>Customer 242</t>
  </si>
  <si>
    <t>ORD00392</t>
  </si>
  <si>
    <t xml:space="preserve"> CUSTOMER 136  </t>
  </si>
  <si>
    <t>ORD01179</t>
  </si>
  <si>
    <t>ORD01748</t>
  </si>
  <si>
    <t>C0033</t>
  </si>
  <si>
    <t>Customer 33</t>
  </si>
  <si>
    <t>ORD00179</t>
  </si>
  <si>
    <t>ORD01815</t>
  </si>
  <si>
    <t>C0168</t>
  </si>
  <si>
    <t>Customer 168</t>
  </si>
  <si>
    <t>ORD01973</t>
  </si>
  <si>
    <t>ORD01086</t>
  </si>
  <si>
    <t>C0171</t>
  </si>
  <si>
    <t>Customer 171</t>
  </si>
  <si>
    <t>ORD01389</t>
  </si>
  <si>
    <t>ORD00274</t>
  </si>
  <si>
    <t>ORD00894</t>
  </si>
  <si>
    <t>01-30-2025</t>
  </si>
  <si>
    <t>ORD00393</t>
  </si>
  <si>
    <t>ORD00755</t>
  </si>
  <si>
    <t>ORD01117</t>
  </si>
  <si>
    <t>02-20-2025</t>
  </si>
  <si>
    <t>ORD01771</t>
  </si>
  <si>
    <t>ORD00901</t>
  </si>
  <si>
    <t>C0189</t>
  </si>
  <si>
    <t>Customer 189</t>
  </si>
  <si>
    <t>ORD00078</t>
  </si>
  <si>
    <t>ORD01746</t>
  </si>
  <si>
    <t>C0129</t>
  </si>
  <si>
    <t>Customer 129</t>
  </si>
  <si>
    <t>ORD00778</t>
  </si>
  <si>
    <t>ORD00709</t>
  </si>
  <si>
    <t>ORD00830</t>
  </si>
  <si>
    <t xml:space="preserve"> CUSTOMER 37  </t>
  </si>
  <si>
    <t>ORD01297</t>
  </si>
  <si>
    <t>ORD00333</t>
  </si>
  <si>
    <t>C0077</t>
  </si>
  <si>
    <t>Customer 77</t>
  </si>
  <si>
    <t>ORD01810</t>
  </si>
  <si>
    <t>ORD00138</t>
  </si>
  <si>
    <t>ORD01568</t>
  </si>
  <si>
    <t>02-17-2025</t>
  </si>
  <si>
    <t>ORD01205</t>
  </si>
  <si>
    <t>ORD00040</t>
  </si>
  <si>
    <t>ORD00479</t>
  </si>
  <si>
    <t>ORD01049</t>
  </si>
  <si>
    <t>ORD01591</t>
  </si>
  <si>
    <t>04-16-2025</t>
  </si>
  <si>
    <t>ORD01172</t>
  </si>
  <si>
    <t>ORD00647</t>
  </si>
  <si>
    <t>ORD01929</t>
  </si>
  <si>
    <t>08-26-2024</t>
  </si>
  <si>
    <t>C0130</t>
  </si>
  <si>
    <t>Customer 130</t>
  </si>
  <si>
    <t>ORD00317</t>
  </si>
  <si>
    <t>ORD00898</t>
  </si>
  <si>
    <t>05-18-2025</t>
  </si>
  <si>
    <t>05-22-2025</t>
  </si>
  <si>
    <t>ORD00964</t>
  </si>
  <si>
    <t>ORD00590</t>
  </si>
  <si>
    <t>C0141</t>
  </si>
  <si>
    <t>Customer 141</t>
  </si>
  <si>
    <t>ORD00976</t>
  </si>
  <si>
    <t>ORD00746</t>
  </si>
  <si>
    <t>ORD01285</t>
  </si>
  <si>
    <t>01-16-2025</t>
  </si>
  <si>
    <t>ORD01715</t>
  </si>
  <si>
    <t>ORD01773</t>
  </si>
  <si>
    <t>ORD01413</t>
  </si>
  <si>
    <t>ORD01132</t>
  </si>
  <si>
    <t>ORD01443</t>
  </si>
  <si>
    <t>C0299</t>
  </si>
  <si>
    <t>Customer 299</t>
  </si>
  <si>
    <t>ORD00121</t>
  </si>
  <si>
    <t>C0182</t>
  </si>
  <si>
    <t>Customer 182</t>
  </si>
  <si>
    <t>ORD01601</t>
  </si>
  <si>
    <t>ORD01373</t>
  </si>
  <si>
    <t>06-17-2025</t>
  </si>
  <si>
    <t>ORD01707</t>
  </si>
  <si>
    <t>ORD00450</t>
  </si>
  <si>
    <t>ORD00671</t>
  </si>
  <si>
    <t>ORD00825</t>
  </si>
  <si>
    <t>ORD00008</t>
  </si>
  <si>
    <t>03-30-2024</t>
  </si>
  <si>
    <t>ORD01840</t>
  </si>
  <si>
    <t>ORD00251</t>
  </si>
  <si>
    <t>ORD01020</t>
  </si>
  <si>
    <t>ORD01307</t>
  </si>
  <si>
    <t>05-15-2025</t>
  </si>
  <si>
    <t>ORD00032</t>
  </si>
  <si>
    <t>ORD00160</t>
  </si>
  <si>
    <t>C0297</t>
  </si>
  <si>
    <t>Customer 297</t>
  </si>
  <si>
    <t>ORD01471</t>
  </si>
  <si>
    <t>ORD01070</t>
  </si>
  <si>
    <t xml:space="preserve"> CUSTOMER 54  </t>
  </si>
  <si>
    <t>ORD00304</t>
  </si>
  <si>
    <t>ORD00911</t>
  </si>
  <si>
    <t>ORD01858</t>
  </si>
  <si>
    <t>ORD01383</t>
  </si>
  <si>
    <t>ORD00833</t>
  </si>
  <si>
    <t>08-28-2024</t>
  </si>
  <si>
    <t>ORD00665</t>
  </si>
  <si>
    <t>07-30-2024</t>
  </si>
  <si>
    <t>ORD00103</t>
  </si>
  <si>
    <t xml:space="preserve"> CUSTOMER 255  </t>
  </si>
  <si>
    <t>ORD01240</t>
  </si>
  <si>
    <t>ORD00682</t>
  </si>
  <si>
    <t>ORD00015</t>
  </si>
  <si>
    <t>ORD01666</t>
  </si>
  <si>
    <t>ORD00920</t>
  </si>
  <si>
    <t>ORD00445</t>
  </si>
  <si>
    <t xml:space="preserve"> CUSTOMER 29  </t>
  </si>
  <si>
    <t>ORD01864</t>
  </si>
  <si>
    <t>ORD00190</t>
  </si>
  <si>
    <t>C0170</t>
  </si>
  <si>
    <t>Customer 170</t>
  </si>
  <si>
    <t>ORD00252</t>
  </si>
  <si>
    <t>ORD01238</t>
  </si>
  <si>
    <t>ORD00063</t>
  </si>
  <si>
    <t>11-15-2024</t>
  </si>
  <si>
    <t>ORD01700</t>
  </si>
  <si>
    <t>ORD00538</t>
  </si>
  <si>
    <t xml:space="preserve"> CUSTOMER 187  </t>
  </si>
  <si>
    <t>ORD01392</t>
  </si>
  <si>
    <t>ORD01727</t>
  </si>
  <si>
    <t>ORD00277</t>
  </si>
  <si>
    <t>02-20-2024</t>
  </si>
  <si>
    <t>ORD01595</t>
  </si>
  <si>
    <t>ORD00662</t>
  </si>
  <si>
    <t>ORD00854</t>
  </si>
  <si>
    <t>ORD01525</t>
  </si>
  <si>
    <t>ORD00136</t>
  </si>
  <si>
    <t>08-14-2024</t>
  </si>
  <si>
    <t>ORD00895</t>
  </si>
  <si>
    <t>ORD00185</t>
  </si>
  <si>
    <t>ORD00012</t>
  </si>
  <si>
    <t>ORD00301</t>
  </si>
  <si>
    <t>ORD00232</t>
  </si>
  <si>
    <t>ORD00673</t>
  </si>
  <si>
    <t>ORD00491</t>
  </si>
  <si>
    <t>C0079</t>
  </si>
  <si>
    <t>Customer 79</t>
  </si>
  <si>
    <t>ORD00846</t>
  </si>
  <si>
    <t>ORD00140</t>
  </si>
  <si>
    <t xml:space="preserve"> CUSTOMER 299  </t>
  </si>
  <si>
    <t>ORD01533</t>
  </si>
  <si>
    <t>ORD00030</t>
  </si>
  <si>
    <t>01-27-2024</t>
  </si>
  <si>
    <t>C0057</t>
  </si>
  <si>
    <t>Customer 57</t>
  </si>
  <si>
    <t>ORD00464</t>
  </si>
  <si>
    <t>ORD00440</t>
  </si>
  <si>
    <t>ORD00197</t>
  </si>
  <si>
    <t>Customer 106</t>
  </si>
  <si>
    <t>ORD00739</t>
  </si>
  <si>
    <t>ORD01467</t>
  </si>
  <si>
    <t>06-23-2024</t>
  </si>
  <si>
    <t>ORD00212</t>
  </si>
  <si>
    <t xml:space="preserve"> CUSTOMER 127  </t>
  </si>
  <si>
    <t>ORD00784</t>
  </si>
  <si>
    <t>ORD01270</t>
  </si>
  <si>
    <t>ORD00986</t>
  </si>
  <si>
    <t>ORD00897</t>
  </si>
  <si>
    <t>ORD01618</t>
  </si>
  <si>
    <t>ORD00737</t>
  </si>
  <si>
    <t>ORD00337</t>
  </si>
  <si>
    <t>ORD00835</t>
  </si>
  <si>
    <t>ORD01919</t>
  </si>
  <si>
    <t>07-13-2025</t>
  </si>
  <si>
    <t>ORD01921</t>
  </si>
  <si>
    <t>ORD00472</t>
  </si>
  <si>
    <t>ORD00111</t>
  </si>
  <si>
    <t>ORD00620</t>
  </si>
  <si>
    <t>ORD01626</t>
  </si>
  <si>
    <t>03-18-2024</t>
  </si>
  <si>
    <t>ORD01211</t>
  </si>
  <si>
    <t>ORD01978</t>
  </si>
  <si>
    <t>11-13-2025</t>
  </si>
  <si>
    <t>11-19-2025</t>
  </si>
  <si>
    <t>ORD01756</t>
  </si>
  <si>
    <t>ORD00783</t>
  </si>
  <si>
    <t>10-16-2025</t>
  </si>
  <si>
    <t>ORD01175</t>
  </si>
  <si>
    <t>11-17-2024</t>
  </si>
  <si>
    <t>ORD01488</t>
  </si>
  <si>
    <t>ORD01617</t>
  </si>
  <si>
    <t>ORD00594</t>
  </si>
  <si>
    <t>C0046</t>
  </si>
  <si>
    <t>Customer 46</t>
  </si>
  <si>
    <t>ORD01787</t>
  </si>
  <si>
    <t>ORD00314</t>
  </si>
  <si>
    <t>ORD01774</t>
  </si>
  <si>
    <t>ORD01354</t>
  </si>
  <si>
    <t>ORD00439</t>
  </si>
  <si>
    <t>01-21-2025</t>
  </si>
  <si>
    <t>ORD00602</t>
  </si>
  <si>
    <t>C0100</t>
  </si>
  <si>
    <t>Customer 100</t>
  </si>
  <si>
    <t>ORD00667</t>
  </si>
  <si>
    <t>ORD01166</t>
  </si>
  <si>
    <t>C0175</t>
  </si>
  <si>
    <t>Customer 175</t>
  </si>
  <si>
    <t>ORD01635</t>
  </si>
  <si>
    <t>ORD00346</t>
  </si>
  <si>
    <t>ORD01541</t>
  </si>
  <si>
    <t>ORD01918</t>
  </si>
  <si>
    <t>ORD01464</t>
  </si>
  <si>
    <t>ORD01710</t>
  </si>
  <si>
    <t>ORD01187</t>
  </si>
  <si>
    <t>ORD01843</t>
  </si>
  <si>
    <t>ORD00829</t>
  </si>
  <si>
    <t>ORD00618</t>
  </si>
  <si>
    <t>C0142</t>
  </si>
  <si>
    <t>Customer 142</t>
  </si>
  <si>
    <t>ORD00054</t>
  </si>
  <si>
    <t>ORD00223</t>
  </si>
  <si>
    <t>09-24-2025</t>
  </si>
  <si>
    <t>C0078</t>
  </si>
  <si>
    <t>Customer 78</t>
  </si>
  <si>
    <t>ORD01950</t>
  </si>
  <si>
    <t>ORD01336</t>
  </si>
  <si>
    <t>08-15-2025</t>
  </si>
  <si>
    <t>ORD00912</t>
  </si>
  <si>
    <t>ORD00240</t>
  </si>
  <si>
    <t>ORD01652</t>
  </si>
  <si>
    <t>ORD00258</t>
  </si>
  <si>
    <t>ORD00569</t>
  </si>
  <si>
    <t>ORD01504</t>
  </si>
  <si>
    <t>ORD01452</t>
  </si>
  <si>
    <t>ORD00101</t>
  </si>
  <si>
    <t>ORD00265</t>
  </si>
  <si>
    <t>ORD00367</t>
  </si>
  <si>
    <t>ORD00268</t>
  </si>
  <si>
    <t>ORD01677</t>
  </si>
  <si>
    <t>ORD00586</t>
  </si>
  <si>
    <t>ORD01980</t>
  </si>
  <si>
    <t>ORD00405</t>
  </si>
  <si>
    <t>ORD00556</t>
  </si>
  <si>
    <t>ORD00855</t>
  </si>
  <si>
    <t>ORD00125</t>
  </si>
  <si>
    <t>ORD00039</t>
  </si>
  <si>
    <t>ORD01532</t>
  </si>
  <si>
    <t>ORD01486</t>
  </si>
  <si>
    <t>12-25-2025</t>
  </si>
  <si>
    <t>ORD00921</t>
  </si>
  <si>
    <t>ORD00187</t>
  </si>
  <si>
    <t xml:space="preserve"> CUSTOMER 72  </t>
  </si>
  <si>
    <t>ORD00721</t>
  </si>
  <si>
    <t>ORD01440</t>
  </si>
  <si>
    <t>02-25-2025</t>
  </si>
  <si>
    <t>ORD00184</t>
  </si>
  <si>
    <t>C0103</t>
  </si>
  <si>
    <t>Customer 103</t>
  </si>
  <si>
    <t>ORD01058</t>
  </si>
  <si>
    <t>11-23-2024</t>
  </si>
  <si>
    <t>11-28-2024</t>
  </si>
  <si>
    <t xml:space="preserve"> CUSTOMER 223  </t>
  </si>
  <si>
    <t>ORD00885</t>
  </si>
  <si>
    <t>ORD00261</t>
  </si>
  <si>
    <t>ORD01854</t>
  </si>
  <si>
    <t>ORD00069</t>
  </si>
  <si>
    <t>ORD00572</t>
  </si>
  <si>
    <t>ORD01965</t>
  </si>
  <si>
    <t>ORD01736</t>
  </si>
  <si>
    <t>ORD00758</t>
  </si>
  <si>
    <t>ORD00718</t>
  </si>
  <si>
    <t>01-17-2025</t>
  </si>
  <si>
    <t>C0063</t>
  </si>
  <si>
    <t>Customer 63</t>
  </si>
  <si>
    <t>ORD00959</t>
  </si>
  <si>
    <t>ORD00072</t>
  </si>
  <si>
    <t>ORD01765</t>
  </si>
  <si>
    <t>ORD01928</t>
  </si>
  <si>
    <t>ORD00109</t>
  </si>
  <si>
    <t>10-20-2024</t>
  </si>
  <si>
    <t>ORD01811</t>
  </si>
  <si>
    <t>ORD00330</t>
  </si>
  <si>
    <t>ORD01717</t>
  </si>
  <si>
    <t>ORD01191</t>
  </si>
  <si>
    <t>02-16-2024</t>
  </si>
  <si>
    <t>02-19-2024</t>
  </si>
  <si>
    <t>ORD01317</t>
  </si>
  <si>
    <t>01-25-2024</t>
  </si>
  <si>
    <t>ORD01506</t>
  </si>
  <si>
    <t>ORD01290</t>
  </si>
  <si>
    <t>ORD01548</t>
  </si>
  <si>
    <t>ORD00948</t>
  </si>
  <si>
    <t xml:space="preserve"> CUSTOMER 61  </t>
  </si>
  <si>
    <t>ORD00494</t>
  </si>
  <si>
    <t>ORD00157</t>
  </si>
  <si>
    <t>ORD00127</t>
  </si>
  <si>
    <t>ORD00777</t>
  </si>
  <si>
    <t>ORD01269</t>
  </si>
  <si>
    <t>ORD00601</t>
  </si>
  <si>
    <t>ORD01022</t>
  </si>
  <si>
    <t>ORD01809</t>
  </si>
  <si>
    <t>ORD00241</t>
  </si>
  <si>
    <t>ORD00847</t>
  </si>
  <si>
    <t>ORD00350</t>
  </si>
  <si>
    <t>06-13-2024</t>
  </si>
  <si>
    <t>ORD01059</t>
  </si>
  <si>
    <t>ORD01641</t>
  </si>
  <si>
    <t>ORD00341</t>
  </si>
  <si>
    <t>C0101</t>
  </si>
  <si>
    <t>Customer 101</t>
  </si>
  <si>
    <t>ORD01050</t>
  </si>
  <si>
    <t>07-21-2024</t>
  </si>
  <si>
    <t>ORD00529</t>
  </si>
  <si>
    <t>05-15-2024</t>
  </si>
  <si>
    <t>ORD01063</t>
  </si>
  <si>
    <t>ORD00303</t>
  </si>
  <si>
    <t>ORD01064</t>
  </si>
  <si>
    <t>ORD00366</t>
  </si>
  <si>
    <t>ORD01640</t>
  </si>
  <si>
    <t>ORD00168</t>
  </si>
  <si>
    <t>ORD01420</t>
  </si>
  <si>
    <t>ORD00488</t>
  </si>
  <si>
    <t>05-16-2025</t>
  </si>
  <si>
    <t>ORD01188</t>
  </si>
  <si>
    <t>ORD01804</t>
  </si>
  <si>
    <t>10-14-2025</t>
  </si>
  <si>
    <t>ORD00617</t>
  </si>
  <si>
    <t>04-13-2025</t>
  </si>
  <si>
    <t>ORD01247</t>
  </si>
  <si>
    <t>ORD00318</t>
  </si>
  <si>
    <t>ORD00047</t>
  </si>
  <si>
    <t>ORD01042</t>
  </si>
  <si>
    <t>ORD00038</t>
  </si>
  <si>
    <t>ORD01009</t>
  </si>
  <si>
    <t>ORD00275</t>
  </si>
  <si>
    <t>ORD01023</t>
  </si>
  <si>
    <t>ORD00540</t>
  </si>
  <si>
    <t>ORD00629</t>
  </si>
  <si>
    <t>11-30-2024</t>
  </si>
  <si>
    <t>ORD01201</t>
  </si>
  <si>
    <t>ORD00862</t>
  </si>
  <si>
    <t>12-13-2024</t>
  </si>
  <si>
    <t>C0247</t>
  </si>
  <si>
    <t>Customer 247</t>
  </si>
  <si>
    <t>ORD00248</t>
  </si>
  <si>
    <t>C0239</t>
  </si>
  <si>
    <t>Customer 239</t>
  </si>
  <si>
    <t>ORD00850</t>
  </si>
  <si>
    <t>ORD01410</t>
  </si>
  <si>
    <t>C0043</t>
  </si>
  <si>
    <t>Customer 43</t>
  </si>
  <si>
    <t>ORD01780</t>
  </si>
  <si>
    <t>ORD00200</t>
  </si>
  <si>
    <t>ORD01589</t>
  </si>
  <si>
    <t>ORD01526</t>
  </si>
  <si>
    <t>ORD01596</t>
  </si>
  <si>
    <t>ORD01945</t>
  </si>
  <si>
    <t>ORD01518</t>
  </si>
  <si>
    <t>ORD01941</t>
  </si>
  <si>
    <t>footwear</t>
  </si>
  <si>
    <t>ORD01932</t>
  </si>
  <si>
    <t>ORD01913</t>
  </si>
  <si>
    <t>08-25-2025</t>
  </si>
  <si>
    <t>ORD00815</t>
  </si>
  <si>
    <t>C0205</t>
  </si>
  <si>
    <t>Customer 205</t>
  </si>
  <si>
    <t>ORD00526</t>
  </si>
  <si>
    <t>ORD01066</t>
  </si>
  <si>
    <t>ORD00506</t>
  </si>
  <si>
    <t>ORD01254</t>
  </si>
  <si>
    <t>ORD01123</t>
  </si>
  <si>
    <t>ORD00512</t>
  </si>
  <si>
    <t>ORD01429</t>
  </si>
  <si>
    <t>ORD00844</t>
  </si>
  <si>
    <t>ORD00659</t>
  </si>
  <si>
    <t>03-27-2025</t>
  </si>
  <si>
    <t>ORD01104</t>
  </si>
  <si>
    <t>ORD01289</t>
  </si>
  <si>
    <t>ORD01630</t>
  </si>
  <si>
    <t>03-17-2025</t>
  </si>
  <si>
    <t>ORD00715</t>
  </si>
  <si>
    <t>ORD01867</t>
  </si>
  <si>
    <t>02-25-2024</t>
  </si>
  <si>
    <t>ORD00544</t>
  </si>
  <si>
    <t>07-22-2025</t>
  </si>
  <si>
    <t>ORD01770</t>
  </si>
  <si>
    <t>ORD01910</t>
  </si>
  <si>
    <t>ORD01779</t>
  </si>
  <si>
    <t>ORD01735</t>
  </si>
  <si>
    <t>ORD01487</t>
  </si>
  <si>
    <t>ORD00605</t>
  </si>
  <si>
    <t>ORD00728</t>
  </si>
  <si>
    <t>ORD00707</t>
  </si>
  <si>
    <t>01-27-2025</t>
  </si>
  <si>
    <t>01-29-2025</t>
  </si>
  <si>
    <t>ORD00874</t>
  </si>
  <si>
    <t>ORD01706</t>
  </si>
  <si>
    <t>ORD01381</t>
  </si>
  <si>
    <t>ORD00860</t>
  </si>
  <si>
    <t>ORD00588</t>
  </si>
  <si>
    <t>ORD00091</t>
  </si>
  <si>
    <t>ORD00073</t>
  </si>
  <si>
    <t>ORD00520</t>
  </si>
  <si>
    <t>ORD01398</t>
  </si>
  <si>
    <t>07-13-2024</t>
  </si>
  <si>
    <t>ORD01960</t>
  </si>
  <si>
    <t>ORD01887</t>
  </si>
  <si>
    <t>ORD00421</t>
  </si>
  <si>
    <t>ORD01482</t>
  </si>
  <si>
    <t>C0275</t>
  </si>
  <si>
    <t>Customer 275</t>
  </si>
  <si>
    <t>ORD00313</t>
  </si>
  <si>
    <t>ORD00612</t>
  </si>
  <si>
    <t>02-26-2024</t>
  </si>
  <si>
    <t>ORD00429</t>
  </si>
  <si>
    <t>ORD00106</t>
  </si>
  <si>
    <t>ORD01056</t>
  </si>
  <si>
    <t>ORD00772</t>
  </si>
  <si>
    <t>ORD00888</t>
  </si>
  <si>
    <t>ORD01100</t>
  </si>
  <si>
    <t>ORD00183</t>
  </si>
  <si>
    <t>ORD01984</t>
  </si>
  <si>
    <t>ORD00961</t>
  </si>
  <si>
    <t>ORD01079</t>
  </si>
  <si>
    <t>ORD01131</t>
  </si>
  <si>
    <t>ORD01516</t>
  </si>
  <si>
    <t>ORD00473</t>
  </si>
  <si>
    <t>06-20-2025</t>
  </si>
  <si>
    <t>ORD01720</t>
  </si>
  <si>
    <t>ORD00173</t>
  </si>
  <si>
    <t>ORD01658</t>
  </si>
  <si>
    <t>10-15-2024</t>
  </si>
  <si>
    <t>ORD00849</t>
  </si>
  <si>
    <t>09-17-2024</t>
  </si>
  <si>
    <t>ORD01161</t>
  </si>
  <si>
    <t>07-16-2025</t>
  </si>
  <si>
    <t>ORD00418</t>
  </si>
  <si>
    <t>ORD01008</t>
  </si>
  <si>
    <t>ORD00250</t>
  </si>
  <si>
    <t>ORD00883</t>
  </si>
  <si>
    <t>ORD00417</t>
  </si>
  <si>
    <t>08-15-2024</t>
  </si>
  <si>
    <t>FURNITURE</t>
  </si>
  <si>
    <t>ORD01302</t>
  </si>
  <si>
    <t>ORD01681</t>
  </si>
  <si>
    <t>ORD00946</t>
  </si>
  <si>
    <t>12-30-2024</t>
  </si>
  <si>
    <t>ORD00702</t>
  </si>
  <si>
    <t>ORD01108</t>
  </si>
  <si>
    <t>ORD01655</t>
  </si>
  <si>
    <t>09-19-2024</t>
  </si>
  <si>
    <t>ORD00217</t>
  </si>
  <si>
    <t>ORD01808</t>
  </si>
  <si>
    <t>ORD01337</t>
  </si>
  <si>
    <t>ORD01314</t>
  </si>
  <si>
    <t>ORD01567</t>
  </si>
  <si>
    <t>ORD00913</t>
  </si>
  <si>
    <t>ORD01304</t>
  </si>
  <si>
    <t>ORD01356</t>
  </si>
  <si>
    <t>ORD00548</t>
  </si>
  <si>
    <t>ORD01253</t>
  </si>
  <si>
    <t>ORD00567</t>
  </si>
  <si>
    <t>ORD01241</t>
  </si>
  <si>
    <t>ORD00756</t>
  </si>
  <si>
    <t>ORD01350</t>
  </si>
  <si>
    <t>ORD00365</t>
  </si>
  <si>
    <t>ORD00428</t>
  </si>
  <si>
    <t>ORD01115</t>
  </si>
  <si>
    <t>C0143</t>
  </si>
  <si>
    <t>Customer 143</t>
  </si>
  <si>
    <t>ORD00974</t>
  </si>
  <si>
    <t>06-29-2024</t>
  </si>
  <si>
    <t>ORD01076</t>
  </si>
  <si>
    <t>03-13-2025</t>
  </si>
  <si>
    <t>ORD01616</t>
  </si>
  <si>
    <t>ORD01604</t>
  </si>
  <si>
    <t>ORD01251</t>
  </si>
  <si>
    <t>ORD00998</t>
  </si>
  <si>
    <t xml:space="preserve"> CUSTOMER 293  </t>
  </si>
  <si>
    <t>ORD01178</t>
  </si>
  <si>
    <t>ORD01835</t>
  </si>
  <si>
    <t>ORD00139</t>
  </si>
  <si>
    <t>ORD01684</t>
  </si>
  <si>
    <t>ORD01909</t>
  </si>
  <si>
    <t>ORD01140</t>
  </si>
  <si>
    <t>04-16-2024</t>
  </si>
  <si>
    <t>ORD00324</t>
  </si>
  <si>
    <t>ORD01445</t>
  </si>
  <si>
    <t>C0059</t>
  </si>
  <si>
    <t>Customer 59</t>
  </si>
  <si>
    <t>ORD01566</t>
  </si>
  <si>
    <t>ORD00640</t>
  </si>
  <si>
    <t>ORD00460</t>
  </si>
  <si>
    <t>ORD00630</t>
  </si>
  <si>
    <t>ORD01654</t>
  </si>
  <si>
    <t>ORD01534</t>
  </si>
  <si>
    <t>ORD01598</t>
  </si>
  <si>
    <t>ORD00489</t>
  </si>
  <si>
    <t>ORD01744</t>
  </si>
  <si>
    <t>C0282</t>
  </si>
  <si>
    <t>Customer 282</t>
  </si>
  <si>
    <t>ORD01069</t>
  </si>
  <si>
    <t>C0040</t>
  </si>
  <si>
    <t>Customer 40</t>
  </si>
  <si>
    <t>ORD00259</t>
  </si>
  <si>
    <t>ORD00672</t>
  </si>
  <si>
    <t>10-30-2025</t>
  </si>
  <si>
    <t>ORD00534</t>
  </si>
  <si>
    <t>ORD01790</t>
  </si>
  <si>
    <t>ORD00857</t>
  </si>
  <si>
    <t>ORD01129</t>
  </si>
  <si>
    <t>ORD00747</t>
  </si>
  <si>
    <t>ORD01173</t>
  </si>
  <si>
    <t>ORD00539</t>
  </si>
  <si>
    <t>ORD01795</t>
  </si>
  <si>
    <t>ORD01193</t>
  </si>
  <si>
    <t>ORD00343</t>
  </si>
  <si>
    <t>ORD01281</t>
  </si>
  <si>
    <t>ORD00848</t>
  </si>
  <si>
    <t>ORD01836</t>
  </si>
  <si>
    <t>ORD00055</t>
  </si>
  <si>
    <t>ORD00668</t>
  </si>
  <si>
    <t>ORD00411</t>
  </si>
  <si>
    <t>ORD00792</t>
  </si>
  <si>
    <t>ORD01406</t>
  </si>
  <si>
    <t>ORD01500</t>
  </si>
  <si>
    <t>08-13-2024</t>
  </si>
  <si>
    <t>ORD01507</t>
  </si>
  <si>
    <t>ORD00117</t>
  </si>
  <si>
    <t>08-21-2024</t>
  </si>
  <si>
    <t>ORD00550</t>
  </si>
  <si>
    <t>ORD01844</t>
  </si>
  <si>
    <t>ORD00021</t>
  </si>
  <si>
    <t>ORD01421</t>
  </si>
  <si>
    <t>ORD01134</t>
  </si>
  <si>
    <t>ORD00128</t>
  </si>
  <si>
    <t>ORD01229</t>
  </si>
  <si>
    <t>ORD01458</t>
  </si>
  <si>
    <t>ORD01120</t>
  </si>
  <si>
    <t>ORD01791</t>
  </si>
  <si>
    <t>ORD01629</t>
  </si>
  <si>
    <t>ORD00463</t>
  </si>
  <si>
    <t>ORD00557</t>
  </si>
  <si>
    <t xml:space="preserve"> CUSTOMER 277  </t>
  </si>
  <si>
    <t>ORD01638</t>
  </si>
  <si>
    <t>ORD01243</t>
  </si>
  <si>
    <t>ORD00593</t>
  </si>
  <si>
    <t>ORD01888</t>
  </si>
  <si>
    <t>ORD00703</t>
  </si>
  <si>
    <t>11-25-2025</t>
  </si>
  <si>
    <t>ORD00960</t>
  </si>
  <si>
    <t>ORD01895</t>
  </si>
  <si>
    <t>ORD00387</t>
  </si>
  <si>
    <t>ORD01182</t>
  </si>
  <si>
    <t>ORD01220</t>
  </si>
  <si>
    <t>ORD01475</t>
  </si>
  <si>
    <t>ORD01044</t>
  </si>
  <si>
    <t>ORD01621</t>
  </si>
  <si>
    <t>ORD01396</t>
  </si>
  <si>
    <t>ORD01933</t>
  </si>
  <si>
    <t>ORD01344</t>
  </si>
  <si>
    <t>ORD00338</t>
  </si>
  <si>
    <t>ORD00786</t>
  </si>
  <si>
    <t>C0024</t>
  </si>
  <si>
    <t>Customer 24</t>
  </si>
  <si>
    <t>ORD00119</t>
  </si>
  <si>
    <t>04-27-2025</t>
  </si>
  <si>
    <t>ORD01876</t>
  </si>
  <si>
    <t>ORD00344</t>
  </si>
  <si>
    <t>08-22-2025</t>
  </si>
  <si>
    <t>ORD00233</t>
  </si>
  <si>
    <t>ORD01375</t>
  </si>
  <si>
    <t>ORD01834</t>
  </si>
  <si>
    <t>ORD01789</t>
  </si>
  <si>
    <t>ORD01539</t>
  </si>
  <si>
    <t>ORD01060</t>
  </si>
  <si>
    <t>ORD01105</t>
  </si>
  <si>
    <t>08-16-2024</t>
  </si>
  <si>
    <t>C0254</t>
  </si>
  <si>
    <t>Customer 254</t>
  </si>
  <si>
    <t>ORD01403</t>
  </si>
  <si>
    <t>ORD00997</t>
  </si>
  <si>
    <t>ORD01622</t>
  </si>
  <si>
    <t>ORD00570</t>
  </si>
  <si>
    <t>ORD00058</t>
  </si>
  <si>
    <t>ORD00007</t>
  </si>
  <si>
    <t>ORD00474</t>
  </si>
  <si>
    <t>ORD01669</t>
  </si>
  <si>
    <t>ORD01145</t>
  </si>
  <si>
    <t>12-22-2024</t>
  </si>
  <si>
    <t xml:space="preserve"> CUSTOMER 17  </t>
  </si>
  <si>
    <t>ORD00045</t>
  </si>
  <si>
    <t>ORD00990</t>
  </si>
  <si>
    <t>ORD01174</t>
  </si>
  <si>
    <t>ORD01934</t>
  </si>
  <si>
    <t>03-20-2025</t>
  </si>
  <si>
    <t>ORD01262</t>
  </si>
  <si>
    <t>Customer 152</t>
  </si>
  <si>
    <t>ORD01668</t>
  </si>
  <si>
    <t>02-21-2025</t>
  </si>
  <si>
    <t>ORD00796</t>
  </si>
  <si>
    <t>ORD01461</t>
  </si>
  <si>
    <t>ORD01287</t>
  </si>
  <si>
    <t>ORD00982</t>
  </si>
  <si>
    <t>ORD01992</t>
  </si>
  <si>
    <t>ORD01466</t>
  </si>
  <si>
    <t>ORD01200</t>
  </si>
  <si>
    <t>07-28-2025</t>
  </si>
  <si>
    <t>ORD01648</t>
  </si>
  <si>
    <t>ORD01244</t>
  </si>
  <si>
    <t>ORD00231</t>
  </si>
  <si>
    <t>ORD01556</t>
  </si>
  <si>
    <t>ORD01048</t>
  </si>
  <si>
    <t>ORD00606</t>
  </si>
  <si>
    <t>ORD00381</t>
  </si>
  <si>
    <t>ORD01453</t>
  </si>
  <si>
    <t>ORD00210</t>
  </si>
  <si>
    <t>ORD00357</t>
  </si>
  <si>
    <t>ORD00611</t>
  </si>
  <si>
    <t>Customer 272</t>
  </si>
  <si>
    <t>ORD00199</t>
  </si>
  <si>
    <t>ORD01675</t>
  </si>
  <si>
    <t>ORD00937</t>
  </si>
  <si>
    <t>ORD01217</t>
  </si>
  <si>
    <t>ORD00227</t>
  </si>
  <si>
    <t>ORD01870</t>
  </si>
  <si>
    <t>ORD01926</t>
  </si>
  <si>
    <t>ORD01644</t>
  </si>
  <si>
    <t>ORD00420</t>
  </si>
  <si>
    <t>ORD01228</t>
  </si>
  <si>
    <t>ORD01098</t>
  </si>
  <si>
    <t>ORD00361</t>
  </si>
  <si>
    <t>ORD00781</t>
  </si>
  <si>
    <t>ORD01730</t>
  </si>
  <si>
    <t>ORD00609</t>
  </si>
  <si>
    <t>ORD00619</t>
  </si>
  <si>
    <t>12-21-2024</t>
  </si>
  <si>
    <t>ORD01232</t>
  </si>
  <si>
    <t>ORD01177</t>
  </si>
  <si>
    <t>ORD00592</t>
  </si>
  <si>
    <t>ORD00446</t>
  </si>
  <si>
    <t>03-29-2025</t>
  </si>
  <si>
    <t>ORD00340</t>
  </si>
  <si>
    <t>06-24-2024</t>
  </si>
  <si>
    <t>ORD00096</t>
  </si>
  <si>
    <t>ORD00587</t>
  </si>
  <si>
    <t>ORD00979</t>
  </si>
  <si>
    <t>ORD01659</t>
  </si>
  <si>
    <t>ORD01767</t>
  </si>
  <si>
    <t>ORD01202</t>
  </si>
  <si>
    <t>ORD01144</t>
  </si>
  <si>
    <t>ORD00425</t>
  </si>
  <si>
    <t>ORD01258</t>
  </si>
  <si>
    <t>ORD01374</t>
  </si>
  <si>
    <t>04-30-2024</t>
  </si>
  <si>
    <t>ORD01340</t>
  </si>
  <si>
    <t>C0166</t>
  </si>
  <si>
    <t>Customer 166</t>
  </si>
  <si>
    <t>ORD01900</t>
  </si>
  <si>
    <t>ORD01709</t>
  </si>
  <si>
    <t>ORD01404</t>
  </si>
  <si>
    <t>ORD00782</t>
  </si>
  <si>
    <t xml:space="preserve"> CUSTOMER 10  </t>
  </si>
  <si>
    <t>ORD01793</t>
  </si>
  <si>
    <t>ORD00276</t>
  </si>
  <si>
    <t>07-18-2024</t>
  </si>
  <si>
    <t>ORD00219</t>
  </si>
  <si>
    <t xml:space="preserve"> CUSTOMER 120  </t>
  </si>
  <si>
    <t>ORD01379</t>
  </si>
  <si>
    <t>ORD01574</t>
  </si>
  <si>
    <t>10-27-2024</t>
  </si>
  <si>
    <t>ORD01425</t>
  </si>
  <si>
    <t>02-27-2024</t>
  </si>
  <si>
    <t>ORD01450</t>
  </si>
  <si>
    <t>ORD01966</t>
  </si>
  <si>
    <t>ORD01185</t>
  </si>
  <si>
    <t>ORD01025</t>
  </si>
  <si>
    <t>ORD01027</t>
  </si>
  <si>
    <t>ORD00239</t>
  </si>
  <si>
    <t>ORD00914</t>
  </si>
  <si>
    <t>ORD00900</t>
  </si>
  <si>
    <t>ORD01922</t>
  </si>
  <si>
    <t>ORD01537</t>
  </si>
  <si>
    <t>ORD01382</t>
  </si>
  <si>
    <t>ORD00877</t>
  </si>
  <si>
    <t>ORD00929</t>
  </si>
  <si>
    <t>ORD01469</t>
  </si>
  <si>
    <t>ORD00236</t>
  </si>
  <si>
    <t>ORD00798</t>
  </si>
  <si>
    <t>02-28-2025</t>
  </si>
  <si>
    <t>ORD00694</t>
  </si>
  <si>
    <t>06-20-2024</t>
  </si>
  <si>
    <t>ORD01725</t>
  </si>
  <si>
    <t>C0220</t>
  </si>
  <si>
    <t>Customer 220</t>
  </si>
  <si>
    <t>ORD01594</t>
  </si>
  <si>
    <t>ORD00968</t>
  </si>
  <si>
    <t>ORD00861</t>
  </si>
  <si>
    <t>ORD01509</t>
  </si>
  <si>
    <t>ORD01496</t>
  </si>
  <si>
    <t>ORD01197</t>
  </si>
  <si>
    <t>ORD01802</t>
  </si>
  <si>
    <t>ORD01551</t>
  </si>
  <si>
    <t>ORD01497</t>
  </si>
  <si>
    <t>ORD01357</t>
  </si>
  <si>
    <t>12-24-2024</t>
  </si>
  <si>
    <t>ORD01163</t>
  </si>
  <si>
    <t>04-28-2024</t>
  </si>
  <si>
    <t>ORD00761</t>
  </si>
  <si>
    <t>ORD01084</t>
  </si>
  <si>
    <t>10-24-2024</t>
  </si>
  <si>
    <t>10-26-2024</t>
  </si>
  <si>
    <t>ORD00014</t>
  </si>
  <si>
    <t>07-26-2024</t>
  </si>
  <si>
    <t>ORD00940</t>
  </si>
  <si>
    <t>ORD01985</t>
  </si>
  <si>
    <t>ORD00370</t>
  </si>
  <si>
    <t>C0294</t>
  </si>
  <si>
    <t>Customer 294</t>
  </si>
  <si>
    <t>ORD00214</t>
  </si>
  <si>
    <t>ORD01862</t>
  </si>
  <si>
    <t>09-14-2025</t>
  </si>
  <si>
    <t>ORD01859</t>
  </si>
  <si>
    <t>ORD00057</t>
  </si>
  <si>
    <t>ORD01987</t>
  </si>
  <si>
    <t>ORD01645</t>
  </si>
  <si>
    <t>ORD00551</t>
  </si>
  <si>
    <t>ORD01651</t>
  </si>
  <si>
    <t>ORD01907</t>
  </si>
  <si>
    <t>ORD01351</t>
  </si>
  <si>
    <t>ORD00936</t>
  </si>
  <si>
    <t>05-19-2025</t>
  </si>
  <si>
    <t>ORD01184</t>
  </si>
  <si>
    <t>ORD01470</t>
  </si>
  <si>
    <t>ORD00104</t>
  </si>
  <si>
    <t>ORD01550</t>
  </si>
  <si>
    <t>ORD00527</t>
  </si>
  <si>
    <t>ORD01274</t>
  </si>
  <si>
    <t>ORD00266</t>
  </si>
  <si>
    <t>ORD01695</t>
  </si>
  <si>
    <t>ORD01564</t>
  </si>
  <si>
    <t>ORD00088</t>
  </si>
  <si>
    <t>ORD01376</t>
  </si>
  <si>
    <t>ORD00378</t>
  </si>
  <si>
    <t>ORD00988</t>
  </si>
  <si>
    <t>ORD01851</t>
  </si>
  <si>
    <t>ORD00996</t>
  </si>
  <si>
    <t>ORD00628</t>
  </si>
  <si>
    <t>ORD01046</t>
  </si>
  <si>
    <t>ORD00955</t>
  </si>
  <si>
    <t>10-17-2025</t>
  </si>
  <si>
    <t>ORD00026</t>
  </si>
  <si>
    <t>ORD01703</t>
  </si>
  <si>
    <t>ORD00503</t>
  </si>
  <si>
    <t>ORD01995</t>
  </si>
  <si>
    <t>ORD00177</t>
  </si>
  <si>
    <t>ORD01158</t>
  </si>
  <si>
    <t>ORD01101</t>
  </si>
  <si>
    <t>ORD01360</t>
  </si>
  <si>
    <t>ORD00019</t>
  </si>
  <si>
    <t>ORD00851</t>
  </si>
  <si>
    <t>04-20-2025</t>
  </si>
  <si>
    <t>ORD00456</t>
  </si>
  <si>
    <t>ORD00842</t>
  </si>
  <si>
    <t>ORD00249</t>
  </si>
  <si>
    <t>ORD01072</t>
  </si>
  <si>
    <t>ORD00793</t>
  </si>
  <si>
    <t>ORD00158</t>
  </si>
  <si>
    <t>ORD01762</t>
  </si>
  <si>
    <t>ORD01865</t>
  </si>
  <si>
    <t>ORD01473</t>
  </si>
  <si>
    <t>ORD01447</t>
  </si>
  <si>
    <t>ORD01982</t>
  </si>
  <si>
    <t>ORD01588</t>
  </si>
  <si>
    <t>ORD01937</t>
  </si>
  <si>
    <t>05-21-2024</t>
  </si>
  <si>
    <t>ORD01679</t>
  </si>
  <si>
    <t>ORD01633</t>
  </si>
  <si>
    <t>ORD01423</t>
  </si>
  <si>
    <t>ORD01998</t>
  </si>
  <si>
    <t>ORD00006</t>
  </si>
  <si>
    <t>ORD00305</t>
  </si>
  <si>
    <t>ORD01436</t>
  </si>
  <si>
    <t>ORD00636</t>
  </si>
  <si>
    <t>05-17-2025</t>
  </si>
  <si>
    <t xml:space="preserve"> CUSTOMER 149  </t>
  </si>
  <si>
    <t>ORD01118</t>
  </si>
  <si>
    <t>ORD01214</t>
  </si>
  <si>
    <t>ORD00124</t>
  </si>
  <si>
    <t>ORD00769</t>
  </si>
  <si>
    <t>ORD00576</t>
  </si>
  <si>
    <t>C0018</t>
  </si>
  <si>
    <t>Customer 18</t>
  </si>
  <si>
    <t>ORD01971</t>
  </si>
  <si>
    <t xml:space="preserve"> CUSTOMER 281  </t>
  </si>
  <si>
    <t>ORD01536</t>
  </si>
  <si>
    <t>ORD00643</t>
  </si>
  <si>
    <t>ORD00100</t>
  </si>
  <si>
    <t>ORD00147</t>
  </si>
  <si>
    <t>ORD01761</t>
  </si>
  <si>
    <t>ORD00915</t>
  </si>
  <si>
    <t>ORD00271</t>
  </si>
  <si>
    <t>ORD01126</t>
  </si>
  <si>
    <t>ORD00499</t>
  </si>
  <si>
    <t>ORD01495</t>
  </si>
  <si>
    <t>ORD00092</t>
  </si>
  <si>
    <t>ORD00198</t>
  </si>
  <si>
    <t>ORD01035</t>
  </si>
  <si>
    <t>ORD01110</t>
  </si>
  <si>
    <t>ORD01474</t>
  </si>
  <si>
    <t>ORD00492</t>
  </si>
  <si>
    <t>ORD00300</t>
  </si>
  <si>
    <t>ORD01699</t>
  </si>
  <si>
    <t>ORD00141</t>
  </si>
  <si>
    <t>ORD01378</t>
  </si>
  <si>
    <t>ORD00713</t>
  </si>
  <si>
    <t>ORD00941</t>
  </si>
  <si>
    <t>ORD00288</t>
  </si>
  <si>
    <t>ORD00560</t>
  </si>
  <si>
    <t>ORD00422</t>
  </si>
  <si>
    <t>ORD00558</t>
  </si>
  <si>
    <t>ORD00098</t>
  </si>
  <si>
    <t>ORD01372</t>
  </si>
  <si>
    <t>03-28-2025</t>
  </si>
  <si>
    <t>ORD00097</t>
  </si>
  <si>
    <t>ORD01970</t>
  </si>
  <si>
    <t>ORD00927</t>
  </si>
  <si>
    <t>ORD00819</t>
  </si>
  <si>
    <t>ORD01031</t>
  </si>
  <si>
    <t>ORD00648</t>
  </si>
  <si>
    <t>ORD01837</t>
  </si>
  <si>
    <t>ORD00349</t>
  </si>
  <si>
    <t>ORD00114</t>
  </si>
  <si>
    <t>06-18-2025</t>
  </si>
  <si>
    <t>ORD01277</t>
  </si>
  <si>
    <t>ORD00635</t>
  </si>
  <si>
    <t>ORD00437</t>
  </si>
  <si>
    <t>ORD00071</t>
  </si>
  <si>
    <t>ORD01768</t>
  </si>
  <si>
    <t>06-27-2024</t>
  </si>
  <si>
    <t>ORD01137</t>
  </si>
  <si>
    <t>ORD01939</t>
  </si>
  <si>
    <t>ORD01148</t>
  </si>
  <si>
    <t>01-18-2024</t>
  </si>
  <si>
    <t>ORD01639</t>
  </si>
  <si>
    <t>ORD01067</t>
  </si>
  <si>
    <t>ORD00773</t>
  </si>
  <si>
    <t>ORD00269</t>
  </si>
  <si>
    <t>ORD00013</t>
  </si>
  <si>
    <t>11-29-2025</t>
  </si>
  <si>
    <t>ORD00364</t>
  </si>
  <si>
    <t>ORD00022</t>
  </si>
  <si>
    <t>ORD01511</t>
  </si>
  <si>
    <t>ORD01455</t>
  </si>
  <si>
    <t>ORD00562</t>
  </si>
  <si>
    <t>ORD01708</t>
  </si>
  <si>
    <t xml:space="preserve"> CUSTOMER 151  </t>
  </si>
  <si>
    <t>ORD00116</t>
  </si>
  <si>
    <t>ORD00403</t>
  </si>
  <si>
    <t>ORD00765</t>
  </si>
  <si>
    <t>ORD01490</t>
  </si>
  <si>
    <t>02-26-2025</t>
  </si>
  <si>
    <t>ORD01786</t>
  </si>
  <si>
    <t>ORD01219</t>
  </si>
  <si>
    <t>ORD00710</t>
  </si>
  <si>
    <t>ORD00599</t>
  </si>
  <si>
    <t>ORD01754</t>
  </si>
  <si>
    <t>ORD00003</t>
  </si>
  <si>
    <t>ORD00999</t>
  </si>
  <si>
    <t>ORD01751</t>
  </si>
  <si>
    <t>ORD01444</t>
  </si>
  <si>
    <t>ORD01157</t>
  </si>
  <si>
    <t>ORD00281</t>
  </si>
  <si>
    <t>ORD00736</t>
  </si>
  <si>
    <t>ORD00056</t>
  </si>
  <si>
    <t>ORD01855</t>
  </si>
  <si>
    <t>ORD00992</t>
  </si>
  <si>
    <t>ORD00892</t>
  </si>
  <si>
    <t>ORD01523</t>
  </si>
  <si>
    <t>ORD00447</t>
  </si>
  <si>
    <t>ORD00907</t>
  </si>
  <si>
    <t>ORD00660</t>
  </si>
  <si>
    <t>ORD00155</t>
  </si>
  <si>
    <t>ORD01738</t>
  </si>
  <si>
    <t>ORD01942</t>
  </si>
  <si>
    <t>04-25-2025</t>
  </si>
  <si>
    <t>04-29-2025</t>
  </si>
  <si>
    <t>ORD01370</t>
  </si>
  <si>
    <t>ORD01127</t>
  </si>
  <si>
    <t>ORD01216</t>
  </si>
  <si>
    <t>ORD00201</t>
  </si>
  <si>
    <t>ORD00321</t>
  </si>
  <si>
    <t>ORD00319</t>
  </si>
  <si>
    <t>ORD01422</t>
  </si>
  <si>
    <t xml:space="preserve"> CUSTOMER 58  </t>
  </si>
  <si>
    <t>ORD01683</t>
  </si>
  <si>
    <t>ORD01002</t>
  </si>
  <si>
    <t>ORD00110</t>
  </si>
  <si>
    <t>ORD00171</t>
  </si>
  <si>
    <t>ORD01259</t>
  </si>
  <si>
    <t>ORD01818</t>
  </si>
  <si>
    <t>ORD00876</t>
  </si>
  <si>
    <t>ORD01535</t>
  </si>
  <si>
    <t>C0224</t>
  </si>
  <si>
    <t>Customer 224</t>
  </si>
  <si>
    <t>ORD01997</t>
  </si>
  <si>
    <t>ORD00438</t>
  </si>
  <si>
    <t>ORD00926</t>
  </si>
  <si>
    <t>01-19-2025</t>
  </si>
  <si>
    <t>ORD00132</t>
  </si>
  <si>
    <t>ORD00696</t>
  </si>
  <si>
    <t>ORD00799</t>
  </si>
  <si>
    <t>ORD00260</t>
  </si>
  <si>
    <t>ORD01781</t>
  </si>
  <si>
    <t>ORD01879</t>
  </si>
  <si>
    <t>ORD00235</t>
  </si>
  <si>
    <t>ORD01489</t>
  </si>
  <si>
    <t>03-14-2024</t>
  </si>
  <si>
    <t>ORD00302</t>
  </si>
  <si>
    <t>ORD01726</t>
  </si>
  <si>
    <t>ORD01775</t>
  </si>
  <si>
    <t>ORD00657</t>
  </si>
  <si>
    <t>ORD01371</t>
  </si>
  <si>
    <t>ORD01829</t>
  </si>
  <si>
    <t>ORD01778</t>
  </si>
  <si>
    <t>ORD01759</t>
  </si>
  <si>
    <t>ORD00991</t>
  </si>
  <si>
    <t xml:space="preserve"> CUSTOMER 286  </t>
  </si>
  <si>
    <t>ORD01199</t>
  </si>
  <si>
    <t>ORD00322</t>
  </si>
  <si>
    <t>ORD01393</t>
  </si>
  <si>
    <t>ORD00174</t>
  </si>
  <si>
    <t>ORD00461</t>
  </si>
  <si>
    <t>ORD00763</t>
  </si>
  <si>
    <t>ORD01260</t>
  </si>
  <si>
    <t>ORD01512</t>
  </si>
  <si>
    <t>C0075</t>
  </si>
  <si>
    <t>Customer 75</t>
  </si>
  <si>
    <t>ORD00510</t>
  </si>
  <si>
    <t>ORD00613</t>
  </si>
  <si>
    <t>ORD01325</t>
  </si>
  <si>
    <t>10-20-2025</t>
  </si>
  <si>
    <t>ORD01068</t>
  </si>
  <si>
    <t>ORD00175</t>
  </si>
  <si>
    <t>ORD00398</t>
  </si>
  <si>
    <t>ORD00530</t>
  </si>
  <si>
    <t>ORD01587</t>
  </si>
  <si>
    <t>02-24-2024</t>
  </si>
  <si>
    <t>ORD00585</t>
  </si>
  <si>
    <t>ORD00050</t>
  </si>
  <si>
    <t>ORD01210</t>
  </si>
  <si>
    <t>ORD01499</t>
  </si>
  <si>
    <t>ORD00679</t>
  </si>
  <si>
    <t>07-31-2024</t>
  </si>
  <si>
    <t>ORD01575</t>
  </si>
  <si>
    <t>ORD01806</t>
  </si>
  <si>
    <t>ORD01249</t>
  </si>
  <si>
    <t>ORD01524</t>
  </si>
  <si>
    <t>ORD00956</t>
  </si>
  <si>
    <t>ORD00776</t>
  </si>
  <si>
    <t>ORD00905</t>
  </si>
  <si>
    <t>ORD00760</t>
  </si>
  <si>
    <t>ORD00741</t>
  </si>
  <si>
    <t>ORD00966</t>
  </si>
  <si>
    <t>ORD01571</t>
  </si>
  <si>
    <t>ORD00523</t>
  </si>
  <si>
    <t>ORD00505</t>
  </si>
  <si>
    <t>ORD00220</t>
  </si>
  <si>
    <t>ORD00487</t>
  </si>
  <si>
    <t>ORD00360</t>
  </si>
  <si>
    <t>ORD01133</t>
  </si>
  <si>
    <t>ORD00297</t>
  </si>
  <si>
    <t>ORD00095</t>
  </si>
  <si>
    <t>C0186</t>
  </si>
  <si>
    <t>Customer 186</t>
  </si>
  <si>
    <t>ORD00751</t>
  </si>
  <si>
    <t>ORD00610</t>
  </si>
  <si>
    <t>ORD00821</t>
  </si>
  <si>
    <t>08-24-2025</t>
  </si>
  <si>
    <t>ORD00497</t>
  </si>
  <si>
    <t>ORD01245</t>
  </si>
  <si>
    <t>ORD01986</t>
  </si>
  <si>
    <t>ORD00298</t>
  </si>
  <si>
    <t>ORD00118</t>
  </si>
  <si>
    <t>ORD01908</t>
  </si>
  <si>
    <t xml:space="preserve"> CUSTOMER 144  </t>
  </si>
  <si>
    <t>ORD01332</t>
  </si>
  <si>
    <t>C0097</t>
  </si>
  <si>
    <t>Customer 97</t>
  </si>
  <si>
    <t>ORD00598</t>
  </si>
  <si>
    <t>ORD01347</t>
  </si>
  <si>
    <t>ORD00186</t>
  </si>
  <si>
    <t>C0237</t>
  </si>
  <si>
    <t>Customer 237</t>
  </si>
  <si>
    <t>ORD01481</t>
  </si>
  <si>
    <t>ORD01029</t>
  </si>
  <si>
    <t>ORD01853</t>
  </si>
  <si>
    <t>10-13-2024</t>
  </si>
  <si>
    <t>ORD01573</t>
  </si>
  <si>
    <t>06-16-2024</t>
  </si>
  <si>
    <t>ORD01087</t>
  </si>
  <si>
    <t>ORD01139</t>
  </si>
  <si>
    <t>ORD01989</t>
  </si>
  <si>
    <t>ORD00470</t>
  </si>
  <si>
    <t>08-18-2024</t>
  </si>
  <si>
    <t>ORD01608</t>
  </si>
  <si>
    <t>11-14-2024</t>
  </si>
  <si>
    <t>ORD00441</t>
  </si>
  <si>
    <t>ORD00355</t>
  </si>
  <si>
    <t>ORD00205</t>
  </si>
  <si>
    <t>ORD01572</t>
  </si>
  <si>
    <t>ORD00467</t>
  </si>
  <si>
    <t>ORD01882</t>
  </si>
  <si>
    <t>ORD01696</t>
  </si>
  <si>
    <t>06-14-2025</t>
  </si>
  <si>
    <t>ORD01502</t>
  </si>
  <si>
    <t>ORD01991</t>
  </si>
  <si>
    <t>ORD00293</t>
  </si>
  <si>
    <t>C0264</t>
  </si>
  <si>
    <t>Customer 264</t>
  </si>
  <si>
    <t>ORD01106</t>
  </si>
  <si>
    <t>ORD01593</t>
  </si>
  <si>
    <t>ORD01261</t>
  </si>
  <si>
    <t>ORD00067</t>
  </si>
  <si>
    <t>ORD00688</t>
  </si>
  <si>
    <t>05-29-2025</t>
  </si>
  <si>
    <t>ORD00637</t>
  </si>
  <si>
    <t>ORD01432</t>
  </si>
  <si>
    <t>08-24-2024</t>
  </si>
  <si>
    <t>ORD01012</t>
  </si>
  <si>
    <t>ORD00893</t>
  </si>
  <si>
    <t xml:space="preserve"> CUSTOMER 24  </t>
  </si>
  <si>
    <t>ORD00152</t>
  </si>
  <si>
    <t>ORD00689</t>
  </si>
  <si>
    <t>ORD01225</t>
  </si>
  <si>
    <t>08-23-2025</t>
  </si>
  <si>
    <t>ORD01267</t>
  </si>
  <si>
    <t>ORD00482</t>
  </si>
  <si>
    <t>ORD00042</t>
  </si>
  <si>
    <t>ORD01667</t>
  </si>
  <si>
    <t>ORD01494</t>
  </si>
  <si>
    <t>ORD01605</t>
  </si>
  <si>
    <t>ORD00172</t>
  </si>
  <si>
    <t>ORD00480</t>
  </si>
  <si>
    <t>ORD01170</t>
  </si>
  <si>
    <t>ORD01446</t>
  </si>
  <si>
    <t>ORD00122</t>
  </si>
  <si>
    <t>ORD01273</t>
  </si>
  <si>
    <t>ORD01207</t>
  </si>
  <si>
    <t>ORD00029</t>
  </si>
  <si>
    <t>ORD01676</t>
  </si>
  <si>
    <t>ORD00804</t>
  </si>
  <si>
    <t>ORD01462</t>
  </si>
  <si>
    <t>ORD01680</t>
  </si>
  <si>
    <t>ORD01047</t>
  </si>
  <si>
    <t>ORD00243</t>
  </si>
  <si>
    <t>ORD01852</t>
  </si>
  <si>
    <t>04-20-2024</t>
  </si>
  <si>
    <t>ORD01449</t>
  </si>
  <si>
    <t>ORD01694</t>
  </si>
  <si>
    <t>ORD01582</t>
  </si>
  <si>
    <t>ORD00869</t>
  </si>
  <si>
    <t>ORD00356</t>
  </si>
  <si>
    <t>ORD00208</t>
  </si>
  <si>
    <t>C0179</t>
  </si>
  <si>
    <t>Customer 179</t>
  </si>
  <si>
    <t>ORD00528</t>
  </si>
  <si>
    <t>ORD00872</t>
  </si>
  <si>
    <t>ORD01527</t>
  </si>
  <si>
    <t>ORD00867</t>
  </si>
  <si>
    <t>ORD00768</t>
  </si>
  <si>
    <t>ORD00975</t>
  </si>
  <si>
    <t>06-30-2024</t>
  </si>
  <si>
    <t>ORD00651</t>
  </si>
  <si>
    <t xml:space="preserve"> CUSTOMER 180  </t>
  </si>
  <si>
    <t>ORD01515</t>
  </si>
  <si>
    <t>ORD00178</t>
  </si>
  <si>
    <t>ORD00196</t>
  </si>
  <si>
    <t>09-20-2025</t>
  </si>
  <si>
    <t>ORD00790</t>
  </si>
  <si>
    <t>ORD00513</t>
  </si>
  <si>
    <t>ORD00906</t>
  </si>
  <si>
    <t>ORD00507</t>
  </si>
  <si>
    <t>ORD00410</t>
  </si>
  <si>
    <t>08-19-2025</t>
  </si>
  <si>
    <t>ORD00934</t>
  </si>
  <si>
    <t>06-19-2025</t>
  </si>
  <si>
    <t>ORD00852</t>
  </si>
  <si>
    <t>ORD00221</t>
  </si>
  <si>
    <t>ORD01114</t>
  </si>
  <si>
    <t>ORD00382</t>
  </si>
  <si>
    <t>ORD00971</t>
  </si>
  <si>
    <t>ORD01915</t>
  </si>
  <si>
    <t>ORD00856</t>
  </si>
  <si>
    <t>ORD01632</t>
  </si>
  <si>
    <t>ORD01431</t>
  </si>
  <si>
    <t>ORD00930</t>
  </si>
  <si>
    <t>ORD01411</t>
  </si>
  <si>
    <t>ORD00451</t>
  </si>
  <si>
    <t>ORD01547</t>
  </si>
  <si>
    <t>ORD00641</t>
  </si>
  <si>
    <t>ORD01975</t>
  </si>
  <si>
    <t>ORD01514</t>
  </si>
  <si>
    <t>11-30-2025</t>
  </si>
  <si>
    <t>ORD00624</t>
  </si>
  <si>
    <t>ORD01364</t>
  </si>
  <si>
    <t>ORD01911</t>
  </si>
  <si>
    <t>ORD00161</t>
  </si>
  <si>
    <t>ORD01560</t>
  </si>
  <si>
    <t>ORD00664</t>
  </si>
  <si>
    <t>ORD00476</t>
  </si>
  <si>
    <t>05-28-2025</t>
  </si>
  <si>
    <t>ORD01832</t>
  </si>
  <si>
    <t>ORD00166</t>
  </si>
  <si>
    <t>11-21-2025</t>
  </si>
  <si>
    <t>ORD01969</t>
  </si>
  <si>
    <t>ORD01237</t>
  </si>
  <si>
    <t>ORD00084</t>
  </si>
  <si>
    <t>ORD00884</t>
  </si>
  <si>
    <t>ORD01295</t>
  </si>
  <si>
    <t>ORD01755</t>
  </si>
  <si>
    <t>ORD01857</t>
  </si>
  <si>
    <t>ORD00701</t>
  </si>
  <si>
    <t>ORD00600</t>
  </si>
  <si>
    <t>ORD00714</t>
  </si>
  <si>
    <t xml:space="preserve"> CUSTOMER 134  </t>
  </si>
  <si>
    <t>ORD00717</t>
  </si>
  <si>
    <t>ORD01387</t>
  </si>
  <si>
    <t>ORD01465</t>
  </si>
  <si>
    <t>ORD01135</t>
  </si>
  <si>
    <t>ORD00395</t>
  </si>
  <si>
    <t>ORD01083</t>
  </si>
  <si>
    <t>ORD00458</t>
  </si>
  <si>
    <t>ORD01723</t>
  </si>
  <si>
    <t>ORD01750</t>
  </si>
  <si>
    <t>ORD01073</t>
  </si>
  <si>
    <t>04-19-2024</t>
  </si>
  <si>
    <t>ORD01687</t>
  </si>
  <si>
    <t>ORD01418</t>
  </si>
  <si>
    <t>ORD00228</t>
  </si>
  <si>
    <t>ORD00705</t>
  </si>
  <si>
    <t>02-22-2025</t>
  </si>
  <si>
    <t>ORD01368</t>
  </si>
  <si>
    <t>ORD00376</t>
  </si>
  <si>
    <t>ORD01902</t>
  </si>
  <si>
    <t>ORD01384</t>
  </si>
  <si>
    <t>02-15-2025</t>
  </si>
  <si>
    <t>ORD01672</t>
  </si>
  <si>
    <t>ORD01875</t>
  </si>
  <si>
    <t>ORD01848</t>
  </si>
  <si>
    <t>ORD00542</t>
  </si>
  <si>
    <t>ORD01663</t>
  </si>
  <si>
    <t>ORD01733</t>
  </si>
  <si>
    <t>ORD00734</t>
  </si>
  <si>
    <t>ORD01716</t>
  </si>
  <si>
    <t>ORD00342</t>
  </si>
  <si>
    <t>ORD00563</t>
  </si>
  <si>
    <t xml:space="preserve"> CUSTOMER 79  </t>
  </si>
  <si>
    <t>ORD00060</t>
  </si>
  <si>
    <t>ORD01180</t>
  </si>
  <si>
    <t>ORD00723</t>
  </si>
  <si>
    <t>ORD01643</t>
  </si>
  <si>
    <t>ORD01749</t>
  </si>
  <si>
    <t>ORD00292</t>
  </si>
  <si>
    <t>ORD00229</t>
  </si>
  <si>
    <t>ORD00206</t>
  </si>
  <si>
    <t>ORD01485</t>
  </si>
  <si>
    <t>ORD01478</t>
  </si>
  <si>
    <t>ORD00162</t>
  </si>
  <si>
    <t>ORD01873</t>
  </si>
  <si>
    <t>ORD00678</t>
  </si>
  <si>
    <t>ORD01271</t>
  </si>
  <si>
    <t>ORD01828</t>
  </si>
  <si>
    <t>ORD01538</t>
  </si>
  <si>
    <t>ORD00459</t>
  </si>
  <si>
    <t>ORD01402</t>
  </si>
  <si>
    <t>07-16-2024</t>
  </si>
  <si>
    <t>ORD01377</t>
  </si>
  <si>
    <t>ORD01407</t>
  </si>
  <si>
    <t>ORD01401</t>
  </si>
  <si>
    <t>ORD00543</t>
  </si>
  <si>
    <t>ORD01222</t>
  </si>
  <si>
    <t>ORD00951</t>
  </si>
  <si>
    <t>ORD00133</t>
  </si>
  <si>
    <t>ORD00465</t>
  </si>
  <si>
    <t>ORD01565</t>
  </si>
  <si>
    <t>ORD00430</t>
  </si>
  <si>
    <t>ORD00639</t>
  </si>
  <si>
    <t>ORD00193</t>
  </si>
  <si>
    <t>ORD01583</t>
  </si>
  <si>
    <t>ORD00379</t>
  </si>
  <si>
    <t>ORD01990</t>
  </si>
  <si>
    <t>ORD01794</t>
  </si>
  <si>
    <t>ORD00704</t>
  </si>
  <si>
    <t>ORD00615</t>
  </si>
  <si>
    <t>ORD01845</t>
  </si>
  <si>
    <t>ORD01303</t>
  </si>
  <si>
    <t>ORD01600</t>
  </si>
  <si>
    <t>ORD01412</t>
  </si>
  <si>
    <t>ORD00272</t>
  </si>
  <si>
    <t>ORD01386</t>
  </si>
  <si>
    <t>ORD00079</t>
  </si>
  <si>
    <t>ORD00726</t>
  </si>
  <si>
    <t>ORD00226</t>
  </si>
  <si>
    <t xml:space="preserve"> CUSTOMER 97  </t>
  </si>
  <si>
    <t>ORD00720</t>
  </si>
  <si>
    <t>ORD01146</t>
  </si>
  <si>
    <t>09-28-2025</t>
  </si>
  <si>
    <t>ORD00687</t>
  </si>
  <si>
    <t>05-25-2024</t>
  </si>
  <si>
    <t>ORD00283</t>
  </si>
  <si>
    <t>ORD00864</t>
  </si>
  <si>
    <t>ORD00130</t>
  </si>
  <si>
    <t>ORD01152</t>
  </si>
  <si>
    <t>ORD00495</t>
  </si>
  <si>
    <t>ORD01741</t>
  </si>
  <si>
    <t>ORD01405</t>
  </si>
  <si>
    <t>ORD01288</t>
  </si>
  <si>
    <t>ORD01976</t>
  </si>
  <si>
    <t>ORD00708</t>
  </si>
  <si>
    <t>ORD01745</t>
  </si>
  <si>
    <t>ORD01838</t>
  </si>
  <si>
    <t xml:space="preserve"> CUSTOMER 100  </t>
  </si>
  <si>
    <t>ORD00645</t>
  </si>
  <si>
    <t>05-30-2025</t>
  </si>
  <si>
    <t>ORD01868</t>
  </si>
  <si>
    <t>ORD00291</t>
  </si>
  <si>
    <t>ORD01004</t>
  </si>
  <si>
    <t>ORD01513</t>
  </si>
  <si>
    <t>ORD01785</t>
  </si>
  <si>
    <t>ORD00958</t>
  </si>
  <si>
    <t>ORD01428</t>
  </si>
  <si>
    <t>ORD00094</t>
  </si>
  <si>
    <t>ORD01162</t>
  </si>
  <si>
    <t>11-20-2024</t>
  </si>
  <si>
    <t>ORD01816</t>
  </si>
  <si>
    <t>ORD01554</t>
  </si>
  <si>
    <t>ORD01841</t>
  </si>
  <si>
    <t>ORD01553</t>
  </si>
  <si>
    <t>ORD01961</t>
  </si>
  <si>
    <t>ORD01704</t>
  </si>
  <si>
    <t>ORD00404</t>
  </si>
  <si>
    <t xml:space="preserve"> CUSTOMER 20  </t>
  </si>
  <si>
    <t>ORD00105</t>
  </si>
  <si>
    <t>ORD00017</t>
  </si>
  <si>
    <t>ORD01501</t>
  </si>
  <si>
    <t>ORD00339</t>
  </si>
  <si>
    <t>ORD01925</t>
  </si>
  <si>
    <t>ORD00822</t>
  </si>
  <si>
    <t>ORD00552</t>
  </si>
  <si>
    <t>ORD01892</t>
  </si>
  <si>
    <t>07-18-2025</t>
  </si>
  <si>
    <t>ORD00359</t>
  </si>
  <si>
    <t>ORD01221</t>
  </si>
  <si>
    <t>ORD00066</t>
  </si>
  <si>
    <t>ORD01477</t>
  </si>
  <si>
    <t>ORD01846</t>
  </si>
  <si>
    <t>ORD00123</t>
  </si>
  <si>
    <t>ORD00654</t>
  </si>
  <si>
    <t>ORD00626</t>
  </si>
  <si>
    <t>ORD01619</t>
  </si>
  <si>
    <t xml:space="preserve"> CUSTOMER 76  </t>
  </si>
  <si>
    <t>ORD01483</t>
  </si>
  <si>
    <t>C0259</t>
  </si>
  <si>
    <t>Customer 259</t>
  </si>
  <si>
    <t>ORD01563</t>
  </si>
  <si>
    <t>ORD00049</t>
  </si>
  <si>
    <t>03-16-2025</t>
  </si>
  <si>
    <t>ORD00065</t>
  </si>
  <si>
    <t>ORD01917</t>
  </si>
  <si>
    <t>ORD00691</t>
  </si>
  <si>
    <t>ORD01415</t>
  </si>
  <si>
    <t>ORD01223</t>
  </si>
  <si>
    <t>ORD00882</t>
  </si>
  <si>
    <t>ORD01972</t>
  </si>
  <si>
    <t>ORD00616</t>
  </si>
  <si>
    <t>ORD00516</t>
  </si>
  <si>
    <t>ORD01329</t>
  </si>
  <si>
    <t>ORD01346</t>
  </si>
  <si>
    <t>ORD00448</t>
  </si>
  <si>
    <t>ORD01999</t>
  </si>
  <si>
    <t>ORD01250</t>
  </si>
  <si>
    <t>ORD01647</t>
  </si>
  <si>
    <t>ORD01580</t>
  </si>
  <si>
    <t>ORD00837</t>
  </si>
  <si>
    <t>ORD01333</t>
  </si>
  <si>
    <t>ORD01883</t>
  </si>
  <si>
    <t>ORD01959</t>
  </si>
  <si>
    <t>ORD00500</t>
  </si>
  <si>
    <t>ORD01885</t>
  </si>
  <si>
    <t>ORD01927</t>
  </si>
  <si>
    <t>ORD01041</t>
  </si>
  <si>
    <t>ORD00010</t>
  </si>
  <si>
    <t>ORD00965</t>
  </si>
  <si>
    <t>03-17-2024</t>
  </si>
  <si>
    <t>ORD01075</t>
  </si>
  <si>
    <t>ORD00748</t>
  </si>
  <si>
    <t>ORD00969</t>
  </si>
  <si>
    <t>ORD00944</t>
  </si>
  <si>
    <t>ORD01662</t>
  </si>
  <si>
    <t>ORD01698</t>
  </si>
  <si>
    <t>02-13-2024</t>
  </si>
  <si>
    <t>ORD01889</t>
  </si>
  <si>
    <t xml:space="preserve"> CUSTOMER 155  </t>
  </si>
  <si>
    <t>ORD00316</t>
  </si>
  <si>
    <t>ORD00493</t>
  </si>
  <si>
    <t>ORD00642</t>
  </si>
  <si>
    <t>03-19-2024</t>
  </si>
  <si>
    <t>ORD01061</t>
  </si>
  <si>
    <t>ORD00614</t>
  </si>
  <si>
    <t>ORD00803</t>
  </si>
  <si>
    <t>ORD00890</t>
  </si>
  <si>
    <t>ORD00443</t>
  </si>
  <si>
    <t>ORD01013</t>
  </si>
  <si>
    <t>ORD00853</t>
  </si>
  <si>
    <t>ORD00328</t>
  </si>
  <si>
    <t>ORD01291</t>
  </si>
  <si>
    <t>ORD01701</t>
  </si>
  <si>
    <t>ORD01121</t>
  </si>
  <si>
    <t>10-19-2024</t>
  </si>
  <si>
    <t>ORD01342</t>
  </si>
  <si>
    <t>ORD00724</t>
  </si>
  <si>
    <t>ORD01792</t>
  </si>
  <si>
    <t>ORD00469</t>
  </si>
  <si>
    <t>ORD01151</t>
  </si>
  <si>
    <t>ORD00608</t>
  </si>
  <si>
    <t>01-13-2024</t>
  </si>
  <si>
    <t>ORD01611</t>
  </si>
  <si>
    <t>ORD01693</t>
  </si>
  <si>
    <t>ORD01038</t>
  </si>
  <si>
    <t>12-28-2025</t>
  </si>
  <si>
    <t>ORD00549</t>
  </si>
  <si>
    <t>ORD01531</t>
  </si>
  <si>
    <t>ORD01365</t>
  </si>
  <si>
    <t>ORD00407</t>
  </si>
  <si>
    <t>ORD01053</t>
  </si>
  <si>
    <t>ORD00725</t>
  </si>
  <si>
    <t>ORD00858</t>
  </si>
  <si>
    <t>ORD01685</t>
  </si>
  <si>
    <t>ORD01358</t>
  </si>
  <si>
    <t>ORD01099</t>
  </si>
  <si>
    <t>ORD01983</t>
  </si>
  <si>
    <t>08-16-2025</t>
  </si>
  <si>
    <t>ORD00879</t>
  </si>
  <si>
    <t>ORD01343</t>
  </si>
  <si>
    <t>ORD01719</t>
  </si>
  <si>
    <t>ORD00575</t>
  </si>
  <si>
    <t>ORD00135</t>
  </si>
  <si>
    <t>ORD01484</t>
  </si>
  <si>
    <t>ORD00677</t>
  </si>
  <si>
    <t xml:space="preserve"> CUSTOMER 206  </t>
  </si>
  <si>
    <t>ORD00521</t>
  </si>
  <si>
    <t>ORD00449</t>
  </si>
  <si>
    <t>ORD00764</t>
  </si>
  <si>
    <t>ORD00519</t>
  </si>
  <si>
    <t>ORD00623</t>
  </si>
  <si>
    <t>ORD01323</t>
  </si>
  <si>
    <t>03-16-2024</t>
  </si>
  <si>
    <t xml:space="preserve"> CUSTOMER 12  </t>
  </si>
  <si>
    <t>ORD00742</t>
  </si>
  <si>
    <t>ORD00427</t>
  </si>
  <si>
    <t>ORD01010</t>
  </si>
  <si>
    <t>ORD01988</t>
  </si>
  <si>
    <t>ORD00780</t>
  </si>
  <si>
    <t>ORD01476</t>
  </si>
  <si>
    <t>12-13-2025</t>
  </si>
  <si>
    <t>ORD01824</t>
  </si>
  <si>
    <t>ORD00524</t>
  </si>
  <si>
    <t>ORD01903</t>
  </si>
  <si>
    <t>ORD01592</t>
  </si>
  <si>
    <t>ORD01390</t>
  </si>
  <si>
    <t>ORD01993</t>
  </si>
  <si>
    <t>ORD00753</t>
  </si>
  <si>
    <t>ORD01224</t>
  </si>
  <si>
    <t>ORD01359</t>
  </si>
  <si>
    <t>ORD00801</t>
  </si>
  <si>
    <t>ORD00625</t>
  </si>
  <si>
    <t>ORD00568</t>
  </si>
  <si>
    <t>ORD01562</t>
  </si>
  <si>
    <t>ORD01315</t>
  </si>
  <si>
    <t>ORD01653</t>
  </si>
  <si>
    <t>ORD00189</t>
  </si>
  <si>
    <t>ORD02000</t>
  </si>
  <si>
    <t>ORD01602</t>
  </si>
  <si>
    <t>ORD01014</t>
  </si>
  <si>
    <t>ORD00669</t>
  </si>
  <si>
    <t>ORD01657</t>
  </si>
  <si>
    <t>ORD01891</t>
  </si>
  <si>
    <t>ORD00591</t>
  </si>
  <si>
    <t>ORD01505</t>
  </si>
  <si>
    <t>ORD01624</t>
  </si>
  <si>
    <t>11-18-2024</t>
  </si>
  <si>
    <t>ORD00962</t>
  </si>
  <si>
    <t>ORD00490</t>
  </si>
  <si>
    <t>ORD00745</t>
  </si>
  <si>
    <t>ORD00925</t>
  </si>
  <si>
    <t>ORD01176</t>
  </si>
  <si>
    <t>ORD01649</t>
  </si>
  <si>
    <t>ORD01438</t>
  </si>
  <si>
    <t xml:space="preserve"> CUSTOMER 173  </t>
  </si>
  <si>
    <t>ORD00532</t>
  </si>
  <si>
    <t>ORD01896</t>
  </si>
  <si>
    <t>ORD00868</t>
  </si>
  <si>
    <t>ORD01886</t>
  </si>
  <si>
    <t>08-26-2025</t>
  </si>
  <si>
    <t>ORD01334</t>
  </si>
  <si>
    <t>ORD00789</t>
  </si>
  <si>
    <t xml:space="preserve"> CUSTOMER 2  </t>
  </si>
  <si>
    <t>ORD00354</t>
  </si>
  <si>
    <t>ORD01609</t>
  </si>
  <si>
    <t>ORD00536</t>
  </si>
  <si>
    <t>ORD00279</t>
  </si>
  <si>
    <t>ORD00041</t>
  </si>
  <si>
    <t>ORD00401</t>
  </si>
  <si>
    <t>ORD01309</t>
  </si>
  <si>
    <t>ORD01021</t>
  </si>
  <si>
    <t>11-16-2025</t>
  </si>
  <si>
    <t>ORD01967</t>
  </si>
  <si>
    <t>ORD01807</t>
  </si>
  <si>
    <t>ORD00086</t>
  </si>
  <si>
    <t>ORD00345</t>
  </si>
  <si>
    <t>ORD00788</t>
  </si>
  <si>
    <t>11-15-2025</t>
  </si>
  <si>
    <t>ORD00033</t>
  </si>
  <si>
    <t>ORD01149</t>
  </si>
  <si>
    <t>ORD01299</t>
  </si>
  <si>
    <t>ORD00244</t>
  </si>
  <si>
    <t>ORD01682</t>
  </si>
  <si>
    <t>ORD00432</t>
  </si>
  <si>
    <t>02-18-2025</t>
  </si>
  <si>
    <t>ORD00388</t>
  </si>
  <si>
    <t>ORD01743</t>
  </si>
  <si>
    <t>ORD00466</t>
  </si>
  <si>
    <t>ORD00332</t>
  </si>
  <si>
    <t>ORD00372</t>
  </si>
  <si>
    <t>ORD00306</t>
  </si>
  <si>
    <t>ORD00706</t>
  </si>
  <si>
    <t>ORD01231</t>
  </si>
  <si>
    <t>ORD01318</t>
  </si>
  <si>
    <t>ORD01355</t>
  </si>
  <si>
    <t>ORD01962</t>
  </si>
  <si>
    <t>ORD00048</t>
  </si>
  <si>
    <t>ORD01545</t>
  </si>
  <si>
    <t>ORD01872</t>
  </si>
  <si>
    <t>ORD00351</t>
  </si>
  <si>
    <t>ORD00564</t>
  </si>
  <si>
    <t>ORD01011</t>
  </si>
  <si>
    <t>ORD00074</t>
  </si>
  <si>
    <t xml:space="preserve"> CUSTOMER 164  </t>
  </si>
  <si>
    <t>ORD01282</t>
  </si>
  <si>
    <t>ORD01712</t>
  </si>
  <si>
    <t>ORD00802</t>
  </si>
  <si>
    <t>12-16-2024</t>
  </si>
  <si>
    <t>ORD01039</t>
  </si>
  <si>
    <t>ORD01943</t>
  </si>
  <si>
    <t>ORD00131</t>
  </si>
  <si>
    <t xml:space="preserve"> CUSTOMER 140  </t>
  </si>
  <si>
    <t>ORD00028</t>
  </si>
  <si>
    <t>ORD01298</t>
  </si>
  <si>
    <t>ORD00697</t>
  </si>
  <si>
    <t xml:space="preserve"> CUSTOMER 95  </t>
  </si>
  <si>
    <t>ORD00308</t>
  </si>
  <si>
    <t>ORD01797</t>
  </si>
  <si>
    <t>06-26-2024</t>
  </si>
  <si>
    <t>ORD01498</t>
  </si>
  <si>
    <t>ORD00209</t>
  </si>
  <si>
    <t>ORD00253</t>
  </si>
  <si>
    <t>ORD00037</t>
  </si>
  <si>
    <t>11-16-2024</t>
  </si>
  <si>
    <t>ORD00402</t>
  </si>
  <si>
    <t>ORD01208</t>
  </si>
  <si>
    <t>ORD00290</t>
  </si>
  <si>
    <t>ORD01586</t>
  </si>
  <si>
    <t>ORD00035</t>
  </si>
  <si>
    <t>ORD01316</t>
  </si>
  <si>
    <t>ORD00478</t>
  </si>
  <si>
    <t>ORD01283</t>
  </si>
  <si>
    <t>ORD00102</t>
  </si>
  <si>
    <t>ORD00949</t>
  </si>
  <si>
    <t>ORD01310</t>
  </si>
  <si>
    <t xml:space="preserve"> CUSTOMER 94  </t>
  </si>
  <si>
    <t>ORD00716</t>
  </si>
  <si>
    <t>ORD01007</t>
  </si>
  <si>
    <t>ORD01821</t>
  </si>
  <si>
    <t>ORD01711</t>
  </si>
  <si>
    <t>ORD01150</t>
  </si>
  <si>
    <t>ORD00916</t>
  </si>
  <si>
    <t>ORD01071</t>
  </si>
  <si>
    <t>ORD00371</t>
  </si>
  <si>
    <t>ORD01308</t>
  </si>
  <si>
    <t>ORD01442</t>
  </si>
  <si>
    <t>ORD01218</t>
  </si>
  <si>
    <t>ORD00553</t>
  </si>
  <si>
    <t>ORD00537</t>
  </si>
  <si>
    <t>ORD01958</t>
  </si>
  <si>
    <t>ORD01472</t>
  </si>
  <si>
    <t>ORD00009</t>
  </si>
  <si>
    <t>ORD00090</t>
  </si>
  <si>
    <t>ORD01585</t>
  </si>
  <si>
    <t>08-27-2025</t>
  </si>
  <si>
    <t>ORD00740</t>
  </si>
  <si>
    <t>ORD01335</t>
  </si>
  <si>
    <t>ORD01788</t>
  </si>
  <si>
    <t>ORD00115</t>
  </si>
  <si>
    <t>ORD00081</t>
  </si>
  <si>
    <t>ORD00878</t>
  </si>
  <si>
    <t>ORD01077</t>
  </si>
  <si>
    <t>ORD01724</t>
  </si>
  <si>
    <t>ORD00234</t>
  </si>
  <si>
    <t>ORD01328</t>
  </si>
  <si>
    <t>ORD00165</t>
  </si>
  <si>
    <t>ORD00904</t>
  </si>
  <si>
    <t>ORD01092</t>
  </si>
  <si>
    <t>ORD01095</t>
  </si>
  <si>
    <t>ORD00191</t>
  </si>
  <si>
    <t>ORD01642</t>
  </si>
  <si>
    <t>ORD00719</t>
  </si>
  <si>
    <t>ORD00812</t>
  </si>
  <si>
    <t>ORD01777</t>
  </si>
  <si>
    <t>06-28-2025</t>
  </si>
  <si>
    <t>ORD00722</t>
  </si>
  <si>
    <t>02-19-2025</t>
  </si>
  <si>
    <t xml:space="preserve"> CUSTOMER 84  </t>
  </si>
  <si>
    <t>ORD01209</t>
  </si>
  <si>
    <t>ORD00285</t>
  </si>
  <si>
    <t>ORD01686</t>
  </si>
  <si>
    <t>ORD00144</t>
  </si>
  <si>
    <t>ORD01171</t>
  </si>
  <si>
    <t>12-17-2025</t>
  </si>
  <si>
    <t>ORD00386</t>
  </si>
  <si>
    <t>ORD01194</t>
  </si>
  <si>
    <t>ORD01130</t>
  </si>
  <si>
    <t>ORD00989</t>
  </si>
  <si>
    <t>ORD00676</t>
  </si>
  <si>
    <t>ORD00794</t>
  </si>
  <si>
    <t>ORD01599</t>
  </si>
  <si>
    <t>ORD01930</t>
  </si>
  <si>
    <t>ORD00224</t>
  </si>
  <si>
    <t>ORD00903</t>
  </si>
  <si>
    <t>ORD01584</t>
  </si>
  <si>
    <t>ORD00596</t>
  </si>
  <si>
    <t>ORD01456</t>
  </si>
  <si>
    <t>ORD01881</t>
  </si>
  <si>
    <t>ORD00149</t>
  </si>
  <si>
    <t>ORD00061</t>
  </si>
  <si>
    <t>ORD00650</t>
  </si>
  <si>
    <t>ORD01974</t>
  </si>
  <si>
    <t>ORD01090</t>
  </si>
  <si>
    <t>ORD01520</t>
  </si>
  <si>
    <t>ORD00757</t>
  </si>
  <si>
    <t>ORD01141</t>
  </si>
  <si>
    <t>ORD01869</t>
  </si>
  <si>
    <t>ORD00385</t>
  </si>
  <si>
    <t>09-14-2024</t>
  </si>
  <si>
    <t>ORD01718</t>
  </si>
  <si>
    <t>ORD01125</t>
  </si>
  <si>
    <t>ORD00052</t>
  </si>
  <si>
    <t>04-18-2024</t>
  </si>
  <si>
    <t>ORD00607</t>
  </si>
  <si>
    <t>ORD00779</t>
  </si>
  <si>
    <t>ORD01016</t>
  </si>
  <si>
    <t>ORD01713</t>
  </si>
  <si>
    <t>ORD01236</t>
  </si>
  <si>
    <t>ORD00661</t>
  </si>
  <si>
    <t>ORD00889</t>
  </si>
  <si>
    <t>ORD00312</t>
  </si>
  <si>
    <t>ORD00953</t>
  </si>
  <si>
    <t>ORD00984</t>
  </si>
  <si>
    <t>ORD00977</t>
  </si>
  <si>
    <t>ORD01275</t>
  </si>
  <si>
    <t>ORD00700</t>
  </si>
  <si>
    <t>ORD00663</t>
  </si>
  <si>
    <t>ORD00278</t>
  </si>
  <si>
    <t>ORD00218</t>
  </si>
  <si>
    <t>ORD01097</t>
  </si>
  <si>
    <t>ORD01159</t>
  </si>
  <si>
    <t>ORD00652</t>
  </si>
  <si>
    <t>ORD01656</t>
  </si>
  <si>
    <t>ORD00496</t>
  </si>
  <si>
    <t xml:space="preserve"> CUSTOMER 14  </t>
  </si>
  <si>
    <t>ORD01196</t>
  </si>
  <si>
    <t>ORD01190</t>
  </si>
  <si>
    <t>ORD00597</t>
  </si>
  <si>
    <t>ORD00950</t>
  </si>
  <si>
    <t>ORD00002</t>
  </si>
  <si>
    <t>ORD01248</t>
  </si>
  <si>
    <t>ORD01102</t>
  </si>
  <si>
    <t>ORD01463</t>
  </si>
  <si>
    <t>ORD01827</t>
  </si>
  <si>
    <t>ORD01385</t>
  </si>
  <si>
    <t>ORD01234</t>
  </si>
  <si>
    <t>03-29-2024</t>
  </si>
  <si>
    <t>ORD01313</t>
  </si>
  <si>
    <t>ORD01878</t>
  </si>
  <si>
    <t>ORD01128</t>
  </si>
  <si>
    <t>04-24-2024</t>
  </si>
  <si>
    <t>ORD00384</t>
  </si>
  <si>
    <t>ORD00347</t>
  </si>
  <si>
    <t>ORD00666</t>
  </si>
  <si>
    <t>ORD01674</t>
  </si>
  <si>
    <t>ORD00810</t>
  </si>
  <si>
    <t>04-26-2025</t>
  </si>
  <si>
    <t>ORD00176</t>
  </si>
  <si>
    <t>ORD00814</t>
  </si>
  <si>
    <t>ORD01319</t>
  </si>
  <si>
    <t>ORD00917</t>
  </si>
  <si>
    <t xml:space="preserve"> CUSTOMER 276  </t>
  </si>
  <si>
    <t>ORD00399</t>
  </si>
  <si>
    <t>ORD01409</t>
  </si>
  <si>
    <t>ORD01433</t>
  </si>
  <si>
    <t>ORD01168</t>
  </si>
  <si>
    <t>ORD00023</t>
  </si>
  <si>
    <t>ORD01953</t>
  </si>
  <si>
    <t>ORD01416</t>
  </si>
  <si>
    <t>ORD01702</t>
  </si>
  <si>
    <t>ORD01055</t>
  </si>
  <si>
    <t xml:space="preserve"> CUSTOMER 111  </t>
  </si>
  <si>
    <t>ORD00910</t>
  </si>
  <si>
    <t>ORD00891</t>
  </si>
  <si>
    <t>ORD01981</t>
  </si>
  <si>
    <t>ORD00871</t>
  </si>
  <si>
    <t>ORD00377</t>
  </si>
  <si>
    <t>ORD00326</t>
  </si>
  <si>
    <t>ORD01213</t>
  </si>
  <si>
    <t>ORD00353</t>
  </si>
  <si>
    <t>ORD00823</t>
  </si>
  <si>
    <t>ORD01894</t>
  </si>
  <si>
    <t>ORD00942</t>
  </si>
  <si>
    <t>ORD00331</t>
  </si>
  <si>
    <t>ORD01311</t>
  </si>
  <si>
    <t>ORD01603</t>
  </si>
  <si>
    <t>ORD01590</t>
  </si>
  <si>
    <t>ORD01801</t>
  </si>
  <si>
    <t>ORD00813</t>
  </si>
  <si>
    <t>ORD01341</t>
  </si>
  <si>
    <t xml:space="preserve"> CUSTOMER 241  </t>
  </si>
  <si>
    <t>ORD01493</t>
  </si>
  <si>
    <t>ORD00180</t>
  </si>
  <si>
    <t>ORD00051</t>
  </si>
  <si>
    <t>ORD00733</t>
  </si>
  <si>
    <t>ORD01366</t>
  </si>
  <si>
    <t>ORD01362</t>
  </si>
  <si>
    <t>ORD01856</t>
  </si>
  <si>
    <t>ORD01078</t>
  </si>
  <si>
    <t>ORD01116</t>
  </si>
  <si>
    <t>ORD00886</t>
  </si>
  <si>
    <t>ORD00484</t>
  </si>
  <si>
    <t>ORD01899</t>
  </si>
  <si>
    <t>ORD00838</t>
  </si>
  <si>
    <t>ORD00444</t>
  </si>
  <si>
    <t>ORD01963</t>
  </si>
  <si>
    <t>ORD01660</t>
  </si>
  <si>
    <t>ORD01112</t>
  </si>
  <si>
    <t>01-20-2024</t>
  </si>
  <si>
    <t>ORD01088</t>
  </si>
  <si>
    <t>ORD01348</t>
  </si>
  <si>
    <t>ORD00257</t>
  </si>
  <si>
    <t>ORD01839</t>
  </si>
  <si>
    <t>ORD01782</t>
  </si>
  <si>
    <t>ORD00816</t>
  </si>
  <si>
    <t>ORD01015</t>
  </si>
  <si>
    <t>ORD01043</t>
  </si>
  <si>
    <t xml:space="preserve"> CUSTOMER 63  </t>
  </si>
  <si>
    <t>ORD00202</t>
  </si>
  <si>
    <t>ORD01776</t>
  </si>
  <si>
    <t>ORD01414</t>
  </si>
  <si>
    <t>ORD00981</t>
  </si>
  <si>
    <t>ORD00875</t>
  </si>
  <si>
    <t>ORD00995</t>
  </si>
  <si>
    <t>ORD01664</t>
  </si>
  <si>
    <t>ORD00831</t>
  </si>
  <si>
    <t xml:space="preserve"> CUSTOMER 98  </t>
  </si>
  <si>
    <t>ORD00213</t>
  </si>
  <si>
    <t>ORD01492</t>
  </si>
  <si>
    <t>ORD01552</t>
  </si>
  <si>
    <t>ORD00059</t>
  </si>
  <si>
    <t>ORD01327</t>
  </si>
  <si>
    <t>ORD00730</t>
  </si>
  <si>
    <t>ORD01769</t>
  </si>
  <si>
    <t>ORD01503</t>
  </si>
  <si>
    <t>ORD00836</t>
  </si>
  <si>
    <t>ORD00972</t>
  </si>
  <si>
    <t>ORD00477</t>
  </si>
  <si>
    <t>ORD01242</t>
  </si>
  <si>
    <t xml:space="preserve"> CUSTOMER 166  </t>
  </si>
  <si>
    <t>ORD00865</t>
  </si>
  <si>
    <t>ORD01367</t>
  </si>
  <si>
    <t>ORD00287</t>
  </si>
  <si>
    <t>04-25-2024</t>
  </si>
  <si>
    <t>ORD00632</t>
  </si>
  <si>
    <t>ORD01530</t>
  </si>
  <si>
    <t>ORD00256</t>
  </si>
  <si>
    <t>ORD01198</t>
  </si>
  <si>
    <t>ORD01143</t>
  </si>
  <si>
    <t>ORD00194</t>
  </si>
  <si>
    <t>ORD00286</t>
  </si>
  <si>
    <t>ORD00595</t>
  </si>
  <si>
    <t>ORD01032</t>
  </si>
  <si>
    <t>ORD01268</t>
  </si>
  <si>
    <t>ORD00918</t>
  </si>
  <si>
    <t>ORD01239</t>
  </si>
  <si>
    <t>ORD00416</t>
  </si>
  <si>
    <t>ORD01905</t>
  </si>
  <si>
    <t>ORD01019</t>
  </si>
  <si>
    <t>ORD00887</t>
  </si>
  <si>
    <t>ORD01256</t>
  </si>
  <si>
    <t>04-23-2025</t>
  </si>
  <si>
    <t>ORD01766</t>
  </si>
  <si>
    <t>ORD00018</t>
  </si>
  <si>
    <t>ORD00501</t>
  </si>
  <si>
    <t>ORD01519</t>
  </si>
  <si>
    <t>ORD01597</t>
  </si>
  <si>
    <t>Column1</t>
  </si>
  <si>
    <t>Column2</t>
  </si>
  <si>
    <t>Column3</t>
  </si>
  <si>
    <t>Column4</t>
  </si>
  <si>
    <t>Column5</t>
  </si>
  <si>
    <t>margin_pct</t>
  </si>
  <si>
    <t>sales_fix</t>
  </si>
  <si>
    <t>year</t>
  </si>
  <si>
    <t>month_num</t>
  </si>
  <si>
    <t>month</t>
  </si>
  <si>
    <t>quarter</t>
  </si>
  <si>
    <t>year_month</t>
  </si>
  <si>
    <t>delivery_days</t>
  </si>
  <si>
    <t>profit_margin_pct</t>
  </si>
  <si>
    <t>Unassigned</t>
  </si>
  <si>
    <t>Row Labels</t>
  </si>
  <si>
    <t>Grand Total</t>
  </si>
  <si>
    <t>Sum of sales_fix</t>
  </si>
  <si>
    <t>Sum of profit</t>
  </si>
  <si>
    <t>Count of order_id</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</si>
  <si>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</si>
  <si>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</si>
  <si>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</si>
  <si>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</si>
  <si>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</si>
  <si>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</si>
  <si>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</si>
  <si>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</si>
  <si>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</si>
  <si>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</si>
  <si>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</si>
  <si>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</si>
  <si>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</si>
  <si>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</si>
  <si>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</si>
  <si>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</si>
  <si>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</si>
  <si>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</si>
  <si>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</si>
  <si>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</si>
  <si>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</si>
  <si>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</si>
  <si>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</si>
  <si>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</si>
  <si>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Average of profit</t>
  </si>
  <si>
    <t>(blank)</t>
  </si>
  <si>
    <t>Column Labels</t>
  </si>
  <si>
    <t>Total Sales</t>
  </si>
  <si>
    <t>Total Profit</t>
  </si>
  <si>
    <t>Orders</t>
  </si>
  <si>
    <t>Avg Order Value</t>
  </si>
  <si>
    <t>Profit Margin %</t>
  </si>
  <si>
    <t>1. Category Summary</t>
  </si>
  <si>
    <t>2. Monthly Trend</t>
  </si>
  <si>
    <t>3. Sales by Month, 2024 vs 2025</t>
  </si>
  <si>
    <t>4. Top Products</t>
  </si>
  <si>
    <t>8. Top 10 Customers</t>
  </si>
  <si>
    <t>9. Sales Rep Ranking</t>
  </si>
  <si>
    <t>10. Channel vs Payment</t>
  </si>
  <si>
    <t>5. Discount Impact</t>
  </si>
  <si>
    <t>6. Sales by Region</t>
  </si>
  <si>
    <t>7. Sales by City</t>
  </si>
  <si>
    <t>Sales Performance Dashboard 2024–2025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</si>
</sst>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9" formatCode="&quot;₹&quot;#,##0"/>
    <numFmt numFmtId="172" formatCode="0.0%"/>
    <numFmt numFmtId="173" formatCode="&quot;₹&quot;0.00&quot;Cr&quot;"/>
    <numFmt numFmtId="174" formatCode="&quot;₹&quot;0.00&quot;L&quot;"/>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2"/>
      <color theme="1"/>
      <name val="Aptos Narrow"/>
      <family val="2"/>
      <scheme val="minor"/>
    </font>
    <font>
      <sz val="20"/>
      <color theme="1"/>
      <name val="Aptos Narrow"/>
      <family val="2"/>
      <scheme val="minor"/>
    </font>
    <font>
      <b/>
      <sz val="14"/>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3" tint="9.9978637043366805E-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3" tint="0.89999084444715716"/>
      </left>
      <right style="thin">
        <color theme="3" tint="0.89999084444715716"/>
      </right>
      <top style="thin">
        <color theme="3" tint="0.89999084444715716"/>
      </top>
      <bottom style="thin">
        <color theme="3" tint="0.89999084444715716"/>
      </bottom>
      <diagonal/>
    </border>
    <border>
      <left style="thin">
        <color theme="3" tint="0.89999084444715716"/>
      </left>
      <right/>
      <top style="thin">
        <color theme="3" tint="0.89999084444715716"/>
      </top>
      <bottom style="thin">
        <color theme="3" tint="0.89999084444715716"/>
      </bottom>
      <diagonal/>
    </border>
    <border>
      <left style="thin">
        <color theme="3" tint="0.89999084444715716"/>
      </left>
      <right/>
      <top/>
      <bottom style="thin">
        <color theme="3" tint="0.89999084444715716"/>
      </bottom>
      <diagonal/>
    </border>
    <border>
      <left/>
      <right/>
      <top style="thin">
        <color theme="3" tint="0.89999084444715716"/>
      </top>
      <bottom style="thin">
        <color theme="3" tint="0.89999084444715716"/>
      </bottom>
      <diagonal/>
    </border>
    <border>
      <left/>
      <right/>
      <top/>
      <bottom style="thin">
        <color theme="3" tint="0.89999084444715716"/>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1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19" fillId="33" borderId="0" xfId="0" applyFont="1" applyFill="1" applyAlignment="1">
      <alignment horizontal="center"/>
    </xf>
    <xf numFmtId="0" fontId="0" fillId="0" borderId="10" xfId="0" applyBorder="1"/>
    <xf numFmtId="0" fontId="19" fillId="33" borderId="11" xfId="0" applyFont="1" applyFill="1" applyBorder="1" applyAlignment="1">
      <alignment horizontal="center"/>
    </xf>
    <xf numFmtId="173" fontId="20" fillId="33" borderId="12" xfId="0" applyNumberFormat="1" applyFont="1" applyFill="1" applyBorder="1" applyAlignment="1">
      <alignment horizontal="center"/>
    </xf>
    <xf numFmtId="0" fontId="19" fillId="33" borderId="13" xfId="0" applyFont="1" applyFill="1" applyBorder="1" applyAlignment="1">
      <alignment horizontal="center"/>
    </xf>
    <xf numFmtId="173" fontId="20" fillId="33" borderId="14" xfId="0" applyNumberFormat="1" applyFont="1" applyFill="1" applyBorder="1" applyAlignment="1">
      <alignment horizontal="center"/>
    </xf>
    <xf numFmtId="0" fontId="21" fillId="34" borderId="0" xfId="0" applyFont="1" applyFill="1" applyAlignment="1">
      <alignment horizontal="center" vertical="center"/>
    </xf>
    <xf numFmtId="0" fontId="19" fillId="33" borderId="0" xfId="0" applyFont="1" applyFill="1" applyBorder="1" applyAlignment="1">
      <alignment horizontal="center"/>
    </xf>
    <xf numFmtId="174" fontId="20" fillId="33" borderId="0" xfId="0" applyNumberFormat="1" applyFont="1" applyFill="1" applyBorder="1" applyAlignment="1">
      <alignment horizontal="center"/>
    </xf>
    <xf numFmtId="0" fontId="20" fillId="33" borderId="0" xfId="0" applyFont="1" applyFill="1" applyBorder="1" applyAlignment="1">
      <alignment horizontal="center"/>
    </xf>
    <xf numFmtId="169" fontId="20" fillId="33" borderId="0" xfId="0" applyNumberFormat="1" applyFont="1" applyFill="1" applyBorder="1" applyAlignment="1">
      <alignment horizontal="center"/>
    </xf>
    <xf numFmtId="172" fontId="20" fillId="33" borderId="0" xfId="0" applyNumberFormat="1" applyFont="1" applyFill="1" applyAlignment="1">
      <alignment horizontal="center"/>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[sales_clean.xlsx]Analysis!PivotTable7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Analysis!$B$16</c:f>
              <c:strCache>
                <c:ptCount val="1"/>
                <c:pt idx="0">
                  <c:v>Sum of sales_fix</c:v>
                </c:pt>
              </c:strCache>
            </c:strRef>
          </c:tx>
          <c:spPr>
            <a:ln w="28575" cap="rnd">
              <a:solidFill>
                <a:schemeClr val="accent1"/>
              </a:solidFill>
              <a:round/>
            </a:ln>
            <a:effectLst/>
          </c:spPr>
          <c:marker>
            <c:symbol val="none"/>
          </c:marker>
          <c:cat>
            <c:strRef>
              <c:f>Analysis!$A$17:$A$41</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Analysis!$B$17:$B$41</c:f>
              <c:numCache>
                <c:formatCode>General</c:formatCode>
                <c:ptCount val="24"/>
                <c:pt idx="0">
                  <c:v>2831418.5</c:v>
                </c:pt>
                <c:pt idx="1">
                  <c:v>3434951.5</c:v>
                </c:pt>
                <c:pt idx="2">
                  <c:v>1553084</c:v>
                </c:pt>
                <c:pt idx="3">
                  <c:v>2424439.5</c:v>
                </c:pt>
                <c:pt idx="4">
                  <c:v>3416058.5</c:v>
                </c:pt>
                <c:pt idx="5">
                  <c:v>976869</c:v>
                </c:pt>
                <c:pt idx="6">
                  <c:v>1935636</c:v>
                </c:pt>
                <c:pt idx="7">
                  <c:v>1962271</c:v>
                </c:pt>
                <c:pt idx="8">
                  <c:v>1742592.5</c:v>
                </c:pt>
                <c:pt idx="9">
                  <c:v>1984059.5</c:v>
                </c:pt>
                <c:pt idx="10">
                  <c:v>1541780.5</c:v>
                </c:pt>
                <c:pt idx="11">
                  <c:v>1868363</c:v>
                </c:pt>
                <c:pt idx="12">
                  <c:v>1939869</c:v>
                </c:pt>
                <c:pt idx="13">
                  <c:v>1591870.5</c:v>
                </c:pt>
                <c:pt idx="14">
                  <c:v>1451017.5</c:v>
                </c:pt>
                <c:pt idx="15">
                  <c:v>1665887</c:v>
                </c:pt>
                <c:pt idx="16">
                  <c:v>1638608.5</c:v>
                </c:pt>
                <c:pt idx="17">
                  <c:v>1199118.5</c:v>
                </c:pt>
                <c:pt idx="18">
                  <c:v>1483934</c:v>
                </c:pt>
                <c:pt idx="19">
                  <c:v>1219549</c:v>
                </c:pt>
                <c:pt idx="20">
                  <c:v>2391817.5</c:v>
                </c:pt>
                <c:pt idx="21">
                  <c:v>1712065.5</c:v>
                </c:pt>
                <c:pt idx="22">
                  <c:v>1923832</c:v>
                </c:pt>
                <c:pt idx="23">
                  <c:v>2159883</c:v>
                </c:pt>
              </c:numCache>
            </c:numRef>
          </c:val>
          <c:smooth val="0"/>
          <c:extLst>
            <c:ext xmlns:c16="http://schemas.microsoft.com/office/drawing/2014/chart" uri="{C3380CC4-5D6E-409C-BE32-E72D297353CC}">
              <c16:uniqueId val="{00000000-14F8-4100-9EDB-7F3D2BF15EB2}"/>
            </c:ext>
          </c:extLst>
        </c:ser>
        <c:ser>
          <c:idx val="1"/>
          <c:order val="1"/>
          <c:tx>
            <c:strRef>
              <c:f>Analysis!$C$16</c:f>
              <c:strCache>
                <c:ptCount val="1"/>
                <c:pt idx="0">
                  <c:v>Sum of profit</c:v>
                </c:pt>
              </c:strCache>
            </c:strRef>
          </c:tx>
          <c:spPr>
            <a:ln w="28575" cap="rnd">
              <a:solidFill>
                <a:schemeClr val="accent2"/>
              </a:solidFill>
              <a:round/>
            </a:ln>
            <a:effectLst/>
          </c:spPr>
          <c:marker>
            <c:symbol val="none"/>
          </c:marker>
          <c:cat>
            <c:strRef>
              <c:f>Analysis!$A$17:$A$41</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Analysis!$C$17:$C$41</c:f>
              <c:numCache>
                <c:formatCode>General</c:formatCode>
                <c:ptCount val="24"/>
                <c:pt idx="0">
                  <c:v>516674.9099999998</c:v>
                </c:pt>
                <c:pt idx="1">
                  <c:v>1075707.6299999999</c:v>
                </c:pt>
                <c:pt idx="2">
                  <c:v>276005.89000000007</c:v>
                </c:pt>
                <c:pt idx="3">
                  <c:v>430056.7899999998</c:v>
                </c:pt>
                <c:pt idx="4">
                  <c:v>574905.87000000023</c:v>
                </c:pt>
                <c:pt idx="5">
                  <c:v>191507.15999999992</c:v>
                </c:pt>
                <c:pt idx="6">
                  <c:v>344473.94000000012</c:v>
                </c:pt>
                <c:pt idx="7">
                  <c:v>337224.63000000006</c:v>
                </c:pt>
                <c:pt idx="8">
                  <c:v>314271.05000000005</c:v>
                </c:pt>
                <c:pt idx="9">
                  <c:v>344023.23000000016</c:v>
                </c:pt>
                <c:pt idx="10">
                  <c:v>284195.50999999995</c:v>
                </c:pt>
                <c:pt idx="11">
                  <c:v>325526.43000000005</c:v>
                </c:pt>
                <c:pt idx="12">
                  <c:v>347192.17999999988</c:v>
                </c:pt>
                <c:pt idx="13">
                  <c:v>281641.53000000009</c:v>
                </c:pt>
                <c:pt idx="14">
                  <c:v>281432.61000000004</c:v>
                </c:pt>
                <c:pt idx="15">
                  <c:v>305261.46000000008</c:v>
                </c:pt>
                <c:pt idx="16">
                  <c:v>304054.25</c:v>
                </c:pt>
                <c:pt idx="17">
                  <c:v>225238.27999999991</c:v>
                </c:pt>
                <c:pt idx="18">
                  <c:v>274170.02</c:v>
                </c:pt>
                <c:pt idx="19">
                  <c:v>224491.58000000002</c:v>
                </c:pt>
                <c:pt idx="20">
                  <c:v>407085.92</c:v>
                </c:pt>
                <c:pt idx="21">
                  <c:v>307953.08999999991</c:v>
                </c:pt>
                <c:pt idx="22">
                  <c:v>343228.43</c:v>
                </c:pt>
                <c:pt idx="23">
                  <c:v>362494.4</c:v>
                </c:pt>
              </c:numCache>
            </c:numRef>
          </c:val>
          <c:smooth val="0"/>
          <c:extLst>
            <c:ext xmlns:c16="http://schemas.microsoft.com/office/drawing/2014/chart" uri="{C3380CC4-5D6E-409C-BE32-E72D297353CC}">
              <c16:uniqueId val="{00000001-14F8-4100-9EDB-7F3D2BF15EB2}"/>
            </c:ext>
          </c:extLst>
        </c:ser>
        <c:dLbls>
          <c:showLegendKey val="0"/>
          <c:showVal val="0"/>
          <c:showCatName val="0"/>
          <c:showSerName val="0"/>
          <c:showPercent val="0"/>
          <c:showBubbleSize val="0"/>
        </c:dLbls>
        <c:smooth val="0"/>
        <c:axId val="1058008320"/>
        <c:axId val="958886032"/>
      </c:lineChart>
      <c:catAx>
        <c:axId val="105800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886032"/>
        <c:crosses val="autoZero"/>
        <c:auto val="1"/>
        <c:lblAlgn val="ctr"/>
        <c:lblOffset val="100"/>
        <c:noMultiLvlLbl val="0"/>
      </c:catAx>
      <c:valAx>
        <c:axId val="95888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0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[sales_clean.xlsx]Analysis!PivotTable1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2203556434007"/>
          <c:y val="0.14249781277340332"/>
          <c:w val="0.53660959008731712"/>
          <c:h val="0.75047317002041414"/>
        </c:manualLayout>
      </c:layout>
      <c:barChart>
        <c:barDir val="bar"/>
        <c:grouping val="clustered"/>
        <c:varyColors val="0"/>
        <c:ser>
          <c:idx val="0"/>
          <c:order val="0"/>
          <c:tx>
            <c:strRef>
              <c:f>Analysis!$B$5</c:f>
              <c:strCache>
                <c:ptCount val="1"/>
                <c:pt idx="0">
                  <c:v>Sum of sales_fix</c:v>
                </c:pt>
              </c:strCache>
            </c:strRef>
          </c:tx>
          <c:spPr>
            <a:solidFill>
              <a:schemeClr val="accent1"/>
            </a:solidFill>
            <a:ln>
              <a:noFill/>
            </a:ln>
            <a:effectLst/>
          </c:spPr>
          <c:invertIfNegative val="0"/>
          <c:cat>
            <c:strRef>
              <c:f>Analysis!$A$6:$A$11</c:f>
              <c:strCache>
                <c:ptCount val="5"/>
                <c:pt idx="0">
                  <c:v>Accessories</c:v>
                </c:pt>
                <c:pt idx="1">
                  <c:v>Electronics</c:v>
                </c:pt>
                <c:pt idx="2">
                  <c:v>Footwear</c:v>
                </c:pt>
                <c:pt idx="3">
                  <c:v>Furniture</c:v>
                </c:pt>
                <c:pt idx="4">
                  <c:v>Stationery</c:v>
                </c:pt>
              </c:strCache>
            </c:strRef>
          </c:cat>
          <c:val>
            <c:numRef>
              <c:f>Analysis!$B$6:$B$11</c:f>
              <c:numCache>
                <c:formatCode>General</c:formatCode>
                <c:ptCount val="5"/>
                <c:pt idx="0">
                  <c:v>882390</c:v>
                </c:pt>
                <c:pt idx="1">
                  <c:v>34721200</c:v>
                </c:pt>
                <c:pt idx="2">
                  <c:v>1461250</c:v>
                </c:pt>
                <c:pt idx="3">
                  <c:v>8821025</c:v>
                </c:pt>
                <c:pt idx="4">
                  <c:v>163110.5</c:v>
                </c:pt>
              </c:numCache>
            </c:numRef>
          </c:val>
          <c:extLst>
            <c:ext xmlns:c16="http://schemas.microsoft.com/office/drawing/2014/chart" uri="{C3380CC4-5D6E-409C-BE32-E72D297353CC}">
              <c16:uniqueId val="{00000000-CED0-42AD-B84B-3116865FA32E}"/>
            </c:ext>
          </c:extLst>
        </c:ser>
        <c:ser>
          <c:idx val="1"/>
          <c:order val="1"/>
          <c:tx>
            <c:strRef>
              <c:f>Analysis!$C$5</c:f>
              <c:strCache>
                <c:ptCount val="1"/>
                <c:pt idx="0">
                  <c:v>Sum of profit</c:v>
                </c:pt>
              </c:strCache>
            </c:strRef>
          </c:tx>
          <c:spPr>
            <a:solidFill>
              <a:schemeClr val="accent2"/>
            </a:solidFill>
            <a:ln>
              <a:noFill/>
            </a:ln>
            <a:effectLst/>
          </c:spPr>
          <c:invertIfNegative val="0"/>
          <c:cat>
            <c:strRef>
              <c:f>Analysis!$A$6:$A$11</c:f>
              <c:strCache>
                <c:ptCount val="5"/>
                <c:pt idx="0">
                  <c:v>Accessories</c:v>
                </c:pt>
                <c:pt idx="1">
                  <c:v>Electronics</c:v>
                </c:pt>
                <c:pt idx="2">
                  <c:v>Footwear</c:v>
                </c:pt>
                <c:pt idx="3">
                  <c:v>Furniture</c:v>
                </c:pt>
                <c:pt idx="4">
                  <c:v>Stationery</c:v>
                </c:pt>
              </c:strCache>
            </c:strRef>
          </c:cat>
          <c:val>
            <c:numRef>
              <c:f>Analysis!$C$6:$C$11</c:f>
              <c:numCache>
                <c:formatCode>General</c:formatCode>
                <c:ptCount val="5"/>
                <c:pt idx="0">
                  <c:v>281200.43000000005</c:v>
                </c:pt>
                <c:pt idx="1">
                  <c:v>5667072.2200000044</c:v>
                </c:pt>
                <c:pt idx="2">
                  <c:v>429437.18999999989</c:v>
                </c:pt>
                <c:pt idx="3">
                  <c:v>2238590.5499999984</c:v>
                </c:pt>
                <c:pt idx="4">
                  <c:v>62516.400000000023</c:v>
                </c:pt>
              </c:numCache>
            </c:numRef>
          </c:val>
          <c:extLst>
            <c:ext xmlns:c16="http://schemas.microsoft.com/office/drawing/2014/chart" uri="{C3380CC4-5D6E-409C-BE32-E72D297353CC}">
              <c16:uniqueId val="{00000001-CED0-42AD-B84B-3116865FA32E}"/>
            </c:ext>
          </c:extLst>
        </c:ser>
        <c:dLbls>
          <c:showLegendKey val="0"/>
          <c:showVal val="0"/>
          <c:showCatName val="0"/>
          <c:showSerName val="0"/>
          <c:showPercent val="0"/>
          <c:showBubbleSize val="0"/>
        </c:dLbls>
        <c:gapWidth val="182"/>
        <c:axId val="1243564512"/>
        <c:axId val="958817392"/>
      </c:barChart>
      <c:catAx>
        <c:axId val="124356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817392"/>
        <c:crosses val="autoZero"/>
        <c:auto val="1"/>
        <c:lblAlgn val="ctr"/>
        <c:lblOffset val="100"/>
        <c:noMultiLvlLbl val="0"/>
      </c:catAx>
      <c:valAx>
        <c:axId val="95881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56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[sales_clean.xlsx]Analysis!PivotTable18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Analysis!$B$47</c:f>
              <c:strCache>
                <c:ptCount val="1"/>
                <c:pt idx="0">
                  <c:v>Total</c:v>
                </c:pt>
              </c:strCache>
            </c:strRef>
          </c:tx>
          <c:spPr>
            <a:solidFill>
              <a:schemeClr val="accent1"/>
            </a:solidFill>
            <a:ln>
              <a:noFill/>
            </a:ln>
            <a:effectLst/>
          </c:spPr>
          <c:invertIfNegative val="0"/>
          <c:cat>
            <c:strRef>
              <c:f>Analysis!$A$48:$A$52</c:f>
              <c:strCache>
                <c:ptCount val="4"/>
                <c:pt idx="0">
                  <c:v>East</c:v>
                </c:pt>
                <c:pt idx="1">
                  <c:v>North</c:v>
                </c:pt>
                <c:pt idx="2">
                  <c:v>South</c:v>
                </c:pt>
                <c:pt idx="3">
                  <c:v>West</c:v>
                </c:pt>
              </c:strCache>
            </c:strRef>
          </c:cat>
          <c:val>
            <c:numRef>
              <c:f>Analysis!$B$48:$B$52</c:f>
              <c:numCache>
                <c:formatCode>General</c:formatCode>
                <c:ptCount val="4"/>
                <c:pt idx="0">
                  <c:v>12630099</c:v>
                </c:pt>
                <c:pt idx="1">
                  <c:v>9791984.5</c:v>
                </c:pt>
                <c:pt idx="2">
                  <c:v>11388375</c:v>
                </c:pt>
                <c:pt idx="3">
                  <c:v>12238517</c:v>
                </c:pt>
              </c:numCache>
            </c:numRef>
          </c:val>
          <c:extLst>
            <c:ext xmlns:c16="http://schemas.microsoft.com/office/drawing/2014/chart" uri="{C3380CC4-5D6E-409C-BE32-E72D297353CC}">
              <c16:uniqueId val="{00000000-C71A-4FBB-A126-EB0CBB8BD394}"/>
            </c:ext>
          </c:extLst>
        </c:ser>
        <c:dLbls>
          <c:showLegendKey val="0"/>
          <c:showVal val="0"/>
          <c:showCatName val="0"/>
          <c:showSerName val="0"/>
          <c:showPercent val="0"/>
          <c:showBubbleSize val="0"/>
        </c:dLbls>
        <c:gapWidth val="219"/>
        <c:overlap val="-27"/>
        <c:axId val="1170075344"/>
        <c:axId val="616373808"/>
      </c:barChart>
      <c:catAx>
        <c:axId val="117007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373808"/>
        <c:crosses val="autoZero"/>
        <c:auto val="1"/>
        <c:lblAlgn val="ctr"/>
        <c:lblOffset val="100"/>
        <c:noMultiLvlLbl val="0"/>
      </c:catAx>
      <c:valAx>
        <c:axId val="61637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07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[sales_clean.xlsx]Analysis!PivotTable52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Channel Mix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05861767279087"/>
          <c:y val="0.12860892388451445"/>
          <c:w val="0.42900262467191602"/>
          <c:h val="0.71500437445319331"/>
        </c:manualLayout>
      </c:layout>
      <c:doughnutChart>
        <c:varyColors val="1"/>
        <c:ser>
          <c:idx val="0"/>
          <c:order val="0"/>
          <c:tx>
            <c:strRef>
              <c:f>Analysis!$H$71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B0-4757-83A5-DEB149BA90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B0-4757-83A5-DEB149BA90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B0-4757-83A5-DEB149BA901D}"/>
              </c:ext>
            </c:extLst>
          </c:dPt>
          <c:cat>
            <c:strRef>
              <c:f>Analysis!$G$72:$G$75</c:f>
              <c:strCache>
                <c:ptCount val="3"/>
                <c:pt idx="0">
                  <c:v>Distributor</c:v>
                </c:pt>
                <c:pt idx="1">
                  <c:v>Online</c:v>
                </c:pt>
                <c:pt idx="2">
                  <c:v>Retail Store</c:v>
                </c:pt>
              </c:strCache>
            </c:strRef>
          </c:cat>
          <c:val>
            <c:numRef>
              <c:f>Analysis!$H$72:$H$75</c:f>
              <c:numCache>
                <c:formatCode>General</c:formatCode>
                <c:ptCount val="3"/>
                <c:pt idx="0">
                  <c:v>668</c:v>
                </c:pt>
                <c:pt idx="1">
                  <c:v>640</c:v>
                </c:pt>
                <c:pt idx="2">
                  <c:v>692</c:v>
                </c:pt>
              </c:numCache>
            </c:numRef>
          </c:val>
          <c:extLst>
            <c:ext xmlns:c16="http://schemas.microsoft.com/office/drawing/2014/chart" uri="{C3380CC4-5D6E-409C-BE32-E72D297353CC}">
              <c16:uniqueId val="{00000006-23B0-4757-83A5-DEB149BA90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[sales_clean.xlsx]Analysis!PivotTable53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a:t>
            </a:r>
            <a:endParaRPr lang="en-IN"/>
          </a:p>
        </c:rich>
      </c:tx>
      <c:layout>
        <c:manualLayout>
          <c:xMode val="edge"/>
          <c:yMode val="edge"/>
          <c:x val="0.57040621053001039"/>
          <c:y val="4.88477899718083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3347839535852045"/>
          <c:y val="0.13376113824003222"/>
          <c:w val="0.4486329321271727"/>
          <c:h val="0.75076536070277877"/>
        </c:manualLayout>
      </c:layout>
      <c:bar3DChart>
        <c:barDir val="bar"/>
        <c:grouping val="stacked"/>
        <c:varyColors val="0"/>
        <c:ser>
          <c:idx val="0"/>
          <c:order val="0"/>
          <c:tx>
            <c:strRef>
              <c:f>Analysis!$K$16</c:f>
              <c:strCache>
                <c:ptCount val="1"/>
                <c:pt idx="0">
                  <c:v>Total</c:v>
                </c:pt>
              </c:strCache>
            </c:strRef>
          </c:tx>
          <c:spPr>
            <a:solidFill>
              <a:schemeClr val="accent1"/>
            </a:solidFill>
            <a:ln>
              <a:noFill/>
            </a:ln>
            <a:effectLst/>
            <a:sp3d/>
          </c:spPr>
          <c:invertIfNegative val="0"/>
          <c:cat>
            <c:strRef>
              <c:f>Analysis!$J$17:$J$29</c:f>
              <c:strCache>
                <c:ptCount val="12"/>
                <c:pt idx="0">
                  <c:v>Backpack</c:v>
                </c:pt>
                <c:pt idx="1">
                  <c:v>Bookshelf</c:v>
                </c:pt>
                <c:pt idx="2">
                  <c:v>Headphones</c:v>
                </c:pt>
                <c:pt idx="3">
                  <c:v>Laptop</c:v>
                </c:pt>
                <c:pt idx="4">
                  <c:v>Notebook Pack</c:v>
                </c:pt>
                <c:pt idx="5">
                  <c:v>Office Chair</c:v>
                </c:pt>
                <c:pt idx="6">
                  <c:v>Pen Set</c:v>
                </c:pt>
                <c:pt idx="7">
                  <c:v>Running Shoes</c:v>
                </c:pt>
                <c:pt idx="8">
                  <c:v>Smart Watch</c:v>
                </c:pt>
                <c:pt idx="9">
                  <c:v>Smartphone</c:v>
                </c:pt>
                <c:pt idx="10">
                  <c:v>Study Desk</c:v>
                </c:pt>
                <c:pt idx="11">
                  <c:v>Water Bottle</c:v>
                </c:pt>
              </c:strCache>
            </c:strRef>
          </c:cat>
          <c:val>
            <c:numRef>
              <c:f>Analysis!$K$17:$K$29</c:f>
              <c:numCache>
                <c:formatCode>General</c:formatCode>
                <c:ptCount val="12"/>
                <c:pt idx="0">
                  <c:v>650250</c:v>
                </c:pt>
                <c:pt idx="1">
                  <c:v>2612700</c:v>
                </c:pt>
                <c:pt idx="2">
                  <c:v>1405950</c:v>
                </c:pt>
                <c:pt idx="3">
                  <c:v>22151250</c:v>
                </c:pt>
                <c:pt idx="4">
                  <c:v>102612.5</c:v>
                </c:pt>
                <c:pt idx="5">
                  <c:v>3034850</c:v>
                </c:pt>
                <c:pt idx="6">
                  <c:v>60498</c:v>
                </c:pt>
                <c:pt idx="7">
                  <c:v>1461250</c:v>
                </c:pt>
                <c:pt idx="8">
                  <c:v>2574000</c:v>
                </c:pt>
                <c:pt idx="9">
                  <c:v>8590000</c:v>
                </c:pt>
                <c:pt idx="10">
                  <c:v>3173475</c:v>
                </c:pt>
                <c:pt idx="11">
                  <c:v>232140</c:v>
                </c:pt>
              </c:numCache>
            </c:numRef>
          </c:val>
          <c:extLst>
            <c:ext xmlns:c16="http://schemas.microsoft.com/office/drawing/2014/chart" uri="{C3380CC4-5D6E-409C-BE32-E72D297353CC}">
              <c16:uniqueId val="{00000000-9FD4-4E5E-A7C1-0C1162418966}"/>
            </c:ext>
          </c:extLst>
        </c:ser>
        <c:dLbls>
          <c:showLegendKey val="0"/>
          <c:showVal val="0"/>
          <c:showCatName val="0"/>
          <c:showSerName val="0"/>
          <c:showPercent val="0"/>
          <c:showBubbleSize val="0"/>
        </c:dLbls>
        <c:gapWidth val="150"/>
        <c:shape val="box"/>
        <c:axId val="1243547344"/>
        <c:axId val="958932592"/>
        <c:axId val="0"/>
      </c:bar3DChart>
      <c:catAx>
        <c:axId val="1243547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932592"/>
        <c:crosses val="autoZero"/>
        <c:auto val="1"/>
        <c:lblAlgn val="ctr"/>
        <c:lblOffset val="100"/>
        <c:noMultiLvlLbl val="0"/>
      </c:catAx>
      <c:valAx>
        <c:axId val="95893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547344"/>
        <c:crosses val="autoZero"/>
        <c:crossBetween val="between"/>
      </c:valAx>
      <c:spPr>
        <a:noFill/>
        <a:ln>
          <a:noFill/>
        </a:ln>
        <a:effectLst/>
      </c:spPr>
    </c:plotArea>
    <c:legend>
      <c:legendPos val="r"/>
      <c:layout>
        <c:manualLayout>
          <c:xMode val="edge"/>
          <c:yMode val="edge"/>
          <c:x val="2.8566813402423685E-2"/>
          <c:y val="0.13911748326117598"/>
          <c:w val="0.22244607070127623"/>
          <c:h val="0.311081368933749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[sales_clean.xlsx]Analysis!PivotTable51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Analysis!$E$71</c:f>
              <c:strCache>
                <c:ptCount val="1"/>
                <c:pt idx="0">
                  <c:v>Total</c:v>
                </c:pt>
              </c:strCache>
            </c:strRef>
          </c:tx>
          <c:spPr>
            <a:solidFill>
              <a:schemeClr val="accent1"/>
            </a:solidFill>
            <a:ln>
              <a:noFill/>
            </a:ln>
            <a:effectLst/>
          </c:spPr>
          <c:cat>
            <c:strRef>
              <c:f>Analysis!$D$72:$D$80</c:f>
              <c:strCache>
                <c:ptCount val="8"/>
                <c:pt idx="0">
                  <c:v>Anita Sharma</c:v>
                </c:pt>
                <c:pt idx="1">
                  <c:v>Arjun Patel</c:v>
                </c:pt>
                <c:pt idx="2">
                  <c:v>Meena Iyer</c:v>
                </c:pt>
                <c:pt idx="3">
                  <c:v>Neha Singh</c:v>
                </c:pt>
                <c:pt idx="4">
                  <c:v>Ravi Kumar</c:v>
                </c:pt>
                <c:pt idx="5">
                  <c:v>Suresh Reddy</c:v>
                </c:pt>
                <c:pt idx="6">
                  <c:v>Unassigned</c:v>
                </c:pt>
                <c:pt idx="7">
                  <c:v>(blank)</c:v>
                </c:pt>
              </c:strCache>
            </c:strRef>
          </c:cat>
          <c:val>
            <c:numRef>
              <c:f>Analysis!$E$72:$E$80</c:f>
              <c:numCache>
                <c:formatCode>General</c:formatCode>
                <c:ptCount val="8"/>
                <c:pt idx="0">
                  <c:v>6732239</c:v>
                </c:pt>
                <c:pt idx="1">
                  <c:v>6277412.5</c:v>
                </c:pt>
                <c:pt idx="2">
                  <c:v>7754265</c:v>
                </c:pt>
                <c:pt idx="3">
                  <c:v>6570915</c:v>
                </c:pt>
                <c:pt idx="4">
                  <c:v>8644975.5</c:v>
                </c:pt>
                <c:pt idx="5">
                  <c:v>8905509</c:v>
                </c:pt>
                <c:pt idx="6">
                  <c:v>1113659.5</c:v>
                </c:pt>
                <c:pt idx="7">
                  <c:v>50000</c:v>
                </c:pt>
              </c:numCache>
            </c:numRef>
          </c:val>
          <c:extLst>
            <c:ext xmlns:c16="http://schemas.microsoft.com/office/drawing/2014/chart" uri="{C3380CC4-5D6E-409C-BE32-E72D297353CC}">
              <c16:uniqueId val="{00000000-3A83-4706-97BE-175C29ECEB25}"/>
            </c:ext>
          </c:extLst>
        </c:ser>
        <c:dLbls>
          <c:showLegendKey val="0"/>
          <c:showVal val="0"/>
          <c:showCatName val="0"/>
          <c:showSerName val="0"/>
          <c:showPercent val="0"/>
          <c:showBubbleSize val="0"/>
        </c:dLbls>
        <c:axId val="1519321568"/>
        <c:axId val="1276421168"/>
      </c:areaChart>
      <c:catAx>
        <c:axId val="1519321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421168"/>
        <c:crosses val="autoZero"/>
        <c:auto val="1"/>
        <c:lblAlgn val="ctr"/>
        <c:lblOffset val="100"/>
        <c:noMultiLvlLbl val="0"/>
      </c:catAx>
      <c:valAx>
        <c:axId val="127642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3215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[sales_clean.xlsx]Analysis!PivotTable48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City (Top 10)</a:t>
            </a:r>
            <a:endParaRPr lang="en-IN"/>
          </a:p>
        </c:rich>
      </c:tx>
      <c:layout>
        <c:manualLayout>
          <c:xMode val="edge"/>
          <c:yMode val="edge"/>
          <c:x val="0.52489779488604182"/>
          <c:y val="3.72623789828446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4846867961879"/>
          <c:y val="0.17252188064498147"/>
          <c:w val="0.79471261475283428"/>
          <c:h val="0.43365487212940307"/>
        </c:manualLayout>
      </c:layout>
      <c:barChart>
        <c:barDir val="col"/>
        <c:grouping val="clustered"/>
        <c:varyColors val="0"/>
        <c:ser>
          <c:idx val="0"/>
          <c:order val="0"/>
          <c:tx>
            <c:strRef>
              <c:f>Analysis!$F$47</c:f>
              <c:strCache>
                <c:ptCount val="1"/>
                <c:pt idx="0">
                  <c:v>Sum of sales_fix</c:v>
                </c:pt>
              </c:strCache>
            </c:strRef>
          </c:tx>
          <c:spPr>
            <a:solidFill>
              <a:schemeClr val="accent1"/>
            </a:solidFill>
            <a:ln>
              <a:noFill/>
            </a:ln>
            <a:effectLst/>
          </c:spPr>
          <c:invertIfNegative val="0"/>
          <c:cat>
            <c:strRef>
              <c:f>Analysis!$E$48:$E$65</c:f>
              <c:strCache>
                <c:ptCount val="17"/>
                <c:pt idx="0">
                  <c:v>Ahmedabad</c:v>
                </c:pt>
                <c:pt idx="1">
                  <c:v>Bengaluru</c:v>
                </c:pt>
                <c:pt idx="2">
                  <c:v>Bhubaneswar</c:v>
                </c:pt>
                <c:pt idx="3">
                  <c:v>Chandigarh</c:v>
                </c:pt>
                <c:pt idx="4">
                  <c:v>Chennai</c:v>
                </c:pt>
                <c:pt idx="5">
                  <c:v>Delhi</c:v>
                </c:pt>
                <c:pt idx="6">
                  <c:v>Guwahati</c:v>
                </c:pt>
                <c:pt idx="7">
                  <c:v>Hyderabad</c:v>
                </c:pt>
                <c:pt idx="8">
                  <c:v>Jaipur</c:v>
                </c:pt>
                <c:pt idx="9">
                  <c:v>Kochi</c:v>
                </c:pt>
                <c:pt idx="10">
                  <c:v>Kolkata</c:v>
                </c:pt>
                <c:pt idx="11">
                  <c:v>Lucknow</c:v>
                </c:pt>
                <c:pt idx="12">
                  <c:v>Mumbai</c:v>
                </c:pt>
                <c:pt idx="13">
                  <c:v>Patna</c:v>
                </c:pt>
                <c:pt idx="14">
                  <c:v>Pune</c:v>
                </c:pt>
                <c:pt idx="15">
                  <c:v>Surat</c:v>
                </c:pt>
                <c:pt idx="16">
                  <c:v>Vijayawada</c:v>
                </c:pt>
              </c:strCache>
            </c:strRef>
          </c:cat>
          <c:val>
            <c:numRef>
              <c:f>Analysis!$F$48:$F$65</c:f>
              <c:numCache>
                <c:formatCode>General</c:formatCode>
                <c:ptCount val="17"/>
                <c:pt idx="0">
                  <c:v>1420228</c:v>
                </c:pt>
                <c:pt idx="1">
                  <c:v>2422936.5</c:v>
                </c:pt>
                <c:pt idx="2">
                  <c:v>2114175.5</c:v>
                </c:pt>
                <c:pt idx="3">
                  <c:v>1929640</c:v>
                </c:pt>
                <c:pt idx="4">
                  <c:v>2164839.5</c:v>
                </c:pt>
                <c:pt idx="5">
                  <c:v>2818796</c:v>
                </c:pt>
                <c:pt idx="6">
                  <c:v>2901370.5</c:v>
                </c:pt>
                <c:pt idx="7">
                  <c:v>2695966</c:v>
                </c:pt>
                <c:pt idx="8">
                  <c:v>2320743.5</c:v>
                </c:pt>
                <c:pt idx="9">
                  <c:v>2992195</c:v>
                </c:pt>
                <c:pt idx="10">
                  <c:v>2278604.5</c:v>
                </c:pt>
                <c:pt idx="11">
                  <c:v>2722805</c:v>
                </c:pt>
                <c:pt idx="12">
                  <c:v>2437950.5</c:v>
                </c:pt>
                <c:pt idx="13">
                  <c:v>5335948.5</c:v>
                </c:pt>
                <c:pt idx="14">
                  <c:v>3259752.5</c:v>
                </c:pt>
                <c:pt idx="15">
                  <c:v>5120586</c:v>
                </c:pt>
                <c:pt idx="16">
                  <c:v>1112438</c:v>
                </c:pt>
              </c:numCache>
            </c:numRef>
          </c:val>
          <c:extLst>
            <c:ext xmlns:c16="http://schemas.microsoft.com/office/drawing/2014/chart" uri="{C3380CC4-5D6E-409C-BE32-E72D297353CC}">
              <c16:uniqueId val="{00000000-1380-4AD7-BF28-013DDDA367CE}"/>
            </c:ext>
          </c:extLst>
        </c:ser>
        <c:ser>
          <c:idx val="1"/>
          <c:order val="1"/>
          <c:tx>
            <c:strRef>
              <c:f>Analysis!$G$47</c:f>
              <c:strCache>
                <c:ptCount val="1"/>
                <c:pt idx="0">
                  <c:v>Sum of profit</c:v>
                </c:pt>
              </c:strCache>
            </c:strRef>
          </c:tx>
          <c:spPr>
            <a:solidFill>
              <a:schemeClr val="accent2"/>
            </a:solidFill>
            <a:ln>
              <a:noFill/>
            </a:ln>
            <a:effectLst/>
          </c:spPr>
          <c:invertIfNegative val="0"/>
          <c:cat>
            <c:strRef>
              <c:f>Analysis!$E$48:$E$65</c:f>
              <c:strCache>
                <c:ptCount val="17"/>
                <c:pt idx="0">
                  <c:v>Ahmedabad</c:v>
                </c:pt>
                <c:pt idx="1">
                  <c:v>Bengaluru</c:v>
                </c:pt>
                <c:pt idx="2">
                  <c:v>Bhubaneswar</c:v>
                </c:pt>
                <c:pt idx="3">
                  <c:v>Chandigarh</c:v>
                </c:pt>
                <c:pt idx="4">
                  <c:v>Chennai</c:v>
                </c:pt>
                <c:pt idx="5">
                  <c:v>Delhi</c:v>
                </c:pt>
                <c:pt idx="6">
                  <c:v>Guwahati</c:v>
                </c:pt>
                <c:pt idx="7">
                  <c:v>Hyderabad</c:v>
                </c:pt>
                <c:pt idx="8">
                  <c:v>Jaipur</c:v>
                </c:pt>
                <c:pt idx="9">
                  <c:v>Kochi</c:v>
                </c:pt>
                <c:pt idx="10">
                  <c:v>Kolkata</c:v>
                </c:pt>
                <c:pt idx="11">
                  <c:v>Lucknow</c:v>
                </c:pt>
                <c:pt idx="12">
                  <c:v>Mumbai</c:v>
                </c:pt>
                <c:pt idx="13">
                  <c:v>Patna</c:v>
                </c:pt>
                <c:pt idx="14">
                  <c:v>Pune</c:v>
                </c:pt>
                <c:pt idx="15">
                  <c:v>Surat</c:v>
                </c:pt>
                <c:pt idx="16">
                  <c:v>Vijayawada</c:v>
                </c:pt>
              </c:strCache>
            </c:strRef>
          </c:cat>
          <c:val>
            <c:numRef>
              <c:f>Analysis!$G$48:$G$65</c:f>
              <c:numCache>
                <c:formatCode>General</c:formatCode>
                <c:ptCount val="17"/>
                <c:pt idx="0">
                  <c:v>766195.98999999976</c:v>
                </c:pt>
                <c:pt idx="1">
                  <c:v>449660.38</c:v>
                </c:pt>
                <c:pt idx="2">
                  <c:v>381923.58000000007</c:v>
                </c:pt>
                <c:pt idx="3">
                  <c:v>348404.62000000017</c:v>
                </c:pt>
                <c:pt idx="4">
                  <c:v>367773.07999999996</c:v>
                </c:pt>
                <c:pt idx="5">
                  <c:v>506099.48000000016</c:v>
                </c:pt>
                <c:pt idx="6">
                  <c:v>501227.97000000003</c:v>
                </c:pt>
                <c:pt idx="7">
                  <c:v>496233.88</c:v>
                </c:pt>
                <c:pt idx="8">
                  <c:v>429876.98999999976</c:v>
                </c:pt>
                <c:pt idx="9">
                  <c:v>538375.66999999981</c:v>
                </c:pt>
                <c:pt idx="10">
                  <c:v>397734.27000000008</c:v>
                </c:pt>
                <c:pt idx="11">
                  <c:v>490612.65000000014</c:v>
                </c:pt>
                <c:pt idx="12">
                  <c:v>406138.05999999994</c:v>
                </c:pt>
                <c:pt idx="13">
                  <c:v>953205.75000000023</c:v>
                </c:pt>
                <c:pt idx="14">
                  <c:v>545446.14</c:v>
                </c:pt>
                <c:pt idx="15">
                  <c:v>897329.09000000043</c:v>
                </c:pt>
                <c:pt idx="16">
                  <c:v>202579.18999999997</c:v>
                </c:pt>
              </c:numCache>
            </c:numRef>
          </c:val>
          <c:extLst>
            <c:ext xmlns:c16="http://schemas.microsoft.com/office/drawing/2014/chart" uri="{C3380CC4-5D6E-409C-BE32-E72D297353CC}">
              <c16:uniqueId val="{00000001-1380-4AD7-BF28-013DDDA367CE}"/>
            </c:ext>
          </c:extLst>
        </c:ser>
        <c:dLbls>
          <c:showLegendKey val="0"/>
          <c:showVal val="0"/>
          <c:showCatName val="0"/>
          <c:showSerName val="0"/>
          <c:showPercent val="0"/>
          <c:showBubbleSize val="0"/>
        </c:dLbls>
        <c:gapWidth val="219"/>
        <c:overlap val="-27"/>
        <c:axId val="1519297440"/>
        <c:axId val="1276502768"/>
      </c:barChart>
      <c:catAx>
        <c:axId val="151929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02768"/>
        <c:crosses val="autoZero"/>
        <c:auto val="1"/>
        <c:lblAlgn val="ctr"/>
        <c:lblOffset val="100"/>
        <c:noMultiLvlLbl val="0"/>
      </c:catAx>
      <c:valAx>
        <c:axId val="127650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297440"/>
        <c:crosses val="autoZero"/>
        <c:crossBetween val="between"/>
      </c:valAx>
      <c:spPr>
        <a:noFill/>
        <a:ln>
          <a:noFill/>
        </a:ln>
        <a:effectLst/>
      </c:spPr>
    </c:plotArea>
    <c:legend>
      <c:legendPos val="r"/>
      <c:layout>
        <c:manualLayout>
          <c:xMode val="edge"/>
          <c:yMode val="edge"/>
          <c:x val="0.16052341044115084"/>
          <c:y val="4.1206225262328144E-2"/>
          <c:w val="0.25967865587539524"/>
          <c:h val="0.209602348801295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[sales_clean.xlsx]Analysis!PivotTable44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Analysis!$F$16:$F$17</c:f>
              <c:strCache>
                <c:ptCount val="1"/>
                <c:pt idx="0">
                  <c:v>2024</c:v>
                </c:pt>
              </c:strCache>
            </c:strRef>
          </c:tx>
          <c:spPr>
            <a:ln w="28575" cap="rnd">
              <a:solidFill>
                <a:schemeClr val="accent1"/>
              </a:solidFill>
              <a:round/>
            </a:ln>
            <a:effectLst/>
          </c:spPr>
          <c:marker>
            <c:symbol val="none"/>
          </c:marker>
          <c:cat>
            <c:strRef>
              <c:f>Analysis!$E$18:$E$30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Analysis!$F$18:$F$30</c:f>
              <c:numCache>
                <c:formatCode>General</c:formatCode>
                <c:ptCount val="12"/>
                <c:pt idx="0">
                  <c:v>2831418.5</c:v>
                </c:pt>
                <c:pt idx="1">
                  <c:v>3434951.5</c:v>
                </c:pt>
                <c:pt idx="2">
                  <c:v>1553084</c:v>
                </c:pt>
                <c:pt idx="3">
                  <c:v>2424439.5</c:v>
                </c:pt>
                <c:pt idx="4">
                  <c:v>3416058.5</c:v>
                </c:pt>
                <c:pt idx="5">
                  <c:v>976869</c:v>
                </c:pt>
                <c:pt idx="6">
                  <c:v>1935636</c:v>
                </c:pt>
                <c:pt idx="7">
                  <c:v>1962271</c:v>
                </c:pt>
                <c:pt idx="8">
                  <c:v>1742592.5</c:v>
                </c:pt>
                <c:pt idx="9">
                  <c:v>1984059.5</c:v>
                </c:pt>
                <c:pt idx="10">
                  <c:v>1541780.5</c:v>
                </c:pt>
                <c:pt idx="11">
                  <c:v>1868363</c:v>
                </c:pt>
              </c:numCache>
            </c:numRef>
          </c:val>
          <c:smooth val="0"/>
          <c:extLst>
            <c:ext xmlns:c16="http://schemas.microsoft.com/office/drawing/2014/chart" uri="{C3380CC4-5D6E-409C-BE32-E72D297353CC}">
              <c16:uniqueId val="{00000000-B397-493B-926D-EA59BACA03BB}"/>
            </c:ext>
          </c:extLst>
        </c:ser>
        <c:ser>
          <c:idx val="1"/>
          <c:order val="1"/>
          <c:tx>
            <c:strRef>
              <c:f>Analysis!$G$16:$G$17</c:f>
              <c:strCache>
                <c:ptCount val="1"/>
                <c:pt idx="0">
                  <c:v>2025</c:v>
                </c:pt>
              </c:strCache>
            </c:strRef>
          </c:tx>
          <c:spPr>
            <a:ln w="28575" cap="rnd">
              <a:solidFill>
                <a:schemeClr val="accent2"/>
              </a:solidFill>
              <a:round/>
            </a:ln>
            <a:effectLst/>
          </c:spPr>
          <c:marker>
            <c:symbol val="none"/>
          </c:marker>
          <c:cat>
            <c:strRef>
              <c:f>Analysis!$E$18:$E$30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Analysis!$G$18:$G$30</c:f>
              <c:numCache>
                <c:formatCode>General</c:formatCode>
                <c:ptCount val="12"/>
                <c:pt idx="0">
                  <c:v>1939869</c:v>
                </c:pt>
                <c:pt idx="1">
                  <c:v>1591870.5</c:v>
                </c:pt>
                <c:pt idx="2">
                  <c:v>1451017.5</c:v>
                </c:pt>
                <c:pt idx="3">
                  <c:v>1665887</c:v>
                </c:pt>
                <c:pt idx="4">
                  <c:v>1638608.5</c:v>
                </c:pt>
                <c:pt idx="5">
                  <c:v>1199118.5</c:v>
                </c:pt>
                <c:pt idx="6">
                  <c:v>1483934</c:v>
                </c:pt>
                <c:pt idx="7">
                  <c:v>1219549</c:v>
                </c:pt>
                <c:pt idx="8">
                  <c:v>2391817.5</c:v>
                </c:pt>
                <c:pt idx="9">
                  <c:v>1712065.5</c:v>
                </c:pt>
                <c:pt idx="10">
                  <c:v>1923832</c:v>
                </c:pt>
                <c:pt idx="11">
                  <c:v>2159883</c:v>
                </c:pt>
              </c:numCache>
            </c:numRef>
          </c:val>
          <c:smooth val="0"/>
          <c:extLst>
            <c:ext xmlns:c16="http://schemas.microsoft.com/office/drawing/2014/chart" uri="{C3380CC4-5D6E-409C-BE32-E72D297353CC}">
              <c16:uniqueId val="{00000003-B397-493B-926D-EA59BACA03BB}"/>
            </c:ext>
          </c:extLst>
        </c:ser>
        <c:dLbls>
          <c:showLegendKey val="0"/>
          <c:showVal val="0"/>
          <c:showCatName val="0"/>
          <c:showSerName val="0"/>
          <c:showPercent val="0"/>
          <c:showBubbleSize val="0"/>
        </c:dLbls>
        <c:smooth val="0"/>
        <c:axId val="1273667456"/>
        <c:axId val="1276498928"/>
      </c:lineChart>
      <c:catAx>
        <c:axId val="127366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498928"/>
        <c:crosses val="autoZero"/>
        <c:auto val="1"/>
        <c:lblAlgn val="ctr"/>
        <c:lblOffset val="100"/>
        <c:noMultiLvlLbl val="0"/>
      </c:catAx>
      <c:valAx>
        <c:axId val="127649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6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[sales_clean.xlsx]Analysis!PivotTable53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a:t>
            </a:r>
            <a:r>
              <a:rPr lang="en-IN" baseline="0"/>
              <a:t>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Analysis!$K$16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7D-445D-9FC9-73EAE0F139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7D-445D-9FC9-73EAE0F139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7D-445D-9FC9-73EAE0F139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7D-445D-9FC9-73EAE0F139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7D-445D-9FC9-73EAE0F139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C7D-445D-9FC9-73EAE0F139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C7D-445D-9FC9-73EAE0F139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C7D-445D-9FC9-73EAE0F139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C7D-445D-9FC9-73EAE0F139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C7D-445D-9FC9-73EAE0F139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C7D-445D-9FC9-73EAE0F139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C7D-445D-9FC9-73EAE0F139BA}"/>
              </c:ext>
            </c:extLst>
          </c:dPt>
          <c:cat>
            <c:strRef>
              <c:f>Analysis!$J$17:$J$29</c:f>
              <c:strCache>
                <c:ptCount val="12"/>
                <c:pt idx="0">
                  <c:v>Backpack</c:v>
                </c:pt>
                <c:pt idx="1">
                  <c:v>Bookshelf</c:v>
                </c:pt>
                <c:pt idx="2">
                  <c:v>Headphones</c:v>
                </c:pt>
                <c:pt idx="3">
                  <c:v>Laptop</c:v>
                </c:pt>
                <c:pt idx="4">
                  <c:v>Notebook Pack</c:v>
                </c:pt>
                <c:pt idx="5">
                  <c:v>Office Chair</c:v>
                </c:pt>
                <c:pt idx="6">
                  <c:v>Pen Set</c:v>
                </c:pt>
                <c:pt idx="7">
                  <c:v>Running Shoes</c:v>
                </c:pt>
                <c:pt idx="8">
                  <c:v>Smart Watch</c:v>
                </c:pt>
                <c:pt idx="9">
                  <c:v>Smartphone</c:v>
                </c:pt>
                <c:pt idx="10">
                  <c:v>Study Desk</c:v>
                </c:pt>
                <c:pt idx="11">
                  <c:v>Water Bottle</c:v>
                </c:pt>
              </c:strCache>
            </c:strRef>
          </c:cat>
          <c:val>
            <c:numRef>
              <c:f>Analysis!$K$17:$K$29</c:f>
              <c:numCache>
                <c:formatCode>General</c:formatCode>
                <c:ptCount val="12"/>
                <c:pt idx="0">
                  <c:v>650250</c:v>
                </c:pt>
                <c:pt idx="1">
                  <c:v>2612700</c:v>
                </c:pt>
                <c:pt idx="2">
                  <c:v>1405950</c:v>
                </c:pt>
                <c:pt idx="3">
                  <c:v>22151250</c:v>
                </c:pt>
                <c:pt idx="4">
                  <c:v>102612.5</c:v>
                </c:pt>
                <c:pt idx="5">
                  <c:v>3034850</c:v>
                </c:pt>
                <c:pt idx="6">
                  <c:v>60498</c:v>
                </c:pt>
                <c:pt idx="7">
                  <c:v>1461250</c:v>
                </c:pt>
                <c:pt idx="8">
                  <c:v>2574000</c:v>
                </c:pt>
                <c:pt idx="9">
                  <c:v>8590000</c:v>
                </c:pt>
                <c:pt idx="10">
                  <c:v>3173475</c:v>
                </c:pt>
                <c:pt idx="11">
                  <c:v>232140</c:v>
                </c:pt>
              </c:numCache>
            </c:numRef>
          </c:val>
          <c:extLst>
            <c:ext xmlns:c16="http://schemas.microsoft.com/office/drawing/2014/chart" uri="{C3380CC4-5D6E-409C-BE32-E72D297353CC}">
              <c16:uniqueId val="{00000018-1C7D-445D-9FC9-73EAE0F139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[sales_clean.xlsx]Analysis!PivotTable50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Analysis!$B$71</c:f>
              <c:strCache>
                <c:ptCount val="1"/>
                <c:pt idx="0">
                  <c:v>Total</c:v>
                </c:pt>
              </c:strCache>
            </c:strRef>
          </c:tx>
          <c:spPr>
            <a:solidFill>
              <a:schemeClr val="accent1"/>
            </a:solidFill>
            <a:ln>
              <a:noFill/>
            </a:ln>
            <a:effectLst/>
          </c:spPr>
          <c:invertIfNegative val="0"/>
          <c:cat>
            <c:strRef>
              <c:f>Analysis!$A$72:$A$82</c:f>
              <c:strCache>
                <c:ptCount val="10"/>
                <c:pt idx="0">
                  <c:v>Customer 108</c:v>
                </c:pt>
                <c:pt idx="1">
                  <c:v>Customer 124</c:v>
                </c:pt>
                <c:pt idx="2">
                  <c:v>Customer 204</c:v>
                </c:pt>
                <c:pt idx="3">
                  <c:v>Customer 209</c:v>
                </c:pt>
                <c:pt idx="4">
                  <c:v>Customer 221</c:v>
                </c:pt>
                <c:pt idx="5">
                  <c:v>Customer 274</c:v>
                </c:pt>
                <c:pt idx="6">
                  <c:v>Customer 278</c:v>
                </c:pt>
                <c:pt idx="7">
                  <c:v>Customer 280</c:v>
                </c:pt>
                <c:pt idx="8">
                  <c:v>Customer 293</c:v>
                </c:pt>
                <c:pt idx="9">
                  <c:v>Customer 34</c:v>
                </c:pt>
              </c:strCache>
            </c:strRef>
          </c:cat>
          <c:val>
            <c:numRef>
              <c:f>Analysis!$B$72:$B$82</c:f>
              <c:numCache>
                <c:formatCode>General</c:formatCode>
                <c:ptCount val="10"/>
                <c:pt idx="0">
                  <c:v>583350</c:v>
                </c:pt>
                <c:pt idx="1">
                  <c:v>660394</c:v>
                </c:pt>
                <c:pt idx="2">
                  <c:v>537397</c:v>
                </c:pt>
                <c:pt idx="3">
                  <c:v>728175</c:v>
                </c:pt>
                <c:pt idx="4">
                  <c:v>612612</c:v>
                </c:pt>
                <c:pt idx="5">
                  <c:v>1001510</c:v>
                </c:pt>
                <c:pt idx="6">
                  <c:v>527825</c:v>
                </c:pt>
                <c:pt idx="7">
                  <c:v>598075</c:v>
                </c:pt>
                <c:pt idx="8">
                  <c:v>536950</c:v>
                </c:pt>
                <c:pt idx="9">
                  <c:v>799198.5</c:v>
                </c:pt>
              </c:numCache>
            </c:numRef>
          </c:val>
          <c:extLst>
            <c:ext xmlns:c16="http://schemas.microsoft.com/office/drawing/2014/chart" uri="{C3380CC4-5D6E-409C-BE32-E72D297353CC}">
              <c16:uniqueId val="{00000000-0019-487B-92C8-5645B894D6E3}"/>
            </c:ext>
          </c:extLst>
        </c:ser>
        <c:dLbls>
          <c:showLegendKey val="0"/>
          <c:showVal val="0"/>
          <c:showCatName val="0"/>
          <c:showSerName val="0"/>
          <c:showPercent val="0"/>
          <c:showBubbleSize val="0"/>
        </c:dLbls>
        <c:gapWidth val="219"/>
        <c:overlap val="-27"/>
        <c:axId val="1511700496"/>
        <c:axId val="1276465808"/>
      </c:barChart>
      <c:catAx>
        <c:axId val="151170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465808"/>
        <c:crosses val="autoZero"/>
        <c:auto val="1"/>
        <c:lblAlgn val="ctr"/>
        <c:lblOffset val="100"/>
        <c:noMultiLvlLbl val="0"/>
      </c:catAx>
      <c:valAx>
        <c:axId val="127646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70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659209</xdr:colOff>
      <xdr:row>6</xdr:row>
      <xdr:rowOff>15085</xdr:rowOff>
    </xdr:from>
    <xdr:to>
      <xdr:col>7</xdr:col>
      <xdr:colOff>629818</xdr:colOff>
      <xdr:row>17</xdr:row>
      <xdr:rowOff>23327</xdr:rowOff>
    </xdr:to>
    <xdr:graphicFrame macro="">
      <xdr:nvGraphicFramePr>
        <xdr:cNvPr id="2" name="Chart 1">
          <a:extLst>
            <a:ext uri="{FF2B5EF4-FFF2-40B4-BE49-F238E27FC236}">
              <a16:creationId xmlns:a16="http://schemas.microsoft.com/office/drawing/2014/main" id="{72A480F4-13B3-4D9D-A467-0BA706068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716643</xdr:colOff>
      <xdr:row>6</xdr:row>
      <xdr:rowOff>28509</xdr:rowOff>
    </xdr:from>
    <xdr:to>
      <xdr:col>12</xdr:col>
      <xdr:colOff>308429</xdr:colOff>
      <xdr:row>16</xdr:row>
      <xdr:rowOff>178836</xdr:rowOff>
    </xdr:to>
    <xdr:graphicFrame macro="">
      <xdr:nvGraphicFramePr>
        <xdr:cNvPr id="3" name="Chart 2">
          <a:extLst>
            <a:ext uri="{FF2B5EF4-FFF2-40B4-BE49-F238E27FC236}">
              <a16:creationId xmlns:a16="http://schemas.microsoft.com/office/drawing/2014/main" id="{9F040069-D8B5-4686-8B07-EB52D7E7E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578965</xdr:colOff>
      <xdr:row>18</xdr:row>
      <xdr:rowOff>13218</xdr:rowOff>
    </xdr:from>
    <xdr:to>
      <xdr:col>6</xdr:col>
      <xdr:colOff>762000</xdr:colOff>
      <xdr:row>31</xdr:row>
      <xdr:rowOff>132184</xdr:rowOff>
    </xdr:to>
    <xdr:graphicFrame macro="">
      <xdr:nvGraphicFramePr>
        <xdr:cNvPr id="4" name="Chart 3">
          <a:extLst>
            <a:ext uri="{FF2B5EF4-FFF2-40B4-BE49-F238E27FC236}">
              <a16:creationId xmlns:a16="http://schemas.microsoft.com/office/drawing/2014/main" id="{1EBBE297-1D2A-442E-90ED-26969FA35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116634</xdr:colOff>
      <xdr:row>18</xdr:row>
      <xdr:rowOff>13220</xdr:rowOff>
    </xdr:from>
    <xdr:to>
      <xdr:col>10</xdr:col>
      <xdr:colOff>637592</xdr:colOff>
      <xdr:row>31</xdr:row>
      <xdr:rowOff>85531</xdr:rowOff>
    </xdr:to>
    <xdr:graphicFrame macro="">
      <xdr:nvGraphicFramePr>
        <xdr:cNvPr id="5" name="Chart 4">
          <a:extLst>
            <a:ext uri="{FF2B5EF4-FFF2-40B4-BE49-F238E27FC236}">
              <a16:creationId xmlns:a16="http://schemas.microsoft.com/office/drawing/2014/main" id="{EF8BAFA3-B6B1-47E9-AF93-1DAB428DA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730899</xdr:colOff>
      <xdr:row>17</xdr:row>
      <xdr:rowOff>171062</xdr:rowOff>
    </xdr:from>
    <xdr:to>
      <xdr:col>15</xdr:col>
      <xdr:colOff>505408</xdr:colOff>
      <xdr:row>31</xdr:row>
      <xdr:rowOff>101083</xdr:rowOff>
    </xdr:to>
    <xdr:graphicFrame macro="">
      <xdr:nvGraphicFramePr>
        <xdr:cNvPr id="6" name="Chart 5">
          <a:extLst>
            <a:ext uri="{FF2B5EF4-FFF2-40B4-BE49-F238E27FC236}">
              <a16:creationId xmlns:a16="http://schemas.microsoft.com/office/drawing/2014/main" id="{D0F25D94-F400-45BE-B969-DBE36A99B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114143</xdr:colOff>
      <xdr:row>22</xdr:row>
      <xdr:rowOff>165150</xdr:rowOff>
    </xdr:from>
    <xdr:to>
      <xdr:col>2</xdr:col>
      <xdr:colOff>325637</xdr:colOff>
      <xdr:row>31</xdr:row>
      <xdr:rowOff>139957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11742FE-3880-ECEE-3312-A2DE6A2752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143" y="4409313"/>
              <a:ext cx="1824099" cy="1649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158778</xdr:colOff>
      <xdr:row>6</xdr:row>
      <xdr:rowOff>132031</xdr:rowOff>
    </xdr:from>
    <xdr:to>
      <xdr:col>2</xdr:col>
      <xdr:colOff>334347</xdr:colOff>
      <xdr:row>16</xdr:row>
      <xdr:rowOff>7775</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B6A76CC3-2672-620A-3A8A-3ED93DD476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8778" y="1399078"/>
              <a:ext cx="1788174" cy="1736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151571</xdr:colOff>
      <xdr:row>16</xdr:row>
      <xdr:rowOff>142967</xdr:rowOff>
    </xdr:from>
    <xdr:to>
      <xdr:col>2</xdr:col>
      <xdr:colOff>336939</xdr:colOff>
      <xdr:row>21</xdr:row>
      <xdr:rowOff>114041</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5897E605-EB63-FA26-8F25-1EBD1E0816A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1571" y="3270711"/>
              <a:ext cx="1797973" cy="901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444499</xdr:colOff>
      <xdr:row>6</xdr:row>
      <xdr:rowOff>27216</xdr:rowOff>
    </xdr:from>
    <xdr:to>
      <xdr:col>16</xdr:col>
      <xdr:colOff>489857</xdr:colOff>
      <xdr:row>17</xdr:row>
      <xdr:rowOff>90716</xdr:rowOff>
    </xdr:to>
    <xdr:graphicFrame macro="">
      <xdr:nvGraphicFramePr>
        <xdr:cNvPr id="10" name="Chart 9">
          <a:extLst>
            <a:ext uri="{FF2B5EF4-FFF2-40B4-BE49-F238E27FC236}">
              <a16:creationId xmlns:a16="http://schemas.microsoft.com/office/drawing/2014/main" id="{EABDEF0A-6148-4B09-894A-098360929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62204</xdr:colOff>
      <xdr:row>32</xdr:row>
      <xdr:rowOff>101082</xdr:rowOff>
    </xdr:from>
    <xdr:to>
      <xdr:col>8</xdr:col>
      <xdr:colOff>419878</xdr:colOff>
      <xdr:row>43</xdr:row>
      <xdr:rowOff>93306</xdr:rowOff>
    </xdr:to>
    <xdr:graphicFrame macro="">
      <xdr:nvGraphicFramePr>
        <xdr:cNvPr id="12" name="Chart 11">
          <a:extLst>
            <a:ext uri="{FF2B5EF4-FFF2-40B4-BE49-F238E27FC236}">
              <a16:creationId xmlns:a16="http://schemas.microsoft.com/office/drawing/2014/main" id="{F8831BBB-6735-4D9C-8E17-B5B1A71C4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482082</xdr:colOff>
      <xdr:row>32</xdr:row>
      <xdr:rowOff>101081</xdr:rowOff>
    </xdr:from>
    <xdr:to>
      <xdr:col>12</xdr:col>
      <xdr:colOff>738673</xdr:colOff>
      <xdr:row>43</xdr:row>
      <xdr:rowOff>101082</xdr:rowOff>
    </xdr:to>
    <xdr:graphicFrame macro="">
      <xdr:nvGraphicFramePr>
        <xdr:cNvPr id="13" name="Chart 12">
          <a:extLst>
            <a:ext uri="{FF2B5EF4-FFF2-40B4-BE49-F238E27FC236}">
              <a16:creationId xmlns:a16="http://schemas.microsoft.com/office/drawing/2014/main" id="{1987035A-E1A3-40F3-828F-EC8A10879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32</xdr:row>
      <xdr:rowOff>69979</xdr:rowOff>
    </xdr:from>
    <xdr:to>
      <xdr:col>16</xdr:col>
      <xdr:colOff>124408</xdr:colOff>
      <xdr:row>43</xdr:row>
      <xdr:rowOff>93306</xdr:rowOff>
    </xdr:to>
    <xdr:graphicFrame macro="">
      <xdr:nvGraphicFramePr>
        <xdr:cNvPr id="14" name="Chart 13">
          <a:extLst>
            <a:ext uri="{FF2B5EF4-FFF2-40B4-BE49-F238E27FC236}">
              <a16:creationId xmlns:a16="http://schemas.microsoft.com/office/drawing/2014/main" id="{AF483DA0-5859-4BEC-A4DE-97E1D5B5D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32</xdr:row>
      <xdr:rowOff>28755</xdr:rowOff>
    </xdr:from>
    <xdr:to>
      <xdr:col>3</xdr:col>
      <xdr:colOff>762000</xdr:colOff>
      <xdr:row>43</xdr:row>
      <xdr:rowOff>158151</xdr:rowOff>
    </xdr:to>
    <xdr:graphicFrame macro="">
      <xdr:nvGraphicFramePr>
        <xdr:cNvPr id="16" name="Chart 15">
          <a:extLst>
            <a:ext uri="{FF2B5EF4-FFF2-40B4-BE49-F238E27FC236}">
              <a16:creationId xmlns:a16="http://schemas.microsoft.com/office/drawing/2014/main" id="{02A61985-C91E-4EA9-93A5-324EFF851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AY KUMAR" refreshedDate="46316.510615393519" createdVersion="8" refreshedVersion="8" minRefreshableVersion="3" recordCount="2000" xr:uid="{212CCCED-63ED-4331-AF7E-CB8073843A62}">
  <cacheSource type="worksheet">
    <worksheetSource name="Table1_1"/>
  </cacheSource>
  <cacheFields count="26">
    <cacheField name="order_id" numFmtId="0">
      <sharedItems/>
    </cacheField>
    <cacheField name="order_date" numFmtId="14">
      <sharedItems containsSemiMixedTypes="0" containsNonDate="0" containsDate="1" containsString="0" minDate="2024-01-01T00:00:00" maxDate="2025-12-31T00:00:00"/>
    </cacheField>
    <cacheField name="ship_date" numFmtId="14">
      <sharedItems containsNonDate="0" containsDate="1" containsString="0" containsBlank="1" minDate="2024-01-03T00:00:00" maxDate="2026-01-08T00:00:00"/>
    </cacheField>
    <cacheField name="customer_id" numFmtId="0">
      <sharedItems/>
    </cacheField>
    <cacheField name="customer_name" numFmtId="0">
      <sharedItems count="300">
        <s v="Customer 98"/>
        <s v="Customer 248"/>
        <s v="Customer 287"/>
        <s v="Customer 41"/>
        <s v="Customer 120"/>
        <s v="Customer 64"/>
        <s v="Customer 107"/>
        <s v="Customer 252"/>
        <s v="Customer 246"/>
        <s v="Customer 274"/>
        <s v="Customer 124"/>
        <s v="Customer 15"/>
        <s v="Customer 185"/>
        <s v="Customer 280"/>
        <s v="Customer 244"/>
        <s v="Customer 95"/>
        <s v="Customer 145"/>
        <s v="Customer 34"/>
        <s v="Customer 37"/>
        <s v="Customer 281"/>
        <s v="Customer 66"/>
        <s v="Customer 91"/>
        <s v="Customer 196"/>
        <s v="Customer 154"/>
        <s v="Customer 243"/>
        <s v="Customer 226"/>
        <s v="Customer 56"/>
        <s v="Customer 152"/>
        <s v="Customer 55"/>
        <s v="Customer 210"/>
        <s v="Customer 233"/>
        <s v="Customer 70"/>
        <s v="Customer 231"/>
        <s v="Customer 35"/>
        <s v="Customer 223"/>
        <s v="Customer 50"/>
        <s v="Customer 99"/>
        <s v="Customer 25"/>
        <s v="Customer 138"/>
        <s v="Customer 286"/>
        <s v="Customer 92"/>
        <s v="Customer 155"/>
        <s v="Customer 165"/>
        <s v="Customer 250"/>
        <s v="Customer 122"/>
        <s v="Customer 258"/>
        <s v="Customer 273"/>
        <s v="Customer 20"/>
        <s v="Customer 19"/>
        <s v="Customer 45"/>
        <s v="Customer 212"/>
        <s v="Customer 278"/>
        <s v="Customer 206"/>
        <s v="Customer 293"/>
        <s v="Customer 263"/>
        <s v="Customer 190"/>
        <s v="Customer 225"/>
        <s v="Customer 148"/>
        <s v="Customer 90"/>
        <s v="Customer 283"/>
        <s v="Customer 219"/>
        <s v="Customer 198"/>
        <s v="Customer 161"/>
        <s v="Customer 241"/>
        <s v="Customer 257"/>
        <s v="Customer 214"/>
        <s v="Customer 292"/>
        <s v="Customer 164"/>
        <s v="Customer 39"/>
        <s v="Customer 8"/>
        <s v="Customer 199"/>
        <s v="Customer 290"/>
        <s v="Customer 112"/>
        <s v="Customer 284"/>
        <s v="Customer 111"/>
        <s v="Customer 21"/>
        <s v="Customer 94"/>
        <s v="Customer 117"/>
        <s v="Customer 232"/>
        <s v="Customer 209"/>
        <s v="Customer 72"/>
        <s v="Customer 296"/>
        <s v="Customer 38"/>
        <s v="Customer 16"/>
        <s v="Customer 31"/>
        <s v="Customer 61"/>
        <s v="Customer 5"/>
        <s v="Customer 291"/>
        <s v="Customer 238"/>
        <s v="Customer 180"/>
        <s v="Customer 136"/>
        <s v="Customer 128"/>
        <s v="Customer 62"/>
        <s v="Customer 267"/>
        <s v="Customer 87"/>
        <s v="Customer 84"/>
        <s v="Customer 162"/>
        <s v="Customer 133"/>
        <s v="Customer 114"/>
        <s v="Customer 89"/>
        <s v="Customer 174"/>
        <s v="Customer 69"/>
        <s v="Customer 269"/>
        <s v="Customer 135"/>
        <s v="Customer 30"/>
        <s v="Customer 218"/>
        <s v="Customer 51"/>
        <s v="Customer 295"/>
        <s v="Customer 3"/>
        <s v="Customer 265"/>
        <s v="Customer 126"/>
        <s v="Customer 235"/>
        <s v="Customer 256"/>
        <s v="Customer 234"/>
        <s v="Customer 149"/>
        <s v="Customer 184"/>
        <s v="Customer 213"/>
        <s v="Customer 42"/>
        <s v="Customer 245"/>
        <s v="Customer 4"/>
        <s v="Customer 125"/>
        <s v="Customer 177"/>
        <s v="Customer 228"/>
        <s v="Customer 44"/>
        <s v="Customer 48"/>
        <s v="Customer 60"/>
        <s v="Customer 105"/>
        <s v="Customer 93"/>
        <s v="Customer 221"/>
        <s v="Customer 230"/>
        <s v="Customer 236"/>
        <s v="Customer 116"/>
        <s v="Customer 23"/>
        <s v="Customer 29"/>
        <s v="Customer 181"/>
        <s v="Customer 67"/>
        <s v="Customer 109"/>
        <s v="Customer 204"/>
        <s v="Customer 6"/>
        <s v="Customer 194"/>
        <s v="Customer 140"/>
        <s v="Customer 74"/>
        <s v="Customer 255"/>
        <s v="Customer 222"/>
        <s v="Customer 58"/>
        <s v="Customer 108"/>
        <s v="Customer 159"/>
        <s v="Customer 73"/>
        <s v="Customer 249"/>
        <s v="Customer 81"/>
        <s v="Customer 201"/>
        <s v="Customer 158"/>
        <s v="Customer 207"/>
        <s v="Customer 272"/>
        <s v="Customer 216"/>
        <s v="Customer 156"/>
        <s v="Customer 131"/>
        <s v="Customer 2"/>
        <s v="Customer 86"/>
        <s v="Customer 251"/>
        <s v="Customer 12"/>
        <s v="Customer 14"/>
        <s v="Customer 71"/>
        <s v="Customer 288"/>
        <s v="Customer 65"/>
        <s v="Customer 83"/>
        <s v="Customer 211"/>
        <s v="Customer 22"/>
        <s v="Customer 7"/>
        <s v="Customer 54"/>
        <s v="Customer 240"/>
        <s v="Customer 285"/>
        <s v="Customer 96"/>
        <s v="Customer 80"/>
        <s v="Customer 178"/>
        <s v="Customer 262"/>
        <s v="Customer 197"/>
        <s v="Customer 139"/>
        <s v="Customer 134"/>
        <s v="Customer 203"/>
        <s v="Customer 261"/>
        <s v="Customer 276"/>
        <s v="Customer 298"/>
        <s v="Customer 160"/>
        <s v="Customer 173"/>
        <s v="Customer 10"/>
        <s v="Customer 88"/>
        <s v="Customer 227"/>
        <s v="Customer 167"/>
        <s v="Customer 52"/>
        <s v="Customer 260"/>
        <s v="Customer 27"/>
        <s v="Customer 106"/>
        <s v="Customer 153"/>
        <s v="Customer 49"/>
        <s v="Customer 113"/>
        <s v="Customer 169"/>
        <s v="Customer 271"/>
        <s v="Customer 151"/>
        <s v="Customer 146"/>
        <s v="Customer 253"/>
        <s v="Customer 266"/>
        <s v="Customer 279"/>
        <s v="Customer 132"/>
        <s v="Customer 110"/>
        <s v="Customer 102"/>
        <s v="Customer 229"/>
        <s v="Customer 121"/>
        <s v="Customer 187"/>
        <s v="Customer 188"/>
        <s v="Customer 191"/>
        <s v="Customer 28"/>
        <s v="Customer 13"/>
        <s v="Customer 144"/>
        <s v="Customer 192"/>
        <s v="Customer 47"/>
        <s v="Customer 11"/>
        <s v="Customer 36"/>
        <s v="Customer 208"/>
        <s v="Customer 147"/>
        <s v="Customer 195"/>
        <s v="Customer 289"/>
        <s v="Customer 202"/>
        <s v="Customer 82"/>
        <s v="Customer 76"/>
        <s v="Customer 104"/>
        <s v="Customer 172"/>
        <s v="Customer 118"/>
        <s v="Customer 150"/>
        <s v="Customer 85"/>
        <s v="Customer 176"/>
        <s v="Customer 163"/>
        <s v="Customer 32"/>
        <s v="Customer 9"/>
        <s v="Customer 53"/>
        <s v="Customer 300"/>
        <s v="Customer 268"/>
        <s v="Customer 115"/>
        <s v="Customer 119"/>
        <s v="Customer 26"/>
        <s v="Customer 157"/>
        <s v="Customer 137"/>
        <s v="Customer 17"/>
        <s v="Customer 193"/>
        <s v="Customer 183"/>
        <s v="Customer 200"/>
        <s v="Customer 217"/>
        <s v="Customer 68"/>
        <s v="Customer 127"/>
        <s v="Customer 277"/>
        <s v="Customer 1"/>
        <s v="Customer 123"/>
        <s v="Customer 215"/>
        <s v="Customer 270"/>
        <s v="Customer 242"/>
        <s v="Customer 33"/>
        <s v="Customer 168"/>
        <s v="Customer 171"/>
        <s v="Customer 189"/>
        <s v="Customer 129"/>
        <s v="Customer 77"/>
        <s v="Customer 130"/>
        <s v="Customer 141"/>
        <s v="Customer 299"/>
        <s v="Customer 182"/>
        <s v="Customer 297"/>
        <s v="Customer 170"/>
        <s v="Customer 79"/>
        <s v="Customer 57"/>
        <s v="Customer 46"/>
        <s v="Customer 100"/>
        <s v="Customer 175"/>
        <s v="Customer 142"/>
        <s v="Customer 78"/>
        <s v="Customer 103"/>
        <s v="Customer 63"/>
        <s v="Customer 101"/>
        <s v="Customer 247"/>
        <s v="Customer 239"/>
        <s v="Customer 43"/>
        <s v="Customer 205"/>
        <s v="Customer 275"/>
        <s v="Customer 143"/>
        <s v="Customer 59"/>
        <s v="Customer 282"/>
        <s v="Customer 40"/>
        <s v="Customer 24"/>
        <s v="Customer 254"/>
        <s v="Customer 166"/>
        <s v="Customer 220"/>
        <s v="Customer 294"/>
        <s v="Customer 18"/>
        <s v="Customer 224"/>
        <s v="Customer 75"/>
        <s v="Customer 186"/>
        <s v="Customer 97"/>
        <s v="Customer 237"/>
        <s v="Customer 264"/>
        <s v="Customer 179"/>
        <s v="Customer 259"/>
      </sharedItems>
    </cacheField>
    <cacheField name="segment" numFmtId="0">
      <sharedItems/>
    </cacheField>
    <cacheField name="region" numFmtId="0">
      <sharedItems count="4">
        <s v="South"/>
        <s v="West"/>
        <s v="North"/>
        <s v="East"/>
      </sharedItems>
    </cacheField>
    <cacheField name="city" numFmtId="0">
      <sharedItems count="17">
        <s v="Hyderabad"/>
        <s v="Surat"/>
        <s v="Bengaluru"/>
        <s v="Delhi"/>
        <s v="Lucknow"/>
        <s v="Mumbai"/>
        <s v="Guwahati"/>
        <s v="Kolkata"/>
        <s v="Patna"/>
        <s v="Chandigarh"/>
        <s v="Chennai"/>
        <s v="Kochi"/>
        <s v="Bhubaneswar"/>
        <s v="Ahmedabad"/>
        <s v="Jaipur"/>
        <s v="Vijayawada"/>
        <s v="Pune"/>
      </sharedItems>
    </cacheField>
    <cacheField name="product_id" numFmtId="0">
      <sharedItems/>
    </cacheField>
    <cacheField name="product_name" numFmtId="0">
      <sharedItems count="12">
        <s v="Office Chair"/>
        <s v="Study Desk"/>
        <s v="Pen Set"/>
        <s v="Smartphone"/>
        <s v="Running Shoes"/>
        <s v="Headphones"/>
        <s v="Backpack"/>
        <s v="Smart Watch"/>
        <s v="Laptop"/>
        <s v="Water Bottle"/>
        <s v="Bookshelf"/>
        <s v="Notebook Pack"/>
      </sharedItems>
    </cacheField>
    <cacheField name="category" numFmtId="0">
      <sharedItems count="5">
        <s v="Furniture"/>
        <s v="Stationery"/>
        <s v="Electronics"/>
        <s v="Footwear"/>
        <s v="Accessorie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80" maxValue="55000"/>
    </cacheField>
    <cacheField name="discount_pct" numFmtId="0">
      <sharedItems containsSemiMixedTypes="0" containsString="0" containsNumber="1" containsInteger="1" minValue="0" maxValue="20" count="5">
        <n v="0"/>
        <n v="15"/>
        <n v="20"/>
        <n v="5"/>
        <n v="10"/>
      </sharedItems>
    </cacheField>
    <cacheField name="sales_fix" numFmtId="0">
      <sharedItems containsSemiMixedTypes="0" containsString="0" containsNumber="1" minValue="144" maxValue="550000"/>
    </cacheField>
    <cacheField name="profit" numFmtId="0">
      <sharedItems containsSemiMixedTypes="0" containsString="0" containsNumber="1" minValue="47.85" maxValue="523600"/>
    </cacheField>
    <cacheField name="sales_rep" numFmtId="0">
      <sharedItems containsBlank="1" count="8">
        <s v="Meena Iyer"/>
        <s v="Arjun Patel"/>
        <s v="Ravi Kumar"/>
        <s v="Suresh Reddy"/>
        <s v="Anita Sharma"/>
        <s v="Neha Singh"/>
        <s v="Unassigned"/>
        <m/>
      </sharedItems>
    </cacheField>
    <cacheField name="channel" numFmtId="0">
      <sharedItems count="3">
        <s v="Online"/>
        <s v="Retail Store"/>
        <s v="Distributor"/>
      </sharedItems>
    </cacheField>
    <cacheField name="payment_method" numFmtId="0">
      <sharedItems count="5">
        <s v="Cash"/>
        <s v="Net Banking"/>
        <s v="Credit Card"/>
        <s v="UPI"/>
        <s v="Debit Card"/>
      </sharedItems>
    </cacheField>
    <cacheField name="year" numFmtId="0">
      <sharedItems containsSemiMixedTypes="0" containsString="0" containsNumber="1" containsInteger="1" minValue="2024" maxValue="2025" count="2">
        <n v="2025"/>
        <n v="2024"/>
      </sharedItems>
    </cacheField>
    <cacheField name="month_num" numFmtId="0">
      <sharedItems containsSemiMixedTypes="0" containsString="0" containsNumber="1" containsInteger="1" minValue="1" maxValue="12" count="12">
        <n v="3"/>
        <n v="10"/>
        <n v="11"/>
        <n v="7"/>
        <n v="5"/>
        <n v="4"/>
        <n v="2"/>
        <n v="8"/>
        <n v="6"/>
        <n v="9"/>
        <n v="12"/>
        <n v="1"/>
      </sharedItems>
    </cacheField>
    <cacheField name="month" numFmtId="0">
      <sharedItems/>
    </cacheField>
    <cacheField name="quarter" numFmtId="0">
      <sharedItems/>
    </cacheField>
    <cacheField name="year_month" numFmtId="0">
      <sharedItems count="24">
        <s v="2025-03"/>
        <s v="2024-10"/>
        <s v="2024-03"/>
        <s v="2024-11"/>
        <s v="2024-07"/>
        <s v="2025-05"/>
        <s v="2024-04"/>
        <s v="2025-02"/>
        <s v="2024-05"/>
        <s v="2024-08"/>
        <s v="2025-06"/>
        <s v="2025-09"/>
        <s v="2024-06"/>
        <s v="2025-04"/>
        <s v="2025-10"/>
        <s v="2025-07"/>
        <s v="2024-12"/>
        <s v="2025-01"/>
        <s v="2024-02"/>
        <s v="2025-12"/>
        <s v="2024-09"/>
        <s v="2024-01"/>
        <s v="2025-08"/>
        <s v="2025-11"/>
      </sharedItems>
    </cacheField>
    <cacheField name="delivery_days" numFmtId="0">
      <sharedItems containsMixedTypes="1" containsNumber="1" containsInteger="1" minValue="1" maxValue="8"/>
    </cacheField>
    <cacheField name="profit_margin_pct" numFmtId="0">
      <sharedItems containsSemiMixedTypes="0" containsString="0" containsNumber="1" minValue="10.51" maxValue="880"/>
    </cacheField>
  </cacheFields>
  <extLst>
    <ext xmlns:x14="http://schemas.microsoft.com/office/spreadsheetml/2009/9/main" uri="{725AE2AE-9491-48be-B2B4-4EB974FC3084}">
      <x14:pivotCacheDefinition pivotCacheId="2039950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502"/>
    <d v="2025-03-26T00:00:00"/>
    <d v="2025-03-31T00:00:00"/>
    <s v="C0098"/>
    <x v="0"/>
    <s v="Corporate"/>
    <x v="0"/>
    <x v="0"/>
    <s v="P005"/>
    <x v="0"/>
    <x v="0"/>
    <n v="1"/>
    <n v="7000"/>
    <x v="0"/>
    <n v="7000"/>
    <n v="1554.59"/>
    <x v="0"/>
    <x v="0"/>
    <x v="0"/>
    <x v="0"/>
    <x v="0"/>
    <s v="Mar"/>
    <s v="Q1"/>
    <x v="0"/>
    <n v="5"/>
    <n v="22.21"/>
  </r>
  <r>
    <s v="ORD00622"/>
    <d v="2024-10-22T00:00:00"/>
    <d v="2024-10-25T00:00:00"/>
    <s v="C0248"/>
    <x v="1"/>
    <s v="Consumer"/>
    <x v="1"/>
    <x v="1"/>
    <s v="P006"/>
    <x v="1"/>
    <x v="0"/>
    <n v="1"/>
    <n v="9500"/>
    <x v="0"/>
    <n v="9500"/>
    <n v="1546.13"/>
    <x v="1"/>
    <x v="0"/>
    <x v="1"/>
    <x v="1"/>
    <x v="1"/>
    <s v="Oct"/>
    <s v="Q4"/>
    <x v="1"/>
    <n v="3"/>
    <n v="16.28"/>
  </r>
  <r>
    <s v="ORD01164"/>
    <d v="2024-03-19T00:00:00"/>
    <d v="2024-03-23T00:00:00"/>
    <s v="C0287"/>
    <x v="2"/>
    <s v="Corporate"/>
    <x v="0"/>
    <x v="2"/>
    <s v="P009"/>
    <x v="2"/>
    <x v="1"/>
    <n v="5"/>
    <n v="180"/>
    <x v="1"/>
    <n v="765"/>
    <n v="307.64"/>
    <x v="0"/>
    <x v="1"/>
    <x v="2"/>
    <x v="1"/>
    <x v="0"/>
    <s v="Mar"/>
    <s v="Q1"/>
    <x v="2"/>
    <n v="4"/>
    <n v="40.21"/>
  </r>
  <r>
    <s v="ORD01062"/>
    <d v="2024-11-16T00:00:00"/>
    <d v="2024-11-24T00:00:00"/>
    <s v="C0041"/>
    <x v="3"/>
    <s v="Small Business"/>
    <x v="0"/>
    <x v="0"/>
    <s v="P009"/>
    <x v="2"/>
    <x v="1"/>
    <n v="1"/>
    <n v="180"/>
    <x v="0"/>
    <n v="180"/>
    <n v="79.27"/>
    <x v="0"/>
    <x v="2"/>
    <x v="2"/>
    <x v="1"/>
    <x v="2"/>
    <s v="Nov"/>
    <s v="Q4"/>
    <x v="3"/>
    <n v="8"/>
    <n v="44.04"/>
  </r>
  <r>
    <s v="ORD00247"/>
    <d v="2024-07-26T00:00:00"/>
    <m/>
    <s v="C0120"/>
    <x v="4"/>
    <s v="Corporate"/>
    <x v="2"/>
    <x v="3"/>
    <s v="P002"/>
    <x v="3"/>
    <x v="2"/>
    <n v="1"/>
    <n v="25000"/>
    <x v="2"/>
    <n v="20000"/>
    <n v="2801.65"/>
    <x v="2"/>
    <x v="0"/>
    <x v="0"/>
    <x v="1"/>
    <x v="3"/>
    <s v="Jul"/>
    <s v="Q3"/>
    <x v="4"/>
    <s v=""/>
    <n v="14.01"/>
  </r>
  <r>
    <s v="ORD01028"/>
    <d v="2025-05-26T00:00:00"/>
    <d v="2025-06-01T00:00:00"/>
    <s v="C0064"/>
    <x v="5"/>
    <s v="Corporate"/>
    <x v="0"/>
    <x v="0"/>
    <s v="P012"/>
    <x v="4"/>
    <x v="3"/>
    <n v="2"/>
    <n v="3500"/>
    <x v="3"/>
    <n v="6650"/>
    <n v="1842.04"/>
    <x v="3"/>
    <x v="2"/>
    <x v="0"/>
    <x v="0"/>
    <x v="4"/>
    <s v="May"/>
    <s v="Q2"/>
    <x v="5"/>
    <n v="6"/>
    <n v="27.7"/>
  </r>
  <r>
    <s v="ORD01831"/>
    <d v="2024-04-30T00:00:00"/>
    <d v="2024-05-07T00:00:00"/>
    <s v="C0107"/>
    <x v="6"/>
    <s v="Corporate"/>
    <x v="2"/>
    <x v="4"/>
    <s v="P003"/>
    <x v="5"/>
    <x v="2"/>
    <n v="4"/>
    <n v="3000"/>
    <x v="1"/>
    <n v="10200"/>
    <n v="3317.18"/>
    <x v="0"/>
    <x v="2"/>
    <x v="2"/>
    <x v="1"/>
    <x v="5"/>
    <s v="Apr"/>
    <s v="Q2"/>
    <x v="6"/>
    <n v="7"/>
    <n v="32.520000000000003"/>
  </r>
  <r>
    <s v="ORD00983"/>
    <d v="2024-04-22T00:00:00"/>
    <d v="2024-04-28T00:00:00"/>
    <s v="C0252"/>
    <x v="7"/>
    <s v="Consumer"/>
    <x v="1"/>
    <x v="5"/>
    <s v="P003"/>
    <x v="5"/>
    <x v="2"/>
    <n v="1"/>
    <n v="3000"/>
    <x v="0"/>
    <n v="3000"/>
    <n v="758.63"/>
    <x v="2"/>
    <x v="1"/>
    <x v="3"/>
    <x v="1"/>
    <x v="5"/>
    <s v="Apr"/>
    <s v="Q2"/>
    <x v="6"/>
    <n v="6"/>
    <n v="25.29"/>
  </r>
  <r>
    <s v="ORD00188"/>
    <d v="2025-02-14T00:00:00"/>
    <d v="2025-02-15T00:00:00"/>
    <s v="C0246"/>
    <x v="8"/>
    <s v="Corporate"/>
    <x v="3"/>
    <x v="6"/>
    <s v="P010"/>
    <x v="6"/>
    <x v="4"/>
    <n v="2"/>
    <n v="1800"/>
    <x v="2"/>
    <n v="2880"/>
    <n v="984.5"/>
    <x v="3"/>
    <x v="2"/>
    <x v="0"/>
    <x v="0"/>
    <x v="6"/>
    <s v="Feb"/>
    <s v="Q1"/>
    <x v="7"/>
    <n v="1"/>
    <n v="34.18"/>
  </r>
  <r>
    <s v="ORD01264"/>
    <d v="2024-05-09T00:00:00"/>
    <d v="2024-05-14T00:00:00"/>
    <s v="C0274"/>
    <x v="9"/>
    <s v="Consumer"/>
    <x v="3"/>
    <x v="6"/>
    <s v="P002"/>
    <x v="3"/>
    <x v="2"/>
    <n v="3"/>
    <n v="25000"/>
    <x v="1"/>
    <n v="63750"/>
    <n v="8581.2000000000007"/>
    <x v="3"/>
    <x v="1"/>
    <x v="1"/>
    <x v="1"/>
    <x v="4"/>
    <s v="May"/>
    <s v="Q2"/>
    <x v="8"/>
    <n v="5"/>
    <n v="13.46"/>
  </r>
  <r>
    <s v="ORD00896"/>
    <d v="2024-08-04T00:00:00"/>
    <d v="2024-08-06T00:00:00"/>
    <s v="C0124"/>
    <x v="10"/>
    <s v="Small Business"/>
    <x v="1"/>
    <x v="1"/>
    <s v="P004"/>
    <x v="7"/>
    <x v="2"/>
    <n v="1"/>
    <n v="8000"/>
    <x v="1"/>
    <n v="6800"/>
    <n v="1665.94"/>
    <x v="0"/>
    <x v="2"/>
    <x v="3"/>
    <x v="1"/>
    <x v="7"/>
    <s v="Aug"/>
    <s v="Q3"/>
    <x v="9"/>
    <n v="2"/>
    <n v="24.5"/>
  </r>
  <r>
    <s v="ORD01189"/>
    <d v="2024-10-01T00:00:00"/>
    <d v="2024-10-07T00:00:00"/>
    <s v="C0015"/>
    <x v="11"/>
    <s v="Corporate"/>
    <x v="3"/>
    <x v="7"/>
    <s v="P005"/>
    <x v="0"/>
    <x v="0"/>
    <n v="4"/>
    <n v="7000"/>
    <x v="2"/>
    <n v="22400"/>
    <n v="4255.83"/>
    <x v="3"/>
    <x v="2"/>
    <x v="4"/>
    <x v="1"/>
    <x v="1"/>
    <s v="Oct"/>
    <s v="Q4"/>
    <x v="1"/>
    <n v="6"/>
    <n v="19"/>
  </r>
  <r>
    <s v="ORD00514"/>
    <d v="2024-04-05T00:00:00"/>
    <d v="2024-04-12T00:00:00"/>
    <s v="C0185"/>
    <x v="12"/>
    <s v="Corporate"/>
    <x v="1"/>
    <x v="1"/>
    <s v="P001"/>
    <x v="8"/>
    <x v="2"/>
    <n v="3"/>
    <n v="55000"/>
    <x v="0"/>
    <n v="165000"/>
    <n v="25168.6"/>
    <x v="2"/>
    <x v="1"/>
    <x v="1"/>
    <x v="1"/>
    <x v="5"/>
    <s v="Apr"/>
    <s v="Q2"/>
    <x v="6"/>
    <n v="7"/>
    <n v="15.25"/>
  </r>
  <r>
    <s v="ORD01784"/>
    <d v="2024-04-15T00:00:00"/>
    <d v="2024-04-21T00:00:00"/>
    <s v="C0280"/>
    <x v="13"/>
    <s v="Consumer"/>
    <x v="3"/>
    <x v="8"/>
    <s v="P010"/>
    <x v="6"/>
    <x v="4"/>
    <n v="1"/>
    <n v="1800"/>
    <x v="0"/>
    <n v="1800"/>
    <n v="506.7"/>
    <x v="4"/>
    <x v="2"/>
    <x v="4"/>
    <x v="1"/>
    <x v="5"/>
    <s v="Apr"/>
    <s v="Q2"/>
    <x v="6"/>
    <n v="6"/>
    <n v="28.15"/>
  </r>
  <r>
    <s v="ORD01074"/>
    <d v="2025-06-27T00:00:00"/>
    <d v="2025-06-29T00:00:00"/>
    <s v="C0244"/>
    <x v="14"/>
    <s v="Consumer"/>
    <x v="2"/>
    <x v="9"/>
    <s v="P011"/>
    <x v="9"/>
    <x v="4"/>
    <n v="2"/>
    <n v="600"/>
    <x v="0"/>
    <n v="1200"/>
    <n v="340.78"/>
    <x v="3"/>
    <x v="1"/>
    <x v="2"/>
    <x v="0"/>
    <x v="8"/>
    <s v="Jun"/>
    <s v="Q2"/>
    <x v="10"/>
    <n v="2"/>
    <n v="28.4"/>
  </r>
  <r>
    <s v="ORD00731"/>
    <d v="2025-09-10T00:00:00"/>
    <d v="2025-09-11T00:00:00"/>
    <s v="C0095"/>
    <x v="15"/>
    <s v="Consumer"/>
    <x v="2"/>
    <x v="4"/>
    <s v="P002"/>
    <x v="3"/>
    <x v="2"/>
    <n v="1"/>
    <n v="25000"/>
    <x v="1"/>
    <n v="21250"/>
    <n v="2366.8200000000002"/>
    <x v="2"/>
    <x v="1"/>
    <x v="3"/>
    <x v="0"/>
    <x v="9"/>
    <s v="Sep"/>
    <s v="Q3"/>
    <x v="11"/>
    <n v="1"/>
    <n v="11.14"/>
  </r>
  <r>
    <s v="ORD01752"/>
    <d v="2024-06-15T00:00:00"/>
    <d v="2024-06-22T00:00:00"/>
    <s v="C0145"/>
    <x v="16"/>
    <s v="Corporate"/>
    <x v="3"/>
    <x v="8"/>
    <s v="P007"/>
    <x v="10"/>
    <x v="0"/>
    <n v="1"/>
    <n v="6000"/>
    <x v="3"/>
    <n v="5700"/>
    <n v="1442.11"/>
    <x v="0"/>
    <x v="2"/>
    <x v="2"/>
    <x v="1"/>
    <x v="8"/>
    <s v="Jun"/>
    <s v="Q2"/>
    <x v="12"/>
    <n v="7"/>
    <n v="25.3"/>
  </r>
  <r>
    <s v="ORD01018"/>
    <d v="2024-10-12T00:00:00"/>
    <d v="2024-10-16T00:00:00"/>
    <s v="C0244"/>
    <x v="14"/>
    <s v="Consumer"/>
    <x v="2"/>
    <x v="9"/>
    <s v="P002"/>
    <x v="3"/>
    <x v="2"/>
    <n v="2"/>
    <n v="25000"/>
    <x v="3"/>
    <n v="47500"/>
    <n v="5402.21"/>
    <x v="3"/>
    <x v="2"/>
    <x v="3"/>
    <x v="1"/>
    <x v="1"/>
    <s v="Oct"/>
    <s v="Q4"/>
    <x v="1"/>
    <n v="4"/>
    <n v="11.37"/>
  </r>
  <r>
    <s v="ORD01286"/>
    <d v="2024-07-30T00:00:00"/>
    <d v="2024-08-07T00:00:00"/>
    <s v="C0034"/>
    <x v="17"/>
    <s v="Small Business"/>
    <x v="1"/>
    <x v="1"/>
    <s v="P001"/>
    <x v="8"/>
    <x v="2"/>
    <n v="2"/>
    <n v="55000"/>
    <x v="3"/>
    <n v="104500"/>
    <n v="15010.73"/>
    <x v="4"/>
    <x v="0"/>
    <x v="0"/>
    <x v="1"/>
    <x v="3"/>
    <s v="Jul"/>
    <s v="Q3"/>
    <x v="4"/>
    <n v="8"/>
    <n v="14.36"/>
  </r>
  <r>
    <s v="ORD01419"/>
    <d v="2024-04-27T00:00:00"/>
    <d v="2024-04-30T00:00:00"/>
    <s v="C0037"/>
    <x v="18"/>
    <s v="Consumer"/>
    <x v="0"/>
    <x v="0"/>
    <s v="P011"/>
    <x v="9"/>
    <x v="4"/>
    <n v="1"/>
    <n v="600"/>
    <x v="2"/>
    <n v="480"/>
    <n v="163.32"/>
    <x v="1"/>
    <x v="1"/>
    <x v="2"/>
    <x v="1"/>
    <x v="5"/>
    <s v="Apr"/>
    <s v="Q2"/>
    <x v="6"/>
    <n v="3"/>
    <n v="34.03"/>
  </r>
  <r>
    <s v="ORD00621"/>
    <d v="2025-04-13T00:00:00"/>
    <d v="2025-04-18T00:00:00"/>
    <s v="C0281"/>
    <x v="19"/>
    <s v="Consumer"/>
    <x v="3"/>
    <x v="6"/>
    <s v="P008"/>
    <x v="11"/>
    <x v="1"/>
    <n v="1"/>
    <n v="250"/>
    <x v="0"/>
    <n v="250"/>
    <n v="105.93"/>
    <x v="4"/>
    <x v="1"/>
    <x v="2"/>
    <x v="0"/>
    <x v="5"/>
    <s v="Apr"/>
    <s v="Q2"/>
    <x v="13"/>
    <n v="5"/>
    <n v="42.37"/>
  </r>
  <r>
    <s v="ORD01296"/>
    <d v="2025-09-14T00:00:00"/>
    <d v="2025-09-18T00:00:00"/>
    <s v="C0066"/>
    <x v="20"/>
    <s v="Consumer"/>
    <x v="1"/>
    <x v="1"/>
    <s v="P003"/>
    <x v="5"/>
    <x v="2"/>
    <n v="1"/>
    <n v="3000"/>
    <x v="3"/>
    <n v="2850"/>
    <n v="686.5"/>
    <x v="2"/>
    <x v="0"/>
    <x v="1"/>
    <x v="0"/>
    <x v="9"/>
    <s v="Sep"/>
    <s v="Q3"/>
    <x v="11"/>
    <n v="4"/>
    <n v="24.09"/>
  </r>
  <r>
    <s v="ORD01448"/>
    <d v="2025-10-01T00:00:00"/>
    <d v="2025-10-05T00:00:00"/>
    <s v="C0091"/>
    <x v="21"/>
    <s v="Corporate"/>
    <x v="0"/>
    <x v="10"/>
    <s v="P003"/>
    <x v="5"/>
    <x v="2"/>
    <n v="1"/>
    <n v="3000"/>
    <x v="0"/>
    <n v="3000"/>
    <n v="669.95"/>
    <x v="5"/>
    <x v="1"/>
    <x v="4"/>
    <x v="0"/>
    <x v="1"/>
    <s v="Oct"/>
    <s v="Q4"/>
    <x v="14"/>
    <n v="4"/>
    <n v="22.33"/>
  </r>
  <r>
    <s v="ORD00423"/>
    <d v="2024-05-29T00:00:00"/>
    <d v="2024-05-30T00:00:00"/>
    <s v="C0196"/>
    <x v="22"/>
    <s v="Consumer"/>
    <x v="0"/>
    <x v="11"/>
    <s v="P004"/>
    <x v="7"/>
    <x v="2"/>
    <n v="4"/>
    <n v="8000"/>
    <x v="1"/>
    <n v="27200"/>
    <n v="5166.7700000000004"/>
    <x v="4"/>
    <x v="1"/>
    <x v="0"/>
    <x v="1"/>
    <x v="4"/>
    <s v="May"/>
    <s v="Q2"/>
    <x v="8"/>
    <n v="1"/>
    <n v="19"/>
  </r>
  <r>
    <s v="ORD00727"/>
    <d v="2025-06-19T00:00:00"/>
    <d v="2025-06-21T00:00:00"/>
    <s v="C0154"/>
    <x v="23"/>
    <s v="Small Business"/>
    <x v="0"/>
    <x v="2"/>
    <s v="P004"/>
    <x v="7"/>
    <x v="2"/>
    <n v="2"/>
    <n v="8000"/>
    <x v="4"/>
    <n v="14400"/>
    <n v="2588.73"/>
    <x v="2"/>
    <x v="2"/>
    <x v="3"/>
    <x v="0"/>
    <x v="8"/>
    <s v="Jun"/>
    <s v="Q2"/>
    <x v="10"/>
    <n v="2"/>
    <n v="17.98"/>
  </r>
  <r>
    <s v="ORD01661"/>
    <d v="2024-03-07T00:00:00"/>
    <d v="2024-03-11T00:00:00"/>
    <s v="C0243"/>
    <x v="24"/>
    <s v="Corporate"/>
    <x v="0"/>
    <x v="11"/>
    <s v="P009"/>
    <x v="2"/>
    <x v="1"/>
    <n v="2"/>
    <n v="180"/>
    <x v="0"/>
    <n v="360"/>
    <n v="133.05000000000001"/>
    <x v="6"/>
    <x v="0"/>
    <x v="4"/>
    <x v="1"/>
    <x v="0"/>
    <s v="Mar"/>
    <s v="Q1"/>
    <x v="2"/>
    <n v="4"/>
    <n v="36.96"/>
  </r>
  <r>
    <s v="ORD01923"/>
    <d v="2025-06-01T00:00:00"/>
    <d v="2025-06-07T00:00:00"/>
    <s v="C0226"/>
    <x v="25"/>
    <s v="Small Business"/>
    <x v="3"/>
    <x v="6"/>
    <s v="P008"/>
    <x v="11"/>
    <x v="1"/>
    <n v="1"/>
    <n v="250"/>
    <x v="0"/>
    <n v="250"/>
    <n v="103.7"/>
    <x v="4"/>
    <x v="1"/>
    <x v="4"/>
    <x v="0"/>
    <x v="8"/>
    <s v="Jun"/>
    <s v="Q2"/>
    <x v="10"/>
    <n v="6"/>
    <n v="41.48"/>
  </r>
  <r>
    <s v="ORD01559"/>
    <d v="2025-07-02T00:00:00"/>
    <d v="2025-07-09T00:00:00"/>
    <s v="C0056"/>
    <x v="26"/>
    <s v="Small Business"/>
    <x v="3"/>
    <x v="12"/>
    <s v="P009"/>
    <x v="2"/>
    <x v="1"/>
    <n v="1"/>
    <n v="180"/>
    <x v="2"/>
    <n v="144"/>
    <n v="47.85"/>
    <x v="4"/>
    <x v="0"/>
    <x v="1"/>
    <x v="0"/>
    <x v="3"/>
    <s v="Jul"/>
    <s v="Q3"/>
    <x v="15"/>
    <n v="7"/>
    <n v="33.229999999999997"/>
  </r>
  <r>
    <s v="ORD00087"/>
    <d v="2025-04-01T00:00:00"/>
    <d v="2025-04-09T00:00:00"/>
    <s v="C0152"/>
    <x v="27"/>
    <s v="Small Business"/>
    <x v="3"/>
    <x v="12"/>
    <s v="P005"/>
    <x v="0"/>
    <x v="0"/>
    <n v="2"/>
    <n v="7000"/>
    <x v="3"/>
    <n v="13300"/>
    <n v="2243.2399999999998"/>
    <x v="3"/>
    <x v="1"/>
    <x v="3"/>
    <x v="0"/>
    <x v="5"/>
    <s v="Apr"/>
    <s v="Q2"/>
    <x v="13"/>
    <n v="8"/>
    <n v="16.87"/>
  </r>
  <r>
    <s v="ORD00943"/>
    <d v="2024-12-24T00:00:00"/>
    <d v="2024-12-31T00:00:00"/>
    <s v="C0055"/>
    <x v="28"/>
    <s v="Corporate"/>
    <x v="3"/>
    <x v="12"/>
    <s v="P001"/>
    <x v="8"/>
    <x v="2"/>
    <n v="1"/>
    <n v="55000"/>
    <x v="0"/>
    <n v="55000"/>
    <n v="6965.1"/>
    <x v="0"/>
    <x v="0"/>
    <x v="3"/>
    <x v="1"/>
    <x v="10"/>
    <s v="Dec"/>
    <s v="Q4"/>
    <x v="16"/>
    <n v="7"/>
    <n v="12.66"/>
  </r>
  <r>
    <s v="ORD00828"/>
    <d v="2025-05-24T00:00:00"/>
    <d v="2025-06-01T00:00:00"/>
    <s v="C0210"/>
    <x v="29"/>
    <s v="Small Business"/>
    <x v="0"/>
    <x v="2"/>
    <s v="P006"/>
    <x v="1"/>
    <x v="0"/>
    <n v="1"/>
    <n v="9500"/>
    <x v="3"/>
    <n v="9025"/>
    <n v="1281.3499999999999"/>
    <x v="4"/>
    <x v="1"/>
    <x v="3"/>
    <x v="0"/>
    <x v="4"/>
    <s v="May"/>
    <s v="Q2"/>
    <x v="5"/>
    <n v="8"/>
    <n v="14.2"/>
  </r>
  <r>
    <s v="ORD01093"/>
    <d v="2024-08-10T00:00:00"/>
    <d v="2024-08-18T00:00:00"/>
    <s v="C0233"/>
    <x v="30"/>
    <s v="Small Business"/>
    <x v="1"/>
    <x v="13"/>
    <s v="P001"/>
    <x v="8"/>
    <x v="2"/>
    <n v="1"/>
    <n v="55000"/>
    <x v="4"/>
    <n v="49500"/>
    <n v="6676.93"/>
    <x v="3"/>
    <x v="0"/>
    <x v="0"/>
    <x v="1"/>
    <x v="7"/>
    <s v="Aug"/>
    <s v="Q3"/>
    <x v="9"/>
    <n v="8"/>
    <n v="13.49"/>
  </r>
  <r>
    <s v="ORD00656"/>
    <d v="2025-01-04T00:00:00"/>
    <d v="2025-01-06T00:00:00"/>
    <s v="C0070"/>
    <x v="31"/>
    <s v="Corporate"/>
    <x v="3"/>
    <x v="8"/>
    <s v="P008"/>
    <x v="11"/>
    <x v="1"/>
    <n v="3"/>
    <n v="250"/>
    <x v="4"/>
    <n v="675"/>
    <n v="266.99"/>
    <x v="6"/>
    <x v="1"/>
    <x v="3"/>
    <x v="0"/>
    <x v="11"/>
    <s v="Jan"/>
    <s v="Q1"/>
    <x v="17"/>
    <n v="2"/>
    <n v="39.549999999999997"/>
  </r>
  <r>
    <s v="ORD00426"/>
    <d v="2024-12-08T00:00:00"/>
    <d v="2024-12-13T00:00:00"/>
    <s v="C0231"/>
    <x v="32"/>
    <s v="Small Business"/>
    <x v="1"/>
    <x v="1"/>
    <s v="P012"/>
    <x v="4"/>
    <x v="3"/>
    <n v="1"/>
    <n v="3500"/>
    <x v="4"/>
    <n v="3150"/>
    <n v="1081.32"/>
    <x v="3"/>
    <x v="0"/>
    <x v="3"/>
    <x v="1"/>
    <x v="10"/>
    <s v="Dec"/>
    <s v="Q4"/>
    <x v="16"/>
    <n v="5"/>
    <n v="34.33"/>
  </r>
  <r>
    <s v="ORD00770"/>
    <d v="2025-03-03T00:00:00"/>
    <d v="2025-03-09T00:00:00"/>
    <s v="C0035"/>
    <x v="33"/>
    <s v="Consumer"/>
    <x v="3"/>
    <x v="8"/>
    <s v="P001"/>
    <x v="8"/>
    <x v="2"/>
    <n v="2"/>
    <n v="55000"/>
    <x v="0"/>
    <n v="110000"/>
    <n v="18340.849999999999"/>
    <x v="0"/>
    <x v="1"/>
    <x v="1"/>
    <x v="0"/>
    <x v="0"/>
    <s v="Mar"/>
    <s v="Q1"/>
    <x v="0"/>
    <n v="6"/>
    <n v="16.670000000000002"/>
  </r>
  <r>
    <s v="ORD00566"/>
    <d v="2024-10-22T00:00:00"/>
    <d v="2024-10-23T00:00:00"/>
    <s v="C0223"/>
    <x v="34"/>
    <s v="Corporate"/>
    <x v="1"/>
    <x v="13"/>
    <s v="P001"/>
    <x v="8"/>
    <x v="2"/>
    <n v="2"/>
    <n v="55000"/>
    <x v="1"/>
    <n v="93500"/>
    <n v="13906.22"/>
    <x v="2"/>
    <x v="2"/>
    <x v="4"/>
    <x v="1"/>
    <x v="1"/>
    <s v="Oct"/>
    <s v="Q4"/>
    <x v="1"/>
    <n v="1"/>
    <n v="14.87"/>
  </r>
  <r>
    <s v="ORD01122"/>
    <d v="2024-02-04T00:00:00"/>
    <d v="2024-02-11T00:00:00"/>
    <s v="C0050"/>
    <x v="35"/>
    <s v="Corporate"/>
    <x v="0"/>
    <x v="2"/>
    <s v="P004"/>
    <x v="7"/>
    <x v="2"/>
    <n v="4"/>
    <n v="8000"/>
    <x v="0"/>
    <n v="32000"/>
    <n v="6750.6"/>
    <x v="1"/>
    <x v="2"/>
    <x v="3"/>
    <x v="1"/>
    <x v="6"/>
    <s v="Feb"/>
    <s v="Q1"/>
    <x v="18"/>
    <n v="7"/>
    <n v="21.1"/>
  </r>
  <r>
    <s v="ORD00774"/>
    <d v="2025-07-08T00:00:00"/>
    <d v="2025-07-12T00:00:00"/>
    <s v="C0099"/>
    <x v="36"/>
    <s v="Small Business"/>
    <x v="0"/>
    <x v="0"/>
    <s v="P010"/>
    <x v="6"/>
    <x v="4"/>
    <n v="2"/>
    <n v="1800"/>
    <x v="0"/>
    <n v="3600"/>
    <n v="1364.48"/>
    <x v="0"/>
    <x v="2"/>
    <x v="3"/>
    <x v="0"/>
    <x v="3"/>
    <s v="Jul"/>
    <s v="Q3"/>
    <x v="15"/>
    <n v="4"/>
    <n v="37.9"/>
  </r>
  <r>
    <s v="ORD00163"/>
    <d v="2025-02-26T00:00:00"/>
    <m/>
    <s v="C0025"/>
    <x v="37"/>
    <s v="Consumer"/>
    <x v="2"/>
    <x v="14"/>
    <s v="P001"/>
    <x v="8"/>
    <x v="2"/>
    <n v="1"/>
    <n v="55000"/>
    <x v="1"/>
    <n v="46750"/>
    <n v="6669.5"/>
    <x v="2"/>
    <x v="0"/>
    <x v="1"/>
    <x v="0"/>
    <x v="6"/>
    <s v="Feb"/>
    <s v="Q1"/>
    <x v="7"/>
    <s v=""/>
    <n v="14.27"/>
  </r>
  <r>
    <s v="ORD00695"/>
    <d v="2025-02-26T00:00:00"/>
    <m/>
    <s v="C0252"/>
    <x v="7"/>
    <s v="Consumer"/>
    <x v="1"/>
    <x v="5"/>
    <s v="P008"/>
    <x v="11"/>
    <x v="1"/>
    <n v="5"/>
    <n v="250"/>
    <x v="0"/>
    <n v="1250"/>
    <n v="493.48"/>
    <x v="4"/>
    <x v="2"/>
    <x v="4"/>
    <x v="0"/>
    <x v="6"/>
    <s v="Feb"/>
    <s v="Q1"/>
    <x v="7"/>
    <s v=""/>
    <n v="39.479999999999997"/>
  </r>
  <r>
    <s v="ORD00327"/>
    <d v="2024-04-05T00:00:00"/>
    <d v="2024-04-12T00:00:00"/>
    <s v="C0138"/>
    <x v="38"/>
    <s v="Small Business"/>
    <x v="0"/>
    <x v="15"/>
    <s v="P012"/>
    <x v="4"/>
    <x v="3"/>
    <n v="1"/>
    <n v="3500"/>
    <x v="0"/>
    <n v="3500"/>
    <n v="865.93"/>
    <x v="0"/>
    <x v="1"/>
    <x v="4"/>
    <x v="1"/>
    <x v="5"/>
    <s v="Apr"/>
    <s v="Q2"/>
    <x v="6"/>
    <n v="7"/>
    <n v="24.74"/>
  </r>
  <r>
    <s v="ORD01427"/>
    <d v="2024-05-26T00:00:00"/>
    <d v="2024-05-28T00:00:00"/>
    <s v="C0286"/>
    <x v="39"/>
    <s v="Corporate"/>
    <x v="3"/>
    <x v="7"/>
    <s v="P003"/>
    <x v="5"/>
    <x v="2"/>
    <n v="2"/>
    <n v="3000"/>
    <x v="0"/>
    <n v="6000"/>
    <n v="1300.83"/>
    <x v="0"/>
    <x v="2"/>
    <x v="1"/>
    <x v="1"/>
    <x v="4"/>
    <s v="May"/>
    <s v="Q2"/>
    <x v="8"/>
    <n v="2"/>
    <n v="21.68"/>
  </r>
  <r>
    <s v="ORD00824"/>
    <d v="2025-12-30T00:00:00"/>
    <d v="2026-01-07T00:00:00"/>
    <s v="C0092"/>
    <x v="40"/>
    <s v="Consumer"/>
    <x v="0"/>
    <x v="11"/>
    <s v="P006"/>
    <x v="1"/>
    <x v="0"/>
    <n v="3"/>
    <n v="9500"/>
    <x v="1"/>
    <n v="24225"/>
    <n v="5243.75"/>
    <x v="3"/>
    <x v="2"/>
    <x v="0"/>
    <x v="0"/>
    <x v="10"/>
    <s v="Dec"/>
    <s v="Q4"/>
    <x v="19"/>
    <n v="8"/>
    <n v="21.65"/>
  </r>
  <r>
    <s v="ORD00541"/>
    <d v="2025-04-17T00:00:00"/>
    <d v="2025-04-21T00:00:00"/>
    <s v="C0155"/>
    <x v="41"/>
    <s v="Consumer"/>
    <x v="1"/>
    <x v="5"/>
    <s v="P009"/>
    <x v="2"/>
    <x v="1"/>
    <n v="2"/>
    <n v="180"/>
    <x v="3"/>
    <n v="342"/>
    <n v="122.42"/>
    <x v="1"/>
    <x v="0"/>
    <x v="3"/>
    <x v="0"/>
    <x v="5"/>
    <s v="Apr"/>
    <s v="Q2"/>
    <x v="13"/>
    <n v="4"/>
    <n v="35.799999999999997"/>
  </r>
  <r>
    <s v="ORD01479"/>
    <d v="2025-06-25T00:00:00"/>
    <d v="2025-06-30T00:00:00"/>
    <s v="C0165"/>
    <x v="42"/>
    <s v="Corporate"/>
    <x v="2"/>
    <x v="3"/>
    <s v="P002"/>
    <x v="3"/>
    <x v="2"/>
    <n v="2"/>
    <n v="25000"/>
    <x v="4"/>
    <n v="45000"/>
    <n v="6750"/>
    <x v="2"/>
    <x v="1"/>
    <x v="0"/>
    <x v="0"/>
    <x v="8"/>
    <s v="Jun"/>
    <s v="Q2"/>
    <x v="10"/>
    <n v="5"/>
    <n v="15"/>
  </r>
  <r>
    <s v="ORD00362"/>
    <d v="2024-10-30T00:00:00"/>
    <d v="2024-11-01T00:00:00"/>
    <s v="C0250"/>
    <x v="43"/>
    <s v="Small Business"/>
    <x v="0"/>
    <x v="11"/>
    <s v="P001"/>
    <x v="8"/>
    <x v="2"/>
    <n v="1"/>
    <n v="55000"/>
    <x v="4"/>
    <n v="49500"/>
    <n v="6530.48"/>
    <x v="4"/>
    <x v="2"/>
    <x v="1"/>
    <x v="1"/>
    <x v="1"/>
    <s v="Oct"/>
    <s v="Q4"/>
    <x v="1"/>
    <n v="2"/>
    <n v="13.19"/>
  </r>
  <r>
    <s v="ORD00693"/>
    <d v="2025-02-01T00:00:00"/>
    <d v="2025-02-06T00:00:00"/>
    <s v="C0122"/>
    <x v="44"/>
    <s v="Corporate"/>
    <x v="2"/>
    <x v="14"/>
    <s v="P008"/>
    <x v="11"/>
    <x v="1"/>
    <n v="1"/>
    <n v="250"/>
    <x v="3"/>
    <n v="237.5"/>
    <n v="101.75"/>
    <x v="3"/>
    <x v="0"/>
    <x v="2"/>
    <x v="0"/>
    <x v="6"/>
    <s v="Feb"/>
    <s v="Q1"/>
    <x v="7"/>
    <n v="5"/>
    <n v="42.84"/>
  </r>
  <r>
    <s v="ORD01826"/>
    <d v="2025-02-01T00:00:00"/>
    <d v="2025-02-07T00:00:00"/>
    <s v="C0155"/>
    <x v="41"/>
    <s v="Consumer"/>
    <x v="1"/>
    <x v="5"/>
    <s v="P004"/>
    <x v="7"/>
    <x v="2"/>
    <n v="2"/>
    <n v="8000"/>
    <x v="2"/>
    <n v="12800"/>
    <n v="2973.01"/>
    <x v="2"/>
    <x v="1"/>
    <x v="3"/>
    <x v="0"/>
    <x v="6"/>
    <s v="Feb"/>
    <s v="Q1"/>
    <x v="7"/>
    <n v="6"/>
    <n v="23.23"/>
  </r>
  <r>
    <s v="ORD00348"/>
    <d v="2025-12-11T00:00:00"/>
    <d v="2025-12-19T00:00:00"/>
    <s v="C0258"/>
    <x v="45"/>
    <s v="Small Business"/>
    <x v="0"/>
    <x v="10"/>
    <s v="P009"/>
    <x v="2"/>
    <x v="1"/>
    <n v="3"/>
    <n v="180"/>
    <x v="2"/>
    <n v="432"/>
    <n v="163.47"/>
    <x v="1"/>
    <x v="2"/>
    <x v="0"/>
    <x v="0"/>
    <x v="10"/>
    <s v="Dec"/>
    <s v="Q4"/>
    <x v="19"/>
    <n v="8"/>
    <n v="37.840000000000003"/>
  </r>
  <r>
    <s v="ORD00881"/>
    <d v="2025-01-26T00:00:00"/>
    <d v="2025-01-28T00:00:00"/>
    <s v="C0273"/>
    <x v="46"/>
    <s v="Small Business"/>
    <x v="3"/>
    <x v="8"/>
    <s v="P011"/>
    <x v="9"/>
    <x v="4"/>
    <n v="2"/>
    <n v="600"/>
    <x v="1"/>
    <n v="1020"/>
    <n v="335.14"/>
    <x v="6"/>
    <x v="2"/>
    <x v="1"/>
    <x v="0"/>
    <x v="11"/>
    <s v="Jan"/>
    <s v="Q1"/>
    <x v="17"/>
    <n v="2"/>
    <n v="32.86"/>
  </r>
  <r>
    <s v="ORD01823"/>
    <d v="2024-09-28T00:00:00"/>
    <d v="2024-10-06T00:00:00"/>
    <s v="C0020"/>
    <x v="47"/>
    <s v="Corporate"/>
    <x v="2"/>
    <x v="3"/>
    <s v="P001"/>
    <x v="8"/>
    <x v="2"/>
    <n v="3"/>
    <n v="55000"/>
    <x v="3"/>
    <n v="156750"/>
    <n v="26596.36"/>
    <x v="1"/>
    <x v="2"/>
    <x v="1"/>
    <x v="1"/>
    <x v="9"/>
    <s v="Sep"/>
    <s v="Q3"/>
    <x v="20"/>
    <n v="8"/>
    <n v="16.97"/>
  </r>
  <r>
    <s v="ORD01294"/>
    <d v="2024-05-31T00:00:00"/>
    <d v="2024-06-06T00:00:00"/>
    <s v="C0019"/>
    <x v="48"/>
    <s v="Consumer"/>
    <x v="2"/>
    <x v="4"/>
    <s v="P003"/>
    <x v="5"/>
    <x v="2"/>
    <n v="2"/>
    <n v="3000"/>
    <x v="0"/>
    <n v="6000"/>
    <n v="1419.14"/>
    <x v="1"/>
    <x v="1"/>
    <x v="4"/>
    <x v="1"/>
    <x v="4"/>
    <s v="May"/>
    <s v="Q2"/>
    <x v="8"/>
    <n v="6"/>
    <n v="23.65"/>
  </r>
  <r>
    <s v="ORD01820"/>
    <d v="2024-06-14T00:00:00"/>
    <d v="2024-06-22T00:00:00"/>
    <s v="C0226"/>
    <x v="25"/>
    <s v="Small Business"/>
    <x v="3"/>
    <x v="6"/>
    <s v="P002"/>
    <x v="3"/>
    <x v="2"/>
    <n v="1"/>
    <n v="25000"/>
    <x v="0"/>
    <n v="25000"/>
    <n v="3750"/>
    <x v="1"/>
    <x v="1"/>
    <x v="3"/>
    <x v="1"/>
    <x v="8"/>
    <s v="Jun"/>
    <s v="Q2"/>
    <x v="12"/>
    <n v="8"/>
    <n v="15"/>
  </r>
  <r>
    <s v="ORD00483"/>
    <d v="2025-09-29T00:00:00"/>
    <d v="2025-09-30T00:00:00"/>
    <s v="C0281"/>
    <x v="19"/>
    <s v="Consumer"/>
    <x v="3"/>
    <x v="6"/>
    <s v="P008"/>
    <x v="11"/>
    <x v="1"/>
    <n v="3"/>
    <n v="250"/>
    <x v="0"/>
    <n v="750"/>
    <n v="293.41000000000003"/>
    <x v="0"/>
    <x v="2"/>
    <x v="1"/>
    <x v="0"/>
    <x v="9"/>
    <s v="Sep"/>
    <s v="Q3"/>
    <x v="11"/>
    <n v="1"/>
    <n v="39.119999999999997"/>
  </r>
  <r>
    <s v="ORD00535"/>
    <d v="2025-02-05T00:00:00"/>
    <d v="2025-02-13T00:00:00"/>
    <s v="C0045"/>
    <x v="49"/>
    <s v="Small Business"/>
    <x v="1"/>
    <x v="16"/>
    <s v="P007"/>
    <x v="10"/>
    <x v="0"/>
    <n v="1"/>
    <n v="6000"/>
    <x v="4"/>
    <n v="5400"/>
    <n v="1369.24"/>
    <x v="1"/>
    <x v="1"/>
    <x v="4"/>
    <x v="0"/>
    <x v="6"/>
    <s v="Feb"/>
    <s v="Q1"/>
    <x v="7"/>
    <n v="8"/>
    <n v="25.36"/>
  </r>
  <r>
    <s v="ORD01508"/>
    <d v="2024-01-14T00:00:00"/>
    <d v="2024-01-19T00:00:00"/>
    <s v="C0212"/>
    <x v="50"/>
    <s v="Corporate"/>
    <x v="1"/>
    <x v="5"/>
    <s v="P003"/>
    <x v="5"/>
    <x v="2"/>
    <n v="2"/>
    <n v="3000"/>
    <x v="0"/>
    <n v="6000"/>
    <n v="1732.76"/>
    <x v="5"/>
    <x v="1"/>
    <x v="0"/>
    <x v="1"/>
    <x v="11"/>
    <s v="Jan"/>
    <s v="Q1"/>
    <x v="21"/>
    <n v="5"/>
    <n v="28.88"/>
  </r>
  <r>
    <s v="ORD00712"/>
    <d v="2025-09-19T00:00:00"/>
    <d v="2025-09-26T00:00:00"/>
    <s v="C0145"/>
    <x v="16"/>
    <s v="Corporate"/>
    <x v="3"/>
    <x v="8"/>
    <s v="P005"/>
    <x v="0"/>
    <x v="0"/>
    <n v="4"/>
    <n v="7000"/>
    <x v="0"/>
    <n v="28000"/>
    <n v="5585.82"/>
    <x v="4"/>
    <x v="1"/>
    <x v="0"/>
    <x v="0"/>
    <x v="9"/>
    <s v="Sep"/>
    <s v="Q3"/>
    <x v="11"/>
    <n v="7"/>
    <n v="19.95"/>
  </r>
  <r>
    <s v="ORD01920"/>
    <d v="2024-03-09T00:00:00"/>
    <d v="2024-03-10T00:00:00"/>
    <s v="C0278"/>
    <x v="51"/>
    <s v="Small Business"/>
    <x v="0"/>
    <x v="2"/>
    <s v="P001"/>
    <x v="8"/>
    <x v="2"/>
    <n v="2"/>
    <n v="55000"/>
    <x v="3"/>
    <n v="104500"/>
    <n v="20407.47"/>
    <x v="3"/>
    <x v="1"/>
    <x v="2"/>
    <x v="1"/>
    <x v="0"/>
    <s v="Mar"/>
    <s v="Q1"/>
    <x v="2"/>
    <n v="1"/>
    <n v="19.53"/>
  </r>
  <r>
    <s v="ORD00580"/>
    <d v="2025-10-09T00:00:00"/>
    <d v="2025-10-15T00:00:00"/>
    <s v="C0206"/>
    <x v="52"/>
    <s v="Corporate"/>
    <x v="1"/>
    <x v="1"/>
    <s v="P001"/>
    <x v="8"/>
    <x v="2"/>
    <n v="2"/>
    <n v="55000"/>
    <x v="0"/>
    <n v="110000"/>
    <n v="18094.240000000002"/>
    <x v="2"/>
    <x v="1"/>
    <x v="4"/>
    <x v="0"/>
    <x v="1"/>
    <s v="Oct"/>
    <s v="Q4"/>
    <x v="14"/>
    <n v="6"/>
    <n v="16.45"/>
  </r>
  <r>
    <s v="ORD00005"/>
    <d v="2024-08-27T00:00:00"/>
    <d v="2024-09-04T00:00:00"/>
    <s v="C0293"/>
    <x v="53"/>
    <s v="Corporate"/>
    <x v="1"/>
    <x v="16"/>
    <s v="P007"/>
    <x v="10"/>
    <x v="0"/>
    <n v="4"/>
    <n v="6000"/>
    <x v="3"/>
    <n v="22800"/>
    <n v="3925.94"/>
    <x v="5"/>
    <x v="1"/>
    <x v="0"/>
    <x v="1"/>
    <x v="7"/>
    <s v="Aug"/>
    <s v="Q3"/>
    <x v="9"/>
    <n v="8"/>
    <n v="17.22"/>
  </r>
  <r>
    <s v="ORD01758"/>
    <d v="2024-11-21T00:00:00"/>
    <d v="2024-11-28T00:00:00"/>
    <s v="C0263"/>
    <x v="54"/>
    <s v="Consumer"/>
    <x v="3"/>
    <x v="8"/>
    <s v="P011"/>
    <x v="9"/>
    <x v="4"/>
    <n v="2"/>
    <n v="600"/>
    <x v="4"/>
    <n v="1080"/>
    <n v="447.57"/>
    <x v="2"/>
    <x v="0"/>
    <x v="3"/>
    <x v="1"/>
    <x v="2"/>
    <s v="Nov"/>
    <s v="Q4"/>
    <x v="3"/>
    <n v="7"/>
    <n v="41.44"/>
  </r>
  <r>
    <s v="ORD01904"/>
    <d v="2025-02-18T00:00:00"/>
    <d v="2025-02-21T00:00:00"/>
    <s v="C0190"/>
    <x v="55"/>
    <s v="Corporate"/>
    <x v="3"/>
    <x v="12"/>
    <s v="P005"/>
    <x v="0"/>
    <x v="0"/>
    <n v="4"/>
    <n v="7000"/>
    <x v="2"/>
    <n v="22400"/>
    <n v="3707.45"/>
    <x v="0"/>
    <x v="1"/>
    <x v="4"/>
    <x v="0"/>
    <x v="6"/>
    <s v="Feb"/>
    <s v="Q1"/>
    <x v="7"/>
    <n v="3"/>
    <n v="16.55"/>
  </r>
  <r>
    <s v="ORD01321"/>
    <d v="2024-04-23T00:00:00"/>
    <d v="2024-04-30T00:00:00"/>
    <s v="C0225"/>
    <x v="56"/>
    <s v="Consumer"/>
    <x v="2"/>
    <x v="3"/>
    <s v="P005"/>
    <x v="0"/>
    <x v="0"/>
    <n v="2"/>
    <n v="7000"/>
    <x v="1"/>
    <n v="11900"/>
    <n v="1910.08"/>
    <x v="4"/>
    <x v="0"/>
    <x v="1"/>
    <x v="1"/>
    <x v="5"/>
    <s v="Apr"/>
    <s v="Q2"/>
    <x v="6"/>
    <n v="7"/>
    <n v="16.05"/>
  </r>
  <r>
    <s v="ORD00517"/>
    <d v="2025-09-15T00:00:00"/>
    <d v="2025-09-21T00:00:00"/>
    <s v="C0148"/>
    <x v="57"/>
    <s v="Corporate"/>
    <x v="2"/>
    <x v="4"/>
    <s v="P007"/>
    <x v="10"/>
    <x v="0"/>
    <n v="4"/>
    <n v="6000"/>
    <x v="0"/>
    <n v="24000"/>
    <n v="5242.5"/>
    <x v="4"/>
    <x v="2"/>
    <x v="1"/>
    <x v="0"/>
    <x v="9"/>
    <s v="Sep"/>
    <s v="Q3"/>
    <x v="11"/>
    <n v="6"/>
    <n v="21.84"/>
  </r>
  <r>
    <s v="ORD00031"/>
    <d v="2024-02-23T00:00:00"/>
    <d v="2024-02-25T00:00:00"/>
    <s v="C0090"/>
    <x v="58"/>
    <s v="Consumer"/>
    <x v="0"/>
    <x v="10"/>
    <s v="P005"/>
    <x v="0"/>
    <x v="0"/>
    <n v="1"/>
    <n v="7000"/>
    <x v="3"/>
    <n v="6650"/>
    <n v="1331.97"/>
    <x v="0"/>
    <x v="1"/>
    <x v="4"/>
    <x v="1"/>
    <x v="6"/>
    <s v="Feb"/>
    <s v="Q1"/>
    <x v="18"/>
    <n v="2"/>
    <n v="20.03"/>
  </r>
  <r>
    <s v="ORD01033"/>
    <d v="2024-04-27T00:00:00"/>
    <d v="2024-05-03T00:00:00"/>
    <s v="C0283"/>
    <x v="59"/>
    <s v="Small Business"/>
    <x v="1"/>
    <x v="13"/>
    <s v="P007"/>
    <x v="10"/>
    <x v="0"/>
    <n v="1"/>
    <n v="6000"/>
    <x v="3"/>
    <n v="5700"/>
    <n v="1368"/>
    <x v="0"/>
    <x v="1"/>
    <x v="0"/>
    <x v="1"/>
    <x v="5"/>
    <s v="Apr"/>
    <s v="Q2"/>
    <x v="6"/>
    <n v="6"/>
    <n v="24"/>
  </r>
  <r>
    <s v="ORD01204"/>
    <d v="2025-05-20T00:00:00"/>
    <d v="2025-05-23T00:00:00"/>
    <s v="C0120"/>
    <x v="4"/>
    <s v="Corporate"/>
    <x v="2"/>
    <x v="3"/>
    <s v="P001"/>
    <x v="8"/>
    <x v="2"/>
    <n v="1"/>
    <n v="55000"/>
    <x v="0"/>
    <n v="55000"/>
    <n v="9862.42"/>
    <x v="2"/>
    <x v="1"/>
    <x v="1"/>
    <x v="0"/>
    <x v="4"/>
    <s v="May"/>
    <s v="Q2"/>
    <x v="5"/>
    <n v="3"/>
    <n v="17.93"/>
  </r>
  <r>
    <s v="ORD01246"/>
    <d v="2025-08-14T00:00:00"/>
    <d v="2025-08-17T00:00:00"/>
    <s v="C0219"/>
    <x v="60"/>
    <s v="Corporate"/>
    <x v="3"/>
    <x v="12"/>
    <s v="P005"/>
    <x v="0"/>
    <x v="0"/>
    <n v="2"/>
    <n v="7000"/>
    <x v="0"/>
    <n v="14000"/>
    <n v="2358.08"/>
    <x v="3"/>
    <x v="2"/>
    <x v="1"/>
    <x v="0"/>
    <x v="7"/>
    <s v="Aug"/>
    <s v="Q3"/>
    <x v="22"/>
    <n v="3"/>
    <n v="16.84"/>
  </r>
  <r>
    <s v="ORD00085"/>
    <d v="2024-07-10T00:00:00"/>
    <d v="2024-07-15T00:00:00"/>
    <s v="C0198"/>
    <x v="61"/>
    <s v="Consumer"/>
    <x v="0"/>
    <x v="0"/>
    <s v="P006"/>
    <x v="1"/>
    <x v="0"/>
    <n v="2"/>
    <n v="9500"/>
    <x v="3"/>
    <n v="18050"/>
    <n v="3057.45"/>
    <x v="2"/>
    <x v="2"/>
    <x v="0"/>
    <x v="1"/>
    <x v="3"/>
    <s v="Jul"/>
    <s v="Q3"/>
    <x v="4"/>
    <n v="5"/>
    <n v="16.940000000000001"/>
  </r>
  <r>
    <s v="ORD01671"/>
    <d v="2024-03-15T00:00:00"/>
    <d v="2024-03-18T00:00:00"/>
    <s v="C0274"/>
    <x v="9"/>
    <s v="Consumer"/>
    <x v="3"/>
    <x v="6"/>
    <s v="P012"/>
    <x v="4"/>
    <x v="3"/>
    <n v="1"/>
    <n v="3500"/>
    <x v="4"/>
    <n v="3150"/>
    <n v="883.52"/>
    <x v="4"/>
    <x v="2"/>
    <x v="2"/>
    <x v="1"/>
    <x v="0"/>
    <s v="Mar"/>
    <s v="Q1"/>
    <x v="2"/>
    <n v="3"/>
    <n v="28.05"/>
  </r>
  <r>
    <s v="ORD01006"/>
    <d v="2025-08-23T00:00:00"/>
    <d v="2025-08-26T00:00:00"/>
    <s v="C0196"/>
    <x v="22"/>
    <s v="Consumer"/>
    <x v="0"/>
    <x v="11"/>
    <s v="P008"/>
    <x v="11"/>
    <x v="1"/>
    <n v="4"/>
    <n v="250"/>
    <x v="0"/>
    <n v="1000"/>
    <n v="326.42"/>
    <x v="5"/>
    <x v="1"/>
    <x v="3"/>
    <x v="0"/>
    <x v="7"/>
    <s v="Aug"/>
    <s v="Q3"/>
    <x v="22"/>
    <n v="3"/>
    <n v="32.64"/>
  </r>
  <r>
    <s v="ORD01901"/>
    <d v="2025-03-21T00:00:00"/>
    <m/>
    <s v="C0286"/>
    <x v="39"/>
    <s v="Corporate"/>
    <x v="3"/>
    <x v="7"/>
    <s v="P010"/>
    <x v="6"/>
    <x v="4"/>
    <n v="2"/>
    <n v="1800"/>
    <x v="3"/>
    <n v="3420"/>
    <n v="861.84"/>
    <x v="3"/>
    <x v="0"/>
    <x v="3"/>
    <x v="0"/>
    <x v="0"/>
    <s v="Mar"/>
    <s v="Q1"/>
    <x v="0"/>
    <s v=""/>
    <n v="25.2"/>
  </r>
  <r>
    <s v="ORD00159"/>
    <d v="2024-02-16T00:00:00"/>
    <d v="2024-02-17T00:00:00"/>
    <s v="C0161"/>
    <x v="62"/>
    <s v="Consumer"/>
    <x v="3"/>
    <x v="12"/>
    <s v="P007"/>
    <x v="10"/>
    <x v="0"/>
    <n v="2"/>
    <n v="6000"/>
    <x v="0"/>
    <n v="12000"/>
    <n v="2869.92"/>
    <x v="3"/>
    <x v="2"/>
    <x v="1"/>
    <x v="1"/>
    <x v="6"/>
    <s v="Feb"/>
    <s v="Q1"/>
    <x v="18"/>
    <n v="1"/>
    <n v="23.92"/>
  </r>
  <r>
    <s v="ORD01437"/>
    <d v="2025-07-09T00:00:00"/>
    <d v="2025-07-16T00:00:00"/>
    <s v="C0241"/>
    <x v="63"/>
    <s v="Consumer"/>
    <x v="2"/>
    <x v="4"/>
    <s v="P002"/>
    <x v="3"/>
    <x v="2"/>
    <n v="3"/>
    <n v="25000"/>
    <x v="0"/>
    <n v="75000"/>
    <n v="11946.04"/>
    <x v="2"/>
    <x v="0"/>
    <x v="2"/>
    <x v="0"/>
    <x v="3"/>
    <s v="Jul"/>
    <s v="Q3"/>
    <x v="15"/>
    <n v="7"/>
    <n v="15.93"/>
  </r>
  <r>
    <s v="ORD01124"/>
    <d v="2024-12-31T00:00:00"/>
    <d v="2025-01-08T00:00:00"/>
    <s v="C0257"/>
    <x v="64"/>
    <s v="Small Business"/>
    <x v="0"/>
    <x v="11"/>
    <s v="P006"/>
    <x v="1"/>
    <x v="0"/>
    <n v="2"/>
    <n v="9500"/>
    <x v="0"/>
    <n v="19000"/>
    <n v="3878.43"/>
    <x v="0"/>
    <x v="2"/>
    <x v="0"/>
    <x v="1"/>
    <x v="10"/>
    <s v="Dec"/>
    <s v="Q4"/>
    <x v="16"/>
    <n v="8"/>
    <n v="20.41"/>
  </r>
  <r>
    <s v="ORD01620"/>
    <d v="2024-01-10T00:00:00"/>
    <d v="2024-01-16T00:00:00"/>
    <s v="C0214"/>
    <x v="65"/>
    <s v="Small Business"/>
    <x v="1"/>
    <x v="1"/>
    <s v="P001"/>
    <x v="8"/>
    <x v="2"/>
    <n v="2"/>
    <n v="55000"/>
    <x v="1"/>
    <n v="93500"/>
    <n v="14089.83"/>
    <x v="3"/>
    <x v="0"/>
    <x v="3"/>
    <x v="1"/>
    <x v="11"/>
    <s v="Jan"/>
    <s v="Q1"/>
    <x v="21"/>
    <n v="6"/>
    <n v="15.07"/>
  </r>
  <r>
    <s v="ORD01165"/>
    <d v="2025-07-04T00:00:00"/>
    <d v="2025-07-07T00:00:00"/>
    <s v="C0292"/>
    <x v="66"/>
    <s v="Consumer"/>
    <x v="3"/>
    <x v="7"/>
    <s v="P003"/>
    <x v="5"/>
    <x v="2"/>
    <n v="1"/>
    <n v="3000"/>
    <x v="3"/>
    <n v="2850"/>
    <n v="829.04"/>
    <x v="1"/>
    <x v="1"/>
    <x v="4"/>
    <x v="0"/>
    <x v="3"/>
    <s v="Jul"/>
    <s v="Q3"/>
    <x v="15"/>
    <n v="3"/>
    <n v="29.09"/>
  </r>
  <r>
    <s v="ORD00699"/>
    <d v="2025-05-04T00:00:00"/>
    <d v="2025-05-10T00:00:00"/>
    <s v="C0164"/>
    <x v="67"/>
    <s v="Small Business"/>
    <x v="3"/>
    <x v="7"/>
    <s v="P008"/>
    <x v="11"/>
    <x v="1"/>
    <n v="4"/>
    <n v="250"/>
    <x v="0"/>
    <n v="1000"/>
    <n v="321.70999999999998"/>
    <x v="6"/>
    <x v="0"/>
    <x v="3"/>
    <x v="0"/>
    <x v="4"/>
    <s v="May"/>
    <s v="Q2"/>
    <x v="5"/>
    <n v="6"/>
    <n v="32.17"/>
  </r>
  <r>
    <s v="ORD00633"/>
    <d v="2025-03-10T00:00:00"/>
    <d v="2025-03-12T00:00:00"/>
    <s v="C0148"/>
    <x v="57"/>
    <s v="Corporate"/>
    <x v="2"/>
    <x v="4"/>
    <s v="P003"/>
    <x v="5"/>
    <x v="2"/>
    <n v="3"/>
    <n v="3000"/>
    <x v="3"/>
    <n v="8550"/>
    <n v="1938.7"/>
    <x v="4"/>
    <x v="0"/>
    <x v="4"/>
    <x v="0"/>
    <x v="0"/>
    <s v="Mar"/>
    <s v="Q1"/>
    <x v="0"/>
    <n v="2"/>
    <n v="22.67"/>
  </r>
  <r>
    <s v="ORD00413"/>
    <d v="2024-07-01T00:00:00"/>
    <d v="2024-07-06T00:00:00"/>
    <s v="C0039"/>
    <x v="68"/>
    <s v="Corporate"/>
    <x v="0"/>
    <x v="15"/>
    <s v="P009"/>
    <x v="2"/>
    <x v="1"/>
    <n v="2"/>
    <n v="180"/>
    <x v="0"/>
    <n v="360"/>
    <n v="127.56"/>
    <x v="4"/>
    <x v="2"/>
    <x v="2"/>
    <x v="1"/>
    <x v="3"/>
    <s v="Jul"/>
    <s v="Q3"/>
    <x v="4"/>
    <n v="5"/>
    <n v="35.43"/>
  </r>
  <r>
    <s v="ORD00859"/>
    <d v="2025-10-31T00:00:00"/>
    <d v="2025-11-05T00:00:00"/>
    <s v="C0008"/>
    <x v="69"/>
    <s v="Corporate"/>
    <x v="3"/>
    <x v="12"/>
    <s v="P007"/>
    <x v="10"/>
    <x v="0"/>
    <n v="1"/>
    <n v="6000"/>
    <x v="3"/>
    <n v="5700"/>
    <n v="1078.04"/>
    <x v="5"/>
    <x v="2"/>
    <x v="4"/>
    <x v="0"/>
    <x v="1"/>
    <s v="Oct"/>
    <s v="Q4"/>
    <x v="14"/>
    <n v="5"/>
    <n v="18.91"/>
  </r>
  <r>
    <s v="ORD00080"/>
    <d v="2024-09-16T00:00:00"/>
    <d v="2024-09-22T00:00:00"/>
    <s v="C0199"/>
    <x v="70"/>
    <s v="Consumer"/>
    <x v="2"/>
    <x v="14"/>
    <s v="P006"/>
    <x v="1"/>
    <x v="0"/>
    <n v="3"/>
    <n v="9500"/>
    <x v="0"/>
    <n v="28500"/>
    <n v="5787.83"/>
    <x v="4"/>
    <x v="2"/>
    <x v="3"/>
    <x v="1"/>
    <x v="9"/>
    <s v="Sep"/>
    <s v="Q3"/>
    <x v="20"/>
    <n v="6"/>
    <n v="20.309999999999999"/>
  </r>
  <r>
    <s v="ORD01542"/>
    <d v="2024-09-09T00:00:00"/>
    <d v="2024-09-15T00:00:00"/>
    <s v="C0290"/>
    <x v="71"/>
    <s v="Consumer"/>
    <x v="3"/>
    <x v="7"/>
    <s v="P003"/>
    <x v="5"/>
    <x v="2"/>
    <n v="2"/>
    <n v="3000"/>
    <x v="3"/>
    <n v="5700"/>
    <n v="1771.4"/>
    <x v="4"/>
    <x v="1"/>
    <x v="0"/>
    <x v="1"/>
    <x v="9"/>
    <s v="Sep"/>
    <s v="Q3"/>
    <x v="20"/>
    <n v="6"/>
    <n v="31.08"/>
  </r>
  <r>
    <s v="ORD01279"/>
    <d v="2025-09-05T00:00:00"/>
    <d v="2025-09-07T00:00:00"/>
    <s v="C0112"/>
    <x v="72"/>
    <s v="Consumer"/>
    <x v="0"/>
    <x v="2"/>
    <s v="P007"/>
    <x v="10"/>
    <x v="0"/>
    <n v="1"/>
    <n v="6000"/>
    <x v="2"/>
    <n v="4800"/>
    <n v="973.75"/>
    <x v="5"/>
    <x v="2"/>
    <x v="4"/>
    <x v="0"/>
    <x v="9"/>
    <s v="Sep"/>
    <s v="Q3"/>
    <x v="11"/>
    <n v="2"/>
    <n v="20.29"/>
  </r>
  <r>
    <s v="ORD01948"/>
    <d v="2025-08-08T00:00:00"/>
    <d v="2025-08-16T00:00:00"/>
    <s v="C0284"/>
    <x v="73"/>
    <s v="Corporate"/>
    <x v="0"/>
    <x v="10"/>
    <s v="P001"/>
    <x v="8"/>
    <x v="2"/>
    <n v="1"/>
    <n v="55000"/>
    <x v="0"/>
    <n v="55000"/>
    <n v="10655.35"/>
    <x v="3"/>
    <x v="1"/>
    <x v="1"/>
    <x v="0"/>
    <x v="7"/>
    <s v="Aug"/>
    <s v="Q3"/>
    <x v="22"/>
    <n v="8"/>
    <n v="19.37"/>
  </r>
  <r>
    <s v="ORD01740"/>
    <d v="2025-07-29T00:00:00"/>
    <d v="2025-08-02T00:00:00"/>
    <s v="C0111"/>
    <x v="74"/>
    <s v="Consumer"/>
    <x v="3"/>
    <x v="8"/>
    <s v="P005"/>
    <x v="0"/>
    <x v="0"/>
    <n v="5"/>
    <n v="7000"/>
    <x v="1"/>
    <n v="29750"/>
    <n v="5178.6899999999996"/>
    <x v="3"/>
    <x v="2"/>
    <x v="1"/>
    <x v="0"/>
    <x v="3"/>
    <s v="Jul"/>
    <s v="Q3"/>
    <x v="15"/>
    <n v="4"/>
    <n v="17.41"/>
  </r>
  <r>
    <s v="ORD00845"/>
    <d v="2024-04-03T00:00:00"/>
    <d v="2024-04-08T00:00:00"/>
    <s v="C0021"/>
    <x v="75"/>
    <s v="Small Business"/>
    <x v="1"/>
    <x v="1"/>
    <s v="P012"/>
    <x v="4"/>
    <x v="3"/>
    <n v="1"/>
    <n v="3500"/>
    <x v="3"/>
    <n v="3325"/>
    <n v="892.39"/>
    <x v="0"/>
    <x v="2"/>
    <x v="2"/>
    <x v="1"/>
    <x v="5"/>
    <s v="Apr"/>
    <s v="Q2"/>
    <x v="6"/>
    <n v="5"/>
    <n v="26.84"/>
  </r>
  <r>
    <s v="ORD01352"/>
    <d v="2024-05-26T00:00:00"/>
    <d v="2024-05-29T00:00:00"/>
    <s v="C0094"/>
    <x v="76"/>
    <s v="Corporate"/>
    <x v="3"/>
    <x v="8"/>
    <s v="P001"/>
    <x v="8"/>
    <x v="2"/>
    <n v="2"/>
    <n v="55000"/>
    <x v="2"/>
    <n v="88000"/>
    <n v="16123.68"/>
    <x v="0"/>
    <x v="1"/>
    <x v="3"/>
    <x v="1"/>
    <x v="4"/>
    <s v="May"/>
    <s v="Q2"/>
    <x v="8"/>
    <n v="3"/>
    <n v="18.32"/>
  </r>
  <r>
    <s v="ORD00752"/>
    <d v="2025-03-15T00:00:00"/>
    <d v="2025-03-21T00:00:00"/>
    <s v="C0117"/>
    <x v="77"/>
    <s v="Consumer"/>
    <x v="2"/>
    <x v="9"/>
    <s v="P003"/>
    <x v="5"/>
    <x v="2"/>
    <n v="2"/>
    <n v="3000"/>
    <x v="3"/>
    <n v="5700"/>
    <n v="1811.28"/>
    <x v="2"/>
    <x v="1"/>
    <x v="2"/>
    <x v="0"/>
    <x v="0"/>
    <s v="Mar"/>
    <s v="Q1"/>
    <x v="0"/>
    <n v="6"/>
    <n v="31.78"/>
  </r>
  <r>
    <s v="ORD01085"/>
    <d v="2024-12-25T00:00:00"/>
    <d v="2025-01-02T00:00:00"/>
    <s v="C0232"/>
    <x v="78"/>
    <s v="Small Business"/>
    <x v="1"/>
    <x v="1"/>
    <s v="P008"/>
    <x v="11"/>
    <x v="1"/>
    <n v="1"/>
    <n v="250"/>
    <x v="3"/>
    <n v="237.5"/>
    <n v="76.13"/>
    <x v="2"/>
    <x v="1"/>
    <x v="4"/>
    <x v="1"/>
    <x v="10"/>
    <s v="Dec"/>
    <s v="Q4"/>
    <x v="16"/>
    <n v="8"/>
    <n v="32.049999999999997"/>
  </r>
  <r>
    <s v="ORD00320"/>
    <d v="2025-11-08T00:00:00"/>
    <d v="2025-11-11T00:00:00"/>
    <s v="C0155"/>
    <x v="41"/>
    <s v="Consumer"/>
    <x v="1"/>
    <x v="5"/>
    <s v="P007"/>
    <x v="10"/>
    <x v="0"/>
    <n v="2"/>
    <n v="6000"/>
    <x v="4"/>
    <n v="10800"/>
    <n v="2442.3200000000002"/>
    <x v="0"/>
    <x v="0"/>
    <x v="1"/>
    <x v="0"/>
    <x v="2"/>
    <s v="Nov"/>
    <s v="Q4"/>
    <x v="23"/>
    <n v="3"/>
    <n v="22.61"/>
  </r>
  <r>
    <s v="ORD00797"/>
    <d v="2024-09-15T00:00:00"/>
    <d v="2024-09-22T00:00:00"/>
    <s v="C0273"/>
    <x v="46"/>
    <s v="Small Business"/>
    <x v="3"/>
    <x v="8"/>
    <s v="P010"/>
    <x v="6"/>
    <x v="4"/>
    <n v="3"/>
    <n v="1800"/>
    <x v="3"/>
    <n v="5130"/>
    <n v="1258.25"/>
    <x v="5"/>
    <x v="2"/>
    <x v="3"/>
    <x v="1"/>
    <x v="9"/>
    <s v="Sep"/>
    <s v="Q3"/>
    <x v="20"/>
    <n v="7"/>
    <n v="24.53"/>
  </r>
  <r>
    <s v="ORD00571"/>
    <d v="2025-10-15T00:00:00"/>
    <m/>
    <s v="C0112"/>
    <x v="72"/>
    <s v="Consumer"/>
    <x v="0"/>
    <x v="2"/>
    <s v="P010"/>
    <x v="6"/>
    <x v="4"/>
    <n v="5"/>
    <n v="1800"/>
    <x v="0"/>
    <n v="9000"/>
    <n v="3150"/>
    <x v="0"/>
    <x v="2"/>
    <x v="1"/>
    <x v="0"/>
    <x v="1"/>
    <s v="Oct"/>
    <s v="Q4"/>
    <x v="14"/>
    <s v=""/>
    <n v="35"/>
  </r>
  <r>
    <s v="ORD00738"/>
    <d v="2024-02-07T00:00:00"/>
    <d v="2024-02-15T00:00:00"/>
    <s v="C0284"/>
    <x v="73"/>
    <s v="Corporate"/>
    <x v="0"/>
    <x v="10"/>
    <s v="P005"/>
    <x v="0"/>
    <x v="0"/>
    <n v="2"/>
    <n v="7000"/>
    <x v="3"/>
    <n v="13300"/>
    <n v="2649.03"/>
    <x v="4"/>
    <x v="2"/>
    <x v="3"/>
    <x v="1"/>
    <x v="6"/>
    <s v="Feb"/>
    <s v="Q1"/>
    <x v="18"/>
    <n v="8"/>
    <n v="19.920000000000002"/>
  </r>
  <r>
    <s v="ORD00928"/>
    <d v="2024-12-03T00:00:00"/>
    <d v="2024-12-06T00:00:00"/>
    <s v="C0209"/>
    <x v="79"/>
    <s v="Small Business"/>
    <x v="1"/>
    <x v="5"/>
    <s v="P002"/>
    <x v="3"/>
    <x v="2"/>
    <n v="1"/>
    <n v="25000"/>
    <x v="0"/>
    <n v="25000"/>
    <n v="3792.11"/>
    <x v="4"/>
    <x v="1"/>
    <x v="3"/>
    <x v="1"/>
    <x v="10"/>
    <s v="Dec"/>
    <s v="Q4"/>
    <x v="16"/>
    <n v="3"/>
    <n v="15.17"/>
  </r>
  <r>
    <s v="ORD01688"/>
    <d v="2025-12-16T00:00:00"/>
    <m/>
    <s v="C0072"/>
    <x v="80"/>
    <s v="Consumer"/>
    <x v="0"/>
    <x v="0"/>
    <s v="P004"/>
    <x v="7"/>
    <x v="2"/>
    <n v="2"/>
    <n v="8000"/>
    <x v="4"/>
    <n v="14400"/>
    <n v="3156.98"/>
    <x v="5"/>
    <x v="2"/>
    <x v="1"/>
    <x v="0"/>
    <x v="10"/>
    <s v="Dec"/>
    <s v="Q4"/>
    <x v="19"/>
    <s v=""/>
    <n v="21.92"/>
  </r>
  <r>
    <s v="ORD01954"/>
    <d v="2024-05-09T00:00:00"/>
    <d v="2024-05-10T00:00:00"/>
    <s v="C0296"/>
    <x v="81"/>
    <s v="Small Business"/>
    <x v="2"/>
    <x v="4"/>
    <s v="P003"/>
    <x v="5"/>
    <x v="2"/>
    <n v="4"/>
    <n v="3000"/>
    <x v="0"/>
    <n v="12000"/>
    <n v="3235.6"/>
    <x v="5"/>
    <x v="2"/>
    <x v="3"/>
    <x v="1"/>
    <x v="4"/>
    <s v="May"/>
    <s v="Q2"/>
    <x v="8"/>
    <n v="1"/>
    <n v="26.96"/>
  </r>
  <r>
    <s v="ORD01181"/>
    <d v="2025-12-05T00:00:00"/>
    <d v="2025-12-11T00:00:00"/>
    <s v="C0038"/>
    <x v="82"/>
    <s v="Small Business"/>
    <x v="2"/>
    <x v="9"/>
    <s v="P012"/>
    <x v="4"/>
    <x v="3"/>
    <n v="5"/>
    <n v="3500"/>
    <x v="3"/>
    <n v="16625"/>
    <n v="3937.73"/>
    <x v="4"/>
    <x v="2"/>
    <x v="3"/>
    <x v="0"/>
    <x v="10"/>
    <s v="Dec"/>
    <s v="Q4"/>
    <x v="19"/>
    <n v="6"/>
    <n v="23.69"/>
  </r>
  <r>
    <s v="ORD01764"/>
    <d v="2025-03-12T00:00:00"/>
    <d v="2025-03-16T00:00:00"/>
    <s v="C0225"/>
    <x v="56"/>
    <s v="Consumer"/>
    <x v="2"/>
    <x v="3"/>
    <s v="P004"/>
    <x v="7"/>
    <x v="2"/>
    <n v="4"/>
    <n v="8000"/>
    <x v="0"/>
    <n v="32000"/>
    <n v="8399.15"/>
    <x v="2"/>
    <x v="2"/>
    <x v="2"/>
    <x v="0"/>
    <x v="0"/>
    <s v="Mar"/>
    <s v="Q1"/>
    <x v="0"/>
    <n v="4"/>
    <n v="26.25"/>
  </r>
  <r>
    <s v="ORD01276"/>
    <d v="2025-10-01T00:00:00"/>
    <d v="2025-10-02T00:00:00"/>
    <s v="C0016"/>
    <x v="83"/>
    <s v="Corporate"/>
    <x v="0"/>
    <x v="11"/>
    <s v="P003"/>
    <x v="5"/>
    <x v="2"/>
    <n v="2"/>
    <n v="3000"/>
    <x v="4"/>
    <n v="5400"/>
    <n v="1413.63"/>
    <x v="3"/>
    <x v="2"/>
    <x v="0"/>
    <x v="0"/>
    <x v="1"/>
    <s v="Oct"/>
    <s v="Q4"/>
    <x v="14"/>
    <n v="1"/>
    <n v="26.18"/>
  </r>
  <r>
    <s v="ORD00284"/>
    <d v="2025-09-27T00:00:00"/>
    <d v="2025-09-30T00:00:00"/>
    <s v="C0293"/>
    <x v="53"/>
    <s v="Corporate"/>
    <x v="1"/>
    <x v="16"/>
    <s v="P011"/>
    <x v="9"/>
    <x v="4"/>
    <n v="1"/>
    <n v="600"/>
    <x v="2"/>
    <n v="480"/>
    <n v="160.44"/>
    <x v="4"/>
    <x v="0"/>
    <x v="2"/>
    <x v="0"/>
    <x v="9"/>
    <s v="Sep"/>
    <s v="Q3"/>
    <x v="11"/>
    <n v="3"/>
    <n v="33.43"/>
  </r>
  <r>
    <s v="ORD01543"/>
    <d v="2024-02-13T00:00:00"/>
    <d v="2024-02-17T00:00:00"/>
    <s v="C0031"/>
    <x v="84"/>
    <s v="Small Business"/>
    <x v="3"/>
    <x v="6"/>
    <s v="P007"/>
    <x v="10"/>
    <x v="0"/>
    <n v="4"/>
    <n v="6000"/>
    <x v="2"/>
    <n v="19200"/>
    <n v="3952.98"/>
    <x v="5"/>
    <x v="2"/>
    <x v="4"/>
    <x v="1"/>
    <x v="6"/>
    <s v="Feb"/>
    <s v="Q1"/>
    <x v="18"/>
    <n v="4"/>
    <n v="20.59"/>
  </r>
  <r>
    <s v="ORD00112"/>
    <d v="2024-04-09T00:00:00"/>
    <d v="2024-04-15T00:00:00"/>
    <s v="C0061"/>
    <x v="85"/>
    <s v="Small Business"/>
    <x v="0"/>
    <x v="11"/>
    <s v="P003"/>
    <x v="5"/>
    <x v="2"/>
    <n v="1"/>
    <n v="3000"/>
    <x v="2"/>
    <n v="2400"/>
    <n v="788.19"/>
    <x v="4"/>
    <x v="0"/>
    <x v="1"/>
    <x v="1"/>
    <x v="5"/>
    <s v="Apr"/>
    <s v="Q2"/>
    <x v="6"/>
    <n v="6"/>
    <n v="32.840000000000003"/>
  </r>
  <r>
    <s v="ORD01320"/>
    <d v="2024-10-13T00:00:00"/>
    <d v="2024-10-19T00:00:00"/>
    <s v="C0250"/>
    <x v="43"/>
    <s v="Small Business"/>
    <x v="0"/>
    <x v="11"/>
    <s v="P004"/>
    <x v="7"/>
    <x v="2"/>
    <n v="2"/>
    <n v="8000"/>
    <x v="0"/>
    <n v="16000"/>
    <n v="2962.3"/>
    <x v="3"/>
    <x v="2"/>
    <x v="4"/>
    <x v="1"/>
    <x v="1"/>
    <s v="Oct"/>
    <s v="Q4"/>
    <x v="1"/>
    <n v="6"/>
    <n v="18.510000000000002"/>
  </r>
  <r>
    <s v="ORD01003"/>
    <d v="2024-03-28T00:00:00"/>
    <d v="2024-04-05T00:00:00"/>
    <s v="C0124"/>
    <x v="10"/>
    <s v="Small Business"/>
    <x v="1"/>
    <x v="1"/>
    <s v="P005"/>
    <x v="0"/>
    <x v="0"/>
    <n v="10"/>
    <n v="7000"/>
    <x v="4"/>
    <n v="63000"/>
    <n v="9950.7800000000007"/>
    <x v="2"/>
    <x v="0"/>
    <x v="4"/>
    <x v="1"/>
    <x v="0"/>
    <s v="Mar"/>
    <s v="Q1"/>
    <x v="2"/>
    <n v="8"/>
    <n v="15.79"/>
  </r>
  <r>
    <s v="ORD01606"/>
    <d v="2025-07-07T00:00:00"/>
    <d v="2025-07-10T00:00:00"/>
    <s v="C0005"/>
    <x v="86"/>
    <s v="Consumer"/>
    <x v="0"/>
    <x v="0"/>
    <s v="P003"/>
    <x v="5"/>
    <x v="2"/>
    <n v="2"/>
    <n v="3000"/>
    <x v="0"/>
    <n v="6000"/>
    <n v="1932.75"/>
    <x v="2"/>
    <x v="0"/>
    <x v="0"/>
    <x v="0"/>
    <x v="3"/>
    <s v="Jul"/>
    <s v="Q3"/>
    <x v="15"/>
    <n v="3"/>
    <n v="32.21"/>
  </r>
  <r>
    <s v="ORD00262"/>
    <d v="2024-05-25T00:00:00"/>
    <d v="2024-06-02T00:00:00"/>
    <s v="C0291"/>
    <x v="87"/>
    <s v="Small Business"/>
    <x v="1"/>
    <x v="1"/>
    <s v="P010"/>
    <x v="6"/>
    <x v="4"/>
    <n v="2"/>
    <n v="1800"/>
    <x v="0"/>
    <n v="3600"/>
    <n v="1303.7"/>
    <x v="1"/>
    <x v="1"/>
    <x v="2"/>
    <x v="1"/>
    <x v="4"/>
    <s v="May"/>
    <s v="Q2"/>
    <x v="8"/>
    <n v="8"/>
    <n v="36.21"/>
  </r>
  <r>
    <s v="ORD01529"/>
    <d v="2025-12-14T00:00:00"/>
    <d v="2025-12-15T00:00:00"/>
    <s v="C0238"/>
    <x v="88"/>
    <s v="Small Business"/>
    <x v="3"/>
    <x v="8"/>
    <s v="P005"/>
    <x v="0"/>
    <x v="0"/>
    <n v="4"/>
    <n v="7000"/>
    <x v="4"/>
    <n v="25200"/>
    <n v="5330.45"/>
    <x v="3"/>
    <x v="2"/>
    <x v="3"/>
    <x v="0"/>
    <x v="10"/>
    <s v="Dec"/>
    <s v="Q4"/>
    <x v="19"/>
    <n v="1"/>
    <n v="21.15"/>
  </r>
  <r>
    <s v="ORD01233"/>
    <d v="2024-12-15T00:00:00"/>
    <d v="2024-12-23T00:00:00"/>
    <s v="C0180"/>
    <x v="89"/>
    <s v="Corporate"/>
    <x v="2"/>
    <x v="9"/>
    <s v="P002"/>
    <x v="3"/>
    <x v="2"/>
    <n v="4"/>
    <n v="25000"/>
    <x v="0"/>
    <n v="100000"/>
    <n v="13897.14"/>
    <x v="2"/>
    <x v="0"/>
    <x v="3"/>
    <x v="1"/>
    <x v="10"/>
    <s v="Dec"/>
    <s v="Q4"/>
    <x v="16"/>
    <n v="8"/>
    <n v="13.9"/>
  </r>
  <r>
    <s v="ORD00970"/>
    <d v="2024-05-16T00:00:00"/>
    <m/>
    <s v="C0136"/>
    <x v="90"/>
    <s v="Small Business"/>
    <x v="3"/>
    <x v="8"/>
    <s v="P012"/>
    <x v="4"/>
    <x v="3"/>
    <n v="2"/>
    <n v="3500"/>
    <x v="4"/>
    <n v="6300"/>
    <n v="1649"/>
    <x v="5"/>
    <x v="0"/>
    <x v="4"/>
    <x v="1"/>
    <x v="4"/>
    <s v="May"/>
    <s v="Q2"/>
    <x v="8"/>
    <s v=""/>
    <n v="26.17"/>
  </r>
  <r>
    <s v="ORD01037"/>
    <d v="2025-02-03T00:00:00"/>
    <d v="2025-02-09T00:00:00"/>
    <s v="C0066"/>
    <x v="20"/>
    <s v="Consumer"/>
    <x v="1"/>
    <x v="1"/>
    <s v="P011"/>
    <x v="9"/>
    <x v="4"/>
    <n v="10"/>
    <n v="600"/>
    <x v="0"/>
    <n v="6000"/>
    <n v="1963.64"/>
    <x v="1"/>
    <x v="0"/>
    <x v="0"/>
    <x v="0"/>
    <x v="6"/>
    <s v="Feb"/>
    <s v="Q1"/>
    <x v="7"/>
    <n v="6"/>
    <n v="32.729999999999997"/>
  </r>
  <r>
    <s v="ORD01861"/>
    <d v="2025-12-25T00:00:00"/>
    <d v="2025-12-26T00:00:00"/>
    <s v="C0128"/>
    <x v="91"/>
    <s v="Corporate"/>
    <x v="3"/>
    <x v="8"/>
    <s v="P011"/>
    <x v="9"/>
    <x v="4"/>
    <n v="3"/>
    <n v="600"/>
    <x v="0"/>
    <n v="1800"/>
    <n v="548.71"/>
    <x v="1"/>
    <x v="1"/>
    <x v="1"/>
    <x v="0"/>
    <x v="10"/>
    <s v="Dec"/>
    <s v="Q4"/>
    <x v="19"/>
    <n v="1"/>
    <n v="30.48"/>
  </r>
  <r>
    <s v="ORD00775"/>
    <d v="2025-06-28T00:00:00"/>
    <d v="2025-07-02T00:00:00"/>
    <s v="C0062"/>
    <x v="92"/>
    <s v="Consumer"/>
    <x v="2"/>
    <x v="14"/>
    <s v="P011"/>
    <x v="9"/>
    <x v="4"/>
    <n v="1"/>
    <n v="600"/>
    <x v="0"/>
    <n v="600"/>
    <n v="184.68"/>
    <x v="4"/>
    <x v="2"/>
    <x v="1"/>
    <x v="0"/>
    <x v="8"/>
    <s v="Jun"/>
    <s v="Q2"/>
    <x v="10"/>
    <n v="4"/>
    <n v="30.78"/>
  </r>
  <r>
    <s v="ORD00431"/>
    <d v="2025-02-27T00:00:00"/>
    <d v="2025-03-03T00:00:00"/>
    <s v="C0267"/>
    <x v="93"/>
    <s v="Consumer"/>
    <x v="2"/>
    <x v="9"/>
    <s v="P008"/>
    <x v="11"/>
    <x v="1"/>
    <n v="1"/>
    <n v="250"/>
    <x v="2"/>
    <n v="200"/>
    <n v="56.74"/>
    <x v="5"/>
    <x v="1"/>
    <x v="3"/>
    <x v="0"/>
    <x v="6"/>
    <s v="Feb"/>
    <s v="Q1"/>
    <x v="7"/>
    <n v="4"/>
    <n v="28.37"/>
  </r>
  <r>
    <s v="ORD01650"/>
    <d v="2025-11-29T00:00:00"/>
    <d v="2025-12-04T00:00:00"/>
    <s v="C0087"/>
    <x v="94"/>
    <s v="Consumer"/>
    <x v="0"/>
    <x v="2"/>
    <s v="P012"/>
    <x v="4"/>
    <x v="3"/>
    <n v="10"/>
    <n v="3500"/>
    <x v="0"/>
    <n v="35000"/>
    <n v="10892.72"/>
    <x v="1"/>
    <x v="2"/>
    <x v="2"/>
    <x v="0"/>
    <x v="2"/>
    <s v="Nov"/>
    <s v="Q4"/>
    <x v="23"/>
    <n v="5"/>
    <n v="31.12"/>
  </r>
  <r>
    <s v="ORD00273"/>
    <d v="2024-03-16T00:00:00"/>
    <d v="2024-03-22T00:00:00"/>
    <s v="C0084"/>
    <x v="95"/>
    <s v="Corporate"/>
    <x v="3"/>
    <x v="8"/>
    <s v="P008"/>
    <x v="11"/>
    <x v="1"/>
    <n v="3"/>
    <n v="250"/>
    <x v="0"/>
    <n v="750"/>
    <n v="245.39"/>
    <x v="3"/>
    <x v="0"/>
    <x v="3"/>
    <x v="1"/>
    <x v="0"/>
    <s v="Mar"/>
    <s v="Q1"/>
    <x v="2"/>
    <n v="6"/>
    <n v="32.72"/>
  </r>
  <r>
    <s v="ORD01610"/>
    <d v="2025-09-12T00:00:00"/>
    <d v="2025-09-14T00:00:00"/>
    <s v="C0034"/>
    <x v="17"/>
    <s v="Small Business"/>
    <x v="1"/>
    <x v="1"/>
    <s v="P008"/>
    <x v="11"/>
    <x v="1"/>
    <n v="4"/>
    <n v="250"/>
    <x v="0"/>
    <n v="1000"/>
    <n v="382.95"/>
    <x v="0"/>
    <x v="2"/>
    <x v="2"/>
    <x v="0"/>
    <x v="9"/>
    <s v="Sep"/>
    <s v="Q3"/>
    <x v="11"/>
    <n v="2"/>
    <n v="38.299999999999997"/>
  </r>
  <r>
    <s v="ORD00083"/>
    <d v="2025-06-11T00:00:00"/>
    <d v="2025-06-16T00:00:00"/>
    <s v="C0162"/>
    <x v="96"/>
    <s v="Corporate"/>
    <x v="0"/>
    <x v="0"/>
    <s v="P005"/>
    <x v="0"/>
    <x v="0"/>
    <n v="1"/>
    <n v="7000"/>
    <x v="2"/>
    <n v="5600"/>
    <n v="1130.01"/>
    <x v="2"/>
    <x v="2"/>
    <x v="2"/>
    <x v="0"/>
    <x v="8"/>
    <s v="Jun"/>
    <s v="Q2"/>
    <x v="10"/>
    <n v="5"/>
    <n v="20.18"/>
  </r>
  <r>
    <s v="ORD00932"/>
    <d v="2025-12-04T00:00:00"/>
    <d v="2025-12-09T00:00:00"/>
    <s v="C0133"/>
    <x v="97"/>
    <s v="Consumer"/>
    <x v="1"/>
    <x v="5"/>
    <s v="P001"/>
    <x v="8"/>
    <x v="2"/>
    <n v="1"/>
    <n v="55000"/>
    <x v="0"/>
    <n v="55000"/>
    <n v="7494.97"/>
    <x v="2"/>
    <x v="2"/>
    <x v="4"/>
    <x v="0"/>
    <x v="10"/>
    <s v="Dec"/>
    <s v="Q4"/>
    <x v="19"/>
    <n v="5"/>
    <n v="13.63"/>
  </r>
  <r>
    <s v="ORD01206"/>
    <d v="2025-12-26T00:00:00"/>
    <d v="2025-12-28T00:00:00"/>
    <s v="C0165"/>
    <x v="42"/>
    <s v="Corporate"/>
    <x v="2"/>
    <x v="3"/>
    <s v="P008"/>
    <x v="11"/>
    <x v="1"/>
    <n v="2"/>
    <n v="250"/>
    <x v="1"/>
    <n v="425"/>
    <n v="186.51"/>
    <x v="2"/>
    <x v="0"/>
    <x v="3"/>
    <x v="0"/>
    <x v="10"/>
    <s v="Dec"/>
    <s v="Q4"/>
    <x v="19"/>
    <n v="2"/>
    <n v="43.88"/>
  </r>
  <r>
    <s v="ORD01468"/>
    <d v="2024-06-05T00:00:00"/>
    <d v="2024-06-06T00:00:00"/>
    <s v="C0238"/>
    <x v="88"/>
    <s v="Small Business"/>
    <x v="3"/>
    <x v="8"/>
    <s v="P008"/>
    <x v="11"/>
    <x v="1"/>
    <n v="1"/>
    <n v="250"/>
    <x v="2"/>
    <n v="200"/>
    <n v="80"/>
    <x v="4"/>
    <x v="1"/>
    <x v="0"/>
    <x v="1"/>
    <x v="8"/>
    <s v="Jun"/>
    <s v="Q2"/>
    <x v="12"/>
    <n v="1"/>
    <n v="40"/>
  </r>
  <r>
    <s v="ORD00468"/>
    <d v="2024-11-18T00:00:00"/>
    <d v="2024-11-21T00:00:00"/>
    <s v="C0114"/>
    <x v="98"/>
    <s v="Small Business"/>
    <x v="3"/>
    <x v="6"/>
    <s v="P004"/>
    <x v="7"/>
    <x v="2"/>
    <n v="4"/>
    <n v="8000"/>
    <x v="1"/>
    <n v="27200"/>
    <n v="6996.76"/>
    <x v="2"/>
    <x v="0"/>
    <x v="0"/>
    <x v="1"/>
    <x v="2"/>
    <s v="Nov"/>
    <s v="Q4"/>
    <x v="3"/>
    <n v="3"/>
    <n v="25.72"/>
  </r>
  <r>
    <s v="ORD01697"/>
    <d v="2024-08-21T00:00:00"/>
    <d v="2024-08-27T00:00:00"/>
    <s v="C0138"/>
    <x v="38"/>
    <s v="Small Business"/>
    <x v="0"/>
    <x v="15"/>
    <s v="P009"/>
    <x v="2"/>
    <x v="1"/>
    <n v="10"/>
    <n v="180"/>
    <x v="0"/>
    <n v="1800"/>
    <n v="781.27"/>
    <x v="3"/>
    <x v="0"/>
    <x v="1"/>
    <x v="1"/>
    <x v="7"/>
    <s v="Aug"/>
    <s v="Q3"/>
    <x v="9"/>
    <n v="6"/>
    <n v="43.4"/>
  </r>
  <r>
    <s v="ORD01665"/>
    <d v="2024-09-07T00:00:00"/>
    <d v="2024-09-10T00:00:00"/>
    <s v="C0145"/>
    <x v="16"/>
    <s v="Corporate"/>
    <x v="3"/>
    <x v="8"/>
    <s v="P005"/>
    <x v="0"/>
    <x v="0"/>
    <n v="3"/>
    <n v="7000"/>
    <x v="1"/>
    <n v="17850"/>
    <n v="4211.8999999999996"/>
    <x v="5"/>
    <x v="1"/>
    <x v="1"/>
    <x v="1"/>
    <x v="9"/>
    <s v="Sep"/>
    <s v="Q3"/>
    <x v="20"/>
    <n v="3"/>
    <n v="23.6"/>
  </r>
  <r>
    <s v="ORD01814"/>
    <d v="2025-08-13T00:00:00"/>
    <d v="2025-08-20T00:00:00"/>
    <s v="C0089"/>
    <x v="99"/>
    <s v="Small Business"/>
    <x v="2"/>
    <x v="3"/>
    <s v="P003"/>
    <x v="5"/>
    <x v="2"/>
    <n v="5"/>
    <n v="3000"/>
    <x v="4"/>
    <n v="13500"/>
    <n v="3181.84"/>
    <x v="4"/>
    <x v="0"/>
    <x v="0"/>
    <x v="0"/>
    <x v="7"/>
    <s v="Aug"/>
    <s v="Q3"/>
    <x v="22"/>
    <n v="7"/>
    <n v="23.57"/>
  </r>
  <r>
    <s v="ORD00522"/>
    <d v="2025-05-05T00:00:00"/>
    <d v="2025-05-08T00:00:00"/>
    <s v="C0174"/>
    <x v="100"/>
    <s v="Small Business"/>
    <x v="1"/>
    <x v="13"/>
    <s v="P011"/>
    <x v="9"/>
    <x v="4"/>
    <n v="5"/>
    <n v="600"/>
    <x v="2"/>
    <n v="2400"/>
    <n v="651.37"/>
    <x v="0"/>
    <x v="0"/>
    <x v="0"/>
    <x v="0"/>
    <x v="4"/>
    <s v="May"/>
    <s v="Q2"/>
    <x v="5"/>
    <n v="3"/>
    <n v="27.14"/>
  </r>
  <r>
    <s v="ORD00453"/>
    <d v="2024-02-10T00:00:00"/>
    <d v="2024-02-18T00:00:00"/>
    <s v="C0069"/>
    <x v="101"/>
    <s v="Small Business"/>
    <x v="0"/>
    <x v="0"/>
    <s v="P005"/>
    <x v="0"/>
    <x v="0"/>
    <n v="2"/>
    <n v="7000"/>
    <x v="3"/>
    <n v="13300"/>
    <n v="2702.48"/>
    <x v="4"/>
    <x v="2"/>
    <x v="2"/>
    <x v="1"/>
    <x v="6"/>
    <s v="Feb"/>
    <s v="Q1"/>
    <x v="18"/>
    <n v="8"/>
    <n v="20.32"/>
  </r>
  <r>
    <s v="ORD00967"/>
    <d v="2024-11-06T00:00:00"/>
    <d v="2024-11-09T00:00:00"/>
    <s v="C0269"/>
    <x v="102"/>
    <s v="Consumer"/>
    <x v="2"/>
    <x v="3"/>
    <s v="P005"/>
    <x v="0"/>
    <x v="0"/>
    <n v="1"/>
    <n v="7000"/>
    <x v="0"/>
    <n v="7000"/>
    <n v="1540"/>
    <x v="4"/>
    <x v="0"/>
    <x v="1"/>
    <x v="1"/>
    <x v="2"/>
    <s v="Nov"/>
    <s v="Q4"/>
    <x v="3"/>
    <n v="3"/>
    <n v="22"/>
  </r>
  <r>
    <s v="ORD00952"/>
    <d v="2024-09-10T00:00:00"/>
    <d v="2024-09-12T00:00:00"/>
    <s v="C0135"/>
    <x v="103"/>
    <s v="Consumer"/>
    <x v="1"/>
    <x v="5"/>
    <s v="P012"/>
    <x v="4"/>
    <x v="3"/>
    <n v="3"/>
    <n v="3500"/>
    <x v="3"/>
    <n v="9975"/>
    <n v="2487.73"/>
    <x v="5"/>
    <x v="2"/>
    <x v="1"/>
    <x v="1"/>
    <x v="9"/>
    <s v="Sep"/>
    <s v="Q3"/>
    <x v="20"/>
    <n v="2"/>
    <n v="24.94"/>
  </r>
  <r>
    <s v="ORD00811"/>
    <d v="2025-06-03T00:00:00"/>
    <d v="2025-06-10T00:00:00"/>
    <s v="C0030"/>
    <x v="104"/>
    <s v="Consumer"/>
    <x v="2"/>
    <x v="4"/>
    <s v="P004"/>
    <x v="7"/>
    <x v="2"/>
    <n v="4"/>
    <n v="8000"/>
    <x v="4"/>
    <n v="28800"/>
    <n v="7513.06"/>
    <x v="3"/>
    <x v="0"/>
    <x v="2"/>
    <x v="0"/>
    <x v="8"/>
    <s v="Jun"/>
    <s v="Q2"/>
    <x v="10"/>
    <n v="7"/>
    <n v="26.09"/>
  </r>
  <r>
    <s v="ORD01255"/>
    <d v="2024-10-18T00:00:00"/>
    <d v="2024-10-25T00:00:00"/>
    <s v="C0218"/>
    <x v="105"/>
    <s v="Corporate"/>
    <x v="2"/>
    <x v="3"/>
    <s v="P003"/>
    <x v="5"/>
    <x v="2"/>
    <n v="3"/>
    <n v="3000"/>
    <x v="3"/>
    <n v="8550"/>
    <n v="1831.23"/>
    <x v="4"/>
    <x v="0"/>
    <x v="0"/>
    <x v="1"/>
    <x v="1"/>
    <s v="Oct"/>
    <s v="Q4"/>
    <x v="1"/>
    <n v="7"/>
    <n v="21.42"/>
  </r>
  <r>
    <s v="ORD01822"/>
    <d v="2025-01-08T00:00:00"/>
    <d v="2025-01-09T00:00:00"/>
    <s v="C0051"/>
    <x v="106"/>
    <s v="Consumer"/>
    <x v="2"/>
    <x v="3"/>
    <s v="P003"/>
    <x v="5"/>
    <x v="2"/>
    <n v="1"/>
    <n v="3000"/>
    <x v="2"/>
    <n v="2400"/>
    <n v="713.12"/>
    <x v="1"/>
    <x v="0"/>
    <x v="2"/>
    <x v="0"/>
    <x v="11"/>
    <s v="Jan"/>
    <s v="Q1"/>
    <x v="17"/>
    <n v="1"/>
    <n v="29.71"/>
  </r>
  <r>
    <s v="ORD01052"/>
    <d v="2024-04-20T00:00:00"/>
    <d v="2024-04-26T00:00:00"/>
    <s v="C0164"/>
    <x v="67"/>
    <s v="Small Business"/>
    <x v="3"/>
    <x v="7"/>
    <s v="P010"/>
    <x v="6"/>
    <x v="4"/>
    <n v="2"/>
    <n v="1800"/>
    <x v="3"/>
    <n v="3420"/>
    <n v="933.53"/>
    <x v="3"/>
    <x v="2"/>
    <x v="3"/>
    <x v="1"/>
    <x v="5"/>
    <s v="Apr"/>
    <s v="Q2"/>
    <x v="6"/>
    <n v="6"/>
    <n v="27.3"/>
  </r>
  <r>
    <s v="ORD00698"/>
    <d v="2024-04-23T00:00:00"/>
    <d v="2024-04-26T00:00:00"/>
    <s v="C0295"/>
    <x v="107"/>
    <s v="Consumer"/>
    <x v="0"/>
    <x v="11"/>
    <s v="P002"/>
    <x v="3"/>
    <x v="2"/>
    <n v="1"/>
    <n v="25000"/>
    <x v="4"/>
    <n v="22500"/>
    <n v="3325.81"/>
    <x v="1"/>
    <x v="2"/>
    <x v="0"/>
    <x v="1"/>
    <x v="5"/>
    <s v="Apr"/>
    <s v="Q2"/>
    <x v="6"/>
    <n v="3"/>
    <n v="14.78"/>
  </r>
  <r>
    <s v="ORD00195"/>
    <d v="2025-04-18T00:00:00"/>
    <d v="2025-04-21T00:00:00"/>
    <s v="C0287"/>
    <x v="2"/>
    <s v="Corporate"/>
    <x v="0"/>
    <x v="2"/>
    <s v="P007"/>
    <x v="10"/>
    <x v="0"/>
    <n v="1"/>
    <n v="6000"/>
    <x v="3"/>
    <n v="5700"/>
    <n v="1302.2"/>
    <x v="5"/>
    <x v="2"/>
    <x v="0"/>
    <x v="0"/>
    <x v="5"/>
    <s v="Apr"/>
    <s v="Q2"/>
    <x v="13"/>
    <n v="3"/>
    <n v="22.85"/>
  </r>
  <r>
    <s v="ORD01546"/>
    <d v="2025-07-29T00:00:00"/>
    <d v="2025-07-30T00:00:00"/>
    <s v="C0214"/>
    <x v="65"/>
    <s v="Small Business"/>
    <x v="1"/>
    <x v="1"/>
    <s v="P002"/>
    <x v="3"/>
    <x v="2"/>
    <n v="1"/>
    <n v="25000"/>
    <x v="2"/>
    <n v="20000"/>
    <n v="2274.6799999999998"/>
    <x v="3"/>
    <x v="1"/>
    <x v="0"/>
    <x v="0"/>
    <x v="3"/>
    <s v="Jul"/>
    <s v="Q3"/>
    <x v="15"/>
    <n v="1"/>
    <n v="11.37"/>
  </r>
  <r>
    <s v="ORD00919"/>
    <d v="2025-04-02T00:00:00"/>
    <d v="2025-04-06T00:00:00"/>
    <s v="C0003"/>
    <x v="108"/>
    <s v="Small Business"/>
    <x v="2"/>
    <x v="3"/>
    <s v="P009"/>
    <x v="2"/>
    <x v="1"/>
    <n v="4"/>
    <n v="180"/>
    <x v="0"/>
    <n v="720"/>
    <n v="231.87"/>
    <x v="5"/>
    <x v="0"/>
    <x v="3"/>
    <x v="0"/>
    <x v="5"/>
    <s v="Apr"/>
    <s v="Q2"/>
    <x v="13"/>
    <n v="4"/>
    <n v="32.200000000000003"/>
  </r>
  <r>
    <s v="ORD00142"/>
    <d v="2024-03-15T00:00:00"/>
    <d v="2024-03-16T00:00:00"/>
    <s v="C0112"/>
    <x v="72"/>
    <s v="Consumer"/>
    <x v="0"/>
    <x v="2"/>
    <s v="P010"/>
    <x v="6"/>
    <x v="4"/>
    <n v="1"/>
    <n v="1800"/>
    <x v="0"/>
    <n v="1800"/>
    <n v="617.5"/>
    <x v="2"/>
    <x v="1"/>
    <x v="3"/>
    <x v="1"/>
    <x v="0"/>
    <s v="Mar"/>
    <s v="Q1"/>
    <x v="2"/>
    <n v="1"/>
    <n v="34.31"/>
  </r>
  <r>
    <s v="ORD01850"/>
    <d v="2025-07-11T00:00:00"/>
    <d v="2025-07-17T00:00:00"/>
    <s v="C0265"/>
    <x v="109"/>
    <s v="Consumer"/>
    <x v="1"/>
    <x v="1"/>
    <s v="P001"/>
    <x v="8"/>
    <x v="2"/>
    <n v="1"/>
    <n v="55000"/>
    <x v="0"/>
    <n v="55000"/>
    <n v="10146.85"/>
    <x v="0"/>
    <x v="0"/>
    <x v="2"/>
    <x v="0"/>
    <x v="3"/>
    <s v="Jul"/>
    <s v="Q3"/>
    <x v="15"/>
    <n v="6"/>
    <n v="18.45"/>
  </r>
  <r>
    <s v="ORD01578"/>
    <d v="2024-11-29T00:00:00"/>
    <d v="2024-11-30T00:00:00"/>
    <s v="C0126"/>
    <x v="110"/>
    <s v="Consumer"/>
    <x v="0"/>
    <x v="15"/>
    <s v="P001"/>
    <x v="8"/>
    <x v="2"/>
    <n v="3"/>
    <n v="55000"/>
    <x v="4"/>
    <n v="148500"/>
    <n v="27406.87"/>
    <x v="0"/>
    <x v="0"/>
    <x v="2"/>
    <x v="1"/>
    <x v="2"/>
    <s v="Nov"/>
    <s v="Q4"/>
    <x v="3"/>
    <n v="1"/>
    <n v="18.46"/>
  </r>
  <r>
    <s v="ORD00766"/>
    <d v="2025-12-22T00:00:00"/>
    <d v="2025-12-30T00:00:00"/>
    <s v="C0235"/>
    <x v="111"/>
    <s v="Consumer"/>
    <x v="1"/>
    <x v="16"/>
    <s v="P003"/>
    <x v="5"/>
    <x v="2"/>
    <n v="2"/>
    <n v="3000"/>
    <x v="1"/>
    <n v="5100"/>
    <n v="1201.1400000000001"/>
    <x v="2"/>
    <x v="2"/>
    <x v="2"/>
    <x v="0"/>
    <x v="10"/>
    <s v="Dec"/>
    <s v="Q4"/>
    <x v="19"/>
    <n v="8"/>
    <n v="23.55"/>
  </r>
  <r>
    <s v="ORD00414"/>
    <d v="2024-07-23T00:00:00"/>
    <d v="2024-07-27T00:00:00"/>
    <s v="C0256"/>
    <x v="112"/>
    <s v="Small Business"/>
    <x v="3"/>
    <x v="8"/>
    <s v="P012"/>
    <x v="4"/>
    <x v="3"/>
    <n v="1"/>
    <n v="3500"/>
    <x v="0"/>
    <n v="3500"/>
    <n v="1174.99"/>
    <x v="4"/>
    <x v="0"/>
    <x v="2"/>
    <x v="1"/>
    <x v="3"/>
    <s v="Jul"/>
    <s v="Q3"/>
    <x v="4"/>
    <n v="4"/>
    <n v="33.57"/>
  </r>
  <r>
    <s v="ORD00565"/>
    <d v="2025-06-29T00:00:00"/>
    <d v="2025-07-07T00:00:00"/>
    <s v="C0244"/>
    <x v="14"/>
    <s v="Consumer"/>
    <x v="2"/>
    <x v="9"/>
    <s v="P012"/>
    <x v="4"/>
    <x v="3"/>
    <n v="1"/>
    <n v="3500"/>
    <x v="1"/>
    <n v="2975"/>
    <n v="935.1"/>
    <x v="3"/>
    <x v="0"/>
    <x v="1"/>
    <x v="0"/>
    <x v="8"/>
    <s v="Jun"/>
    <s v="Q2"/>
    <x v="10"/>
    <n v="8"/>
    <n v="31.43"/>
  </r>
  <r>
    <s v="ORD01408"/>
    <d v="2024-04-03T00:00:00"/>
    <d v="2024-04-10T00:00:00"/>
    <s v="C0051"/>
    <x v="106"/>
    <s v="Consumer"/>
    <x v="2"/>
    <x v="3"/>
    <s v="P009"/>
    <x v="2"/>
    <x v="1"/>
    <n v="3"/>
    <n v="180"/>
    <x v="0"/>
    <n v="540"/>
    <n v="258.73"/>
    <x v="1"/>
    <x v="2"/>
    <x v="2"/>
    <x v="1"/>
    <x v="5"/>
    <s v="Apr"/>
    <s v="Q2"/>
    <x v="6"/>
    <n v="7"/>
    <n v="47.91"/>
  </r>
  <r>
    <s v="ORD00978"/>
    <d v="2025-10-04T00:00:00"/>
    <d v="2025-10-06T00:00:00"/>
    <s v="C0138"/>
    <x v="38"/>
    <s v="Small Business"/>
    <x v="0"/>
    <x v="15"/>
    <s v="P003"/>
    <x v="5"/>
    <x v="2"/>
    <n v="3"/>
    <n v="3000"/>
    <x v="0"/>
    <n v="9000"/>
    <n v="2924.23"/>
    <x v="1"/>
    <x v="2"/>
    <x v="4"/>
    <x v="0"/>
    <x v="1"/>
    <s v="Oct"/>
    <s v="Q4"/>
    <x v="14"/>
    <n v="2"/>
    <n v="32.49"/>
  </r>
  <r>
    <s v="ORD00203"/>
    <d v="2024-05-19T00:00:00"/>
    <d v="2024-05-27T00:00:00"/>
    <s v="C0005"/>
    <x v="86"/>
    <s v="Consumer"/>
    <x v="0"/>
    <x v="0"/>
    <s v="P008"/>
    <x v="11"/>
    <x v="1"/>
    <n v="1"/>
    <n v="250"/>
    <x v="3"/>
    <n v="237.5"/>
    <n v="103.13"/>
    <x v="0"/>
    <x v="2"/>
    <x v="0"/>
    <x v="1"/>
    <x v="4"/>
    <s v="May"/>
    <s v="Q2"/>
    <x v="8"/>
    <n v="8"/>
    <n v="43.42"/>
  </r>
  <r>
    <s v="ORD00164"/>
    <d v="2024-03-02T00:00:00"/>
    <d v="2024-03-10T00:00:00"/>
    <s v="C0234"/>
    <x v="113"/>
    <s v="Corporate"/>
    <x v="3"/>
    <x v="8"/>
    <s v="P006"/>
    <x v="1"/>
    <x v="0"/>
    <n v="2"/>
    <n v="9500"/>
    <x v="1"/>
    <n v="16150"/>
    <n v="3467.6"/>
    <x v="5"/>
    <x v="1"/>
    <x v="3"/>
    <x v="1"/>
    <x v="0"/>
    <s v="Mar"/>
    <s v="Q1"/>
    <x v="2"/>
    <n v="8"/>
    <n v="21.47"/>
  </r>
  <r>
    <s v="ORD01890"/>
    <d v="2024-01-29T00:00:00"/>
    <d v="2024-01-31T00:00:00"/>
    <s v="C0149"/>
    <x v="114"/>
    <s v="Corporate"/>
    <x v="0"/>
    <x v="2"/>
    <s v="P005"/>
    <x v="0"/>
    <x v="0"/>
    <n v="3"/>
    <n v="7000"/>
    <x v="3"/>
    <n v="19950"/>
    <n v="3778.16"/>
    <x v="0"/>
    <x v="2"/>
    <x v="0"/>
    <x v="1"/>
    <x v="11"/>
    <s v="Jan"/>
    <s v="Q1"/>
    <x v="21"/>
    <n v="2"/>
    <n v="18.940000000000001"/>
  </r>
  <r>
    <s v="ORD00582"/>
    <d v="2024-03-27T00:00:00"/>
    <d v="2024-03-30T00:00:00"/>
    <s v="C0184"/>
    <x v="115"/>
    <s v="Consumer"/>
    <x v="2"/>
    <x v="9"/>
    <s v="P008"/>
    <x v="11"/>
    <x v="1"/>
    <n v="4"/>
    <n v="250"/>
    <x v="3"/>
    <n v="950"/>
    <n v="377.77"/>
    <x v="2"/>
    <x v="0"/>
    <x v="3"/>
    <x v="1"/>
    <x v="0"/>
    <s v="Mar"/>
    <s v="Q1"/>
    <x v="2"/>
    <n v="3"/>
    <n v="39.770000000000003"/>
  </r>
  <r>
    <s v="ORD00204"/>
    <d v="2025-03-30T00:00:00"/>
    <d v="2025-04-03T00:00:00"/>
    <s v="C0213"/>
    <x v="116"/>
    <s v="Corporate"/>
    <x v="3"/>
    <x v="7"/>
    <s v="P012"/>
    <x v="4"/>
    <x v="3"/>
    <n v="2"/>
    <n v="3500"/>
    <x v="0"/>
    <n v="7000"/>
    <n v="2074.6"/>
    <x v="3"/>
    <x v="0"/>
    <x v="4"/>
    <x v="0"/>
    <x v="0"/>
    <s v="Mar"/>
    <s v="Q1"/>
    <x v="0"/>
    <n v="4"/>
    <n v="29.64"/>
  </r>
  <r>
    <s v="ORD01689"/>
    <d v="2024-11-25T00:00:00"/>
    <d v="2024-11-26T00:00:00"/>
    <s v="C0042"/>
    <x v="117"/>
    <s v="Consumer"/>
    <x v="1"/>
    <x v="13"/>
    <s v="P012"/>
    <x v="4"/>
    <x v="3"/>
    <n v="3"/>
    <n v="3500"/>
    <x v="2"/>
    <n v="8400"/>
    <n v="2244.6799999999998"/>
    <x v="2"/>
    <x v="0"/>
    <x v="3"/>
    <x v="1"/>
    <x v="2"/>
    <s v="Nov"/>
    <s v="Q4"/>
    <x v="3"/>
    <n v="1"/>
    <n v="26.72"/>
  </r>
  <r>
    <s v="ORD01081"/>
    <d v="2024-11-08T00:00:00"/>
    <d v="2024-11-10T00:00:00"/>
    <s v="C0245"/>
    <x v="118"/>
    <s v="Corporate"/>
    <x v="0"/>
    <x v="11"/>
    <s v="P012"/>
    <x v="4"/>
    <x v="3"/>
    <n v="3"/>
    <n v="3500"/>
    <x v="0"/>
    <n v="10500"/>
    <n v="2775.51"/>
    <x v="4"/>
    <x v="0"/>
    <x v="4"/>
    <x v="1"/>
    <x v="2"/>
    <s v="Nov"/>
    <s v="Q4"/>
    <x v="3"/>
    <n v="2"/>
    <n v="26.43"/>
  </r>
  <r>
    <s v="ORD01034"/>
    <d v="2024-08-17T00:00:00"/>
    <d v="2024-08-22T00:00:00"/>
    <s v="C0004"/>
    <x v="119"/>
    <s v="Corporate"/>
    <x v="0"/>
    <x v="11"/>
    <s v="P006"/>
    <x v="1"/>
    <x v="0"/>
    <n v="2"/>
    <n v="9500"/>
    <x v="0"/>
    <n v="19000"/>
    <n v="3997"/>
    <x v="3"/>
    <x v="1"/>
    <x v="2"/>
    <x v="1"/>
    <x v="7"/>
    <s v="Aug"/>
    <s v="Q3"/>
    <x v="9"/>
    <n v="5"/>
    <n v="21.04"/>
  </r>
  <r>
    <s v="ORD01265"/>
    <d v="2025-06-20T00:00:00"/>
    <d v="2025-06-26T00:00:00"/>
    <s v="C0125"/>
    <x v="120"/>
    <s v="Consumer"/>
    <x v="2"/>
    <x v="4"/>
    <s v="P012"/>
    <x v="4"/>
    <x v="3"/>
    <n v="2"/>
    <n v="3500"/>
    <x v="0"/>
    <n v="7000"/>
    <n v="1636.58"/>
    <x v="2"/>
    <x v="0"/>
    <x v="1"/>
    <x v="0"/>
    <x v="8"/>
    <s v="Jun"/>
    <s v="Q2"/>
    <x v="10"/>
    <n v="6"/>
    <n v="23.38"/>
  </r>
  <r>
    <s v="ORD01363"/>
    <d v="2025-02-24T00:00:00"/>
    <d v="2025-02-28T00:00:00"/>
    <s v="C0035"/>
    <x v="33"/>
    <s v="Consumer"/>
    <x v="3"/>
    <x v="8"/>
    <s v="P001"/>
    <x v="8"/>
    <x v="2"/>
    <n v="1"/>
    <n v="55000"/>
    <x v="3"/>
    <n v="52250"/>
    <n v="9677.52"/>
    <x v="0"/>
    <x v="0"/>
    <x v="0"/>
    <x v="0"/>
    <x v="6"/>
    <s v="Feb"/>
    <s v="Q1"/>
    <x v="7"/>
    <n v="4"/>
    <n v="18.52"/>
  </r>
  <r>
    <s v="ORD00004"/>
    <d v="2025-07-19T00:00:00"/>
    <d v="2025-07-25T00:00:00"/>
    <s v="C0177"/>
    <x v="121"/>
    <s v="Consumer"/>
    <x v="2"/>
    <x v="14"/>
    <s v="P006"/>
    <x v="1"/>
    <x v="0"/>
    <n v="3"/>
    <n v="9500"/>
    <x v="3"/>
    <n v="27075"/>
    <n v="4776.78"/>
    <x v="4"/>
    <x v="2"/>
    <x v="2"/>
    <x v="0"/>
    <x v="3"/>
    <s v="Jul"/>
    <s v="Q3"/>
    <x v="15"/>
    <n v="6"/>
    <n v="17.64"/>
  </r>
  <r>
    <s v="ORD01931"/>
    <d v="2024-04-15T00:00:00"/>
    <d v="2024-04-23T00:00:00"/>
    <s v="C0122"/>
    <x v="44"/>
    <s v="Corporate"/>
    <x v="2"/>
    <x v="14"/>
    <s v="P010"/>
    <x v="6"/>
    <x v="4"/>
    <n v="1"/>
    <n v="1800"/>
    <x v="0"/>
    <n v="1800"/>
    <n v="689.3"/>
    <x v="2"/>
    <x v="1"/>
    <x v="2"/>
    <x v="1"/>
    <x v="5"/>
    <s v="Apr"/>
    <s v="Q2"/>
    <x v="6"/>
    <n v="8"/>
    <n v="38.29"/>
  </r>
  <r>
    <s v="ORD00299"/>
    <d v="2024-09-15T00:00:00"/>
    <d v="2024-09-20T00:00:00"/>
    <s v="C0005"/>
    <x v="86"/>
    <s v="Consumer"/>
    <x v="0"/>
    <x v="0"/>
    <s v="P004"/>
    <x v="7"/>
    <x v="2"/>
    <n v="2"/>
    <n v="8000"/>
    <x v="0"/>
    <n v="16000"/>
    <n v="3940.38"/>
    <x v="0"/>
    <x v="1"/>
    <x v="4"/>
    <x v="1"/>
    <x v="9"/>
    <s v="Sep"/>
    <s v="Q3"/>
    <x v="20"/>
    <n v="5"/>
    <n v="24.63"/>
  </r>
  <r>
    <s v="ORD00634"/>
    <d v="2024-12-09T00:00:00"/>
    <d v="2024-12-10T00:00:00"/>
    <s v="C0244"/>
    <x v="14"/>
    <s v="Consumer"/>
    <x v="2"/>
    <x v="9"/>
    <s v="P009"/>
    <x v="2"/>
    <x v="1"/>
    <n v="10"/>
    <n v="180"/>
    <x v="2"/>
    <n v="1440"/>
    <n v="551"/>
    <x v="0"/>
    <x v="2"/>
    <x v="4"/>
    <x v="1"/>
    <x v="10"/>
    <s v="Dec"/>
    <s v="Q4"/>
    <x v="16"/>
    <n v="1"/>
    <n v="38.26"/>
  </r>
  <r>
    <s v="ORD00034"/>
    <d v="2024-03-23T00:00:00"/>
    <d v="2024-03-28T00:00:00"/>
    <s v="C0228"/>
    <x v="122"/>
    <s v="Consumer"/>
    <x v="3"/>
    <x v="6"/>
    <s v="P002"/>
    <x v="3"/>
    <x v="2"/>
    <n v="1"/>
    <n v="25000"/>
    <x v="0"/>
    <n v="25000"/>
    <n v="2723.52"/>
    <x v="1"/>
    <x v="2"/>
    <x v="1"/>
    <x v="1"/>
    <x v="0"/>
    <s v="Mar"/>
    <s v="Q1"/>
    <x v="2"/>
    <n v="5"/>
    <n v="10.89"/>
  </r>
  <r>
    <s v="ORD00336"/>
    <d v="2025-10-31T00:00:00"/>
    <d v="2025-11-01T00:00:00"/>
    <s v="C0061"/>
    <x v="85"/>
    <s v="Small Business"/>
    <x v="0"/>
    <x v="11"/>
    <s v="P008"/>
    <x v="11"/>
    <x v="1"/>
    <n v="2"/>
    <n v="250"/>
    <x v="0"/>
    <n v="500"/>
    <n v="184.57"/>
    <x v="2"/>
    <x v="2"/>
    <x v="1"/>
    <x v="0"/>
    <x v="1"/>
    <s v="Oct"/>
    <s v="Q4"/>
    <x v="14"/>
    <n v="1"/>
    <n v="36.909999999999997"/>
  </r>
  <r>
    <s v="ORD00834"/>
    <d v="2024-07-11T00:00:00"/>
    <d v="2024-07-19T00:00:00"/>
    <s v="C0044"/>
    <x v="123"/>
    <s v="Small Business"/>
    <x v="3"/>
    <x v="7"/>
    <s v="P006"/>
    <x v="1"/>
    <x v="0"/>
    <n v="2"/>
    <n v="9500"/>
    <x v="1"/>
    <n v="16150"/>
    <n v="2800.65"/>
    <x v="0"/>
    <x v="2"/>
    <x v="3"/>
    <x v="1"/>
    <x v="3"/>
    <s v="Jul"/>
    <s v="Q3"/>
    <x v="4"/>
    <n v="8"/>
    <n v="17.34"/>
  </r>
  <r>
    <s v="ORD00785"/>
    <d v="2024-10-06T00:00:00"/>
    <d v="2024-10-10T00:00:00"/>
    <s v="C0031"/>
    <x v="84"/>
    <s v="Small Business"/>
    <x v="3"/>
    <x v="6"/>
    <s v="P008"/>
    <x v="11"/>
    <x v="1"/>
    <n v="4"/>
    <n v="250"/>
    <x v="3"/>
    <n v="950"/>
    <n v="417.88"/>
    <x v="1"/>
    <x v="2"/>
    <x v="4"/>
    <x v="1"/>
    <x v="1"/>
    <s v="Oct"/>
    <s v="Q4"/>
    <x v="1"/>
    <n v="4"/>
    <n v="43.99"/>
  </r>
  <r>
    <s v="ORD00169"/>
    <d v="2025-01-23T00:00:00"/>
    <d v="2025-01-24T00:00:00"/>
    <s v="C0048"/>
    <x v="124"/>
    <s v="Small Business"/>
    <x v="2"/>
    <x v="3"/>
    <s v="P007"/>
    <x v="10"/>
    <x v="0"/>
    <n v="1"/>
    <n v="6000"/>
    <x v="3"/>
    <n v="5700"/>
    <n v="988.31"/>
    <x v="5"/>
    <x v="0"/>
    <x v="3"/>
    <x v="0"/>
    <x v="11"/>
    <s v="Jan"/>
    <s v="Q1"/>
    <x v="17"/>
    <n v="1"/>
    <n v="17.34"/>
  </r>
  <r>
    <s v="ORD00646"/>
    <d v="2024-01-18T00:00:00"/>
    <d v="2024-01-21T00:00:00"/>
    <s v="C0060"/>
    <x v="125"/>
    <s v="Corporate"/>
    <x v="2"/>
    <x v="3"/>
    <s v="P003"/>
    <x v="5"/>
    <x v="2"/>
    <n v="2"/>
    <n v="3000"/>
    <x v="0"/>
    <n v="6000"/>
    <n v="1757.56"/>
    <x v="0"/>
    <x v="2"/>
    <x v="1"/>
    <x v="1"/>
    <x v="11"/>
    <s v="Jan"/>
    <s v="Q1"/>
    <x v="21"/>
    <n v="3"/>
    <n v="29.29"/>
  </r>
  <r>
    <s v="ORD00400"/>
    <d v="2025-07-19T00:00:00"/>
    <d v="2025-07-27T00:00:00"/>
    <s v="C0105"/>
    <x v="126"/>
    <s v="Corporate"/>
    <x v="0"/>
    <x v="10"/>
    <s v="P007"/>
    <x v="10"/>
    <x v="0"/>
    <n v="3"/>
    <n v="6000"/>
    <x v="3"/>
    <n v="17100"/>
    <n v="3166.19"/>
    <x v="3"/>
    <x v="1"/>
    <x v="1"/>
    <x v="0"/>
    <x v="3"/>
    <s v="Jul"/>
    <s v="Q3"/>
    <x v="15"/>
    <n v="8"/>
    <n v="18.52"/>
  </r>
  <r>
    <s v="ORD00681"/>
    <d v="2025-10-03T00:00:00"/>
    <d v="2025-10-06T00:00:00"/>
    <s v="C0223"/>
    <x v="34"/>
    <s v="Corporate"/>
    <x v="1"/>
    <x v="13"/>
    <s v="P010"/>
    <x v="6"/>
    <x v="4"/>
    <n v="1"/>
    <n v="1800"/>
    <x v="3"/>
    <n v="1710"/>
    <n v="454.32"/>
    <x v="5"/>
    <x v="2"/>
    <x v="4"/>
    <x v="0"/>
    <x v="1"/>
    <s v="Oct"/>
    <s v="Q4"/>
    <x v="14"/>
    <n v="3"/>
    <n v="26.57"/>
  </r>
  <r>
    <s v="ORD01705"/>
    <d v="2024-05-13T00:00:00"/>
    <d v="2024-05-20T00:00:00"/>
    <s v="C0125"/>
    <x v="120"/>
    <s v="Consumer"/>
    <x v="2"/>
    <x v="4"/>
    <s v="P007"/>
    <x v="10"/>
    <x v="0"/>
    <n v="1"/>
    <n v="6000"/>
    <x v="1"/>
    <n v="5100"/>
    <n v="1270.53"/>
    <x v="4"/>
    <x v="0"/>
    <x v="4"/>
    <x v="1"/>
    <x v="4"/>
    <s v="May"/>
    <s v="Q2"/>
    <x v="8"/>
    <n v="7"/>
    <n v="24.91"/>
  </r>
  <r>
    <s v="ORD01480"/>
    <d v="2025-12-29T00:00:00"/>
    <d v="2026-01-02T00:00:00"/>
    <s v="C0099"/>
    <x v="36"/>
    <s v="Small Business"/>
    <x v="0"/>
    <x v="0"/>
    <s v="P005"/>
    <x v="0"/>
    <x v="0"/>
    <n v="4"/>
    <n v="7000"/>
    <x v="0"/>
    <n v="28000"/>
    <n v="5479.31"/>
    <x v="5"/>
    <x v="0"/>
    <x v="4"/>
    <x v="0"/>
    <x v="10"/>
    <s v="Dec"/>
    <s v="Q4"/>
    <x v="19"/>
    <n v="4"/>
    <n v="19.57"/>
  </r>
  <r>
    <s v="ORD01167"/>
    <d v="2024-01-16T00:00:00"/>
    <d v="2024-01-24T00:00:00"/>
    <s v="C0093"/>
    <x v="127"/>
    <s v="Consumer"/>
    <x v="0"/>
    <x v="11"/>
    <s v="P008"/>
    <x v="11"/>
    <x v="1"/>
    <n v="1"/>
    <n v="250"/>
    <x v="3"/>
    <n v="237.5"/>
    <n v="76.510000000000005"/>
    <x v="5"/>
    <x v="0"/>
    <x v="2"/>
    <x v="1"/>
    <x v="11"/>
    <s v="Jan"/>
    <s v="Q1"/>
    <x v="21"/>
    <n v="8"/>
    <n v="32.21"/>
  </r>
  <r>
    <s v="ORD01036"/>
    <d v="2025-07-23T00:00:00"/>
    <d v="2025-07-30T00:00:00"/>
    <s v="C0221"/>
    <x v="128"/>
    <s v="Consumer"/>
    <x v="3"/>
    <x v="8"/>
    <s v="P004"/>
    <x v="7"/>
    <x v="2"/>
    <n v="10"/>
    <n v="8000"/>
    <x v="0"/>
    <n v="80000"/>
    <n v="18930.14"/>
    <x v="2"/>
    <x v="2"/>
    <x v="0"/>
    <x v="0"/>
    <x v="3"/>
    <s v="Jul"/>
    <s v="Q3"/>
    <x v="15"/>
    <n v="7"/>
    <n v="23.66"/>
  </r>
  <r>
    <s v="ORD00075"/>
    <d v="2024-01-06T00:00:00"/>
    <d v="2024-01-09T00:00:00"/>
    <s v="C0230"/>
    <x v="129"/>
    <s v="Corporate"/>
    <x v="3"/>
    <x v="12"/>
    <s v="P010"/>
    <x v="6"/>
    <x v="4"/>
    <n v="5"/>
    <n v="1800"/>
    <x v="0"/>
    <n v="9000"/>
    <n v="2527.46"/>
    <x v="1"/>
    <x v="2"/>
    <x v="1"/>
    <x v="1"/>
    <x v="11"/>
    <s v="Jan"/>
    <s v="Q1"/>
    <x v="21"/>
    <n v="3"/>
    <n v="28.08"/>
  </r>
  <r>
    <s v="ORD01944"/>
    <d v="2025-06-24T00:00:00"/>
    <d v="2025-06-26T00:00:00"/>
    <s v="C0236"/>
    <x v="130"/>
    <s v="Consumer"/>
    <x v="2"/>
    <x v="4"/>
    <s v="P001"/>
    <x v="8"/>
    <x v="2"/>
    <n v="1"/>
    <n v="55000"/>
    <x v="3"/>
    <n v="52250"/>
    <n v="8682.81"/>
    <x v="0"/>
    <x v="2"/>
    <x v="0"/>
    <x v="0"/>
    <x v="8"/>
    <s v="Jun"/>
    <s v="Q2"/>
    <x v="10"/>
    <n v="2"/>
    <n v="16.62"/>
  </r>
  <r>
    <s v="ORD00394"/>
    <d v="2025-09-06T00:00:00"/>
    <d v="2025-09-08T00:00:00"/>
    <s v="C0244"/>
    <x v="14"/>
    <s v="Consumer"/>
    <x v="2"/>
    <x v="9"/>
    <s v="P010"/>
    <x v="6"/>
    <x v="4"/>
    <n v="1"/>
    <n v="1800"/>
    <x v="2"/>
    <n v="1440"/>
    <n v="459.94"/>
    <x v="2"/>
    <x v="1"/>
    <x v="2"/>
    <x v="0"/>
    <x v="9"/>
    <s v="Sep"/>
    <s v="Q3"/>
    <x v="11"/>
    <n v="2"/>
    <n v="31.94"/>
  </r>
  <r>
    <s v="ORD01796"/>
    <d v="2025-03-02T00:00:00"/>
    <d v="2025-03-09T00:00:00"/>
    <s v="C0286"/>
    <x v="39"/>
    <s v="Corporate"/>
    <x v="3"/>
    <x v="7"/>
    <s v="P007"/>
    <x v="10"/>
    <x v="0"/>
    <n v="1"/>
    <n v="6000"/>
    <x v="0"/>
    <n v="6000"/>
    <n v="1505.68"/>
    <x v="0"/>
    <x v="2"/>
    <x v="3"/>
    <x v="0"/>
    <x v="0"/>
    <s v="Mar"/>
    <s v="Q1"/>
    <x v="0"/>
    <n v="7"/>
    <n v="25.09"/>
  </r>
  <r>
    <s v="ORD01169"/>
    <d v="2025-07-24T00:00:00"/>
    <d v="2025-07-30T00:00:00"/>
    <s v="C0206"/>
    <x v="52"/>
    <s v="Corporate"/>
    <x v="1"/>
    <x v="1"/>
    <s v="P012"/>
    <x v="4"/>
    <x v="3"/>
    <n v="1"/>
    <n v="3500"/>
    <x v="0"/>
    <n v="3500"/>
    <n v="837.33"/>
    <x v="1"/>
    <x v="2"/>
    <x v="1"/>
    <x v="0"/>
    <x v="3"/>
    <s v="Jul"/>
    <s v="Q3"/>
    <x v="15"/>
    <n v="6"/>
    <n v="23.92"/>
  </r>
  <r>
    <s v="ORD01721"/>
    <d v="2025-02-10T00:00:00"/>
    <d v="2025-02-13T00:00:00"/>
    <s v="C0116"/>
    <x v="131"/>
    <s v="Corporate"/>
    <x v="2"/>
    <x v="3"/>
    <s v="P004"/>
    <x v="7"/>
    <x v="2"/>
    <n v="2"/>
    <n v="8000"/>
    <x v="0"/>
    <n v="16000"/>
    <n v="4140.8999999999996"/>
    <x v="0"/>
    <x v="0"/>
    <x v="2"/>
    <x v="0"/>
    <x v="6"/>
    <s v="Feb"/>
    <s v="Q1"/>
    <x v="7"/>
    <n v="3"/>
    <n v="25.88"/>
  </r>
  <r>
    <s v="ORD01897"/>
    <d v="2024-04-26T00:00:00"/>
    <d v="2024-04-27T00:00:00"/>
    <s v="C0023"/>
    <x v="132"/>
    <s v="Small Business"/>
    <x v="1"/>
    <x v="16"/>
    <s v="P006"/>
    <x v="1"/>
    <x v="0"/>
    <n v="1"/>
    <n v="9500"/>
    <x v="0"/>
    <n v="9500"/>
    <n v="1651.09"/>
    <x v="4"/>
    <x v="2"/>
    <x v="1"/>
    <x v="1"/>
    <x v="5"/>
    <s v="Apr"/>
    <s v="Q2"/>
    <x v="6"/>
    <n v="1"/>
    <n v="17.38"/>
  </r>
  <r>
    <s v="ORD01399"/>
    <d v="2025-02-15T00:00:00"/>
    <d v="2025-02-17T00:00:00"/>
    <s v="C0095"/>
    <x v="15"/>
    <s v="Consumer"/>
    <x v="2"/>
    <x v="4"/>
    <s v="P005"/>
    <x v="0"/>
    <x v="0"/>
    <n v="1"/>
    <n v="7000"/>
    <x v="0"/>
    <n v="7000"/>
    <n v="1685.15"/>
    <x v="3"/>
    <x v="1"/>
    <x v="3"/>
    <x v="0"/>
    <x v="6"/>
    <s v="Feb"/>
    <s v="Q1"/>
    <x v="7"/>
    <n v="2"/>
    <n v="24.07"/>
  </r>
  <r>
    <s v="ORD00690"/>
    <d v="2025-06-30T00:00:00"/>
    <d v="2025-07-07T00:00:00"/>
    <s v="C0029"/>
    <x v="133"/>
    <s v="Consumer"/>
    <x v="3"/>
    <x v="8"/>
    <s v="P008"/>
    <x v="11"/>
    <x v="1"/>
    <n v="1"/>
    <n v="250"/>
    <x v="0"/>
    <n v="250"/>
    <n v="82.66"/>
    <x v="0"/>
    <x v="2"/>
    <x v="2"/>
    <x v="0"/>
    <x v="8"/>
    <s v="Jun"/>
    <s v="Q2"/>
    <x v="10"/>
    <n v="7"/>
    <n v="33.06"/>
  </r>
  <r>
    <s v="ORD00791"/>
    <d v="2025-09-07T00:00:00"/>
    <d v="2025-09-08T00:00:00"/>
    <s v="C0181"/>
    <x v="134"/>
    <s v="Corporate"/>
    <x v="0"/>
    <x v="11"/>
    <s v="P007"/>
    <x v="10"/>
    <x v="0"/>
    <n v="1"/>
    <n v="6000"/>
    <x v="0"/>
    <n v="6000"/>
    <n v="1491.35"/>
    <x v="2"/>
    <x v="1"/>
    <x v="4"/>
    <x v="0"/>
    <x v="9"/>
    <s v="Sep"/>
    <s v="Q3"/>
    <x v="11"/>
    <n v="1"/>
    <n v="24.86"/>
  </r>
  <r>
    <s v="ORD01833"/>
    <d v="2024-02-12T00:00:00"/>
    <d v="2024-02-15T00:00:00"/>
    <s v="C0067"/>
    <x v="135"/>
    <s v="Consumer"/>
    <x v="2"/>
    <x v="9"/>
    <s v="P003"/>
    <x v="5"/>
    <x v="2"/>
    <n v="1"/>
    <n v="3000"/>
    <x v="1"/>
    <n v="2550"/>
    <n v="545.27"/>
    <x v="5"/>
    <x v="1"/>
    <x v="1"/>
    <x v="1"/>
    <x v="6"/>
    <s v="Feb"/>
    <s v="Q1"/>
    <x v="18"/>
    <n v="3"/>
    <n v="21.38"/>
  </r>
  <r>
    <s v="ORD01278"/>
    <d v="2025-08-07T00:00:00"/>
    <d v="2025-08-14T00:00:00"/>
    <s v="C0109"/>
    <x v="136"/>
    <s v="Corporate"/>
    <x v="1"/>
    <x v="1"/>
    <s v="P002"/>
    <x v="3"/>
    <x v="2"/>
    <n v="1"/>
    <n v="25000"/>
    <x v="2"/>
    <n v="20000"/>
    <n v="2290.94"/>
    <x v="1"/>
    <x v="1"/>
    <x v="4"/>
    <x v="0"/>
    <x v="7"/>
    <s v="Aug"/>
    <s v="Q3"/>
    <x v="22"/>
    <n v="7"/>
    <n v="11.45"/>
  </r>
  <r>
    <s v="ORD01138"/>
    <d v="2025-11-04T00:00:00"/>
    <d v="2025-11-08T00:00:00"/>
    <s v="C0204"/>
    <x v="137"/>
    <s v="Corporate"/>
    <x v="0"/>
    <x v="10"/>
    <s v="P008"/>
    <x v="11"/>
    <x v="1"/>
    <n v="1"/>
    <n v="250"/>
    <x v="0"/>
    <n v="250"/>
    <n v="100"/>
    <x v="0"/>
    <x v="2"/>
    <x v="4"/>
    <x v="0"/>
    <x v="2"/>
    <s v="Nov"/>
    <s v="Q4"/>
    <x v="23"/>
    <n v="4"/>
    <n v="40"/>
  </r>
  <r>
    <s v="ORD00841"/>
    <d v="2024-11-30T00:00:00"/>
    <d v="2024-12-03T00:00:00"/>
    <s v="C0006"/>
    <x v="138"/>
    <s v="Small Business"/>
    <x v="2"/>
    <x v="14"/>
    <s v="P003"/>
    <x v="5"/>
    <x v="2"/>
    <n v="2"/>
    <n v="3000"/>
    <x v="0"/>
    <n v="6000"/>
    <n v="1972.51"/>
    <x v="1"/>
    <x v="1"/>
    <x v="0"/>
    <x v="1"/>
    <x v="2"/>
    <s v="Nov"/>
    <s v="Q4"/>
    <x v="3"/>
    <n v="3"/>
    <n v="32.880000000000003"/>
  </r>
  <r>
    <s v="ORD00670"/>
    <d v="2025-11-23T00:00:00"/>
    <d v="2025-11-24T00:00:00"/>
    <s v="C0194"/>
    <x v="139"/>
    <s v="Corporate"/>
    <x v="3"/>
    <x v="8"/>
    <s v="P010"/>
    <x v="6"/>
    <x v="4"/>
    <n v="10"/>
    <n v="1800"/>
    <x v="0"/>
    <n v="18000"/>
    <n v="4564.79"/>
    <x v="4"/>
    <x v="1"/>
    <x v="4"/>
    <x v="0"/>
    <x v="2"/>
    <s v="Nov"/>
    <s v="Q4"/>
    <x v="23"/>
    <n v="1"/>
    <n v="25.36"/>
  </r>
  <r>
    <s v="ORD01226"/>
    <d v="2025-10-24T00:00:00"/>
    <d v="2025-10-29T00:00:00"/>
    <s v="C0140"/>
    <x v="140"/>
    <s v="Small Business"/>
    <x v="3"/>
    <x v="7"/>
    <s v="P001"/>
    <x v="8"/>
    <x v="2"/>
    <n v="2"/>
    <n v="55000"/>
    <x v="0"/>
    <n v="110000"/>
    <n v="21746.240000000002"/>
    <x v="3"/>
    <x v="2"/>
    <x v="3"/>
    <x v="0"/>
    <x v="1"/>
    <s v="Oct"/>
    <s v="Q4"/>
    <x v="14"/>
    <n v="5"/>
    <n v="19.77"/>
  </r>
  <r>
    <s v="ORD00644"/>
    <d v="2024-05-20T00:00:00"/>
    <d v="2024-05-27T00:00:00"/>
    <s v="C0074"/>
    <x v="141"/>
    <s v="Consumer"/>
    <x v="2"/>
    <x v="14"/>
    <s v="P001"/>
    <x v="8"/>
    <x v="2"/>
    <n v="2"/>
    <n v="55000"/>
    <x v="0"/>
    <n v="110000"/>
    <n v="20028.16"/>
    <x v="3"/>
    <x v="0"/>
    <x v="3"/>
    <x v="1"/>
    <x v="4"/>
    <s v="May"/>
    <s v="Q2"/>
    <x v="8"/>
    <n v="7"/>
    <n v="18.21"/>
  </r>
  <r>
    <s v="ORD00016"/>
    <d v="2024-08-23T00:00:00"/>
    <d v="2024-08-27T00:00:00"/>
    <s v="C0255"/>
    <x v="142"/>
    <s v="Small Business"/>
    <x v="3"/>
    <x v="8"/>
    <s v="P005"/>
    <x v="0"/>
    <x v="0"/>
    <n v="2"/>
    <n v="7000"/>
    <x v="0"/>
    <n v="14000"/>
    <n v="2425.81"/>
    <x v="6"/>
    <x v="1"/>
    <x v="2"/>
    <x v="1"/>
    <x v="7"/>
    <s v="Aug"/>
    <s v="Q3"/>
    <x v="9"/>
    <n v="4"/>
    <n v="17.329999999999998"/>
  </r>
  <r>
    <s v="ORD00818"/>
    <d v="2024-04-13T00:00:00"/>
    <d v="2024-04-15T00:00:00"/>
    <s v="C0091"/>
    <x v="21"/>
    <s v="Corporate"/>
    <x v="0"/>
    <x v="10"/>
    <s v="P005"/>
    <x v="0"/>
    <x v="0"/>
    <n v="1"/>
    <n v="7000"/>
    <x v="1"/>
    <n v="5950"/>
    <n v="988.16"/>
    <x v="3"/>
    <x v="0"/>
    <x v="4"/>
    <x v="1"/>
    <x v="5"/>
    <s v="Apr"/>
    <s v="Q2"/>
    <x v="6"/>
    <n v="2"/>
    <n v="16.61"/>
  </r>
  <r>
    <s v="ORD00309"/>
    <d v="2025-01-25T00:00:00"/>
    <d v="2025-01-28T00:00:00"/>
    <s v="C0062"/>
    <x v="92"/>
    <s v="Consumer"/>
    <x v="2"/>
    <x v="14"/>
    <s v="P011"/>
    <x v="9"/>
    <x v="4"/>
    <n v="2"/>
    <n v="600"/>
    <x v="3"/>
    <n v="1140"/>
    <n v="312.61"/>
    <x v="4"/>
    <x v="0"/>
    <x v="4"/>
    <x v="0"/>
    <x v="11"/>
    <s v="Jan"/>
    <s v="Q1"/>
    <x v="17"/>
    <n v="3"/>
    <n v="27.42"/>
  </r>
  <r>
    <s v="ORD00653"/>
    <d v="2025-07-04T00:00:00"/>
    <d v="2025-07-08T00:00:00"/>
    <s v="C0145"/>
    <x v="16"/>
    <s v="Corporate"/>
    <x v="3"/>
    <x v="8"/>
    <s v="P003"/>
    <x v="5"/>
    <x v="2"/>
    <n v="1"/>
    <n v="3000"/>
    <x v="1"/>
    <n v="2550"/>
    <n v="565.70000000000005"/>
    <x v="1"/>
    <x v="2"/>
    <x v="0"/>
    <x v="0"/>
    <x v="3"/>
    <s v="Jul"/>
    <s v="Q3"/>
    <x v="15"/>
    <n v="4"/>
    <n v="22.18"/>
  </r>
  <r>
    <s v="ORD01109"/>
    <d v="2025-10-13T00:00:00"/>
    <d v="2025-10-16T00:00:00"/>
    <s v="C0222"/>
    <x v="143"/>
    <s v="Corporate"/>
    <x v="3"/>
    <x v="12"/>
    <s v="P003"/>
    <x v="5"/>
    <x v="2"/>
    <n v="1"/>
    <n v="3000"/>
    <x v="1"/>
    <n v="2550"/>
    <n v="736.68"/>
    <x v="1"/>
    <x v="2"/>
    <x v="1"/>
    <x v="0"/>
    <x v="1"/>
    <s v="Oct"/>
    <s v="Q4"/>
    <x v="14"/>
    <n v="3"/>
    <n v="28.89"/>
  </r>
  <r>
    <s v="ORD00938"/>
    <d v="2024-01-08T00:00:00"/>
    <d v="2024-01-14T00:00:00"/>
    <s v="C0098"/>
    <x v="0"/>
    <s v="Corporate"/>
    <x v="0"/>
    <x v="0"/>
    <s v="P012"/>
    <x v="4"/>
    <x v="3"/>
    <n v="3"/>
    <n v="3500"/>
    <x v="1"/>
    <n v="8925"/>
    <n v="2609.61"/>
    <x v="4"/>
    <x v="2"/>
    <x v="1"/>
    <x v="1"/>
    <x v="11"/>
    <s v="Jan"/>
    <s v="Q1"/>
    <x v="21"/>
    <n v="6"/>
    <n v="29.24"/>
  </r>
  <r>
    <s v="ORD00082"/>
    <d v="2024-03-05T00:00:00"/>
    <d v="2024-03-09T00:00:00"/>
    <s v="C0094"/>
    <x v="76"/>
    <s v="Corporate"/>
    <x v="3"/>
    <x v="8"/>
    <s v="P003"/>
    <x v="5"/>
    <x v="2"/>
    <n v="3"/>
    <n v="3000"/>
    <x v="3"/>
    <n v="8550"/>
    <n v="1833.45"/>
    <x v="2"/>
    <x v="0"/>
    <x v="3"/>
    <x v="1"/>
    <x v="0"/>
    <s v="Mar"/>
    <s v="Q1"/>
    <x v="2"/>
    <n v="4"/>
    <n v="21.44"/>
  </r>
  <r>
    <s v="ORD00504"/>
    <d v="2025-08-22T00:00:00"/>
    <d v="2025-08-29T00:00:00"/>
    <s v="C0058"/>
    <x v="144"/>
    <s v="Small Business"/>
    <x v="1"/>
    <x v="1"/>
    <s v="P003"/>
    <x v="5"/>
    <x v="2"/>
    <n v="5"/>
    <n v="3000"/>
    <x v="1"/>
    <n v="12750"/>
    <n v="3513.5"/>
    <x v="0"/>
    <x v="1"/>
    <x v="0"/>
    <x v="0"/>
    <x v="7"/>
    <s v="Aug"/>
    <s v="Q3"/>
    <x v="22"/>
    <n v="7"/>
    <n v="27.56"/>
  </r>
  <r>
    <s v="ORD00531"/>
    <d v="2024-07-24T00:00:00"/>
    <d v="2024-08-01T00:00:00"/>
    <s v="C0108"/>
    <x v="145"/>
    <s v="Consumer"/>
    <x v="2"/>
    <x v="4"/>
    <s v="P006"/>
    <x v="1"/>
    <x v="0"/>
    <n v="1"/>
    <n v="9500"/>
    <x v="0"/>
    <n v="9500"/>
    <n v="1734.53"/>
    <x v="5"/>
    <x v="0"/>
    <x v="4"/>
    <x v="1"/>
    <x v="3"/>
    <s v="Jul"/>
    <s v="Q3"/>
    <x v="4"/>
    <n v="8"/>
    <n v="18.260000000000002"/>
  </r>
  <r>
    <s v="ORD00077"/>
    <d v="2024-04-23T00:00:00"/>
    <d v="2024-04-24T00:00:00"/>
    <s v="C0235"/>
    <x v="111"/>
    <s v="Consumer"/>
    <x v="1"/>
    <x v="16"/>
    <s v="P002"/>
    <x v="3"/>
    <x v="2"/>
    <n v="4"/>
    <n v="25000"/>
    <x v="3"/>
    <n v="95000"/>
    <n v="13376.41"/>
    <x v="5"/>
    <x v="2"/>
    <x v="1"/>
    <x v="1"/>
    <x v="5"/>
    <s v="Apr"/>
    <s v="Q2"/>
    <x v="6"/>
    <n v="1"/>
    <n v="14.08"/>
  </r>
  <r>
    <s v="ORD01996"/>
    <d v="2024-05-19T00:00:00"/>
    <d v="2024-05-25T00:00:00"/>
    <s v="C0228"/>
    <x v="122"/>
    <s v="Consumer"/>
    <x v="3"/>
    <x v="6"/>
    <s v="P004"/>
    <x v="7"/>
    <x v="2"/>
    <n v="2"/>
    <n v="8000"/>
    <x v="0"/>
    <n v="16000"/>
    <n v="3250.54"/>
    <x v="0"/>
    <x v="1"/>
    <x v="1"/>
    <x v="1"/>
    <x v="4"/>
    <s v="May"/>
    <s v="Q2"/>
    <x v="8"/>
    <n v="6"/>
    <n v="20.32"/>
  </r>
  <r>
    <s v="ORD00994"/>
    <d v="2024-06-10T00:00:00"/>
    <d v="2024-06-14T00:00:00"/>
    <s v="C0245"/>
    <x v="118"/>
    <s v="Corporate"/>
    <x v="0"/>
    <x v="11"/>
    <s v="P010"/>
    <x v="6"/>
    <x v="4"/>
    <n v="1"/>
    <n v="1800"/>
    <x v="0"/>
    <n v="1800"/>
    <n v="476.6"/>
    <x v="2"/>
    <x v="0"/>
    <x v="1"/>
    <x v="1"/>
    <x v="8"/>
    <s v="Jun"/>
    <s v="Q2"/>
    <x v="12"/>
    <n v="4"/>
    <n v="26.48"/>
  </r>
  <r>
    <s v="ORD01579"/>
    <d v="2024-06-08T00:00:00"/>
    <d v="2024-06-14T00:00:00"/>
    <s v="C0025"/>
    <x v="37"/>
    <s v="Consumer"/>
    <x v="2"/>
    <x v="14"/>
    <s v="P008"/>
    <x v="11"/>
    <x v="1"/>
    <n v="4"/>
    <n v="250"/>
    <x v="0"/>
    <n v="1000"/>
    <n v="417.87"/>
    <x v="1"/>
    <x v="1"/>
    <x v="0"/>
    <x v="1"/>
    <x v="8"/>
    <s v="Jun"/>
    <s v="Q2"/>
    <x v="12"/>
    <n v="6"/>
    <n v="41.79"/>
  </r>
  <r>
    <s v="ORD00954"/>
    <d v="2025-03-12T00:00:00"/>
    <d v="2025-03-13T00:00:00"/>
    <s v="C0099"/>
    <x v="36"/>
    <s v="Small Business"/>
    <x v="0"/>
    <x v="0"/>
    <s v="P003"/>
    <x v="5"/>
    <x v="2"/>
    <n v="1"/>
    <n v="3000"/>
    <x v="0"/>
    <n v="3000"/>
    <n v="662.74"/>
    <x v="0"/>
    <x v="1"/>
    <x v="1"/>
    <x v="0"/>
    <x v="0"/>
    <s v="Mar"/>
    <s v="Q1"/>
    <x v="0"/>
    <n v="1"/>
    <n v="22.09"/>
  </r>
  <r>
    <s v="ORD00843"/>
    <d v="2024-07-26T00:00:00"/>
    <m/>
    <s v="C0159"/>
    <x v="146"/>
    <s v="Corporate"/>
    <x v="0"/>
    <x v="15"/>
    <s v="P010"/>
    <x v="6"/>
    <x v="4"/>
    <n v="2"/>
    <n v="1800"/>
    <x v="1"/>
    <n v="3060"/>
    <n v="946.32"/>
    <x v="2"/>
    <x v="0"/>
    <x v="0"/>
    <x v="1"/>
    <x v="3"/>
    <s v="Jul"/>
    <s v="Q3"/>
    <x v="4"/>
    <s v=""/>
    <n v="30.93"/>
  </r>
  <r>
    <s v="ORD01877"/>
    <d v="2025-08-17T00:00:00"/>
    <m/>
    <s v="C0133"/>
    <x v="97"/>
    <s v="Consumer"/>
    <x v="1"/>
    <x v="5"/>
    <s v="P002"/>
    <x v="3"/>
    <x v="2"/>
    <n v="2"/>
    <n v="25000"/>
    <x v="0"/>
    <n v="50000"/>
    <n v="6531.45"/>
    <x v="7"/>
    <x v="2"/>
    <x v="2"/>
    <x v="0"/>
    <x v="7"/>
    <s v="Aug"/>
    <s v="Q3"/>
    <x v="22"/>
    <s v=""/>
    <n v="13.06"/>
  </r>
  <r>
    <s v="ORD01760"/>
    <d v="2024-10-28T00:00:00"/>
    <d v="2024-11-02T00:00:00"/>
    <s v="C0073"/>
    <x v="147"/>
    <s v="Consumer"/>
    <x v="3"/>
    <x v="8"/>
    <s v="P007"/>
    <x v="10"/>
    <x v="0"/>
    <n v="10"/>
    <n v="6000"/>
    <x v="0"/>
    <n v="60000"/>
    <n v="12563.48"/>
    <x v="2"/>
    <x v="0"/>
    <x v="0"/>
    <x v="1"/>
    <x v="1"/>
    <s v="Oct"/>
    <s v="Q4"/>
    <x v="1"/>
    <n v="5"/>
    <n v="20.94"/>
  </r>
  <r>
    <s v="ORD01186"/>
    <d v="2025-10-07T00:00:00"/>
    <d v="2025-10-11T00:00:00"/>
    <s v="C0249"/>
    <x v="148"/>
    <s v="Corporate"/>
    <x v="0"/>
    <x v="15"/>
    <s v="P008"/>
    <x v="11"/>
    <x v="1"/>
    <n v="1"/>
    <n v="250"/>
    <x v="3"/>
    <n v="237.5"/>
    <n v="77.73"/>
    <x v="2"/>
    <x v="1"/>
    <x v="0"/>
    <x v="0"/>
    <x v="1"/>
    <s v="Oct"/>
    <s v="Q4"/>
    <x v="14"/>
    <n v="4"/>
    <n v="32.729999999999997"/>
  </r>
  <r>
    <s v="ORD00280"/>
    <d v="2025-01-14T00:00:00"/>
    <d v="2025-01-15T00:00:00"/>
    <s v="C0199"/>
    <x v="70"/>
    <s v="Consumer"/>
    <x v="2"/>
    <x v="14"/>
    <s v="P003"/>
    <x v="5"/>
    <x v="2"/>
    <n v="4"/>
    <n v="3000"/>
    <x v="0"/>
    <n v="12000"/>
    <n v="2788.68"/>
    <x v="3"/>
    <x v="1"/>
    <x v="0"/>
    <x v="0"/>
    <x v="11"/>
    <s v="Jan"/>
    <s v="Q1"/>
    <x v="17"/>
    <n v="1"/>
    <n v="23.24"/>
  </r>
  <r>
    <s v="ORD01747"/>
    <d v="2025-05-04T00:00:00"/>
    <d v="2025-05-11T00:00:00"/>
    <s v="C0016"/>
    <x v="83"/>
    <s v="Corporate"/>
    <x v="0"/>
    <x v="11"/>
    <s v="P003"/>
    <x v="5"/>
    <x v="2"/>
    <n v="3"/>
    <n v="3000"/>
    <x v="0"/>
    <n v="9000"/>
    <n v="1897.03"/>
    <x v="1"/>
    <x v="1"/>
    <x v="0"/>
    <x v="0"/>
    <x v="4"/>
    <s v="May"/>
    <s v="Q2"/>
    <x v="5"/>
    <n v="7"/>
    <n v="21.08"/>
  </r>
  <r>
    <s v="ORD01203"/>
    <d v="2025-08-30T00:00:00"/>
    <d v="2025-09-07T00:00:00"/>
    <s v="C0107"/>
    <x v="6"/>
    <s v="Corporate"/>
    <x v="2"/>
    <x v="4"/>
    <s v="P008"/>
    <x v="11"/>
    <x v="1"/>
    <n v="1"/>
    <n v="250"/>
    <x v="0"/>
    <n v="250"/>
    <n v="86.13"/>
    <x v="1"/>
    <x v="2"/>
    <x v="1"/>
    <x v="0"/>
    <x v="7"/>
    <s v="Aug"/>
    <s v="Q3"/>
    <x v="22"/>
    <n v="8"/>
    <n v="34.450000000000003"/>
  </r>
  <r>
    <s v="ORD01690"/>
    <d v="2024-11-26T00:00:00"/>
    <d v="2024-11-28T00:00:00"/>
    <s v="C0016"/>
    <x v="83"/>
    <s v="Corporate"/>
    <x v="0"/>
    <x v="11"/>
    <s v="P002"/>
    <x v="3"/>
    <x v="2"/>
    <n v="3"/>
    <n v="25000"/>
    <x v="1"/>
    <n v="63750"/>
    <n v="8934.59"/>
    <x v="5"/>
    <x v="0"/>
    <x v="0"/>
    <x v="1"/>
    <x v="2"/>
    <s v="Nov"/>
    <s v="Q4"/>
    <x v="3"/>
    <n v="2"/>
    <n v="14.02"/>
  </r>
  <r>
    <s v="ORD01722"/>
    <d v="2025-09-13T00:00:00"/>
    <d v="2025-09-21T00:00:00"/>
    <s v="C0081"/>
    <x v="149"/>
    <s v="Corporate"/>
    <x v="3"/>
    <x v="12"/>
    <s v="P004"/>
    <x v="7"/>
    <x v="2"/>
    <n v="2"/>
    <n v="8000"/>
    <x v="0"/>
    <n v="16000"/>
    <n v="2917.6"/>
    <x v="3"/>
    <x v="1"/>
    <x v="4"/>
    <x v="0"/>
    <x v="9"/>
    <s v="Sep"/>
    <s v="Q3"/>
    <x v="11"/>
    <n v="8"/>
    <n v="18.239999999999998"/>
  </r>
  <r>
    <s v="ORD01040"/>
    <d v="2025-01-26T00:00:00"/>
    <d v="2025-02-03T00:00:00"/>
    <s v="C0041"/>
    <x v="3"/>
    <s v="Small Business"/>
    <x v="0"/>
    <x v="0"/>
    <s v="P010"/>
    <x v="6"/>
    <x v="4"/>
    <n v="1"/>
    <n v="1800"/>
    <x v="1"/>
    <n v="1530"/>
    <n v="402.81"/>
    <x v="5"/>
    <x v="2"/>
    <x v="4"/>
    <x v="0"/>
    <x v="11"/>
    <s v="Jan"/>
    <s v="Q1"/>
    <x v="17"/>
    <n v="8"/>
    <n v="26.33"/>
  </r>
  <r>
    <s v="ORD01005"/>
    <d v="2024-12-30T00:00:00"/>
    <d v="2025-01-01T00:00:00"/>
    <s v="C0201"/>
    <x v="150"/>
    <s v="Small Business"/>
    <x v="3"/>
    <x v="7"/>
    <s v="P012"/>
    <x v="4"/>
    <x v="3"/>
    <n v="3"/>
    <n v="3500"/>
    <x v="0"/>
    <n v="10500"/>
    <n v="2797.29"/>
    <x v="1"/>
    <x v="0"/>
    <x v="3"/>
    <x v="1"/>
    <x v="10"/>
    <s v="Dec"/>
    <s v="Q4"/>
    <x v="16"/>
    <n v="2"/>
    <n v="26.64"/>
  </r>
  <r>
    <s v="ORD01107"/>
    <d v="2025-04-30T00:00:00"/>
    <d v="2025-05-01T00:00:00"/>
    <s v="C0105"/>
    <x v="126"/>
    <s v="Corporate"/>
    <x v="0"/>
    <x v="10"/>
    <s v="P002"/>
    <x v="3"/>
    <x v="2"/>
    <n v="1"/>
    <n v="25000"/>
    <x v="4"/>
    <n v="22500"/>
    <n v="2961.65"/>
    <x v="2"/>
    <x v="1"/>
    <x v="0"/>
    <x v="0"/>
    <x v="5"/>
    <s v="Apr"/>
    <s v="Q2"/>
    <x v="13"/>
    <n v="1"/>
    <n v="13.16"/>
  </r>
  <r>
    <s v="ORD00396"/>
    <d v="2025-12-14T00:00:00"/>
    <d v="2025-12-18T00:00:00"/>
    <s v="C0180"/>
    <x v="89"/>
    <s v="Corporate"/>
    <x v="2"/>
    <x v="9"/>
    <s v="P010"/>
    <x v="6"/>
    <x v="4"/>
    <n v="2"/>
    <n v="1800"/>
    <x v="0"/>
    <n v="3600"/>
    <n v="1122.48"/>
    <x v="2"/>
    <x v="1"/>
    <x v="1"/>
    <x v="0"/>
    <x v="10"/>
    <s v="Dec"/>
    <s v="Q4"/>
    <x v="19"/>
    <n v="4"/>
    <n v="31.18"/>
  </r>
  <r>
    <s v="ORD00108"/>
    <d v="2024-01-24T00:00:00"/>
    <d v="2024-01-28T00:00:00"/>
    <s v="C0158"/>
    <x v="151"/>
    <s v="Small Business"/>
    <x v="2"/>
    <x v="9"/>
    <s v="P008"/>
    <x v="11"/>
    <x v="1"/>
    <n v="1"/>
    <n v="250"/>
    <x v="3"/>
    <n v="237.5"/>
    <n v="85.71"/>
    <x v="4"/>
    <x v="1"/>
    <x v="4"/>
    <x v="1"/>
    <x v="11"/>
    <s v="Jan"/>
    <s v="Q1"/>
    <x v="21"/>
    <n v="4"/>
    <n v="36.090000000000003"/>
  </r>
  <r>
    <s v="ORD00412"/>
    <d v="2024-12-27T00:00:00"/>
    <d v="2025-01-01T00:00:00"/>
    <s v="C0162"/>
    <x v="96"/>
    <s v="Corporate"/>
    <x v="0"/>
    <x v="0"/>
    <s v="P007"/>
    <x v="10"/>
    <x v="0"/>
    <n v="1"/>
    <n v="6000"/>
    <x v="2"/>
    <n v="4800"/>
    <n v="927.75"/>
    <x v="2"/>
    <x v="1"/>
    <x v="4"/>
    <x v="1"/>
    <x v="10"/>
    <s v="Dec"/>
    <s v="Q4"/>
    <x v="16"/>
    <n v="5"/>
    <n v="19.329999999999998"/>
  </r>
  <r>
    <s v="ORD00509"/>
    <d v="2024-05-14T00:00:00"/>
    <d v="2024-05-19T00:00:00"/>
    <s v="C0093"/>
    <x v="127"/>
    <s v="Consumer"/>
    <x v="0"/>
    <x v="11"/>
    <s v="P002"/>
    <x v="3"/>
    <x v="2"/>
    <n v="10"/>
    <n v="25000"/>
    <x v="0"/>
    <n v="250000"/>
    <n v="35588.400000000001"/>
    <x v="2"/>
    <x v="1"/>
    <x v="0"/>
    <x v="1"/>
    <x v="4"/>
    <s v="May"/>
    <s v="Q2"/>
    <x v="8"/>
    <n v="5"/>
    <n v="14.24"/>
  </r>
  <r>
    <s v="ORD01951"/>
    <d v="2025-03-22T00:00:00"/>
    <d v="2025-03-30T00:00:00"/>
    <s v="C0207"/>
    <x v="152"/>
    <s v="Small Business"/>
    <x v="2"/>
    <x v="3"/>
    <s v="P003"/>
    <x v="5"/>
    <x v="2"/>
    <n v="1"/>
    <n v="3000"/>
    <x v="0"/>
    <n v="3000"/>
    <n v="680.73"/>
    <x v="3"/>
    <x v="2"/>
    <x v="1"/>
    <x v="0"/>
    <x v="0"/>
    <s v="Mar"/>
    <s v="Q1"/>
    <x v="0"/>
    <n v="8"/>
    <n v="22.69"/>
  </r>
  <r>
    <s v="ORD01441"/>
    <d v="2025-10-05T00:00:00"/>
    <d v="2025-10-06T00:00:00"/>
    <s v="C0272"/>
    <x v="153"/>
    <s v="Small Business"/>
    <x v="3"/>
    <x v="8"/>
    <s v="P012"/>
    <x v="4"/>
    <x v="3"/>
    <n v="3"/>
    <n v="3500"/>
    <x v="2"/>
    <n v="8400"/>
    <n v="1951.87"/>
    <x v="2"/>
    <x v="0"/>
    <x v="4"/>
    <x v="0"/>
    <x v="1"/>
    <s v="Oct"/>
    <s v="Q4"/>
    <x v="14"/>
    <n v="1"/>
    <n v="23.24"/>
  </r>
  <r>
    <s v="ORD01522"/>
    <d v="2025-09-03T00:00:00"/>
    <d v="2025-09-08T00:00:00"/>
    <s v="C0006"/>
    <x v="138"/>
    <s v="Small Business"/>
    <x v="2"/>
    <x v="14"/>
    <s v="P012"/>
    <x v="4"/>
    <x v="3"/>
    <n v="1"/>
    <n v="3500"/>
    <x v="3"/>
    <n v="3325"/>
    <n v="904.36"/>
    <x v="0"/>
    <x v="2"/>
    <x v="1"/>
    <x v="0"/>
    <x v="9"/>
    <s v="Sep"/>
    <s v="Q3"/>
    <x v="11"/>
    <n v="5"/>
    <n v="27.2"/>
  </r>
  <r>
    <s v="ORD00310"/>
    <d v="2025-04-13T00:00:00"/>
    <d v="2025-04-15T00:00:00"/>
    <s v="C0210"/>
    <x v="29"/>
    <s v="Small Business"/>
    <x v="0"/>
    <x v="2"/>
    <s v="P010"/>
    <x v="6"/>
    <x v="4"/>
    <n v="1"/>
    <n v="1800"/>
    <x v="2"/>
    <n v="1440"/>
    <n v="497.08"/>
    <x v="0"/>
    <x v="1"/>
    <x v="2"/>
    <x v="0"/>
    <x v="5"/>
    <s v="Apr"/>
    <s v="Q2"/>
    <x v="13"/>
    <n v="2"/>
    <n v="34.520000000000003"/>
  </r>
  <r>
    <s v="ORD01880"/>
    <d v="2025-10-17T00:00:00"/>
    <d v="2025-10-22T00:00:00"/>
    <s v="C0216"/>
    <x v="154"/>
    <s v="Corporate"/>
    <x v="1"/>
    <x v="1"/>
    <s v="P012"/>
    <x v="4"/>
    <x v="3"/>
    <n v="2"/>
    <n v="3500"/>
    <x v="3"/>
    <n v="6650"/>
    <n v="1955.03"/>
    <x v="1"/>
    <x v="1"/>
    <x v="3"/>
    <x v="0"/>
    <x v="1"/>
    <s v="Oct"/>
    <s v="Q4"/>
    <x v="14"/>
    <n v="5"/>
    <n v="29.4"/>
  </r>
  <r>
    <s v="ORD00908"/>
    <d v="2024-03-14T00:00:00"/>
    <d v="2024-03-18T00:00:00"/>
    <s v="C0201"/>
    <x v="150"/>
    <s v="Small Business"/>
    <x v="3"/>
    <x v="7"/>
    <s v="P007"/>
    <x v="10"/>
    <x v="0"/>
    <n v="2"/>
    <n v="6000"/>
    <x v="0"/>
    <n v="12000"/>
    <n v="2341.2800000000002"/>
    <x v="5"/>
    <x v="2"/>
    <x v="0"/>
    <x v="1"/>
    <x v="0"/>
    <s v="Mar"/>
    <s v="Q1"/>
    <x v="2"/>
    <n v="4"/>
    <n v="19.510000000000002"/>
  </r>
  <r>
    <s v="ORD01345"/>
    <d v="2025-06-21T00:00:00"/>
    <d v="2025-06-25T00:00:00"/>
    <s v="C0194"/>
    <x v="139"/>
    <s v="Corporate"/>
    <x v="3"/>
    <x v="8"/>
    <s v="P010"/>
    <x v="6"/>
    <x v="4"/>
    <n v="1"/>
    <n v="1800"/>
    <x v="0"/>
    <n v="1800"/>
    <n v="444.76"/>
    <x v="2"/>
    <x v="1"/>
    <x v="3"/>
    <x v="0"/>
    <x v="8"/>
    <s v="Jun"/>
    <s v="Q2"/>
    <x v="10"/>
    <n v="4"/>
    <n v="24.71"/>
  </r>
  <r>
    <s v="ORD01637"/>
    <d v="2025-01-12T00:00:00"/>
    <d v="2025-01-16T00:00:00"/>
    <s v="C0165"/>
    <x v="42"/>
    <s v="Corporate"/>
    <x v="2"/>
    <x v="3"/>
    <s v="P011"/>
    <x v="9"/>
    <x v="4"/>
    <n v="1"/>
    <n v="600"/>
    <x v="0"/>
    <n v="600"/>
    <n v="162.91999999999999"/>
    <x v="2"/>
    <x v="2"/>
    <x v="4"/>
    <x v="0"/>
    <x v="11"/>
    <s v="Jan"/>
    <s v="Q1"/>
    <x v="17"/>
    <n v="4"/>
    <n v="27.15"/>
  </r>
  <r>
    <s v="ORD01874"/>
    <d v="2025-09-01T00:00:00"/>
    <d v="2025-09-03T00:00:00"/>
    <s v="C0044"/>
    <x v="123"/>
    <s v="Small Business"/>
    <x v="3"/>
    <x v="7"/>
    <s v="P005"/>
    <x v="0"/>
    <x v="0"/>
    <n v="2"/>
    <n v="7000"/>
    <x v="2"/>
    <n v="11200"/>
    <n v="2363.42"/>
    <x v="4"/>
    <x v="2"/>
    <x v="0"/>
    <x v="0"/>
    <x v="9"/>
    <s v="Sep"/>
    <s v="Q3"/>
    <x v="11"/>
    <n v="2"/>
    <n v="21.1"/>
  </r>
  <r>
    <s v="ORD01860"/>
    <d v="2025-07-30T00:00:00"/>
    <d v="2025-08-04T00:00:00"/>
    <s v="C0283"/>
    <x v="59"/>
    <s v="Small Business"/>
    <x v="1"/>
    <x v="13"/>
    <s v="P002"/>
    <x v="3"/>
    <x v="2"/>
    <n v="3"/>
    <n v="25000"/>
    <x v="2"/>
    <n v="60000"/>
    <n v="8847.0300000000007"/>
    <x v="1"/>
    <x v="0"/>
    <x v="4"/>
    <x v="0"/>
    <x v="3"/>
    <s v="Jul"/>
    <s v="Q3"/>
    <x v="15"/>
    <n v="5"/>
    <n v="14.75"/>
  </r>
  <r>
    <s v="ORD01540"/>
    <d v="2024-07-12T00:00:00"/>
    <d v="2024-07-14T00:00:00"/>
    <s v="C0246"/>
    <x v="8"/>
    <s v="Corporate"/>
    <x v="3"/>
    <x v="6"/>
    <s v="P004"/>
    <x v="7"/>
    <x v="2"/>
    <n v="3"/>
    <n v="8000"/>
    <x v="3"/>
    <n v="22800"/>
    <n v="5081.51"/>
    <x v="4"/>
    <x v="1"/>
    <x v="1"/>
    <x v="1"/>
    <x v="3"/>
    <s v="Jul"/>
    <s v="Q3"/>
    <x v="4"/>
    <n v="2"/>
    <n v="22.29"/>
  </r>
  <r>
    <s v="ORD00192"/>
    <d v="2024-04-28T00:00:00"/>
    <d v="2024-05-03T00:00:00"/>
    <s v="C0213"/>
    <x v="116"/>
    <s v="Corporate"/>
    <x v="3"/>
    <x v="7"/>
    <s v="P002"/>
    <x v="3"/>
    <x v="2"/>
    <n v="4"/>
    <n v="25000"/>
    <x v="1"/>
    <n v="85000"/>
    <n v="9647.5400000000009"/>
    <x v="3"/>
    <x v="1"/>
    <x v="2"/>
    <x v="1"/>
    <x v="5"/>
    <s v="Apr"/>
    <s v="Q2"/>
    <x v="6"/>
    <n v="5"/>
    <n v="11.35"/>
  </r>
  <r>
    <s v="ORD01849"/>
    <d v="2024-08-23T00:00:00"/>
    <d v="2024-08-25T00:00:00"/>
    <s v="C0212"/>
    <x v="50"/>
    <s v="Corporate"/>
    <x v="1"/>
    <x v="5"/>
    <s v="P009"/>
    <x v="2"/>
    <x v="1"/>
    <n v="1"/>
    <n v="180"/>
    <x v="3"/>
    <n v="171"/>
    <n v="62.37"/>
    <x v="0"/>
    <x v="0"/>
    <x v="0"/>
    <x v="1"/>
    <x v="7"/>
    <s v="Aug"/>
    <s v="Q3"/>
    <x v="9"/>
    <n v="2"/>
    <n v="36.47"/>
  </r>
  <r>
    <s v="ORD00870"/>
    <d v="2025-08-13T00:00:00"/>
    <d v="2025-08-21T00:00:00"/>
    <s v="C0156"/>
    <x v="155"/>
    <s v="Consumer"/>
    <x v="1"/>
    <x v="16"/>
    <s v="P005"/>
    <x v="0"/>
    <x v="0"/>
    <n v="2"/>
    <n v="7000"/>
    <x v="1"/>
    <n v="11900"/>
    <n v="2043.51"/>
    <x v="2"/>
    <x v="1"/>
    <x v="0"/>
    <x v="0"/>
    <x v="7"/>
    <s v="Aug"/>
    <s v="Q3"/>
    <x v="22"/>
    <n v="8"/>
    <n v="17.170000000000002"/>
  </r>
  <r>
    <s v="ORD01916"/>
    <d v="2025-10-30T00:00:00"/>
    <d v="2025-11-03T00:00:00"/>
    <s v="C0131"/>
    <x v="156"/>
    <s v="Corporate"/>
    <x v="1"/>
    <x v="5"/>
    <s v="P005"/>
    <x v="0"/>
    <x v="0"/>
    <n v="3"/>
    <n v="7000"/>
    <x v="0"/>
    <n v="21000"/>
    <n v="4601.09"/>
    <x v="2"/>
    <x v="0"/>
    <x v="2"/>
    <x v="0"/>
    <x v="1"/>
    <s v="Oct"/>
    <s v="Q4"/>
    <x v="14"/>
    <n v="4"/>
    <n v="21.91"/>
  </r>
  <r>
    <s v="ORD00922"/>
    <d v="2024-12-26T00:00:00"/>
    <d v="2024-12-27T00:00:00"/>
    <s v="C0161"/>
    <x v="62"/>
    <s v="Consumer"/>
    <x v="3"/>
    <x v="12"/>
    <s v="P009"/>
    <x v="2"/>
    <x v="1"/>
    <n v="2"/>
    <n v="180"/>
    <x v="1"/>
    <n v="306"/>
    <n v="101.84"/>
    <x v="4"/>
    <x v="0"/>
    <x v="2"/>
    <x v="1"/>
    <x v="10"/>
    <s v="Dec"/>
    <s v="Q4"/>
    <x v="16"/>
    <n v="1"/>
    <n v="33.28"/>
  </r>
  <r>
    <s v="ORD01938"/>
    <d v="2024-01-18T00:00:00"/>
    <d v="2024-01-21T00:00:00"/>
    <s v="C0002"/>
    <x v="157"/>
    <s v="Consumer"/>
    <x v="1"/>
    <x v="16"/>
    <s v="P004"/>
    <x v="7"/>
    <x v="2"/>
    <n v="2"/>
    <n v="8000"/>
    <x v="2"/>
    <n v="12800"/>
    <n v="2757.48"/>
    <x v="2"/>
    <x v="1"/>
    <x v="4"/>
    <x v="1"/>
    <x v="11"/>
    <s v="Jan"/>
    <s v="Q1"/>
    <x v="21"/>
    <n v="3"/>
    <n v="21.54"/>
  </r>
  <r>
    <s v="ORD00036"/>
    <d v="2024-08-08T00:00:00"/>
    <d v="2024-08-16T00:00:00"/>
    <s v="C0283"/>
    <x v="59"/>
    <s v="Small Business"/>
    <x v="1"/>
    <x v="13"/>
    <s v="P012"/>
    <x v="4"/>
    <x v="3"/>
    <n v="2"/>
    <n v="3500"/>
    <x v="0"/>
    <n v="7000"/>
    <n v="1938.78"/>
    <x v="0"/>
    <x v="1"/>
    <x v="3"/>
    <x v="1"/>
    <x v="7"/>
    <s v="Aug"/>
    <s v="Q3"/>
    <x v="9"/>
    <n v="8"/>
    <n v="27.7"/>
  </r>
  <r>
    <s v="ORD01577"/>
    <d v="2024-05-07T00:00:00"/>
    <d v="2024-05-10T00:00:00"/>
    <s v="C0092"/>
    <x v="40"/>
    <s v="Consumer"/>
    <x v="0"/>
    <x v="11"/>
    <s v="P009"/>
    <x v="2"/>
    <x v="1"/>
    <n v="3"/>
    <n v="180"/>
    <x v="4"/>
    <n v="486"/>
    <n v="219.65"/>
    <x v="4"/>
    <x v="2"/>
    <x v="2"/>
    <x v="1"/>
    <x v="4"/>
    <s v="May"/>
    <s v="Q2"/>
    <x v="8"/>
    <n v="3"/>
    <n v="45.2"/>
  </r>
  <r>
    <s v="ORD00270"/>
    <d v="2024-03-31T00:00:00"/>
    <d v="2024-04-06T00:00:00"/>
    <s v="C0086"/>
    <x v="158"/>
    <s v="Consumer"/>
    <x v="1"/>
    <x v="16"/>
    <s v="P011"/>
    <x v="9"/>
    <x v="4"/>
    <n v="4"/>
    <n v="600"/>
    <x v="1"/>
    <n v="2040"/>
    <n v="740.81"/>
    <x v="0"/>
    <x v="0"/>
    <x v="4"/>
    <x v="1"/>
    <x v="0"/>
    <s v="Mar"/>
    <s v="Q1"/>
    <x v="2"/>
    <n v="6"/>
    <n v="36.31"/>
  </r>
  <r>
    <s v="ORD00129"/>
    <d v="2025-05-22T00:00:00"/>
    <d v="2025-05-27T00:00:00"/>
    <s v="C0019"/>
    <x v="48"/>
    <s v="Consumer"/>
    <x v="2"/>
    <x v="4"/>
    <s v="P007"/>
    <x v="10"/>
    <x v="0"/>
    <n v="1"/>
    <n v="6000"/>
    <x v="1"/>
    <n v="5100"/>
    <n v="1327.86"/>
    <x v="2"/>
    <x v="0"/>
    <x v="4"/>
    <x v="0"/>
    <x v="4"/>
    <s v="May"/>
    <s v="Q2"/>
    <x v="5"/>
    <n v="5"/>
    <n v="26.04"/>
  </r>
  <r>
    <s v="ORD01517"/>
    <d v="2024-11-29T00:00:00"/>
    <d v="2024-12-06T00:00:00"/>
    <s v="C0251"/>
    <x v="159"/>
    <s v="Consumer"/>
    <x v="0"/>
    <x v="10"/>
    <s v="P002"/>
    <x v="3"/>
    <x v="2"/>
    <n v="3"/>
    <n v="25000"/>
    <x v="4"/>
    <n v="67500"/>
    <n v="10882.06"/>
    <x v="4"/>
    <x v="2"/>
    <x v="4"/>
    <x v="1"/>
    <x v="2"/>
    <s v="Nov"/>
    <s v="Q4"/>
    <x v="3"/>
    <n v="7"/>
    <n v="16.12"/>
  </r>
  <r>
    <s v="ORD00424"/>
    <d v="2025-06-13T00:00:00"/>
    <d v="2025-06-18T00:00:00"/>
    <s v="C0069"/>
    <x v="101"/>
    <s v="Small Business"/>
    <x v="0"/>
    <x v="0"/>
    <s v="P011"/>
    <x v="9"/>
    <x v="4"/>
    <n v="2"/>
    <n v="600"/>
    <x v="0"/>
    <n v="1200"/>
    <n v="462.44"/>
    <x v="3"/>
    <x v="2"/>
    <x v="1"/>
    <x v="0"/>
    <x v="8"/>
    <s v="Jun"/>
    <s v="Q2"/>
    <x v="10"/>
    <n v="5"/>
    <n v="38.54"/>
  </r>
  <r>
    <s v="ORD00674"/>
    <d v="2025-01-21T00:00:00"/>
    <d v="2025-01-29T00:00:00"/>
    <s v="C0012"/>
    <x v="160"/>
    <s v="Corporate"/>
    <x v="0"/>
    <x v="0"/>
    <s v="P006"/>
    <x v="1"/>
    <x v="0"/>
    <n v="2"/>
    <n v="9500"/>
    <x v="0"/>
    <n v="19000"/>
    <n v="3530.26"/>
    <x v="2"/>
    <x v="2"/>
    <x v="2"/>
    <x v="0"/>
    <x v="11"/>
    <s v="Jan"/>
    <s v="Q1"/>
    <x v="17"/>
    <n v="8"/>
    <n v="18.579999999999998"/>
  </r>
  <r>
    <s v="ORD00062"/>
    <d v="2024-09-15T00:00:00"/>
    <d v="2024-09-18T00:00:00"/>
    <s v="C0198"/>
    <x v="61"/>
    <s v="Consumer"/>
    <x v="0"/>
    <x v="0"/>
    <s v="P005"/>
    <x v="0"/>
    <x v="0"/>
    <n v="3"/>
    <n v="7000"/>
    <x v="1"/>
    <n v="17850"/>
    <n v="4263.8"/>
    <x v="3"/>
    <x v="0"/>
    <x v="1"/>
    <x v="1"/>
    <x v="9"/>
    <s v="Sep"/>
    <s v="Q3"/>
    <x v="20"/>
    <n v="3"/>
    <n v="23.89"/>
  </r>
  <r>
    <s v="ORD00711"/>
    <d v="2024-04-29T00:00:00"/>
    <d v="2024-05-04T00:00:00"/>
    <s v="C0073"/>
    <x v="147"/>
    <s v="Consumer"/>
    <x v="3"/>
    <x v="8"/>
    <s v="P005"/>
    <x v="0"/>
    <x v="0"/>
    <n v="1"/>
    <n v="7000"/>
    <x v="0"/>
    <n v="7000"/>
    <n v="1385.51"/>
    <x v="5"/>
    <x v="1"/>
    <x v="0"/>
    <x v="1"/>
    <x v="5"/>
    <s v="Apr"/>
    <s v="Q2"/>
    <x v="6"/>
    <n v="5"/>
    <n v="19.79"/>
  </r>
  <r>
    <s v="ORD01800"/>
    <d v="2024-01-07T00:00:00"/>
    <d v="2024-01-12T00:00:00"/>
    <s v="C0014"/>
    <x v="161"/>
    <s v="Small Business"/>
    <x v="1"/>
    <x v="5"/>
    <s v="P003"/>
    <x v="5"/>
    <x v="2"/>
    <n v="4"/>
    <n v="3000"/>
    <x v="0"/>
    <n v="12000"/>
    <n v="3600"/>
    <x v="3"/>
    <x v="2"/>
    <x v="2"/>
    <x v="1"/>
    <x v="11"/>
    <s v="Jan"/>
    <s v="Q1"/>
    <x v="21"/>
    <n v="5"/>
    <n v="30"/>
  </r>
  <r>
    <s v="ORD01936"/>
    <d v="2024-11-22T00:00:00"/>
    <d v="2024-11-23T00:00:00"/>
    <s v="C0284"/>
    <x v="73"/>
    <s v="Corporate"/>
    <x v="0"/>
    <x v="10"/>
    <s v="P005"/>
    <x v="0"/>
    <x v="0"/>
    <n v="2"/>
    <n v="7000"/>
    <x v="0"/>
    <n v="14000"/>
    <n v="2882.43"/>
    <x v="0"/>
    <x v="1"/>
    <x v="0"/>
    <x v="1"/>
    <x v="2"/>
    <s v="Nov"/>
    <s v="Q4"/>
    <x v="3"/>
    <n v="1"/>
    <n v="20.59"/>
  </r>
  <r>
    <s v="ORD00419"/>
    <d v="2024-01-09T00:00:00"/>
    <d v="2024-01-11T00:00:00"/>
    <s v="C0162"/>
    <x v="96"/>
    <s v="Corporate"/>
    <x v="0"/>
    <x v="0"/>
    <s v="P012"/>
    <x v="4"/>
    <x v="3"/>
    <n v="1"/>
    <n v="3500"/>
    <x v="0"/>
    <n v="3500"/>
    <n v="953.98"/>
    <x v="6"/>
    <x v="1"/>
    <x v="1"/>
    <x v="1"/>
    <x v="11"/>
    <s v="Jan"/>
    <s v="Q1"/>
    <x v="21"/>
    <n v="2"/>
    <n v="27.26"/>
  </r>
  <r>
    <s v="ORD00805"/>
    <d v="2024-10-28T00:00:00"/>
    <d v="2024-11-01T00:00:00"/>
    <s v="C0287"/>
    <x v="2"/>
    <s v="Corporate"/>
    <x v="0"/>
    <x v="2"/>
    <s v="P001"/>
    <x v="8"/>
    <x v="2"/>
    <n v="2"/>
    <n v="55000"/>
    <x v="4"/>
    <n v="99000"/>
    <n v="17833.990000000002"/>
    <x v="1"/>
    <x v="2"/>
    <x v="2"/>
    <x v="1"/>
    <x v="1"/>
    <s v="Oct"/>
    <s v="Q4"/>
    <x v="1"/>
    <n v="4"/>
    <n v="18.010000000000002"/>
  </r>
  <r>
    <s v="ORD01753"/>
    <d v="2024-01-20T00:00:00"/>
    <d v="2024-01-28T00:00:00"/>
    <s v="C0071"/>
    <x v="162"/>
    <s v="Small Business"/>
    <x v="3"/>
    <x v="6"/>
    <s v="P006"/>
    <x v="1"/>
    <x v="0"/>
    <n v="2"/>
    <n v="9500"/>
    <x v="0"/>
    <n v="19000"/>
    <n v="3793.71"/>
    <x v="5"/>
    <x v="2"/>
    <x v="0"/>
    <x v="1"/>
    <x v="11"/>
    <s v="Jan"/>
    <s v="Q1"/>
    <x v="21"/>
    <n v="8"/>
    <n v="19.97"/>
  </r>
  <r>
    <s v="ORD00267"/>
    <d v="2025-09-20T00:00:00"/>
    <d v="2025-09-23T00:00:00"/>
    <s v="C0288"/>
    <x v="163"/>
    <s v="Corporate"/>
    <x v="1"/>
    <x v="5"/>
    <s v="P012"/>
    <x v="4"/>
    <x v="3"/>
    <n v="3"/>
    <n v="3500"/>
    <x v="0"/>
    <n v="10500"/>
    <n v="3246.47"/>
    <x v="0"/>
    <x v="1"/>
    <x v="4"/>
    <x v="0"/>
    <x v="9"/>
    <s v="Sep"/>
    <s v="Q3"/>
    <x v="11"/>
    <n v="3"/>
    <n v="30.92"/>
  </r>
  <r>
    <s v="ORD01614"/>
    <d v="2024-03-16T00:00:00"/>
    <d v="2024-03-20T00:00:00"/>
    <s v="C0065"/>
    <x v="164"/>
    <s v="Consumer"/>
    <x v="0"/>
    <x v="11"/>
    <s v="P003"/>
    <x v="5"/>
    <x v="2"/>
    <n v="1"/>
    <n v="3000"/>
    <x v="0"/>
    <n v="3000"/>
    <n v="877.58"/>
    <x v="5"/>
    <x v="1"/>
    <x v="0"/>
    <x v="1"/>
    <x v="0"/>
    <s v="Mar"/>
    <s v="Q1"/>
    <x v="2"/>
    <n v="4"/>
    <n v="29.25"/>
  </r>
  <r>
    <s v="ORD00809"/>
    <d v="2024-05-10T00:00:00"/>
    <d v="2024-05-16T00:00:00"/>
    <s v="C0023"/>
    <x v="132"/>
    <s v="Small Business"/>
    <x v="1"/>
    <x v="16"/>
    <s v="P001"/>
    <x v="8"/>
    <x v="2"/>
    <n v="1"/>
    <n v="55000"/>
    <x v="3"/>
    <n v="52250"/>
    <n v="8513.8799999999992"/>
    <x v="3"/>
    <x v="2"/>
    <x v="1"/>
    <x v="1"/>
    <x v="4"/>
    <s v="May"/>
    <s v="Q2"/>
    <x v="8"/>
    <n v="6"/>
    <n v="16.29"/>
  </r>
  <r>
    <s v="ORD00806"/>
    <d v="2025-01-28T00:00:00"/>
    <d v="2025-01-30T00:00:00"/>
    <s v="C0006"/>
    <x v="138"/>
    <s v="Small Business"/>
    <x v="2"/>
    <x v="14"/>
    <s v="P008"/>
    <x v="11"/>
    <x v="1"/>
    <n v="2"/>
    <n v="250"/>
    <x v="3"/>
    <n v="475"/>
    <n v="199.88"/>
    <x v="3"/>
    <x v="2"/>
    <x v="3"/>
    <x v="0"/>
    <x v="11"/>
    <s v="Jan"/>
    <s v="Q1"/>
    <x v="17"/>
    <n v="2"/>
    <n v="42.08"/>
  </r>
  <r>
    <s v="ORD01257"/>
    <d v="2024-05-11T00:00:00"/>
    <d v="2024-05-12T00:00:00"/>
    <s v="C0083"/>
    <x v="165"/>
    <s v="Corporate"/>
    <x v="0"/>
    <x v="15"/>
    <s v="P006"/>
    <x v="1"/>
    <x v="0"/>
    <n v="2"/>
    <n v="9500"/>
    <x v="3"/>
    <n v="18050"/>
    <n v="3518.02"/>
    <x v="0"/>
    <x v="2"/>
    <x v="0"/>
    <x v="1"/>
    <x v="4"/>
    <s v="May"/>
    <s v="Q2"/>
    <x v="8"/>
    <n v="1"/>
    <n v="19.489999999999998"/>
  </r>
  <r>
    <s v="ORD00068"/>
    <d v="2025-11-23T00:00:00"/>
    <d v="2025-12-01T00:00:00"/>
    <s v="C0211"/>
    <x v="166"/>
    <s v="Consumer"/>
    <x v="3"/>
    <x v="8"/>
    <s v="P006"/>
    <x v="1"/>
    <x v="0"/>
    <n v="10"/>
    <n v="9500"/>
    <x v="4"/>
    <n v="85500"/>
    <n v="13918.91"/>
    <x v="4"/>
    <x v="2"/>
    <x v="2"/>
    <x v="0"/>
    <x v="2"/>
    <s v="Nov"/>
    <s v="Q4"/>
    <x v="23"/>
    <n v="8"/>
    <n v="16.28"/>
  </r>
  <r>
    <s v="ORD00254"/>
    <d v="2024-02-21T00:00:00"/>
    <d v="2024-02-28T00:00:00"/>
    <s v="C0022"/>
    <x v="167"/>
    <s v="Corporate"/>
    <x v="1"/>
    <x v="16"/>
    <s v="P008"/>
    <x v="11"/>
    <x v="1"/>
    <n v="1"/>
    <n v="250"/>
    <x v="4"/>
    <n v="225"/>
    <n v="78.59"/>
    <x v="0"/>
    <x v="0"/>
    <x v="0"/>
    <x v="1"/>
    <x v="6"/>
    <s v="Feb"/>
    <s v="Q1"/>
    <x v="18"/>
    <n v="7"/>
    <n v="34.93"/>
  </r>
  <r>
    <s v="ORD00732"/>
    <d v="2025-11-02T00:00:00"/>
    <d v="2025-11-10T00:00:00"/>
    <s v="C0007"/>
    <x v="168"/>
    <s v="Consumer"/>
    <x v="0"/>
    <x v="11"/>
    <s v="P003"/>
    <x v="5"/>
    <x v="2"/>
    <n v="3"/>
    <n v="3000"/>
    <x v="2"/>
    <n v="7200"/>
    <n v="2080.27"/>
    <x v="3"/>
    <x v="2"/>
    <x v="1"/>
    <x v="0"/>
    <x v="2"/>
    <s v="Nov"/>
    <s v="Q4"/>
    <x v="23"/>
    <n v="8"/>
    <n v="28.89"/>
  </r>
  <r>
    <s v="ORD01763"/>
    <d v="2025-10-05T00:00:00"/>
    <d v="2025-10-11T00:00:00"/>
    <s v="C0094"/>
    <x v="76"/>
    <s v="Corporate"/>
    <x v="3"/>
    <x v="8"/>
    <s v="P002"/>
    <x v="3"/>
    <x v="2"/>
    <n v="2"/>
    <n v="25000"/>
    <x v="3"/>
    <n v="47500"/>
    <n v="5476.62"/>
    <x v="5"/>
    <x v="1"/>
    <x v="1"/>
    <x v="0"/>
    <x v="1"/>
    <s v="Oct"/>
    <s v="Q4"/>
    <x v="14"/>
    <n v="6"/>
    <n v="11.53"/>
  </r>
  <r>
    <s v="ORD01001"/>
    <d v="2025-01-06T00:00:00"/>
    <d v="2025-01-10T00:00:00"/>
    <s v="C0054"/>
    <x v="169"/>
    <s v="Small Business"/>
    <x v="2"/>
    <x v="14"/>
    <s v="P002"/>
    <x v="3"/>
    <x v="2"/>
    <n v="2"/>
    <n v="25000"/>
    <x v="2"/>
    <n v="40000"/>
    <n v="5005.13"/>
    <x v="3"/>
    <x v="0"/>
    <x v="1"/>
    <x v="0"/>
    <x v="11"/>
    <s v="Jan"/>
    <s v="Q1"/>
    <x v="17"/>
    <n v="4"/>
    <n v="12.51"/>
  </r>
  <r>
    <s v="ORD01113"/>
    <d v="2025-04-14T00:00:00"/>
    <d v="2025-04-18T00:00:00"/>
    <s v="C0240"/>
    <x v="170"/>
    <s v="Corporate"/>
    <x v="1"/>
    <x v="16"/>
    <s v="P012"/>
    <x v="4"/>
    <x v="3"/>
    <n v="1"/>
    <n v="3500"/>
    <x v="0"/>
    <n v="3500"/>
    <n v="944.27"/>
    <x v="3"/>
    <x v="2"/>
    <x v="1"/>
    <x v="0"/>
    <x v="5"/>
    <s v="Apr"/>
    <s v="Q2"/>
    <x v="13"/>
    <n v="4"/>
    <n v="26.98"/>
  </r>
  <r>
    <s v="ORD00436"/>
    <d v="2025-10-17T00:00:00"/>
    <d v="2025-10-21T00:00:00"/>
    <s v="C0223"/>
    <x v="34"/>
    <s v="Corporate"/>
    <x v="1"/>
    <x v="13"/>
    <s v="P009"/>
    <x v="2"/>
    <x v="1"/>
    <n v="1"/>
    <n v="180"/>
    <x v="0"/>
    <n v="180"/>
    <n v="72.31"/>
    <x v="2"/>
    <x v="1"/>
    <x v="4"/>
    <x v="0"/>
    <x v="1"/>
    <s v="Oct"/>
    <s v="Q4"/>
    <x v="14"/>
    <n v="4"/>
    <n v="40.17"/>
  </r>
  <r>
    <s v="ORD01898"/>
    <d v="2024-07-31T00:00:00"/>
    <d v="2024-08-03T00:00:00"/>
    <s v="C0285"/>
    <x v="171"/>
    <s v="Corporate"/>
    <x v="3"/>
    <x v="6"/>
    <s v="P007"/>
    <x v="10"/>
    <x v="0"/>
    <n v="2"/>
    <n v="6000"/>
    <x v="0"/>
    <n v="12000"/>
    <n v="2489.23"/>
    <x v="2"/>
    <x v="2"/>
    <x v="1"/>
    <x v="1"/>
    <x v="3"/>
    <s v="Jul"/>
    <s v="Q3"/>
    <x v="4"/>
    <n v="3"/>
    <n v="20.74"/>
  </r>
  <r>
    <s v="ORD01521"/>
    <d v="2024-03-14T00:00:00"/>
    <d v="2024-03-21T00:00:00"/>
    <s v="C0096"/>
    <x v="172"/>
    <s v="Consumer"/>
    <x v="1"/>
    <x v="1"/>
    <s v="P011"/>
    <x v="9"/>
    <x v="4"/>
    <n v="1"/>
    <n v="600"/>
    <x v="3"/>
    <n v="570"/>
    <n v="234.02"/>
    <x v="3"/>
    <x v="2"/>
    <x v="0"/>
    <x v="1"/>
    <x v="0"/>
    <s v="Mar"/>
    <s v="Q1"/>
    <x v="2"/>
    <n v="7"/>
    <n v="41.06"/>
  </r>
  <r>
    <s v="ORD01491"/>
    <d v="2024-04-01T00:00:00"/>
    <d v="2024-04-06T00:00:00"/>
    <s v="C0080"/>
    <x v="173"/>
    <s v="Corporate"/>
    <x v="2"/>
    <x v="9"/>
    <s v="P009"/>
    <x v="2"/>
    <x v="1"/>
    <n v="4"/>
    <n v="180"/>
    <x v="3"/>
    <n v="684"/>
    <n v="235.04"/>
    <x v="4"/>
    <x v="0"/>
    <x v="3"/>
    <x v="1"/>
    <x v="5"/>
    <s v="Apr"/>
    <s v="Q2"/>
    <x v="6"/>
    <n v="5"/>
    <n v="34.36"/>
  </r>
  <r>
    <s v="ORD00832"/>
    <d v="2025-02-19T00:00:00"/>
    <d v="2025-02-27T00:00:00"/>
    <s v="C0178"/>
    <x v="174"/>
    <s v="Corporate"/>
    <x v="3"/>
    <x v="6"/>
    <s v="P007"/>
    <x v="10"/>
    <x v="0"/>
    <n v="4"/>
    <n v="6000"/>
    <x v="2"/>
    <n v="19200"/>
    <n v="4433.46"/>
    <x v="5"/>
    <x v="2"/>
    <x v="2"/>
    <x v="0"/>
    <x v="6"/>
    <s v="Feb"/>
    <s v="Q1"/>
    <x v="7"/>
    <n v="8"/>
    <n v="23.09"/>
  </r>
  <r>
    <s v="ORD01400"/>
    <d v="2024-01-21T00:00:00"/>
    <d v="2024-01-22T00:00:00"/>
    <s v="C0269"/>
    <x v="102"/>
    <s v="Consumer"/>
    <x v="2"/>
    <x v="3"/>
    <s v="P005"/>
    <x v="0"/>
    <x v="0"/>
    <n v="4"/>
    <n v="7000"/>
    <x v="0"/>
    <n v="28000"/>
    <n v="6731.67"/>
    <x v="5"/>
    <x v="1"/>
    <x v="3"/>
    <x v="1"/>
    <x v="11"/>
    <s v="Jan"/>
    <s v="Q1"/>
    <x v="21"/>
    <n v="1"/>
    <n v="24.04"/>
  </r>
  <r>
    <s v="ORD00406"/>
    <d v="2025-12-16T00:00:00"/>
    <d v="2025-12-17T00:00:00"/>
    <s v="C0262"/>
    <x v="175"/>
    <s v="Corporate"/>
    <x v="0"/>
    <x v="15"/>
    <s v="P009"/>
    <x v="2"/>
    <x v="1"/>
    <n v="1"/>
    <n v="180"/>
    <x v="0"/>
    <n v="180"/>
    <n v="68.36"/>
    <x v="4"/>
    <x v="0"/>
    <x v="4"/>
    <x v="0"/>
    <x v="10"/>
    <s v="Dec"/>
    <s v="Q4"/>
    <x v="19"/>
    <n v="1"/>
    <n v="37.979999999999997"/>
  </r>
  <r>
    <s v="ORD00311"/>
    <d v="2024-02-29T00:00:00"/>
    <d v="2024-03-03T00:00:00"/>
    <s v="C0161"/>
    <x v="62"/>
    <s v="Consumer"/>
    <x v="3"/>
    <x v="12"/>
    <s v="P011"/>
    <x v="9"/>
    <x v="4"/>
    <n v="1"/>
    <n v="600"/>
    <x v="0"/>
    <n v="600"/>
    <n v="178.7"/>
    <x v="6"/>
    <x v="0"/>
    <x v="0"/>
    <x v="1"/>
    <x v="6"/>
    <s v="Feb"/>
    <s v="Q1"/>
    <x v="18"/>
    <n v="3"/>
    <n v="29.78"/>
  </r>
  <r>
    <s v="ORD00579"/>
    <d v="2025-05-08T00:00:00"/>
    <d v="2025-05-14T00:00:00"/>
    <s v="C0197"/>
    <x v="176"/>
    <s v="Small Business"/>
    <x v="1"/>
    <x v="16"/>
    <s v="P012"/>
    <x v="4"/>
    <x v="3"/>
    <n v="1"/>
    <n v="3500"/>
    <x v="4"/>
    <n v="3150"/>
    <n v="1082.6099999999999"/>
    <x v="3"/>
    <x v="2"/>
    <x v="4"/>
    <x v="0"/>
    <x v="4"/>
    <s v="May"/>
    <s v="Q2"/>
    <x v="5"/>
    <n v="6"/>
    <n v="34.369999999999997"/>
  </r>
  <r>
    <s v="ORD01103"/>
    <d v="2024-04-19T00:00:00"/>
    <d v="2024-04-27T00:00:00"/>
    <s v="C0139"/>
    <x v="177"/>
    <s v="Consumer"/>
    <x v="2"/>
    <x v="4"/>
    <s v="P011"/>
    <x v="9"/>
    <x v="4"/>
    <n v="1"/>
    <n v="600"/>
    <x v="0"/>
    <n v="600"/>
    <n v="234.56"/>
    <x v="5"/>
    <x v="1"/>
    <x v="3"/>
    <x v="1"/>
    <x v="5"/>
    <s v="Apr"/>
    <s v="Q2"/>
    <x v="6"/>
    <n v="8"/>
    <n v="39.090000000000003"/>
  </r>
  <r>
    <s v="ORD01871"/>
    <d v="2025-07-01T00:00:00"/>
    <d v="2025-07-07T00:00:00"/>
    <s v="C0134"/>
    <x v="178"/>
    <s v="Small Business"/>
    <x v="1"/>
    <x v="16"/>
    <s v="P005"/>
    <x v="0"/>
    <x v="0"/>
    <n v="1"/>
    <n v="7000"/>
    <x v="2"/>
    <n v="5600"/>
    <n v="921.66"/>
    <x v="1"/>
    <x v="2"/>
    <x v="2"/>
    <x v="0"/>
    <x v="3"/>
    <s v="Jul"/>
    <s v="Q3"/>
    <x v="15"/>
    <n v="6"/>
    <n v="16.46"/>
  </r>
  <r>
    <s v="ORD01607"/>
    <d v="2024-05-16T00:00:00"/>
    <d v="2024-05-22T00:00:00"/>
    <s v="C0091"/>
    <x v="21"/>
    <s v="Corporate"/>
    <x v="0"/>
    <x v="10"/>
    <s v="P001"/>
    <x v="8"/>
    <x v="2"/>
    <n v="1"/>
    <n v="55000"/>
    <x v="2"/>
    <n v="44000"/>
    <n v="6705.92"/>
    <x v="5"/>
    <x v="2"/>
    <x v="3"/>
    <x v="1"/>
    <x v="4"/>
    <s v="May"/>
    <s v="Q2"/>
    <x v="8"/>
    <n v="6"/>
    <n v="15.24"/>
  </r>
  <r>
    <s v="ORD00368"/>
    <d v="2024-02-01T00:00:00"/>
    <d v="2024-02-08T00:00:00"/>
    <s v="C0203"/>
    <x v="179"/>
    <s v="Consumer"/>
    <x v="1"/>
    <x v="13"/>
    <s v="P011"/>
    <x v="9"/>
    <x v="4"/>
    <n v="2"/>
    <n v="600"/>
    <x v="4"/>
    <n v="1080"/>
    <n v="323.37"/>
    <x v="1"/>
    <x v="1"/>
    <x v="2"/>
    <x v="1"/>
    <x v="6"/>
    <s v="Feb"/>
    <s v="Q1"/>
    <x v="18"/>
    <n v="7"/>
    <n v="29.94"/>
  </r>
  <r>
    <s v="ORD01812"/>
    <d v="2025-03-26T00:00:00"/>
    <d v="2025-03-28T00:00:00"/>
    <s v="C0094"/>
    <x v="76"/>
    <s v="Corporate"/>
    <x v="3"/>
    <x v="8"/>
    <s v="P012"/>
    <x v="4"/>
    <x v="3"/>
    <n v="10"/>
    <n v="3500"/>
    <x v="1"/>
    <n v="29750"/>
    <n v="8449.09"/>
    <x v="0"/>
    <x v="2"/>
    <x v="2"/>
    <x v="0"/>
    <x v="0"/>
    <s v="Mar"/>
    <s v="Q1"/>
    <x v="0"/>
    <n v="2"/>
    <n v="28.4"/>
  </r>
  <r>
    <s v="ORD00113"/>
    <d v="2025-05-27T00:00:00"/>
    <d v="2025-06-02T00:00:00"/>
    <s v="C0261"/>
    <x v="180"/>
    <s v="Consumer"/>
    <x v="2"/>
    <x v="3"/>
    <s v="P007"/>
    <x v="10"/>
    <x v="0"/>
    <n v="1"/>
    <n v="6000"/>
    <x v="0"/>
    <n v="6000"/>
    <n v="1086.93"/>
    <x v="0"/>
    <x v="2"/>
    <x v="0"/>
    <x v="0"/>
    <x v="4"/>
    <s v="May"/>
    <s v="Q2"/>
    <x v="5"/>
    <n v="6"/>
    <n v="18.12"/>
  </r>
  <r>
    <s v="ORD00735"/>
    <d v="2024-03-29T00:00:00"/>
    <d v="2024-04-05T00:00:00"/>
    <s v="C0276"/>
    <x v="181"/>
    <s v="Consumer"/>
    <x v="1"/>
    <x v="13"/>
    <s v="P004"/>
    <x v="7"/>
    <x v="2"/>
    <n v="1"/>
    <n v="8000"/>
    <x v="3"/>
    <n v="7600"/>
    <n v="1442.61"/>
    <x v="2"/>
    <x v="0"/>
    <x v="2"/>
    <x v="1"/>
    <x v="0"/>
    <s v="Mar"/>
    <s v="Q1"/>
    <x v="2"/>
    <n v="7"/>
    <n v="18.98"/>
  </r>
  <r>
    <s v="ORD00957"/>
    <d v="2024-02-23T00:00:00"/>
    <d v="2024-03-02T00:00:00"/>
    <s v="C0021"/>
    <x v="75"/>
    <s v="Small Business"/>
    <x v="1"/>
    <x v="1"/>
    <s v="P001"/>
    <x v="8"/>
    <x v="2"/>
    <n v="3"/>
    <n v="55000"/>
    <x v="0"/>
    <n v="165000"/>
    <n v="23308.29"/>
    <x v="6"/>
    <x v="2"/>
    <x v="3"/>
    <x v="1"/>
    <x v="6"/>
    <s v="Feb"/>
    <s v="Q1"/>
    <x v="18"/>
    <n v="8"/>
    <n v="14.13"/>
  </r>
  <r>
    <s v="ORD00245"/>
    <d v="2025-06-01T00:00:00"/>
    <d v="2025-06-02T00:00:00"/>
    <s v="C0298"/>
    <x v="182"/>
    <s v="Consumer"/>
    <x v="0"/>
    <x v="10"/>
    <s v="P002"/>
    <x v="3"/>
    <x v="2"/>
    <n v="1"/>
    <n v="25000"/>
    <x v="2"/>
    <n v="20000"/>
    <n v="2573.2199999999998"/>
    <x v="0"/>
    <x v="2"/>
    <x v="2"/>
    <x v="0"/>
    <x v="8"/>
    <s v="Jun"/>
    <s v="Q2"/>
    <x v="10"/>
    <n v="1"/>
    <n v="12.87"/>
  </r>
  <r>
    <s v="ORD01051"/>
    <d v="2024-07-29T00:00:00"/>
    <d v="2024-08-06T00:00:00"/>
    <s v="C0160"/>
    <x v="183"/>
    <s v="Corporate"/>
    <x v="2"/>
    <x v="9"/>
    <s v="P003"/>
    <x v="5"/>
    <x v="2"/>
    <n v="5"/>
    <n v="3000"/>
    <x v="3"/>
    <n v="14250"/>
    <n v="3733.74"/>
    <x v="0"/>
    <x v="2"/>
    <x v="4"/>
    <x v="1"/>
    <x v="3"/>
    <s v="Jul"/>
    <s v="Q3"/>
    <x v="4"/>
    <n v="8"/>
    <n v="26.2"/>
  </r>
  <r>
    <s v="ORD00216"/>
    <d v="2024-12-17T00:00:00"/>
    <d v="2024-12-25T00:00:00"/>
    <s v="C0290"/>
    <x v="71"/>
    <s v="Consumer"/>
    <x v="3"/>
    <x v="7"/>
    <s v="P008"/>
    <x v="11"/>
    <x v="1"/>
    <n v="3"/>
    <n v="250"/>
    <x v="0"/>
    <n v="750"/>
    <n v="221.95"/>
    <x v="2"/>
    <x v="0"/>
    <x v="2"/>
    <x v="1"/>
    <x v="10"/>
    <s v="Dec"/>
    <s v="Q4"/>
    <x v="16"/>
    <n v="8"/>
    <n v="29.59"/>
  </r>
  <r>
    <s v="ORD00649"/>
    <d v="2024-07-20T00:00:00"/>
    <d v="2024-07-21T00:00:00"/>
    <s v="C0221"/>
    <x v="128"/>
    <s v="Consumer"/>
    <x v="3"/>
    <x v="8"/>
    <s v="P001"/>
    <x v="8"/>
    <x v="2"/>
    <n v="1"/>
    <n v="55000"/>
    <x v="2"/>
    <n v="44000"/>
    <n v="7634.21"/>
    <x v="6"/>
    <x v="0"/>
    <x v="4"/>
    <x v="1"/>
    <x v="3"/>
    <s v="Jul"/>
    <s v="Q3"/>
    <x v="4"/>
    <n v="1"/>
    <n v="17.350000000000001"/>
  </r>
  <r>
    <s v="ORD00675"/>
    <d v="2025-05-29T00:00:00"/>
    <d v="2025-06-03T00:00:00"/>
    <s v="C0173"/>
    <x v="184"/>
    <s v="Corporate"/>
    <x v="1"/>
    <x v="16"/>
    <s v="P008"/>
    <x v="11"/>
    <x v="1"/>
    <n v="4"/>
    <n v="250"/>
    <x v="1"/>
    <n v="850"/>
    <n v="284.18"/>
    <x v="3"/>
    <x v="1"/>
    <x v="2"/>
    <x v="0"/>
    <x v="4"/>
    <s v="May"/>
    <s v="Q2"/>
    <x v="5"/>
    <n v="5"/>
    <n v="33.43"/>
  </r>
  <r>
    <s v="ORD00334"/>
    <d v="2024-09-03T00:00:00"/>
    <d v="2024-09-07T00:00:00"/>
    <s v="C0252"/>
    <x v="7"/>
    <s v="Consumer"/>
    <x v="1"/>
    <x v="5"/>
    <s v="P006"/>
    <x v="1"/>
    <x v="0"/>
    <n v="1"/>
    <n v="9500"/>
    <x v="0"/>
    <n v="9500"/>
    <n v="1368.27"/>
    <x v="1"/>
    <x v="2"/>
    <x v="0"/>
    <x v="1"/>
    <x v="9"/>
    <s v="Sep"/>
    <s v="Q3"/>
    <x v="20"/>
    <n v="4"/>
    <n v="14.4"/>
  </r>
  <r>
    <s v="ORD00680"/>
    <d v="2025-12-21T00:00:00"/>
    <d v="2025-12-29T00:00:00"/>
    <s v="C0010"/>
    <x v="185"/>
    <s v="Corporate"/>
    <x v="3"/>
    <x v="8"/>
    <s v="P011"/>
    <x v="9"/>
    <x v="4"/>
    <n v="1"/>
    <n v="600"/>
    <x v="3"/>
    <n v="570"/>
    <n v="170.07"/>
    <x v="3"/>
    <x v="2"/>
    <x v="1"/>
    <x v="0"/>
    <x v="10"/>
    <s v="Dec"/>
    <s v="Q4"/>
    <x v="19"/>
    <n v="8"/>
    <n v="29.84"/>
  </r>
  <r>
    <s v="ORD01670"/>
    <d v="2025-12-07T00:00:00"/>
    <d v="2025-12-08T00:00:00"/>
    <s v="C0288"/>
    <x v="163"/>
    <s v="Corporate"/>
    <x v="1"/>
    <x v="5"/>
    <s v="P001"/>
    <x v="8"/>
    <x v="2"/>
    <n v="2"/>
    <n v="55000"/>
    <x v="0"/>
    <n v="110000"/>
    <n v="15691.93"/>
    <x v="4"/>
    <x v="1"/>
    <x v="0"/>
    <x v="0"/>
    <x v="10"/>
    <s v="Dec"/>
    <s v="Q4"/>
    <x v="19"/>
    <n v="1"/>
    <n v="14.27"/>
  </r>
  <r>
    <s v="ORD00795"/>
    <d v="2024-07-17T00:00:00"/>
    <d v="2024-07-20T00:00:00"/>
    <s v="C0088"/>
    <x v="186"/>
    <s v="Corporate"/>
    <x v="0"/>
    <x v="11"/>
    <s v="P009"/>
    <x v="2"/>
    <x v="1"/>
    <n v="3"/>
    <n v="180"/>
    <x v="4"/>
    <n v="486"/>
    <n v="211.89"/>
    <x v="2"/>
    <x v="2"/>
    <x v="2"/>
    <x v="1"/>
    <x v="3"/>
    <s v="Jul"/>
    <s v="Q3"/>
    <x v="4"/>
    <n v="3"/>
    <n v="43.6"/>
  </r>
  <r>
    <s v="ORD01940"/>
    <d v="2025-02-03T00:00:00"/>
    <d v="2025-02-10T00:00:00"/>
    <s v="C0222"/>
    <x v="143"/>
    <s v="Corporate"/>
    <x v="3"/>
    <x v="12"/>
    <s v="P011"/>
    <x v="9"/>
    <x v="4"/>
    <n v="2"/>
    <n v="600"/>
    <x v="0"/>
    <n v="1200"/>
    <n v="332.67"/>
    <x v="3"/>
    <x v="1"/>
    <x v="3"/>
    <x v="0"/>
    <x v="6"/>
    <s v="Feb"/>
    <s v="Q1"/>
    <x v="7"/>
    <n v="7"/>
    <n v="27.72"/>
  </r>
  <r>
    <s v="ORD00749"/>
    <d v="2025-05-25T00:00:00"/>
    <d v="2025-05-31T00:00:00"/>
    <s v="C0227"/>
    <x v="187"/>
    <s v="Small Business"/>
    <x v="2"/>
    <x v="9"/>
    <s v="P009"/>
    <x v="2"/>
    <x v="1"/>
    <n v="3"/>
    <n v="180"/>
    <x v="0"/>
    <n v="540"/>
    <n v="185.1"/>
    <x v="3"/>
    <x v="0"/>
    <x v="3"/>
    <x v="0"/>
    <x v="4"/>
    <s v="May"/>
    <s v="Q2"/>
    <x v="5"/>
    <n v="6"/>
    <n v="34.28"/>
  </r>
  <r>
    <s v="ORD00120"/>
    <d v="2025-05-04T00:00:00"/>
    <d v="2025-05-12T00:00:00"/>
    <s v="C0167"/>
    <x v="188"/>
    <s v="Small Business"/>
    <x v="1"/>
    <x v="1"/>
    <s v="P011"/>
    <x v="9"/>
    <x v="4"/>
    <n v="2"/>
    <n v="600"/>
    <x v="0"/>
    <n v="1200"/>
    <n v="493.7"/>
    <x v="1"/>
    <x v="1"/>
    <x v="1"/>
    <x v="0"/>
    <x v="4"/>
    <s v="May"/>
    <s v="Q2"/>
    <x v="5"/>
    <n v="8"/>
    <n v="41.14"/>
  </r>
  <r>
    <s v="ORD00980"/>
    <d v="2024-02-27T00:00:00"/>
    <d v="2024-02-29T00:00:00"/>
    <s v="C0080"/>
    <x v="173"/>
    <s v="Corporate"/>
    <x v="2"/>
    <x v="9"/>
    <s v="P004"/>
    <x v="7"/>
    <x v="2"/>
    <n v="2"/>
    <n v="8000"/>
    <x v="0"/>
    <n v="16000"/>
    <n v="3803.98"/>
    <x v="2"/>
    <x v="0"/>
    <x v="3"/>
    <x v="1"/>
    <x v="6"/>
    <s v="Feb"/>
    <s v="Q1"/>
    <x v="18"/>
    <n v="2"/>
    <n v="23.77"/>
  </r>
  <r>
    <s v="ORD00325"/>
    <d v="2024-02-10T00:00:00"/>
    <m/>
    <s v="C0052"/>
    <x v="189"/>
    <s v="Small Business"/>
    <x v="0"/>
    <x v="0"/>
    <s v="P003"/>
    <x v="5"/>
    <x v="2"/>
    <n v="4"/>
    <n v="3000"/>
    <x v="0"/>
    <n v="12000"/>
    <n v="3674.3"/>
    <x v="0"/>
    <x v="2"/>
    <x v="3"/>
    <x v="1"/>
    <x v="6"/>
    <s v="Feb"/>
    <s v="Q1"/>
    <x v="18"/>
    <s v=""/>
    <n v="30.62"/>
  </r>
  <r>
    <s v="ORD01154"/>
    <d v="2025-08-16T00:00:00"/>
    <d v="2025-08-17T00:00:00"/>
    <s v="C0260"/>
    <x v="190"/>
    <s v="Consumer"/>
    <x v="0"/>
    <x v="10"/>
    <s v="P008"/>
    <x v="11"/>
    <x v="1"/>
    <n v="1"/>
    <n v="250"/>
    <x v="4"/>
    <n v="225"/>
    <n v="88.82"/>
    <x v="5"/>
    <x v="1"/>
    <x v="4"/>
    <x v="0"/>
    <x v="7"/>
    <s v="Aug"/>
    <s v="Q3"/>
    <x v="22"/>
    <n v="1"/>
    <n v="39.479999999999997"/>
  </r>
  <r>
    <s v="ORD01798"/>
    <d v="2024-12-13T00:00:00"/>
    <d v="2024-12-19T00:00:00"/>
    <s v="C0278"/>
    <x v="51"/>
    <s v="Small Business"/>
    <x v="0"/>
    <x v="2"/>
    <s v="P011"/>
    <x v="9"/>
    <x v="4"/>
    <n v="2"/>
    <n v="600"/>
    <x v="0"/>
    <n v="1200"/>
    <n v="464.5"/>
    <x v="5"/>
    <x v="2"/>
    <x v="4"/>
    <x v="1"/>
    <x v="10"/>
    <s v="Dec"/>
    <s v="Q4"/>
    <x v="16"/>
    <n v="6"/>
    <n v="38.71"/>
  </r>
  <r>
    <s v="ORD00909"/>
    <d v="2024-11-27T00:00:00"/>
    <d v="2024-12-02T00:00:00"/>
    <s v="C0050"/>
    <x v="35"/>
    <s v="Corporate"/>
    <x v="0"/>
    <x v="2"/>
    <s v="P003"/>
    <x v="5"/>
    <x v="2"/>
    <n v="2"/>
    <n v="3000"/>
    <x v="2"/>
    <n v="4800"/>
    <n v="1039.18"/>
    <x v="0"/>
    <x v="0"/>
    <x v="2"/>
    <x v="1"/>
    <x v="2"/>
    <s v="Nov"/>
    <s v="Q4"/>
    <x v="3"/>
    <n v="5"/>
    <n v="21.65"/>
  </r>
  <r>
    <s v="ORD01306"/>
    <d v="2025-10-11T00:00:00"/>
    <d v="2025-10-15T00:00:00"/>
    <s v="C0027"/>
    <x v="191"/>
    <s v="Consumer"/>
    <x v="2"/>
    <x v="4"/>
    <s v="P006"/>
    <x v="1"/>
    <x v="0"/>
    <n v="2"/>
    <n v="9500"/>
    <x v="3"/>
    <n v="18050"/>
    <n v="2647.41"/>
    <x v="2"/>
    <x v="2"/>
    <x v="1"/>
    <x v="0"/>
    <x v="1"/>
    <s v="Oct"/>
    <s v="Q4"/>
    <x v="14"/>
    <n v="4"/>
    <n v="14.67"/>
  </r>
  <r>
    <s v="ORD00145"/>
    <d v="2025-02-06T00:00:00"/>
    <d v="2025-02-07T00:00:00"/>
    <s v="C0092"/>
    <x v="40"/>
    <s v="Consumer"/>
    <x v="0"/>
    <x v="11"/>
    <s v="P009"/>
    <x v="2"/>
    <x v="1"/>
    <n v="2"/>
    <n v="180"/>
    <x v="1"/>
    <n v="306"/>
    <n v="150.30000000000001"/>
    <x v="2"/>
    <x v="1"/>
    <x v="0"/>
    <x v="0"/>
    <x v="6"/>
    <s v="Feb"/>
    <s v="Q1"/>
    <x v="7"/>
    <n v="1"/>
    <n v="49.12"/>
  </r>
  <r>
    <s v="ORD00156"/>
    <d v="2024-08-04T00:00:00"/>
    <d v="2024-08-12T00:00:00"/>
    <s v="C0156"/>
    <x v="155"/>
    <s v="Consumer"/>
    <x v="1"/>
    <x v="16"/>
    <s v="P001"/>
    <x v="8"/>
    <x v="2"/>
    <n v="5"/>
    <n v="55000"/>
    <x v="1"/>
    <n v="233750"/>
    <n v="31426.93"/>
    <x v="4"/>
    <x v="2"/>
    <x v="1"/>
    <x v="1"/>
    <x v="7"/>
    <s v="Aug"/>
    <s v="Q3"/>
    <x v="9"/>
    <n v="8"/>
    <n v="13.44"/>
  </r>
  <r>
    <s v="ORD00577"/>
    <d v="2025-02-03T00:00:00"/>
    <d v="2025-02-10T00:00:00"/>
    <s v="C0020"/>
    <x v="47"/>
    <s v="Corporate"/>
    <x v="2"/>
    <x v="3"/>
    <s v="P011"/>
    <x v="9"/>
    <x v="4"/>
    <n v="1"/>
    <n v="600"/>
    <x v="1"/>
    <n v="510"/>
    <n v="161.22999999999999"/>
    <x v="1"/>
    <x v="0"/>
    <x v="1"/>
    <x v="0"/>
    <x v="6"/>
    <s v="Feb"/>
    <s v="Q1"/>
    <x v="7"/>
    <n v="7"/>
    <n v="31.61"/>
  </r>
  <r>
    <s v="ORD00307"/>
    <d v="2024-08-16T00:00:00"/>
    <d v="2024-08-22T00:00:00"/>
    <s v="C0114"/>
    <x v="98"/>
    <s v="Small Business"/>
    <x v="3"/>
    <x v="6"/>
    <s v="P006"/>
    <x v="1"/>
    <x v="0"/>
    <n v="3"/>
    <n v="9500"/>
    <x v="0"/>
    <n v="28500"/>
    <n v="4948.68"/>
    <x v="3"/>
    <x v="1"/>
    <x v="1"/>
    <x v="1"/>
    <x v="7"/>
    <s v="Aug"/>
    <s v="Q3"/>
    <x v="9"/>
    <n v="6"/>
    <n v="17.36"/>
  </r>
  <r>
    <s v="ORD01439"/>
    <d v="2025-11-14T00:00:00"/>
    <d v="2025-11-17T00:00:00"/>
    <s v="C0198"/>
    <x v="61"/>
    <s v="Consumer"/>
    <x v="0"/>
    <x v="0"/>
    <s v="P010"/>
    <x v="6"/>
    <x v="4"/>
    <n v="10"/>
    <n v="1800"/>
    <x v="1"/>
    <n v="15300"/>
    <n v="4955.2299999999996"/>
    <x v="5"/>
    <x v="1"/>
    <x v="1"/>
    <x v="0"/>
    <x v="2"/>
    <s v="Nov"/>
    <s v="Q4"/>
    <x v="23"/>
    <n v="3"/>
    <n v="32.39"/>
  </r>
  <r>
    <s v="ORD01300"/>
    <d v="2024-06-02T00:00:00"/>
    <d v="2024-06-04T00:00:00"/>
    <s v="C0106"/>
    <x v="192"/>
    <s v="Small Business"/>
    <x v="0"/>
    <x v="0"/>
    <s v="P004"/>
    <x v="7"/>
    <x v="2"/>
    <n v="1"/>
    <n v="8000"/>
    <x v="2"/>
    <n v="6400"/>
    <n v="1586.41"/>
    <x v="5"/>
    <x v="0"/>
    <x v="4"/>
    <x v="1"/>
    <x v="8"/>
    <s v="Jun"/>
    <s v="Q2"/>
    <x v="12"/>
    <n v="2"/>
    <n v="24.79"/>
  </r>
  <r>
    <s v="ORD00515"/>
    <d v="2025-04-27T00:00:00"/>
    <d v="2025-05-03T00:00:00"/>
    <s v="C0034"/>
    <x v="17"/>
    <s v="Small Business"/>
    <x v="1"/>
    <x v="1"/>
    <s v="P005"/>
    <x v="0"/>
    <x v="0"/>
    <n v="1"/>
    <n v="7000"/>
    <x v="1"/>
    <n v="5950"/>
    <n v="1366.29"/>
    <x v="1"/>
    <x v="1"/>
    <x v="1"/>
    <x v="0"/>
    <x v="5"/>
    <s v="Apr"/>
    <s v="Q2"/>
    <x v="13"/>
    <n v="6"/>
    <n v="22.96"/>
  </r>
  <r>
    <s v="ORD00315"/>
    <d v="2025-04-11T00:00:00"/>
    <d v="2025-04-18T00:00:00"/>
    <s v="C0153"/>
    <x v="193"/>
    <s v="Small Business"/>
    <x v="3"/>
    <x v="12"/>
    <s v="P005"/>
    <x v="0"/>
    <x v="0"/>
    <n v="3"/>
    <n v="7000"/>
    <x v="4"/>
    <n v="18900"/>
    <n v="3782.31"/>
    <x v="5"/>
    <x v="0"/>
    <x v="4"/>
    <x v="0"/>
    <x v="5"/>
    <s v="Apr"/>
    <s v="Q2"/>
    <x v="13"/>
    <n v="7"/>
    <n v="20.010000000000002"/>
  </r>
  <r>
    <s v="ORD00759"/>
    <d v="2025-03-08T00:00:00"/>
    <d v="2025-03-14T00:00:00"/>
    <s v="C0124"/>
    <x v="10"/>
    <s v="Small Business"/>
    <x v="1"/>
    <x v="1"/>
    <s v="P005"/>
    <x v="0"/>
    <x v="0"/>
    <n v="10"/>
    <n v="7000"/>
    <x v="0"/>
    <n v="70000"/>
    <n v="15289.03"/>
    <x v="3"/>
    <x v="2"/>
    <x v="1"/>
    <x v="0"/>
    <x v="0"/>
    <s v="Mar"/>
    <s v="Q1"/>
    <x v="0"/>
    <n v="6"/>
    <n v="21.84"/>
  </r>
  <r>
    <s v="ORD01349"/>
    <d v="2025-02-17T00:00:00"/>
    <d v="2025-02-21T00:00:00"/>
    <s v="C0049"/>
    <x v="194"/>
    <s v="Consumer"/>
    <x v="1"/>
    <x v="1"/>
    <s v="P012"/>
    <x v="4"/>
    <x v="3"/>
    <n v="1"/>
    <n v="3500"/>
    <x v="4"/>
    <n v="3150"/>
    <n v="748.03"/>
    <x v="3"/>
    <x v="0"/>
    <x v="4"/>
    <x v="0"/>
    <x v="6"/>
    <s v="Feb"/>
    <s v="Q1"/>
    <x v="7"/>
    <n v="4"/>
    <n v="23.75"/>
  </r>
  <r>
    <s v="ORD01388"/>
    <d v="2024-09-24T00:00:00"/>
    <d v="2024-09-29T00:00:00"/>
    <s v="C0295"/>
    <x v="107"/>
    <s v="Consumer"/>
    <x v="0"/>
    <x v="11"/>
    <s v="P007"/>
    <x v="10"/>
    <x v="0"/>
    <n v="3"/>
    <n v="6000"/>
    <x v="0"/>
    <n v="18000"/>
    <n v="4412.32"/>
    <x v="0"/>
    <x v="1"/>
    <x v="4"/>
    <x v="1"/>
    <x v="9"/>
    <s v="Sep"/>
    <s v="Q3"/>
    <x v="20"/>
    <n v="5"/>
    <n v="24.51"/>
  </r>
  <r>
    <s v="ORD01561"/>
    <d v="2025-09-10T00:00:00"/>
    <d v="2025-09-16T00:00:00"/>
    <s v="C0113"/>
    <x v="195"/>
    <s v="Small Business"/>
    <x v="1"/>
    <x v="16"/>
    <s v="P010"/>
    <x v="6"/>
    <x v="4"/>
    <n v="2"/>
    <n v="1800"/>
    <x v="0"/>
    <n v="3600"/>
    <n v="1349.64"/>
    <x v="4"/>
    <x v="0"/>
    <x v="3"/>
    <x v="0"/>
    <x v="9"/>
    <s v="Sep"/>
    <s v="Q3"/>
    <x v="11"/>
    <n v="6"/>
    <n v="37.49"/>
  </r>
  <r>
    <s v="ORD00025"/>
    <d v="2024-04-11T00:00:00"/>
    <d v="2024-04-16T00:00:00"/>
    <s v="C0213"/>
    <x v="116"/>
    <s v="Corporate"/>
    <x v="3"/>
    <x v="7"/>
    <s v="P011"/>
    <x v="9"/>
    <x v="4"/>
    <n v="4"/>
    <n v="600"/>
    <x v="4"/>
    <n v="2160"/>
    <n v="708.55"/>
    <x v="2"/>
    <x v="2"/>
    <x v="4"/>
    <x v="1"/>
    <x v="5"/>
    <s v="Apr"/>
    <s v="Q2"/>
    <x v="6"/>
    <n v="5"/>
    <n v="32.799999999999997"/>
  </r>
  <r>
    <s v="ORD00559"/>
    <d v="2025-07-31T00:00:00"/>
    <d v="2025-08-03T00:00:00"/>
    <s v="C0156"/>
    <x v="155"/>
    <s v="Consumer"/>
    <x v="1"/>
    <x v="16"/>
    <s v="P012"/>
    <x v="4"/>
    <x v="3"/>
    <n v="1"/>
    <n v="3500"/>
    <x v="1"/>
    <n v="2975"/>
    <n v="846.58"/>
    <x v="1"/>
    <x v="0"/>
    <x v="4"/>
    <x v="0"/>
    <x v="3"/>
    <s v="Jul"/>
    <s v="Q3"/>
    <x v="15"/>
    <n v="3"/>
    <n v="28.46"/>
  </r>
  <r>
    <s v="ORD01729"/>
    <d v="2024-09-27T00:00:00"/>
    <d v="2024-10-02T00:00:00"/>
    <s v="C0108"/>
    <x v="145"/>
    <s v="Consumer"/>
    <x v="2"/>
    <x v="4"/>
    <s v="P009"/>
    <x v="2"/>
    <x v="1"/>
    <n v="1"/>
    <n v="180"/>
    <x v="0"/>
    <n v="180"/>
    <n v="60.45"/>
    <x v="1"/>
    <x v="0"/>
    <x v="1"/>
    <x v="1"/>
    <x v="9"/>
    <s v="Sep"/>
    <s v="Q3"/>
    <x v="20"/>
    <n v="5"/>
    <n v="33.58"/>
  </r>
  <r>
    <s v="ORD01628"/>
    <d v="2025-07-12T00:00:00"/>
    <d v="2025-07-14T00:00:00"/>
    <s v="C0169"/>
    <x v="196"/>
    <s v="Corporate"/>
    <x v="3"/>
    <x v="6"/>
    <s v="P003"/>
    <x v="5"/>
    <x v="2"/>
    <n v="3"/>
    <n v="3000"/>
    <x v="0"/>
    <n v="9000"/>
    <n v="2629.89"/>
    <x v="3"/>
    <x v="2"/>
    <x v="2"/>
    <x v="0"/>
    <x v="3"/>
    <s v="Jul"/>
    <s v="Q3"/>
    <x v="15"/>
    <n v="2"/>
    <n v="29.22"/>
  </r>
  <r>
    <s v="ORD01417"/>
    <d v="2025-10-31T00:00:00"/>
    <d v="2025-11-07T00:00:00"/>
    <s v="C0159"/>
    <x v="146"/>
    <s v="Corporate"/>
    <x v="0"/>
    <x v="15"/>
    <s v="P004"/>
    <x v="7"/>
    <x v="2"/>
    <n v="1"/>
    <n v="8000"/>
    <x v="1"/>
    <n v="6800"/>
    <n v="1196.95"/>
    <x v="0"/>
    <x v="1"/>
    <x v="2"/>
    <x v="0"/>
    <x v="1"/>
    <s v="Oct"/>
    <s v="Q4"/>
    <x v="14"/>
    <n v="7"/>
    <n v="17.600000000000001"/>
  </r>
  <r>
    <s v="ORD00947"/>
    <d v="2025-03-07T00:00:00"/>
    <d v="2025-03-11T00:00:00"/>
    <s v="C0069"/>
    <x v="101"/>
    <s v="Small Business"/>
    <x v="0"/>
    <x v="0"/>
    <s v="P007"/>
    <x v="10"/>
    <x v="0"/>
    <n v="3"/>
    <n v="6000"/>
    <x v="0"/>
    <n v="18000"/>
    <n v="3301.02"/>
    <x v="6"/>
    <x v="2"/>
    <x v="4"/>
    <x v="0"/>
    <x v="0"/>
    <s v="Mar"/>
    <s v="Q1"/>
    <x v="0"/>
    <n v="4"/>
    <n v="18.34"/>
  </r>
  <r>
    <s v="ORD01625"/>
    <d v="2024-09-28T00:00:00"/>
    <d v="2024-10-06T00:00:00"/>
    <s v="C0131"/>
    <x v="156"/>
    <s v="Corporate"/>
    <x v="1"/>
    <x v="5"/>
    <s v="P007"/>
    <x v="10"/>
    <x v="0"/>
    <n v="1"/>
    <n v="6000"/>
    <x v="0"/>
    <n v="6000"/>
    <n v="1440"/>
    <x v="4"/>
    <x v="1"/>
    <x v="3"/>
    <x v="1"/>
    <x v="9"/>
    <s v="Sep"/>
    <s v="Q3"/>
    <x v="20"/>
    <n v="8"/>
    <n v="24"/>
  </r>
  <r>
    <s v="ORD00076"/>
    <d v="2024-04-23T00:00:00"/>
    <d v="2024-04-24T00:00:00"/>
    <s v="C0271"/>
    <x v="197"/>
    <s v="Consumer"/>
    <x v="1"/>
    <x v="1"/>
    <s v="P007"/>
    <x v="10"/>
    <x v="0"/>
    <n v="3"/>
    <n v="6000"/>
    <x v="0"/>
    <n v="18000"/>
    <n v="3544.39"/>
    <x v="4"/>
    <x v="1"/>
    <x v="1"/>
    <x v="1"/>
    <x v="5"/>
    <s v="Apr"/>
    <s v="Q2"/>
    <x v="6"/>
    <n v="1"/>
    <n v="19.690000000000001"/>
  </r>
  <r>
    <s v="ORD01192"/>
    <d v="2025-09-11T00:00:00"/>
    <d v="2025-09-18T00:00:00"/>
    <s v="C0169"/>
    <x v="196"/>
    <s v="Corporate"/>
    <x v="3"/>
    <x v="6"/>
    <s v="P003"/>
    <x v="5"/>
    <x v="2"/>
    <n v="2"/>
    <n v="3000"/>
    <x v="1"/>
    <n v="5100"/>
    <n v="1083.92"/>
    <x v="2"/>
    <x v="2"/>
    <x v="4"/>
    <x v="0"/>
    <x v="9"/>
    <s v="Sep"/>
    <s v="Q3"/>
    <x v="11"/>
    <n v="7"/>
    <n v="21.25"/>
  </r>
  <r>
    <s v="ORD00939"/>
    <d v="2025-04-04T00:00:00"/>
    <d v="2025-04-08T00:00:00"/>
    <s v="C0022"/>
    <x v="167"/>
    <s v="Corporate"/>
    <x v="1"/>
    <x v="16"/>
    <s v="P010"/>
    <x v="6"/>
    <x v="4"/>
    <n v="10"/>
    <n v="1800"/>
    <x v="1"/>
    <n v="15300"/>
    <n v="5740.96"/>
    <x v="4"/>
    <x v="0"/>
    <x v="4"/>
    <x v="0"/>
    <x v="5"/>
    <s v="Apr"/>
    <s v="Q2"/>
    <x v="13"/>
    <n v="4"/>
    <n v="37.520000000000003"/>
  </r>
  <r>
    <s v="ORD00151"/>
    <d v="2025-11-26T00:00:00"/>
    <d v="2025-12-03T00:00:00"/>
    <s v="C0090"/>
    <x v="58"/>
    <s v="Consumer"/>
    <x v="0"/>
    <x v="10"/>
    <s v="P011"/>
    <x v="9"/>
    <x v="4"/>
    <n v="2"/>
    <n v="600"/>
    <x v="0"/>
    <n v="1200"/>
    <n v="490.95"/>
    <x v="1"/>
    <x v="1"/>
    <x v="0"/>
    <x v="0"/>
    <x v="2"/>
    <s v="Nov"/>
    <s v="Q4"/>
    <x v="23"/>
    <n v="7"/>
    <n v="40.909999999999997"/>
  </r>
  <r>
    <s v="ORD01964"/>
    <d v="2025-10-23T00:00:00"/>
    <d v="2025-10-27T00:00:00"/>
    <s v="C0151"/>
    <x v="198"/>
    <s v="Corporate"/>
    <x v="1"/>
    <x v="1"/>
    <s v="P004"/>
    <x v="7"/>
    <x v="2"/>
    <n v="2"/>
    <n v="8000"/>
    <x v="3"/>
    <n v="15200"/>
    <n v="3288.07"/>
    <x v="0"/>
    <x v="1"/>
    <x v="2"/>
    <x v="0"/>
    <x v="1"/>
    <s v="Oct"/>
    <s v="Q4"/>
    <x v="14"/>
    <n v="4"/>
    <n v="21.63"/>
  </r>
  <r>
    <s v="ORD00767"/>
    <d v="2024-05-01T00:00:00"/>
    <d v="2024-05-07T00:00:00"/>
    <s v="C0287"/>
    <x v="2"/>
    <s v="Corporate"/>
    <x v="0"/>
    <x v="2"/>
    <s v="P006"/>
    <x v="1"/>
    <x v="0"/>
    <n v="2"/>
    <n v="9500"/>
    <x v="3"/>
    <n v="18050"/>
    <n v="2686.33"/>
    <x v="1"/>
    <x v="1"/>
    <x v="3"/>
    <x v="1"/>
    <x v="4"/>
    <s v="May"/>
    <s v="Q2"/>
    <x v="8"/>
    <n v="6"/>
    <n v="14.88"/>
  </r>
  <r>
    <s v="ORD01272"/>
    <d v="2025-03-06T00:00:00"/>
    <d v="2025-03-14T00:00:00"/>
    <s v="C0236"/>
    <x v="130"/>
    <s v="Consumer"/>
    <x v="2"/>
    <x v="4"/>
    <s v="P010"/>
    <x v="6"/>
    <x v="4"/>
    <n v="2"/>
    <n v="1800"/>
    <x v="0"/>
    <n v="3600"/>
    <n v="1154.8900000000001"/>
    <x v="1"/>
    <x v="0"/>
    <x v="4"/>
    <x v="0"/>
    <x v="0"/>
    <s v="Mar"/>
    <s v="Q1"/>
    <x v="0"/>
    <n v="8"/>
    <n v="32.08"/>
  </r>
  <r>
    <s v="ORD01623"/>
    <d v="2024-01-19T00:00:00"/>
    <d v="2024-01-21T00:00:00"/>
    <s v="C0146"/>
    <x v="199"/>
    <s v="Consumer"/>
    <x v="1"/>
    <x v="16"/>
    <s v="P006"/>
    <x v="1"/>
    <x v="0"/>
    <n v="2"/>
    <n v="9500"/>
    <x v="1"/>
    <n v="16150"/>
    <n v="3507.89"/>
    <x v="0"/>
    <x v="1"/>
    <x v="0"/>
    <x v="1"/>
    <x v="11"/>
    <s v="Jan"/>
    <s v="Q1"/>
    <x v="21"/>
    <n v="2"/>
    <n v="21.72"/>
  </r>
  <r>
    <s v="ORD01111"/>
    <d v="2025-12-15T00:00:00"/>
    <d v="2025-12-16T00:00:00"/>
    <s v="C0201"/>
    <x v="150"/>
    <s v="Small Business"/>
    <x v="3"/>
    <x v="7"/>
    <s v="P007"/>
    <x v="10"/>
    <x v="0"/>
    <n v="2"/>
    <n v="6000"/>
    <x v="2"/>
    <n v="9600"/>
    <n v="2004.33"/>
    <x v="3"/>
    <x v="1"/>
    <x v="3"/>
    <x v="0"/>
    <x v="10"/>
    <s v="Dec"/>
    <s v="Q4"/>
    <x v="19"/>
    <n v="1"/>
    <n v="20.88"/>
  </r>
  <r>
    <s v="ORD01528"/>
    <d v="2025-12-01T00:00:00"/>
    <d v="2025-12-09T00:00:00"/>
    <s v="C0049"/>
    <x v="194"/>
    <s v="Consumer"/>
    <x v="1"/>
    <x v="1"/>
    <s v="P001"/>
    <x v="8"/>
    <x v="2"/>
    <n v="4"/>
    <n v="55000"/>
    <x v="2"/>
    <n v="176000"/>
    <n v="22533.8"/>
    <x v="2"/>
    <x v="2"/>
    <x v="2"/>
    <x v="0"/>
    <x v="10"/>
    <s v="Dec"/>
    <s v="Q4"/>
    <x v="19"/>
    <n v="8"/>
    <n v="12.8"/>
  </r>
  <r>
    <s v="ORD00817"/>
    <d v="2024-09-25T00:00:00"/>
    <m/>
    <s v="C0090"/>
    <x v="58"/>
    <s v="Consumer"/>
    <x v="0"/>
    <x v="10"/>
    <s v="P004"/>
    <x v="7"/>
    <x v="2"/>
    <n v="3"/>
    <n v="8000"/>
    <x v="0"/>
    <n v="24000"/>
    <n v="6234.08"/>
    <x v="4"/>
    <x v="0"/>
    <x v="3"/>
    <x v="1"/>
    <x v="9"/>
    <s v="Sep"/>
    <s v="Q3"/>
    <x v="20"/>
    <s v=""/>
    <n v="25.98"/>
  </r>
  <r>
    <s v="ORD01739"/>
    <d v="2024-04-30T00:00:00"/>
    <d v="2024-05-01T00:00:00"/>
    <s v="C0204"/>
    <x v="137"/>
    <s v="Corporate"/>
    <x v="0"/>
    <x v="10"/>
    <s v="P011"/>
    <x v="9"/>
    <x v="4"/>
    <n v="2"/>
    <n v="600"/>
    <x v="3"/>
    <n v="1140"/>
    <n v="471.73"/>
    <x v="5"/>
    <x v="1"/>
    <x v="2"/>
    <x v="1"/>
    <x v="5"/>
    <s v="Apr"/>
    <s v="Q2"/>
    <x v="6"/>
    <n v="1"/>
    <n v="41.38"/>
  </r>
  <r>
    <s v="ORD01613"/>
    <d v="2024-06-01T00:00:00"/>
    <d v="2024-06-03T00:00:00"/>
    <s v="C0124"/>
    <x v="10"/>
    <s v="Small Business"/>
    <x v="1"/>
    <x v="1"/>
    <s v="P008"/>
    <x v="11"/>
    <x v="1"/>
    <n v="3"/>
    <n v="250"/>
    <x v="0"/>
    <n v="750"/>
    <n v="219.53"/>
    <x v="4"/>
    <x v="0"/>
    <x v="0"/>
    <x v="1"/>
    <x v="8"/>
    <s v="Jun"/>
    <s v="Q2"/>
    <x v="12"/>
    <n v="2"/>
    <n v="29.27"/>
  </r>
  <r>
    <s v="ORD00225"/>
    <d v="2024-01-28T00:00:00"/>
    <d v="2024-02-01T00:00:00"/>
    <s v="C0146"/>
    <x v="199"/>
    <s v="Consumer"/>
    <x v="1"/>
    <x v="16"/>
    <s v="P012"/>
    <x v="4"/>
    <x v="3"/>
    <n v="4"/>
    <n v="3500"/>
    <x v="1"/>
    <n v="11900"/>
    <n v="3999.66"/>
    <x v="1"/>
    <x v="2"/>
    <x v="1"/>
    <x v="1"/>
    <x v="11"/>
    <s v="Jan"/>
    <s v="Q1"/>
    <x v="21"/>
    <n v="4"/>
    <n v="33.61"/>
  </r>
  <r>
    <s v="ORD00744"/>
    <d v="2024-08-02T00:00:00"/>
    <d v="2024-08-07T00:00:00"/>
    <s v="C0156"/>
    <x v="155"/>
    <s v="Consumer"/>
    <x v="1"/>
    <x v="16"/>
    <s v="P004"/>
    <x v="7"/>
    <x v="2"/>
    <n v="2"/>
    <n v="8000"/>
    <x v="0"/>
    <n v="16000"/>
    <n v="3374.06"/>
    <x v="3"/>
    <x v="2"/>
    <x v="2"/>
    <x v="1"/>
    <x v="7"/>
    <s v="Aug"/>
    <s v="Q3"/>
    <x v="9"/>
    <n v="5"/>
    <n v="21.09"/>
  </r>
  <r>
    <s v="ORD00181"/>
    <d v="2024-03-05T00:00:00"/>
    <d v="2024-03-13T00:00:00"/>
    <s v="C0253"/>
    <x v="200"/>
    <s v="Corporate"/>
    <x v="0"/>
    <x v="11"/>
    <s v="P003"/>
    <x v="5"/>
    <x v="2"/>
    <n v="1"/>
    <n v="3000"/>
    <x v="0"/>
    <n v="3000"/>
    <n v="781.6"/>
    <x v="2"/>
    <x v="1"/>
    <x v="4"/>
    <x v="1"/>
    <x v="0"/>
    <s v="Mar"/>
    <s v="Q1"/>
    <x v="2"/>
    <n v="8"/>
    <n v="26.05"/>
  </r>
  <r>
    <s v="ORD00462"/>
    <d v="2024-04-13T00:00:00"/>
    <d v="2024-04-17T00:00:00"/>
    <s v="C0266"/>
    <x v="201"/>
    <s v="Small Business"/>
    <x v="2"/>
    <x v="4"/>
    <s v="P002"/>
    <x v="3"/>
    <x v="2"/>
    <n v="3"/>
    <n v="25000"/>
    <x v="4"/>
    <n v="67500"/>
    <n v="8648.09"/>
    <x v="1"/>
    <x v="2"/>
    <x v="2"/>
    <x v="1"/>
    <x v="5"/>
    <s v="Apr"/>
    <s v="Q2"/>
    <x v="6"/>
    <n v="4"/>
    <n v="12.81"/>
  </r>
  <r>
    <s v="ORD00454"/>
    <d v="2024-11-27T00:00:00"/>
    <d v="2024-11-30T00:00:00"/>
    <s v="C0279"/>
    <x v="202"/>
    <s v="Corporate"/>
    <x v="0"/>
    <x v="10"/>
    <s v="P006"/>
    <x v="1"/>
    <x v="0"/>
    <n v="1"/>
    <n v="9500"/>
    <x v="2"/>
    <n v="7600"/>
    <n v="1428"/>
    <x v="2"/>
    <x v="2"/>
    <x v="2"/>
    <x v="1"/>
    <x v="2"/>
    <s v="Nov"/>
    <s v="Q4"/>
    <x v="3"/>
    <n v="3"/>
    <n v="18.79"/>
  </r>
  <r>
    <s v="ORD00397"/>
    <d v="2024-09-20T00:00:00"/>
    <d v="2024-09-21T00:00:00"/>
    <s v="C0279"/>
    <x v="202"/>
    <s v="Corporate"/>
    <x v="0"/>
    <x v="10"/>
    <s v="P007"/>
    <x v="10"/>
    <x v="0"/>
    <n v="1"/>
    <n v="6000"/>
    <x v="1"/>
    <n v="5100"/>
    <n v="1224"/>
    <x v="1"/>
    <x v="2"/>
    <x v="3"/>
    <x v="1"/>
    <x v="9"/>
    <s v="Sep"/>
    <s v="Q3"/>
    <x v="20"/>
    <n v="1"/>
    <n v="24"/>
  </r>
  <r>
    <s v="ORD01825"/>
    <d v="2025-10-14T00:00:00"/>
    <d v="2025-10-15T00:00:00"/>
    <s v="C0095"/>
    <x v="15"/>
    <s v="Consumer"/>
    <x v="2"/>
    <x v="4"/>
    <s v="P004"/>
    <x v="7"/>
    <x v="2"/>
    <n v="5"/>
    <n v="8000"/>
    <x v="2"/>
    <n v="32000"/>
    <n v="8281.1299999999992"/>
    <x v="4"/>
    <x v="0"/>
    <x v="4"/>
    <x v="0"/>
    <x v="1"/>
    <s v="Oct"/>
    <s v="Q4"/>
    <x v="14"/>
    <n v="1"/>
    <n v="25.88"/>
  </r>
  <r>
    <s v="ORD00873"/>
    <d v="2025-04-19T00:00:00"/>
    <d v="2025-04-27T00:00:00"/>
    <s v="C0132"/>
    <x v="203"/>
    <s v="Small Business"/>
    <x v="1"/>
    <x v="1"/>
    <s v="P007"/>
    <x v="10"/>
    <x v="0"/>
    <n v="1"/>
    <n v="6000"/>
    <x v="0"/>
    <n v="6000"/>
    <n v="1224.08"/>
    <x v="2"/>
    <x v="1"/>
    <x v="2"/>
    <x v="0"/>
    <x v="5"/>
    <s v="Apr"/>
    <s v="Q2"/>
    <x v="13"/>
    <n v="8"/>
    <n v="20.399999999999999"/>
  </r>
  <r>
    <s v="ORD00263"/>
    <d v="2024-04-02T00:00:00"/>
    <d v="2024-04-10T00:00:00"/>
    <s v="C0252"/>
    <x v="7"/>
    <s v="Consumer"/>
    <x v="1"/>
    <x v="5"/>
    <s v="P001"/>
    <x v="8"/>
    <x v="2"/>
    <n v="1"/>
    <n v="55000"/>
    <x v="4"/>
    <n v="49500"/>
    <n v="8910"/>
    <x v="2"/>
    <x v="1"/>
    <x v="1"/>
    <x v="1"/>
    <x v="5"/>
    <s v="Apr"/>
    <s v="Q2"/>
    <x v="6"/>
    <n v="8"/>
    <n v="18"/>
  </r>
  <r>
    <s v="ORD00358"/>
    <d v="2025-06-01T00:00:00"/>
    <d v="2025-06-03T00:00:00"/>
    <s v="C0267"/>
    <x v="93"/>
    <s v="Consumer"/>
    <x v="2"/>
    <x v="9"/>
    <s v="P002"/>
    <x v="3"/>
    <x v="2"/>
    <n v="1"/>
    <n v="25000"/>
    <x v="4"/>
    <n v="22500"/>
    <n v="3087.5"/>
    <x v="3"/>
    <x v="0"/>
    <x v="2"/>
    <x v="0"/>
    <x v="8"/>
    <s v="Jun"/>
    <s v="Q2"/>
    <x v="10"/>
    <n v="2"/>
    <n v="13.72"/>
  </r>
  <r>
    <s v="ORD01692"/>
    <d v="2025-11-19T00:00:00"/>
    <d v="2025-11-24T00:00:00"/>
    <s v="C0161"/>
    <x v="62"/>
    <s v="Consumer"/>
    <x v="3"/>
    <x v="12"/>
    <s v="P007"/>
    <x v="10"/>
    <x v="0"/>
    <n v="5"/>
    <n v="6000"/>
    <x v="1"/>
    <n v="25500"/>
    <n v="4993.58"/>
    <x v="6"/>
    <x v="0"/>
    <x v="3"/>
    <x v="0"/>
    <x v="2"/>
    <s v="Nov"/>
    <s v="Q4"/>
    <x v="23"/>
    <n v="5"/>
    <n v="19.579999999999998"/>
  </r>
  <r>
    <s v="ORD00627"/>
    <d v="2025-08-10T00:00:00"/>
    <d v="2025-08-18T00:00:00"/>
    <s v="C0243"/>
    <x v="24"/>
    <s v="Corporate"/>
    <x v="0"/>
    <x v="11"/>
    <s v="P005"/>
    <x v="0"/>
    <x v="0"/>
    <n v="3"/>
    <n v="7000"/>
    <x v="2"/>
    <n v="16800"/>
    <n v="3422.84"/>
    <x v="3"/>
    <x v="2"/>
    <x v="3"/>
    <x v="0"/>
    <x v="7"/>
    <s v="Aug"/>
    <s v="Q3"/>
    <x v="22"/>
    <n v="8"/>
    <n v="20.37"/>
  </r>
  <r>
    <s v="ORD00455"/>
    <d v="2024-09-26T00:00:00"/>
    <d v="2024-10-03T00:00:00"/>
    <s v="C0231"/>
    <x v="32"/>
    <s v="Small Business"/>
    <x v="1"/>
    <x v="1"/>
    <s v="P005"/>
    <x v="0"/>
    <x v="0"/>
    <n v="2"/>
    <n v="7000"/>
    <x v="3"/>
    <n v="13300"/>
    <n v="2049.04"/>
    <x v="6"/>
    <x v="0"/>
    <x v="3"/>
    <x v="1"/>
    <x v="9"/>
    <s v="Sep"/>
    <s v="Q3"/>
    <x v="20"/>
    <n v="7"/>
    <n v="15.41"/>
  </r>
  <r>
    <s v="ORD00655"/>
    <d v="2024-08-21T00:00:00"/>
    <d v="2024-08-23T00:00:00"/>
    <s v="C0110"/>
    <x v="204"/>
    <s v="Small Business"/>
    <x v="0"/>
    <x v="0"/>
    <s v="P009"/>
    <x v="2"/>
    <x v="1"/>
    <n v="2"/>
    <n v="180"/>
    <x v="2"/>
    <n v="288"/>
    <n v="141.76"/>
    <x v="0"/>
    <x v="0"/>
    <x v="1"/>
    <x v="1"/>
    <x v="7"/>
    <s v="Aug"/>
    <s v="Q3"/>
    <x v="9"/>
    <n v="2"/>
    <n v="49.22"/>
  </r>
  <r>
    <s v="ORD01813"/>
    <d v="2024-08-10T00:00:00"/>
    <d v="2024-08-13T00:00:00"/>
    <s v="C0102"/>
    <x v="205"/>
    <s v="Consumer"/>
    <x v="1"/>
    <x v="13"/>
    <s v="P008"/>
    <x v="11"/>
    <x v="1"/>
    <n v="5"/>
    <n v="250"/>
    <x v="1"/>
    <n v="1062.5"/>
    <n v="396.53"/>
    <x v="2"/>
    <x v="1"/>
    <x v="2"/>
    <x v="1"/>
    <x v="7"/>
    <s v="Aug"/>
    <s v="Q3"/>
    <x v="9"/>
    <n v="3"/>
    <n v="37.32"/>
  </r>
  <r>
    <s v="ORD00126"/>
    <d v="2024-08-26T00:00:00"/>
    <d v="2024-09-03T00:00:00"/>
    <s v="C0116"/>
    <x v="131"/>
    <s v="Corporate"/>
    <x v="2"/>
    <x v="3"/>
    <s v="P011"/>
    <x v="9"/>
    <x v="4"/>
    <n v="1"/>
    <n v="600"/>
    <x v="3"/>
    <n v="570"/>
    <n v="216.6"/>
    <x v="6"/>
    <x v="2"/>
    <x v="2"/>
    <x v="1"/>
    <x v="7"/>
    <s v="Aug"/>
    <s v="Q3"/>
    <x v="9"/>
    <n v="8"/>
    <n v="38"/>
  </r>
  <r>
    <s v="ORD00294"/>
    <d v="2024-02-03T00:00:00"/>
    <d v="2024-02-08T00:00:00"/>
    <s v="C0030"/>
    <x v="104"/>
    <s v="Consumer"/>
    <x v="2"/>
    <x v="4"/>
    <s v="P004"/>
    <x v="7"/>
    <x v="2"/>
    <n v="2"/>
    <n v="8000"/>
    <x v="0"/>
    <n v="16000"/>
    <n v="3927.41"/>
    <x v="3"/>
    <x v="1"/>
    <x v="1"/>
    <x v="1"/>
    <x v="6"/>
    <s v="Feb"/>
    <s v="Q1"/>
    <x v="18"/>
    <n v="5"/>
    <n v="24.55"/>
  </r>
  <r>
    <s v="ORD00148"/>
    <d v="2025-11-19T00:00:00"/>
    <d v="2025-11-27T00:00:00"/>
    <s v="C0229"/>
    <x v="206"/>
    <s v="Consumer"/>
    <x v="0"/>
    <x v="2"/>
    <s v="P010"/>
    <x v="6"/>
    <x v="4"/>
    <n v="1"/>
    <n v="1800"/>
    <x v="1"/>
    <n v="1530"/>
    <n v="384.33"/>
    <x v="4"/>
    <x v="2"/>
    <x v="2"/>
    <x v="0"/>
    <x v="2"/>
    <s v="Nov"/>
    <s v="Q4"/>
    <x v="23"/>
    <n v="8"/>
    <n v="25.12"/>
  </r>
  <r>
    <s v="ORD01734"/>
    <d v="2025-08-09T00:00:00"/>
    <d v="2025-08-14T00:00:00"/>
    <s v="C0216"/>
    <x v="154"/>
    <s v="Corporate"/>
    <x v="1"/>
    <x v="1"/>
    <s v="P010"/>
    <x v="6"/>
    <x v="4"/>
    <n v="4"/>
    <n v="1800"/>
    <x v="2"/>
    <n v="5760"/>
    <n v="2040.61"/>
    <x v="1"/>
    <x v="2"/>
    <x v="1"/>
    <x v="0"/>
    <x v="7"/>
    <s v="Aug"/>
    <s v="Q3"/>
    <x v="22"/>
    <n v="5"/>
    <n v="35.43"/>
  </r>
  <r>
    <s v="ORD01803"/>
    <d v="2024-11-06T00:00:00"/>
    <d v="2024-11-14T00:00:00"/>
    <s v="C0052"/>
    <x v="189"/>
    <s v="Small Business"/>
    <x v="0"/>
    <x v="0"/>
    <s v="P005"/>
    <x v="0"/>
    <x v="0"/>
    <n v="2"/>
    <n v="7000"/>
    <x v="4"/>
    <n v="12600"/>
    <n v="2365.15"/>
    <x v="4"/>
    <x v="1"/>
    <x v="2"/>
    <x v="1"/>
    <x v="2"/>
    <s v="Nov"/>
    <s v="Q4"/>
    <x v="3"/>
    <n v="8"/>
    <n v="18.77"/>
  </r>
  <r>
    <s v="ORD01615"/>
    <d v="2025-10-21T00:00:00"/>
    <d v="2025-10-25T00:00:00"/>
    <s v="C0210"/>
    <x v="29"/>
    <s v="Small Business"/>
    <x v="0"/>
    <x v="2"/>
    <s v="P002"/>
    <x v="3"/>
    <x v="2"/>
    <n v="3"/>
    <n v="25000"/>
    <x v="1"/>
    <n v="63750"/>
    <n v="8941.59"/>
    <x v="0"/>
    <x v="2"/>
    <x v="3"/>
    <x v="0"/>
    <x v="1"/>
    <s v="Oct"/>
    <s v="Q4"/>
    <x v="14"/>
    <n v="4"/>
    <n v="14.03"/>
  </r>
  <r>
    <s v="ORD00211"/>
    <d v="2024-03-01T00:00:00"/>
    <d v="2024-03-04T00:00:00"/>
    <s v="C0070"/>
    <x v="31"/>
    <s v="Corporate"/>
    <x v="3"/>
    <x v="8"/>
    <s v="P007"/>
    <x v="10"/>
    <x v="0"/>
    <n v="10"/>
    <n v="6000"/>
    <x v="2"/>
    <n v="48000"/>
    <n v="11086.37"/>
    <x v="4"/>
    <x v="0"/>
    <x v="4"/>
    <x v="1"/>
    <x v="0"/>
    <s v="Mar"/>
    <s v="Q1"/>
    <x v="2"/>
    <n v="3"/>
    <n v="23.1"/>
  </r>
  <r>
    <s v="ORD00323"/>
    <d v="2024-01-14T00:00:00"/>
    <d v="2024-01-22T00:00:00"/>
    <s v="C0121"/>
    <x v="207"/>
    <s v="Consumer"/>
    <x v="3"/>
    <x v="12"/>
    <s v="P001"/>
    <x v="8"/>
    <x v="2"/>
    <n v="3"/>
    <n v="55000"/>
    <x v="0"/>
    <n v="165000"/>
    <n v="30712.560000000001"/>
    <x v="6"/>
    <x v="0"/>
    <x v="1"/>
    <x v="1"/>
    <x v="11"/>
    <s v="Jan"/>
    <s v="Q1"/>
    <x v="21"/>
    <n v="8"/>
    <n v="18.61"/>
  </r>
  <r>
    <s v="ORD00375"/>
    <d v="2024-09-09T00:00:00"/>
    <d v="2024-09-16T00:00:00"/>
    <s v="C0003"/>
    <x v="108"/>
    <s v="Small Business"/>
    <x v="2"/>
    <x v="3"/>
    <s v="P006"/>
    <x v="1"/>
    <x v="0"/>
    <n v="3"/>
    <n v="9500"/>
    <x v="1"/>
    <n v="24225"/>
    <n v="4825.26"/>
    <x v="3"/>
    <x v="1"/>
    <x v="2"/>
    <x v="1"/>
    <x v="9"/>
    <s v="Sep"/>
    <s v="Q3"/>
    <x v="20"/>
    <n v="7"/>
    <n v="19.920000000000002"/>
  </r>
  <r>
    <s v="ORD00985"/>
    <d v="2024-10-20T00:00:00"/>
    <d v="2024-10-25T00:00:00"/>
    <s v="C0155"/>
    <x v="41"/>
    <s v="Consumer"/>
    <x v="1"/>
    <x v="5"/>
    <s v="P010"/>
    <x v="6"/>
    <x v="4"/>
    <n v="1"/>
    <n v="1800"/>
    <x v="3"/>
    <n v="1710"/>
    <n v="598.5"/>
    <x v="5"/>
    <x v="0"/>
    <x v="3"/>
    <x v="1"/>
    <x v="1"/>
    <s v="Oct"/>
    <s v="Q4"/>
    <x v="1"/>
    <n v="5"/>
    <n v="35"/>
  </r>
  <r>
    <s v="ORD01636"/>
    <d v="2025-12-15T00:00:00"/>
    <d v="2025-12-23T00:00:00"/>
    <s v="C0248"/>
    <x v="1"/>
    <s v="Consumer"/>
    <x v="1"/>
    <x v="1"/>
    <s v="P010"/>
    <x v="6"/>
    <x v="4"/>
    <n v="10"/>
    <n v="1800"/>
    <x v="0"/>
    <n v="18000"/>
    <n v="6512.97"/>
    <x v="1"/>
    <x v="1"/>
    <x v="0"/>
    <x v="0"/>
    <x v="10"/>
    <s v="Dec"/>
    <s v="Q4"/>
    <x v="19"/>
    <n v="8"/>
    <n v="36.18"/>
  </r>
  <r>
    <s v="ORD01732"/>
    <d v="2025-01-12T00:00:00"/>
    <d v="2025-01-17T00:00:00"/>
    <s v="C0025"/>
    <x v="37"/>
    <s v="Consumer"/>
    <x v="2"/>
    <x v="14"/>
    <s v="P009"/>
    <x v="2"/>
    <x v="1"/>
    <n v="10"/>
    <n v="180"/>
    <x v="4"/>
    <n v="1620"/>
    <n v="716.62"/>
    <x v="3"/>
    <x v="2"/>
    <x v="2"/>
    <x v="0"/>
    <x v="11"/>
    <s v="Jan"/>
    <s v="Q1"/>
    <x v="17"/>
    <n v="5"/>
    <n v="44.24"/>
  </r>
  <r>
    <s v="ORD00089"/>
    <d v="2025-11-26T00:00:00"/>
    <d v="2025-12-04T00:00:00"/>
    <s v="C0187"/>
    <x v="208"/>
    <s v="Corporate"/>
    <x v="3"/>
    <x v="12"/>
    <s v="P009"/>
    <x v="2"/>
    <x v="1"/>
    <n v="1"/>
    <n v="180"/>
    <x v="2"/>
    <n v="144"/>
    <n v="61.11"/>
    <x v="2"/>
    <x v="0"/>
    <x v="3"/>
    <x v="0"/>
    <x v="2"/>
    <s v="Nov"/>
    <s v="Q4"/>
    <x v="23"/>
    <n v="8"/>
    <n v="42.44"/>
  </r>
  <r>
    <s v="ORD01330"/>
    <d v="2025-09-30T00:00:00"/>
    <d v="2025-10-06T00:00:00"/>
    <s v="C0151"/>
    <x v="198"/>
    <s v="Corporate"/>
    <x v="1"/>
    <x v="1"/>
    <s v="P001"/>
    <x v="8"/>
    <x v="2"/>
    <n v="4"/>
    <n v="55000"/>
    <x v="0"/>
    <n v="220000"/>
    <n v="27855.24"/>
    <x v="0"/>
    <x v="0"/>
    <x v="4"/>
    <x v="0"/>
    <x v="9"/>
    <s v="Sep"/>
    <s v="Q3"/>
    <x v="11"/>
    <n v="6"/>
    <n v="12.66"/>
  </r>
  <r>
    <s v="ORD01434"/>
    <d v="2025-03-07T00:00:00"/>
    <d v="2025-03-15T00:00:00"/>
    <s v="C0107"/>
    <x v="6"/>
    <s v="Corporate"/>
    <x v="2"/>
    <x v="4"/>
    <s v="P007"/>
    <x v="10"/>
    <x v="0"/>
    <n v="4"/>
    <n v="6000"/>
    <x v="3"/>
    <n v="22800"/>
    <n v="5435.77"/>
    <x v="0"/>
    <x v="1"/>
    <x v="4"/>
    <x v="0"/>
    <x v="0"/>
    <s v="Mar"/>
    <s v="Q1"/>
    <x v="0"/>
    <n v="8"/>
    <n v="23.84"/>
  </r>
  <r>
    <s v="ORD01460"/>
    <d v="2024-10-21T00:00:00"/>
    <d v="2024-10-24T00:00:00"/>
    <s v="C0096"/>
    <x v="172"/>
    <s v="Consumer"/>
    <x v="1"/>
    <x v="1"/>
    <s v="P008"/>
    <x v="11"/>
    <x v="1"/>
    <n v="2"/>
    <n v="250"/>
    <x v="2"/>
    <n v="400"/>
    <n v="115.92"/>
    <x v="1"/>
    <x v="0"/>
    <x v="3"/>
    <x v="1"/>
    <x v="1"/>
    <s v="Oct"/>
    <s v="Q4"/>
    <x v="1"/>
    <n v="3"/>
    <n v="28.98"/>
  </r>
  <r>
    <s v="ORD00880"/>
    <d v="2024-07-12T00:00:00"/>
    <d v="2024-07-17T00:00:00"/>
    <s v="C0042"/>
    <x v="117"/>
    <s v="Consumer"/>
    <x v="1"/>
    <x v="13"/>
    <s v="P009"/>
    <x v="2"/>
    <x v="1"/>
    <n v="4"/>
    <n v="180"/>
    <x v="0"/>
    <n v="720"/>
    <n v="334.34"/>
    <x v="5"/>
    <x v="1"/>
    <x v="1"/>
    <x v="1"/>
    <x v="3"/>
    <s v="Jul"/>
    <s v="Q3"/>
    <x v="4"/>
    <n v="5"/>
    <n v="46.44"/>
  </r>
  <r>
    <s v="ORD01805"/>
    <d v="2025-12-21T00:00:00"/>
    <d v="2025-12-23T00:00:00"/>
    <s v="C0188"/>
    <x v="209"/>
    <s v="Corporate"/>
    <x v="2"/>
    <x v="3"/>
    <s v="P009"/>
    <x v="2"/>
    <x v="1"/>
    <n v="1"/>
    <n v="180"/>
    <x v="0"/>
    <n v="180"/>
    <n v="87.47"/>
    <x v="1"/>
    <x v="0"/>
    <x v="2"/>
    <x v="0"/>
    <x v="10"/>
    <s v="Dec"/>
    <s v="Q4"/>
    <x v="19"/>
    <n v="2"/>
    <n v="48.59"/>
  </r>
  <r>
    <s v="ORD00743"/>
    <d v="2025-05-09T00:00:00"/>
    <d v="2025-05-17T00:00:00"/>
    <s v="C0045"/>
    <x v="49"/>
    <s v="Small Business"/>
    <x v="1"/>
    <x v="16"/>
    <s v="P011"/>
    <x v="9"/>
    <x v="4"/>
    <n v="1"/>
    <n v="600"/>
    <x v="0"/>
    <n v="600"/>
    <n v="173.86"/>
    <x v="2"/>
    <x v="1"/>
    <x v="0"/>
    <x v="0"/>
    <x v="4"/>
    <s v="May"/>
    <s v="Q2"/>
    <x v="5"/>
    <n v="8"/>
    <n v="28.98"/>
  </r>
  <r>
    <s v="ORD01435"/>
    <d v="2025-11-12T00:00:00"/>
    <d v="2025-11-16T00:00:00"/>
    <s v="C0173"/>
    <x v="184"/>
    <s v="Corporate"/>
    <x v="1"/>
    <x v="16"/>
    <s v="P006"/>
    <x v="1"/>
    <x v="0"/>
    <n v="3"/>
    <n v="9500"/>
    <x v="0"/>
    <n v="28500"/>
    <n v="4550.8999999999996"/>
    <x v="1"/>
    <x v="0"/>
    <x v="1"/>
    <x v="0"/>
    <x v="2"/>
    <s v="Nov"/>
    <s v="Q4"/>
    <x v="23"/>
    <n v="4"/>
    <n v="15.97"/>
  </r>
  <r>
    <s v="ORD00369"/>
    <d v="2025-10-25T00:00:00"/>
    <d v="2025-10-28T00:00:00"/>
    <s v="C0153"/>
    <x v="193"/>
    <s v="Small Business"/>
    <x v="3"/>
    <x v="12"/>
    <s v="P011"/>
    <x v="9"/>
    <x v="4"/>
    <n v="5"/>
    <n v="600"/>
    <x v="4"/>
    <n v="2700"/>
    <n v="1077.2"/>
    <x v="2"/>
    <x v="0"/>
    <x v="3"/>
    <x v="0"/>
    <x v="1"/>
    <s v="Oct"/>
    <s v="Q4"/>
    <x v="14"/>
    <n v="3"/>
    <n v="39.9"/>
  </r>
  <r>
    <s v="ORD01947"/>
    <d v="2025-06-18T00:00:00"/>
    <d v="2025-06-25T00:00:00"/>
    <s v="C0233"/>
    <x v="30"/>
    <s v="Small Business"/>
    <x v="1"/>
    <x v="13"/>
    <s v="P011"/>
    <x v="9"/>
    <x v="4"/>
    <n v="2"/>
    <n v="600"/>
    <x v="2"/>
    <n v="960"/>
    <n v="382.7"/>
    <x v="2"/>
    <x v="1"/>
    <x v="3"/>
    <x v="0"/>
    <x v="8"/>
    <s v="Jun"/>
    <s v="Q2"/>
    <x v="10"/>
    <n v="7"/>
    <n v="39.86"/>
  </r>
  <r>
    <s v="ORD01322"/>
    <d v="2024-07-23T00:00:00"/>
    <d v="2024-07-28T00:00:00"/>
    <s v="C0154"/>
    <x v="23"/>
    <s v="Small Business"/>
    <x v="0"/>
    <x v="2"/>
    <s v="P010"/>
    <x v="6"/>
    <x v="4"/>
    <n v="2"/>
    <n v="1800"/>
    <x v="3"/>
    <n v="3420"/>
    <n v="955.31"/>
    <x v="1"/>
    <x v="2"/>
    <x v="4"/>
    <x v="1"/>
    <x v="3"/>
    <s v="Jul"/>
    <s v="Q3"/>
    <x v="4"/>
    <n v="5"/>
    <n v="27.93"/>
  </r>
  <r>
    <s v="ORD00154"/>
    <d v="2025-10-24T00:00:00"/>
    <d v="2025-10-28T00:00:00"/>
    <s v="C0105"/>
    <x v="126"/>
    <s v="Corporate"/>
    <x v="0"/>
    <x v="10"/>
    <s v="P006"/>
    <x v="1"/>
    <x v="0"/>
    <n v="2"/>
    <n v="9500"/>
    <x v="0"/>
    <n v="19000"/>
    <n v="2800.55"/>
    <x v="2"/>
    <x v="1"/>
    <x v="0"/>
    <x v="0"/>
    <x v="1"/>
    <s v="Oct"/>
    <s v="Q4"/>
    <x v="14"/>
    <n v="4"/>
    <n v="14.74"/>
  </r>
  <r>
    <s v="ORD01952"/>
    <d v="2024-02-24T00:00:00"/>
    <d v="2024-03-01T00:00:00"/>
    <s v="C0039"/>
    <x v="68"/>
    <s v="Corporate"/>
    <x v="0"/>
    <x v="15"/>
    <s v="P008"/>
    <x v="11"/>
    <x v="1"/>
    <n v="4"/>
    <n v="250"/>
    <x v="0"/>
    <n v="1000"/>
    <n v="395.36"/>
    <x v="3"/>
    <x v="0"/>
    <x v="3"/>
    <x v="1"/>
    <x v="6"/>
    <s v="Feb"/>
    <s v="Q1"/>
    <x v="18"/>
    <n v="6"/>
    <n v="39.54"/>
  </r>
  <r>
    <s v="ORD01847"/>
    <d v="2025-03-11T00:00:00"/>
    <d v="2025-03-13T00:00:00"/>
    <s v="C0191"/>
    <x v="210"/>
    <s v="Corporate"/>
    <x v="2"/>
    <x v="3"/>
    <s v="P005"/>
    <x v="0"/>
    <x v="0"/>
    <n v="4"/>
    <n v="7000"/>
    <x v="0"/>
    <n v="28000"/>
    <n v="4931.16"/>
    <x v="4"/>
    <x v="1"/>
    <x v="2"/>
    <x v="0"/>
    <x v="0"/>
    <s v="Mar"/>
    <s v="Q1"/>
    <x v="0"/>
    <n v="2"/>
    <n v="17.61"/>
  </r>
  <r>
    <s v="ORD00170"/>
    <d v="2025-10-22T00:00:00"/>
    <d v="2025-10-23T00:00:00"/>
    <s v="C0256"/>
    <x v="112"/>
    <s v="Small Business"/>
    <x v="3"/>
    <x v="8"/>
    <s v="P007"/>
    <x v="10"/>
    <x v="0"/>
    <n v="2"/>
    <n v="6000"/>
    <x v="2"/>
    <n v="9600"/>
    <n v="2304"/>
    <x v="4"/>
    <x v="0"/>
    <x v="1"/>
    <x v="0"/>
    <x v="1"/>
    <s v="Oct"/>
    <s v="Q4"/>
    <x v="14"/>
    <n v="1"/>
    <n v="24"/>
  </r>
  <r>
    <s v="ORD01772"/>
    <d v="2024-12-04T00:00:00"/>
    <d v="2024-12-11T00:00:00"/>
    <s v="C0065"/>
    <x v="164"/>
    <s v="Consumer"/>
    <x v="0"/>
    <x v="11"/>
    <s v="P001"/>
    <x v="8"/>
    <x v="2"/>
    <n v="5"/>
    <n v="55000"/>
    <x v="1"/>
    <n v="233750"/>
    <n v="42075"/>
    <x v="5"/>
    <x v="2"/>
    <x v="4"/>
    <x v="1"/>
    <x v="10"/>
    <s v="Dec"/>
    <s v="Q4"/>
    <x v="16"/>
    <n v="7"/>
    <n v="18"/>
  </r>
  <r>
    <s v="ORD00692"/>
    <d v="2025-11-18T00:00:00"/>
    <d v="2025-11-24T00:00:00"/>
    <s v="C0028"/>
    <x v="211"/>
    <s v="Corporate"/>
    <x v="2"/>
    <x v="3"/>
    <s v="P012"/>
    <x v="4"/>
    <x v="3"/>
    <n v="2"/>
    <n v="3500"/>
    <x v="0"/>
    <n v="7000"/>
    <n v="2140.5"/>
    <x v="5"/>
    <x v="0"/>
    <x v="1"/>
    <x v="0"/>
    <x v="2"/>
    <s v="Nov"/>
    <s v="Q4"/>
    <x v="23"/>
    <n v="6"/>
    <n v="30.58"/>
  </r>
  <r>
    <s v="ORD01914"/>
    <d v="2024-09-28T00:00:00"/>
    <d v="2024-09-30T00:00:00"/>
    <s v="C0087"/>
    <x v="94"/>
    <s v="Consumer"/>
    <x v="0"/>
    <x v="2"/>
    <s v="P006"/>
    <x v="1"/>
    <x v="0"/>
    <n v="5"/>
    <n v="9500"/>
    <x v="0"/>
    <n v="47500"/>
    <n v="7827.1"/>
    <x v="5"/>
    <x v="2"/>
    <x v="2"/>
    <x v="1"/>
    <x v="9"/>
    <s v="Sep"/>
    <s v="Q3"/>
    <x v="20"/>
    <n v="2"/>
    <n v="16.48"/>
  </r>
  <r>
    <s v="ORD00631"/>
    <d v="2025-11-13T00:00:00"/>
    <d v="2025-11-20T00:00:00"/>
    <s v="C0262"/>
    <x v="175"/>
    <s v="Corporate"/>
    <x v="0"/>
    <x v="15"/>
    <s v="P001"/>
    <x v="8"/>
    <x v="2"/>
    <n v="1"/>
    <n v="55000"/>
    <x v="2"/>
    <n v="44000"/>
    <n v="6898.77"/>
    <x v="3"/>
    <x v="0"/>
    <x v="4"/>
    <x v="0"/>
    <x v="2"/>
    <s v="Nov"/>
    <s v="Q4"/>
    <x v="23"/>
    <n v="7"/>
    <n v="15.68"/>
  </r>
  <r>
    <s v="ORD00242"/>
    <d v="2025-07-08T00:00:00"/>
    <d v="2025-07-09T00:00:00"/>
    <s v="C0013"/>
    <x v="212"/>
    <s v="Corporate"/>
    <x v="0"/>
    <x v="2"/>
    <s v="P004"/>
    <x v="7"/>
    <x v="2"/>
    <n v="1"/>
    <n v="8000"/>
    <x v="2"/>
    <n v="6400"/>
    <n v="1563.81"/>
    <x v="3"/>
    <x v="0"/>
    <x v="0"/>
    <x v="0"/>
    <x v="3"/>
    <s v="Jul"/>
    <s v="Q3"/>
    <x v="15"/>
    <n v="1"/>
    <n v="24.43"/>
  </r>
  <r>
    <s v="ORD00603"/>
    <d v="2024-04-23T00:00:00"/>
    <d v="2024-04-29T00:00:00"/>
    <s v="C0144"/>
    <x v="213"/>
    <s v="Small Business"/>
    <x v="1"/>
    <x v="13"/>
    <s v="P003"/>
    <x v="5"/>
    <x v="2"/>
    <n v="4"/>
    <n v="3000"/>
    <x v="3"/>
    <n v="11400"/>
    <n v="2966.13"/>
    <x v="4"/>
    <x v="1"/>
    <x v="1"/>
    <x v="1"/>
    <x v="5"/>
    <s v="Apr"/>
    <s v="Q2"/>
    <x v="6"/>
    <n v="6"/>
    <n v="26.02"/>
  </r>
  <r>
    <s v="ORD01094"/>
    <d v="2024-01-01T00:00:00"/>
    <d v="2024-01-06T00:00:00"/>
    <s v="C0181"/>
    <x v="134"/>
    <s v="Corporate"/>
    <x v="0"/>
    <x v="11"/>
    <s v="P011"/>
    <x v="9"/>
    <x v="4"/>
    <n v="1"/>
    <n v="600"/>
    <x v="0"/>
    <n v="600"/>
    <n v="191.54"/>
    <x v="1"/>
    <x v="2"/>
    <x v="1"/>
    <x v="1"/>
    <x v="11"/>
    <s v="Jan"/>
    <s v="Q1"/>
    <x v="21"/>
    <n v="5"/>
    <n v="31.92"/>
  </r>
  <r>
    <s v="ORD01691"/>
    <d v="2025-07-05T00:00:00"/>
    <d v="2025-07-06T00:00:00"/>
    <s v="C0051"/>
    <x v="106"/>
    <s v="Consumer"/>
    <x v="2"/>
    <x v="3"/>
    <s v="P008"/>
    <x v="11"/>
    <x v="1"/>
    <n v="2"/>
    <n v="250"/>
    <x v="0"/>
    <n v="500"/>
    <n v="203"/>
    <x v="5"/>
    <x v="0"/>
    <x v="4"/>
    <x v="0"/>
    <x v="3"/>
    <s v="Jul"/>
    <s v="Q3"/>
    <x v="15"/>
    <n v="1"/>
    <n v="40.6"/>
  </r>
  <r>
    <s v="ORD01728"/>
    <d v="2025-07-17T00:00:00"/>
    <d v="2025-07-25T00:00:00"/>
    <s v="C0221"/>
    <x v="128"/>
    <s v="Consumer"/>
    <x v="3"/>
    <x v="8"/>
    <s v="P009"/>
    <x v="2"/>
    <x v="1"/>
    <n v="1"/>
    <n v="180"/>
    <x v="4"/>
    <n v="162"/>
    <n v="54.2"/>
    <x v="0"/>
    <x v="2"/>
    <x v="2"/>
    <x v="0"/>
    <x v="3"/>
    <s v="Jul"/>
    <s v="Q3"/>
    <x v="15"/>
    <n v="8"/>
    <n v="33.46"/>
  </r>
  <r>
    <s v="ORD01737"/>
    <d v="2024-04-20T00:00:00"/>
    <d v="2024-04-24T00:00:00"/>
    <s v="C0090"/>
    <x v="58"/>
    <s v="Consumer"/>
    <x v="0"/>
    <x v="10"/>
    <s v="P004"/>
    <x v="7"/>
    <x v="2"/>
    <n v="1"/>
    <n v="8000"/>
    <x v="2"/>
    <n v="6400"/>
    <n v="1636.53"/>
    <x v="3"/>
    <x v="0"/>
    <x v="0"/>
    <x v="1"/>
    <x v="5"/>
    <s v="Apr"/>
    <s v="Q2"/>
    <x v="6"/>
    <n v="4"/>
    <n v="25.57"/>
  </r>
  <r>
    <s v="ORD01235"/>
    <d v="2024-03-24T00:00:00"/>
    <d v="2024-03-28T00:00:00"/>
    <s v="C0192"/>
    <x v="214"/>
    <s v="Consumer"/>
    <x v="3"/>
    <x v="8"/>
    <s v="P008"/>
    <x v="11"/>
    <x v="1"/>
    <n v="4"/>
    <n v="250"/>
    <x v="0"/>
    <n v="1000"/>
    <n v="400"/>
    <x v="5"/>
    <x v="2"/>
    <x v="2"/>
    <x v="1"/>
    <x v="0"/>
    <s v="Mar"/>
    <s v="Q1"/>
    <x v="2"/>
    <n v="4"/>
    <n v="40"/>
  </r>
  <r>
    <s v="ORD01380"/>
    <d v="2025-02-19T00:00:00"/>
    <d v="2025-02-26T00:00:00"/>
    <s v="C0047"/>
    <x v="215"/>
    <s v="Corporate"/>
    <x v="2"/>
    <x v="14"/>
    <s v="P011"/>
    <x v="9"/>
    <x v="4"/>
    <n v="1"/>
    <n v="600"/>
    <x v="3"/>
    <n v="570"/>
    <n v="207.02"/>
    <x v="4"/>
    <x v="1"/>
    <x v="0"/>
    <x v="0"/>
    <x v="6"/>
    <s v="Feb"/>
    <s v="Q1"/>
    <x v="7"/>
    <n v="7"/>
    <n v="36.32"/>
  </r>
  <r>
    <s v="ORD00024"/>
    <d v="2024-05-18T00:00:00"/>
    <d v="2024-05-25T00:00:00"/>
    <s v="C0121"/>
    <x v="207"/>
    <s v="Consumer"/>
    <x v="3"/>
    <x v="12"/>
    <s v="P009"/>
    <x v="2"/>
    <x v="1"/>
    <n v="1"/>
    <n v="180"/>
    <x v="0"/>
    <n v="180"/>
    <n v="78.42"/>
    <x v="1"/>
    <x v="2"/>
    <x v="2"/>
    <x v="1"/>
    <x v="4"/>
    <s v="May"/>
    <s v="Q2"/>
    <x v="8"/>
    <n v="7"/>
    <n v="43.57"/>
  </r>
  <r>
    <s v="ORD00658"/>
    <d v="2024-07-12T00:00:00"/>
    <d v="2024-07-18T00:00:00"/>
    <s v="C0149"/>
    <x v="114"/>
    <s v="Corporate"/>
    <x v="0"/>
    <x v="2"/>
    <s v="P007"/>
    <x v="10"/>
    <x v="0"/>
    <n v="4"/>
    <n v="6000"/>
    <x v="2"/>
    <n v="19200"/>
    <n v="4704.6499999999996"/>
    <x v="4"/>
    <x v="0"/>
    <x v="0"/>
    <x v="1"/>
    <x v="3"/>
    <s v="Jul"/>
    <s v="Q3"/>
    <x v="4"/>
    <n v="6"/>
    <n v="24.5"/>
  </r>
  <r>
    <s v="ORD00686"/>
    <d v="2024-03-26T00:00:00"/>
    <d v="2024-04-02T00:00:00"/>
    <s v="C0011"/>
    <x v="216"/>
    <s v="Corporate"/>
    <x v="2"/>
    <x v="14"/>
    <s v="P001"/>
    <x v="8"/>
    <x v="2"/>
    <n v="1"/>
    <n v="55000"/>
    <x v="0"/>
    <n v="55000"/>
    <n v="10364"/>
    <x v="3"/>
    <x v="2"/>
    <x v="3"/>
    <x v="1"/>
    <x v="0"/>
    <s v="Mar"/>
    <s v="Q1"/>
    <x v="2"/>
    <n v="7"/>
    <n v="18.84"/>
  </r>
  <r>
    <s v="ORD01454"/>
    <d v="2025-12-25T00:00:00"/>
    <d v="2025-12-29T00:00:00"/>
    <s v="C0218"/>
    <x v="105"/>
    <s v="Corporate"/>
    <x v="2"/>
    <x v="3"/>
    <s v="P007"/>
    <x v="10"/>
    <x v="0"/>
    <n v="5"/>
    <n v="6000"/>
    <x v="1"/>
    <n v="25500"/>
    <n v="4924.37"/>
    <x v="0"/>
    <x v="1"/>
    <x v="4"/>
    <x v="0"/>
    <x v="10"/>
    <s v="Dec"/>
    <s v="Q4"/>
    <x v="19"/>
    <n v="4"/>
    <n v="19.309999999999999"/>
  </r>
  <r>
    <s v="ORD01293"/>
    <d v="2024-12-16T00:00:00"/>
    <d v="2024-12-21T00:00:00"/>
    <s v="C0126"/>
    <x v="110"/>
    <s v="Consumer"/>
    <x v="0"/>
    <x v="15"/>
    <s v="P005"/>
    <x v="0"/>
    <x v="0"/>
    <n v="2"/>
    <n v="7000"/>
    <x v="2"/>
    <n v="11200"/>
    <n v="2168.69"/>
    <x v="1"/>
    <x v="1"/>
    <x v="1"/>
    <x v="1"/>
    <x v="10"/>
    <s v="Dec"/>
    <s v="Q4"/>
    <x v="16"/>
    <n v="5"/>
    <n v="19.36"/>
  </r>
  <r>
    <s v="ORD00296"/>
    <d v="2024-12-18T00:00:00"/>
    <d v="2024-12-20T00:00:00"/>
    <s v="C0283"/>
    <x v="59"/>
    <s v="Small Business"/>
    <x v="1"/>
    <x v="13"/>
    <s v="P006"/>
    <x v="1"/>
    <x v="0"/>
    <n v="4"/>
    <n v="9500"/>
    <x v="1"/>
    <n v="32300"/>
    <n v="6668.97"/>
    <x v="3"/>
    <x v="0"/>
    <x v="0"/>
    <x v="1"/>
    <x v="10"/>
    <s v="Dec"/>
    <s v="Q4"/>
    <x v="16"/>
    <n v="2"/>
    <n v="20.65"/>
  </r>
  <r>
    <s v="ORD00363"/>
    <d v="2024-03-08T00:00:00"/>
    <d v="2024-03-15T00:00:00"/>
    <s v="C0004"/>
    <x v="119"/>
    <s v="Corporate"/>
    <x v="0"/>
    <x v="11"/>
    <s v="P011"/>
    <x v="9"/>
    <x v="4"/>
    <n v="1"/>
    <n v="600"/>
    <x v="1"/>
    <n v="510"/>
    <n v="195.63"/>
    <x v="2"/>
    <x v="0"/>
    <x v="1"/>
    <x v="1"/>
    <x v="0"/>
    <s v="Mar"/>
    <s v="Q1"/>
    <x v="2"/>
    <n v="7"/>
    <n v="38.36"/>
  </r>
  <r>
    <s v="ORD00390"/>
    <d v="2025-02-19T00:00:00"/>
    <d v="2025-02-24T00:00:00"/>
    <s v="C0093"/>
    <x v="127"/>
    <s v="Consumer"/>
    <x v="0"/>
    <x v="11"/>
    <s v="P009"/>
    <x v="2"/>
    <x v="1"/>
    <n v="2"/>
    <n v="180"/>
    <x v="4"/>
    <n v="324"/>
    <n v="139.25"/>
    <x v="2"/>
    <x v="0"/>
    <x v="0"/>
    <x v="0"/>
    <x v="6"/>
    <s v="Feb"/>
    <s v="Q1"/>
    <x v="7"/>
    <n v="5"/>
    <n v="42.98"/>
  </r>
  <r>
    <s v="ORD01397"/>
    <d v="2024-04-01T00:00:00"/>
    <d v="2024-04-08T00:00:00"/>
    <s v="C0062"/>
    <x v="92"/>
    <s v="Consumer"/>
    <x v="2"/>
    <x v="14"/>
    <s v="P006"/>
    <x v="1"/>
    <x v="0"/>
    <n v="1"/>
    <n v="9500"/>
    <x v="3"/>
    <n v="9025"/>
    <n v="1677.93"/>
    <x v="0"/>
    <x v="1"/>
    <x v="0"/>
    <x v="1"/>
    <x v="5"/>
    <s v="Apr"/>
    <s v="Q2"/>
    <x v="6"/>
    <n v="7"/>
    <n v="18.59"/>
  </r>
  <r>
    <s v="ORD01631"/>
    <d v="2024-06-08T00:00:00"/>
    <d v="2024-06-12T00:00:00"/>
    <s v="C0036"/>
    <x v="217"/>
    <s v="Consumer"/>
    <x v="2"/>
    <x v="9"/>
    <s v="P002"/>
    <x v="3"/>
    <x v="2"/>
    <n v="4"/>
    <n v="25000"/>
    <x v="2"/>
    <n v="80000"/>
    <n v="12898.09"/>
    <x v="2"/>
    <x v="1"/>
    <x v="2"/>
    <x v="1"/>
    <x v="8"/>
    <s v="Jun"/>
    <s v="Q2"/>
    <x v="12"/>
    <n v="4"/>
    <n v="16.12"/>
  </r>
  <r>
    <s v="ORD00485"/>
    <d v="2025-11-07T00:00:00"/>
    <d v="2025-11-09T00:00:00"/>
    <s v="C0035"/>
    <x v="33"/>
    <s v="Consumer"/>
    <x v="3"/>
    <x v="8"/>
    <s v="P007"/>
    <x v="10"/>
    <x v="0"/>
    <n v="4"/>
    <n v="6000"/>
    <x v="1"/>
    <n v="20400"/>
    <n v="4132.6499999999996"/>
    <x v="2"/>
    <x v="1"/>
    <x v="0"/>
    <x v="0"/>
    <x v="2"/>
    <s v="Nov"/>
    <s v="Q4"/>
    <x v="23"/>
    <n v="2"/>
    <n v="20.260000000000002"/>
  </r>
  <r>
    <s v="ORD00471"/>
    <d v="2025-10-19T00:00:00"/>
    <d v="2025-10-20T00:00:00"/>
    <s v="C0049"/>
    <x v="194"/>
    <s v="Consumer"/>
    <x v="1"/>
    <x v="1"/>
    <s v="P010"/>
    <x v="6"/>
    <x v="4"/>
    <n v="3"/>
    <n v="1800"/>
    <x v="4"/>
    <n v="4860"/>
    <n v="1450.3"/>
    <x v="3"/>
    <x v="1"/>
    <x v="0"/>
    <x v="0"/>
    <x v="1"/>
    <s v="Oct"/>
    <s v="Q4"/>
    <x v="14"/>
    <n v="1"/>
    <n v="29.84"/>
  </r>
  <r>
    <s v="ORD00547"/>
    <d v="2025-11-26T00:00:00"/>
    <d v="2025-12-02T00:00:00"/>
    <s v="C0154"/>
    <x v="23"/>
    <s v="Small Business"/>
    <x v="0"/>
    <x v="2"/>
    <s v="P010"/>
    <x v="6"/>
    <x v="4"/>
    <n v="5"/>
    <n v="1800"/>
    <x v="3"/>
    <n v="8550"/>
    <n v="2953.95"/>
    <x v="2"/>
    <x v="2"/>
    <x v="3"/>
    <x v="0"/>
    <x v="2"/>
    <s v="Nov"/>
    <s v="Q4"/>
    <x v="23"/>
    <n v="6"/>
    <n v="34.549999999999997"/>
  </r>
  <r>
    <s v="ORD01977"/>
    <d v="2025-09-27T00:00:00"/>
    <d v="2025-10-02T00:00:00"/>
    <s v="C0208"/>
    <x v="218"/>
    <s v="Small Business"/>
    <x v="2"/>
    <x v="3"/>
    <s v="P012"/>
    <x v="4"/>
    <x v="3"/>
    <n v="1"/>
    <n v="3500"/>
    <x v="0"/>
    <n v="3500"/>
    <n v="925.18"/>
    <x v="5"/>
    <x v="0"/>
    <x v="2"/>
    <x v="0"/>
    <x v="9"/>
    <s v="Sep"/>
    <s v="Q3"/>
    <x v="11"/>
    <n v="5"/>
    <n v="26.43"/>
  </r>
  <r>
    <s v="ORD00143"/>
    <d v="2024-07-03T00:00:00"/>
    <d v="2024-07-10T00:00:00"/>
    <s v="C0147"/>
    <x v="219"/>
    <s v="Small Business"/>
    <x v="3"/>
    <x v="6"/>
    <s v="P007"/>
    <x v="10"/>
    <x v="0"/>
    <n v="3"/>
    <n v="6000"/>
    <x v="2"/>
    <n v="14400"/>
    <n v="3306.04"/>
    <x v="6"/>
    <x v="1"/>
    <x v="0"/>
    <x v="1"/>
    <x v="3"/>
    <s v="Jul"/>
    <s v="Q3"/>
    <x v="4"/>
    <n v="7"/>
    <n v="22.96"/>
  </r>
  <r>
    <s v="ORD00931"/>
    <d v="2025-02-02T00:00:00"/>
    <m/>
    <s v="C0088"/>
    <x v="186"/>
    <s v="Corporate"/>
    <x v="0"/>
    <x v="11"/>
    <s v="P006"/>
    <x v="1"/>
    <x v="0"/>
    <n v="1"/>
    <n v="9500"/>
    <x v="2"/>
    <n v="7600"/>
    <n v="1514.71"/>
    <x v="0"/>
    <x v="2"/>
    <x v="2"/>
    <x v="0"/>
    <x v="6"/>
    <s v="Feb"/>
    <s v="Q1"/>
    <x v="7"/>
    <s v=""/>
    <n v="19.93"/>
  </r>
  <r>
    <s v="ORD00820"/>
    <d v="2024-07-13T00:00:00"/>
    <d v="2024-07-19T00:00:00"/>
    <s v="C0074"/>
    <x v="141"/>
    <s v="Consumer"/>
    <x v="2"/>
    <x v="14"/>
    <s v="P003"/>
    <x v="5"/>
    <x v="2"/>
    <n v="1"/>
    <n v="3000"/>
    <x v="3"/>
    <n v="2850"/>
    <n v="835.97"/>
    <x v="1"/>
    <x v="1"/>
    <x v="2"/>
    <x v="1"/>
    <x v="3"/>
    <s v="Jul"/>
    <s v="Q3"/>
    <x v="4"/>
    <n v="6"/>
    <n v="29.33"/>
  </r>
  <r>
    <s v="ORD00481"/>
    <d v="2024-05-31T00:00:00"/>
    <d v="2024-06-06T00:00:00"/>
    <s v="C0125"/>
    <x v="120"/>
    <s v="Consumer"/>
    <x v="2"/>
    <x v="4"/>
    <s v="P010"/>
    <x v="6"/>
    <x v="4"/>
    <n v="4"/>
    <n v="1800"/>
    <x v="2"/>
    <n v="5760"/>
    <n v="1643.19"/>
    <x v="5"/>
    <x v="0"/>
    <x v="4"/>
    <x v="1"/>
    <x v="4"/>
    <s v="May"/>
    <s v="Q2"/>
    <x v="8"/>
    <n v="6"/>
    <n v="28.53"/>
  </r>
  <r>
    <s v="ORD00545"/>
    <d v="2025-05-21T00:00:00"/>
    <d v="2025-05-24T00:00:00"/>
    <s v="C0195"/>
    <x v="220"/>
    <s v="Corporate"/>
    <x v="1"/>
    <x v="5"/>
    <s v="P006"/>
    <x v="1"/>
    <x v="0"/>
    <n v="2"/>
    <n v="9500"/>
    <x v="0"/>
    <n v="19000"/>
    <n v="2797.61"/>
    <x v="1"/>
    <x v="2"/>
    <x v="3"/>
    <x v="0"/>
    <x v="4"/>
    <s v="May"/>
    <s v="Q2"/>
    <x v="5"/>
    <n v="3"/>
    <n v="14.72"/>
  </r>
  <r>
    <s v="ORD01742"/>
    <d v="2024-04-30T00:00:00"/>
    <d v="2024-05-07T00:00:00"/>
    <s v="C0209"/>
    <x v="79"/>
    <s v="Small Business"/>
    <x v="1"/>
    <x v="5"/>
    <s v="P011"/>
    <x v="9"/>
    <x v="4"/>
    <n v="10"/>
    <n v="600"/>
    <x v="1"/>
    <n v="5100"/>
    <n v="1795.57"/>
    <x v="3"/>
    <x v="0"/>
    <x v="1"/>
    <x v="1"/>
    <x v="5"/>
    <s v="Apr"/>
    <s v="Q2"/>
    <x v="6"/>
    <n v="7"/>
    <n v="35.21"/>
  </r>
  <r>
    <s v="ORD01510"/>
    <d v="2025-07-26T00:00:00"/>
    <d v="2025-07-27T00:00:00"/>
    <s v="C0289"/>
    <x v="221"/>
    <s v="Corporate"/>
    <x v="0"/>
    <x v="11"/>
    <s v="P007"/>
    <x v="10"/>
    <x v="0"/>
    <n v="5"/>
    <n v="6000"/>
    <x v="3"/>
    <n v="28500"/>
    <n v="6954.81"/>
    <x v="3"/>
    <x v="1"/>
    <x v="3"/>
    <x v="0"/>
    <x v="3"/>
    <s v="Jul"/>
    <s v="Q3"/>
    <x v="15"/>
    <n v="1"/>
    <n v="24.4"/>
  </r>
  <r>
    <s v="ORD00475"/>
    <d v="2024-05-15T00:00:00"/>
    <d v="2024-05-16T00:00:00"/>
    <s v="C0202"/>
    <x v="222"/>
    <s v="Small Business"/>
    <x v="2"/>
    <x v="9"/>
    <s v="P003"/>
    <x v="5"/>
    <x v="2"/>
    <n v="1"/>
    <n v="3000"/>
    <x v="3"/>
    <n v="2850"/>
    <n v="793.93"/>
    <x v="1"/>
    <x v="1"/>
    <x v="4"/>
    <x v="1"/>
    <x v="4"/>
    <s v="May"/>
    <s v="Q2"/>
    <x v="8"/>
    <n v="1"/>
    <n v="27.86"/>
  </r>
  <r>
    <s v="ORD00787"/>
    <d v="2024-08-03T00:00:00"/>
    <m/>
    <s v="C0144"/>
    <x v="213"/>
    <s v="Small Business"/>
    <x v="1"/>
    <x v="13"/>
    <s v="P007"/>
    <x v="10"/>
    <x v="0"/>
    <n v="2"/>
    <n v="6000"/>
    <x v="2"/>
    <n v="9600"/>
    <n v="1906.15"/>
    <x v="6"/>
    <x v="1"/>
    <x v="0"/>
    <x v="1"/>
    <x v="7"/>
    <s v="Aug"/>
    <s v="Q3"/>
    <x v="9"/>
    <s v=""/>
    <n v="19.86"/>
  </r>
  <r>
    <s v="ORD00107"/>
    <d v="2025-08-14T00:00:00"/>
    <d v="2025-08-22T00:00:00"/>
    <s v="C0082"/>
    <x v="223"/>
    <s v="Corporate"/>
    <x v="0"/>
    <x v="10"/>
    <s v="P006"/>
    <x v="1"/>
    <x v="0"/>
    <n v="3"/>
    <n v="9500"/>
    <x v="0"/>
    <n v="28500"/>
    <n v="5700"/>
    <x v="1"/>
    <x v="1"/>
    <x v="0"/>
    <x v="0"/>
    <x v="7"/>
    <s v="Aug"/>
    <s v="Q3"/>
    <x v="22"/>
    <n v="8"/>
    <n v="20"/>
  </r>
  <r>
    <s v="ORD00808"/>
    <d v="2025-06-05T00:00:00"/>
    <d v="2025-06-13T00:00:00"/>
    <s v="C0065"/>
    <x v="164"/>
    <s v="Consumer"/>
    <x v="0"/>
    <x v="11"/>
    <s v="P011"/>
    <x v="9"/>
    <x v="4"/>
    <n v="1"/>
    <n v="600"/>
    <x v="3"/>
    <n v="570"/>
    <n v="193.33"/>
    <x v="4"/>
    <x v="0"/>
    <x v="2"/>
    <x v="0"/>
    <x v="8"/>
    <s v="Jun"/>
    <s v="Q2"/>
    <x v="10"/>
    <n v="8"/>
    <n v="33.92"/>
  </r>
  <r>
    <s v="ORD00554"/>
    <d v="2025-05-25T00:00:00"/>
    <d v="2025-05-30T00:00:00"/>
    <s v="C0004"/>
    <x v="119"/>
    <s v="Corporate"/>
    <x v="0"/>
    <x v="11"/>
    <s v="P010"/>
    <x v="6"/>
    <x v="4"/>
    <n v="4"/>
    <n v="1800"/>
    <x v="0"/>
    <n v="7200"/>
    <n v="2481.83"/>
    <x v="0"/>
    <x v="2"/>
    <x v="1"/>
    <x v="0"/>
    <x v="4"/>
    <s v="May"/>
    <s v="Q2"/>
    <x v="5"/>
    <n v="5"/>
    <n v="34.47"/>
  </r>
  <r>
    <s v="ORD00093"/>
    <d v="2024-10-19T00:00:00"/>
    <d v="2024-10-21T00:00:00"/>
    <s v="C0110"/>
    <x v="204"/>
    <s v="Small Business"/>
    <x v="0"/>
    <x v="0"/>
    <s v="P010"/>
    <x v="6"/>
    <x v="4"/>
    <n v="10"/>
    <n v="1800"/>
    <x v="0"/>
    <n v="18000"/>
    <n v="4719.05"/>
    <x v="0"/>
    <x v="0"/>
    <x v="0"/>
    <x v="1"/>
    <x v="1"/>
    <s v="Oct"/>
    <s v="Q4"/>
    <x v="1"/>
    <n v="2"/>
    <n v="26.22"/>
  </r>
  <r>
    <s v="ORD00973"/>
    <d v="2024-08-25T00:00:00"/>
    <d v="2024-09-02T00:00:00"/>
    <s v="C0080"/>
    <x v="173"/>
    <s v="Corporate"/>
    <x v="2"/>
    <x v="9"/>
    <s v="P008"/>
    <x v="11"/>
    <x v="1"/>
    <n v="3"/>
    <n v="250"/>
    <x v="3"/>
    <n v="712.5"/>
    <n v="241.52"/>
    <x v="2"/>
    <x v="1"/>
    <x v="2"/>
    <x v="1"/>
    <x v="7"/>
    <s v="Aug"/>
    <s v="Q3"/>
    <x v="9"/>
    <n v="8"/>
    <n v="33.9"/>
  </r>
  <r>
    <s v="ORD00546"/>
    <d v="2024-06-01T00:00:00"/>
    <d v="2024-06-09T00:00:00"/>
    <s v="C0076"/>
    <x v="224"/>
    <s v="Corporate"/>
    <x v="2"/>
    <x v="4"/>
    <s v="P011"/>
    <x v="9"/>
    <x v="4"/>
    <n v="2"/>
    <n v="600"/>
    <x v="0"/>
    <n v="1200"/>
    <n v="390.33"/>
    <x v="4"/>
    <x v="0"/>
    <x v="4"/>
    <x v="1"/>
    <x v="8"/>
    <s v="Jun"/>
    <s v="Q2"/>
    <x v="12"/>
    <n v="8"/>
    <n v="32.53"/>
  </r>
  <r>
    <s v="ORD00289"/>
    <d v="2025-09-25T00:00:00"/>
    <d v="2025-10-02T00:00:00"/>
    <s v="C0207"/>
    <x v="152"/>
    <s v="Small Business"/>
    <x v="2"/>
    <x v="3"/>
    <s v="P003"/>
    <x v="5"/>
    <x v="2"/>
    <n v="2"/>
    <n v="3000"/>
    <x v="1"/>
    <n v="5100"/>
    <n v="1530"/>
    <x v="3"/>
    <x v="2"/>
    <x v="2"/>
    <x v="0"/>
    <x v="9"/>
    <s v="Sep"/>
    <s v="Q3"/>
    <x v="11"/>
    <n v="7"/>
    <n v="30"/>
  </r>
  <r>
    <s v="ORD00442"/>
    <d v="2025-12-18T00:00:00"/>
    <d v="2025-12-19T00:00:00"/>
    <s v="C0232"/>
    <x v="78"/>
    <s v="Small Business"/>
    <x v="1"/>
    <x v="1"/>
    <s v="P005"/>
    <x v="0"/>
    <x v="0"/>
    <n v="1"/>
    <n v="7000"/>
    <x v="0"/>
    <n v="7000"/>
    <n v="1171.72"/>
    <x v="4"/>
    <x v="0"/>
    <x v="4"/>
    <x v="0"/>
    <x v="10"/>
    <s v="Dec"/>
    <s v="Q4"/>
    <x v="19"/>
    <n v="1"/>
    <n v="16.739999999999998"/>
  </r>
  <r>
    <s v="ORD00150"/>
    <d v="2024-05-26T00:00:00"/>
    <d v="2024-05-31T00:00:00"/>
    <s v="C0122"/>
    <x v="44"/>
    <s v="Corporate"/>
    <x v="2"/>
    <x v="14"/>
    <s v="P005"/>
    <x v="0"/>
    <x v="0"/>
    <n v="10"/>
    <n v="7000"/>
    <x v="4"/>
    <n v="63000"/>
    <n v="13860"/>
    <x v="3"/>
    <x v="0"/>
    <x v="1"/>
    <x v="1"/>
    <x v="4"/>
    <s v="May"/>
    <s v="Q2"/>
    <x v="8"/>
    <n v="5"/>
    <n v="22"/>
  </r>
  <r>
    <s v="ORD01089"/>
    <d v="2024-06-28T00:00:00"/>
    <d v="2024-07-04T00:00:00"/>
    <s v="C0231"/>
    <x v="32"/>
    <s v="Small Business"/>
    <x v="1"/>
    <x v="1"/>
    <s v="P009"/>
    <x v="2"/>
    <x v="1"/>
    <n v="1"/>
    <n v="180"/>
    <x v="1"/>
    <n v="153"/>
    <n v="57.8"/>
    <x v="0"/>
    <x v="2"/>
    <x v="0"/>
    <x v="1"/>
    <x v="8"/>
    <s v="Jun"/>
    <s v="Q2"/>
    <x v="12"/>
    <n v="6"/>
    <n v="37.78"/>
  </r>
  <r>
    <s v="ORD01570"/>
    <d v="2024-01-23T00:00:00"/>
    <d v="2024-01-24T00:00:00"/>
    <s v="C0232"/>
    <x v="78"/>
    <s v="Small Business"/>
    <x v="1"/>
    <x v="1"/>
    <s v="P012"/>
    <x v="4"/>
    <x v="3"/>
    <n v="1"/>
    <n v="3500"/>
    <x v="0"/>
    <n v="3500"/>
    <n v="945.07"/>
    <x v="0"/>
    <x v="1"/>
    <x v="0"/>
    <x v="1"/>
    <x v="11"/>
    <s v="Jan"/>
    <s v="Q1"/>
    <x v="21"/>
    <n v="1"/>
    <n v="27"/>
  </r>
  <r>
    <s v="ORD00581"/>
    <d v="2025-07-21T00:00:00"/>
    <d v="2025-07-26T00:00:00"/>
    <s v="C0104"/>
    <x v="225"/>
    <s v="Corporate"/>
    <x v="0"/>
    <x v="11"/>
    <s v="P003"/>
    <x v="5"/>
    <x v="2"/>
    <n v="1"/>
    <n v="3000"/>
    <x v="3"/>
    <n v="2850"/>
    <n v="824.47"/>
    <x v="5"/>
    <x v="1"/>
    <x v="3"/>
    <x v="0"/>
    <x v="3"/>
    <s v="Jul"/>
    <s v="Q3"/>
    <x v="15"/>
    <n v="5"/>
    <n v="28.93"/>
  </r>
  <r>
    <s v="ORD01353"/>
    <d v="2025-05-10T00:00:00"/>
    <d v="2025-05-17T00:00:00"/>
    <s v="C0293"/>
    <x v="53"/>
    <s v="Corporate"/>
    <x v="1"/>
    <x v="16"/>
    <s v="P008"/>
    <x v="11"/>
    <x v="1"/>
    <n v="4"/>
    <n v="250"/>
    <x v="0"/>
    <n v="1000"/>
    <n v="380.59"/>
    <x v="0"/>
    <x v="0"/>
    <x v="0"/>
    <x v="0"/>
    <x v="4"/>
    <s v="May"/>
    <s v="Q2"/>
    <x v="5"/>
    <n v="7"/>
    <n v="38.06"/>
  </r>
  <r>
    <s v="ORD01054"/>
    <d v="2024-01-31T00:00:00"/>
    <d v="2024-02-03T00:00:00"/>
    <s v="C0181"/>
    <x v="134"/>
    <s v="Corporate"/>
    <x v="0"/>
    <x v="11"/>
    <s v="P007"/>
    <x v="10"/>
    <x v="0"/>
    <n v="1"/>
    <n v="6000"/>
    <x v="2"/>
    <n v="4800"/>
    <n v="955.09"/>
    <x v="3"/>
    <x v="0"/>
    <x v="3"/>
    <x v="1"/>
    <x v="11"/>
    <s v="Jan"/>
    <s v="Q1"/>
    <x v="21"/>
    <n v="3"/>
    <n v="19.899999999999999"/>
  </r>
  <r>
    <s v="ORD00011"/>
    <d v="2025-01-18T00:00:00"/>
    <d v="2025-01-21T00:00:00"/>
    <s v="C0151"/>
    <x v="198"/>
    <s v="Corporate"/>
    <x v="1"/>
    <x v="1"/>
    <s v="P006"/>
    <x v="1"/>
    <x v="0"/>
    <n v="2"/>
    <n v="9500"/>
    <x v="0"/>
    <n v="19000"/>
    <n v="3467.37"/>
    <x v="4"/>
    <x v="0"/>
    <x v="3"/>
    <x v="0"/>
    <x v="11"/>
    <s v="Jan"/>
    <s v="Q1"/>
    <x v="17"/>
    <n v="3"/>
    <n v="18.25"/>
  </r>
  <r>
    <s v="ORD01426"/>
    <d v="2025-03-25T00:00:00"/>
    <d v="2025-03-29T00:00:00"/>
    <s v="C0172"/>
    <x v="226"/>
    <s v="Small Business"/>
    <x v="3"/>
    <x v="7"/>
    <s v="P011"/>
    <x v="9"/>
    <x v="4"/>
    <n v="1"/>
    <n v="600"/>
    <x v="3"/>
    <n v="570"/>
    <n v="157.63"/>
    <x v="1"/>
    <x v="2"/>
    <x v="4"/>
    <x v="0"/>
    <x v="0"/>
    <s v="Mar"/>
    <s v="Q1"/>
    <x v="0"/>
    <n v="4"/>
    <n v="27.65"/>
  </r>
  <r>
    <s v="ORD00987"/>
    <d v="2024-10-12T00:00:00"/>
    <d v="2024-10-19T00:00:00"/>
    <s v="C0219"/>
    <x v="60"/>
    <s v="Corporate"/>
    <x v="3"/>
    <x v="12"/>
    <s v="P012"/>
    <x v="4"/>
    <x v="3"/>
    <n v="1"/>
    <n v="3500"/>
    <x v="0"/>
    <n v="3500"/>
    <n v="865.48"/>
    <x v="3"/>
    <x v="1"/>
    <x v="0"/>
    <x v="1"/>
    <x v="1"/>
    <s v="Oct"/>
    <s v="Q4"/>
    <x v="1"/>
    <n v="7"/>
    <n v="24.73"/>
  </r>
  <r>
    <s v="ORD01558"/>
    <d v="2024-05-23T00:00:00"/>
    <d v="2024-05-24T00:00:00"/>
    <s v="C0161"/>
    <x v="62"/>
    <s v="Consumer"/>
    <x v="3"/>
    <x v="12"/>
    <s v="P002"/>
    <x v="3"/>
    <x v="2"/>
    <n v="1"/>
    <n v="25000"/>
    <x v="0"/>
    <n v="25000"/>
    <n v="3765.19"/>
    <x v="2"/>
    <x v="0"/>
    <x v="4"/>
    <x v="1"/>
    <x v="4"/>
    <s v="May"/>
    <s v="Q2"/>
    <x v="8"/>
    <n v="1"/>
    <n v="15.06"/>
  </r>
  <r>
    <s v="ORD00866"/>
    <d v="2024-12-05T00:00:00"/>
    <d v="2024-12-09T00:00:00"/>
    <s v="C0118"/>
    <x v="227"/>
    <s v="Corporate"/>
    <x v="0"/>
    <x v="2"/>
    <s v="P012"/>
    <x v="4"/>
    <x v="3"/>
    <n v="1"/>
    <n v="3500"/>
    <x v="0"/>
    <n v="3500"/>
    <n v="1190.17"/>
    <x v="5"/>
    <x v="2"/>
    <x v="2"/>
    <x v="1"/>
    <x v="10"/>
    <s v="Dec"/>
    <s v="Q4"/>
    <x v="16"/>
    <n v="4"/>
    <n v="34"/>
  </r>
  <r>
    <s v="ORD01731"/>
    <d v="2025-01-18T00:00:00"/>
    <d v="2025-01-24T00:00:00"/>
    <s v="C0120"/>
    <x v="4"/>
    <s v="Corporate"/>
    <x v="2"/>
    <x v="3"/>
    <s v="P011"/>
    <x v="9"/>
    <x v="4"/>
    <n v="2"/>
    <n v="600"/>
    <x v="0"/>
    <n v="1200"/>
    <n v="328.94"/>
    <x v="0"/>
    <x v="2"/>
    <x v="3"/>
    <x v="0"/>
    <x v="11"/>
    <s v="Jan"/>
    <s v="Q1"/>
    <x v="17"/>
    <n v="6"/>
    <n v="27.41"/>
  </r>
  <r>
    <s v="ORD01338"/>
    <d v="2024-01-17T00:00:00"/>
    <d v="2024-01-19T00:00:00"/>
    <s v="C0058"/>
    <x v="144"/>
    <s v="Small Business"/>
    <x v="1"/>
    <x v="1"/>
    <s v="P008"/>
    <x v="11"/>
    <x v="1"/>
    <n v="1"/>
    <n v="250"/>
    <x v="2"/>
    <n v="200"/>
    <n v="69.44"/>
    <x v="3"/>
    <x v="1"/>
    <x v="4"/>
    <x v="1"/>
    <x v="11"/>
    <s v="Jan"/>
    <s v="Q1"/>
    <x v="21"/>
    <n v="2"/>
    <n v="34.72"/>
  </r>
  <r>
    <s v="ORD00935"/>
    <d v="2024-03-22T00:00:00"/>
    <d v="2024-03-25T00:00:00"/>
    <s v="C0047"/>
    <x v="215"/>
    <s v="Corporate"/>
    <x v="2"/>
    <x v="14"/>
    <s v="P011"/>
    <x v="9"/>
    <x v="4"/>
    <n v="1"/>
    <n v="600"/>
    <x v="0"/>
    <n v="600"/>
    <n v="245.77"/>
    <x v="1"/>
    <x v="0"/>
    <x v="3"/>
    <x v="1"/>
    <x v="0"/>
    <s v="Mar"/>
    <s v="Q1"/>
    <x v="2"/>
    <n v="3"/>
    <n v="40.96"/>
  </r>
  <r>
    <s v="ORD00001"/>
    <d v="2025-12-23T00:00:00"/>
    <d v="2025-12-26T00:00:00"/>
    <s v="C0150"/>
    <x v="228"/>
    <s v="Small Business"/>
    <x v="2"/>
    <x v="9"/>
    <s v="P009"/>
    <x v="2"/>
    <x v="1"/>
    <n v="4"/>
    <n v="180"/>
    <x v="3"/>
    <n v="684"/>
    <n v="245.47"/>
    <x v="0"/>
    <x v="0"/>
    <x v="1"/>
    <x v="0"/>
    <x v="10"/>
    <s v="Dec"/>
    <s v="Q4"/>
    <x v="19"/>
    <n v="3"/>
    <n v="35.89"/>
  </r>
  <r>
    <s v="ORD00167"/>
    <d v="2025-06-23T00:00:00"/>
    <d v="2025-06-30T00:00:00"/>
    <s v="C0099"/>
    <x v="36"/>
    <s v="Small Business"/>
    <x v="0"/>
    <x v="0"/>
    <s v="P010"/>
    <x v="6"/>
    <x v="4"/>
    <n v="1"/>
    <n v="1800"/>
    <x v="0"/>
    <n v="1800"/>
    <n v="508.37"/>
    <x v="2"/>
    <x v="1"/>
    <x v="0"/>
    <x v="0"/>
    <x v="8"/>
    <s v="Jun"/>
    <s v="Q2"/>
    <x v="10"/>
    <n v="7"/>
    <n v="28.24"/>
  </r>
  <r>
    <s v="ORD00373"/>
    <d v="2024-12-04T00:00:00"/>
    <d v="2024-12-06T00:00:00"/>
    <s v="C0298"/>
    <x v="182"/>
    <s v="Consumer"/>
    <x v="0"/>
    <x v="10"/>
    <s v="P008"/>
    <x v="11"/>
    <x v="1"/>
    <n v="3"/>
    <n v="250"/>
    <x v="0"/>
    <n v="750"/>
    <n v="222.01"/>
    <x v="4"/>
    <x v="1"/>
    <x v="0"/>
    <x v="1"/>
    <x v="10"/>
    <s v="Dec"/>
    <s v="Q4"/>
    <x v="16"/>
    <n v="2"/>
    <n v="29.6"/>
  </r>
  <r>
    <s v="ORD00457"/>
    <d v="2025-09-19T00:00:00"/>
    <d v="2025-09-21T00:00:00"/>
    <s v="C0283"/>
    <x v="59"/>
    <s v="Small Business"/>
    <x v="1"/>
    <x v="13"/>
    <s v="P003"/>
    <x v="5"/>
    <x v="2"/>
    <n v="1"/>
    <n v="3000"/>
    <x v="3"/>
    <n v="2850"/>
    <n v="817.69"/>
    <x v="2"/>
    <x v="2"/>
    <x v="3"/>
    <x v="0"/>
    <x v="9"/>
    <s v="Sep"/>
    <s v="Q3"/>
    <x v="11"/>
    <n v="2"/>
    <n v="28.69"/>
  </r>
  <r>
    <s v="ORD01830"/>
    <d v="2025-09-15T00:00:00"/>
    <m/>
    <s v="C0256"/>
    <x v="112"/>
    <s v="Small Business"/>
    <x v="3"/>
    <x v="8"/>
    <s v="P002"/>
    <x v="3"/>
    <x v="2"/>
    <n v="10"/>
    <n v="25000"/>
    <x v="0"/>
    <n v="250000"/>
    <n v="32217.29"/>
    <x v="5"/>
    <x v="0"/>
    <x v="3"/>
    <x v="0"/>
    <x v="9"/>
    <s v="Sep"/>
    <s v="Q3"/>
    <x v="11"/>
    <s v=""/>
    <n v="12.89"/>
  </r>
  <r>
    <s v="ORD01912"/>
    <d v="2024-07-27T00:00:00"/>
    <d v="2024-08-04T00:00:00"/>
    <s v="C0085"/>
    <x v="229"/>
    <s v="Consumer"/>
    <x v="3"/>
    <x v="12"/>
    <s v="P001"/>
    <x v="8"/>
    <x v="2"/>
    <n v="2"/>
    <n v="55000"/>
    <x v="0"/>
    <n v="110000"/>
    <n v="19684.490000000002"/>
    <x v="3"/>
    <x v="0"/>
    <x v="0"/>
    <x v="1"/>
    <x v="3"/>
    <s v="Jul"/>
    <s v="Q3"/>
    <x v="4"/>
    <n v="8"/>
    <n v="17.89"/>
  </r>
  <r>
    <s v="ORD00899"/>
    <d v="2025-01-25T00:00:00"/>
    <d v="2025-02-01T00:00:00"/>
    <s v="C0176"/>
    <x v="230"/>
    <s v="Small Business"/>
    <x v="2"/>
    <x v="9"/>
    <s v="P007"/>
    <x v="10"/>
    <x v="0"/>
    <n v="3"/>
    <n v="6000"/>
    <x v="2"/>
    <n v="14400"/>
    <n v="3195.97"/>
    <x v="4"/>
    <x v="0"/>
    <x v="4"/>
    <x v="0"/>
    <x v="11"/>
    <s v="Jan"/>
    <s v="Q1"/>
    <x v="17"/>
    <n v="7"/>
    <n v="22.19"/>
  </r>
  <r>
    <s v="ORD00246"/>
    <d v="2024-09-24T00:00:00"/>
    <d v="2024-09-30T00:00:00"/>
    <s v="C0122"/>
    <x v="44"/>
    <s v="Corporate"/>
    <x v="2"/>
    <x v="14"/>
    <s v="P005"/>
    <x v="0"/>
    <x v="0"/>
    <n v="4"/>
    <n v="7000"/>
    <x v="2"/>
    <n v="22400"/>
    <n v="4224.1899999999996"/>
    <x v="3"/>
    <x v="1"/>
    <x v="4"/>
    <x v="1"/>
    <x v="9"/>
    <s v="Sep"/>
    <s v="Q3"/>
    <x v="20"/>
    <n v="6"/>
    <n v="18.86"/>
  </r>
  <r>
    <s v="ORD01968"/>
    <d v="2024-10-30T00:00:00"/>
    <d v="2024-11-07T00:00:00"/>
    <s v="C0036"/>
    <x v="217"/>
    <s v="Consumer"/>
    <x v="2"/>
    <x v="9"/>
    <s v="P008"/>
    <x v="11"/>
    <x v="1"/>
    <n v="4"/>
    <n v="250"/>
    <x v="2"/>
    <n v="800"/>
    <n v="317.23"/>
    <x v="3"/>
    <x v="2"/>
    <x v="2"/>
    <x v="1"/>
    <x v="1"/>
    <s v="Oct"/>
    <s v="Q4"/>
    <x v="1"/>
    <n v="8"/>
    <n v="39.65"/>
  </r>
  <r>
    <s v="ORD00685"/>
    <d v="2024-09-21T00:00:00"/>
    <d v="2024-09-24T00:00:00"/>
    <s v="C0070"/>
    <x v="31"/>
    <s v="Corporate"/>
    <x v="3"/>
    <x v="8"/>
    <s v="P001"/>
    <x v="8"/>
    <x v="2"/>
    <n v="3"/>
    <n v="55000"/>
    <x v="0"/>
    <n v="165000"/>
    <n v="28615.01"/>
    <x v="5"/>
    <x v="0"/>
    <x v="0"/>
    <x v="1"/>
    <x v="9"/>
    <s v="Sep"/>
    <s v="Q3"/>
    <x v="20"/>
    <n v="3"/>
    <n v="17.34"/>
  </r>
  <r>
    <s v="ORD00053"/>
    <d v="2024-06-21T00:00:00"/>
    <d v="2024-06-25T00:00:00"/>
    <s v="C0114"/>
    <x v="98"/>
    <s v="Small Business"/>
    <x v="3"/>
    <x v="6"/>
    <s v="P006"/>
    <x v="1"/>
    <x v="0"/>
    <n v="1"/>
    <n v="9500"/>
    <x v="1"/>
    <n v="8075"/>
    <n v="1204.1600000000001"/>
    <x v="3"/>
    <x v="1"/>
    <x v="2"/>
    <x v="1"/>
    <x v="8"/>
    <s v="Jun"/>
    <s v="Q2"/>
    <x v="12"/>
    <n v="4"/>
    <n v="14.91"/>
  </r>
  <r>
    <s v="ORD00230"/>
    <d v="2025-12-19T00:00:00"/>
    <d v="2025-12-24T00:00:00"/>
    <s v="C0213"/>
    <x v="116"/>
    <s v="Corporate"/>
    <x v="3"/>
    <x v="7"/>
    <s v="P007"/>
    <x v="10"/>
    <x v="0"/>
    <n v="2"/>
    <n v="6000"/>
    <x v="4"/>
    <n v="10800"/>
    <n v="2453.12"/>
    <x v="2"/>
    <x v="1"/>
    <x v="3"/>
    <x v="0"/>
    <x v="10"/>
    <s v="Dec"/>
    <s v="Q4"/>
    <x v="19"/>
    <n v="5"/>
    <n v="22.71"/>
  </r>
  <r>
    <s v="ORD00762"/>
    <d v="2025-01-21T00:00:00"/>
    <d v="2025-01-25T00:00:00"/>
    <s v="C0072"/>
    <x v="80"/>
    <s v="Consumer"/>
    <x v="0"/>
    <x v="0"/>
    <s v="P012"/>
    <x v="4"/>
    <x v="3"/>
    <n v="2"/>
    <n v="3500"/>
    <x v="0"/>
    <n v="7000"/>
    <n v="1662.28"/>
    <x v="3"/>
    <x v="1"/>
    <x v="3"/>
    <x v="0"/>
    <x v="11"/>
    <s v="Jan"/>
    <s v="Q1"/>
    <x v="17"/>
    <n v="4"/>
    <n v="23.75"/>
  </r>
  <r>
    <s v="ORD00408"/>
    <d v="2024-12-22T00:00:00"/>
    <d v="2024-12-26T00:00:00"/>
    <s v="C0287"/>
    <x v="2"/>
    <s v="Corporate"/>
    <x v="0"/>
    <x v="2"/>
    <s v="P010"/>
    <x v="6"/>
    <x v="4"/>
    <n v="4"/>
    <n v="1800"/>
    <x v="0"/>
    <n v="7200"/>
    <n v="2375.21"/>
    <x v="0"/>
    <x v="1"/>
    <x v="1"/>
    <x v="1"/>
    <x v="10"/>
    <s v="Dec"/>
    <s v="Q4"/>
    <x v="16"/>
    <n v="4"/>
    <n v="32.99"/>
  </r>
  <r>
    <s v="ORD00452"/>
    <d v="2025-10-22T00:00:00"/>
    <d v="2025-10-23T00:00:00"/>
    <s v="C0163"/>
    <x v="231"/>
    <s v="Small Business"/>
    <x v="2"/>
    <x v="14"/>
    <s v="P009"/>
    <x v="2"/>
    <x v="1"/>
    <n v="4"/>
    <n v="180"/>
    <x v="3"/>
    <n v="684"/>
    <n v="305.73"/>
    <x v="5"/>
    <x v="1"/>
    <x v="4"/>
    <x v="0"/>
    <x v="1"/>
    <s v="Oct"/>
    <s v="Q4"/>
    <x v="14"/>
    <n v="1"/>
    <n v="44.7"/>
  </r>
  <r>
    <s v="ORD01263"/>
    <d v="2024-04-24T00:00:00"/>
    <d v="2024-05-01T00:00:00"/>
    <s v="C0019"/>
    <x v="48"/>
    <s v="Consumer"/>
    <x v="2"/>
    <x v="4"/>
    <s v="P010"/>
    <x v="6"/>
    <x v="4"/>
    <n v="1"/>
    <n v="1800"/>
    <x v="0"/>
    <n v="1800"/>
    <n v="574.88"/>
    <x v="4"/>
    <x v="0"/>
    <x v="3"/>
    <x v="1"/>
    <x v="5"/>
    <s v="Apr"/>
    <s v="Q2"/>
    <x v="6"/>
    <n v="7"/>
    <n v="31.94"/>
  </r>
  <r>
    <s v="ORD01212"/>
    <d v="2025-03-02T00:00:00"/>
    <d v="2025-03-03T00:00:00"/>
    <s v="C0006"/>
    <x v="138"/>
    <s v="Small Business"/>
    <x v="2"/>
    <x v="14"/>
    <s v="P006"/>
    <x v="1"/>
    <x v="0"/>
    <n v="1"/>
    <n v="9500"/>
    <x v="3"/>
    <n v="9025"/>
    <n v="1311.91"/>
    <x v="3"/>
    <x v="2"/>
    <x v="2"/>
    <x v="0"/>
    <x v="0"/>
    <s v="Mar"/>
    <s v="Q1"/>
    <x v="0"/>
    <n v="1"/>
    <n v="14.54"/>
  </r>
  <r>
    <s v="ORD01863"/>
    <d v="2024-05-03T00:00:00"/>
    <d v="2024-05-08T00:00:00"/>
    <s v="C0225"/>
    <x v="56"/>
    <s v="Consumer"/>
    <x v="2"/>
    <x v="3"/>
    <s v="P011"/>
    <x v="9"/>
    <x v="4"/>
    <n v="4"/>
    <n v="600"/>
    <x v="3"/>
    <n v="2280"/>
    <n v="815.45"/>
    <x v="2"/>
    <x v="1"/>
    <x v="0"/>
    <x v="1"/>
    <x v="4"/>
    <s v="May"/>
    <s v="Q2"/>
    <x v="8"/>
    <n v="5"/>
    <n v="35.770000000000003"/>
  </r>
  <r>
    <s v="ORD00389"/>
    <d v="2025-08-29T00:00:00"/>
    <d v="2025-09-01T00:00:00"/>
    <s v="C0066"/>
    <x v="20"/>
    <s v="Consumer"/>
    <x v="1"/>
    <x v="1"/>
    <s v="P010"/>
    <x v="6"/>
    <x v="4"/>
    <n v="1"/>
    <n v="1800"/>
    <x v="1"/>
    <n v="1530"/>
    <n v="484.66"/>
    <x v="2"/>
    <x v="0"/>
    <x v="4"/>
    <x v="0"/>
    <x v="7"/>
    <s v="Aug"/>
    <s v="Q3"/>
    <x v="22"/>
    <n v="3"/>
    <n v="31.68"/>
  </r>
  <r>
    <s v="ORD01057"/>
    <d v="2024-08-10T00:00:00"/>
    <d v="2024-08-12T00:00:00"/>
    <s v="C0109"/>
    <x v="136"/>
    <s v="Corporate"/>
    <x v="1"/>
    <x v="1"/>
    <s v="P009"/>
    <x v="2"/>
    <x v="1"/>
    <n v="1"/>
    <n v="180"/>
    <x v="0"/>
    <n v="180"/>
    <n v="79.91"/>
    <x v="1"/>
    <x v="2"/>
    <x v="0"/>
    <x v="1"/>
    <x v="7"/>
    <s v="Aug"/>
    <s v="Q3"/>
    <x v="9"/>
    <n v="2"/>
    <n v="44.39"/>
  </r>
  <r>
    <s v="ORD01424"/>
    <d v="2024-01-15T00:00:00"/>
    <d v="2024-01-20T00:00:00"/>
    <s v="C0023"/>
    <x v="132"/>
    <s v="Small Business"/>
    <x v="1"/>
    <x v="16"/>
    <s v="P010"/>
    <x v="6"/>
    <x v="4"/>
    <n v="5"/>
    <n v="1800"/>
    <x v="0"/>
    <n v="9000"/>
    <n v="3287.95"/>
    <x v="4"/>
    <x v="1"/>
    <x v="0"/>
    <x v="1"/>
    <x v="11"/>
    <s v="Jan"/>
    <s v="Q1"/>
    <x v="21"/>
    <n v="5"/>
    <n v="36.53"/>
  </r>
  <r>
    <s v="ORD00043"/>
    <d v="2024-01-07T00:00:00"/>
    <d v="2024-01-14T00:00:00"/>
    <s v="C0174"/>
    <x v="100"/>
    <s v="Small Business"/>
    <x v="1"/>
    <x v="13"/>
    <s v="P006"/>
    <x v="1"/>
    <x v="0"/>
    <n v="1"/>
    <n v="9500"/>
    <x v="0"/>
    <n v="9500"/>
    <n v="1760.4"/>
    <x v="2"/>
    <x v="0"/>
    <x v="3"/>
    <x v="1"/>
    <x v="11"/>
    <s v="Jan"/>
    <s v="Q1"/>
    <x v="21"/>
    <n v="7"/>
    <n v="18.53"/>
  </r>
  <r>
    <s v="ORD01395"/>
    <d v="2025-11-28T00:00:00"/>
    <d v="2025-12-04T00:00:00"/>
    <s v="C0074"/>
    <x v="141"/>
    <s v="Consumer"/>
    <x v="2"/>
    <x v="14"/>
    <s v="P009"/>
    <x v="2"/>
    <x v="1"/>
    <n v="4"/>
    <n v="180"/>
    <x v="4"/>
    <n v="648"/>
    <n v="210.3"/>
    <x v="1"/>
    <x v="0"/>
    <x v="3"/>
    <x v="0"/>
    <x v="2"/>
    <s v="Nov"/>
    <s v="Q4"/>
    <x v="23"/>
    <n v="6"/>
    <n v="32.450000000000003"/>
  </r>
  <r>
    <s v="ORD01136"/>
    <d v="2024-01-16T00:00:00"/>
    <d v="2024-01-18T00:00:00"/>
    <s v="C0291"/>
    <x v="87"/>
    <s v="Small Business"/>
    <x v="1"/>
    <x v="1"/>
    <s v="P001"/>
    <x v="8"/>
    <x v="2"/>
    <n v="4"/>
    <n v="55000"/>
    <x v="0"/>
    <n v="220000"/>
    <n v="40591.93"/>
    <x v="2"/>
    <x v="0"/>
    <x v="0"/>
    <x v="1"/>
    <x v="11"/>
    <s v="Jan"/>
    <s v="Q1"/>
    <x v="21"/>
    <n v="2"/>
    <n v="18.45"/>
  </r>
  <r>
    <s v="ORD00134"/>
    <d v="2024-09-30T00:00:00"/>
    <m/>
    <s v="C0121"/>
    <x v="207"/>
    <s v="Consumer"/>
    <x v="3"/>
    <x v="12"/>
    <s v="P008"/>
    <x v="11"/>
    <x v="1"/>
    <n v="5"/>
    <n v="250"/>
    <x v="0"/>
    <n v="1250"/>
    <n v="466.49"/>
    <x v="3"/>
    <x v="2"/>
    <x v="4"/>
    <x v="1"/>
    <x v="9"/>
    <s v="Sep"/>
    <s v="Q3"/>
    <x v="20"/>
    <s v=""/>
    <n v="37.32"/>
  </r>
  <r>
    <s v="ORD00963"/>
    <d v="2024-04-30T00:00:00"/>
    <d v="2024-05-01T00:00:00"/>
    <s v="C0230"/>
    <x v="129"/>
    <s v="Corporate"/>
    <x v="3"/>
    <x v="12"/>
    <s v="P011"/>
    <x v="9"/>
    <x v="4"/>
    <n v="5"/>
    <n v="600"/>
    <x v="0"/>
    <n v="3000"/>
    <n v="1018.17"/>
    <x v="4"/>
    <x v="2"/>
    <x v="4"/>
    <x v="1"/>
    <x v="5"/>
    <s v="Apr"/>
    <s v="Q2"/>
    <x v="6"/>
    <n v="1"/>
    <n v="33.94"/>
  </r>
  <r>
    <s v="ORD00044"/>
    <d v="2025-06-27T00:00:00"/>
    <d v="2025-06-30T00:00:00"/>
    <s v="C0047"/>
    <x v="215"/>
    <s v="Corporate"/>
    <x v="2"/>
    <x v="14"/>
    <s v="P012"/>
    <x v="4"/>
    <x v="3"/>
    <n v="1"/>
    <n v="3500"/>
    <x v="3"/>
    <n v="3325"/>
    <n v="937.87"/>
    <x v="3"/>
    <x v="1"/>
    <x v="4"/>
    <x v="0"/>
    <x v="8"/>
    <s v="Jun"/>
    <s v="Q2"/>
    <x v="10"/>
    <n v="3"/>
    <n v="28.21"/>
  </r>
  <r>
    <s v="ORD00027"/>
    <d v="2024-10-09T00:00:00"/>
    <d v="2024-10-11T00:00:00"/>
    <s v="C0032"/>
    <x v="232"/>
    <s v="Corporate"/>
    <x v="3"/>
    <x v="12"/>
    <s v="P007"/>
    <x v="10"/>
    <x v="0"/>
    <n v="1"/>
    <n v="6000"/>
    <x v="2"/>
    <n v="4800"/>
    <n v="1186.19"/>
    <x v="5"/>
    <x v="0"/>
    <x v="1"/>
    <x v="1"/>
    <x v="1"/>
    <s v="Oct"/>
    <s v="Q4"/>
    <x v="1"/>
    <n v="2"/>
    <n v="24.71"/>
  </r>
  <r>
    <s v="ORD01230"/>
    <d v="2025-11-19T00:00:00"/>
    <d v="2025-11-25T00:00:00"/>
    <s v="C0009"/>
    <x v="233"/>
    <s v="Consumer"/>
    <x v="1"/>
    <x v="5"/>
    <s v="P006"/>
    <x v="1"/>
    <x v="0"/>
    <n v="1"/>
    <n v="9500"/>
    <x v="1"/>
    <n v="8075"/>
    <n v="1239.81"/>
    <x v="1"/>
    <x v="0"/>
    <x v="0"/>
    <x v="0"/>
    <x v="2"/>
    <s v="Nov"/>
    <s v="Q4"/>
    <x v="23"/>
    <n v="6"/>
    <n v="15.35"/>
  </r>
  <r>
    <s v="ORD00222"/>
    <d v="2025-10-18T00:00:00"/>
    <d v="2025-10-21T00:00:00"/>
    <s v="C0196"/>
    <x v="22"/>
    <s v="Consumer"/>
    <x v="0"/>
    <x v="11"/>
    <s v="P003"/>
    <x v="5"/>
    <x v="2"/>
    <n v="1"/>
    <n v="3000"/>
    <x v="4"/>
    <n v="2700"/>
    <n v="749.51"/>
    <x v="0"/>
    <x v="1"/>
    <x v="2"/>
    <x v="0"/>
    <x v="1"/>
    <s v="Oct"/>
    <s v="Q4"/>
    <x v="14"/>
    <n v="3"/>
    <n v="27.76"/>
  </r>
  <r>
    <s v="ORD01842"/>
    <d v="2024-05-06T00:00:00"/>
    <d v="2024-05-14T00:00:00"/>
    <s v="C0028"/>
    <x v="211"/>
    <s v="Corporate"/>
    <x v="2"/>
    <x v="3"/>
    <s v="P007"/>
    <x v="10"/>
    <x v="0"/>
    <n v="1"/>
    <n v="6000"/>
    <x v="0"/>
    <n v="6000"/>
    <n v="1284.08"/>
    <x v="3"/>
    <x v="0"/>
    <x v="2"/>
    <x v="1"/>
    <x v="4"/>
    <s v="May"/>
    <s v="Q2"/>
    <x v="8"/>
    <n v="8"/>
    <n v="21.4"/>
  </r>
  <r>
    <s v="ORD01924"/>
    <d v="2025-01-03T00:00:00"/>
    <d v="2025-01-07T00:00:00"/>
    <s v="C0131"/>
    <x v="156"/>
    <s v="Corporate"/>
    <x v="1"/>
    <x v="5"/>
    <s v="P011"/>
    <x v="9"/>
    <x v="4"/>
    <n v="1"/>
    <n v="600"/>
    <x v="3"/>
    <n v="570"/>
    <n v="156.25"/>
    <x v="1"/>
    <x v="1"/>
    <x v="3"/>
    <x v="0"/>
    <x v="11"/>
    <s v="Jan"/>
    <s v="Q1"/>
    <x v="17"/>
    <n v="4"/>
    <n v="27.41"/>
  </r>
  <r>
    <s v="ORD01673"/>
    <d v="2024-04-05T00:00:00"/>
    <m/>
    <s v="C0231"/>
    <x v="32"/>
    <s v="Small Business"/>
    <x v="1"/>
    <x v="1"/>
    <s v="P004"/>
    <x v="7"/>
    <x v="2"/>
    <n v="1"/>
    <n v="8000"/>
    <x v="0"/>
    <n v="8000"/>
    <n v="1889.42"/>
    <x v="3"/>
    <x v="2"/>
    <x v="1"/>
    <x v="1"/>
    <x v="5"/>
    <s v="Apr"/>
    <s v="Q2"/>
    <x v="6"/>
    <s v=""/>
    <n v="23.62"/>
  </r>
  <r>
    <s v="ORD00589"/>
    <d v="2024-11-25T00:00:00"/>
    <d v="2024-11-28T00:00:00"/>
    <s v="C0280"/>
    <x v="13"/>
    <s v="Consumer"/>
    <x v="3"/>
    <x v="8"/>
    <s v="P003"/>
    <x v="5"/>
    <x v="2"/>
    <n v="3"/>
    <n v="3000"/>
    <x v="2"/>
    <n v="7200"/>
    <n v="1551.39"/>
    <x v="3"/>
    <x v="0"/>
    <x v="3"/>
    <x v="1"/>
    <x v="2"/>
    <s v="Nov"/>
    <s v="Q4"/>
    <x v="3"/>
    <n v="3"/>
    <n v="21.55"/>
  </r>
  <r>
    <s v="ORD01634"/>
    <d v="2024-06-15T00:00:00"/>
    <d v="2024-06-19T00:00:00"/>
    <s v="C0045"/>
    <x v="49"/>
    <s v="Small Business"/>
    <x v="1"/>
    <x v="16"/>
    <s v="P002"/>
    <x v="3"/>
    <x v="2"/>
    <n v="1"/>
    <n v="25000"/>
    <x v="0"/>
    <n v="25000"/>
    <n v="3408.13"/>
    <x v="0"/>
    <x v="2"/>
    <x v="4"/>
    <x v="1"/>
    <x v="8"/>
    <s v="Jun"/>
    <s v="Q2"/>
    <x v="12"/>
    <n v="4"/>
    <n v="13.63"/>
  </r>
  <r>
    <s v="ORD00329"/>
    <d v="2025-03-02T00:00:00"/>
    <d v="2025-03-10T00:00:00"/>
    <s v="C0082"/>
    <x v="223"/>
    <s v="Corporate"/>
    <x v="0"/>
    <x v="10"/>
    <s v="P002"/>
    <x v="3"/>
    <x v="2"/>
    <n v="5"/>
    <n v="25000"/>
    <x v="3"/>
    <n v="118750"/>
    <n v="18184.89"/>
    <x v="4"/>
    <x v="2"/>
    <x v="0"/>
    <x v="0"/>
    <x v="0"/>
    <s v="Mar"/>
    <s v="Q1"/>
    <x v="0"/>
    <n v="8"/>
    <n v="15.31"/>
  </r>
  <r>
    <s v="ORD01369"/>
    <d v="2025-09-09T00:00:00"/>
    <d v="2025-09-17T00:00:00"/>
    <s v="C0053"/>
    <x v="234"/>
    <s v="Small Business"/>
    <x v="3"/>
    <x v="7"/>
    <s v="P002"/>
    <x v="3"/>
    <x v="2"/>
    <n v="5"/>
    <n v="25000"/>
    <x v="2"/>
    <n v="100000"/>
    <n v="12675.3"/>
    <x v="5"/>
    <x v="1"/>
    <x v="0"/>
    <x v="0"/>
    <x v="9"/>
    <s v="Sep"/>
    <s v="Q3"/>
    <x v="11"/>
    <n v="8"/>
    <n v="12.68"/>
  </r>
  <r>
    <s v="ORD01215"/>
    <d v="2024-11-09T00:00:00"/>
    <d v="2024-11-13T00:00:00"/>
    <s v="C0300"/>
    <x v="235"/>
    <s v="Small Business"/>
    <x v="2"/>
    <x v="9"/>
    <s v="P012"/>
    <x v="4"/>
    <x v="3"/>
    <n v="3"/>
    <n v="3500"/>
    <x v="0"/>
    <n v="10500"/>
    <n v="3106.13"/>
    <x v="2"/>
    <x v="2"/>
    <x v="2"/>
    <x v="1"/>
    <x v="2"/>
    <s v="Nov"/>
    <s v="Q4"/>
    <x v="3"/>
    <n v="4"/>
    <n v="29.58"/>
  </r>
  <r>
    <s v="ORD01305"/>
    <d v="2024-03-03T00:00:00"/>
    <d v="2024-03-11T00:00:00"/>
    <s v="C0268"/>
    <x v="236"/>
    <s v="Corporate"/>
    <x v="2"/>
    <x v="14"/>
    <s v="P005"/>
    <x v="0"/>
    <x v="0"/>
    <n v="1"/>
    <n v="7000"/>
    <x v="0"/>
    <n v="7000"/>
    <n v="1438.78"/>
    <x v="0"/>
    <x v="0"/>
    <x v="1"/>
    <x v="1"/>
    <x v="0"/>
    <s v="Mar"/>
    <s v="Q1"/>
    <x v="2"/>
    <n v="8"/>
    <n v="20.55"/>
  </r>
  <r>
    <s v="ORD00511"/>
    <d v="2025-09-06T00:00:00"/>
    <d v="2025-09-10T00:00:00"/>
    <s v="C0041"/>
    <x v="3"/>
    <s v="Small Business"/>
    <x v="0"/>
    <x v="0"/>
    <s v="P010"/>
    <x v="6"/>
    <x v="4"/>
    <n v="1"/>
    <n v="1800"/>
    <x v="4"/>
    <n v="1620"/>
    <n v="459.98"/>
    <x v="2"/>
    <x v="0"/>
    <x v="2"/>
    <x v="0"/>
    <x v="9"/>
    <s v="Sep"/>
    <s v="Q3"/>
    <x v="11"/>
    <n v="4"/>
    <n v="28.39"/>
  </r>
  <r>
    <s v="ORD00923"/>
    <d v="2024-08-08T00:00:00"/>
    <d v="2024-08-14T00:00:00"/>
    <s v="C0073"/>
    <x v="147"/>
    <s v="Consumer"/>
    <x v="3"/>
    <x v="8"/>
    <s v="P005"/>
    <x v="0"/>
    <x v="0"/>
    <n v="5"/>
    <n v="7000"/>
    <x v="4"/>
    <n v="31500"/>
    <n v="6381.34"/>
    <x v="3"/>
    <x v="0"/>
    <x v="1"/>
    <x v="1"/>
    <x v="7"/>
    <s v="Aug"/>
    <s v="Q3"/>
    <x v="9"/>
    <n v="6"/>
    <n v="20.260000000000002"/>
  </r>
  <r>
    <s v="ORD01627"/>
    <d v="2025-08-17T00:00:00"/>
    <d v="2025-08-19T00:00:00"/>
    <s v="C0027"/>
    <x v="191"/>
    <s v="Consumer"/>
    <x v="2"/>
    <x v="4"/>
    <s v="P008"/>
    <x v="11"/>
    <x v="1"/>
    <n v="1"/>
    <n v="250"/>
    <x v="1"/>
    <n v="212.5"/>
    <n v="78.28"/>
    <x v="4"/>
    <x v="1"/>
    <x v="1"/>
    <x v="0"/>
    <x v="7"/>
    <s v="Aug"/>
    <s v="Q3"/>
    <x v="22"/>
    <n v="2"/>
    <n v="36.840000000000003"/>
  </r>
  <r>
    <s v="ORD00533"/>
    <d v="2024-05-24T00:00:00"/>
    <d v="2024-05-28T00:00:00"/>
    <s v="C0164"/>
    <x v="67"/>
    <s v="Small Business"/>
    <x v="3"/>
    <x v="7"/>
    <s v="P005"/>
    <x v="0"/>
    <x v="0"/>
    <n v="5"/>
    <n v="7000"/>
    <x v="2"/>
    <n v="28000"/>
    <n v="5009.97"/>
    <x v="4"/>
    <x v="0"/>
    <x v="4"/>
    <x v="1"/>
    <x v="4"/>
    <s v="May"/>
    <s v="Q2"/>
    <x v="8"/>
    <n v="4"/>
    <n v="17.89"/>
  </r>
  <r>
    <s v="ORD01757"/>
    <d v="2024-04-14T00:00:00"/>
    <d v="2024-04-16T00:00:00"/>
    <s v="C0085"/>
    <x v="229"/>
    <s v="Consumer"/>
    <x v="3"/>
    <x v="12"/>
    <s v="P011"/>
    <x v="9"/>
    <x v="4"/>
    <n v="1"/>
    <n v="600"/>
    <x v="0"/>
    <n v="600"/>
    <n v="228"/>
    <x v="4"/>
    <x v="1"/>
    <x v="2"/>
    <x v="1"/>
    <x v="5"/>
    <s v="Apr"/>
    <s v="Q2"/>
    <x v="6"/>
    <n v="2"/>
    <n v="38"/>
  </r>
  <r>
    <s v="ORD01227"/>
    <d v="2025-04-27T00:00:00"/>
    <d v="2025-04-30T00:00:00"/>
    <s v="C0293"/>
    <x v="53"/>
    <s v="Corporate"/>
    <x v="1"/>
    <x v="16"/>
    <s v="P001"/>
    <x v="8"/>
    <x v="2"/>
    <n v="10"/>
    <n v="55000"/>
    <x v="1"/>
    <n v="467500"/>
    <n v="74202.820000000007"/>
    <x v="0"/>
    <x v="2"/>
    <x v="1"/>
    <x v="0"/>
    <x v="5"/>
    <s v="Apr"/>
    <s v="Q2"/>
    <x v="13"/>
    <n v="3"/>
    <n v="15.87"/>
  </r>
  <r>
    <s v="ORD01555"/>
    <d v="2024-03-14T00:00:00"/>
    <d v="2024-03-21T00:00:00"/>
    <s v="C0131"/>
    <x v="156"/>
    <s v="Corporate"/>
    <x v="1"/>
    <x v="5"/>
    <s v="P010"/>
    <x v="6"/>
    <x v="4"/>
    <n v="1"/>
    <n v="1800"/>
    <x v="3"/>
    <n v="1710"/>
    <n v="613.61"/>
    <x v="2"/>
    <x v="0"/>
    <x v="2"/>
    <x v="1"/>
    <x v="0"/>
    <s v="Mar"/>
    <s v="Q1"/>
    <x v="2"/>
    <n v="7"/>
    <n v="35.880000000000003"/>
  </r>
  <r>
    <s v="ORD01391"/>
    <d v="2024-10-02T00:00:00"/>
    <m/>
    <s v="C0115"/>
    <x v="237"/>
    <s v="Consumer"/>
    <x v="0"/>
    <x v="0"/>
    <s v="P008"/>
    <x v="11"/>
    <x v="1"/>
    <n v="1"/>
    <n v="250"/>
    <x v="4"/>
    <n v="225"/>
    <n v="78.760000000000005"/>
    <x v="2"/>
    <x v="0"/>
    <x v="3"/>
    <x v="1"/>
    <x v="1"/>
    <s v="Oct"/>
    <s v="Q4"/>
    <x v="1"/>
    <s v=""/>
    <n v="35"/>
  </r>
  <r>
    <s v="ORD00486"/>
    <d v="2025-06-04T00:00:00"/>
    <d v="2025-06-12T00:00:00"/>
    <s v="C0119"/>
    <x v="238"/>
    <s v="Consumer"/>
    <x v="0"/>
    <x v="2"/>
    <s v="P007"/>
    <x v="10"/>
    <x v="0"/>
    <n v="10"/>
    <n v="6000"/>
    <x v="0"/>
    <n v="60000"/>
    <n v="15286.3"/>
    <x v="1"/>
    <x v="2"/>
    <x v="3"/>
    <x v="0"/>
    <x v="8"/>
    <s v="Jun"/>
    <s v="Q2"/>
    <x v="10"/>
    <n v="8"/>
    <n v="25.48"/>
  </r>
  <r>
    <s v="ORD01714"/>
    <d v="2025-08-30T00:00:00"/>
    <d v="2025-09-03T00:00:00"/>
    <s v="C0102"/>
    <x v="205"/>
    <s v="Consumer"/>
    <x v="1"/>
    <x v="13"/>
    <s v="P004"/>
    <x v="7"/>
    <x v="2"/>
    <n v="1"/>
    <n v="8000"/>
    <x v="1"/>
    <n v="6800"/>
    <n v="1324.63"/>
    <x v="4"/>
    <x v="1"/>
    <x v="4"/>
    <x v="0"/>
    <x v="7"/>
    <s v="Aug"/>
    <s v="Q3"/>
    <x v="22"/>
    <n v="4"/>
    <n v="19.48"/>
  </r>
  <r>
    <s v="ORD01955"/>
    <d v="2025-10-09T00:00:00"/>
    <d v="2025-10-10T00:00:00"/>
    <s v="C0026"/>
    <x v="239"/>
    <s v="Corporate"/>
    <x v="3"/>
    <x v="6"/>
    <s v="P002"/>
    <x v="3"/>
    <x v="2"/>
    <n v="5"/>
    <n v="25000"/>
    <x v="0"/>
    <n v="125000"/>
    <n v="16200.07"/>
    <x v="0"/>
    <x v="0"/>
    <x v="2"/>
    <x v="0"/>
    <x v="1"/>
    <s v="Oct"/>
    <s v="Q4"/>
    <x v="14"/>
    <n v="1"/>
    <n v="12.96"/>
  </r>
  <r>
    <s v="ORD01994"/>
    <d v="2025-03-07T00:00:00"/>
    <d v="2025-03-08T00:00:00"/>
    <s v="C0021"/>
    <x v="75"/>
    <s v="Small Business"/>
    <x v="1"/>
    <x v="1"/>
    <s v="P011"/>
    <x v="9"/>
    <x v="4"/>
    <n v="4"/>
    <n v="600"/>
    <x v="0"/>
    <n v="2400"/>
    <n v="768.33"/>
    <x v="5"/>
    <x v="2"/>
    <x v="1"/>
    <x v="0"/>
    <x v="0"/>
    <s v="Mar"/>
    <s v="Q1"/>
    <x v="0"/>
    <n v="1"/>
    <n v="32.01"/>
  </r>
  <r>
    <s v="ORD01935"/>
    <d v="2024-03-26T00:00:00"/>
    <d v="2024-03-28T00:00:00"/>
    <s v="C0006"/>
    <x v="138"/>
    <s v="Small Business"/>
    <x v="2"/>
    <x v="14"/>
    <s v="P009"/>
    <x v="2"/>
    <x v="1"/>
    <n v="4"/>
    <n v="180"/>
    <x v="0"/>
    <n v="720"/>
    <n v="275.10000000000002"/>
    <x v="3"/>
    <x v="0"/>
    <x v="2"/>
    <x v="1"/>
    <x v="0"/>
    <s v="Mar"/>
    <s v="Q1"/>
    <x v="2"/>
    <n v="2"/>
    <n v="38.21"/>
  </r>
  <r>
    <s v="ORD00750"/>
    <d v="2025-03-01T00:00:00"/>
    <d v="2025-03-09T00:00:00"/>
    <s v="C0104"/>
    <x v="225"/>
    <s v="Corporate"/>
    <x v="0"/>
    <x v="11"/>
    <s v="P008"/>
    <x v="11"/>
    <x v="1"/>
    <n v="3"/>
    <n v="250"/>
    <x v="0"/>
    <n v="750"/>
    <n v="239.44"/>
    <x v="3"/>
    <x v="1"/>
    <x v="1"/>
    <x v="0"/>
    <x v="0"/>
    <s v="Mar"/>
    <s v="Q1"/>
    <x v="0"/>
    <n v="8"/>
    <n v="31.93"/>
  </r>
  <r>
    <s v="ORD00863"/>
    <d v="2025-09-23T00:00:00"/>
    <d v="2025-09-30T00:00:00"/>
    <s v="C0120"/>
    <x v="4"/>
    <s v="Corporate"/>
    <x v="2"/>
    <x v="3"/>
    <s v="P001"/>
    <x v="8"/>
    <x v="2"/>
    <n v="3"/>
    <n v="55000"/>
    <x v="0"/>
    <n v="165000"/>
    <n v="24459.119999999999"/>
    <x v="4"/>
    <x v="2"/>
    <x v="3"/>
    <x v="0"/>
    <x v="9"/>
    <s v="Sep"/>
    <s v="Q3"/>
    <x v="11"/>
    <n v="7"/>
    <n v="14.82"/>
  </r>
  <r>
    <s v="ORD01819"/>
    <d v="2025-09-10T00:00:00"/>
    <m/>
    <s v="C0093"/>
    <x v="127"/>
    <s v="Consumer"/>
    <x v="0"/>
    <x v="11"/>
    <s v="P008"/>
    <x v="11"/>
    <x v="1"/>
    <n v="4"/>
    <n v="250"/>
    <x v="2"/>
    <n v="800"/>
    <n v="298.52999999999997"/>
    <x v="4"/>
    <x v="2"/>
    <x v="2"/>
    <x v="0"/>
    <x v="9"/>
    <s v="Sep"/>
    <s v="Q3"/>
    <x v="11"/>
    <s v=""/>
    <n v="37.32"/>
  </r>
  <r>
    <s v="ORD01451"/>
    <d v="2025-04-04T00:00:00"/>
    <d v="2025-04-12T00:00:00"/>
    <s v="C0157"/>
    <x v="240"/>
    <s v="Consumer"/>
    <x v="2"/>
    <x v="3"/>
    <s v="P005"/>
    <x v="0"/>
    <x v="0"/>
    <n v="10"/>
    <n v="7000"/>
    <x v="0"/>
    <n v="70000"/>
    <n v="11029.21"/>
    <x v="5"/>
    <x v="0"/>
    <x v="4"/>
    <x v="0"/>
    <x v="5"/>
    <s v="Apr"/>
    <s v="Q2"/>
    <x v="13"/>
    <n v="8"/>
    <n v="15.76"/>
  </r>
  <r>
    <s v="ORD01817"/>
    <d v="2024-05-05T00:00:00"/>
    <d v="2024-05-13T00:00:00"/>
    <s v="C0137"/>
    <x v="241"/>
    <s v="Small Business"/>
    <x v="1"/>
    <x v="1"/>
    <s v="P007"/>
    <x v="10"/>
    <x v="0"/>
    <n v="2"/>
    <n v="6000"/>
    <x v="1"/>
    <n v="10200"/>
    <n v="2167"/>
    <x v="4"/>
    <x v="0"/>
    <x v="0"/>
    <x v="1"/>
    <x v="4"/>
    <s v="May"/>
    <s v="Q2"/>
    <x v="8"/>
    <n v="8"/>
    <n v="21.25"/>
  </r>
  <r>
    <s v="ORD00518"/>
    <d v="2025-10-09T00:00:00"/>
    <d v="2025-10-14T00:00:00"/>
    <s v="C0255"/>
    <x v="142"/>
    <s v="Small Business"/>
    <x v="3"/>
    <x v="8"/>
    <s v="P009"/>
    <x v="2"/>
    <x v="1"/>
    <n v="4"/>
    <n v="180"/>
    <x v="4"/>
    <n v="648"/>
    <n v="231.26"/>
    <x v="4"/>
    <x v="0"/>
    <x v="3"/>
    <x v="0"/>
    <x v="1"/>
    <s v="Oct"/>
    <s v="Q4"/>
    <x v="14"/>
    <n v="5"/>
    <n v="35.69"/>
  </r>
  <r>
    <s v="ORD00578"/>
    <d v="2025-03-22T00:00:00"/>
    <d v="2025-03-24T00:00:00"/>
    <s v="C0252"/>
    <x v="7"/>
    <s v="Consumer"/>
    <x v="1"/>
    <x v="5"/>
    <s v="P008"/>
    <x v="11"/>
    <x v="1"/>
    <n v="2"/>
    <n v="250"/>
    <x v="1"/>
    <n v="425"/>
    <n v="172.1"/>
    <x v="1"/>
    <x v="0"/>
    <x v="3"/>
    <x v="0"/>
    <x v="0"/>
    <s v="Mar"/>
    <s v="Q1"/>
    <x v="0"/>
    <n v="2"/>
    <n v="40.49"/>
  </r>
  <r>
    <s v="ORD00374"/>
    <d v="2025-09-23T00:00:00"/>
    <d v="2025-09-29T00:00:00"/>
    <s v="C0231"/>
    <x v="32"/>
    <s v="Small Business"/>
    <x v="1"/>
    <x v="1"/>
    <s v="P006"/>
    <x v="1"/>
    <x v="0"/>
    <n v="3"/>
    <n v="9500"/>
    <x v="1"/>
    <n v="24225"/>
    <n v="4523.62"/>
    <x v="3"/>
    <x v="1"/>
    <x v="2"/>
    <x v="0"/>
    <x v="9"/>
    <s v="Sep"/>
    <s v="Q3"/>
    <x v="11"/>
    <n v="6"/>
    <n v="18.670000000000002"/>
  </r>
  <r>
    <s v="ORD01361"/>
    <d v="2024-10-12T00:00:00"/>
    <d v="2024-10-19T00:00:00"/>
    <s v="C0218"/>
    <x v="105"/>
    <s v="Corporate"/>
    <x v="2"/>
    <x v="3"/>
    <s v="P004"/>
    <x v="7"/>
    <x v="2"/>
    <n v="10"/>
    <n v="8000"/>
    <x v="3"/>
    <n v="76000"/>
    <n v="15553.37"/>
    <x v="0"/>
    <x v="1"/>
    <x v="4"/>
    <x v="1"/>
    <x v="1"/>
    <s v="Oct"/>
    <s v="Q4"/>
    <x v="1"/>
    <n v="7"/>
    <n v="20.46"/>
  </r>
  <r>
    <s v="ORD00146"/>
    <d v="2025-06-28T00:00:00"/>
    <d v="2025-07-04T00:00:00"/>
    <s v="C0279"/>
    <x v="202"/>
    <s v="Corporate"/>
    <x v="0"/>
    <x v="10"/>
    <s v="P007"/>
    <x v="10"/>
    <x v="0"/>
    <n v="1"/>
    <n v="6000"/>
    <x v="0"/>
    <n v="6000"/>
    <n v="1150.57"/>
    <x v="4"/>
    <x v="1"/>
    <x v="2"/>
    <x v="0"/>
    <x v="8"/>
    <s v="Jun"/>
    <s v="Q2"/>
    <x v="10"/>
    <n v="6"/>
    <n v="19.18"/>
  </r>
  <r>
    <s v="ORD00498"/>
    <d v="2025-11-18T00:00:00"/>
    <d v="2025-11-26T00:00:00"/>
    <s v="C0212"/>
    <x v="50"/>
    <s v="Corporate"/>
    <x v="1"/>
    <x v="5"/>
    <s v="P004"/>
    <x v="7"/>
    <x v="2"/>
    <n v="3"/>
    <n v="8000"/>
    <x v="0"/>
    <n v="24000"/>
    <n v="4624.99"/>
    <x v="1"/>
    <x v="1"/>
    <x v="4"/>
    <x v="0"/>
    <x v="2"/>
    <s v="Nov"/>
    <s v="Q4"/>
    <x v="23"/>
    <n v="8"/>
    <n v="19.27"/>
  </r>
  <r>
    <s v="ORD01866"/>
    <d v="2024-03-09T00:00:00"/>
    <d v="2024-03-16T00:00:00"/>
    <s v="C0229"/>
    <x v="206"/>
    <s v="Consumer"/>
    <x v="0"/>
    <x v="2"/>
    <s v="P001"/>
    <x v="8"/>
    <x v="2"/>
    <n v="3"/>
    <n v="55000"/>
    <x v="0"/>
    <n v="165000"/>
    <n v="22751.9"/>
    <x v="5"/>
    <x v="0"/>
    <x v="3"/>
    <x v="1"/>
    <x v="0"/>
    <s v="Mar"/>
    <s v="Q1"/>
    <x v="2"/>
    <n v="7"/>
    <n v="13.79"/>
  </r>
  <r>
    <s v="ORD00807"/>
    <d v="2024-12-02T00:00:00"/>
    <d v="2024-12-04T00:00:00"/>
    <s v="C0233"/>
    <x v="30"/>
    <s v="Small Business"/>
    <x v="1"/>
    <x v="13"/>
    <s v="P009"/>
    <x v="2"/>
    <x v="1"/>
    <n v="1"/>
    <n v="180"/>
    <x v="0"/>
    <n v="180"/>
    <n v="75.98"/>
    <x v="1"/>
    <x v="0"/>
    <x v="1"/>
    <x v="1"/>
    <x v="10"/>
    <s v="Dec"/>
    <s v="Q4"/>
    <x v="16"/>
    <n v="2"/>
    <n v="42.21"/>
  </r>
  <r>
    <s v="ORD01156"/>
    <d v="2024-08-30T00:00:00"/>
    <d v="2024-09-06T00:00:00"/>
    <s v="C0262"/>
    <x v="175"/>
    <s v="Corporate"/>
    <x v="0"/>
    <x v="15"/>
    <s v="P002"/>
    <x v="3"/>
    <x v="2"/>
    <n v="1"/>
    <n v="25000"/>
    <x v="4"/>
    <n v="22500"/>
    <n v="2863.84"/>
    <x v="6"/>
    <x v="2"/>
    <x v="0"/>
    <x v="1"/>
    <x v="7"/>
    <s v="Aug"/>
    <s v="Q3"/>
    <x v="9"/>
    <n v="7"/>
    <n v="12.73"/>
  </r>
  <r>
    <s v="ORD01183"/>
    <d v="2025-05-23T00:00:00"/>
    <d v="2025-05-25T00:00:00"/>
    <s v="C0249"/>
    <x v="148"/>
    <s v="Corporate"/>
    <x v="0"/>
    <x v="15"/>
    <s v="P003"/>
    <x v="5"/>
    <x v="2"/>
    <n v="1"/>
    <n v="3000"/>
    <x v="0"/>
    <n v="3000"/>
    <n v="858.52"/>
    <x v="1"/>
    <x v="2"/>
    <x v="2"/>
    <x v="0"/>
    <x v="4"/>
    <s v="May"/>
    <s v="Q2"/>
    <x v="5"/>
    <n v="2"/>
    <n v="28.62"/>
  </r>
  <r>
    <s v="ORD00993"/>
    <d v="2024-01-27T00:00:00"/>
    <m/>
    <s v="C0194"/>
    <x v="139"/>
    <s v="Corporate"/>
    <x v="3"/>
    <x v="8"/>
    <s v="P012"/>
    <x v="4"/>
    <x v="3"/>
    <n v="3"/>
    <n v="3500"/>
    <x v="3"/>
    <n v="9975"/>
    <n v="2708.97"/>
    <x v="5"/>
    <x v="2"/>
    <x v="3"/>
    <x v="1"/>
    <x v="11"/>
    <s v="Jan"/>
    <s v="Q1"/>
    <x v="21"/>
    <s v=""/>
    <n v="27.16"/>
  </r>
  <r>
    <s v="ORD00508"/>
    <d v="2024-07-02T00:00:00"/>
    <d v="2024-07-07T00:00:00"/>
    <s v="C0084"/>
    <x v="95"/>
    <s v="Corporate"/>
    <x v="3"/>
    <x v="8"/>
    <s v="P003"/>
    <x v="5"/>
    <x v="2"/>
    <n v="3"/>
    <n v="3000"/>
    <x v="0"/>
    <n v="9000"/>
    <n v="2343.15"/>
    <x v="5"/>
    <x v="1"/>
    <x v="4"/>
    <x v="1"/>
    <x v="3"/>
    <s v="Jul"/>
    <s v="Q3"/>
    <x v="4"/>
    <n v="5"/>
    <n v="26.04"/>
  </r>
  <r>
    <s v="ORD00070"/>
    <d v="2024-06-14T00:00:00"/>
    <d v="2024-06-19T00:00:00"/>
    <s v="C0271"/>
    <x v="197"/>
    <s v="Consumer"/>
    <x v="1"/>
    <x v="1"/>
    <s v="P007"/>
    <x v="10"/>
    <x v="0"/>
    <n v="4"/>
    <n v="6000"/>
    <x v="2"/>
    <n v="19200"/>
    <n v="4340.12"/>
    <x v="2"/>
    <x v="2"/>
    <x v="0"/>
    <x v="1"/>
    <x v="8"/>
    <s v="Jun"/>
    <s v="Q2"/>
    <x v="12"/>
    <n v="5"/>
    <n v="22.6"/>
  </r>
  <r>
    <s v="ORD01142"/>
    <d v="2025-03-26T00:00:00"/>
    <d v="2025-03-27T00:00:00"/>
    <s v="C0121"/>
    <x v="207"/>
    <s v="Consumer"/>
    <x v="3"/>
    <x v="12"/>
    <s v="P012"/>
    <x v="4"/>
    <x v="3"/>
    <n v="2"/>
    <n v="3500"/>
    <x v="3"/>
    <n v="6650"/>
    <n v="2300.83"/>
    <x v="0"/>
    <x v="0"/>
    <x v="4"/>
    <x v="0"/>
    <x v="0"/>
    <s v="Mar"/>
    <s v="Q1"/>
    <x v="0"/>
    <n v="1"/>
    <n v="34.6"/>
  </r>
  <r>
    <s v="ORD00684"/>
    <d v="2025-07-27T00:00:00"/>
    <d v="2025-07-28T00:00:00"/>
    <s v="C0238"/>
    <x v="88"/>
    <s v="Small Business"/>
    <x v="3"/>
    <x v="8"/>
    <s v="P008"/>
    <x v="11"/>
    <x v="1"/>
    <n v="10"/>
    <n v="250"/>
    <x v="3"/>
    <n v="2375"/>
    <n v="910.83"/>
    <x v="4"/>
    <x v="0"/>
    <x v="4"/>
    <x v="0"/>
    <x v="3"/>
    <s v="Jul"/>
    <s v="Q3"/>
    <x v="15"/>
    <n v="1"/>
    <n v="38.35"/>
  </r>
  <r>
    <s v="ORD00574"/>
    <d v="2024-03-12T00:00:00"/>
    <d v="2024-03-15T00:00:00"/>
    <s v="C0092"/>
    <x v="40"/>
    <s v="Consumer"/>
    <x v="0"/>
    <x v="11"/>
    <s v="P008"/>
    <x v="11"/>
    <x v="1"/>
    <n v="2"/>
    <n v="250"/>
    <x v="0"/>
    <n v="500"/>
    <n v="188.82"/>
    <x v="5"/>
    <x v="1"/>
    <x v="3"/>
    <x v="1"/>
    <x v="0"/>
    <s v="Mar"/>
    <s v="Q1"/>
    <x v="2"/>
    <n v="3"/>
    <n v="37.76"/>
  </r>
  <r>
    <s v="ORD00409"/>
    <d v="2024-06-28T00:00:00"/>
    <d v="2024-07-03T00:00:00"/>
    <s v="C0003"/>
    <x v="108"/>
    <s v="Small Business"/>
    <x v="2"/>
    <x v="3"/>
    <s v="P005"/>
    <x v="0"/>
    <x v="0"/>
    <n v="2"/>
    <n v="7000"/>
    <x v="0"/>
    <n v="14000"/>
    <n v="2844.23"/>
    <x v="3"/>
    <x v="0"/>
    <x v="1"/>
    <x v="1"/>
    <x v="8"/>
    <s v="Jun"/>
    <s v="Q2"/>
    <x v="12"/>
    <n v="5"/>
    <n v="20.32"/>
  </r>
  <r>
    <s v="ORD01906"/>
    <d v="2024-05-01T00:00:00"/>
    <d v="2024-05-09T00:00:00"/>
    <s v="C0083"/>
    <x v="165"/>
    <s v="Corporate"/>
    <x v="0"/>
    <x v="15"/>
    <s v="P003"/>
    <x v="5"/>
    <x v="2"/>
    <n v="1"/>
    <n v="3000"/>
    <x v="0"/>
    <n v="3000"/>
    <n v="695.18"/>
    <x v="0"/>
    <x v="1"/>
    <x v="0"/>
    <x v="1"/>
    <x v="4"/>
    <s v="May"/>
    <s v="Q2"/>
    <x v="8"/>
    <n v="8"/>
    <n v="23.17"/>
  </r>
  <r>
    <s v="ORD00561"/>
    <d v="2024-09-20T00:00:00"/>
    <d v="2024-09-23T00:00:00"/>
    <s v="C0144"/>
    <x v="213"/>
    <s v="Small Business"/>
    <x v="1"/>
    <x v="13"/>
    <s v="P005"/>
    <x v="0"/>
    <x v="0"/>
    <n v="1"/>
    <n v="7000"/>
    <x v="0"/>
    <n v="7000"/>
    <n v="1449.95"/>
    <x v="5"/>
    <x v="1"/>
    <x v="4"/>
    <x v="1"/>
    <x v="9"/>
    <s v="Sep"/>
    <s v="Q3"/>
    <x v="20"/>
    <n v="3"/>
    <n v="20.71"/>
  </r>
  <r>
    <s v="ORD00020"/>
    <d v="2025-11-23T00:00:00"/>
    <d v="2025-11-29T00:00:00"/>
    <s v="C0073"/>
    <x v="147"/>
    <s v="Consumer"/>
    <x v="3"/>
    <x v="8"/>
    <s v="P004"/>
    <x v="7"/>
    <x v="2"/>
    <n v="10"/>
    <n v="8000"/>
    <x v="2"/>
    <n v="64000"/>
    <n v="16349.36"/>
    <x v="2"/>
    <x v="1"/>
    <x v="3"/>
    <x v="0"/>
    <x v="2"/>
    <s v="Nov"/>
    <s v="Q4"/>
    <x v="23"/>
    <n v="6"/>
    <n v="25.55"/>
  </r>
  <r>
    <s v="ORD00573"/>
    <d v="2024-03-16T00:00:00"/>
    <d v="2024-03-22T00:00:00"/>
    <s v="C0132"/>
    <x v="203"/>
    <s v="Small Business"/>
    <x v="1"/>
    <x v="1"/>
    <s v="P003"/>
    <x v="5"/>
    <x v="2"/>
    <n v="1"/>
    <n v="3000"/>
    <x v="0"/>
    <n v="3000"/>
    <n v="767.81"/>
    <x v="2"/>
    <x v="1"/>
    <x v="4"/>
    <x v="1"/>
    <x v="0"/>
    <s v="Mar"/>
    <s v="Q1"/>
    <x v="2"/>
    <n v="6"/>
    <n v="25.59"/>
  </r>
  <r>
    <s v="ORD01160"/>
    <d v="2024-06-02T00:00:00"/>
    <d v="2024-06-04T00:00:00"/>
    <s v="C0017"/>
    <x v="242"/>
    <s v="Small Business"/>
    <x v="1"/>
    <x v="16"/>
    <s v="P011"/>
    <x v="9"/>
    <x v="4"/>
    <n v="1"/>
    <n v="600"/>
    <x v="1"/>
    <n v="510"/>
    <n v="141.74"/>
    <x v="4"/>
    <x v="2"/>
    <x v="1"/>
    <x v="1"/>
    <x v="8"/>
    <s v="Jun"/>
    <s v="Q2"/>
    <x v="12"/>
    <n v="2"/>
    <n v="27.79"/>
  </r>
  <r>
    <s v="ORD00902"/>
    <d v="2024-05-09T00:00:00"/>
    <d v="2024-05-11T00:00:00"/>
    <s v="C0187"/>
    <x v="208"/>
    <s v="Corporate"/>
    <x v="3"/>
    <x v="12"/>
    <s v="P011"/>
    <x v="9"/>
    <x v="4"/>
    <n v="2"/>
    <n v="600"/>
    <x v="4"/>
    <n v="1080"/>
    <n v="384.26"/>
    <x v="0"/>
    <x v="0"/>
    <x v="1"/>
    <x v="1"/>
    <x v="4"/>
    <s v="May"/>
    <s v="Q2"/>
    <x v="8"/>
    <n v="2"/>
    <n v="35.58"/>
  </r>
  <r>
    <s v="ORD00282"/>
    <d v="2024-08-20T00:00:00"/>
    <d v="2024-08-27T00:00:00"/>
    <s v="C0212"/>
    <x v="50"/>
    <s v="Corporate"/>
    <x v="1"/>
    <x v="5"/>
    <s v="P010"/>
    <x v="6"/>
    <x v="4"/>
    <n v="2"/>
    <n v="1800"/>
    <x v="2"/>
    <n v="2880"/>
    <n v="861.68"/>
    <x v="1"/>
    <x v="2"/>
    <x v="0"/>
    <x v="1"/>
    <x v="7"/>
    <s v="Aug"/>
    <s v="Q3"/>
    <x v="9"/>
    <n v="7"/>
    <n v="29.92"/>
  </r>
  <r>
    <s v="ORD01252"/>
    <d v="2025-02-07T00:00:00"/>
    <d v="2025-02-08T00:00:00"/>
    <s v="C0218"/>
    <x v="105"/>
    <s v="Corporate"/>
    <x v="2"/>
    <x v="3"/>
    <s v="P010"/>
    <x v="6"/>
    <x v="4"/>
    <n v="2"/>
    <n v="1800"/>
    <x v="0"/>
    <n v="3600"/>
    <n v="1128.1099999999999"/>
    <x v="4"/>
    <x v="2"/>
    <x v="2"/>
    <x v="0"/>
    <x v="6"/>
    <s v="Feb"/>
    <s v="Q1"/>
    <x v="7"/>
    <n v="1"/>
    <n v="31.34"/>
  </r>
  <r>
    <s v="ORD00064"/>
    <d v="2025-11-17T00:00:00"/>
    <d v="2025-11-19T00:00:00"/>
    <s v="C0169"/>
    <x v="196"/>
    <s v="Corporate"/>
    <x v="3"/>
    <x v="6"/>
    <s v="P003"/>
    <x v="5"/>
    <x v="2"/>
    <n v="5"/>
    <n v="3000"/>
    <x v="1"/>
    <n v="12750"/>
    <n v="4073.55"/>
    <x v="5"/>
    <x v="2"/>
    <x v="0"/>
    <x v="0"/>
    <x v="2"/>
    <s v="Nov"/>
    <s v="Q4"/>
    <x v="23"/>
    <n v="2"/>
    <n v="31.95"/>
  </r>
  <r>
    <s v="ORD01324"/>
    <d v="2025-04-24T00:00:00"/>
    <d v="2025-04-29T00:00:00"/>
    <s v="C0095"/>
    <x v="15"/>
    <s v="Consumer"/>
    <x v="2"/>
    <x v="4"/>
    <s v="P006"/>
    <x v="1"/>
    <x v="0"/>
    <n v="1"/>
    <n v="9500"/>
    <x v="0"/>
    <n v="9500"/>
    <n v="1583.09"/>
    <x v="3"/>
    <x v="2"/>
    <x v="3"/>
    <x v="0"/>
    <x v="5"/>
    <s v="Apr"/>
    <s v="Q2"/>
    <x v="13"/>
    <n v="5"/>
    <n v="16.66"/>
  </r>
  <r>
    <s v="ORD01979"/>
    <d v="2024-02-21T00:00:00"/>
    <d v="2024-02-24T00:00:00"/>
    <s v="C0214"/>
    <x v="65"/>
    <s v="Small Business"/>
    <x v="1"/>
    <x v="1"/>
    <s v="P012"/>
    <x v="4"/>
    <x v="3"/>
    <n v="1"/>
    <n v="3500"/>
    <x v="0"/>
    <n v="3500"/>
    <n v="935.09"/>
    <x v="3"/>
    <x v="2"/>
    <x v="1"/>
    <x v="1"/>
    <x v="6"/>
    <s v="Feb"/>
    <s v="Q1"/>
    <x v="18"/>
    <n v="3"/>
    <n v="26.72"/>
  </r>
  <r>
    <s v="ORD00046"/>
    <d v="2025-03-10T00:00:00"/>
    <d v="2025-03-14T00:00:00"/>
    <s v="C0227"/>
    <x v="187"/>
    <s v="Small Business"/>
    <x v="2"/>
    <x v="9"/>
    <s v="P011"/>
    <x v="9"/>
    <x v="4"/>
    <n v="2"/>
    <n v="600"/>
    <x v="3"/>
    <n v="1140"/>
    <n v="375.01"/>
    <x v="1"/>
    <x v="0"/>
    <x v="4"/>
    <x v="0"/>
    <x v="0"/>
    <s v="Mar"/>
    <s v="Q1"/>
    <x v="0"/>
    <n v="4"/>
    <n v="32.9"/>
  </r>
  <r>
    <s v="ORD01045"/>
    <d v="2025-10-10T00:00:00"/>
    <d v="2025-10-13T00:00:00"/>
    <s v="C0193"/>
    <x v="243"/>
    <s v="Corporate"/>
    <x v="3"/>
    <x v="8"/>
    <s v="P006"/>
    <x v="1"/>
    <x v="0"/>
    <n v="4"/>
    <n v="9500"/>
    <x v="0"/>
    <n v="38000"/>
    <n v="6228.22"/>
    <x v="5"/>
    <x v="2"/>
    <x v="1"/>
    <x v="0"/>
    <x v="1"/>
    <s v="Oct"/>
    <s v="Q4"/>
    <x v="14"/>
    <n v="3"/>
    <n v="16.39"/>
  </r>
  <r>
    <s v="ORD00415"/>
    <d v="2024-04-19T00:00:00"/>
    <d v="2024-04-27T00:00:00"/>
    <s v="C0183"/>
    <x v="244"/>
    <s v="Corporate"/>
    <x v="1"/>
    <x v="1"/>
    <s v="P003"/>
    <x v="5"/>
    <x v="2"/>
    <n v="1"/>
    <n v="3000"/>
    <x v="0"/>
    <n v="3000"/>
    <n v="873.29"/>
    <x v="6"/>
    <x v="0"/>
    <x v="1"/>
    <x v="1"/>
    <x v="5"/>
    <s v="Apr"/>
    <s v="Q2"/>
    <x v="6"/>
    <n v="8"/>
    <n v="29.11"/>
  </r>
  <r>
    <s v="ORD01799"/>
    <d v="2024-05-11T00:00:00"/>
    <d v="2024-05-13T00:00:00"/>
    <s v="C0092"/>
    <x v="40"/>
    <s v="Consumer"/>
    <x v="0"/>
    <x v="11"/>
    <s v="P009"/>
    <x v="2"/>
    <x v="1"/>
    <n v="1"/>
    <n v="180"/>
    <x v="4"/>
    <n v="162"/>
    <n v="77.58"/>
    <x v="5"/>
    <x v="1"/>
    <x v="4"/>
    <x v="1"/>
    <x v="4"/>
    <s v="May"/>
    <s v="Q2"/>
    <x v="8"/>
    <n v="2"/>
    <n v="47.89"/>
  </r>
  <r>
    <s v="ORD00099"/>
    <d v="2025-06-14T00:00:00"/>
    <d v="2025-06-18T00:00:00"/>
    <s v="C0029"/>
    <x v="133"/>
    <s v="Consumer"/>
    <x v="3"/>
    <x v="8"/>
    <s v="P002"/>
    <x v="3"/>
    <x v="2"/>
    <n v="1"/>
    <n v="25000"/>
    <x v="0"/>
    <n v="25000"/>
    <n v="3750"/>
    <x v="3"/>
    <x v="2"/>
    <x v="4"/>
    <x v="0"/>
    <x v="8"/>
    <s v="Jun"/>
    <s v="Q2"/>
    <x v="10"/>
    <n v="4"/>
    <n v="15"/>
  </r>
  <r>
    <s v="ORD01024"/>
    <d v="2025-04-14T00:00:00"/>
    <d v="2025-04-16T00:00:00"/>
    <s v="C0008"/>
    <x v="69"/>
    <s v="Corporate"/>
    <x v="3"/>
    <x v="12"/>
    <s v="P003"/>
    <x v="5"/>
    <x v="2"/>
    <n v="5"/>
    <n v="3000"/>
    <x v="3"/>
    <n v="14250"/>
    <n v="4470.46"/>
    <x v="5"/>
    <x v="1"/>
    <x v="4"/>
    <x v="0"/>
    <x v="5"/>
    <s v="Apr"/>
    <s v="Q2"/>
    <x v="13"/>
    <n v="2"/>
    <n v="31.37"/>
  </r>
  <r>
    <s v="ORD00215"/>
    <d v="2024-08-04T00:00:00"/>
    <d v="2024-08-10T00:00:00"/>
    <s v="C0112"/>
    <x v="72"/>
    <s v="Consumer"/>
    <x v="0"/>
    <x v="2"/>
    <s v="P007"/>
    <x v="10"/>
    <x v="0"/>
    <n v="2"/>
    <n v="6000"/>
    <x v="0"/>
    <n v="12000"/>
    <n v="2970.25"/>
    <x v="1"/>
    <x v="2"/>
    <x v="2"/>
    <x v="1"/>
    <x v="7"/>
    <s v="Aug"/>
    <s v="Q3"/>
    <x v="9"/>
    <n v="6"/>
    <n v="24.75"/>
  </r>
  <r>
    <s v="ORD00335"/>
    <d v="2024-03-21T00:00:00"/>
    <d v="2024-03-23T00:00:00"/>
    <s v="C0207"/>
    <x v="152"/>
    <s v="Small Business"/>
    <x v="2"/>
    <x v="3"/>
    <s v="P004"/>
    <x v="7"/>
    <x v="2"/>
    <n v="2"/>
    <n v="8000"/>
    <x v="2"/>
    <n v="12800"/>
    <n v="2973.48"/>
    <x v="0"/>
    <x v="1"/>
    <x v="4"/>
    <x v="1"/>
    <x v="0"/>
    <s v="Mar"/>
    <s v="Q1"/>
    <x v="2"/>
    <n v="2"/>
    <n v="23.23"/>
  </r>
  <r>
    <s v="ORD01893"/>
    <d v="2025-09-29T00:00:00"/>
    <d v="2025-10-04T00:00:00"/>
    <s v="C0116"/>
    <x v="131"/>
    <s v="Corporate"/>
    <x v="2"/>
    <x v="3"/>
    <s v="P006"/>
    <x v="1"/>
    <x v="0"/>
    <n v="1"/>
    <n v="9500"/>
    <x v="3"/>
    <n v="9025"/>
    <n v="1715.9"/>
    <x v="6"/>
    <x v="1"/>
    <x v="1"/>
    <x v="0"/>
    <x v="9"/>
    <s v="Sep"/>
    <s v="Q3"/>
    <x v="11"/>
    <n v="5"/>
    <n v="19.010000000000002"/>
  </r>
  <r>
    <s v="ORD00433"/>
    <d v="2024-03-26T00:00:00"/>
    <d v="2024-04-02T00:00:00"/>
    <s v="C0204"/>
    <x v="137"/>
    <s v="Corporate"/>
    <x v="0"/>
    <x v="10"/>
    <s v="P009"/>
    <x v="2"/>
    <x v="1"/>
    <n v="1"/>
    <n v="180"/>
    <x v="4"/>
    <n v="162"/>
    <n v="55.56"/>
    <x v="3"/>
    <x v="0"/>
    <x v="2"/>
    <x v="1"/>
    <x v="0"/>
    <s v="Mar"/>
    <s v="Q1"/>
    <x v="2"/>
    <n v="7"/>
    <n v="34.299999999999997"/>
  </r>
  <r>
    <s v="ORD01331"/>
    <d v="2025-11-21T00:00:00"/>
    <d v="2025-11-27T00:00:00"/>
    <s v="C0115"/>
    <x v="237"/>
    <s v="Consumer"/>
    <x v="0"/>
    <x v="0"/>
    <s v="P010"/>
    <x v="6"/>
    <x v="4"/>
    <n v="2"/>
    <n v="1800"/>
    <x v="1"/>
    <n v="3060"/>
    <n v="1034.76"/>
    <x v="5"/>
    <x v="2"/>
    <x v="2"/>
    <x v="0"/>
    <x v="2"/>
    <s v="Nov"/>
    <s v="Q4"/>
    <x v="23"/>
    <n v="6"/>
    <n v="33.82"/>
  </r>
  <r>
    <s v="ORD00255"/>
    <d v="2024-12-28T00:00:00"/>
    <d v="2024-12-31T00:00:00"/>
    <s v="C0219"/>
    <x v="60"/>
    <s v="Corporate"/>
    <x v="3"/>
    <x v="12"/>
    <s v="P003"/>
    <x v="5"/>
    <x v="2"/>
    <n v="1"/>
    <n v="3000"/>
    <x v="0"/>
    <n v="3000"/>
    <n v="790.56"/>
    <x v="2"/>
    <x v="2"/>
    <x v="1"/>
    <x v="1"/>
    <x v="10"/>
    <s v="Dec"/>
    <s v="Q4"/>
    <x v="16"/>
    <n v="3"/>
    <n v="26.35"/>
  </r>
  <r>
    <s v="ORD00638"/>
    <d v="2025-05-18T00:00:00"/>
    <d v="2025-05-20T00:00:00"/>
    <s v="C0214"/>
    <x v="65"/>
    <s v="Small Business"/>
    <x v="1"/>
    <x v="1"/>
    <s v="P003"/>
    <x v="5"/>
    <x v="2"/>
    <n v="5"/>
    <n v="3000"/>
    <x v="1"/>
    <n v="12750"/>
    <n v="3051.97"/>
    <x v="3"/>
    <x v="1"/>
    <x v="3"/>
    <x v="0"/>
    <x v="4"/>
    <s v="May"/>
    <s v="Q2"/>
    <x v="5"/>
    <n v="2"/>
    <n v="23.94"/>
  </r>
  <r>
    <s v="ORD01312"/>
    <d v="2025-05-28T00:00:00"/>
    <d v="2025-05-30T00:00:00"/>
    <s v="C0110"/>
    <x v="204"/>
    <s v="Small Business"/>
    <x v="0"/>
    <x v="0"/>
    <s v="P005"/>
    <x v="0"/>
    <x v="0"/>
    <n v="1"/>
    <n v="7000"/>
    <x v="2"/>
    <n v="5600"/>
    <n v="1123.78"/>
    <x v="5"/>
    <x v="1"/>
    <x v="1"/>
    <x v="0"/>
    <x v="4"/>
    <s v="May"/>
    <s v="Q2"/>
    <x v="5"/>
    <n v="2"/>
    <n v="20.07"/>
  </r>
  <r>
    <s v="ORD01430"/>
    <d v="2024-03-16T00:00:00"/>
    <d v="2024-03-23T00:00:00"/>
    <s v="C0289"/>
    <x v="221"/>
    <s v="Corporate"/>
    <x v="0"/>
    <x v="11"/>
    <s v="P009"/>
    <x v="2"/>
    <x v="1"/>
    <n v="1"/>
    <n v="180"/>
    <x v="2"/>
    <n v="144"/>
    <n v="68.97"/>
    <x v="3"/>
    <x v="2"/>
    <x v="1"/>
    <x v="1"/>
    <x v="0"/>
    <s v="Mar"/>
    <s v="Q1"/>
    <x v="2"/>
    <n v="7"/>
    <n v="47.9"/>
  </r>
  <r>
    <s v="ORD00383"/>
    <d v="2025-02-01T00:00:00"/>
    <d v="2025-02-02T00:00:00"/>
    <s v="C0266"/>
    <x v="201"/>
    <s v="Small Business"/>
    <x v="2"/>
    <x v="4"/>
    <s v="P006"/>
    <x v="1"/>
    <x v="0"/>
    <n v="2"/>
    <n v="9500"/>
    <x v="3"/>
    <n v="18050"/>
    <n v="3799.96"/>
    <x v="5"/>
    <x v="1"/>
    <x v="3"/>
    <x v="0"/>
    <x v="6"/>
    <s v="Feb"/>
    <s v="Q1"/>
    <x v="7"/>
    <n v="1"/>
    <n v="21.05"/>
  </r>
  <r>
    <s v="ORD00826"/>
    <d v="2025-08-08T00:00:00"/>
    <d v="2025-08-10T00:00:00"/>
    <s v="C0218"/>
    <x v="105"/>
    <s v="Corporate"/>
    <x v="2"/>
    <x v="3"/>
    <s v="P007"/>
    <x v="10"/>
    <x v="0"/>
    <n v="1"/>
    <n v="6000"/>
    <x v="2"/>
    <n v="4800"/>
    <n v="978.79"/>
    <x v="4"/>
    <x v="0"/>
    <x v="4"/>
    <x v="0"/>
    <x v="7"/>
    <s v="Aug"/>
    <s v="Q3"/>
    <x v="22"/>
    <n v="2"/>
    <n v="20.39"/>
  </r>
  <r>
    <s v="ORD01678"/>
    <d v="2025-11-08T00:00:00"/>
    <d v="2025-11-12T00:00:00"/>
    <s v="C0236"/>
    <x v="130"/>
    <s v="Consumer"/>
    <x v="2"/>
    <x v="4"/>
    <s v="P001"/>
    <x v="8"/>
    <x v="2"/>
    <n v="2"/>
    <n v="55000"/>
    <x v="0"/>
    <n v="110000"/>
    <n v="14793.58"/>
    <x v="3"/>
    <x v="2"/>
    <x v="4"/>
    <x v="0"/>
    <x v="2"/>
    <s v="Nov"/>
    <s v="Q4"/>
    <x v="23"/>
    <n v="4"/>
    <n v="13.45"/>
  </r>
  <r>
    <s v="ORD01949"/>
    <d v="2025-04-16T00:00:00"/>
    <d v="2025-04-19T00:00:00"/>
    <s v="C0161"/>
    <x v="62"/>
    <s v="Consumer"/>
    <x v="3"/>
    <x v="12"/>
    <s v="P002"/>
    <x v="3"/>
    <x v="2"/>
    <n v="2"/>
    <n v="25000"/>
    <x v="0"/>
    <n v="50000"/>
    <n v="7368.2"/>
    <x v="0"/>
    <x v="1"/>
    <x v="0"/>
    <x v="0"/>
    <x v="5"/>
    <s v="Apr"/>
    <s v="Q2"/>
    <x v="13"/>
    <n v="3"/>
    <n v="14.74"/>
  </r>
  <r>
    <s v="ORD01646"/>
    <d v="2025-07-19T00:00:00"/>
    <d v="2025-07-20T00:00:00"/>
    <s v="C0280"/>
    <x v="13"/>
    <s v="Consumer"/>
    <x v="3"/>
    <x v="8"/>
    <s v="P005"/>
    <x v="0"/>
    <x v="0"/>
    <n v="3"/>
    <n v="7000"/>
    <x v="0"/>
    <n v="21000"/>
    <n v="4888.5600000000004"/>
    <x v="3"/>
    <x v="1"/>
    <x v="3"/>
    <x v="0"/>
    <x v="3"/>
    <s v="Jul"/>
    <s v="Q3"/>
    <x v="15"/>
    <n v="1"/>
    <n v="23.28"/>
  </r>
  <r>
    <s v="ORD01065"/>
    <d v="2024-02-19T00:00:00"/>
    <d v="2024-02-26T00:00:00"/>
    <s v="C0023"/>
    <x v="132"/>
    <s v="Small Business"/>
    <x v="1"/>
    <x v="16"/>
    <s v="P002"/>
    <x v="3"/>
    <x v="2"/>
    <n v="5"/>
    <n v="25000"/>
    <x v="0"/>
    <n v="125000"/>
    <n v="15102.95"/>
    <x v="3"/>
    <x v="2"/>
    <x v="2"/>
    <x v="1"/>
    <x v="6"/>
    <s v="Feb"/>
    <s v="Q1"/>
    <x v="18"/>
    <n v="7"/>
    <n v="12.08"/>
  </r>
  <r>
    <s v="ORD01946"/>
    <d v="2024-01-24T00:00:00"/>
    <d v="2024-01-26T00:00:00"/>
    <s v="C0233"/>
    <x v="30"/>
    <s v="Small Business"/>
    <x v="1"/>
    <x v="13"/>
    <s v="P007"/>
    <x v="10"/>
    <x v="0"/>
    <n v="3"/>
    <n v="6000"/>
    <x v="0"/>
    <n v="18000"/>
    <n v="4320"/>
    <x v="4"/>
    <x v="1"/>
    <x v="3"/>
    <x v="1"/>
    <x v="11"/>
    <s v="Jan"/>
    <s v="Q1"/>
    <x v="21"/>
    <n v="2"/>
    <n v="24"/>
  </r>
  <r>
    <s v="ORD01339"/>
    <d v="2025-10-29T00:00:00"/>
    <d v="2025-11-05T00:00:00"/>
    <s v="C0034"/>
    <x v="17"/>
    <s v="Small Business"/>
    <x v="1"/>
    <x v="1"/>
    <s v="P007"/>
    <x v="10"/>
    <x v="0"/>
    <n v="10"/>
    <n v="6000"/>
    <x v="0"/>
    <n v="60000"/>
    <n v="13826.49"/>
    <x v="0"/>
    <x v="0"/>
    <x v="4"/>
    <x v="0"/>
    <x v="1"/>
    <s v="Oct"/>
    <s v="Q4"/>
    <x v="14"/>
    <n v="7"/>
    <n v="23.04"/>
  </r>
  <r>
    <s v="ORD01266"/>
    <d v="2025-06-08T00:00:00"/>
    <d v="2025-06-13T00:00:00"/>
    <s v="C0052"/>
    <x v="189"/>
    <s v="Small Business"/>
    <x v="0"/>
    <x v="0"/>
    <s v="P007"/>
    <x v="10"/>
    <x v="0"/>
    <n v="10"/>
    <n v="6000"/>
    <x v="0"/>
    <n v="60000"/>
    <n v="12025.57"/>
    <x v="0"/>
    <x v="1"/>
    <x v="3"/>
    <x v="0"/>
    <x v="8"/>
    <s v="Jun"/>
    <s v="Q2"/>
    <x v="10"/>
    <n v="5"/>
    <n v="20.04"/>
  </r>
  <r>
    <s v="ORD00352"/>
    <d v="2025-06-07T00:00:00"/>
    <d v="2025-06-08T00:00:00"/>
    <s v="C0200"/>
    <x v="245"/>
    <s v="Consumer"/>
    <x v="2"/>
    <x v="14"/>
    <s v="P004"/>
    <x v="7"/>
    <x v="2"/>
    <n v="3"/>
    <n v="8000"/>
    <x v="2"/>
    <n v="19200"/>
    <n v="4696.57"/>
    <x v="0"/>
    <x v="1"/>
    <x v="0"/>
    <x v="0"/>
    <x v="8"/>
    <s v="Jun"/>
    <s v="Q2"/>
    <x v="10"/>
    <n v="1"/>
    <n v="24.46"/>
  </r>
  <r>
    <s v="ORD00839"/>
    <d v="2025-11-22T00:00:00"/>
    <d v="2025-11-23T00:00:00"/>
    <s v="C0088"/>
    <x v="186"/>
    <s v="Corporate"/>
    <x v="0"/>
    <x v="11"/>
    <s v="P002"/>
    <x v="3"/>
    <x v="2"/>
    <n v="1"/>
    <n v="25000"/>
    <x v="1"/>
    <n v="21250"/>
    <n v="3000.54"/>
    <x v="4"/>
    <x v="0"/>
    <x v="3"/>
    <x v="0"/>
    <x v="2"/>
    <s v="Nov"/>
    <s v="Q4"/>
    <x v="23"/>
    <n v="1"/>
    <n v="14.12"/>
  </r>
  <r>
    <s v="ORD00137"/>
    <d v="2025-07-16T00:00:00"/>
    <d v="2025-07-20T00:00:00"/>
    <s v="C0213"/>
    <x v="116"/>
    <s v="Corporate"/>
    <x v="3"/>
    <x v="7"/>
    <s v="P012"/>
    <x v="4"/>
    <x v="3"/>
    <n v="5"/>
    <n v="3500"/>
    <x v="2"/>
    <n v="14000"/>
    <n v="4099.2299999999996"/>
    <x v="4"/>
    <x v="2"/>
    <x v="1"/>
    <x v="0"/>
    <x v="3"/>
    <s v="Jul"/>
    <s v="Q3"/>
    <x v="15"/>
    <n v="4"/>
    <n v="29.28"/>
  </r>
  <r>
    <s v="ORD01956"/>
    <d v="2025-04-26T00:00:00"/>
    <d v="2025-05-02T00:00:00"/>
    <s v="C0070"/>
    <x v="31"/>
    <s v="Corporate"/>
    <x v="3"/>
    <x v="8"/>
    <s v="P005"/>
    <x v="0"/>
    <x v="0"/>
    <n v="10"/>
    <n v="7000"/>
    <x v="4"/>
    <n v="63000"/>
    <n v="10605.42"/>
    <x v="5"/>
    <x v="1"/>
    <x v="3"/>
    <x v="0"/>
    <x v="5"/>
    <s v="Apr"/>
    <s v="Q2"/>
    <x v="13"/>
    <n v="6"/>
    <n v="16.829999999999998"/>
  </r>
  <r>
    <s v="ORD01576"/>
    <d v="2024-08-29T00:00:00"/>
    <d v="2024-08-31T00:00:00"/>
    <s v="C0217"/>
    <x v="246"/>
    <s v="Corporate"/>
    <x v="3"/>
    <x v="8"/>
    <s v="P003"/>
    <x v="5"/>
    <x v="2"/>
    <n v="1"/>
    <n v="3000"/>
    <x v="0"/>
    <n v="3000"/>
    <n v="846.95"/>
    <x v="2"/>
    <x v="0"/>
    <x v="4"/>
    <x v="1"/>
    <x v="7"/>
    <s v="Aug"/>
    <s v="Q3"/>
    <x v="9"/>
    <n v="2"/>
    <n v="28.23"/>
  </r>
  <r>
    <s v="ORD01884"/>
    <d v="2025-05-28T00:00:00"/>
    <m/>
    <s v="C0273"/>
    <x v="46"/>
    <s v="Small Business"/>
    <x v="3"/>
    <x v="8"/>
    <s v="P012"/>
    <x v="4"/>
    <x v="3"/>
    <n v="1"/>
    <n v="3500"/>
    <x v="0"/>
    <n v="3500"/>
    <n v="1120"/>
    <x v="3"/>
    <x v="1"/>
    <x v="0"/>
    <x v="0"/>
    <x v="4"/>
    <s v="May"/>
    <s v="Q2"/>
    <x v="5"/>
    <s v=""/>
    <n v="32"/>
  </r>
  <r>
    <s v="ORD01284"/>
    <d v="2025-04-28T00:00:00"/>
    <d v="2025-05-05T00:00:00"/>
    <s v="C0292"/>
    <x v="66"/>
    <s v="Consumer"/>
    <x v="3"/>
    <x v="7"/>
    <s v="P011"/>
    <x v="9"/>
    <x v="4"/>
    <n v="3"/>
    <n v="600"/>
    <x v="0"/>
    <n v="1800"/>
    <n v="485.02"/>
    <x v="1"/>
    <x v="2"/>
    <x v="2"/>
    <x v="0"/>
    <x v="5"/>
    <s v="Apr"/>
    <s v="Q2"/>
    <x v="13"/>
    <n v="7"/>
    <n v="26.95"/>
  </r>
  <r>
    <s v="ORD00604"/>
    <d v="2025-09-18T00:00:00"/>
    <d v="2025-09-22T00:00:00"/>
    <s v="C0081"/>
    <x v="149"/>
    <s v="Corporate"/>
    <x v="3"/>
    <x v="12"/>
    <s v="P011"/>
    <x v="9"/>
    <x v="4"/>
    <n v="5"/>
    <n v="600"/>
    <x v="4"/>
    <n v="2700"/>
    <n v="1116.3399999999999"/>
    <x v="2"/>
    <x v="1"/>
    <x v="1"/>
    <x v="0"/>
    <x v="9"/>
    <s v="Sep"/>
    <s v="Q3"/>
    <x v="11"/>
    <n v="4"/>
    <n v="41.35"/>
  </r>
  <r>
    <s v="ORD00295"/>
    <d v="2024-05-06T00:00:00"/>
    <d v="2024-05-14T00:00:00"/>
    <s v="C0204"/>
    <x v="137"/>
    <s v="Corporate"/>
    <x v="0"/>
    <x v="10"/>
    <s v="P011"/>
    <x v="9"/>
    <x v="4"/>
    <n v="3"/>
    <n v="600"/>
    <x v="0"/>
    <n v="1800"/>
    <n v="580.71"/>
    <x v="4"/>
    <x v="1"/>
    <x v="1"/>
    <x v="1"/>
    <x v="4"/>
    <s v="May"/>
    <s v="Q2"/>
    <x v="8"/>
    <n v="8"/>
    <n v="32.26"/>
  </r>
  <r>
    <s v="ORD01030"/>
    <d v="2025-01-25T00:00:00"/>
    <d v="2025-02-01T00:00:00"/>
    <s v="C0278"/>
    <x v="51"/>
    <s v="Small Business"/>
    <x v="0"/>
    <x v="2"/>
    <s v="P007"/>
    <x v="10"/>
    <x v="0"/>
    <n v="1"/>
    <n v="6000"/>
    <x v="1"/>
    <n v="5100"/>
    <n v="1193.9100000000001"/>
    <x v="5"/>
    <x v="1"/>
    <x v="1"/>
    <x v="0"/>
    <x v="11"/>
    <s v="Jan"/>
    <s v="Q1"/>
    <x v="17"/>
    <n v="7"/>
    <n v="23.41"/>
  </r>
  <r>
    <s v="ORD01394"/>
    <d v="2025-11-08T00:00:00"/>
    <d v="2025-11-12T00:00:00"/>
    <s v="C0203"/>
    <x v="179"/>
    <s v="Consumer"/>
    <x v="1"/>
    <x v="13"/>
    <s v="P004"/>
    <x v="7"/>
    <x v="2"/>
    <n v="2"/>
    <n v="8000"/>
    <x v="1"/>
    <n v="13600"/>
    <n v="2794.34"/>
    <x v="1"/>
    <x v="2"/>
    <x v="0"/>
    <x v="0"/>
    <x v="2"/>
    <s v="Nov"/>
    <s v="Q4"/>
    <x v="23"/>
    <n v="4"/>
    <n v="20.55"/>
  </r>
  <r>
    <s v="ORD01155"/>
    <d v="2024-12-27T00:00:00"/>
    <d v="2024-12-29T00:00:00"/>
    <s v="C0009"/>
    <x v="233"/>
    <s v="Consumer"/>
    <x v="1"/>
    <x v="5"/>
    <s v="P011"/>
    <x v="9"/>
    <x v="4"/>
    <n v="1"/>
    <n v="600"/>
    <x v="0"/>
    <n v="600"/>
    <n v="191.5"/>
    <x v="1"/>
    <x v="1"/>
    <x v="3"/>
    <x v="1"/>
    <x v="10"/>
    <s v="Dec"/>
    <s v="Q4"/>
    <x v="16"/>
    <n v="2"/>
    <n v="31.92"/>
  </r>
  <r>
    <s v="ORD00771"/>
    <d v="2025-05-31T00:00:00"/>
    <d v="2025-06-08T00:00:00"/>
    <s v="C0068"/>
    <x v="247"/>
    <s v="Consumer"/>
    <x v="3"/>
    <x v="6"/>
    <s v="P003"/>
    <x v="5"/>
    <x v="2"/>
    <n v="2"/>
    <n v="3000"/>
    <x v="2"/>
    <n v="4800"/>
    <n v="1267.1600000000001"/>
    <x v="4"/>
    <x v="2"/>
    <x v="4"/>
    <x v="0"/>
    <x v="4"/>
    <s v="May"/>
    <s v="Q2"/>
    <x v="5"/>
    <n v="8"/>
    <n v="26.4"/>
  </r>
  <r>
    <s v="ORD01080"/>
    <d v="2025-10-14T00:00:00"/>
    <d v="2025-10-17T00:00:00"/>
    <s v="C0105"/>
    <x v="126"/>
    <s v="Corporate"/>
    <x v="0"/>
    <x v="10"/>
    <s v="P006"/>
    <x v="1"/>
    <x v="0"/>
    <n v="2"/>
    <n v="9500"/>
    <x v="1"/>
    <n v="16150"/>
    <n v="2265.0100000000002"/>
    <x v="1"/>
    <x v="2"/>
    <x v="1"/>
    <x v="0"/>
    <x v="1"/>
    <s v="Oct"/>
    <s v="Q4"/>
    <x v="14"/>
    <n v="3"/>
    <n v="14.02"/>
  </r>
  <r>
    <s v="ORD01292"/>
    <d v="2025-05-09T00:00:00"/>
    <m/>
    <s v="C0073"/>
    <x v="147"/>
    <s v="Consumer"/>
    <x v="3"/>
    <x v="8"/>
    <s v="P004"/>
    <x v="7"/>
    <x v="2"/>
    <n v="1"/>
    <n v="8000"/>
    <x v="0"/>
    <n v="8000"/>
    <n v="1664.02"/>
    <x v="0"/>
    <x v="2"/>
    <x v="0"/>
    <x v="0"/>
    <x v="4"/>
    <s v="May"/>
    <s v="Q2"/>
    <x v="5"/>
    <s v=""/>
    <n v="20.8"/>
  </r>
  <r>
    <s v="ORD01026"/>
    <d v="2024-07-11T00:00:00"/>
    <d v="2024-07-18T00:00:00"/>
    <s v="C0019"/>
    <x v="48"/>
    <s v="Consumer"/>
    <x v="2"/>
    <x v="4"/>
    <s v="P004"/>
    <x v="7"/>
    <x v="2"/>
    <n v="2"/>
    <n v="8000"/>
    <x v="4"/>
    <n v="14400"/>
    <n v="3635.11"/>
    <x v="4"/>
    <x v="1"/>
    <x v="2"/>
    <x v="1"/>
    <x v="3"/>
    <s v="Jul"/>
    <s v="Q3"/>
    <x v="4"/>
    <n v="7"/>
    <n v="25.24"/>
  </r>
  <r>
    <s v="ORD00840"/>
    <d v="2024-07-29T00:00:00"/>
    <d v="2024-08-06T00:00:00"/>
    <s v="C0198"/>
    <x v="61"/>
    <s v="Consumer"/>
    <x v="0"/>
    <x v="0"/>
    <s v="P005"/>
    <x v="0"/>
    <x v="0"/>
    <n v="1"/>
    <n v="7000"/>
    <x v="1"/>
    <n v="5950"/>
    <n v="1190.8699999999999"/>
    <x v="2"/>
    <x v="1"/>
    <x v="1"/>
    <x v="1"/>
    <x v="3"/>
    <s v="Jul"/>
    <s v="Q3"/>
    <x v="4"/>
    <n v="8"/>
    <n v="20.010000000000002"/>
  </r>
  <r>
    <s v="ORD00933"/>
    <d v="2025-09-15T00:00:00"/>
    <d v="2025-09-21T00:00:00"/>
    <s v="C0128"/>
    <x v="91"/>
    <s v="Corporate"/>
    <x v="3"/>
    <x v="8"/>
    <s v="P011"/>
    <x v="9"/>
    <x v="4"/>
    <n v="2"/>
    <n v="600"/>
    <x v="3"/>
    <n v="1140"/>
    <n v="334.97"/>
    <x v="0"/>
    <x v="2"/>
    <x v="4"/>
    <x v="0"/>
    <x v="9"/>
    <s v="Sep"/>
    <s v="Q3"/>
    <x v="11"/>
    <n v="6"/>
    <n v="29.38"/>
  </r>
  <r>
    <s v="ORD00380"/>
    <d v="2025-05-28T00:00:00"/>
    <d v="2025-05-29T00:00:00"/>
    <s v="C0069"/>
    <x v="101"/>
    <s v="Small Business"/>
    <x v="0"/>
    <x v="0"/>
    <s v="P008"/>
    <x v="11"/>
    <x v="1"/>
    <n v="2"/>
    <n v="250"/>
    <x v="3"/>
    <n v="475"/>
    <n v="160.65"/>
    <x v="5"/>
    <x v="0"/>
    <x v="1"/>
    <x v="0"/>
    <x v="4"/>
    <s v="May"/>
    <s v="Q2"/>
    <x v="5"/>
    <n v="1"/>
    <n v="33.82"/>
  </r>
  <r>
    <s v="ORD01119"/>
    <d v="2024-03-04T00:00:00"/>
    <d v="2024-03-06T00:00:00"/>
    <s v="C0216"/>
    <x v="154"/>
    <s v="Corporate"/>
    <x v="1"/>
    <x v="1"/>
    <s v="P002"/>
    <x v="3"/>
    <x v="2"/>
    <n v="2"/>
    <n v="25000"/>
    <x v="0"/>
    <n v="50000"/>
    <n v="5362.25"/>
    <x v="0"/>
    <x v="1"/>
    <x v="1"/>
    <x v="1"/>
    <x v="0"/>
    <s v="Mar"/>
    <s v="Q1"/>
    <x v="2"/>
    <n v="2"/>
    <n v="10.72"/>
  </r>
  <r>
    <s v="ORD01147"/>
    <d v="2025-04-19T00:00:00"/>
    <d v="2025-04-24T00:00:00"/>
    <s v="C0148"/>
    <x v="57"/>
    <s v="Corporate"/>
    <x v="2"/>
    <x v="4"/>
    <s v="P009"/>
    <x v="2"/>
    <x v="1"/>
    <n v="2"/>
    <n v="180"/>
    <x v="1"/>
    <n v="306"/>
    <n v="127.69"/>
    <x v="4"/>
    <x v="1"/>
    <x v="0"/>
    <x v="0"/>
    <x v="5"/>
    <s v="Apr"/>
    <s v="Q2"/>
    <x v="13"/>
    <n v="5"/>
    <n v="41.73"/>
  </r>
  <r>
    <s v="ORD00264"/>
    <d v="2024-12-14T00:00:00"/>
    <d v="2024-12-15T00:00:00"/>
    <s v="C0104"/>
    <x v="225"/>
    <s v="Corporate"/>
    <x v="0"/>
    <x v="11"/>
    <s v="P003"/>
    <x v="5"/>
    <x v="2"/>
    <n v="5"/>
    <n v="3000"/>
    <x v="2"/>
    <n v="12000"/>
    <n v="3770.23"/>
    <x v="2"/>
    <x v="0"/>
    <x v="3"/>
    <x v="1"/>
    <x v="10"/>
    <s v="Dec"/>
    <s v="Q4"/>
    <x v="16"/>
    <n v="1"/>
    <n v="31.42"/>
  </r>
  <r>
    <s v="ORD01544"/>
    <d v="2025-09-12T00:00:00"/>
    <d v="2025-09-15T00:00:00"/>
    <s v="C0201"/>
    <x v="150"/>
    <s v="Small Business"/>
    <x v="3"/>
    <x v="7"/>
    <s v="P008"/>
    <x v="11"/>
    <x v="1"/>
    <n v="4"/>
    <n v="250"/>
    <x v="0"/>
    <n v="1000"/>
    <n v="399.78"/>
    <x v="0"/>
    <x v="2"/>
    <x v="1"/>
    <x v="0"/>
    <x v="9"/>
    <s v="Sep"/>
    <s v="Q3"/>
    <x v="11"/>
    <n v="3"/>
    <n v="39.979999999999997"/>
  </r>
  <r>
    <s v="ORD01301"/>
    <d v="2025-08-06T00:00:00"/>
    <d v="2025-08-10T00:00:00"/>
    <s v="C0256"/>
    <x v="112"/>
    <s v="Small Business"/>
    <x v="3"/>
    <x v="8"/>
    <s v="P008"/>
    <x v="11"/>
    <x v="1"/>
    <n v="5"/>
    <n v="250"/>
    <x v="0"/>
    <n v="1250"/>
    <n v="518"/>
    <x v="5"/>
    <x v="0"/>
    <x v="4"/>
    <x v="0"/>
    <x v="7"/>
    <s v="Aug"/>
    <s v="Q3"/>
    <x v="22"/>
    <n v="4"/>
    <n v="41.44"/>
  </r>
  <r>
    <s v="ORD00729"/>
    <d v="2024-01-17T00:00:00"/>
    <d v="2024-01-20T00:00:00"/>
    <s v="C0042"/>
    <x v="117"/>
    <s v="Consumer"/>
    <x v="1"/>
    <x v="13"/>
    <s v="P009"/>
    <x v="2"/>
    <x v="1"/>
    <n v="1"/>
    <n v="180"/>
    <x v="1"/>
    <n v="153"/>
    <n v="60.94"/>
    <x v="0"/>
    <x v="0"/>
    <x v="3"/>
    <x v="1"/>
    <x v="11"/>
    <s v="Jan"/>
    <s v="Q1"/>
    <x v="21"/>
    <n v="3"/>
    <n v="39.83"/>
  </r>
  <r>
    <s v="ORD01096"/>
    <d v="2024-09-11T00:00:00"/>
    <d v="2024-09-18T00:00:00"/>
    <s v="C0243"/>
    <x v="24"/>
    <s v="Corporate"/>
    <x v="0"/>
    <x v="11"/>
    <s v="P006"/>
    <x v="1"/>
    <x v="0"/>
    <n v="4"/>
    <n v="9500"/>
    <x v="1"/>
    <n v="32300"/>
    <n v="5520.05"/>
    <x v="2"/>
    <x v="1"/>
    <x v="4"/>
    <x v="1"/>
    <x v="9"/>
    <s v="Sep"/>
    <s v="Q3"/>
    <x v="20"/>
    <n v="7"/>
    <n v="17.09"/>
  </r>
  <r>
    <s v="ORD00207"/>
    <d v="2024-04-14T00:00:00"/>
    <d v="2024-04-19T00:00:00"/>
    <s v="C0112"/>
    <x v="72"/>
    <s v="Consumer"/>
    <x v="0"/>
    <x v="2"/>
    <s v="P007"/>
    <x v="10"/>
    <x v="0"/>
    <n v="3"/>
    <n v="6000"/>
    <x v="1"/>
    <n v="15300"/>
    <n v="3673.98"/>
    <x v="2"/>
    <x v="1"/>
    <x v="4"/>
    <x v="1"/>
    <x v="5"/>
    <s v="Apr"/>
    <s v="Q2"/>
    <x v="6"/>
    <n v="5"/>
    <n v="24.01"/>
  </r>
  <r>
    <s v="ORD01459"/>
    <d v="2024-03-22T00:00:00"/>
    <m/>
    <s v="C0108"/>
    <x v="145"/>
    <s v="Consumer"/>
    <x v="2"/>
    <x v="4"/>
    <s v="P001"/>
    <x v="8"/>
    <x v="2"/>
    <n v="1"/>
    <n v="55000"/>
    <x v="1"/>
    <n v="46750"/>
    <n v="7672.24"/>
    <x v="4"/>
    <x v="2"/>
    <x v="0"/>
    <x v="1"/>
    <x v="0"/>
    <s v="Mar"/>
    <s v="Q1"/>
    <x v="2"/>
    <s v=""/>
    <n v="16.41"/>
  </r>
  <r>
    <s v="ORD00945"/>
    <d v="2025-01-08T00:00:00"/>
    <d v="2025-01-13T00:00:00"/>
    <s v="C0192"/>
    <x v="214"/>
    <s v="Consumer"/>
    <x v="3"/>
    <x v="8"/>
    <s v="P005"/>
    <x v="0"/>
    <x v="0"/>
    <n v="2"/>
    <n v="7000"/>
    <x v="0"/>
    <n v="14000"/>
    <n v="2816.88"/>
    <x v="2"/>
    <x v="1"/>
    <x v="0"/>
    <x v="0"/>
    <x v="11"/>
    <s v="Jan"/>
    <s v="Q1"/>
    <x v="17"/>
    <n v="5"/>
    <n v="20.12"/>
  </r>
  <r>
    <s v="ORD00683"/>
    <d v="2025-09-07T00:00:00"/>
    <d v="2025-09-11T00:00:00"/>
    <s v="C0132"/>
    <x v="203"/>
    <s v="Small Business"/>
    <x v="1"/>
    <x v="1"/>
    <s v="P011"/>
    <x v="9"/>
    <x v="4"/>
    <n v="1"/>
    <n v="600"/>
    <x v="0"/>
    <n v="600"/>
    <n v="169.96"/>
    <x v="2"/>
    <x v="0"/>
    <x v="2"/>
    <x v="0"/>
    <x v="9"/>
    <s v="Sep"/>
    <s v="Q3"/>
    <x v="11"/>
    <n v="4"/>
    <n v="28.33"/>
  </r>
  <r>
    <s v="ORD01957"/>
    <d v="2025-05-12T00:00:00"/>
    <d v="2025-05-15T00:00:00"/>
    <s v="C0030"/>
    <x v="104"/>
    <s v="Consumer"/>
    <x v="2"/>
    <x v="4"/>
    <s v="P002"/>
    <x v="3"/>
    <x v="2"/>
    <n v="2"/>
    <n v="25000"/>
    <x v="2"/>
    <n v="40000"/>
    <n v="5440.1"/>
    <x v="5"/>
    <x v="1"/>
    <x v="0"/>
    <x v="0"/>
    <x v="4"/>
    <s v="May"/>
    <s v="Q2"/>
    <x v="5"/>
    <n v="3"/>
    <n v="13.6"/>
  </r>
  <r>
    <s v="ORD00525"/>
    <d v="2025-01-19T00:00:00"/>
    <d v="2025-01-26T00:00:00"/>
    <s v="C0016"/>
    <x v="83"/>
    <s v="Corporate"/>
    <x v="0"/>
    <x v="11"/>
    <s v="P006"/>
    <x v="1"/>
    <x v="0"/>
    <n v="2"/>
    <n v="9500"/>
    <x v="2"/>
    <n v="15200"/>
    <n v="2329.8200000000002"/>
    <x v="4"/>
    <x v="2"/>
    <x v="3"/>
    <x v="0"/>
    <x v="11"/>
    <s v="Jan"/>
    <s v="Q1"/>
    <x v="17"/>
    <n v="7"/>
    <n v="15.33"/>
  </r>
  <r>
    <s v="ORD00182"/>
    <d v="2025-10-02T00:00:00"/>
    <d v="2025-10-07T00:00:00"/>
    <s v="C0127"/>
    <x v="248"/>
    <s v="Consumer"/>
    <x v="3"/>
    <x v="12"/>
    <s v="P012"/>
    <x v="4"/>
    <x v="3"/>
    <n v="2"/>
    <n v="3500"/>
    <x v="3"/>
    <n v="6650"/>
    <n v="1580.65"/>
    <x v="2"/>
    <x v="1"/>
    <x v="4"/>
    <x v="0"/>
    <x v="1"/>
    <s v="Oct"/>
    <s v="Q4"/>
    <x v="14"/>
    <n v="5"/>
    <n v="23.77"/>
  </r>
  <r>
    <s v="ORD00435"/>
    <d v="2025-07-15T00:00:00"/>
    <m/>
    <s v="C0277"/>
    <x v="249"/>
    <s v="Small Business"/>
    <x v="0"/>
    <x v="10"/>
    <s v="P005"/>
    <x v="0"/>
    <x v="0"/>
    <n v="2"/>
    <n v="7000"/>
    <x v="1"/>
    <n v="11900"/>
    <n v="2397.34"/>
    <x v="5"/>
    <x v="2"/>
    <x v="1"/>
    <x v="0"/>
    <x v="3"/>
    <s v="Jul"/>
    <s v="Q3"/>
    <x v="15"/>
    <s v=""/>
    <n v="20.149999999999999"/>
  </r>
  <r>
    <s v="ORD01783"/>
    <d v="2024-05-16T00:00:00"/>
    <d v="2024-05-21T00:00:00"/>
    <s v="C0127"/>
    <x v="248"/>
    <s v="Consumer"/>
    <x v="3"/>
    <x v="12"/>
    <s v="P011"/>
    <x v="9"/>
    <x v="4"/>
    <n v="3"/>
    <n v="600"/>
    <x v="1"/>
    <n v="1530"/>
    <n v="540.95000000000005"/>
    <x v="0"/>
    <x v="0"/>
    <x v="2"/>
    <x v="1"/>
    <x v="4"/>
    <s v="May"/>
    <s v="Q2"/>
    <x v="8"/>
    <n v="5"/>
    <n v="35.36"/>
  </r>
  <r>
    <s v="ORD01280"/>
    <d v="2025-06-29T00:00:00"/>
    <d v="2025-07-07T00:00:00"/>
    <s v="C0258"/>
    <x v="45"/>
    <s v="Small Business"/>
    <x v="0"/>
    <x v="10"/>
    <s v="P009"/>
    <x v="2"/>
    <x v="1"/>
    <n v="1"/>
    <n v="180"/>
    <x v="2"/>
    <n v="144"/>
    <n v="55.83"/>
    <x v="3"/>
    <x v="1"/>
    <x v="2"/>
    <x v="0"/>
    <x v="8"/>
    <s v="Jun"/>
    <s v="Q2"/>
    <x v="10"/>
    <n v="8"/>
    <n v="38.770000000000003"/>
  </r>
  <r>
    <s v="ORD01326"/>
    <d v="2024-02-02T00:00:00"/>
    <d v="2024-02-10T00:00:00"/>
    <s v="C0290"/>
    <x v="71"/>
    <s v="Consumer"/>
    <x v="3"/>
    <x v="7"/>
    <s v="P007"/>
    <x v="10"/>
    <x v="0"/>
    <n v="5"/>
    <n v="6000"/>
    <x v="2"/>
    <n v="24000"/>
    <n v="5871.23"/>
    <x v="6"/>
    <x v="2"/>
    <x v="4"/>
    <x v="1"/>
    <x v="6"/>
    <s v="Feb"/>
    <s v="Q1"/>
    <x v="18"/>
    <n v="8"/>
    <n v="24.46"/>
  </r>
  <r>
    <s v="ORD00153"/>
    <d v="2025-07-29T00:00:00"/>
    <d v="2025-08-01T00:00:00"/>
    <s v="C0238"/>
    <x v="88"/>
    <s v="Small Business"/>
    <x v="3"/>
    <x v="8"/>
    <s v="P001"/>
    <x v="8"/>
    <x v="2"/>
    <n v="2"/>
    <n v="55000"/>
    <x v="3"/>
    <n v="104500"/>
    <n v="17360.03"/>
    <x v="0"/>
    <x v="0"/>
    <x v="4"/>
    <x v="0"/>
    <x v="3"/>
    <s v="Jul"/>
    <s v="Q3"/>
    <x v="15"/>
    <n v="3"/>
    <n v="16.61"/>
  </r>
  <r>
    <s v="ORD01000"/>
    <d v="2025-10-19T00:00:00"/>
    <d v="2025-10-26T00:00:00"/>
    <s v="C0161"/>
    <x v="62"/>
    <s v="Consumer"/>
    <x v="3"/>
    <x v="12"/>
    <s v="P011"/>
    <x v="9"/>
    <x v="4"/>
    <n v="1"/>
    <n v="600"/>
    <x v="0"/>
    <n v="600"/>
    <n v="232.86"/>
    <x v="4"/>
    <x v="1"/>
    <x v="3"/>
    <x v="0"/>
    <x v="1"/>
    <s v="Oct"/>
    <s v="Q4"/>
    <x v="14"/>
    <n v="7"/>
    <n v="38.81"/>
  </r>
  <r>
    <s v="ORD01581"/>
    <d v="2025-04-16T00:00:00"/>
    <d v="2025-04-23T00:00:00"/>
    <s v="C0001"/>
    <x v="250"/>
    <s v="Small Business"/>
    <x v="0"/>
    <x v="0"/>
    <s v="P005"/>
    <x v="0"/>
    <x v="0"/>
    <n v="2"/>
    <n v="7000"/>
    <x v="3"/>
    <n v="13300"/>
    <n v="2841.18"/>
    <x v="1"/>
    <x v="2"/>
    <x v="0"/>
    <x v="0"/>
    <x v="5"/>
    <s v="Apr"/>
    <s v="Q2"/>
    <x v="13"/>
    <n v="7"/>
    <n v="21.36"/>
  </r>
  <r>
    <s v="ORD00827"/>
    <d v="2024-12-26T00:00:00"/>
    <d v="2025-01-02T00:00:00"/>
    <s v="C0228"/>
    <x v="122"/>
    <s v="Consumer"/>
    <x v="3"/>
    <x v="6"/>
    <s v="P009"/>
    <x v="2"/>
    <x v="1"/>
    <n v="1"/>
    <n v="180"/>
    <x v="4"/>
    <n v="162"/>
    <n v="69.14"/>
    <x v="0"/>
    <x v="1"/>
    <x v="0"/>
    <x v="1"/>
    <x v="10"/>
    <s v="Dec"/>
    <s v="Q4"/>
    <x v="16"/>
    <n v="7"/>
    <n v="42.68"/>
  </r>
  <r>
    <s v="ORD00237"/>
    <d v="2024-01-13T00:00:00"/>
    <d v="2024-01-16T00:00:00"/>
    <s v="C0002"/>
    <x v="157"/>
    <s v="Consumer"/>
    <x v="1"/>
    <x v="16"/>
    <s v="P001"/>
    <x v="8"/>
    <x v="2"/>
    <n v="1"/>
    <n v="55000"/>
    <x v="3"/>
    <n v="52250"/>
    <n v="7952.78"/>
    <x v="4"/>
    <x v="0"/>
    <x v="1"/>
    <x v="1"/>
    <x v="11"/>
    <s v="Jan"/>
    <s v="Q1"/>
    <x v="21"/>
    <n v="3"/>
    <n v="15.22"/>
  </r>
  <r>
    <s v="ORD01612"/>
    <d v="2025-10-31T00:00:00"/>
    <d v="2025-11-05T00:00:00"/>
    <s v="C0157"/>
    <x v="240"/>
    <s v="Consumer"/>
    <x v="2"/>
    <x v="3"/>
    <s v="P005"/>
    <x v="0"/>
    <x v="0"/>
    <n v="2"/>
    <n v="7000"/>
    <x v="2"/>
    <n v="11200"/>
    <n v="2641.9"/>
    <x v="5"/>
    <x v="1"/>
    <x v="2"/>
    <x v="0"/>
    <x v="1"/>
    <s v="Oct"/>
    <s v="Q4"/>
    <x v="14"/>
    <n v="5"/>
    <n v="23.59"/>
  </r>
  <r>
    <s v="ORD00924"/>
    <d v="2025-07-17T00:00:00"/>
    <d v="2025-07-20T00:00:00"/>
    <s v="C0217"/>
    <x v="246"/>
    <s v="Corporate"/>
    <x v="3"/>
    <x v="8"/>
    <s v="P002"/>
    <x v="3"/>
    <x v="2"/>
    <n v="1"/>
    <n v="25000"/>
    <x v="3"/>
    <n v="23750"/>
    <n v="3419.67"/>
    <x v="0"/>
    <x v="1"/>
    <x v="3"/>
    <x v="0"/>
    <x v="3"/>
    <s v="Jul"/>
    <s v="Q3"/>
    <x v="15"/>
    <n v="3"/>
    <n v="14.4"/>
  </r>
  <r>
    <s v="ORD00555"/>
    <d v="2024-02-08T00:00:00"/>
    <d v="2024-02-16T00:00:00"/>
    <s v="C0188"/>
    <x v="209"/>
    <s v="Corporate"/>
    <x v="2"/>
    <x v="3"/>
    <s v="P001"/>
    <x v="8"/>
    <x v="2"/>
    <n v="2"/>
    <n v="55000"/>
    <x v="1"/>
    <n v="93500"/>
    <n v="14262.27"/>
    <x v="5"/>
    <x v="0"/>
    <x v="2"/>
    <x v="1"/>
    <x v="6"/>
    <s v="Feb"/>
    <s v="Q1"/>
    <x v="18"/>
    <n v="8"/>
    <n v="15.25"/>
  </r>
  <r>
    <s v="ORD01557"/>
    <d v="2024-02-22T00:00:00"/>
    <d v="2024-02-24T00:00:00"/>
    <s v="C0102"/>
    <x v="205"/>
    <s v="Consumer"/>
    <x v="1"/>
    <x v="13"/>
    <s v="P005"/>
    <x v="0"/>
    <x v="0"/>
    <n v="10"/>
    <n v="7000"/>
    <x v="1"/>
    <n v="59500"/>
    <n v="523600"/>
    <x v="0"/>
    <x v="1"/>
    <x v="0"/>
    <x v="1"/>
    <x v="6"/>
    <s v="Feb"/>
    <s v="Q1"/>
    <x v="18"/>
    <n v="2"/>
    <n v="880"/>
  </r>
  <r>
    <s v="ORD01091"/>
    <d v="2024-04-22T00:00:00"/>
    <d v="2024-04-25T00:00:00"/>
    <s v="C0178"/>
    <x v="174"/>
    <s v="Corporate"/>
    <x v="3"/>
    <x v="6"/>
    <s v="P005"/>
    <x v="0"/>
    <x v="0"/>
    <n v="10"/>
    <n v="7000"/>
    <x v="3"/>
    <n v="66500"/>
    <n v="15667.17"/>
    <x v="0"/>
    <x v="2"/>
    <x v="2"/>
    <x v="1"/>
    <x v="5"/>
    <s v="Apr"/>
    <s v="Q2"/>
    <x v="6"/>
    <n v="3"/>
    <n v="23.56"/>
  </r>
  <r>
    <s v="ORD01549"/>
    <d v="2025-06-29T00:00:00"/>
    <d v="2025-07-04T00:00:00"/>
    <s v="C0251"/>
    <x v="159"/>
    <s v="Consumer"/>
    <x v="0"/>
    <x v="10"/>
    <s v="P006"/>
    <x v="1"/>
    <x v="0"/>
    <n v="2"/>
    <n v="9500"/>
    <x v="1"/>
    <n v="16150"/>
    <n v="2342.31"/>
    <x v="3"/>
    <x v="1"/>
    <x v="1"/>
    <x v="0"/>
    <x v="8"/>
    <s v="Jun"/>
    <s v="Q2"/>
    <x v="10"/>
    <n v="5"/>
    <n v="14.5"/>
  </r>
  <r>
    <s v="ORD00583"/>
    <d v="2025-02-02T00:00:00"/>
    <d v="2025-02-10T00:00:00"/>
    <s v="C0123"/>
    <x v="251"/>
    <s v="Small Business"/>
    <x v="0"/>
    <x v="10"/>
    <s v="P008"/>
    <x v="11"/>
    <x v="1"/>
    <n v="1"/>
    <n v="250"/>
    <x v="4"/>
    <n v="225"/>
    <n v="86.16"/>
    <x v="1"/>
    <x v="1"/>
    <x v="3"/>
    <x v="0"/>
    <x v="6"/>
    <s v="Feb"/>
    <s v="Q1"/>
    <x v="7"/>
    <n v="8"/>
    <n v="38.29"/>
  </r>
  <r>
    <s v="ORD00800"/>
    <d v="2024-08-19T00:00:00"/>
    <d v="2024-08-23T00:00:00"/>
    <s v="C0013"/>
    <x v="212"/>
    <s v="Corporate"/>
    <x v="0"/>
    <x v="2"/>
    <s v="P012"/>
    <x v="4"/>
    <x v="3"/>
    <n v="10"/>
    <n v="3500"/>
    <x v="3"/>
    <n v="33250"/>
    <n v="11524.29"/>
    <x v="4"/>
    <x v="0"/>
    <x v="4"/>
    <x v="1"/>
    <x v="7"/>
    <s v="Aug"/>
    <s v="Q3"/>
    <x v="9"/>
    <n v="4"/>
    <n v="34.659999999999997"/>
  </r>
  <r>
    <s v="ORD01082"/>
    <d v="2024-01-14T00:00:00"/>
    <d v="2024-01-17T00:00:00"/>
    <s v="C0234"/>
    <x v="113"/>
    <s v="Corporate"/>
    <x v="3"/>
    <x v="8"/>
    <s v="P003"/>
    <x v="5"/>
    <x v="2"/>
    <n v="3"/>
    <n v="3000"/>
    <x v="3"/>
    <n v="8550"/>
    <n v="2138.2399999999998"/>
    <x v="3"/>
    <x v="0"/>
    <x v="2"/>
    <x v="1"/>
    <x v="11"/>
    <s v="Jan"/>
    <s v="Q1"/>
    <x v="21"/>
    <n v="3"/>
    <n v="25.01"/>
  </r>
  <r>
    <s v="ORD01153"/>
    <d v="2025-10-07T00:00:00"/>
    <d v="2025-10-09T00:00:00"/>
    <s v="C0066"/>
    <x v="20"/>
    <s v="Consumer"/>
    <x v="1"/>
    <x v="1"/>
    <s v="P004"/>
    <x v="7"/>
    <x v="2"/>
    <n v="4"/>
    <n v="8000"/>
    <x v="1"/>
    <n v="27200"/>
    <n v="4894.8599999999997"/>
    <x v="5"/>
    <x v="0"/>
    <x v="2"/>
    <x v="0"/>
    <x v="1"/>
    <s v="Oct"/>
    <s v="Q4"/>
    <x v="14"/>
    <n v="2"/>
    <n v="18"/>
  </r>
  <r>
    <s v="ORD00238"/>
    <d v="2024-11-25T00:00:00"/>
    <d v="2024-11-27T00:00:00"/>
    <s v="C0215"/>
    <x v="252"/>
    <s v="Consumer"/>
    <x v="2"/>
    <x v="9"/>
    <s v="P004"/>
    <x v="7"/>
    <x v="2"/>
    <n v="5"/>
    <n v="8000"/>
    <x v="0"/>
    <n v="40000"/>
    <n v="10000"/>
    <x v="1"/>
    <x v="1"/>
    <x v="3"/>
    <x v="1"/>
    <x v="2"/>
    <s v="Nov"/>
    <s v="Q4"/>
    <x v="3"/>
    <n v="2"/>
    <n v="25"/>
  </r>
  <r>
    <s v="ORD00754"/>
    <d v="2025-11-07T00:00:00"/>
    <d v="2025-11-12T00:00:00"/>
    <s v="C0202"/>
    <x v="222"/>
    <s v="Small Business"/>
    <x v="2"/>
    <x v="9"/>
    <s v="P001"/>
    <x v="8"/>
    <x v="2"/>
    <n v="1"/>
    <n v="55000"/>
    <x v="4"/>
    <n v="49500"/>
    <n v="6443.03"/>
    <x v="0"/>
    <x v="1"/>
    <x v="1"/>
    <x v="0"/>
    <x v="2"/>
    <s v="Nov"/>
    <s v="Q4"/>
    <x v="23"/>
    <n v="5"/>
    <n v="13.02"/>
  </r>
  <r>
    <s v="ORD01195"/>
    <d v="2025-05-28T00:00:00"/>
    <d v="2025-06-02T00:00:00"/>
    <s v="C0270"/>
    <x v="253"/>
    <s v="Small Business"/>
    <x v="2"/>
    <x v="4"/>
    <s v="P002"/>
    <x v="3"/>
    <x v="2"/>
    <n v="1"/>
    <n v="25000"/>
    <x v="3"/>
    <n v="23750"/>
    <n v="2554.0100000000002"/>
    <x v="3"/>
    <x v="0"/>
    <x v="2"/>
    <x v="0"/>
    <x v="4"/>
    <s v="May"/>
    <s v="Q2"/>
    <x v="5"/>
    <n v="5"/>
    <n v="10.75"/>
  </r>
  <r>
    <s v="ORD00584"/>
    <d v="2024-02-27T00:00:00"/>
    <d v="2024-02-29T00:00:00"/>
    <s v="C0019"/>
    <x v="48"/>
    <s v="Consumer"/>
    <x v="2"/>
    <x v="4"/>
    <s v="P006"/>
    <x v="1"/>
    <x v="0"/>
    <n v="1"/>
    <n v="9500"/>
    <x v="1"/>
    <n v="8075"/>
    <n v="1158.1600000000001"/>
    <x v="4"/>
    <x v="2"/>
    <x v="1"/>
    <x v="1"/>
    <x v="6"/>
    <s v="Feb"/>
    <s v="Q1"/>
    <x v="18"/>
    <n v="2"/>
    <n v="14.34"/>
  </r>
  <r>
    <s v="ORD01569"/>
    <d v="2025-09-06T00:00:00"/>
    <d v="2025-09-10T00:00:00"/>
    <s v="C0119"/>
    <x v="238"/>
    <s v="Consumer"/>
    <x v="0"/>
    <x v="2"/>
    <s v="P007"/>
    <x v="10"/>
    <x v="0"/>
    <n v="4"/>
    <n v="6000"/>
    <x v="0"/>
    <n v="24000"/>
    <n v="5613.68"/>
    <x v="5"/>
    <x v="2"/>
    <x v="3"/>
    <x v="0"/>
    <x v="9"/>
    <s v="Sep"/>
    <s v="Q3"/>
    <x v="11"/>
    <n v="4"/>
    <n v="23.39"/>
  </r>
  <r>
    <s v="ORD01457"/>
    <d v="2024-12-15T00:00:00"/>
    <d v="2024-12-23T00:00:00"/>
    <s v="C0007"/>
    <x v="168"/>
    <s v="Consumer"/>
    <x v="0"/>
    <x v="11"/>
    <s v="P012"/>
    <x v="4"/>
    <x v="3"/>
    <n v="2"/>
    <n v="3500"/>
    <x v="0"/>
    <n v="7000"/>
    <n v="2090.15"/>
    <x v="5"/>
    <x v="1"/>
    <x v="3"/>
    <x v="1"/>
    <x v="10"/>
    <s v="Dec"/>
    <s v="Q4"/>
    <x v="16"/>
    <n v="8"/>
    <n v="29.86"/>
  </r>
  <r>
    <s v="ORD00434"/>
    <d v="2025-10-03T00:00:00"/>
    <d v="2025-10-09T00:00:00"/>
    <s v="C0146"/>
    <x v="199"/>
    <s v="Consumer"/>
    <x v="1"/>
    <x v="16"/>
    <s v="P008"/>
    <x v="11"/>
    <x v="1"/>
    <n v="2"/>
    <n v="250"/>
    <x v="0"/>
    <n v="500"/>
    <n v="142.29"/>
    <x v="3"/>
    <x v="1"/>
    <x v="0"/>
    <x v="0"/>
    <x v="1"/>
    <s v="Oct"/>
    <s v="Q4"/>
    <x v="14"/>
    <n v="6"/>
    <n v="28.46"/>
  </r>
  <r>
    <s v="ORD01017"/>
    <d v="2025-03-19T00:00:00"/>
    <d v="2025-03-25T00:00:00"/>
    <s v="C0056"/>
    <x v="26"/>
    <s v="Small Business"/>
    <x v="3"/>
    <x v="12"/>
    <s v="P007"/>
    <x v="10"/>
    <x v="0"/>
    <n v="1"/>
    <n v="6000"/>
    <x v="0"/>
    <n v="6000"/>
    <n v="1045.1400000000001"/>
    <x v="1"/>
    <x v="1"/>
    <x v="2"/>
    <x v="0"/>
    <x v="0"/>
    <s v="Mar"/>
    <s v="Q1"/>
    <x v="0"/>
    <n v="6"/>
    <n v="17.420000000000002"/>
  </r>
  <r>
    <s v="ORD00391"/>
    <d v="2024-06-23T00:00:00"/>
    <d v="2024-06-26T00:00:00"/>
    <s v="C0242"/>
    <x v="254"/>
    <s v="Consumer"/>
    <x v="2"/>
    <x v="4"/>
    <s v="P008"/>
    <x v="11"/>
    <x v="1"/>
    <n v="1"/>
    <n v="250"/>
    <x v="3"/>
    <n v="237.5"/>
    <n v="89.33"/>
    <x v="6"/>
    <x v="2"/>
    <x v="1"/>
    <x v="1"/>
    <x v="8"/>
    <s v="Jun"/>
    <s v="Q2"/>
    <x v="12"/>
    <n v="3"/>
    <n v="37.61"/>
  </r>
  <r>
    <s v="ORD00392"/>
    <d v="2025-12-03T00:00:00"/>
    <d v="2025-12-10T00:00:00"/>
    <s v="C0136"/>
    <x v="90"/>
    <s v="Small Business"/>
    <x v="3"/>
    <x v="8"/>
    <s v="P003"/>
    <x v="5"/>
    <x v="2"/>
    <n v="2"/>
    <n v="3000"/>
    <x v="4"/>
    <n v="5400"/>
    <n v="1178.6099999999999"/>
    <x v="0"/>
    <x v="0"/>
    <x v="3"/>
    <x v="0"/>
    <x v="10"/>
    <s v="Dec"/>
    <s v="Q4"/>
    <x v="19"/>
    <n v="7"/>
    <n v="21.83"/>
  </r>
  <r>
    <s v="ORD01179"/>
    <d v="2025-03-18T00:00:00"/>
    <d v="2025-03-23T00:00:00"/>
    <s v="C0062"/>
    <x v="92"/>
    <s v="Consumer"/>
    <x v="2"/>
    <x v="14"/>
    <s v="P008"/>
    <x v="11"/>
    <x v="1"/>
    <n v="2"/>
    <n v="250"/>
    <x v="0"/>
    <n v="500"/>
    <n v="209.16"/>
    <x v="5"/>
    <x v="2"/>
    <x v="3"/>
    <x v="0"/>
    <x v="0"/>
    <s v="Mar"/>
    <s v="Q1"/>
    <x v="0"/>
    <n v="5"/>
    <n v="41.83"/>
  </r>
  <r>
    <s v="ORD01748"/>
    <d v="2024-04-29T00:00:00"/>
    <d v="2024-05-03T00:00:00"/>
    <s v="C0033"/>
    <x v="255"/>
    <s v="Small Business"/>
    <x v="2"/>
    <x v="14"/>
    <s v="P001"/>
    <x v="8"/>
    <x v="2"/>
    <n v="4"/>
    <n v="55000"/>
    <x v="2"/>
    <n v="176000"/>
    <n v="27082.44"/>
    <x v="2"/>
    <x v="0"/>
    <x v="2"/>
    <x v="1"/>
    <x v="5"/>
    <s v="Apr"/>
    <s v="Q2"/>
    <x v="6"/>
    <n v="4"/>
    <n v="15.39"/>
  </r>
  <r>
    <s v="ORD00179"/>
    <d v="2025-09-04T00:00:00"/>
    <d v="2025-09-09T00:00:00"/>
    <s v="C0048"/>
    <x v="124"/>
    <s v="Small Business"/>
    <x v="2"/>
    <x v="3"/>
    <s v="P010"/>
    <x v="6"/>
    <x v="4"/>
    <n v="3"/>
    <n v="1800"/>
    <x v="2"/>
    <n v="4320"/>
    <n v="1291.3900000000001"/>
    <x v="0"/>
    <x v="1"/>
    <x v="3"/>
    <x v="0"/>
    <x v="9"/>
    <s v="Sep"/>
    <s v="Q3"/>
    <x v="11"/>
    <n v="5"/>
    <n v="29.89"/>
  </r>
  <r>
    <s v="ORD01815"/>
    <d v="2025-08-22T00:00:00"/>
    <d v="2025-08-25T00:00:00"/>
    <s v="C0168"/>
    <x v="256"/>
    <s v="Consumer"/>
    <x v="3"/>
    <x v="6"/>
    <s v="P011"/>
    <x v="9"/>
    <x v="4"/>
    <n v="1"/>
    <n v="600"/>
    <x v="0"/>
    <n v="600"/>
    <n v="228"/>
    <x v="4"/>
    <x v="0"/>
    <x v="4"/>
    <x v="0"/>
    <x v="7"/>
    <s v="Aug"/>
    <s v="Q3"/>
    <x v="22"/>
    <n v="3"/>
    <n v="38"/>
  </r>
  <r>
    <s v="ORD01973"/>
    <d v="2024-03-22T00:00:00"/>
    <d v="2024-03-25T00:00:00"/>
    <s v="C0172"/>
    <x v="226"/>
    <s v="Small Business"/>
    <x v="3"/>
    <x v="7"/>
    <s v="P006"/>
    <x v="1"/>
    <x v="0"/>
    <n v="1"/>
    <n v="9500"/>
    <x v="3"/>
    <n v="9025"/>
    <n v="1378.63"/>
    <x v="5"/>
    <x v="0"/>
    <x v="1"/>
    <x v="1"/>
    <x v="0"/>
    <s v="Mar"/>
    <s v="Q1"/>
    <x v="2"/>
    <n v="3"/>
    <n v="15.28"/>
  </r>
  <r>
    <s v="ORD01086"/>
    <d v="2025-11-10T00:00:00"/>
    <d v="2025-11-15T00:00:00"/>
    <s v="C0171"/>
    <x v="257"/>
    <s v="Corporate"/>
    <x v="3"/>
    <x v="12"/>
    <s v="P009"/>
    <x v="2"/>
    <x v="1"/>
    <n v="5"/>
    <n v="180"/>
    <x v="4"/>
    <n v="810"/>
    <n v="325.77"/>
    <x v="5"/>
    <x v="2"/>
    <x v="3"/>
    <x v="0"/>
    <x v="2"/>
    <s v="Nov"/>
    <s v="Q4"/>
    <x v="23"/>
    <n v="5"/>
    <n v="40.22"/>
  </r>
  <r>
    <s v="ORD01389"/>
    <d v="2025-07-07T00:00:00"/>
    <d v="2025-07-11T00:00:00"/>
    <s v="C0121"/>
    <x v="207"/>
    <s v="Consumer"/>
    <x v="3"/>
    <x v="12"/>
    <s v="P006"/>
    <x v="1"/>
    <x v="0"/>
    <n v="1"/>
    <n v="9500"/>
    <x v="1"/>
    <n v="8075"/>
    <n v="1615"/>
    <x v="1"/>
    <x v="2"/>
    <x v="2"/>
    <x v="0"/>
    <x v="3"/>
    <s v="Jul"/>
    <s v="Q3"/>
    <x v="15"/>
    <n v="4"/>
    <n v="20"/>
  </r>
  <r>
    <s v="ORD00274"/>
    <d v="2025-01-19T00:00:00"/>
    <d v="2025-01-21T00:00:00"/>
    <s v="C0176"/>
    <x v="230"/>
    <s v="Small Business"/>
    <x v="2"/>
    <x v="9"/>
    <s v="P003"/>
    <x v="5"/>
    <x v="2"/>
    <n v="1"/>
    <n v="3000"/>
    <x v="0"/>
    <n v="3000"/>
    <n v="826.94"/>
    <x v="3"/>
    <x v="2"/>
    <x v="1"/>
    <x v="0"/>
    <x v="11"/>
    <s v="Jan"/>
    <s v="Q1"/>
    <x v="17"/>
    <n v="2"/>
    <n v="27.56"/>
  </r>
  <r>
    <s v="ORD00894"/>
    <d v="2025-01-29T00:00:00"/>
    <d v="2025-01-30T00:00:00"/>
    <s v="C0052"/>
    <x v="189"/>
    <s v="Small Business"/>
    <x v="0"/>
    <x v="0"/>
    <s v="P012"/>
    <x v="4"/>
    <x v="3"/>
    <n v="1"/>
    <n v="3500"/>
    <x v="0"/>
    <n v="3500"/>
    <n v="1102.95"/>
    <x v="4"/>
    <x v="1"/>
    <x v="3"/>
    <x v="0"/>
    <x v="11"/>
    <s v="Jan"/>
    <s v="Q1"/>
    <x v="17"/>
    <n v="1"/>
    <n v="31.51"/>
  </r>
  <r>
    <s v="ORD00393"/>
    <d v="2025-06-19T00:00:00"/>
    <d v="2025-06-22T00:00:00"/>
    <s v="C0009"/>
    <x v="233"/>
    <s v="Consumer"/>
    <x v="1"/>
    <x v="5"/>
    <s v="P004"/>
    <x v="7"/>
    <x v="2"/>
    <n v="4"/>
    <n v="8000"/>
    <x v="4"/>
    <n v="28800"/>
    <n v="7010.98"/>
    <x v="1"/>
    <x v="0"/>
    <x v="2"/>
    <x v="0"/>
    <x v="8"/>
    <s v="Jun"/>
    <s v="Q2"/>
    <x v="10"/>
    <n v="3"/>
    <n v="24.34"/>
  </r>
  <r>
    <s v="ORD00755"/>
    <d v="2024-11-17T00:00:00"/>
    <d v="2024-11-20T00:00:00"/>
    <s v="C0156"/>
    <x v="155"/>
    <s v="Consumer"/>
    <x v="1"/>
    <x v="16"/>
    <s v="P012"/>
    <x v="4"/>
    <x v="3"/>
    <n v="1"/>
    <n v="3500"/>
    <x v="0"/>
    <n v="3500"/>
    <n v="1187.29"/>
    <x v="5"/>
    <x v="1"/>
    <x v="0"/>
    <x v="1"/>
    <x v="2"/>
    <s v="Nov"/>
    <s v="Q4"/>
    <x v="3"/>
    <n v="3"/>
    <n v="33.92"/>
  </r>
  <r>
    <s v="ORD01117"/>
    <d v="2025-02-17T00:00:00"/>
    <d v="2025-02-20T00:00:00"/>
    <s v="C0300"/>
    <x v="235"/>
    <s v="Small Business"/>
    <x v="2"/>
    <x v="9"/>
    <s v="P010"/>
    <x v="6"/>
    <x v="4"/>
    <n v="1"/>
    <n v="1800"/>
    <x v="0"/>
    <n v="1800"/>
    <n v="655.71"/>
    <x v="4"/>
    <x v="0"/>
    <x v="3"/>
    <x v="0"/>
    <x v="6"/>
    <s v="Feb"/>
    <s v="Q1"/>
    <x v="7"/>
    <n v="3"/>
    <n v="36.43"/>
  </r>
  <r>
    <s v="ORD01771"/>
    <d v="2025-07-01T00:00:00"/>
    <d v="2025-07-06T00:00:00"/>
    <s v="C0286"/>
    <x v="39"/>
    <s v="Corporate"/>
    <x v="3"/>
    <x v="7"/>
    <s v="P010"/>
    <x v="6"/>
    <x v="4"/>
    <n v="3"/>
    <n v="1800"/>
    <x v="0"/>
    <n v="5400"/>
    <n v="1500.83"/>
    <x v="1"/>
    <x v="0"/>
    <x v="2"/>
    <x v="0"/>
    <x v="3"/>
    <s v="Jul"/>
    <s v="Q3"/>
    <x v="15"/>
    <n v="5"/>
    <n v="27.79"/>
  </r>
  <r>
    <s v="ORD00901"/>
    <d v="2024-11-16T00:00:00"/>
    <d v="2024-11-20T00:00:00"/>
    <s v="C0189"/>
    <x v="258"/>
    <s v="Small Business"/>
    <x v="0"/>
    <x v="0"/>
    <s v="P003"/>
    <x v="5"/>
    <x v="2"/>
    <n v="2"/>
    <n v="3000"/>
    <x v="0"/>
    <n v="6000"/>
    <n v="1483.78"/>
    <x v="0"/>
    <x v="1"/>
    <x v="4"/>
    <x v="1"/>
    <x v="2"/>
    <s v="Nov"/>
    <s v="Q4"/>
    <x v="3"/>
    <n v="4"/>
    <n v="24.73"/>
  </r>
  <r>
    <s v="ORD00078"/>
    <d v="2024-05-27T00:00:00"/>
    <d v="2024-05-31T00:00:00"/>
    <s v="C0124"/>
    <x v="10"/>
    <s v="Small Business"/>
    <x v="1"/>
    <x v="1"/>
    <s v="P012"/>
    <x v="4"/>
    <x v="3"/>
    <n v="1"/>
    <n v="3500"/>
    <x v="0"/>
    <n v="3500"/>
    <n v="1059.43"/>
    <x v="1"/>
    <x v="0"/>
    <x v="2"/>
    <x v="1"/>
    <x v="4"/>
    <s v="May"/>
    <s v="Q2"/>
    <x v="8"/>
    <n v="4"/>
    <n v="30.27"/>
  </r>
  <r>
    <s v="ORD01746"/>
    <d v="2024-09-30T00:00:00"/>
    <d v="2024-10-05T00:00:00"/>
    <s v="C0129"/>
    <x v="259"/>
    <s v="Consumer"/>
    <x v="2"/>
    <x v="14"/>
    <s v="P004"/>
    <x v="7"/>
    <x v="2"/>
    <n v="1"/>
    <n v="8000"/>
    <x v="0"/>
    <n v="8000"/>
    <n v="1592.48"/>
    <x v="1"/>
    <x v="1"/>
    <x v="3"/>
    <x v="1"/>
    <x v="9"/>
    <s v="Sep"/>
    <s v="Q3"/>
    <x v="20"/>
    <n v="5"/>
    <n v="19.91"/>
  </r>
  <r>
    <s v="ORD00778"/>
    <d v="2024-05-27T00:00:00"/>
    <d v="2024-06-01T00:00:00"/>
    <s v="C0087"/>
    <x v="94"/>
    <s v="Consumer"/>
    <x v="0"/>
    <x v="2"/>
    <s v="P005"/>
    <x v="0"/>
    <x v="0"/>
    <n v="1"/>
    <n v="7000"/>
    <x v="2"/>
    <n v="5600"/>
    <n v="906.57"/>
    <x v="0"/>
    <x v="2"/>
    <x v="2"/>
    <x v="1"/>
    <x v="4"/>
    <s v="May"/>
    <s v="Q2"/>
    <x v="8"/>
    <n v="5"/>
    <n v="16.190000000000001"/>
  </r>
  <r>
    <s v="ORD00709"/>
    <d v="2025-02-08T00:00:00"/>
    <d v="2025-02-09T00:00:00"/>
    <s v="C0196"/>
    <x v="22"/>
    <s v="Consumer"/>
    <x v="0"/>
    <x v="11"/>
    <s v="P005"/>
    <x v="0"/>
    <x v="0"/>
    <n v="3"/>
    <n v="7000"/>
    <x v="0"/>
    <n v="21000"/>
    <n v="5022.97"/>
    <x v="1"/>
    <x v="0"/>
    <x v="4"/>
    <x v="0"/>
    <x v="6"/>
    <s v="Feb"/>
    <s v="Q1"/>
    <x v="7"/>
    <n v="1"/>
    <n v="23.92"/>
  </r>
  <r>
    <s v="ORD00830"/>
    <d v="2024-02-09T00:00:00"/>
    <d v="2024-02-15T00:00:00"/>
    <s v="C0037"/>
    <x v="18"/>
    <s v="Consumer"/>
    <x v="0"/>
    <x v="0"/>
    <s v="P006"/>
    <x v="1"/>
    <x v="0"/>
    <n v="2"/>
    <n v="9500"/>
    <x v="0"/>
    <n v="19000"/>
    <n v="2958.9"/>
    <x v="3"/>
    <x v="1"/>
    <x v="4"/>
    <x v="1"/>
    <x v="6"/>
    <s v="Feb"/>
    <s v="Q1"/>
    <x v="18"/>
    <n v="6"/>
    <n v="15.57"/>
  </r>
  <r>
    <s v="ORD01297"/>
    <d v="2025-08-21T00:00:00"/>
    <d v="2025-08-28T00:00:00"/>
    <s v="C0156"/>
    <x v="155"/>
    <s v="Consumer"/>
    <x v="1"/>
    <x v="16"/>
    <s v="P003"/>
    <x v="5"/>
    <x v="2"/>
    <n v="1"/>
    <n v="3000"/>
    <x v="0"/>
    <n v="3000"/>
    <n v="889.61"/>
    <x v="0"/>
    <x v="2"/>
    <x v="2"/>
    <x v="0"/>
    <x v="7"/>
    <s v="Aug"/>
    <s v="Q3"/>
    <x v="22"/>
    <n v="7"/>
    <n v="29.65"/>
  </r>
  <r>
    <s v="ORD00333"/>
    <d v="2025-09-19T00:00:00"/>
    <d v="2025-09-27T00:00:00"/>
    <s v="C0077"/>
    <x v="260"/>
    <s v="Corporate"/>
    <x v="2"/>
    <x v="3"/>
    <s v="P009"/>
    <x v="2"/>
    <x v="1"/>
    <n v="1"/>
    <n v="180"/>
    <x v="1"/>
    <n v="153"/>
    <n v="73.930000000000007"/>
    <x v="0"/>
    <x v="0"/>
    <x v="3"/>
    <x v="0"/>
    <x v="9"/>
    <s v="Sep"/>
    <s v="Q3"/>
    <x v="11"/>
    <n v="8"/>
    <n v="48.32"/>
  </r>
  <r>
    <s v="ORD01810"/>
    <d v="2024-05-18T00:00:00"/>
    <d v="2024-05-19T00:00:00"/>
    <s v="C0137"/>
    <x v="241"/>
    <s v="Small Business"/>
    <x v="1"/>
    <x v="1"/>
    <s v="P008"/>
    <x v="11"/>
    <x v="1"/>
    <n v="1"/>
    <n v="250"/>
    <x v="2"/>
    <n v="200"/>
    <n v="74.28"/>
    <x v="3"/>
    <x v="0"/>
    <x v="1"/>
    <x v="1"/>
    <x v="4"/>
    <s v="May"/>
    <s v="Q2"/>
    <x v="8"/>
    <n v="1"/>
    <n v="37.14"/>
  </r>
  <r>
    <s v="ORD00138"/>
    <d v="2025-04-02T00:00:00"/>
    <d v="2025-04-04T00:00:00"/>
    <s v="C0042"/>
    <x v="117"/>
    <s v="Consumer"/>
    <x v="1"/>
    <x v="13"/>
    <s v="P009"/>
    <x v="2"/>
    <x v="1"/>
    <n v="2"/>
    <n v="180"/>
    <x v="0"/>
    <n v="360"/>
    <n v="118.46"/>
    <x v="2"/>
    <x v="2"/>
    <x v="1"/>
    <x v="0"/>
    <x v="5"/>
    <s v="Apr"/>
    <s v="Q2"/>
    <x v="13"/>
    <n v="2"/>
    <n v="32.909999999999997"/>
  </r>
  <r>
    <s v="ORD01568"/>
    <d v="2025-02-17T00:00:00"/>
    <d v="2025-02-22T00:00:00"/>
    <s v="C0194"/>
    <x v="139"/>
    <s v="Corporate"/>
    <x v="3"/>
    <x v="8"/>
    <s v="P003"/>
    <x v="5"/>
    <x v="2"/>
    <n v="1"/>
    <n v="3000"/>
    <x v="0"/>
    <n v="3000"/>
    <n v="900"/>
    <x v="4"/>
    <x v="2"/>
    <x v="4"/>
    <x v="0"/>
    <x v="6"/>
    <s v="Feb"/>
    <s v="Q1"/>
    <x v="7"/>
    <n v="5"/>
    <n v="30"/>
  </r>
  <r>
    <s v="ORD01205"/>
    <d v="2024-10-01T00:00:00"/>
    <d v="2024-10-09T00:00:00"/>
    <s v="C0209"/>
    <x v="79"/>
    <s v="Small Business"/>
    <x v="1"/>
    <x v="5"/>
    <s v="P001"/>
    <x v="8"/>
    <x v="2"/>
    <n v="3"/>
    <n v="55000"/>
    <x v="2"/>
    <n v="132000"/>
    <n v="21276.86"/>
    <x v="3"/>
    <x v="2"/>
    <x v="2"/>
    <x v="1"/>
    <x v="1"/>
    <s v="Oct"/>
    <s v="Q4"/>
    <x v="1"/>
    <n v="8"/>
    <n v="16.12"/>
  </r>
  <r>
    <s v="ORD00040"/>
    <d v="2024-04-16T00:00:00"/>
    <d v="2024-04-24T00:00:00"/>
    <s v="C0160"/>
    <x v="183"/>
    <s v="Corporate"/>
    <x v="2"/>
    <x v="9"/>
    <s v="P006"/>
    <x v="1"/>
    <x v="0"/>
    <n v="2"/>
    <n v="9500"/>
    <x v="0"/>
    <n v="19000"/>
    <n v="2895.19"/>
    <x v="4"/>
    <x v="0"/>
    <x v="4"/>
    <x v="1"/>
    <x v="5"/>
    <s v="Apr"/>
    <s v="Q2"/>
    <x v="6"/>
    <n v="8"/>
    <n v="15.24"/>
  </r>
  <r>
    <s v="ORD00479"/>
    <d v="2025-11-02T00:00:00"/>
    <d v="2025-11-10T00:00:00"/>
    <s v="C0177"/>
    <x v="121"/>
    <s v="Consumer"/>
    <x v="2"/>
    <x v="14"/>
    <s v="P010"/>
    <x v="6"/>
    <x v="4"/>
    <n v="1"/>
    <n v="1800"/>
    <x v="0"/>
    <n v="1800"/>
    <n v="596.29"/>
    <x v="1"/>
    <x v="0"/>
    <x v="0"/>
    <x v="0"/>
    <x v="2"/>
    <s v="Nov"/>
    <s v="Q4"/>
    <x v="23"/>
    <n v="8"/>
    <n v="33.130000000000003"/>
  </r>
  <r>
    <s v="ORD01049"/>
    <d v="2025-12-26T00:00:00"/>
    <d v="2026-01-02T00:00:00"/>
    <s v="C0048"/>
    <x v="124"/>
    <s v="Small Business"/>
    <x v="2"/>
    <x v="3"/>
    <s v="P006"/>
    <x v="1"/>
    <x v="0"/>
    <n v="1"/>
    <n v="9500"/>
    <x v="1"/>
    <n v="8075"/>
    <n v="1653.12"/>
    <x v="1"/>
    <x v="1"/>
    <x v="2"/>
    <x v="0"/>
    <x v="10"/>
    <s v="Dec"/>
    <s v="Q4"/>
    <x v="19"/>
    <n v="7"/>
    <n v="20.47"/>
  </r>
  <r>
    <s v="ORD01591"/>
    <d v="2025-04-16T00:00:00"/>
    <d v="2025-04-17T00:00:00"/>
    <s v="C0172"/>
    <x v="226"/>
    <s v="Small Business"/>
    <x v="3"/>
    <x v="7"/>
    <s v="P010"/>
    <x v="6"/>
    <x v="4"/>
    <n v="1"/>
    <n v="1800"/>
    <x v="0"/>
    <n v="1800"/>
    <n v="512.79999999999995"/>
    <x v="6"/>
    <x v="2"/>
    <x v="3"/>
    <x v="0"/>
    <x v="5"/>
    <s v="Apr"/>
    <s v="Q2"/>
    <x v="13"/>
    <n v="1"/>
    <n v="28.49"/>
  </r>
  <r>
    <s v="ORD01172"/>
    <d v="2025-10-26T00:00:00"/>
    <d v="2025-10-31T00:00:00"/>
    <s v="C0190"/>
    <x v="55"/>
    <s v="Corporate"/>
    <x v="3"/>
    <x v="12"/>
    <s v="P011"/>
    <x v="9"/>
    <x v="4"/>
    <n v="1"/>
    <n v="600"/>
    <x v="0"/>
    <n v="600"/>
    <n v="205.99"/>
    <x v="2"/>
    <x v="0"/>
    <x v="4"/>
    <x v="0"/>
    <x v="1"/>
    <s v="Oct"/>
    <s v="Q4"/>
    <x v="14"/>
    <n v="5"/>
    <n v="34.33"/>
  </r>
  <r>
    <s v="ORD00647"/>
    <d v="2025-12-27T00:00:00"/>
    <d v="2025-12-30T00:00:00"/>
    <s v="C0176"/>
    <x v="230"/>
    <s v="Small Business"/>
    <x v="2"/>
    <x v="9"/>
    <s v="P003"/>
    <x v="5"/>
    <x v="2"/>
    <n v="3"/>
    <n v="3000"/>
    <x v="0"/>
    <n v="9000"/>
    <n v="2130.15"/>
    <x v="5"/>
    <x v="0"/>
    <x v="4"/>
    <x v="0"/>
    <x v="10"/>
    <s v="Dec"/>
    <s v="Q4"/>
    <x v="19"/>
    <n v="3"/>
    <n v="23.67"/>
  </r>
  <r>
    <s v="ORD01929"/>
    <d v="2024-08-26T00:00:00"/>
    <d v="2024-09-02T00:00:00"/>
    <s v="C0130"/>
    <x v="261"/>
    <s v="Corporate"/>
    <x v="2"/>
    <x v="9"/>
    <s v="P007"/>
    <x v="10"/>
    <x v="0"/>
    <n v="1"/>
    <n v="6000"/>
    <x v="0"/>
    <n v="6000"/>
    <n v="1504.42"/>
    <x v="5"/>
    <x v="1"/>
    <x v="2"/>
    <x v="1"/>
    <x v="7"/>
    <s v="Aug"/>
    <s v="Q3"/>
    <x v="9"/>
    <n v="7"/>
    <n v="25.07"/>
  </r>
  <r>
    <s v="ORD00317"/>
    <d v="2024-01-23T00:00:00"/>
    <d v="2024-01-24T00:00:00"/>
    <s v="C0109"/>
    <x v="136"/>
    <s v="Corporate"/>
    <x v="1"/>
    <x v="1"/>
    <s v="P012"/>
    <x v="4"/>
    <x v="3"/>
    <n v="2"/>
    <n v="3500"/>
    <x v="0"/>
    <n v="7000"/>
    <n v="1678.35"/>
    <x v="0"/>
    <x v="2"/>
    <x v="4"/>
    <x v="1"/>
    <x v="11"/>
    <s v="Jan"/>
    <s v="Q1"/>
    <x v="21"/>
    <n v="1"/>
    <n v="23.98"/>
  </r>
  <r>
    <s v="ORD00898"/>
    <d v="2025-05-18T00:00:00"/>
    <d v="2025-05-22T00:00:00"/>
    <s v="C0274"/>
    <x v="9"/>
    <s v="Consumer"/>
    <x v="3"/>
    <x v="6"/>
    <s v="P011"/>
    <x v="9"/>
    <x v="4"/>
    <n v="1"/>
    <n v="600"/>
    <x v="1"/>
    <n v="510"/>
    <n v="161.46"/>
    <x v="1"/>
    <x v="2"/>
    <x v="3"/>
    <x v="0"/>
    <x v="4"/>
    <s v="May"/>
    <s v="Q2"/>
    <x v="5"/>
    <n v="4"/>
    <n v="31.66"/>
  </r>
  <r>
    <s v="ORD00964"/>
    <d v="2024-02-16T00:00:00"/>
    <d v="2024-02-20T00:00:00"/>
    <s v="C0067"/>
    <x v="135"/>
    <s v="Consumer"/>
    <x v="2"/>
    <x v="9"/>
    <s v="P005"/>
    <x v="0"/>
    <x v="0"/>
    <n v="5"/>
    <n v="7000"/>
    <x v="0"/>
    <n v="35000"/>
    <n v="7836.72"/>
    <x v="5"/>
    <x v="1"/>
    <x v="0"/>
    <x v="1"/>
    <x v="6"/>
    <s v="Feb"/>
    <s v="Q1"/>
    <x v="18"/>
    <n v="4"/>
    <n v="22.39"/>
  </r>
  <r>
    <s v="ORD00590"/>
    <d v="2025-03-01T00:00:00"/>
    <d v="2025-03-09T00:00:00"/>
    <s v="C0141"/>
    <x v="262"/>
    <s v="Corporate"/>
    <x v="2"/>
    <x v="4"/>
    <s v="P003"/>
    <x v="5"/>
    <x v="2"/>
    <n v="1"/>
    <n v="3000"/>
    <x v="0"/>
    <n v="3000"/>
    <n v="829.23"/>
    <x v="4"/>
    <x v="2"/>
    <x v="3"/>
    <x v="0"/>
    <x v="0"/>
    <s v="Mar"/>
    <s v="Q1"/>
    <x v="0"/>
    <n v="8"/>
    <n v="27.64"/>
  </r>
  <r>
    <s v="ORD00976"/>
    <d v="2025-10-22T00:00:00"/>
    <d v="2025-10-23T00:00:00"/>
    <s v="C0126"/>
    <x v="110"/>
    <s v="Consumer"/>
    <x v="0"/>
    <x v="15"/>
    <s v="P008"/>
    <x v="11"/>
    <x v="1"/>
    <n v="1"/>
    <n v="250"/>
    <x v="4"/>
    <n v="225"/>
    <n v="67.94"/>
    <x v="1"/>
    <x v="0"/>
    <x v="0"/>
    <x v="0"/>
    <x v="1"/>
    <s v="Oct"/>
    <s v="Q4"/>
    <x v="14"/>
    <n v="1"/>
    <n v="30.2"/>
  </r>
  <r>
    <s v="ORD00746"/>
    <d v="2024-12-14T00:00:00"/>
    <d v="2024-12-19T00:00:00"/>
    <s v="C0250"/>
    <x v="43"/>
    <s v="Small Business"/>
    <x v="0"/>
    <x v="11"/>
    <s v="P005"/>
    <x v="0"/>
    <x v="0"/>
    <n v="3"/>
    <n v="7000"/>
    <x v="2"/>
    <n v="16800"/>
    <n v="3884.81"/>
    <x v="4"/>
    <x v="2"/>
    <x v="1"/>
    <x v="1"/>
    <x v="10"/>
    <s v="Dec"/>
    <s v="Q4"/>
    <x v="16"/>
    <n v="5"/>
    <n v="23.12"/>
  </r>
  <r>
    <s v="ORD01285"/>
    <d v="2025-01-12T00:00:00"/>
    <d v="2025-01-16T00:00:00"/>
    <s v="C0083"/>
    <x v="165"/>
    <s v="Corporate"/>
    <x v="0"/>
    <x v="15"/>
    <s v="P008"/>
    <x v="11"/>
    <x v="1"/>
    <n v="3"/>
    <n v="250"/>
    <x v="0"/>
    <n v="750"/>
    <n v="231.03"/>
    <x v="3"/>
    <x v="0"/>
    <x v="4"/>
    <x v="0"/>
    <x v="11"/>
    <s v="Jan"/>
    <s v="Q1"/>
    <x v="17"/>
    <n v="4"/>
    <n v="30.8"/>
  </r>
  <r>
    <s v="ORD01715"/>
    <d v="2025-02-20T00:00:00"/>
    <d v="2025-02-22T00:00:00"/>
    <s v="C0116"/>
    <x v="131"/>
    <s v="Corporate"/>
    <x v="2"/>
    <x v="3"/>
    <s v="P001"/>
    <x v="8"/>
    <x v="2"/>
    <n v="4"/>
    <n v="55000"/>
    <x v="1"/>
    <n v="187000"/>
    <n v="24596.58"/>
    <x v="1"/>
    <x v="2"/>
    <x v="0"/>
    <x v="0"/>
    <x v="6"/>
    <s v="Feb"/>
    <s v="Q1"/>
    <x v="7"/>
    <n v="2"/>
    <n v="13.15"/>
  </r>
  <r>
    <s v="ORD01773"/>
    <d v="2025-10-25T00:00:00"/>
    <d v="2025-10-27T00:00:00"/>
    <s v="C0260"/>
    <x v="190"/>
    <s v="Consumer"/>
    <x v="0"/>
    <x v="10"/>
    <s v="P005"/>
    <x v="0"/>
    <x v="0"/>
    <n v="4"/>
    <n v="7000"/>
    <x v="0"/>
    <n v="28000"/>
    <n v="6396.88"/>
    <x v="5"/>
    <x v="0"/>
    <x v="4"/>
    <x v="0"/>
    <x v="1"/>
    <s v="Oct"/>
    <s v="Q4"/>
    <x v="14"/>
    <n v="2"/>
    <n v="22.85"/>
  </r>
  <r>
    <s v="ORD01413"/>
    <d v="2025-06-04T00:00:00"/>
    <d v="2025-06-08T00:00:00"/>
    <s v="C0269"/>
    <x v="102"/>
    <s v="Consumer"/>
    <x v="2"/>
    <x v="3"/>
    <s v="P003"/>
    <x v="5"/>
    <x v="2"/>
    <n v="1"/>
    <n v="3000"/>
    <x v="1"/>
    <n v="2550"/>
    <n v="549.17999999999995"/>
    <x v="2"/>
    <x v="1"/>
    <x v="2"/>
    <x v="0"/>
    <x v="8"/>
    <s v="Jun"/>
    <s v="Q2"/>
    <x v="10"/>
    <n v="4"/>
    <n v="21.54"/>
  </r>
  <r>
    <s v="ORD01132"/>
    <d v="2024-12-24T00:00:00"/>
    <d v="2024-12-28T00:00:00"/>
    <s v="C0116"/>
    <x v="131"/>
    <s v="Corporate"/>
    <x v="2"/>
    <x v="3"/>
    <s v="P011"/>
    <x v="9"/>
    <x v="4"/>
    <n v="1"/>
    <n v="600"/>
    <x v="2"/>
    <n v="480"/>
    <n v="191.63"/>
    <x v="2"/>
    <x v="0"/>
    <x v="3"/>
    <x v="1"/>
    <x v="10"/>
    <s v="Dec"/>
    <s v="Q4"/>
    <x v="16"/>
    <n v="4"/>
    <n v="39.92"/>
  </r>
  <r>
    <s v="ORD01443"/>
    <d v="2025-05-01T00:00:00"/>
    <d v="2025-05-03T00:00:00"/>
    <s v="C0299"/>
    <x v="263"/>
    <s v="Small Business"/>
    <x v="3"/>
    <x v="7"/>
    <s v="P008"/>
    <x v="11"/>
    <x v="1"/>
    <n v="1"/>
    <n v="250"/>
    <x v="0"/>
    <n v="250"/>
    <n v="81.59"/>
    <x v="1"/>
    <x v="0"/>
    <x v="2"/>
    <x v="0"/>
    <x v="4"/>
    <s v="May"/>
    <s v="Q2"/>
    <x v="5"/>
    <n v="2"/>
    <n v="32.64"/>
  </r>
  <r>
    <s v="ORD00121"/>
    <d v="2025-11-28T00:00:00"/>
    <d v="2025-12-02T00:00:00"/>
    <s v="C0182"/>
    <x v="264"/>
    <s v="Corporate"/>
    <x v="3"/>
    <x v="7"/>
    <s v="P011"/>
    <x v="9"/>
    <x v="4"/>
    <n v="3"/>
    <n v="600"/>
    <x v="4"/>
    <n v="1620"/>
    <n v="550.14"/>
    <x v="3"/>
    <x v="2"/>
    <x v="4"/>
    <x v="0"/>
    <x v="2"/>
    <s v="Nov"/>
    <s v="Q4"/>
    <x v="23"/>
    <n v="4"/>
    <n v="33.96"/>
  </r>
  <r>
    <s v="ORD01601"/>
    <d v="2025-01-06T00:00:00"/>
    <d v="2025-01-12T00:00:00"/>
    <s v="C0278"/>
    <x v="51"/>
    <s v="Small Business"/>
    <x v="0"/>
    <x v="2"/>
    <s v="P009"/>
    <x v="2"/>
    <x v="1"/>
    <n v="2"/>
    <n v="180"/>
    <x v="3"/>
    <n v="342"/>
    <n v="133.54"/>
    <x v="3"/>
    <x v="0"/>
    <x v="2"/>
    <x v="0"/>
    <x v="11"/>
    <s v="Jan"/>
    <s v="Q1"/>
    <x v="17"/>
    <n v="6"/>
    <n v="39.049999999999997"/>
  </r>
  <r>
    <s v="ORD01373"/>
    <d v="2025-06-15T00:00:00"/>
    <d v="2025-06-17T00:00:00"/>
    <s v="C0193"/>
    <x v="243"/>
    <s v="Corporate"/>
    <x v="3"/>
    <x v="8"/>
    <s v="P010"/>
    <x v="6"/>
    <x v="4"/>
    <n v="4"/>
    <n v="1800"/>
    <x v="1"/>
    <n v="6120"/>
    <n v="1827.2"/>
    <x v="1"/>
    <x v="2"/>
    <x v="3"/>
    <x v="0"/>
    <x v="8"/>
    <s v="Jun"/>
    <s v="Q2"/>
    <x v="10"/>
    <n v="2"/>
    <n v="29.86"/>
  </r>
  <r>
    <s v="ORD01707"/>
    <d v="2024-07-10T00:00:00"/>
    <d v="2024-07-16T00:00:00"/>
    <s v="C0149"/>
    <x v="114"/>
    <s v="Corporate"/>
    <x v="0"/>
    <x v="2"/>
    <s v="P001"/>
    <x v="8"/>
    <x v="2"/>
    <n v="2"/>
    <n v="55000"/>
    <x v="0"/>
    <n v="110000"/>
    <n v="19571.3"/>
    <x v="3"/>
    <x v="2"/>
    <x v="2"/>
    <x v="1"/>
    <x v="3"/>
    <s v="Jul"/>
    <s v="Q3"/>
    <x v="4"/>
    <n v="6"/>
    <n v="17.79"/>
  </r>
  <r>
    <s v="ORD00450"/>
    <d v="2025-12-08T00:00:00"/>
    <d v="2025-12-12T00:00:00"/>
    <s v="C0022"/>
    <x v="167"/>
    <s v="Corporate"/>
    <x v="1"/>
    <x v="16"/>
    <s v="P010"/>
    <x v="6"/>
    <x v="4"/>
    <n v="2"/>
    <n v="1800"/>
    <x v="0"/>
    <n v="3600"/>
    <n v="1270.48"/>
    <x v="4"/>
    <x v="1"/>
    <x v="3"/>
    <x v="0"/>
    <x v="10"/>
    <s v="Dec"/>
    <s v="Q4"/>
    <x v="19"/>
    <n v="4"/>
    <n v="35.29"/>
  </r>
  <r>
    <s v="ORD00671"/>
    <d v="2025-10-02T00:00:00"/>
    <d v="2025-10-09T00:00:00"/>
    <s v="C0299"/>
    <x v="263"/>
    <s v="Small Business"/>
    <x v="3"/>
    <x v="7"/>
    <s v="P001"/>
    <x v="8"/>
    <x v="2"/>
    <n v="1"/>
    <n v="55000"/>
    <x v="0"/>
    <n v="55000"/>
    <n v="10858.1"/>
    <x v="3"/>
    <x v="0"/>
    <x v="2"/>
    <x v="0"/>
    <x v="1"/>
    <s v="Oct"/>
    <s v="Q4"/>
    <x v="14"/>
    <n v="7"/>
    <n v="19.739999999999998"/>
  </r>
  <r>
    <s v="ORD00825"/>
    <d v="2024-02-07T00:00:00"/>
    <d v="2024-02-11T00:00:00"/>
    <s v="C0299"/>
    <x v="263"/>
    <s v="Small Business"/>
    <x v="3"/>
    <x v="7"/>
    <s v="P011"/>
    <x v="9"/>
    <x v="4"/>
    <n v="1"/>
    <n v="600"/>
    <x v="0"/>
    <n v="600"/>
    <n v="200.83"/>
    <x v="0"/>
    <x v="0"/>
    <x v="4"/>
    <x v="1"/>
    <x v="6"/>
    <s v="Feb"/>
    <s v="Q1"/>
    <x v="18"/>
    <n v="4"/>
    <n v="33.47"/>
  </r>
  <r>
    <s v="ORD00008"/>
    <d v="2024-03-23T00:00:00"/>
    <d v="2024-03-30T00:00:00"/>
    <s v="C0204"/>
    <x v="137"/>
    <s v="Corporate"/>
    <x v="0"/>
    <x v="10"/>
    <s v="P011"/>
    <x v="9"/>
    <x v="4"/>
    <n v="4"/>
    <n v="600"/>
    <x v="2"/>
    <n v="1920"/>
    <n v="707.52"/>
    <x v="3"/>
    <x v="0"/>
    <x v="0"/>
    <x v="1"/>
    <x v="0"/>
    <s v="Mar"/>
    <s v="Q1"/>
    <x v="2"/>
    <n v="7"/>
    <n v="36.85"/>
  </r>
  <r>
    <s v="ORD01840"/>
    <d v="2024-05-25T00:00:00"/>
    <d v="2024-05-31T00:00:00"/>
    <s v="C0233"/>
    <x v="30"/>
    <s v="Small Business"/>
    <x v="1"/>
    <x v="13"/>
    <s v="P002"/>
    <x v="3"/>
    <x v="2"/>
    <n v="1"/>
    <n v="25000"/>
    <x v="3"/>
    <n v="23750"/>
    <n v="3826.37"/>
    <x v="1"/>
    <x v="1"/>
    <x v="0"/>
    <x v="1"/>
    <x v="4"/>
    <s v="May"/>
    <s v="Q2"/>
    <x v="8"/>
    <n v="6"/>
    <n v="16.11"/>
  </r>
  <r>
    <s v="ORD00251"/>
    <d v="2025-07-23T00:00:00"/>
    <d v="2025-07-25T00:00:00"/>
    <s v="C0208"/>
    <x v="218"/>
    <s v="Small Business"/>
    <x v="2"/>
    <x v="3"/>
    <s v="P008"/>
    <x v="11"/>
    <x v="1"/>
    <n v="3"/>
    <n v="250"/>
    <x v="0"/>
    <n v="750"/>
    <n v="221.37"/>
    <x v="4"/>
    <x v="0"/>
    <x v="3"/>
    <x v="0"/>
    <x v="3"/>
    <s v="Jul"/>
    <s v="Q3"/>
    <x v="15"/>
    <n v="2"/>
    <n v="29.52"/>
  </r>
  <r>
    <s v="ORD01020"/>
    <d v="2025-10-12T00:00:00"/>
    <d v="2025-10-17T00:00:00"/>
    <s v="C0139"/>
    <x v="177"/>
    <s v="Consumer"/>
    <x v="2"/>
    <x v="4"/>
    <s v="P005"/>
    <x v="0"/>
    <x v="0"/>
    <n v="1"/>
    <n v="7000"/>
    <x v="0"/>
    <n v="7000"/>
    <n v="1327.52"/>
    <x v="5"/>
    <x v="1"/>
    <x v="0"/>
    <x v="0"/>
    <x v="1"/>
    <s v="Oct"/>
    <s v="Q4"/>
    <x v="14"/>
    <n v="5"/>
    <n v="18.96"/>
  </r>
  <r>
    <s v="ORD01307"/>
    <d v="2025-05-13T00:00:00"/>
    <d v="2025-05-15T00:00:00"/>
    <s v="C0111"/>
    <x v="74"/>
    <s v="Consumer"/>
    <x v="3"/>
    <x v="8"/>
    <s v="P010"/>
    <x v="6"/>
    <x v="4"/>
    <n v="1"/>
    <n v="1800"/>
    <x v="0"/>
    <n v="1800"/>
    <n v="587.59"/>
    <x v="6"/>
    <x v="1"/>
    <x v="2"/>
    <x v="0"/>
    <x v="4"/>
    <s v="May"/>
    <s v="Q2"/>
    <x v="5"/>
    <n v="2"/>
    <n v="32.64"/>
  </r>
  <r>
    <s v="ORD00032"/>
    <d v="2024-04-21T00:00:00"/>
    <d v="2024-04-22T00:00:00"/>
    <s v="C0263"/>
    <x v="54"/>
    <s v="Consumer"/>
    <x v="3"/>
    <x v="8"/>
    <s v="P010"/>
    <x v="6"/>
    <x v="4"/>
    <n v="2"/>
    <n v="1800"/>
    <x v="0"/>
    <n v="3600"/>
    <n v="1358.49"/>
    <x v="5"/>
    <x v="2"/>
    <x v="1"/>
    <x v="1"/>
    <x v="5"/>
    <s v="Apr"/>
    <s v="Q2"/>
    <x v="6"/>
    <n v="1"/>
    <n v="37.74"/>
  </r>
  <r>
    <s v="ORD00160"/>
    <d v="2025-03-03T00:00:00"/>
    <d v="2025-03-10T00:00:00"/>
    <s v="C0297"/>
    <x v="265"/>
    <s v="Corporate"/>
    <x v="0"/>
    <x v="11"/>
    <s v="P012"/>
    <x v="4"/>
    <x v="3"/>
    <n v="1"/>
    <n v="3500"/>
    <x v="0"/>
    <n v="3500"/>
    <n v="931.78"/>
    <x v="1"/>
    <x v="0"/>
    <x v="0"/>
    <x v="0"/>
    <x v="0"/>
    <s v="Mar"/>
    <s v="Q1"/>
    <x v="0"/>
    <n v="7"/>
    <n v="26.62"/>
  </r>
  <r>
    <s v="ORD01471"/>
    <d v="2025-07-16T00:00:00"/>
    <d v="2025-07-24T00:00:00"/>
    <s v="C0082"/>
    <x v="223"/>
    <s v="Corporate"/>
    <x v="0"/>
    <x v="10"/>
    <s v="P005"/>
    <x v="0"/>
    <x v="0"/>
    <n v="1"/>
    <n v="7000"/>
    <x v="0"/>
    <n v="7000"/>
    <n v="1377.71"/>
    <x v="0"/>
    <x v="1"/>
    <x v="2"/>
    <x v="0"/>
    <x v="3"/>
    <s v="Jul"/>
    <s v="Q3"/>
    <x v="15"/>
    <n v="8"/>
    <n v="19.68"/>
  </r>
  <r>
    <s v="ORD01070"/>
    <d v="2024-08-01T00:00:00"/>
    <d v="2024-08-07T00:00:00"/>
    <s v="C0054"/>
    <x v="169"/>
    <s v="Small Business"/>
    <x v="2"/>
    <x v="14"/>
    <s v="P006"/>
    <x v="1"/>
    <x v="0"/>
    <n v="4"/>
    <n v="9500"/>
    <x v="2"/>
    <n v="30400"/>
    <n v="5539.23"/>
    <x v="3"/>
    <x v="2"/>
    <x v="0"/>
    <x v="1"/>
    <x v="7"/>
    <s v="Aug"/>
    <s v="Q3"/>
    <x v="9"/>
    <n v="6"/>
    <n v="18.22"/>
  </r>
  <r>
    <s v="ORD00304"/>
    <d v="2025-02-18T00:00:00"/>
    <d v="2025-02-22T00:00:00"/>
    <s v="C0133"/>
    <x v="97"/>
    <s v="Consumer"/>
    <x v="1"/>
    <x v="5"/>
    <s v="P007"/>
    <x v="10"/>
    <x v="0"/>
    <n v="1"/>
    <n v="6000"/>
    <x v="0"/>
    <n v="6000"/>
    <n v="1343.82"/>
    <x v="3"/>
    <x v="2"/>
    <x v="2"/>
    <x v="0"/>
    <x v="6"/>
    <s v="Feb"/>
    <s v="Q1"/>
    <x v="7"/>
    <n v="4"/>
    <n v="22.4"/>
  </r>
  <r>
    <s v="ORD00911"/>
    <d v="2025-08-12T00:00:00"/>
    <d v="2025-08-15T00:00:00"/>
    <s v="C0005"/>
    <x v="86"/>
    <s v="Consumer"/>
    <x v="0"/>
    <x v="0"/>
    <s v="P006"/>
    <x v="1"/>
    <x v="0"/>
    <n v="1"/>
    <n v="9500"/>
    <x v="2"/>
    <n v="7600"/>
    <n v="1665"/>
    <x v="0"/>
    <x v="1"/>
    <x v="2"/>
    <x v="0"/>
    <x v="7"/>
    <s v="Aug"/>
    <s v="Q3"/>
    <x v="22"/>
    <n v="3"/>
    <n v="21.91"/>
  </r>
  <r>
    <s v="ORD01858"/>
    <d v="2024-11-14T00:00:00"/>
    <d v="2024-11-16T00:00:00"/>
    <s v="C0218"/>
    <x v="105"/>
    <s v="Corporate"/>
    <x v="2"/>
    <x v="3"/>
    <s v="P002"/>
    <x v="3"/>
    <x v="2"/>
    <n v="2"/>
    <n v="25000"/>
    <x v="0"/>
    <n v="50000"/>
    <n v="7515.29"/>
    <x v="2"/>
    <x v="1"/>
    <x v="1"/>
    <x v="1"/>
    <x v="2"/>
    <s v="Nov"/>
    <s v="Q4"/>
    <x v="3"/>
    <n v="2"/>
    <n v="15.03"/>
  </r>
  <r>
    <s v="ORD01383"/>
    <d v="2024-04-02T00:00:00"/>
    <d v="2024-04-07T00:00:00"/>
    <s v="C0102"/>
    <x v="205"/>
    <s v="Consumer"/>
    <x v="1"/>
    <x v="13"/>
    <s v="P002"/>
    <x v="3"/>
    <x v="2"/>
    <n v="3"/>
    <n v="25000"/>
    <x v="1"/>
    <n v="63750"/>
    <n v="9562.5"/>
    <x v="4"/>
    <x v="2"/>
    <x v="4"/>
    <x v="1"/>
    <x v="5"/>
    <s v="Apr"/>
    <s v="Q2"/>
    <x v="6"/>
    <n v="5"/>
    <n v="15"/>
  </r>
  <r>
    <s v="ORD00833"/>
    <d v="2024-08-20T00:00:00"/>
    <d v="2024-08-28T00:00:00"/>
    <s v="C0204"/>
    <x v="137"/>
    <s v="Corporate"/>
    <x v="0"/>
    <x v="10"/>
    <s v="P004"/>
    <x v="7"/>
    <x v="2"/>
    <n v="3"/>
    <n v="8000"/>
    <x v="0"/>
    <n v="24000"/>
    <n v="5338.65"/>
    <x v="5"/>
    <x v="1"/>
    <x v="4"/>
    <x v="1"/>
    <x v="7"/>
    <s v="Aug"/>
    <s v="Q3"/>
    <x v="9"/>
    <n v="8"/>
    <n v="22.24"/>
  </r>
  <r>
    <s v="ORD00665"/>
    <d v="2024-07-25T00:00:00"/>
    <d v="2024-07-30T00:00:00"/>
    <s v="C0253"/>
    <x v="200"/>
    <s v="Corporate"/>
    <x v="0"/>
    <x v="11"/>
    <s v="P008"/>
    <x v="11"/>
    <x v="1"/>
    <n v="1"/>
    <n v="250"/>
    <x v="3"/>
    <n v="237.5"/>
    <n v="85.13"/>
    <x v="1"/>
    <x v="1"/>
    <x v="1"/>
    <x v="1"/>
    <x v="3"/>
    <s v="Jul"/>
    <s v="Q3"/>
    <x v="4"/>
    <n v="5"/>
    <n v="35.840000000000003"/>
  </r>
  <r>
    <s v="ORD00103"/>
    <d v="2025-07-12T00:00:00"/>
    <d v="2025-07-19T00:00:00"/>
    <s v="C0255"/>
    <x v="142"/>
    <s v="Small Business"/>
    <x v="3"/>
    <x v="8"/>
    <s v="P011"/>
    <x v="9"/>
    <x v="4"/>
    <n v="1"/>
    <n v="600"/>
    <x v="0"/>
    <n v="600"/>
    <n v="203.64"/>
    <x v="3"/>
    <x v="1"/>
    <x v="3"/>
    <x v="0"/>
    <x v="3"/>
    <s v="Jul"/>
    <s v="Q3"/>
    <x v="15"/>
    <n v="7"/>
    <n v="33.94"/>
  </r>
  <r>
    <s v="ORD01240"/>
    <d v="2024-10-02T00:00:00"/>
    <d v="2024-10-07T00:00:00"/>
    <s v="C0283"/>
    <x v="59"/>
    <s v="Small Business"/>
    <x v="1"/>
    <x v="13"/>
    <s v="P012"/>
    <x v="4"/>
    <x v="3"/>
    <n v="3"/>
    <n v="3500"/>
    <x v="0"/>
    <n v="10500"/>
    <n v="2645.33"/>
    <x v="2"/>
    <x v="0"/>
    <x v="1"/>
    <x v="1"/>
    <x v="1"/>
    <s v="Oct"/>
    <s v="Q4"/>
    <x v="1"/>
    <n v="5"/>
    <n v="25.19"/>
  </r>
  <r>
    <s v="ORD00682"/>
    <d v="2024-11-22T00:00:00"/>
    <d v="2024-11-29T00:00:00"/>
    <s v="C0223"/>
    <x v="34"/>
    <s v="Corporate"/>
    <x v="1"/>
    <x v="13"/>
    <s v="P007"/>
    <x v="10"/>
    <x v="0"/>
    <n v="5"/>
    <n v="6000"/>
    <x v="1"/>
    <n v="25500"/>
    <n v="4782.3100000000004"/>
    <x v="3"/>
    <x v="1"/>
    <x v="2"/>
    <x v="1"/>
    <x v="2"/>
    <s v="Nov"/>
    <s v="Q4"/>
    <x v="3"/>
    <n v="7"/>
    <n v="18.75"/>
  </r>
  <r>
    <s v="ORD00015"/>
    <d v="2025-12-17T00:00:00"/>
    <d v="2025-12-18T00:00:00"/>
    <s v="C0295"/>
    <x v="107"/>
    <s v="Consumer"/>
    <x v="0"/>
    <x v="11"/>
    <s v="P005"/>
    <x v="0"/>
    <x v="0"/>
    <n v="10"/>
    <n v="7000"/>
    <x v="1"/>
    <n v="59500"/>
    <n v="11235.44"/>
    <x v="1"/>
    <x v="2"/>
    <x v="3"/>
    <x v="0"/>
    <x v="10"/>
    <s v="Dec"/>
    <s v="Q4"/>
    <x v="19"/>
    <n v="1"/>
    <n v="18.88"/>
  </r>
  <r>
    <s v="ORD01666"/>
    <d v="2024-01-21T00:00:00"/>
    <d v="2024-01-28T00:00:00"/>
    <s v="C0002"/>
    <x v="157"/>
    <s v="Consumer"/>
    <x v="1"/>
    <x v="16"/>
    <s v="P003"/>
    <x v="5"/>
    <x v="2"/>
    <n v="1"/>
    <n v="3000"/>
    <x v="1"/>
    <n v="2550"/>
    <n v="771.02"/>
    <x v="1"/>
    <x v="1"/>
    <x v="3"/>
    <x v="1"/>
    <x v="11"/>
    <s v="Jan"/>
    <s v="Q1"/>
    <x v="21"/>
    <n v="7"/>
    <n v="30.24"/>
  </r>
  <r>
    <s v="ORD00920"/>
    <d v="2024-02-05T00:00:00"/>
    <d v="2024-02-11T00:00:00"/>
    <s v="C0288"/>
    <x v="163"/>
    <s v="Corporate"/>
    <x v="1"/>
    <x v="5"/>
    <s v="P005"/>
    <x v="0"/>
    <x v="0"/>
    <n v="1"/>
    <n v="7000"/>
    <x v="0"/>
    <n v="7000"/>
    <n v="1389.79"/>
    <x v="1"/>
    <x v="0"/>
    <x v="0"/>
    <x v="1"/>
    <x v="6"/>
    <s v="Feb"/>
    <s v="Q1"/>
    <x v="18"/>
    <n v="6"/>
    <n v="19.850000000000001"/>
  </r>
  <r>
    <s v="ORD00445"/>
    <d v="2025-02-05T00:00:00"/>
    <d v="2025-02-10T00:00:00"/>
    <s v="C0029"/>
    <x v="133"/>
    <s v="Consumer"/>
    <x v="3"/>
    <x v="8"/>
    <s v="P005"/>
    <x v="0"/>
    <x v="0"/>
    <n v="1"/>
    <n v="7000"/>
    <x v="3"/>
    <n v="6650"/>
    <n v="1130.3699999999999"/>
    <x v="0"/>
    <x v="0"/>
    <x v="3"/>
    <x v="0"/>
    <x v="6"/>
    <s v="Feb"/>
    <s v="Q1"/>
    <x v="7"/>
    <n v="5"/>
    <n v="17"/>
  </r>
  <r>
    <s v="ORD01864"/>
    <d v="2024-08-09T00:00:00"/>
    <d v="2024-08-14T00:00:00"/>
    <s v="C0051"/>
    <x v="106"/>
    <s v="Consumer"/>
    <x v="2"/>
    <x v="3"/>
    <s v="P003"/>
    <x v="5"/>
    <x v="2"/>
    <n v="2"/>
    <n v="3000"/>
    <x v="0"/>
    <n v="6000"/>
    <n v="1609.22"/>
    <x v="4"/>
    <x v="0"/>
    <x v="2"/>
    <x v="1"/>
    <x v="7"/>
    <s v="Aug"/>
    <s v="Q3"/>
    <x v="9"/>
    <n v="5"/>
    <n v="26.82"/>
  </r>
  <r>
    <s v="ORD00190"/>
    <d v="2024-04-18T00:00:00"/>
    <d v="2024-04-22T00:00:00"/>
    <s v="C0170"/>
    <x v="266"/>
    <s v="Small Business"/>
    <x v="2"/>
    <x v="4"/>
    <s v="P007"/>
    <x v="10"/>
    <x v="0"/>
    <n v="1"/>
    <n v="6000"/>
    <x v="0"/>
    <n v="6000"/>
    <n v="1135.8699999999999"/>
    <x v="0"/>
    <x v="1"/>
    <x v="0"/>
    <x v="1"/>
    <x v="5"/>
    <s v="Apr"/>
    <s v="Q2"/>
    <x v="6"/>
    <n v="4"/>
    <n v="18.93"/>
  </r>
  <r>
    <s v="ORD00252"/>
    <d v="2024-05-13T00:00:00"/>
    <d v="2024-05-15T00:00:00"/>
    <s v="C0032"/>
    <x v="232"/>
    <s v="Corporate"/>
    <x v="3"/>
    <x v="12"/>
    <s v="P004"/>
    <x v="7"/>
    <x v="2"/>
    <n v="1"/>
    <n v="8000"/>
    <x v="3"/>
    <n v="7600"/>
    <n v="1612.9"/>
    <x v="1"/>
    <x v="2"/>
    <x v="4"/>
    <x v="1"/>
    <x v="4"/>
    <s v="May"/>
    <s v="Q2"/>
    <x v="8"/>
    <n v="2"/>
    <n v="21.22"/>
  </r>
  <r>
    <s v="ORD01238"/>
    <d v="2024-12-23T00:00:00"/>
    <d v="2024-12-26T00:00:00"/>
    <s v="C0297"/>
    <x v="265"/>
    <s v="Corporate"/>
    <x v="0"/>
    <x v="11"/>
    <s v="P006"/>
    <x v="1"/>
    <x v="0"/>
    <n v="2"/>
    <n v="9500"/>
    <x v="2"/>
    <n v="15200"/>
    <n v="2895.33"/>
    <x v="2"/>
    <x v="2"/>
    <x v="0"/>
    <x v="1"/>
    <x v="10"/>
    <s v="Dec"/>
    <s v="Q4"/>
    <x v="16"/>
    <n v="3"/>
    <n v="19.05"/>
  </r>
  <r>
    <s v="ORD00063"/>
    <d v="2024-11-13T00:00:00"/>
    <d v="2024-11-15T00:00:00"/>
    <s v="C0073"/>
    <x v="147"/>
    <s v="Consumer"/>
    <x v="3"/>
    <x v="8"/>
    <s v="P006"/>
    <x v="1"/>
    <x v="0"/>
    <n v="3"/>
    <n v="9500"/>
    <x v="3"/>
    <n v="27075"/>
    <n v="4069.81"/>
    <x v="3"/>
    <x v="2"/>
    <x v="0"/>
    <x v="1"/>
    <x v="2"/>
    <s v="Nov"/>
    <s v="Q4"/>
    <x v="3"/>
    <n v="2"/>
    <n v="15.03"/>
  </r>
  <r>
    <s v="ORD01700"/>
    <d v="2024-03-07T00:00:00"/>
    <d v="2024-03-09T00:00:00"/>
    <s v="C0095"/>
    <x v="15"/>
    <s v="Consumer"/>
    <x v="2"/>
    <x v="4"/>
    <s v="P003"/>
    <x v="5"/>
    <x v="2"/>
    <n v="1"/>
    <n v="3000"/>
    <x v="2"/>
    <n v="2400"/>
    <n v="517.53"/>
    <x v="0"/>
    <x v="1"/>
    <x v="1"/>
    <x v="1"/>
    <x v="0"/>
    <s v="Mar"/>
    <s v="Q1"/>
    <x v="2"/>
    <n v="2"/>
    <n v="21.56"/>
  </r>
  <r>
    <s v="ORD00538"/>
    <d v="2024-07-06T00:00:00"/>
    <d v="2024-07-12T00:00:00"/>
    <s v="C0187"/>
    <x v="208"/>
    <s v="Corporate"/>
    <x v="3"/>
    <x v="12"/>
    <s v="P007"/>
    <x v="10"/>
    <x v="0"/>
    <n v="3"/>
    <n v="6000"/>
    <x v="1"/>
    <n v="15300"/>
    <n v="3055.59"/>
    <x v="0"/>
    <x v="1"/>
    <x v="3"/>
    <x v="1"/>
    <x v="3"/>
    <s v="Jul"/>
    <s v="Q3"/>
    <x v="4"/>
    <n v="6"/>
    <n v="19.97"/>
  </r>
  <r>
    <s v="ORD01392"/>
    <d v="2025-07-26T00:00:00"/>
    <d v="2025-07-29T00:00:00"/>
    <s v="C0287"/>
    <x v="2"/>
    <s v="Corporate"/>
    <x v="0"/>
    <x v="2"/>
    <s v="P008"/>
    <x v="11"/>
    <x v="1"/>
    <n v="3"/>
    <n v="250"/>
    <x v="0"/>
    <n v="750"/>
    <n v="267.2"/>
    <x v="2"/>
    <x v="2"/>
    <x v="4"/>
    <x v="0"/>
    <x v="3"/>
    <s v="Jul"/>
    <s v="Q3"/>
    <x v="15"/>
    <n v="3"/>
    <n v="35.630000000000003"/>
  </r>
  <r>
    <s v="ORD01727"/>
    <d v="2024-11-24T00:00:00"/>
    <d v="2024-11-29T00:00:00"/>
    <s v="C0234"/>
    <x v="113"/>
    <s v="Corporate"/>
    <x v="3"/>
    <x v="8"/>
    <s v="P002"/>
    <x v="3"/>
    <x v="2"/>
    <n v="1"/>
    <n v="25000"/>
    <x v="0"/>
    <n v="25000"/>
    <n v="3776.39"/>
    <x v="3"/>
    <x v="1"/>
    <x v="3"/>
    <x v="1"/>
    <x v="2"/>
    <s v="Nov"/>
    <s v="Q4"/>
    <x v="3"/>
    <n v="5"/>
    <n v="15.11"/>
  </r>
  <r>
    <s v="ORD00277"/>
    <d v="2024-02-20T00:00:00"/>
    <d v="2024-02-23T00:00:00"/>
    <s v="C0122"/>
    <x v="44"/>
    <s v="Corporate"/>
    <x v="2"/>
    <x v="14"/>
    <s v="P002"/>
    <x v="3"/>
    <x v="2"/>
    <n v="1"/>
    <n v="25000"/>
    <x v="4"/>
    <n v="22500"/>
    <n v="3496.3"/>
    <x v="2"/>
    <x v="1"/>
    <x v="3"/>
    <x v="1"/>
    <x v="6"/>
    <s v="Feb"/>
    <s v="Q1"/>
    <x v="18"/>
    <n v="3"/>
    <n v="15.54"/>
  </r>
  <r>
    <s v="ORD01595"/>
    <d v="2024-08-03T00:00:00"/>
    <d v="2024-08-04T00:00:00"/>
    <s v="C0291"/>
    <x v="87"/>
    <s v="Small Business"/>
    <x v="1"/>
    <x v="1"/>
    <s v="P005"/>
    <x v="0"/>
    <x v="0"/>
    <n v="1"/>
    <n v="7000"/>
    <x v="0"/>
    <n v="7000"/>
    <n v="1178.6500000000001"/>
    <x v="3"/>
    <x v="2"/>
    <x v="2"/>
    <x v="1"/>
    <x v="7"/>
    <s v="Aug"/>
    <s v="Q3"/>
    <x v="9"/>
    <n v="1"/>
    <n v="16.84"/>
  </r>
  <r>
    <s v="ORD00662"/>
    <d v="2025-06-07T00:00:00"/>
    <d v="2025-06-09T00:00:00"/>
    <s v="C0208"/>
    <x v="218"/>
    <s v="Small Business"/>
    <x v="2"/>
    <x v="3"/>
    <s v="P008"/>
    <x v="11"/>
    <x v="1"/>
    <n v="1"/>
    <n v="250"/>
    <x v="2"/>
    <n v="200"/>
    <n v="70.55"/>
    <x v="3"/>
    <x v="1"/>
    <x v="0"/>
    <x v="0"/>
    <x v="8"/>
    <s v="Jun"/>
    <s v="Q2"/>
    <x v="10"/>
    <n v="2"/>
    <n v="35.28"/>
  </r>
  <r>
    <s v="ORD00854"/>
    <d v="2024-02-05T00:00:00"/>
    <d v="2024-02-06T00:00:00"/>
    <s v="C0111"/>
    <x v="74"/>
    <s v="Consumer"/>
    <x v="3"/>
    <x v="8"/>
    <s v="P012"/>
    <x v="4"/>
    <x v="3"/>
    <n v="4"/>
    <n v="3500"/>
    <x v="4"/>
    <n v="12600"/>
    <n v="3171.03"/>
    <x v="5"/>
    <x v="2"/>
    <x v="3"/>
    <x v="1"/>
    <x v="6"/>
    <s v="Feb"/>
    <s v="Q1"/>
    <x v="18"/>
    <n v="1"/>
    <n v="25.17"/>
  </r>
  <r>
    <s v="ORD01525"/>
    <d v="2025-05-17T00:00:00"/>
    <d v="2025-05-25T00:00:00"/>
    <s v="C0180"/>
    <x v="89"/>
    <s v="Corporate"/>
    <x v="2"/>
    <x v="9"/>
    <s v="P011"/>
    <x v="9"/>
    <x v="4"/>
    <n v="10"/>
    <n v="600"/>
    <x v="3"/>
    <n v="5700"/>
    <n v="1549.71"/>
    <x v="2"/>
    <x v="1"/>
    <x v="4"/>
    <x v="0"/>
    <x v="4"/>
    <s v="May"/>
    <s v="Q2"/>
    <x v="5"/>
    <n v="8"/>
    <n v="27.19"/>
  </r>
  <r>
    <s v="ORD00136"/>
    <d v="2024-08-14T00:00:00"/>
    <d v="2024-08-22T00:00:00"/>
    <s v="C0189"/>
    <x v="258"/>
    <s v="Small Business"/>
    <x v="0"/>
    <x v="0"/>
    <s v="P010"/>
    <x v="6"/>
    <x v="4"/>
    <n v="1"/>
    <n v="1800"/>
    <x v="0"/>
    <n v="1800"/>
    <n v="561.5"/>
    <x v="5"/>
    <x v="0"/>
    <x v="4"/>
    <x v="1"/>
    <x v="7"/>
    <s v="Aug"/>
    <s v="Q3"/>
    <x v="9"/>
    <n v="8"/>
    <n v="31.19"/>
  </r>
  <r>
    <s v="ORD00895"/>
    <d v="2025-07-15T00:00:00"/>
    <d v="2025-07-23T00:00:00"/>
    <s v="C0155"/>
    <x v="41"/>
    <s v="Consumer"/>
    <x v="1"/>
    <x v="5"/>
    <s v="P011"/>
    <x v="9"/>
    <x v="4"/>
    <n v="10"/>
    <n v="600"/>
    <x v="3"/>
    <n v="5700"/>
    <n v="1661.8"/>
    <x v="2"/>
    <x v="1"/>
    <x v="1"/>
    <x v="0"/>
    <x v="3"/>
    <s v="Jul"/>
    <s v="Q3"/>
    <x v="15"/>
    <n v="8"/>
    <n v="29.15"/>
  </r>
  <r>
    <s v="ORD00185"/>
    <d v="2025-02-06T00:00:00"/>
    <d v="2025-02-09T00:00:00"/>
    <s v="C0193"/>
    <x v="243"/>
    <s v="Corporate"/>
    <x v="3"/>
    <x v="8"/>
    <s v="P005"/>
    <x v="0"/>
    <x v="0"/>
    <n v="1"/>
    <n v="7000"/>
    <x v="4"/>
    <n v="6300"/>
    <n v="1080.97"/>
    <x v="5"/>
    <x v="2"/>
    <x v="3"/>
    <x v="0"/>
    <x v="6"/>
    <s v="Feb"/>
    <s v="Q1"/>
    <x v="7"/>
    <n v="3"/>
    <n v="17.16"/>
  </r>
  <r>
    <s v="ORD00012"/>
    <d v="2025-11-30T00:00:00"/>
    <d v="2025-12-05T00:00:00"/>
    <s v="C0196"/>
    <x v="22"/>
    <s v="Consumer"/>
    <x v="0"/>
    <x v="11"/>
    <s v="P010"/>
    <x v="6"/>
    <x v="4"/>
    <n v="5"/>
    <n v="1800"/>
    <x v="0"/>
    <n v="9000"/>
    <n v="2497.56"/>
    <x v="0"/>
    <x v="1"/>
    <x v="3"/>
    <x v="0"/>
    <x v="2"/>
    <s v="Nov"/>
    <s v="Q4"/>
    <x v="23"/>
    <n v="5"/>
    <n v="27.75"/>
  </r>
  <r>
    <s v="ORD00301"/>
    <d v="2025-01-18T00:00:00"/>
    <d v="2025-01-23T00:00:00"/>
    <s v="C0262"/>
    <x v="175"/>
    <s v="Corporate"/>
    <x v="0"/>
    <x v="15"/>
    <s v="P011"/>
    <x v="9"/>
    <x v="4"/>
    <n v="2"/>
    <n v="600"/>
    <x v="4"/>
    <n v="1080"/>
    <n v="387.26"/>
    <x v="5"/>
    <x v="0"/>
    <x v="0"/>
    <x v="0"/>
    <x v="11"/>
    <s v="Jan"/>
    <s v="Q1"/>
    <x v="17"/>
    <n v="5"/>
    <n v="35.86"/>
  </r>
  <r>
    <s v="ORD00232"/>
    <d v="2024-09-07T00:00:00"/>
    <d v="2024-09-08T00:00:00"/>
    <s v="C0123"/>
    <x v="251"/>
    <s v="Small Business"/>
    <x v="0"/>
    <x v="10"/>
    <s v="P001"/>
    <x v="8"/>
    <x v="2"/>
    <n v="1"/>
    <n v="55000"/>
    <x v="3"/>
    <n v="52250"/>
    <n v="7019.84"/>
    <x v="3"/>
    <x v="2"/>
    <x v="2"/>
    <x v="1"/>
    <x v="9"/>
    <s v="Sep"/>
    <s v="Q3"/>
    <x v="20"/>
    <n v="1"/>
    <n v="13.44"/>
  </r>
  <r>
    <s v="ORD00673"/>
    <d v="2024-11-29T00:00:00"/>
    <d v="2024-12-06T00:00:00"/>
    <s v="C0011"/>
    <x v="216"/>
    <s v="Corporate"/>
    <x v="2"/>
    <x v="14"/>
    <s v="P009"/>
    <x v="2"/>
    <x v="1"/>
    <n v="3"/>
    <n v="180"/>
    <x v="3"/>
    <n v="513"/>
    <n v="214.05"/>
    <x v="3"/>
    <x v="0"/>
    <x v="0"/>
    <x v="1"/>
    <x v="2"/>
    <s v="Nov"/>
    <s v="Q4"/>
    <x v="3"/>
    <n v="7"/>
    <n v="41.73"/>
  </r>
  <r>
    <s v="ORD00491"/>
    <d v="2024-11-15T00:00:00"/>
    <d v="2024-11-18T00:00:00"/>
    <s v="C0079"/>
    <x v="267"/>
    <s v="Consumer"/>
    <x v="0"/>
    <x v="0"/>
    <s v="P007"/>
    <x v="10"/>
    <x v="0"/>
    <n v="1"/>
    <n v="6000"/>
    <x v="4"/>
    <n v="5400"/>
    <n v="975.51"/>
    <x v="1"/>
    <x v="2"/>
    <x v="2"/>
    <x v="1"/>
    <x v="2"/>
    <s v="Nov"/>
    <s v="Q4"/>
    <x v="3"/>
    <n v="3"/>
    <n v="18.07"/>
  </r>
  <r>
    <s v="ORD00846"/>
    <d v="2024-07-02T00:00:00"/>
    <d v="2024-07-09T00:00:00"/>
    <s v="C0213"/>
    <x v="116"/>
    <s v="Corporate"/>
    <x v="3"/>
    <x v="7"/>
    <s v="P004"/>
    <x v="7"/>
    <x v="2"/>
    <n v="4"/>
    <n v="8000"/>
    <x v="1"/>
    <n v="27200"/>
    <n v="5935.25"/>
    <x v="5"/>
    <x v="0"/>
    <x v="1"/>
    <x v="1"/>
    <x v="3"/>
    <s v="Jul"/>
    <s v="Q3"/>
    <x v="4"/>
    <n v="7"/>
    <n v="21.82"/>
  </r>
  <r>
    <s v="ORD00140"/>
    <d v="2024-04-03T00:00:00"/>
    <d v="2024-04-11T00:00:00"/>
    <s v="C0299"/>
    <x v="263"/>
    <s v="Small Business"/>
    <x v="3"/>
    <x v="7"/>
    <s v="P008"/>
    <x v="11"/>
    <x v="1"/>
    <n v="4"/>
    <n v="250"/>
    <x v="3"/>
    <n v="950"/>
    <n v="388.92"/>
    <x v="4"/>
    <x v="2"/>
    <x v="0"/>
    <x v="1"/>
    <x v="5"/>
    <s v="Apr"/>
    <s v="Q2"/>
    <x v="6"/>
    <n v="8"/>
    <n v="40.94"/>
  </r>
  <r>
    <s v="ORD01533"/>
    <d v="2024-06-17T00:00:00"/>
    <d v="2024-06-18T00:00:00"/>
    <s v="C0060"/>
    <x v="125"/>
    <s v="Corporate"/>
    <x v="2"/>
    <x v="3"/>
    <s v="P002"/>
    <x v="3"/>
    <x v="2"/>
    <n v="1"/>
    <n v="25000"/>
    <x v="1"/>
    <n v="21250"/>
    <n v="3479.22"/>
    <x v="0"/>
    <x v="1"/>
    <x v="4"/>
    <x v="1"/>
    <x v="8"/>
    <s v="Jun"/>
    <s v="Q2"/>
    <x v="12"/>
    <n v="1"/>
    <n v="16.37"/>
  </r>
  <r>
    <s v="ORD00030"/>
    <d v="2024-01-27T00:00:00"/>
    <d v="2024-01-31T00:00:00"/>
    <s v="C0057"/>
    <x v="268"/>
    <s v="Corporate"/>
    <x v="2"/>
    <x v="4"/>
    <s v="P011"/>
    <x v="9"/>
    <x v="4"/>
    <n v="1"/>
    <n v="600"/>
    <x v="0"/>
    <n v="600"/>
    <n v="231.65"/>
    <x v="1"/>
    <x v="1"/>
    <x v="3"/>
    <x v="1"/>
    <x v="11"/>
    <s v="Jan"/>
    <s v="Q1"/>
    <x v="21"/>
    <n v="4"/>
    <n v="38.61"/>
  </r>
  <r>
    <s v="ORD00464"/>
    <d v="2025-11-12T00:00:00"/>
    <d v="2025-11-19T00:00:00"/>
    <s v="C0235"/>
    <x v="111"/>
    <s v="Consumer"/>
    <x v="1"/>
    <x v="16"/>
    <s v="P012"/>
    <x v="4"/>
    <x v="3"/>
    <n v="1"/>
    <n v="3500"/>
    <x v="2"/>
    <n v="2800"/>
    <n v="691.85"/>
    <x v="1"/>
    <x v="1"/>
    <x v="2"/>
    <x v="0"/>
    <x v="2"/>
    <s v="Nov"/>
    <s v="Q4"/>
    <x v="23"/>
    <n v="7"/>
    <n v="24.71"/>
  </r>
  <r>
    <s v="ORD00440"/>
    <d v="2024-09-26T00:00:00"/>
    <d v="2024-10-01T00:00:00"/>
    <s v="C0194"/>
    <x v="139"/>
    <s v="Corporate"/>
    <x v="3"/>
    <x v="8"/>
    <s v="P004"/>
    <x v="7"/>
    <x v="2"/>
    <n v="1"/>
    <n v="8000"/>
    <x v="1"/>
    <n v="6800"/>
    <n v="1352.9"/>
    <x v="3"/>
    <x v="2"/>
    <x v="1"/>
    <x v="1"/>
    <x v="9"/>
    <s v="Sep"/>
    <s v="Q3"/>
    <x v="20"/>
    <n v="5"/>
    <n v="19.899999999999999"/>
  </r>
  <r>
    <s v="ORD00197"/>
    <d v="2025-12-21T00:00:00"/>
    <d v="2025-12-24T00:00:00"/>
    <s v="C0106"/>
    <x v="192"/>
    <s v="Small Business"/>
    <x v="0"/>
    <x v="0"/>
    <s v="P005"/>
    <x v="0"/>
    <x v="0"/>
    <n v="1"/>
    <n v="7000"/>
    <x v="0"/>
    <n v="7000"/>
    <n v="1570.49"/>
    <x v="3"/>
    <x v="1"/>
    <x v="2"/>
    <x v="0"/>
    <x v="10"/>
    <s v="Dec"/>
    <s v="Q4"/>
    <x v="19"/>
    <n v="3"/>
    <n v="22.44"/>
  </r>
  <r>
    <s v="ORD00739"/>
    <d v="2025-03-08T00:00:00"/>
    <d v="2025-03-15T00:00:00"/>
    <s v="C0271"/>
    <x v="197"/>
    <s v="Consumer"/>
    <x v="1"/>
    <x v="1"/>
    <s v="P001"/>
    <x v="8"/>
    <x v="2"/>
    <n v="2"/>
    <n v="55000"/>
    <x v="4"/>
    <n v="99000"/>
    <n v="12926.7"/>
    <x v="0"/>
    <x v="0"/>
    <x v="0"/>
    <x v="0"/>
    <x v="0"/>
    <s v="Mar"/>
    <s v="Q1"/>
    <x v="0"/>
    <n v="7"/>
    <n v="13.06"/>
  </r>
  <r>
    <s v="ORD01467"/>
    <d v="2024-06-23T00:00:00"/>
    <d v="2024-07-01T00:00:00"/>
    <s v="C0117"/>
    <x v="77"/>
    <s v="Consumer"/>
    <x v="2"/>
    <x v="9"/>
    <s v="P010"/>
    <x v="6"/>
    <x v="4"/>
    <n v="1"/>
    <n v="1800"/>
    <x v="0"/>
    <n v="1800"/>
    <n v="544.25"/>
    <x v="3"/>
    <x v="1"/>
    <x v="0"/>
    <x v="1"/>
    <x v="8"/>
    <s v="Jun"/>
    <s v="Q2"/>
    <x v="12"/>
    <n v="8"/>
    <n v="30.24"/>
  </r>
  <r>
    <s v="ORD00212"/>
    <d v="2025-02-06T00:00:00"/>
    <d v="2025-02-13T00:00:00"/>
    <s v="C0127"/>
    <x v="248"/>
    <s v="Consumer"/>
    <x v="3"/>
    <x v="12"/>
    <s v="P011"/>
    <x v="9"/>
    <x v="4"/>
    <n v="2"/>
    <n v="600"/>
    <x v="4"/>
    <n v="1080"/>
    <n v="391.1"/>
    <x v="0"/>
    <x v="1"/>
    <x v="3"/>
    <x v="0"/>
    <x v="6"/>
    <s v="Feb"/>
    <s v="Q1"/>
    <x v="7"/>
    <n v="7"/>
    <n v="36.21"/>
  </r>
  <r>
    <s v="ORD00784"/>
    <d v="2024-02-12T00:00:00"/>
    <d v="2024-02-17T00:00:00"/>
    <s v="C0285"/>
    <x v="171"/>
    <s v="Corporate"/>
    <x v="3"/>
    <x v="6"/>
    <s v="P008"/>
    <x v="11"/>
    <x v="1"/>
    <n v="1"/>
    <n v="250"/>
    <x v="3"/>
    <n v="237.5"/>
    <n v="103.02"/>
    <x v="5"/>
    <x v="0"/>
    <x v="3"/>
    <x v="1"/>
    <x v="6"/>
    <s v="Feb"/>
    <s v="Q1"/>
    <x v="18"/>
    <n v="5"/>
    <n v="43.38"/>
  </r>
  <r>
    <s v="ORD01270"/>
    <d v="2024-01-06T00:00:00"/>
    <d v="2024-01-09T00:00:00"/>
    <s v="C0146"/>
    <x v="199"/>
    <s v="Consumer"/>
    <x v="1"/>
    <x v="16"/>
    <s v="P005"/>
    <x v="0"/>
    <x v="0"/>
    <n v="2"/>
    <n v="7000"/>
    <x v="0"/>
    <n v="14000"/>
    <n v="3119.49"/>
    <x v="3"/>
    <x v="1"/>
    <x v="0"/>
    <x v="1"/>
    <x v="11"/>
    <s v="Jan"/>
    <s v="Q1"/>
    <x v="21"/>
    <n v="3"/>
    <n v="22.28"/>
  </r>
  <r>
    <s v="ORD00986"/>
    <d v="2024-05-30T00:00:00"/>
    <d v="2024-06-07T00:00:00"/>
    <s v="C0077"/>
    <x v="260"/>
    <s v="Corporate"/>
    <x v="2"/>
    <x v="3"/>
    <s v="P011"/>
    <x v="9"/>
    <x v="4"/>
    <n v="1"/>
    <n v="600"/>
    <x v="3"/>
    <n v="570"/>
    <n v="190.32"/>
    <x v="2"/>
    <x v="0"/>
    <x v="1"/>
    <x v="1"/>
    <x v="4"/>
    <s v="May"/>
    <s v="Q2"/>
    <x v="8"/>
    <n v="8"/>
    <n v="33.39"/>
  </r>
  <r>
    <s v="ORD00897"/>
    <d v="2025-01-27T00:00:00"/>
    <d v="2025-02-04T00:00:00"/>
    <s v="C0083"/>
    <x v="165"/>
    <s v="Corporate"/>
    <x v="0"/>
    <x v="15"/>
    <s v="P006"/>
    <x v="1"/>
    <x v="0"/>
    <n v="3"/>
    <n v="9500"/>
    <x v="0"/>
    <n v="28500"/>
    <n v="5629.72"/>
    <x v="5"/>
    <x v="0"/>
    <x v="2"/>
    <x v="0"/>
    <x v="11"/>
    <s v="Jan"/>
    <s v="Q1"/>
    <x v="17"/>
    <n v="8"/>
    <n v="19.75"/>
  </r>
  <r>
    <s v="ORD01618"/>
    <d v="2025-12-17T00:00:00"/>
    <m/>
    <s v="C0162"/>
    <x v="96"/>
    <s v="Corporate"/>
    <x v="0"/>
    <x v="0"/>
    <s v="P010"/>
    <x v="6"/>
    <x v="4"/>
    <n v="4"/>
    <n v="1800"/>
    <x v="0"/>
    <n v="7200"/>
    <n v="2725.92"/>
    <x v="2"/>
    <x v="1"/>
    <x v="4"/>
    <x v="0"/>
    <x v="10"/>
    <s v="Dec"/>
    <s v="Q4"/>
    <x v="19"/>
    <s v=""/>
    <n v="37.86"/>
  </r>
  <r>
    <s v="ORD00737"/>
    <d v="2024-12-07T00:00:00"/>
    <d v="2024-12-14T00:00:00"/>
    <s v="C0201"/>
    <x v="150"/>
    <s v="Small Business"/>
    <x v="3"/>
    <x v="7"/>
    <s v="P001"/>
    <x v="8"/>
    <x v="2"/>
    <n v="2"/>
    <n v="55000"/>
    <x v="1"/>
    <n v="93500"/>
    <n v="14687.8"/>
    <x v="0"/>
    <x v="2"/>
    <x v="1"/>
    <x v="1"/>
    <x v="10"/>
    <s v="Dec"/>
    <s v="Q4"/>
    <x v="16"/>
    <n v="7"/>
    <n v="15.71"/>
  </r>
  <r>
    <s v="ORD00337"/>
    <d v="2025-07-29T00:00:00"/>
    <d v="2025-08-04T00:00:00"/>
    <s v="C0156"/>
    <x v="155"/>
    <s v="Consumer"/>
    <x v="1"/>
    <x v="16"/>
    <s v="P009"/>
    <x v="2"/>
    <x v="1"/>
    <n v="1"/>
    <n v="180"/>
    <x v="1"/>
    <n v="153"/>
    <n v="60.76"/>
    <x v="3"/>
    <x v="0"/>
    <x v="2"/>
    <x v="0"/>
    <x v="3"/>
    <s v="Jul"/>
    <s v="Q3"/>
    <x v="15"/>
    <n v="6"/>
    <n v="39.71"/>
  </r>
  <r>
    <s v="ORD00835"/>
    <d v="2025-08-14T00:00:00"/>
    <d v="2025-08-15T00:00:00"/>
    <s v="C0192"/>
    <x v="214"/>
    <s v="Consumer"/>
    <x v="3"/>
    <x v="8"/>
    <s v="P003"/>
    <x v="5"/>
    <x v="2"/>
    <n v="4"/>
    <n v="3000"/>
    <x v="0"/>
    <n v="12000"/>
    <n v="3878.43"/>
    <x v="0"/>
    <x v="2"/>
    <x v="3"/>
    <x v="0"/>
    <x v="7"/>
    <s v="Aug"/>
    <s v="Q3"/>
    <x v="22"/>
    <n v="1"/>
    <n v="32.32"/>
  </r>
  <r>
    <s v="ORD01919"/>
    <d v="2025-07-05T00:00:00"/>
    <d v="2025-07-13T00:00:00"/>
    <s v="C0099"/>
    <x v="36"/>
    <s v="Small Business"/>
    <x v="0"/>
    <x v="0"/>
    <s v="P009"/>
    <x v="2"/>
    <x v="1"/>
    <n v="1"/>
    <n v="180"/>
    <x v="0"/>
    <n v="180"/>
    <n v="83.26"/>
    <x v="3"/>
    <x v="2"/>
    <x v="3"/>
    <x v="0"/>
    <x v="3"/>
    <s v="Jul"/>
    <s v="Q3"/>
    <x v="15"/>
    <n v="8"/>
    <n v="46.26"/>
  </r>
  <r>
    <s v="ORD01921"/>
    <d v="2025-09-15T00:00:00"/>
    <d v="2025-09-18T00:00:00"/>
    <s v="C0017"/>
    <x v="242"/>
    <s v="Small Business"/>
    <x v="1"/>
    <x v="16"/>
    <s v="P007"/>
    <x v="10"/>
    <x v="0"/>
    <n v="10"/>
    <n v="6000"/>
    <x v="0"/>
    <n v="60000"/>
    <n v="11952"/>
    <x v="3"/>
    <x v="2"/>
    <x v="2"/>
    <x v="0"/>
    <x v="9"/>
    <s v="Sep"/>
    <s v="Q3"/>
    <x v="11"/>
    <n v="3"/>
    <n v="19.920000000000002"/>
  </r>
  <r>
    <s v="ORD00472"/>
    <d v="2024-08-20T00:00:00"/>
    <d v="2024-08-21T00:00:00"/>
    <s v="C0214"/>
    <x v="65"/>
    <s v="Small Business"/>
    <x v="1"/>
    <x v="1"/>
    <s v="P002"/>
    <x v="3"/>
    <x v="2"/>
    <n v="3"/>
    <n v="25000"/>
    <x v="2"/>
    <n v="60000"/>
    <n v="8468.2900000000009"/>
    <x v="5"/>
    <x v="2"/>
    <x v="0"/>
    <x v="1"/>
    <x v="7"/>
    <s v="Aug"/>
    <s v="Q3"/>
    <x v="9"/>
    <n v="1"/>
    <n v="14.11"/>
  </r>
  <r>
    <s v="ORD00111"/>
    <d v="2025-01-06T00:00:00"/>
    <d v="2025-01-14T00:00:00"/>
    <s v="C0288"/>
    <x v="163"/>
    <s v="Corporate"/>
    <x v="1"/>
    <x v="5"/>
    <s v="P004"/>
    <x v="7"/>
    <x v="2"/>
    <n v="2"/>
    <n v="8000"/>
    <x v="0"/>
    <n v="16000"/>
    <n v="3418.16"/>
    <x v="1"/>
    <x v="1"/>
    <x v="1"/>
    <x v="0"/>
    <x v="11"/>
    <s v="Jan"/>
    <s v="Q1"/>
    <x v="17"/>
    <n v="8"/>
    <n v="21.36"/>
  </r>
  <r>
    <s v="ORD00620"/>
    <d v="2025-08-15T00:00:00"/>
    <d v="2025-08-23T00:00:00"/>
    <s v="C0172"/>
    <x v="226"/>
    <s v="Small Business"/>
    <x v="3"/>
    <x v="7"/>
    <s v="P007"/>
    <x v="10"/>
    <x v="0"/>
    <n v="1"/>
    <n v="6000"/>
    <x v="1"/>
    <n v="5100"/>
    <n v="1242.03"/>
    <x v="1"/>
    <x v="2"/>
    <x v="1"/>
    <x v="0"/>
    <x v="7"/>
    <s v="Aug"/>
    <s v="Q3"/>
    <x v="22"/>
    <n v="8"/>
    <n v="24.35"/>
  </r>
  <r>
    <s v="ORD01626"/>
    <d v="2024-03-18T00:00:00"/>
    <d v="2024-03-25T00:00:00"/>
    <s v="C0221"/>
    <x v="128"/>
    <s v="Consumer"/>
    <x v="3"/>
    <x v="8"/>
    <s v="P001"/>
    <x v="8"/>
    <x v="2"/>
    <n v="4"/>
    <n v="55000"/>
    <x v="0"/>
    <n v="220000"/>
    <n v="36198.480000000003"/>
    <x v="2"/>
    <x v="2"/>
    <x v="4"/>
    <x v="1"/>
    <x v="0"/>
    <s v="Mar"/>
    <s v="Q1"/>
    <x v="2"/>
    <n v="7"/>
    <n v="16.45"/>
  </r>
  <r>
    <s v="ORD01211"/>
    <d v="2024-08-03T00:00:00"/>
    <d v="2024-08-06T00:00:00"/>
    <s v="C0242"/>
    <x v="254"/>
    <s v="Consumer"/>
    <x v="2"/>
    <x v="4"/>
    <s v="P008"/>
    <x v="11"/>
    <x v="1"/>
    <n v="5"/>
    <n v="250"/>
    <x v="1"/>
    <n v="1062.5"/>
    <n v="419.92"/>
    <x v="4"/>
    <x v="2"/>
    <x v="0"/>
    <x v="1"/>
    <x v="7"/>
    <s v="Aug"/>
    <s v="Q3"/>
    <x v="9"/>
    <n v="3"/>
    <n v="39.520000000000003"/>
  </r>
  <r>
    <s v="ORD01978"/>
    <d v="2025-11-13T00:00:00"/>
    <d v="2025-11-19T00:00:00"/>
    <s v="C0001"/>
    <x v="250"/>
    <s v="Small Business"/>
    <x v="0"/>
    <x v="0"/>
    <s v="P002"/>
    <x v="3"/>
    <x v="2"/>
    <n v="2"/>
    <n v="25000"/>
    <x v="0"/>
    <n v="50000"/>
    <n v="7604.8"/>
    <x v="2"/>
    <x v="0"/>
    <x v="2"/>
    <x v="0"/>
    <x v="2"/>
    <s v="Nov"/>
    <s v="Q4"/>
    <x v="23"/>
    <n v="6"/>
    <n v="15.21"/>
  </r>
  <r>
    <s v="ORD01756"/>
    <d v="2024-06-24T00:00:00"/>
    <d v="2024-06-26T00:00:00"/>
    <s v="C0184"/>
    <x v="115"/>
    <s v="Consumer"/>
    <x v="2"/>
    <x v="9"/>
    <s v="P012"/>
    <x v="4"/>
    <x v="3"/>
    <n v="1"/>
    <n v="3500"/>
    <x v="3"/>
    <n v="3325"/>
    <n v="791.07"/>
    <x v="0"/>
    <x v="0"/>
    <x v="2"/>
    <x v="1"/>
    <x v="8"/>
    <s v="Jun"/>
    <s v="Q2"/>
    <x v="12"/>
    <n v="2"/>
    <n v="23.79"/>
  </r>
  <r>
    <s v="ORD00783"/>
    <d v="2025-10-13T00:00:00"/>
    <d v="2025-10-16T00:00:00"/>
    <s v="C0229"/>
    <x v="206"/>
    <s v="Consumer"/>
    <x v="0"/>
    <x v="2"/>
    <s v="P002"/>
    <x v="3"/>
    <x v="2"/>
    <n v="3"/>
    <n v="25000"/>
    <x v="0"/>
    <n v="75000"/>
    <n v="9554.8700000000008"/>
    <x v="4"/>
    <x v="2"/>
    <x v="0"/>
    <x v="0"/>
    <x v="1"/>
    <s v="Oct"/>
    <s v="Q4"/>
    <x v="14"/>
    <n v="3"/>
    <n v="12.74"/>
  </r>
  <r>
    <s v="ORD01175"/>
    <d v="2024-11-17T00:00:00"/>
    <d v="2024-11-25T00:00:00"/>
    <s v="C0295"/>
    <x v="107"/>
    <s v="Consumer"/>
    <x v="0"/>
    <x v="11"/>
    <s v="P010"/>
    <x v="6"/>
    <x v="4"/>
    <n v="1"/>
    <n v="1800"/>
    <x v="0"/>
    <n v="1800"/>
    <n v="513.54"/>
    <x v="0"/>
    <x v="0"/>
    <x v="2"/>
    <x v="1"/>
    <x v="2"/>
    <s v="Nov"/>
    <s v="Q4"/>
    <x v="3"/>
    <n v="8"/>
    <n v="28.53"/>
  </r>
  <r>
    <s v="ORD01488"/>
    <d v="2024-11-30T00:00:00"/>
    <d v="2024-12-01T00:00:00"/>
    <s v="C0203"/>
    <x v="179"/>
    <s v="Consumer"/>
    <x v="1"/>
    <x v="13"/>
    <s v="P003"/>
    <x v="5"/>
    <x v="2"/>
    <n v="3"/>
    <n v="3000"/>
    <x v="1"/>
    <n v="7650"/>
    <n v="1866.21"/>
    <x v="1"/>
    <x v="0"/>
    <x v="2"/>
    <x v="1"/>
    <x v="2"/>
    <s v="Nov"/>
    <s v="Q4"/>
    <x v="3"/>
    <n v="1"/>
    <n v="24.39"/>
  </r>
  <r>
    <s v="ORD01617"/>
    <d v="2025-02-11T00:00:00"/>
    <d v="2025-02-14T00:00:00"/>
    <s v="C0238"/>
    <x v="88"/>
    <s v="Small Business"/>
    <x v="3"/>
    <x v="8"/>
    <s v="P011"/>
    <x v="9"/>
    <x v="4"/>
    <n v="3"/>
    <n v="600"/>
    <x v="2"/>
    <n v="1440"/>
    <n v="453.87"/>
    <x v="3"/>
    <x v="2"/>
    <x v="0"/>
    <x v="0"/>
    <x v="6"/>
    <s v="Feb"/>
    <s v="Q1"/>
    <x v="7"/>
    <n v="3"/>
    <n v="31.52"/>
  </r>
  <r>
    <s v="ORD00594"/>
    <d v="2024-11-04T00:00:00"/>
    <d v="2024-11-06T00:00:00"/>
    <s v="C0046"/>
    <x v="269"/>
    <s v="Small Business"/>
    <x v="0"/>
    <x v="2"/>
    <s v="P011"/>
    <x v="9"/>
    <x v="4"/>
    <n v="1"/>
    <n v="600"/>
    <x v="0"/>
    <n v="600"/>
    <n v="177.1"/>
    <x v="1"/>
    <x v="1"/>
    <x v="1"/>
    <x v="1"/>
    <x v="2"/>
    <s v="Nov"/>
    <s v="Q4"/>
    <x v="3"/>
    <n v="2"/>
    <n v="29.52"/>
  </r>
  <r>
    <s v="ORD01787"/>
    <d v="2024-09-26T00:00:00"/>
    <d v="2024-09-27T00:00:00"/>
    <s v="C0251"/>
    <x v="159"/>
    <s v="Consumer"/>
    <x v="0"/>
    <x v="10"/>
    <s v="P009"/>
    <x v="2"/>
    <x v="1"/>
    <n v="5"/>
    <n v="180"/>
    <x v="2"/>
    <n v="720"/>
    <n v="299.20999999999998"/>
    <x v="1"/>
    <x v="1"/>
    <x v="0"/>
    <x v="1"/>
    <x v="9"/>
    <s v="Sep"/>
    <s v="Q3"/>
    <x v="20"/>
    <n v="1"/>
    <n v="41.56"/>
  </r>
  <r>
    <s v="ORD00314"/>
    <d v="2025-12-11T00:00:00"/>
    <d v="2025-12-16T00:00:00"/>
    <s v="C0128"/>
    <x v="91"/>
    <s v="Corporate"/>
    <x v="3"/>
    <x v="8"/>
    <s v="P004"/>
    <x v="7"/>
    <x v="2"/>
    <n v="1"/>
    <n v="8000"/>
    <x v="0"/>
    <n v="8000"/>
    <n v="1706.84"/>
    <x v="4"/>
    <x v="0"/>
    <x v="3"/>
    <x v="0"/>
    <x v="10"/>
    <s v="Dec"/>
    <s v="Q4"/>
    <x v="19"/>
    <n v="5"/>
    <n v="21.34"/>
  </r>
  <r>
    <s v="ORD01774"/>
    <d v="2025-10-03T00:00:00"/>
    <d v="2025-10-04T00:00:00"/>
    <s v="C0178"/>
    <x v="174"/>
    <s v="Corporate"/>
    <x v="3"/>
    <x v="6"/>
    <s v="P008"/>
    <x v="11"/>
    <x v="1"/>
    <n v="2"/>
    <n v="250"/>
    <x v="2"/>
    <n v="400"/>
    <n v="160.08000000000001"/>
    <x v="5"/>
    <x v="2"/>
    <x v="0"/>
    <x v="0"/>
    <x v="1"/>
    <s v="Oct"/>
    <s v="Q4"/>
    <x v="14"/>
    <n v="1"/>
    <n v="40.020000000000003"/>
  </r>
  <r>
    <s v="ORD01354"/>
    <d v="2025-03-26T00:00:00"/>
    <d v="2025-04-01T00:00:00"/>
    <s v="C0135"/>
    <x v="103"/>
    <s v="Consumer"/>
    <x v="1"/>
    <x v="5"/>
    <s v="P009"/>
    <x v="2"/>
    <x v="1"/>
    <n v="1"/>
    <n v="180"/>
    <x v="0"/>
    <n v="180"/>
    <n v="77.94"/>
    <x v="3"/>
    <x v="0"/>
    <x v="4"/>
    <x v="0"/>
    <x v="0"/>
    <s v="Mar"/>
    <s v="Q1"/>
    <x v="0"/>
    <n v="6"/>
    <n v="43.3"/>
  </r>
  <r>
    <s v="ORD00439"/>
    <d v="2025-01-17T00:00:00"/>
    <d v="2025-01-21T00:00:00"/>
    <s v="C0004"/>
    <x v="119"/>
    <s v="Corporate"/>
    <x v="0"/>
    <x v="11"/>
    <s v="P009"/>
    <x v="2"/>
    <x v="1"/>
    <n v="1"/>
    <n v="180"/>
    <x v="4"/>
    <n v="162"/>
    <n v="63.78"/>
    <x v="4"/>
    <x v="2"/>
    <x v="0"/>
    <x v="0"/>
    <x v="11"/>
    <s v="Jan"/>
    <s v="Q1"/>
    <x v="17"/>
    <n v="4"/>
    <n v="39.369999999999997"/>
  </r>
  <r>
    <s v="ORD00602"/>
    <d v="2025-01-02T00:00:00"/>
    <d v="2025-01-03T00:00:00"/>
    <s v="C0100"/>
    <x v="270"/>
    <s v="Consumer"/>
    <x v="2"/>
    <x v="4"/>
    <s v="P011"/>
    <x v="9"/>
    <x v="4"/>
    <n v="10"/>
    <n v="600"/>
    <x v="0"/>
    <n v="6000"/>
    <n v="1902.33"/>
    <x v="5"/>
    <x v="2"/>
    <x v="3"/>
    <x v="0"/>
    <x v="11"/>
    <s v="Jan"/>
    <s v="Q1"/>
    <x v="17"/>
    <n v="1"/>
    <n v="31.71"/>
  </r>
  <r>
    <s v="ORD00667"/>
    <d v="2024-06-30T00:00:00"/>
    <d v="2024-07-03T00:00:00"/>
    <s v="C0019"/>
    <x v="48"/>
    <s v="Consumer"/>
    <x v="2"/>
    <x v="4"/>
    <s v="P001"/>
    <x v="8"/>
    <x v="2"/>
    <n v="2"/>
    <n v="55000"/>
    <x v="2"/>
    <n v="88000"/>
    <n v="16026.17"/>
    <x v="0"/>
    <x v="1"/>
    <x v="2"/>
    <x v="1"/>
    <x v="8"/>
    <s v="Jun"/>
    <s v="Q2"/>
    <x v="12"/>
    <n v="3"/>
    <n v="18.21"/>
  </r>
  <r>
    <s v="ORD01166"/>
    <d v="2024-04-30T00:00:00"/>
    <d v="2024-05-03T00:00:00"/>
    <s v="C0175"/>
    <x v="271"/>
    <s v="Consumer"/>
    <x v="0"/>
    <x v="10"/>
    <s v="P006"/>
    <x v="1"/>
    <x v="0"/>
    <n v="1"/>
    <n v="9500"/>
    <x v="3"/>
    <n v="9025"/>
    <n v="1628.13"/>
    <x v="1"/>
    <x v="1"/>
    <x v="2"/>
    <x v="1"/>
    <x v="5"/>
    <s v="Apr"/>
    <s v="Q2"/>
    <x v="6"/>
    <n v="3"/>
    <n v="18.04"/>
  </r>
  <r>
    <s v="ORD01635"/>
    <d v="2025-02-02T00:00:00"/>
    <d v="2025-02-09T00:00:00"/>
    <s v="C0016"/>
    <x v="83"/>
    <s v="Corporate"/>
    <x v="0"/>
    <x v="11"/>
    <s v="P006"/>
    <x v="1"/>
    <x v="0"/>
    <n v="3"/>
    <n v="9500"/>
    <x v="3"/>
    <n v="27075"/>
    <n v="4014.83"/>
    <x v="4"/>
    <x v="0"/>
    <x v="2"/>
    <x v="0"/>
    <x v="6"/>
    <s v="Feb"/>
    <s v="Q1"/>
    <x v="7"/>
    <n v="7"/>
    <n v="14.83"/>
  </r>
  <r>
    <s v="ORD00346"/>
    <d v="2024-05-16T00:00:00"/>
    <d v="2024-05-21T00:00:00"/>
    <s v="C0151"/>
    <x v="198"/>
    <s v="Corporate"/>
    <x v="1"/>
    <x v="1"/>
    <s v="P008"/>
    <x v="11"/>
    <x v="1"/>
    <n v="1"/>
    <n v="250"/>
    <x v="4"/>
    <n v="225"/>
    <n v="88.2"/>
    <x v="5"/>
    <x v="2"/>
    <x v="4"/>
    <x v="1"/>
    <x v="4"/>
    <s v="May"/>
    <s v="Q2"/>
    <x v="8"/>
    <n v="5"/>
    <n v="39.200000000000003"/>
  </r>
  <r>
    <s v="ORD01541"/>
    <d v="2024-05-29T00:00:00"/>
    <d v="2024-05-31T00:00:00"/>
    <s v="C0278"/>
    <x v="51"/>
    <s v="Small Business"/>
    <x v="0"/>
    <x v="2"/>
    <s v="P002"/>
    <x v="3"/>
    <x v="2"/>
    <n v="3"/>
    <n v="25000"/>
    <x v="2"/>
    <n v="60000"/>
    <n v="8135.52"/>
    <x v="0"/>
    <x v="2"/>
    <x v="3"/>
    <x v="1"/>
    <x v="4"/>
    <s v="May"/>
    <s v="Q2"/>
    <x v="8"/>
    <n v="2"/>
    <n v="13.56"/>
  </r>
  <r>
    <s v="ORD01918"/>
    <d v="2025-02-11T00:00:00"/>
    <d v="2025-02-14T00:00:00"/>
    <s v="C0231"/>
    <x v="32"/>
    <s v="Small Business"/>
    <x v="1"/>
    <x v="1"/>
    <s v="P008"/>
    <x v="11"/>
    <x v="1"/>
    <n v="3"/>
    <n v="250"/>
    <x v="0"/>
    <n v="750"/>
    <n v="289.74"/>
    <x v="0"/>
    <x v="0"/>
    <x v="3"/>
    <x v="0"/>
    <x v="6"/>
    <s v="Feb"/>
    <s v="Q1"/>
    <x v="7"/>
    <n v="3"/>
    <n v="38.630000000000003"/>
  </r>
  <r>
    <s v="ORD01464"/>
    <d v="2024-03-07T00:00:00"/>
    <d v="2024-03-08T00:00:00"/>
    <s v="C0145"/>
    <x v="16"/>
    <s v="Corporate"/>
    <x v="3"/>
    <x v="8"/>
    <s v="P003"/>
    <x v="5"/>
    <x v="2"/>
    <n v="1"/>
    <n v="3000"/>
    <x v="3"/>
    <n v="2850"/>
    <n v="716.22"/>
    <x v="1"/>
    <x v="1"/>
    <x v="3"/>
    <x v="1"/>
    <x v="0"/>
    <s v="Mar"/>
    <s v="Q1"/>
    <x v="2"/>
    <n v="1"/>
    <n v="25.13"/>
  </r>
  <r>
    <s v="ORD01710"/>
    <d v="2024-07-01T00:00:00"/>
    <d v="2024-07-04T00:00:00"/>
    <s v="C0257"/>
    <x v="64"/>
    <s v="Small Business"/>
    <x v="0"/>
    <x v="11"/>
    <s v="P009"/>
    <x v="2"/>
    <x v="1"/>
    <n v="4"/>
    <n v="180"/>
    <x v="0"/>
    <n v="720"/>
    <n v="269.77"/>
    <x v="0"/>
    <x v="2"/>
    <x v="3"/>
    <x v="1"/>
    <x v="3"/>
    <s v="Jul"/>
    <s v="Q3"/>
    <x v="4"/>
    <n v="3"/>
    <n v="37.47"/>
  </r>
  <r>
    <s v="ORD01187"/>
    <d v="2024-09-10T00:00:00"/>
    <d v="2024-09-16T00:00:00"/>
    <s v="C0229"/>
    <x v="206"/>
    <s v="Consumer"/>
    <x v="0"/>
    <x v="2"/>
    <s v="P006"/>
    <x v="1"/>
    <x v="0"/>
    <n v="3"/>
    <n v="9500"/>
    <x v="0"/>
    <n v="28500"/>
    <n v="4391.72"/>
    <x v="5"/>
    <x v="0"/>
    <x v="4"/>
    <x v="1"/>
    <x v="9"/>
    <s v="Sep"/>
    <s v="Q3"/>
    <x v="20"/>
    <n v="6"/>
    <n v="15.41"/>
  </r>
  <r>
    <s v="ORD01843"/>
    <d v="2024-03-28T00:00:00"/>
    <d v="2024-04-04T00:00:00"/>
    <s v="C0032"/>
    <x v="232"/>
    <s v="Corporate"/>
    <x v="3"/>
    <x v="12"/>
    <s v="P008"/>
    <x v="11"/>
    <x v="1"/>
    <n v="2"/>
    <n v="250"/>
    <x v="2"/>
    <n v="400"/>
    <n v="149.81"/>
    <x v="4"/>
    <x v="0"/>
    <x v="2"/>
    <x v="1"/>
    <x v="0"/>
    <s v="Mar"/>
    <s v="Q1"/>
    <x v="2"/>
    <n v="7"/>
    <n v="37.450000000000003"/>
  </r>
  <r>
    <s v="ORD00829"/>
    <d v="2024-10-28T00:00:00"/>
    <d v="2024-11-02T00:00:00"/>
    <s v="C0184"/>
    <x v="115"/>
    <s v="Consumer"/>
    <x v="2"/>
    <x v="9"/>
    <s v="P002"/>
    <x v="3"/>
    <x v="2"/>
    <n v="2"/>
    <n v="25000"/>
    <x v="1"/>
    <n v="42500"/>
    <n v="4661.8100000000004"/>
    <x v="4"/>
    <x v="0"/>
    <x v="3"/>
    <x v="1"/>
    <x v="1"/>
    <s v="Oct"/>
    <s v="Q4"/>
    <x v="1"/>
    <n v="5"/>
    <n v="10.97"/>
  </r>
  <r>
    <s v="ORD00618"/>
    <d v="2025-12-14T00:00:00"/>
    <d v="2025-12-15T00:00:00"/>
    <s v="C0142"/>
    <x v="272"/>
    <s v="Small Business"/>
    <x v="0"/>
    <x v="2"/>
    <s v="P002"/>
    <x v="3"/>
    <x v="2"/>
    <n v="1"/>
    <n v="25000"/>
    <x v="0"/>
    <n v="25000"/>
    <n v="3406.03"/>
    <x v="3"/>
    <x v="1"/>
    <x v="1"/>
    <x v="0"/>
    <x v="10"/>
    <s v="Dec"/>
    <s v="Q4"/>
    <x v="19"/>
    <n v="1"/>
    <n v="13.62"/>
  </r>
  <r>
    <s v="ORD00054"/>
    <d v="2024-05-29T00:00:00"/>
    <d v="2024-05-31T00:00:00"/>
    <s v="C0121"/>
    <x v="207"/>
    <s v="Consumer"/>
    <x v="3"/>
    <x v="12"/>
    <s v="P002"/>
    <x v="3"/>
    <x v="2"/>
    <n v="1"/>
    <n v="25000"/>
    <x v="0"/>
    <n v="25000"/>
    <n v="3528.6"/>
    <x v="4"/>
    <x v="2"/>
    <x v="0"/>
    <x v="1"/>
    <x v="4"/>
    <s v="May"/>
    <s v="Q2"/>
    <x v="8"/>
    <n v="2"/>
    <n v="14.11"/>
  </r>
  <r>
    <s v="ORD00223"/>
    <d v="2025-09-22T00:00:00"/>
    <d v="2025-09-24T00:00:00"/>
    <s v="C0078"/>
    <x v="273"/>
    <s v="Small Business"/>
    <x v="0"/>
    <x v="0"/>
    <s v="P007"/>
    <x v="10"/>
    <x v="0"/>
    <n v="3"/>
    <n v="6000"/>
    <x v="2"/>
    <n v="14400"/>
    <n v="2719.52"/>
    <x v="4"/>
    <x v="0"/>
    <x v="1"/>
    <x v="0"/>
    <x v="9"/>
    <s v="Sep"/>
    <s v="Q3"/>
    <x v="11"/>
    <n v="2"/>
    <n v="18.89"/>
  </r>
  <r>
    <s v="ORD01950"/>
    <d v="2024-04-08T00:00:00"/>
    <d v="2024-04-11T00:00:00"/>
    <s v="C0095"/>
    <x v="15"/>
    <s v="Consumer"/>
    <x v="2"/>
    <x v="4"/>
    <s v="P002"/>
    <x v="3"/>
    <x v="2"/>
    <n v="2"/>
    <n v="25000"/>
    <x v="2"/>
    <n v="40000"/>
    <n v="6203.49"/>
    <x v="3"/>
    <x v="0"/>
    <x v="1"/>
    <x v="1"/>
    <x v="5"/>
    <s v="Apr"/>
    <s v="Q2"/>
    <x v="6"/>
    <n v="3"/>
    <n v="15.51"/>
  </r>
  <r>
    <s v="ORD01336"/>
    <d v="2025-08-15T00:00:00"/>
    <d v="2025-08-19T00:00:00"/>
    <s v="C0090"/>
    <x v="58"/>
    <s v="Consumer"/>
    <x v="0"/>
    <x v="10"/>
    <s v="P009"/>
    <x v="2"/>
    <x v="1"/>
    <n v="3"/>
    <n v="180"/>
    <x v="0"/>
    <n v="540"/>
    <n v="185.93"/>
    <x v="2"/>
    <x v="1"/>
    <x v="1"/>
    <x v="0"/>
    <x v="7"/>
    <s v="Aug"/>
    <s v="Q3"/>
    <x v="22"/>
    <n v="4"/>
    <n v="34.43"/>
  </r>
  <r>
    <s v="ORD00912"/>
    <d v="2024-12-30T00:00:00"/>
    <d v="2025-01-05T00:00:00"/>
    <s v="C0029"/>
    <x v="133"/>
    <s v="Consumer"/>
    <x v="3"/>
    <x v="8"/>
    <s v="P002"/>
    <x v="3"/>
    <x v="2"/>
    <n v="1"/>
    <n v="25000"/>
    <x v="0"/>
    <n v="25000"/>
    <n v="2801.02"/>
    <x v="1"/>
    <x v="1"/>
    <x v="2"/>
    <x v="1"/>
    <x v="10"/>
    <s v="Dec"/>
    <s v="Q4"/>
    <x v="16"/>
    <n v="6"/>
    <n v="11.2"/>
  </r>
  <r>
    <s v="ORD00240"/>
    <d v="2024-12-01T00:00:00"/>
    <d v="2024-12-06T00:00:00"/>
    <s v="C0145"/>
    <x v="16"/>
    <s v="Corporate"/>
    <x v="3"/>
    <x v="8"/>
    <s v="P005"/>
    <x v="0"/>
    <x v="0"/>
    <n v="2"/>
    <n v="7000"/>
    <x v="0"/>
    <n v="14000"/>
    <n v="2403.23"/>
    <x v="5"/>
    <x v="2"/>
    <x v="2"/>
    <x v="1"/>
    <x v="10"/>
    <s v="Dec"/>
    <s v="Q4"/>
    <x v="16"/>
    <n v="5"/>
    <n v="17.170000000000002"/>
  </r>
  <r>
    <s v="ORD01652"/>
    <d v="2025-02-18T00:00:00"/>
    <d v="2025-02-23T00:00:00"/>
    <s v="C0177"/>
    <x v="121"/>
    <s v="Consumer"/>
    <x v="2"/>
    <x v="14"/>
    <s v="P003"/>
    <x v="5"/>
    <x v="2"/>
    <n v="10"/>
    <n v="3000"/>
    <x v="3"/>
    <n v="28500"/>
    <n v="9099.75"/>
    <x v="3"/>
    <x v="0"/>
    <x v="1"/>
    <x v="0"/>
    <x v="6"/>
    <s v="Feb"/>
    <s v="Q1"/>
    <x v="7"/>
    <n v="5"/>
    <n v="31.93"/>
  </r>
  <r>
    <s v="ORD00258"/>
    <d v="2025-05-11T00:00:00"/>
    <d v="2025-05-18T00:00:00"/>
    <s v="C0246"/>
    <x v="8"/>
    <s v="Corporate"/>
    <x v="3"/>
    <x v="6"/>
    <s v="P009"/>
    <x v="2"/>
    <x v="1"/>
    <n v="1"/>
    <n v="180"/>
    <x v="4"/>
    <n v="162"/>
    <n v="65.680000000000007"/>
    <x v="6"/>
    <x v="0"/>
    <x v="3"/>
    <x v="0"/>
    <x v="4"/>
    <s v="May"/>
    <s v="Q2"/>
    <x v="5"/>
    <n v="7"/>
    <n v="40.54"/>
  </r>
  <r>
    <s v="ORD00569"/>
    <d v="2024-01-11T00:00:00"/>
    <d v="2024-01-18T00:00:00"/>
    <s v="C0161"/>
    <x v="62"/>
    <s v="Consumer"/>
    <x v="3"/>
    <x v="12"/>
    <s v="P009"/>
    <x v="2"/>
    <x v="1"/>
    <n v="3"/>
    <n v="180"/>
    <x v="2"/>
    <n v="432"/>
    <n v="141.36000000000001"/>
    <x v="2"/>
    <x v="2"/>
    <x v="3"/>
    <x v="1"/>
    <x v="11"/>
    <s v="Jan"/>
    <s v="Q1"/>
    <x v="21"/>
    <n v="7"/>
    <n v="32.72"/>
  </r>
  <r>
    <s v="ORD01504"/>
    <d v="2025-01-16T00:00:00"/>
    <d v="2025-01-21T00:00:00"/>
    <s v="C0217"/>
    <x v="246"/>
    <s v="Corporate"/>
    <x v="3"/>
    <x v="8"/>
    <s v="P012"/>
    <x v="4"/>
    <x v="3"/>
    <n v="1"/>
    <n v="3500"/>
    <x v="3"/>
    <n v="3325"/>
    <n v="1022.98"/>
    <x v="2"/>
    <x v="0"/>
    <x v="4"/>
    <x v="0"/>
    <x v="11"/>
    <s v="Jan"/>
    <s v="Q1"/>
    <x v="17"/>
    <n v="5"/>
    <n v="30.77"/>
  </r>
  <r>
    <s v="ORD01452"/>
    <d v="2024-05-13T00:00:00"/>
    <d v="2024-05-14T00:00:00"/>
    <s v="C0283"/>
    <x v="59"/>
    <s v="Small Business"/>
    <x v="1"/>
    <x v="13"/>
    <s v="P001"/>
    <x v="8"/>
    <x v="2"/>
    <n v="4"/>
    <n v="55000"/>
    <x v="4"/>
    <n v="198000"/>
    <n v="25100.22"/>
    <x v="3"/>
    <x v="1"/>
    <x v="2"/>
    <x v="1"/>
    <x v="4"/>
    <s v="May"/>
    <s v="Q2"/>
    <x v="8"/>
    <n v="1"/>
    <n v="12.68"/>
  </r>
  <r>
    <s v="ORD00101"/>
    <d v="2024-06-21T00:00:00"/>
    <d v="2024-06-27T00:00:00"/>
    <s v="C0258"/>
    <x v="45"/>
    <s v="Small Business"/>
    <x v="0"/>
    <x v="10"/>
    <s v="P011"/>
    <x v="9"/>
    <x v="4"/>
    <n v="2"/>
    <n v="600"/>
    <x v="4"/>
    <n v="1080"/>
    <n v="312.58999999999997"/>
    <x v="1"/>
    <x v="0"/>
    <x v="3"/>
    <x v="1"/>
    <x v="8"/>
    <s v="Jun"/>
    <s v="Q2"/>
    <x v="12"/>
    <n v="6"/>
    <n v="28.94"/>
  </r>
  <r>
    <s v="ORD00265"/>
    <d v="2025-06-22T00:00:00"/>
    <d v="2025-06-29T00:00:00"/>
    <s v="C0073"/>
    <x v="147"/>
    <s v="Consumer"/>
    <x v="3"/>
    <x v="8"/>
    <s v="P002"/>
    <x v="3"/>
    <x v="2"/>
    <n v="4"/>
    <n v="25000"/>
    <x v="0"/>
    <n v="100000"/>
    <n v="12741.54"/>
    <x v="1"/>
    <x v="0"/>
    <x v="4"/>
    <x v="0"/>
    <x v="8"/>
    <s v="Jun"/>
    <s v="Q2"/>
    <x v="10"/>
    <n v="7"/>
    <n v="12.74"/>
  </r>
  <r>
    <s v="ORD00367"/>
    <d v="2025-05-29T00:00:00"/>
    <d v="2025-05-31T00:00:00"/>
    <s v="C0038"/>
    <x v="82"/>
    <s v="Small Business"/>
    <x v="2"/>
    <x v="9"/>
    <s v="P006"/>
    <x v="1"/>
    <x v="0"/>
    <n v="1"/>
    <n v="9500"/>
    <x v="2"/>
    <n v="7600"/>
    <n v="1481.01"/>
    <x v="6"/>
    <x v="1"/>
    <x v="0"/>
    <x v="0"/>
    <x v="4"/>
    <s v="May"/>
    <s v="Q2"/>
    <x v="5"/>
    <n v="2"/>
    <n v="19.489999999999998"/>
  </r>
  <r>
    <s v="ORD00268"/>
    <d v="2024-01-02T00:00:00"/>
    <d v="2024-01-03T00:00:00"/>
    <s v="C0066"/>
    <x v="20"/>
    <s v="Consumer"/>
    <x v="1"/>
    <x v="1"/>
    <s v="P003"/>
    <x v="5"/>
    <x v="2"/>
    <n v="5"/>
    <n v="3000"/>
    <x v="4"/>
    <n v="13500"/>
    <n v="3469.39"/>
    <x v="4"/>
    <x v="2"/>
    <x v="4"/>
    <x v="1"/>
    <x v="11"/>
    <s v="Jan"/>
    <s v="Q1"/>
    <x v="21"/>
    <n v="1"/>
    <n v="25.7"/>
  </r>
  <r>
    <s v="ORD01677"/>
    <d v="2024-08-27T00:00:00"/>
    <d v="2024-08-31T00:00:00"/>
    <s v="C0089"/>
    <x v="99"/>
    <s v="Small Business"/>
    <x v="2"/>
    <x v="3"/>
    <s v="P003"/>
    <x v="5"/>
    <x v="2"/>
    <n v="3"/>
    <n v="3000"/>
    <x v="1"/>
    <n v="7650"/>
    <n v="1771.18"/>
    <x v="4"/>
    <x v="0"/>
    <x v="4"/>
    <x v="1"/>
    <x v="7"/>
    <s v="Aug"/>
    <s v="Q3"/>
    <x v="9"/>
    <n v="4"/>
    <n v="23.15"/>
  </r>
  <r>
    <s v="ORD00586"/>
    <d v="2024-01-20T00:00:00"/>
    <d v="2024-01-23T00:00:00"/>
    <s v="C0251"/>
    <x v="159"/>
    <s v="Consumer"/>
    <x v="0"/>
    <x v="10"/>
    <s v="P011"/>
    <x v="9"/>
    <x v="4"/>
    <n v="2"/>
    <n v="600"/>
    <x v="4"/>
    <n v="1080"/>
    <n v="294.8"/>
    <x v="2"/>
    <x v="0"/>
    <x v="3"/>
    <x v="1"/>
    <x v="11"/>
    <s v="Jan"/>
    <s v="Q1"/>
    <x v="21"/>
    <n v="3"/>
    <n v="27.3"/>
  </r>
  <r>
    <s v="ORD01980"/>
    <d v="2025-10-10T00:00:00"/>
    <d v="2025-10-18T00:00:00"/>
    <s v="C0133"/>
    <x v="97"/>
    <s v="Consumer"/>
    <x v="1"/>
    <x v="5"/>
    <s v="P008"/>
    <x v="11"/>
    <x v="1"/>
    <n v="1"/>
    <n v="250"/>
    <x v="3"/>
    <n v="237.5"/>
    <n v="77.239999999999995"/>
    <x v="2"/>
    <x v="1"/>
    <x v="2"/>
    <x v="0"/>
    <x v="1"/>
    <s v="Oct"/>
    <s v="Q4"/>
    <x v="14"/>
    <n v="8"/>
    <n v="32.520000000000003"/>
  </r>
  <r>
    <s v="ORD00405"/>
    <d v="2025-05-21T00:00:00"/>
    <d v="2025-05-26T00:00:00"/>
    <s v="C0090"/>
    <x v="58"/>
    <s v="Consumer"/>
    <x v="0"/>
    <x v="10"/>
    <s v="P011"/>
    <x v="9"/>
    <x v="4"/>
    <n v="2"/>
    <n v="600"/>
    <x v="0"/>
    <n v="1200"/>
    <n v="474.34"/>
    <x v="4"/>
    <x v="0"/>
    <x v="1"/>
    <x v="0"/>
    <x v="4"/>
    <s v="May"/>
    <s v="Q2"/>
    <x v="5"/>
    <n v="5"/>
    <n v="39.53"/>
  </r>
  <r>
    <s v="ORD00556"/>
    <d v="2025-04-21T00:00:00"/>
    <d v="2025-04-23T00:00:00"/>
    <s v="C0270"/>
    <x v="253"/>
    <s v="Small Business"/>
    <x v="2"/>
    <x v="4"/>
    <s v="P005"/>
    <x v="0"/>
    <x v="0"/>
    <n v="2"/>
    <n v="7000"/>
    <x v="4"/>
    <n v="12600"/>
    <n v="2927.14"/>
    <x v="4"/>
    <x v="1"/>
    <x v="3"/>
    <x v="0"/>
    <x v="5"/>
    <s v="Apr"/>
    <s v="Q2"/>
    <x v="13"/>
    <n v="2"/>
    <n v="23.23"/>
  </r>
  <r>
    <s v="ORD00855"/>
    <d v="2024-11-11T00:00:00"/>
    <d v="2024-11-15T00:00:00"/>
    <s v="C0200"/>
    <x v="245"/>
    <s v="Consumer"/>
    <x v="2"/>
    <x v="14"/>
    <s v="P012"/>
    <x v="4"/>
    <x v="3"/>
    <n v="2"/>
    <n v="3500"/>
    <x v="0"/>
    <n v="7000"/>
    <n v="2260.08"/>
    <x v="4"/>
    <x v="1"/>
    <x v="2"/>
    <x v="1"/>
    <x v="2"/>
    <s v="Nov"/>
    <s v="Q4"/>
    <x v="3"/>
    <n v="4"/>
    <n v="32.29"/>
  </r>
  <r>
    <s v="ORD00125"/>
    <d v="2025-12-13T00:00:00"/>
    <d v="2025-12-17T00:00:00"/>
    <s v="C0139"/>
    <x v="177"/>
    <s v="Consumer"/>
    <x v="2"/>
    <x v="4"/>
    <s v="P009"/>
    <x v="2"/>
    <x v="1"/>
    <n v="1"/>
    <n v="180"/>
    <x v="1"/>
    <n v="153"/>
    <n v="64.36"/>
    <x v="2"/>
    <x v="2"/>
    <x v="1"/>
    <x v="0"/>
    <x v="10"/>
    <s v="Dec"/>
    <s v="Q4"/>
    <x v="19"/>
    <n v="4"/>
    <n v="42.07"/>
  </r>
  <r>
    <s v="ORD00039"/>
    <d v="2024-05-05T00:00:00"/>
    <d v="2024-05-12T00:00:00"/>
    <s v="C0169"/>
    <x v="196"/>
    <s v="Corporate"/>
    <x v="3"/>
    <x v="6"/>
    <s v="P011"/>
    <x v="9"/>
    <x v="4"/>
    <n v="2"/>
    <n v="600"/>
    <x v="2"/>
    <n v="960"/>
    <n v="352.45"/>
    <x v="5"/>
    <x v="0"/>
    <x v="4"/>
    <x v="1"/>
    <x v="4"/>
    <s v="May"/>
    <s v="Q2"/>
    <x v="8"/>
    <n v="7"/>
    <n v="36.71"/>
  </r>
  <r>
    <s v="ORD01532"/>
    <d v="2024-11-05T00:00:00"/>
    <d v="2024-11-13T00:00:00"/>
    <s v="C0193"/>
    <x v="243"/>
    <s v="Corporate"/>
    <x v="3"/>
    <x v="8"/>
    <s v="P001"/>
    <x v="8"/>
    <x v="2"/>
    <n v="1"/>
    <n v="55000"/>
    <x v="1"/>
    <n v="46750"/>
    <n v="7854.8"/>
    <x v="4"/>
    <x v="2"/>
    <x v="0"/>
    <x v="1"/>
    <x v="2"/>
    <s v="Nov"/>
    <s v="Q4"/>
    <x v="3"/>
    <n v="8"/>
    <n v="16.8"/>
  </r>
  <r>
    <s v="ORD01486"/>
    <d v="2025-12-24T00:00:00"/>
    <d v="2025-12-25T00:00:00"/>
    <s v="C0142"/>
    <x v="272"/>
    <s v="Small Business"/>
    <x v="0"/>
    <x v="2"/>
    <s v="P004"/>
    <x v="7"/>
    <x v="2"/>
    <n v="1"/>
    <n v="8000"/>
    <x v="4"/>
    <n v="7200"/>
    <n v="1352.55"/>
    <x v="2"/>
    <x v="0"/>
    <x v="4"/>
    <x v="0"/>
    <x v="10"/>
    <s v="Dec"/>
    <s v="Q4"/>
    <x v="19"/>
    <n v="1"/>
    <n v="18.79"/>
  </r>
  <r>
    <s v="ORD00921"/>
    <d v="2024-11-03T00:00:00"/>
    <d v="2024-11-11T00:00:00"/>
    <s v="C0001"/>
    <x v="250"/>
    <s v="Small Business"/>
    <x v="0"/>
    <x v="0"/>
    <s v="P004"/>
    <x v="7"/>
    <x v="2"/>
    <n v="5"/>
    <n v="8000"/>
    <x v="2"/>
    <n v="32000"/>
    <n v="6538.87"/>
    <x v="4"/>
    <x v="2"/>
    <x v="0"/>
    <x v="1"/>
    <x v="2"/>
    <s v="Nov"/>
    <s v="Q4"/>
    <x v="3"/>
    <n v="8"/>
    <n v="20.43"/>
  </r>
  <r>
    <s v="ORD00187"/>
    <d v="2024-11-06T00:00:00"/>
    <d v="2024-11-13T00:00:00"/>
    <s v="C0072"/>
    <x v="80"/>
    <s v="Consumer"/>
    <x v="0"/>
    <x v="0"/>
    <s v="P011"/>
    <x v="9"/>
    <x v="4"/>
    <n v="3"/>
    <n v="600"/>
    <x v="1"/>
    <n v="1530"/>
    <n v="505.38"/>
    <x v="2"/>
    <x v="1"/>
    <x v="1"/>
    <x v="1"/>
    <x v="2"/>
    <s v="Nov"/>
    <s v="Q4"/>
    <x v="3"/>
    <n v="7"/>
    <n v="33.03"/>
  </r>
  <r>
    <s v="ORD00721"/>
    <d v="2025-01-25T00:00:00"/>
    <d v="2025-02-01T00:00:00"/>
    <s v="C0281"/>
    <x v="19"/>
    <s v="Consumer"/>
    <x v="3"/>
    <x v="6"/>
    <s v="P010"/>
    <x v="6"/>
    <x v="4"/>
    <n v="1"/>
    <n v="1800"/>
    <x v="0"/>
    <n v="1800"/>
    <n v="485.86"/>
    <x v="2"/>
    <x v="0"/>
    <x v="2"/>
    <x v="0"/>
    <x v="11"/>
    <s v="Jan"/>
    <s v="Q1"/>
    <x v="17"/>
    <n v="7"/>
    <n v="26.99"/>
  </r>
  <r>
    <s v="ORD01440"/>
    <d v="2025-02-25T00:00:00"/>
    <d v="2025-02-28T00:00:00"/>
    <s v="C0102"/>
    <x v="205"/>
    <s v="Consumer"/>
    <x v="1"/>
    <x v="13"/>
    <s v="P003"/>
    <x v="5"/>
    <x v="2"/>
    <n v="1"/>
    <n v="3000"/>
    <x v="0"/>
    <n v="3000"/>
    <n v="942.49"/>
    <x v="0"/>
    <x v="1"/>
    <x v="1"/>
    <x v="0"/>
    <x v="6"/>
    <s v="Feb"/>
    <s v="Q1"/>
    <x v="7"/>
    <n v="3"/>
    <n v="31.42"/>
  </r>
  <r>
    <s v="ORD00184"/>
    <d v="2024-11-17T00:00:00"/>
    <d v="2024-11-25T00:00:00"/>
    <s v="C0103"/>
    <x v="274"/>
    <s v="Small Business"/>
    <x v="3"/>
    <x v="8"/>
    <s v="P008"/>
    <x v="11"/>
    <x v="1"/>
    <n v="1"/>
    <n v="250"/>
    <x v="0"/>
    <n v="250"/>
    <n v="81.66"/>
    <x v="1"/>
    <x v="0"/>
    <x v="4"/>
    <x v="1"/>
    <x v="2"/>
    <s v="Nov"/>
    <s v="Q4"/>
    <x v="3"/>
    <n v="8"/>
    <n v="32.659999999999997"/>
  </r>
  <r>
    <s v="ORD01058"/>
    <d v="2024-11-23T00:00:00"/>
    <d v="2024-11-28T00:00:00"/>
    <s v="C0223"/>
    <x v="34"/>
    <s v="Corporate"/>
    <x v="1"/>
    <x v="13"/>
    <s v="P006"/>
    <x v="1"/>
    <x v="0"/>
    <n v="1"/>
    <n v="9500"/>
    <x v="3"/>
    <n v="9025"/>
    <n v="1623.53"/>
    <x v="0"/>
    <x v="0"/>
    <x v="3"/>
    <x v="1"/>
    <x v="2"/>
    <s v="Nov"/>
    <s v="Q4"/>
    <x v="3"/>
    <n v="5"/>
    <n v="17.989999999999998"/>
  </r>
  <r>
    <s v="ORD00885"/>
    <d v="2024-09-22T00:00:00"/>
    <d v="2024-09-24T00:00:00"/>
    <s v="C0094"/>
    <x v="76"/>
    <s v="Corporate"/>
    <x v="3"/>
    <x v="8"/>
    <s v="P004"/>
    <x v="7"/>
    <x v="2"/>
    <n v="10"/>
    <n v="8000"/>
    <x v="2"/>
    <n v="64000"/>
    <n v="13816.27"/>
    <x v="5"/>
    <x v="0"/>
    <x v="3"/>
    <x v="1"/>
    <x v="9"/>
    <s v="Sep"/>
    <s v="Q3"/>
    <x v="20"/>
    <n v="2"/>
    <n v="21.59"/>
  </r>
  <r>
    <s v="ORD00261"/>
    <d v="2024-06-29T00:00:00"/>
    <d v="2024-07-05T00:00:00"/>
    <s v="C0182"/>
    <x v="264"/>
    <s v="Corporate"/>
    <x v="3"/>
    <x v="7"/>
    <s v="P003"/>
    <x v="5"/>
    <x v="2"/>
    <n v="1"/>
    <n v="3000"/>
    <x v="0"/>
    <n v="3000"/>
    <n v="920.24"/>
    <x v="1"/>
    <x v="0"/>
    <x v="4"/>
    <x v="1"/>
    <x v="8"/>
    <s v="Jun"/>
    <s v="Q2"/>
    <x v="12"/>
    <n v="6"/>
    <n v="30.67"/>
  </r>
  <r>
    <s v="ORD01854"/>
    <d v="2024-12-23T00:00:00"/>
    <d v="2024-12-30T00:00:00"/>
    <s v="C0223"/>
    <x v="34"/>
    <s v="Corporate"/>
    <x v="1"/>
    <x v="13"/>
    <s v="P003"/>
    <x v="5"/>
    <x v="2"/>
    <n v="2"/>
    <n v="3000"/>
    <x v="0"/>
    <n v="6000"/>
    <n v="1581.71"/>
    <x v="1"/>
    <x v="1"/>
    <x v="0"/>
    <x v="1"/>
    <x v="10"/>
    <s v="Dec"/>
    <s v="Q4"/>
    <x v="16"/>
    <n v="7"/>
    <n v="26.36"/>
  </r>
  <r>
    <s v="ORD00069"/>
    <d v="2024-07-17T00:00:00"/>
    <d v="2024-07-25T00:00:00"/>
    <s v="C0159"/>
    <x v="146"/>
    <s v="Corporate"/>
    <x v="0"/>
    <x v="15"/>
    <s v="P008"/>
    <x v="11"/>
    <x v="1"/>
    <n v="1"/>
    <n v="250"/>
    <x v="4"/>
    <n v="225"/>
    <n v="98.44"/>
    <x v="3"/>
    <x v="1"/>
    <x v="1"/>
    <x v="1"/>
    <x v="3"/>
    <s v="Jul"/>
    <s v="Q3"/>
    <x v="4"/>
    <n v="8"/>
    <n v="43.75"/>
  </r>
  <r>
    <s v="ORD00572"/>
    <d v="2025-12-13T00:00:00"/>
    <d v="2025-12-21T00:00:00"/>
    <s v="C0095"/>
    <x v="15"/>
    <s v="Consumer"/>
    <x v="2"/>
    <x v="4"/>
    <s v="P002"/>
    <x v="3"/>
    <x v="2"/>
    <n v="1"/>
    <n v="25000"/>
    <x v="1"/>
    <n v="21250"/>
    <n v="3424.88"/>
    <x v="3"/>
    <x v="1"/>
    <x v="4"/>
    <x v="0"/>
    <x v="10"/>
    <s v="Dec"/>
    <s v="Q4"/>
    <x v="19"/>
    <n v="8"/>
    <n v="16.12"/>
  </r>
  <r>
    <s v="ORD01965"/>
    <d v="2025-04-28T00:00:00"/>
    <d v="2025-04-30T00:00:00"/>
    <s v="C0132"/>
    <x v="203"/>
    <s v="Small Business"/>
    <x v="1"/>
    <x v="1"/>
    <s v="P005"/>
    <x v="0"/>
    <x v="0"/>
    <n v="3"/>
    <n v="7000"/>
    <x v="3"/>
    <n v="19950"/>
    <n v="4540.57"/>
    <x v="1"/>
    <x v="2"/>
    <x v="1"/>
    <x v="0"/>
    <x v="5"/>
    <s v="Apr"/>
    <s v="Q2"/>
    <x v="13"/>
    <n v="2"/>
    <n v="22.76"/>
  </r>
  <r>
    <s v="ORD01736"/>
    <d v="2025-08-01T00:00:00"/>
    <d v="2025-08-06T00:00:00"/>
    <s v="C0076"/>
    <x v="224"/>
    <s v="Corporate"/>
    <x v="2"/>
    <x v="4"/>
    <s v="P006"/>
    <x v="1"/>
    <x v="0"/>
    <n v="1"/>
    <n v="9500"/>
    <x v="0"/>
    <n v="9500"/>
    <n v="1916.95"/>
    <x v="1"/>
    <x v="2"/>
    <x v="2"/>
    <x v="0"/>
    <x v="7"/>
    <s v="Aug"/>
    <s v="Q3"/>
    <x v="22"/>
    <n v="5"/>
    <n v="20.18"/>
  </r>
  <r>
    <s v="ORD00758"/>
    <d v="2025-06-17T00:00:00"/>
    <d v="2025-06-18T00:00:00"/>
    <s v="C0283"/>
    <x v="59"/>
    <s v="Small Business"/>
    <x v="1"/>
    <x v="13"/>
    <s v="P005"/>
    <x v="0"/>
    <x v="0"/>
    <n v="1"/>
    <n v="7000"/>
    <x v="1"/>
    <n v="5950"/>
    <n v="1000.09"/>
    <x v="1"/>
    <x v="2"/>
    <x v="4"/>
    <x v="0"/>
    <x v="8"/>
    <s v="Jun"/>
    <s v="Q2"/>
    <x v="10"/>
    <n v="1"/>
    <n v="16.809999999999999"/>
  </r>
  <r>
    <s v="ORD00718"/>
    <d v="2025-01-17T00:00:00"/>
    <m/>
    <s v="C0063"/>
    <x v="275"/>
    <s v="Consumer"/>
    <x v="0"/>
    <x v="0"/>
    <s v="P007"/>
    <x v="10"/>
    <x v="0"/>
    <n v="2"/>
    <n v="6000"/>
    <x v="0"/>
    <n v="12000"/>
    <n v="2980.2"/>
    <x v="2"/>
    <x v="0"/>
    <x v="0"/>
    <x v="0"/>
    <x v="11"/>
    <s v="Jan"/>
    <s v="Q1"/>
    <x v="17"/>
    <s v=""/>
    <n v="24.84"/>
  </r>
  <r>
    <s v="ORD00959"/>
    <d v="2024-12-05T00:00:00"/>
    <d v="2024-12-11T00:00:00"/>
    <s v="C0283"/>
    <x v="59"/>
    <s v="Small Business"/>
    <x v="1"/>
    <x v="13"/>
    <s v="P003"/>
    <x v="5"/>
    <x v="2"/>
    <n v="4"/>
    <n v="3000"/>
    <x v="1"/>
    <n v="10200"/>
    <n v="3095.26"/>
    <x v="4"/>
    <x v="2"/>
    <x v="4"/>
    <x v="1"/>
    <x v="10"/>
    <s v="Dec"/>
    <s v="Q4"/>
    <x v="16"/>
    <n v="6"/>
    <n v="30.35"/>
  </r>
  <r>
    <s v="ORD00072"/>
    <d v="2024-05-30T00:00:00"/>
    <d v="2024-06-03T00:00:00"/>
    <s v="C0231"/>
    <x v="32"/>
    <s v="Small Business"/>
    <x v="1"/>
    <x v="1"/>
    <s v="P009"/>
    <x v="2"/>
    <x v="1"/>
    <n v="4"/>
    <n v="180"/>
    <x v="0"/>
    <n v="720"/>
    <n v="349.46"/>
    <x v="0"/>
    <x v="1"/>
    <x v="3"/>
    <x v="1"/>
    <x v="4"/>
    <s v="May"/>
    <s v="Q2"/>
    <x v="8"/>
    <n v="4"/>
    <n v="48.54"/>
  </r>
  <r>
    <s v="ORD01765"/>
    <d v="2024-11-22T00:00:00"/>
    <d v="2024-11-23T00:00:00"/>
    <s v="C0279"/>
    <x v="202"/>
    <s v="Corporate"/>
    <x v="0"/>
    <x v="10"/>
    <s v="P011"/>
    <x v="9"/>
    <x v="4"/>
    <n v="1"/>
    <n v="600"/>
    <x v="4"/>
    <n v="540"/>
    <n v="205.22"/>
    <x v="0"/>
    <x v="2"/>
    <x v="1"/>
    <x v="1"/>
    <x v="2"/>
    <s v="Nov"/>
    <s v="Q4"/>
    <x v="3"/>
    <n v="1"/>
    <n v="38"/>
  </r>
  <r>
    <s v="ORD01928"/>
    <d v="2025-05-07T00:00:00"/>
    <d v="2025-05-09T00:00:00"/>
    <s v="C0157"/>
    <x v="240"/>
    <s v="Consumer"/>
    <x v="2"/>
    <x v="3"/>
    <s v="P006"/>
    <x v="1"/>
    <x v="0"/>
    <n v="2"/>
    <n v="9500"/>
    <x v="0"/>
    <n v="19000"/>
    <n v="3933.02"/>
    <x v="6"/>
    <x v="1"/>
    <x v="2"/>
    <x v="0"/>
    <x v="4"/>
    <s v="May"/>
    <s v="Q2"/>
    <x v="5"/>
    <n v="2"/>
    <n v="20.7"/>
  </r>
  <r>
    <s v="ORD00109"/>
    <d v="2024-10-15T00:00:00"/>
    <d v="2024-10-20T00:00:00"/>
    <s v="C0025"/>
    <x v="37"/>
    <s v="Consumer"/>
    <x v="2"/>
    <x v="14"/>
    <s v="P001"/>
    <x v="8"/>
    <x v="2"/>
    <n v="4"/>
    <n v="55000"/>
    <x v="1"/>
    <n v="187000"/>
    <n v="32616.82"/>
    <x v="1"/>
    <x v="0"/>
    <x v="3"/>
    <x v="1"/>
    <x v="1"/>
    <s v="Oct"/>
    <s v="Q4"/>
    <x v="1"/>
    <n v="5"/>
    <n v="17.440000000000001"/>
  </r>
  <r>
    <s v="ORD01811"/>
    <d v="2025-11-16T00:00:00"/>
    <d v="2025-11-18T00:00:00"/>
    <s v="C0047"/>
    <x v="215"/>
    <s v="Corporate"/>
    <x v="2"/>
    <x v="14"/>
    <s v="P009"/>
    <x v="2"/>
    <x v="1"/>
    <n v="1"/>
    <n v="180"/>
    <x v="1"/>
    <n v="153"/>
    <n v="63.45"/>
    <x v="0"/>
    <x v="0"/>
    <x v="1"/>
    <x v="0"/>
    <x v="2"/>
    <s v="Nov"/>
    <s v="Q4"/>
    <x v="23"/>
    <n v="2"/>
    <n v="41.47"/>
  </r>
  <r>
    <s v="ORD00330"/>
    <d v="2024-01-30T00:00:00"/>
    <d v="2024-02-02T00:00:00"/>
    <s v="C0184"/>
    <x v="115"/>
    <s v="Consumer"/>
    <x v="2"/>
    <x v="9"/>
    <s v="P010"/>
    <x v="6"/>
    <x v="4"/>
    <n v="4"/>
    <n v="1800"/>
    <x v="2"/>
    <n v="5760"/>
    <n v="1997.68"/>
    <x v="0"/>
    <x v="1"/>
    <x v="3"/>
    <x v="1"/>
    <x v="11"/>
    <s v="Jan"/>
    <s v="Q1"/>
    <x v="21"/>
    <n v="3"/>
    <n v="34.68"/>
  </r>
  <r>
    <s v="ORD01717"/>
    <d v="2025-08-23T00:00:00"/>
    <d v="2025-08-26T00:00:00"/>
    <s v="C0014"/>
    <x v="161"/>
    <s v="Small Business"/>
    <x v="1"/>
    <x v="5"/>
    <s v="P001"/>
    <x v="8"/>
    <x v="2"/>
    <n v="1"/>
    <n v="55000"/>
    <x v="2"/>
    <n v="44000"/>
    <n v="6858.79"/>
    <x v="1"/>
    <x v="2"/>
    <x v="3"/>
    <x v="0"/>
    <x v="7"/>
    <s v="Aug"/>
    <s v="Q3"/>
    <x v="22"/>
    <n v="3"/>
    <n v="15.59"/>
  </r>
  <r>
    <s v="ORD01191"/>
    <d v="2024-02-16T00:00:00"/>
    <d v="2024-02-19T00:00:00"/>
    <s v="C0174"/>
    <x v="100"/>
    <s v="Small Business"/>
    <x v="1"/>
    <x v="13"/>
    <s v="P011"/>
    <x v="9"/>
    <x v="4"/>
    <n v="1"/>
    <n v="600"/>
    <x v="3"/>
    <n v="570"/>
    <n v="170.79"/>
    <x v="1"/>
    <x v="0"/>
    <x v="3"/>
    <x v="1"/>
    <x v="6"/>
    <s v="Feb"/>
    <s v="Q1"/>
    <x v="18"/>
    <n v="3"/>
    <n v="29.96"/>
  </r>
  <r>
    <s v="ORD01317"/>
    <d v="2024-01-20T00:00:00"/>
    <d v="2024-01-25T00:00:00"/>
    <s v="C0234"/>
    <x v="113"/>
    <s v="Corporate"/>
    <x v="3"/>
    <x v="8"/>
    <s v="P005"/>
    <x v="0"/>
    <x v="0"/>
    <n v="4"/>
    <n v="7000"/>
    <x v="0"/>
    <n v="28000"/>
    <n v="4826.01"/>
    <x v="3"/>
    <x v="1"/>
    <x v="3"/>
    <x v="1"/>
    <x v="11"/>
    <s v="Jan"/>
    <s v="Q1"/>
    <x v="21"/>
    <n v="5"/>
    <n v="17.239999999999998"/>
  </r>
  <r>
    <s v="ORD01506"/>
    <d v="2024-01-15T00:00:00"/>
    <d v="2024-01-20T00:00:00"/>
    <s v="C0244"/>
    <x v="14"/>
    <s v="Consumer"/>
    <x v="2"/>
    <x v="9"/>
    <s v="P003"/>
    <x v="5"/>
    <x v="2"/>
    <n v="1"/>
    <n v="3000"/>
    <x v="1"/>
    <n v="2550"/>
    <n v="607.35"/>
    <x v="3"/>
    <x v="0"/>
    <x v="1"/>
    <x v="1"/>
    <x v="11"/>
    <s v="Jan"/>
    <s v="Q1"/>
    <x v="21"/>
    <n v="5"/>
    <n v="23.82"/>
  </r>
  <r>
    <s v="ORD01290"/>
    <d v="2024-02-10T00:00:00"/>
    <d v="2024-02-18T00:00:00"/>
    <s v="C0150"/>
    <x v="228"/>
    <s v="Small Business"/>
    <x v="2"/>
    <x v="9"/>
    <s v="P007"/>
    <x v="10"/>
    <x v="0"/>
    <n v="1"/>
    <n v="6000"/>
    <x v="1"/>
    <n v="5100"/>
    <n v="1310.85"/>
    <x v="0"/>
    <x v="0"/>
    <x v="3"/>
    <x v="1"/>
    <x v="6"/>
    <s v="Feb"/>
    <s v="Q1"/>
    <x v="18"/>
    <n v="8"/>
    <n v="25.7"/>
  </r>
  <r>
    <s v="ORD01548"/>
    <d v="2025-12-05T00:00:00"/>
    <d v="2025-12-08T00:00:00"/>
    <s v="C0250"/>
    <x v="43"/>
    <s v="Small Business"/>
    <x v="0"/>
    <x v="11"/>
    <s v="P007"/>
    <x v="10"/>
    <x v="0"/>
    <n v="2"/>
    <n v="6000"/>
    <x v="1"/>
    <n v="10200"/>
    <n v="2448"/>
    <x v="0"/>
    <x v="1"/>
    <x v="3"/>
    <x v="0"/>
    <x v="10"/>
    <s v="Dec"/>
    <s v="Q4"/>
    <x v="19"/>
    <n v="3"/>
    <n v="24"/>
  </r>
  <r>
    <s v="ORD00948"/>
    <d v="2025-05-15T00:00:00"/>
    <d v="2025-05-18T00:00:00"/>
    <s v="C0061"/>
    <x v="85"/>
    <s v="Small Business"/>
    <x v="0"/>
    <x v="11"/>
    <s v="P007"/>
    <x v="10"/>
    <x v="0"/>
    <n v="2"/>
    <n v="6000"/>
    <x v="2"/>
    <n v="9600"/>
    <n v="2241.09"/>
    <x v="3"/>
    <x v="1"/>
    <x v="1"/>
    <x v="0"/>
    <x v="4"/>
    <s v="May"/>
    <s v="Q2"/>
    <x v="5"/>
    <n v="3"/>
    <n v="23.34"/>
  </r>
  <r>
    <s v="ORD00494"/>
    <d v="2025-02-25T00:00:00"/>
    <d v="2025-03-02T00:00:00"/>
    <s v="C0164"/>
    <x v="67"/>
    <s v="Small Business"/>
    <x v="3"/>
    <x v="7"/>
    <s v="P007"/>
    <x v="10"/>
    <x v="0"/>
    <n v="1"/>
    <n v="6000"/>
    <x v="1"/>
    <n v="5100"/>
    <n v="1313.97"/>
    <x v="4"/>
    <x v="0"/>
    <x v="3"/>
    <x v="0"/>
    <x v="6"/>
    <s v="Feb"/>
    <s v="Q1"/>
    <x v="7"/>
    <n v="5"/>
    <n v="25.76"/>
  </r>
  <r>
    <s v="ORD00157"/>
    <d v="2024-09-02T00:00:00"/>
    <d v="2024-09-10T00:00:00"/>
    <s v="C0105"/>
    <x v="126"/>
    <s v="Corporate"/>
    <x v="0"/>
    <x v="10"/>
    <s v="P007"/>
    <x v="10"/>
    <x v="0"/>
    <n v="2"/>
    <n v="6000"/>
    <x v="2"/>
    <n v="9600"/>
    <n v="1873.67"/>
    <x v="1"/>
    <x v="2"/>
    <x v="4"/>
    <x v="1"/>
    <x v="9"/>
    <s v="Sep"/>
    <s v="Q3"/>
    <x v="20"/>
    <n v="8"/>
    <n v="19.52"/>
  </r>
  <r>
    <s v="ORD00127"/>
    <d v="2024-06-10T00:00:00"/>
    <d v="2024-06-14T00:00:00"/>
    <s v="C0003"/>
    <x v="108"/>
    <s v="Small Business"/>
    <x v="2"/>
    <x v="3"/>
    <s v="P009"/>
    <x v="2"/>
    <x v="1"/>
    <n v="2"/>
    <n v="180"/>
    <x v="3"/>
    <n v="342"/>
    <n v="137.12"/>
    <x v="3"/>
    <x v="1"/>
    <x v="4"/>
    <x v="1"/>
    <x v="8"/>
    <s v="Jun"/>
    <s v="Q2"/>
    <x v="12"/>
    <n v="4"/>
    <n v="40.090000000000003"/>
  </r>
  <r>
    <s v="ORD00777"/>
    <d v="2024-01-25T00:00:00"/>
    <d v="2024-01-27T00:00:00"/>
    <s v="C0093"/>
    <x v="127"/>
    <s v="Consumer"/>
    <x v="0"/>
    <x v="11"/>
    <s v="P007"/>
    <x v="10"/>
    <x v="0"/>
    <n v="4"/>
    <n v="6000"/>
    <x v="0"/>
    <n v="24000"/>
    <n v="4912.1499999999996"/>
    <x v="2"/>
    <x v="0"/>
    <x v="1"/>
    <x v="1"/>
    <x v="11"/>
    <s v="Jan"/>
    <s v="Q1"/>
    <x v="21"/>
    <n v="2"/>
    <n v="20.47"/>
  </r>
  <r>
    <s v="ORD01269"/>
    <d v="2024-10-08T00:00:00"/>
    <d v="2024-10-09T00:00:00"/>
    <s v="C0111"/>
    <x v="74"/>
    <s v="Consumer"/>
    <x v="3"/>
    <x v="8"/>
    <s v="P007"/>
    <x v="10"/>
    <x v="0"/>
    <n v="3"/>
    <n v="6000"/>
    <x v="0"/>
    <n v="18000"/>
    <n v="3890.7"/>
    <x v="1"/>
    <x v="1"/>
    <x v="2"/>
    <x v="1"/>
    <x v="1"/>
    <s v="Oct"/>
    <s v="Q4"/>
    <x v="1"/>
    <n v="1"/>
    <n v="21.62"/>
  </r>
  <r>
    <s v="ORD00601"/>
    <d v="2024-05-28T00:00:00"/>
    <m/>
    <s v="C0028"/>
    <x v="211"/>
    <s v="Corporate"/>
    <x v="2"/>
    <x v="3"/>
    <s v="P007"/>
    <x v="10"/>
    <x v="0"/>
    <n v="1"/>
    <n v="6000"/>
    <x v="4"/>
    <n v="5400"/>
    <n v="1143.07"/>
    <x v="3"/>
    <x v="0"/>
    <x v="0"/>
    <x v="1"/>
    <x v="4"/>
    <s v="May"/>
    <s v="Q2"/>
    <x v="8"/>
    <s v=""/>
    <n v="21.17"/>
  </r>
  <r>
    <s v="ORD01022"/>
    <d v="2025-03-05T00:00:00"/>
    <d v="2025-03-08T00:00:00"/>
    <s v="C0102"/>
    <x v="205"/>
    <s v="Consumer"/>
    <x v="1"/>
    <x v="13"/>
    <s v="P006"/>
    <x v="1"/>
    <x v="0"/>
    <n v="2"/>
    <n v="9500"/>
    <x v="4"/>
    <n v="17100"/>
    <n v="3336.32"/>
    <x v="5"/>
    <x v="1"/>
    <x v="4"/>
    <x v="0"/>
    <x v="0"/>
    <s v="Mar"/>
    <s v="Q1"/>
    <x v="0"/>
    <n v="3"/>
    <n v="19.510000000000002"/>
  </r>
  <r>
    <s v="ORD01809"/>
    <d v="2024-07-04T00:00:00"/>
    <d v="2024-07-09T00:00:00"/>
    <s v="C0234"/>
    <x v="113"/>
    <s v="Corporate"/>
    <x v="3"/>
    <x v="8"/>
    <s v="P003"/>
    <x v="5"/>
    <x v="2"/>
    <n v="4"/>
    <n v="3000"/>
    <x v="3"/>
    <n v="11400"/>
    <n v="3029.11"/>
    <x v="5"/>
    <x v="1"/>
    <x v="1"/>
    <x v="1"/>
    <x v="3"/>
    <s v="Jul"/>
    <s v="Q3"/>
    <x v="4"/>
    <n v="5"/>
    <n v="26.57"/>
  </r>
  <r>
    <s v="ORD00241"/>
    <d v="2025-08-28T00:00:00"/>
    <d v="2025-09-01T00:00:00"/>
    <s v="C0238"/>
    <x v="88"/>
    <s v="Small Business"/>
    <x v="3"/>
    <x v="8"/>
    <s v="P006"/>
    <x v="1"/>
    <x v="0"/>
    <n v="10"/>
    <n v="9500"/>
    <x v="2"/>
    <n v="76000"/>
    <n v="15357.39"/>
    <x v="4"/>
    <x v="0"/>
    <x v="0"/>
    <x v="0"/>
    <x v="7"/>
    <s v="Aug"/>
    <s v="Q3"/>
    <x v="22"/>
    <n v="4"/>
    <n v="20.21"/>
  </r>
  <r>
    <s v="ORD00847"/>
    <d v="2025-12-16T00:00:00"/>
    <d v="2025-12-21T00:00:00"/>
    <s v="C0049"/>
    <x v="194"/>
    <s v="Consumer"/>
    <x v="1"/>
    <x v="1"/>
    <s v="P007"/>
    <x v="10"/>
    <x v="0"/>
    <n v="1"/>
    <n v="6000"/>
    <x v="2"/>
    <n v="4800"/>
    <n v="879.18"/>
    <x v="5"/>
    <x v="0"/>
    <x v="2"/>
    <x v="0"/>
    <x v="10"/>
    <s v="Dec"/>
    <s v="Q4"/>
    <x v="19"/>
    <n v="5"/>
    <n v="18.32"/>
  </r>
  <r>
    <s v="ORD00350"/>
    <d v="2024-06-13T00:00:00"/>
    <d v="2024-06-14T00:00:00"/>
    <s v="C0103"/>
    <x v="274"/>
    <s v="Small Business"/>
    <x v="3"/>
    <x v="8"/>
    <s v="P005"/>
    <x v="0"/>
    <x v="0"/>
    <n v="10"/>
    <n v="7000"/>
    <x v="1"/>
    <n v="59500"/>
    <n v="10474.94"/>
    <x v="5"/>
    <x v="1"/>
    <x v="2"/>
    <x v="1"/>
    <x v="8"/>
    <s v="Jun"/>
    <s v="Q2"/>
    <x v="12"/>
    <n v="1"/>
    <n v="17.600000000000001"/>
  </r>
  <r>
    <s v="ORD01059"/>
    <d v="2025-09-07T00:00:00"/>
    <d v="2025-09-08T00:00:00"/>
    <s v="C0232"/>
    <x v="78"/>
    <s v="Small Business"/>
    <x v="1"/>
    <x v="1"/>
    <s v="P003"/>
    <x v="5"/>
    <x v="2"/>
    <n v="1"/>
    <n v="3000"/>
    <x v="3"/>
    <n v="2850"/>
    <n v="679.36"/>
    <x v="3"/>
    <x v="0"/>
    <x v="1"/>
    <x v="0"/>
    <x v="9"/>
    <s v="Sep"/>
    <s v="Q3"/>
    <x v="11"/>
    <n v="1"/>
    <n v="23.84"/>
  </r>
  <r>
    <s v="ORD01641"/>
    <d v="2024-02-09T00:00:00"/>
    <d v="2024-02-12T00:00:00"/>
    <s v="C0218"/>
    <x v="105"/>
    <s v="Corporate"/>
    <x v="2"/>
    <x v="3"/>
    <s v="P005"/>
    <x v="0"/>
    <x v="0"/>
    <n v="4"/>
    <n v="7000"/>
    <x v="0"/>
    <n v="28000"/>
    <n v="6625.82"/>
    <x v="5"/>
    <x v="1"/>
    <x v="0"/>
    <x v="1"/>
    <x v="6"/>
    <s v="Feb"/>
    <s v="Q1"/>
    <x v="18"/>
    <n v="3"/>
    <n v="23.66"/>
  </r>
  <r>
    <s v="ORD00341"/>
    <d v="2024-05-03T00:00:00"/>
    <d v="2024-05-07T00:00:00"/>
    <s v="C0101"/>
    <x v="276"/>
    <s v="Consumer"/>
    <x v="1"/>
    <x v="5"/>
    <s v="P004"/>
    <x v="7"/>
    <x v="2"/>
    <n v="5"/>
    <n v="8000"/>
    <x v="3"/>
    <n v="38000"/>
    <n v="7469.24"/>
    <x v="5"/>
    <x v="1"/>
    <x v="2"/>
    <x v="1"/>
    <x v="4"/>
    <s v="May"/>
    <s v="Q2"/>
    <x v="8"/>
    <n v="4"/>
    <n v="19.66"/>
  </r>
  <r>
    <s v="ORD01050"/>
    <d v="2024-07-21T00:00:00"/>
    <d v="2024-07-28T00:00:00"/>
    <s v="C0129"/>
    <x v="259"/>
    <s v="Consumer"/>
    <x v="2"/>
    <x v="14"/>
    <s v="P003"/>
    <x v="5"/>
    <x v="2"/>
    <n v="3"/>
    <n v="3000"/>
    <x v="1"/>
    <n v="7650"/>
    <n v="1864.53"/>
    <x v="2"/>
    <x v="2"/>
    <x v="1"/>
    <x v="1"/>
    <x v="3"/>
    <s v="Jul"/>
    <s v="Q3"/>
    <x v="4"/>
    <n v="7"/>
    <n v="24.37"/>
  </r>
  <r>
    <s v="ORD00529"/>
    <d v="2024-05-15T00:00:00"/>
    <d v="2024-05-17T00:00:00"/>
    <s v="C0265"/>
    <x v="109"/>
    <s v="Consumer"/>
    <x v="1"/>
    <x v="1"/>
    <s v="P011"/>
    <x v="9"/>
    <x v="4"/>
    <n v="1"/>
    <n v="600"/>
    <x v="0"/>
    <n v="600"/>
    <n v="201.49"/>
    <x v="2"/>
    <x v="1"/>
    <x v="3"/>
    <x v="1"/>
    <x v="4"/>
    <s v="May"/>
    <s v="Q2"/>
    <x v="8"/>
    <n v="2"/>
    <n v="33.58"/>
  </r>
  <r>
    <s v="ORD01063"/>
    <d v="2024-04-15T00:00:00"/>
    <d v="2024-04-18T00:00:00"/>
    <s v="C0192"/>
    <x v="214"/>
    <s v="Consumer"/>
    <x v="3"/>
    <x v="8"/>
    <s v="P010"/>
    <x v="6"/>
    <x v="4"/>
    <n v="1"/>
    <n v="1800"/>
    <x v="0"/>
    <n v="1800"/>
    <n v="649.02"/>
    <x v="2"/>
    <x v="1"/>
    <x v="0"/>
    <x v="1"/>
    <x v="5"/>
    <s v="Apr"/>
    <s v="Q2"/>
    <x v="6"/>
    <n v="3"/>
    <n v="36.06"/>
  </r>
  <r>
    <s v="ORD00303"/>
    <d v="2025-09-06T00:00:00"/>
    <d v="2025-09-07T00:00:00"/>
    <s v="C0124"/>
    <x v="10"/>
    <s v="Small Business"/>
    <x v="1"/>
    <x v="1"/>
    <s v="P001"/>
    <x v="8"/>
    <x v="2"/>
    <n v="2"/>
    <n v="55000"/>
    <x v="0"/>
    <n v="110000"/>
    <n v="19251.59"/>
    <x v="5"/>
    <x v="1"/>
    <x v="4"/>
    <x v="0"/>
    <x v="9"/>
    <s v="Sep"/>
    <s v="Q3"/>
    <x v="11"/>
    <n v="1"/>
    <n v="17.5"/>
  </r>
  <r>
    <s v="ORD01064"/>
    <d v="2024-03-31T00:00:00"/>
    <d v="2024-04-01T00:00:00"/>
    <s v="C0116"/>
    <x v="131"/>
    <s v="Corporate"/>
    <x v="2"/>
    <x v="3"/>
    <s v="P003"/>
    <x v="5"/>
    <x v="2"/>
    <n v="1"/>
    <n v="3000"/>
    <x v="2"/>
    <n v="2400"/>
    <n v="610.24"/>
    <x v="5"/>
    <x v="0"/>
    <x v="4"/>
    <x v="1"/>
    <x v="0"/>
    <s v="Mar"/>
    <s v="Q1"/>
    <x v="2"/>
    <n v="1"/>
    <n v="25.43"/>
  </r>
  <r>
    <s v="ORD00366"/>
    <d v="2024-11-19T00:00:00"/>
    <d v="2024-11-21T00:00:00"/>
    <s v="C0208"/>
    <x v="218"/>
    <s v="Small Business"/>
    <x v="2"/>
    <x v="3"/>
    <s v="P007"/>
    <x v="10"/>
    <x v="0"/>
    <n v="3"/>
    <n v="6000"/>
    <x v="4"/>
    <n v="16200"/>
    <n v="2730.77"/>
    <x v="5"/>
    <x v="2"/>
    <x v="3"/>
    <x v="1"/>
    <x v="2"/>
    <s v="Nov"/>
    <s v="Q4"/>
    <x v="3"/>
    <n v="2"/>
    <n v="16.86"/>
  </r>
  <r>
    <s v="ORD01640"/>
    <d v="2024-12-14T00:00:00"/>
    <d v="2024-12-20T00:00:00"/>
    <s v="C0283"/>
    <x v="59"/>
    <s v="Small Business"/>
    <x v="1"/>
    <x v="13"/>
    <s v="P012"/>
    <x v="4"/>
    <x v="3"/>
    <n v="4"/>
    <n v="3500"/>
    <x v="2"/>
    <n v="11200"/>
    <n v="3706.18"/>
    <x v="4"/>
    <x v="1"/>
    <x v="1"/>
    <x v="1"/>
    <x v="10"/>
    <s v="Dec"/>
    <s v="Q4"/>
    <x v="16"/>
    <n v="6"/>
    <n v="33.090000000000003"/>
  </r>
  <r>
    <s v="ORD00168"/>
    <d v="2024-09-06T00:00:00"/>
    <d v="2024-09-08T00:00:00"/>
    <s v="C0236"/>
    <x v="130"/>
    <s v="Consumer"/>
    <x v="2"/>
    <x v="4"/>
    <s v="P010"/>
    <x v="6"/>
    <x v="4"/>
    <n v="10"/>
    <n v="1800"/>
    <x v="0"/>
    <n v="18000"/>
    <n v="5165.9399999999996"/>
    <x v="5"/>
    <x v="2"/>
    <x v="3"/>
    <x v="1"/>
    <x v="9"/>
    <s v="Sep"/>
    <s v="Q3"/>
    <x v="20"/>
    <n v="2"/>
    <n v="28.7"/>
  </r>
  <r>
    <s v="ORD01420"/>
    <d v="2025-12-12T00:00:00"/>
    <d v="2025-12-17T00:00:00"/>
    <s v="C0132"/>
    <x v="203"/>
    <s v="Small Business"/>
    <x v="1"/>
    <x v="1"/>
    <s v="P011"/>
    <x v="9"/>
    <x v="4"/>
    <n v="2"/>
    <n v="600"/>
    <x v="0"/>
    <n v="1200"/>
    <n v="456"/>
    <x v="2"/>
    <x v="0"/>
    <x v="0"/>
    <x v="0"/>
    <x v="10"/>
    <s v="Dec"/>
    <s v="Q4"/>
    <x v="19"/>
    <n v="5"/>
    <n v="38"/>
  </r>
  <r>
    <s v="ORD00488"/>
    <d v="2025-05-16T00:00:00"/>
    <d v="2025-05-22T00:00:00"/>
    <s v="C0157"/>
    <x v="240"/>
    <s v="Consumer"/>
    <x v="2"/>
    <x v="3"/>
    <s v="P006"/>
    <x v="1"/>
    <x v="0"/>
    <n v="1"/>
    <n v="9500"/>
    <x v="0"/>
    <n v="9500"/>
    <n v="1343.96"/>
    <x v="3"/>
    <x v="2"/>
    <x v="4"/>
    <x v="0"/>
    <x v="4"/>
    <s v="May"/>
    <s v="Q2"/>
    <x v="5"/>
    <n v="6"/>
    <n v="14.15"/>
  </r>
  <r>
    <s v="ORD01188"/>
    <d v="2024-05-11T00:00:00"/>
    <d v="2024-05-19T00:00:00"/>
    <s v="C0204"/>
    <x v="137"/>
    <s v="Corporate"/>
    <x v="0"/>
    <x v="10"/>
    <s v="P012"/>
    <x v="4"/>
    <x v="3"/>
    <n v="3"/>
    <n v="3500"/>
    <x v="3"/>
    <n v="9975"/>
    <n v="3307.07"/>
    <x v="1"/>
    <x v="1"/>
    <x v="2"/>
    <x v="1"/>
    <x v="4"/>
    <s v="May"/>
    <s v="Q2"/>
    <x v="8"/>
    <n v="8"/>
    <n v="33.15"/>
  </r>
  <r>
    <s v="ORD01804"/>
    <d v="2025-10-14T00:00:00"/>
    <d v="2025-10-17T00:00:00"/>
    <s v="C0217"/>
    <x v="246"/>
    <s v="Corporate"/>
    <x v="3"/>
    <x v="8"/>
    <s v="P008"/>
    <x v="11"/>
    <x v="1"/>
    <n v="3"/>
    <n v="250"/>
    <x v="0"/>
    <n v="750"/>
    <n v="287.18"/>
    <x v="5"/>
    <x v="0"/>
    <x v="2"/>
    <x v="0"/>
    <x v="1"/>
    <s v="Oct"/>
    <s v="Q4"/>
    <x v="14"/>
    <n v="3"/>
    <n v="38.29"/>
  </r>
  <r>
    <s v="ORD00617"/>
    <d v="2025-04-13T00:00:00"/>
    <d v="2025-04-18T00:00:00"/>
    <s v="C0034"/>
    <x v="17"/>
    <s v="Small Business"/>
    <x v="1"/>
    <x v="1"/>
    <s v="P004"/>
    <x v="7"/>
    <x v="2"/>
    <n v="1"/>
    <n v="8000"/>
    <x v="3"/>
    <n v="7600"/>
    <n v="2012.44"/>
    <x v="2"/>
    <x v="0"/>
    <x v="2"/>
    <x v="0"/>
    <x v="5"/>
    <s v="Apr"/>
    <s v="Q2"/>
    <x v="13"/>
    <n v="5"/>
    <n v="26.48"/>
  </r>
  <r>
    <s v="ORD01247"/>
    <d v="2024-05-22T00:00:00"/>
    <d v="2024-05-23T00:00:00"/>
    <s v="C0102"/>
    <x v="205"/>
    <s v="Consumer"/>
    <x v="1"/>
    <x v="13"/>
    <s v="P010"/>
    <x v="6"/>
    <x v="4"/>
    <n v="1"/>
    <n v="1800"/>
    <x v="0"/>
    <n v="1800"/>
    <n v="639.72"/>
    <x v="2"/>
    <x v="1"/>
    <x v="2"/>
    <x v="1"/>
    <x v="4"/>
    <s v="May"/>
    <s v="Q2"/>
    <x v="8"/>
    <n v="1"/>
    <n v="35.54"/>
  </r>
  <r>
    <s v="ORD00318"/>
    <d v="2024-02-19T00:00:00"/>
    <d v="2024-02-20T00:00:00"/>
    <s v="C0274"/>
    <x v="9"/>
    <s v="Consumer"/>
    <x v="3"/>
    <x v="6"/>
    <s v="P010"/>
    <x v="6"/>
    <x v="4"/>
    <n v="2"/>
    <n v="1800"/>
    <x v="0"/>
    <n v="3600"/>
    <n v="1215.6300000000001"/>
    <x v="2"/>
    <x v="2"/>
    <x v="3"/>
    <x v="1"/>
    <x v="6"/>
    <s v="Feb"/>
    <s v="Q1"/>
    <x v="18"/>
    <n v="1"/>
    <n v="33.770000000000003"/>
  </r>
  <r>
    <s v="ORD00047"/>
    <d v="2024-10-17T00:00:00"/>
    <d v="2024-10-18T00:00:00"/>
    <s v="C0221"/>
    <x v="128"/>
    <s v="Consumer"/>
    <x v="3"/>
    <x v="8"/>
    <s v="P002"/>
    <x v="3"/>
    <x v="2"/>
    <n v="2"/>
    <n v="25000"/>
    <x v="4"/>
    <n v="45000"/>
    <n v="6526.26"/>
    <x v="4"/>
    <x v="1"/>
    <x v="3"/>
    <x v="1"/>
    <x v="1"/>
    <s v="Oct"/>
    <s v="Q4"/>
    <x v="1"/>
    <n v="1"/>
    <n v="14.5"/>
  </r>
  <r>
    <s v="ORD01042"/>
    <d v="2024-05-27T00:00:00"/>
    <d v="2024-05-29T00:00:00"/>
    <s v="C0141"/>
    <x v="262"/>
    <s v="Corporate"/>
    <x v="2"/>
    <x v="4"/>
    <s v="P002"/>
    <x v="3"/>
    <x v="2"/>
    <n v="2"/>
    <n v="25000"/>
    <x v="1"/>
    <n v="42500"/>
    <n v="6973.73"/>
    <x v="2"/>
    <x v="1"/>
    <x v="1"/>
    <x v="1"/>
    <x v="4"/>
    <s v="May"/>
    <s v="Q2"/>
    <x v="8"/>
    <n v="2"/>
    <n v="16.41"/>
  </r>
  <r>
    <s v="ORD00038"/>
    <d v="2024-04-08T00:00:00"/>
    <d v="2024-04-09T00:00:00"/>
    <s v="C0048"/>
    <x v="124"/>
    <s v="Small Business"/>
    <x v="2"/>
    <x v="3"/>
    <s v="P007"/>
    <x v="10"/>
    <x v="0"/>
    <n v="3"/>
    <n v="6000"/>
    <x v="0"/>
    <n v="18000"/>
    <n v="4426.74"/>
    <x v="1"/>
    <x v="2"/>
    <x v="1"/>
    <x v="1"/>
    <x v="5"/>
    <s v="Apr"/>
    <s v="Q2"/>
    <x v="6"/>
    <n v="1"/>
    <n v="24.59"/>
  </r>
  <r>
    <s v="ORD01009"/>
    <d v="2025-12-30T00:00:00"/>
    <d v="2026-01-01T00:00:00"/>
    <s v="C0221"/>
    <x v="128"/>
    <s v="Consumer"/>
    <x v="3"/>
    <x v="8"/>
    <s v="P001"/>
    <x v="8"/>
    <x v="2"/>
    <n v="1"/>
    <n v="55000"/>
    <x v="0"/>
    <n v="55000"/>
    <n v="10878.16"/>
    <x v="4"/>
    <x v="2"/>
    <x v="0"/>
    <x v="0"/>
    <x v="10"/>
    <s v="Dec"/>
    <s v="Q4"/>
    <x v="19"/>
    <n v="2"/>
    <n v="19.78"/>
  </r>
  <r>
    <s v="ORD00275"/>
    <d v="2024-02-01T00:00:00"/>
    <d v="2024-02-08T00:00:00"/>
    <s v="C0248"/>
    <x v="1"/>
    <s v="Consumer"/>
    <x v="1"/>
    <x v="1"/>
    <s v="P012"/>
    <x v="4"/>
    <x v="3"/>
    <n v="2"/>
    <n v="3500"/>
    <x v="1"/>
    <n v="5950"/>
    <n v="1458.46"/>
    <x v="4"/>
    <x v="0"/>
    <x v="3"/>
    <x v="1"/>
    <x v="6"/>
    <s v="Feb"/>
    <s v="Q1"/>
    <x v="18"/>
    <n v="7"/>
    <n v="24.51"/>
  </r>
  <r>
    <s v="ORD01023"/>
    <d v="2024-01-11T00:00:00"/>
    <d v="2024-01-14T00:00:00"/>
    <s v="C0293"/>
    <x v="53"/>
    <s v="Corporate"/>
    <x v="1"/>
    <x v="16"/>
    <s v="P007"/>
    <x v="10"/>
    <x v="0"/>
    <n v="2"/>
    <n v="6000"/>
    <x v="4"/>
    <n v="10800"/>
    <n v="2020.27"/>
    <x v="3"/>
    <x v="2"/>
    <x v="4"/>
    <x v="1"/>
    <x v="11"/>
    <s v="Jan"/>
    <s v="Q1"/>
    <x v="21"/>
    <n v="3"/>
    <n v="18.71"/>
  </r>
  <r>
    <s v="ORD00540"/>
    <d v="2024-04-15T00:00:00"/>
    <d v="2024-04-21T00:00:00"/>
    <s v="C0066"/>
    <x v="20"/>
    <s v="Consumer"/>
    <x v="1"/>
    <x v="1"/>
    <s v="P009"/>
    <x v="2"/>
    <x v="1"/>
    <n v="2"/>
    <n v="180"/>
    <x v="1"/>
    <n v="306"/>
    <n v="140.28"/>
    <x v="1"/>
    <x v="2"/>
    <x v="3"/>
    <x v="1"/>
    <x v="5"/>
    <s v="Apr"/>
    <s v="Q2"/>
    <x v="6"/>
    <n v="6"/>
    <n v="45.84"/>
  </r>
  <r>
    <s v="ORD00629"/>
    <d v="2024-11-30T00:00:00"/>
    <d v="2024-12-05T00:00:00"/>
    <s v="C0183"/>
    <x v="244"/>
    <s v="Corporate"/>
    <x v="1"/>
    <x v="1"/>
    <s v="P002"/>
    <x v="3"/>
    <x v="2"/>
    <n v="2"/>
    <n v="25000"/>
    <x v="4"/>
    <n v="45000"/>
    <n v="6146.37"/>
    <x v="4"/>
    <x v="0"/>
    <x v="3"/>
    <x v="1"/>
    <x v="2"/>
    <s v="Nov"/>
    <s v="Q4"/>
    <x v="3"/>
    <n v="5"/>
    <n v="13.66"/>
  </r>
  <r>
    <s v="ORD01201"/>
    <d v="2025-07-13T00:00:00"/>
    <d v="2025-07-14T00:00:00"/>
    <s v="C0202"/>
    <x v="222"/>
    <s v="Small Business"/>
    <x v="2"/>
    <x v="9"/>
    <s v="P006"/>
    <x v="1"/>
    <x v="0"/>
    <n v="3"/>
    <n v="9500"/>
    <x v="3"/>
    <n v="27075"/>
    <n v="4275.82"/>
    <x v="0"/>
    <x v="0"/>
    <x v="0"/>
    <x v="0"/>
    <x v="3"/>
    <s v="Jul"/>
    <s v="Q3"/>
    <x v="15"/>
    <n v="1"/>
    <n v="15.79"/>
  </r>
  <r>
    <s v="ORD00862"/>
    <d v="2024-12-09T00:00:00"/>
    <d v="2024-12-13T00:00:00"/>
    <s v="C0247"/>
    <x v="277"/>
    <s v="Consumer"/>
    <x v="1"/>
    <x v="16"/>
    <s v="P002"/>
    <x v="3"/>
    <x v="2"/>
    <n v="5"/>
    <n v="25000"/>
    <x v="3"/>
    <n v="118750"/>
    <n v="15193.15"/>
    <x v="1"/>
    <x v="2"/>
    <x v="3"/>
    <x v="1"/>
    <x v="10"/>
    <s v="Dec"/>
    <s v="Q4"/>
    <x v="16"/>
    <n v="4"/>
    <n v="12.79"/>
  </r>
  <r>
    <s v="ORD00248"/>
    <d v="2025-02-20T00:00:00"/>
    <d v="2025-02-24T00:00:00"/>
    <s v="C0239"/>
    <x v="278"/>
    <s v="Consumer"/>
    <x v="1"/>
    <x v="5"/>
    <s v="P006"/>
    <x v="1"/>
    <x v="0"/>
    <n v="1"/>
    <n v="9500"/>
    <x v="0"/>
    <n v="9500"/>
    <n v="1900"/>
    <x v="0"/>
    <x v="1"/>
    <x v="0"/>
    <x v="0"/>
    <x v="6"/>
    <s v="Feb"/>
    <s v="Q1"/>
    <x v="7"/>
    <n v="4"/>
    <n v="20"/>
  </r>
  <r>
    <s v="ORD00850"/>
    <d v="2025-02-12T00:00:00"/>
    <d v="2025-02-17T00:00:00"/>
    <s v="C0196"/>
    <x v="22"/>
    <s v="Consumer"/>
    <x v="0"/>
    <x v="11"/>
    <s v="P006"/>
    <x v="1"/>
    <x v="0"/>
    <n v="4"/>
    <n v="9500"/>
    <x v="3"/>
    <n v="36100"/>
    <n v="5163.09"/>
    <x v="2"/>
    <x v="2"/>
    <x v="2"/>
    <x v="0"/>
    <x v="6"/>
    <s v="Feb"/>
    <s v="Q1"/>
    <x v="7"/>
    <n v="5"/>
    <n v="14.3"/>
  </r>
  <r>
    <s v="ORD01410"/>
    <d v="2024-01-25T00:00:00"/>
    <d v="2024-02-01T00:00:00"/>
    <s v="C0043"/>
    <x v="279"/>
    <s v="Consumer"/>
    <x v="1"/>
    <x v="1"/>
    <s v="P008"/>
    <x v="11"/>
    <x v="1"/>
    <n v="2"/>
    <n v="250"/>
    <x v="0"/>
    <n v="500"/>
    <n v="184.9"/>
    <x v="3"/>
    <x v="1"/>
    <x v="4"/>
    <x v="1"/>
    <x v="11"/>
    <s v="Jan"/>
    <s v="Q1"/>
    <x v="21"/>
    <n v="7"/>
    <n v="36.979999999999997"/>
  </r>
  <r>
    <s v="ORD01780"/>
    <d v="2025-01-04T00:00:00"/>
    <d v="2025-01-10T00:00:00"/>
    <s v="C0016"/>
    <x v="83"/>
    <s v="Corporate"/>
    <x v="0"/>
    <x v="11"/>
    <s v="P011"/>
    <x v="9"/>
    <x v="4"/>
    <n v="3"/>
    <n v="600"/>
    <x v="3"/>
    <n v="1710"/>
    <n v="553.87"/>
    <x v="6"/>
    <x v="1"/>
    <x v="1"/>
    <x v="0"/>
    <x v="11"/>
    <s v="Jan"/>
    <s v="Q1"/>
    <x v="17"/>
    <n v="6"/>
    <n v="32.39"/>
  </r>
  <r>
    <s v="ORD00200"/>
    <d v="2024-05-17T00:00:00"/>
    <d v="2024-05-20T00:00:00"/>
    <s v="C0044"/>
    <x v="123"/>
    <s v="Small Business"/>
    <x v="3"/>
    <x v="7"/>
    <s v="P011"/>
    <x v="9"/>
    <x v="4"/>
    <n v="1"/>
    <n v="600"/>
    <x v="0"/>
    <n v="600"/>
    <n v="187.45"/>
    <x v="3"/>
    <x v="2"/>
    <x v="2"/>
    <x v="1"/>
    <x v="4"/>
    <s v="May"/>
    <s v="Q2"/>
    <x v="8"/>
    <n v="3"/>
    <n v="31.24"/>
  </r>
  <r>
    <s v="ORD01589"/>
    <d v="2025-05-05T00:00:00"/>
    <m/>
    <s v="C0245"/>
    <x v="118"/>
    <s v="Corporate"/>
    <x v="0"/>
    <x v="11"/>
    <s v="P001"/>
    <x v="8"/>
    <x v="2"/>
    <n v="1"/>
    <n v="55000"/>
    <x v="0"/>
    <n v="55000"/>
    <n v="7696.18"/>
    <x v="2"/>
    <x v="0"/>
    <x v="2"/>
    <x v="0"/>
    <x v="4"/>
    <s v="May"/>
    <s v="Q2"/>
    <x v="5"/>
    <s v=""/>
    <n v="13.99"/>
  </r>
  <r>
    <s v="ORD01526"/>
    <d v="2024-03-25T00:00:00"/>
    <d v="2024-03-27T00:00:00"/>
    <s v="C0279"/>
    <x v="202"/>
    <s v="Corporate"/>
    <x v="0"/>
    <x v="10"/>
    <s v="P002"/>
    <x v="3"/>
    <x v="2"/>
    <n v="1"/>
    <n v="25000"/>
    <x v="2"/>
    <n v="20000"/>
    <n v="2958.73"/>
    <x v="0"/>
    <x v="1"/>
    <x v="4"/>
    <x v="1"/>
    <x v="0"/>
    <s v="Mar"/>
    <s v="Q1"/>
    <x v="2"/>
    <n v="2"/>
    <n v="14.79"/>
  </r>
  <r>
    <s v="ORD01596"/>
    <d v="2025-04-24T00:00:00"/>
    <d v="2025-05-02T00:00:00"/>
    <s v="C0034"/>
    <x v="17"/>
    <s v="Small Business"/>
    <x v="1"/>
    <x v="1"/>
    <s v="P004"/>
    <x v="7"/>
    <x v="2"/>
    <n v="5"/>
    <n v="8000"/>
    <x v="0"/>
    <n v="40000"/>
    <n v="10699.29"/>
    <x v="2"/>
    <x v="0"/>
    <x v="0"/>
    <x v="0"/>
    <x v="5"/>
    <s v="Apr"/>
    <s v="Q2"/>
    <x v="13"/>
    <n v="8"/>
    <n v="26.75"/>
  </r>
  <r>
    <s v="ORD01945"/>
    <d v="2024-02-01T00:00:00"/>
    <d v="2024-02-07T00:00:00"/>
    <s v="C0038"/>
    <x v="82"/>
    <s v="Small Business"/>
    <x v="2"/>
    <x v="9"/>
    <s v="P006"/>
    <x v="1"/>
    <x v="0"/>
    <n v="1"/>
    <n v="9500"/>
    <x v="4"/>
    <n v="8550"/>
    <n v="1490.27"/>
    <x v="0"/>
    <x v="0"/>
    <x v="1"/>
    <x v="1"/>
    <x v="6"/>
    <s v="Feb"/>
    <s v="Q1"/>
    <x v="18"/>
    <n v="6"/>
    <n v="17.43"/>
  </r>
  <r>
    <s v="ORD01518"/>
    <d v="2024-04-18T00:00:00"/>
    <d v="2024-04-22T00:00:00"/>
    <s v="C0209"/>
    <x v="79"/>
    <s v="Small Business"/>
    <x v="1"/>
    <x v="5"/>
    <s v="P012"/>
    <x v="4"/>
    <x v="3"/>
    <n v="1"/>
    <n v="3500"/>
    <x v="1"/>
    <n v="2975"/>
    <n v="839.15"/>
    <x v="5"/>
    <x v="0"/>
    <x v="1"/>
    <x v="1"/>
    <x v="5"/>
    <s v="Apr"/>
    <s v="Q2"/>
    <x v="6"/>
    <n v="4"/>
    <n v="28.21"/>
  </r>
  <r>
    <s v="ORD01941"/>
    <d v="2024-08-18T00:00:00"/>
    <d v="2024-08-24T00:00:00"/>
    <s v="C0047"/>
    <x v="215"/>
    <s v="Corporate"/>
    <x v="2"/>
    <x v="14"/>
    <s v="P012"/>
    <x v="4"/>
    <x v="3"/>
    <n v="10"/>
    <n v="3500"/>
    <x v="0"/>
    <n v="35000"/>
    <n v="11458.78"/>
    <x v="2"/>
    <x v="1"/>
    <x v="1"/>
    <x v="1"/>
    <x v="7"/>
    <s v="Aug"/>
    <s v="Q3"/>
    <x v="9"/>
    <n v="6"/>
    <n v="32.74"/>
  </r>
  <r>
    <s v="ORD01932"/>
    <d v="2024-06-25T00:00:00"/>
    <m/>
    <s v="C0291"/>
    <x v="87"/>
    <s v="Small Business"/>
    <x v="1"/>
    <x v="1"/>
    <s v="P004"/>
    <x v="7"/>
    <x v="2"/>
    <n v="2"/>
    <n v="8000"/>
    <x v="4"/>
    <n v="14400"/>
    <n v="3850.78"/>
    <x v="4"/>
    <x v="0"/>
    <x v="3"/>
    <x v="1"/>
    <x v="8"/>
    <s v="Jun"/>
    <s v="Q2"/>
    <x v="12"/>
    <s v=""/>
    <n v="26.74"/>
  </r>
  <r>
    <s v="ORD01913"/>
    <d v="2025-08-25T00:00:00"/>
    <d v="2025-08-26T00:00:00"/>
    <s v="C0178"/>
    <x v="174"/>
    <s v="Corporate"/>
    <x v="3"/>
    <x v="6"/>
    <s v="P012"/>
    <x v="4"/>
    <x v="3"/>
    <n v="3"/>
    <n v="3500"/>
    <x v="2"/>
    <n v="8400"/>
    <n v="2690.75"/>
    <x v="0"/>
    <x v="2"/>
    <x v="4"/>
    <x v="0"/>
    <x v="7"/>
    <s v="Aug"/>
    <s v="Q3"/>
    <x v="22"/>
    <n v="1"/>
    <n v="32.03"/>
  </r>
  <r>
    <s v="ORD00815"/>
    <d v="2024-01-07T00:00:00"/>
    <d v="2024-01-09T00:00:00"/>
    <s v="C0205"/>
    <x v="280"/>
    <s v="Consumer"/>
    <x v="0"/>
    <x v="11"/>
    <s v="P003"/>
    <x v="5"/>
    <x v="2"/>
    <n v="1"/>
    <n v="3000"/>
    <x v="0"/>
    <n v="3000"/>
    <n v="758.84"/>
    <x v="4"/>
    <x v="1"/>
    <x v="0"/>
    <x v="1"/>
    <x v="11"/>
    <s v="Jan"/>
    <s v="Q1"/>
    <x v="21"/>
    <n v="2"/>
    <n v="25.29"/>
  </r>
  <r>
    <s v="ORD00526"/>
    <d v="2024-11-18T00:00:00"/>
    <d v="2024-11-22T00:00:00"/>
    <s v="C0158"/>
    <x v="151"/>
    <s v="Small Business"/>
    <x v="2"/>
    <x v="9"/>
    <s v="P012"/>
    <x v="4"/>
    <x v="3"/>
    <n v="1"/>
    <n v="3500"/>
    <x v="0"/>
    <n v="3500"/>
    <n v="1006.68"/>
    <x v="3"/>
    <x v="1"/>
    <x v="4"/>
    <x v="1"/>
    <x v="2"/>
    <s v="Nov"/>
    <s v="Q4"/>
    <x v="3"/>
    <n v="4"/>
    <n v="28.76"/>
  </r>
  <r>
    <s v="ORD01066"/>
    <d v="2025-04-16T00:00:00"/>
    <m/>
    <s v="C0071"/>
    <x v="162"/>
    <s v="Small Business"/>
    <x v="3"/>
    <x v="6"/>
    <s v="P010"/>
    <x v="6"/>
    <x v="4"/>
    <n v="1"/>
    <n v="1800"/>
    <x v="0"/>
    <n v="1800"/>
    <n v="658.2"/>
    <x v="5"/>
    <x v="1"/>
    <x v="3"/>
    <x v="0"/>
    <x v="5"/>
    <s v="Apr"/>
    <s v="Q2"/>
    <x v="13"/>
    <s v=""/>
    <n v="36.57"/>
  </r>
  <r>
    <s v="ORD00506"/>
    <d v="2024-05-06T00:00:00"/>
    <d v="2024-05-12T00:00:00"/>
    <s v="C0084"/>
    <x v="95"/>
    <s v="Corporate"/>
    <x v="3"/>
    <x v="8"/>
    <s v="P012"/>
    <x v="4"/>
    <x v="3"/>
    <n v="1"/>
    <n v="3500"/>
    <x v="1"/>
    <n v="2975"/>
    <n v="837.53"/>
    <x v="2"/>
    <x v="2"/>
    <x v="0"/>
    <x v="1"/>
    <x v="4"/>
    <s v="May"/>
    <s v="Q2"/>
    <x v="8"/>
    <n v="6"/>
    <n v="28.15"/>
  </r>
  <r>
    <s v="ORD01254"/>
    <d v="2024-07-11T00:00:00"/>
    <d v="2024-07-17T00:00:00"/>
    <s v="C0071"/>
    <x v="162"/>
    <s v="Small Business"/>
    <x v="3"/>
    <x v="6"/>
    <s v="P008"/>
    <x v="11"/>
    <x v="1"/>
    <n v="1"/>
    <n v="250"/>
    <x v="0"/>
    <n v="250"/>
    <n v="87.42"/>
    <x v="0"/>
    <x v="2"/>
    <x v="2"/>
    <x v="1"/>
    <x v="3"/>
    <s v="Jul"/>
    <s v="Q3"/>
    <x v="4"/>
    <n v="6"/>
    <n v="34.97"/>
  </r>
  <r>
    <s v="ORD01123"/>
    <d v="2025-11-29T00:00:00"/>
    <d v="2025-12-03T00:00:00"/>
    <s v="C0175"/>
    <x v="271"/>
    <s v="Consumer"/>
    <x v="0"/>
    <x v="10"/>
    <s v="P003"/>
    <x v="5"/>
    <x v="2"/>
    <n v="5"/>
    <n v="3000"/>
    <x v="1"/>
    <n v="12750"/>
    <n v="3485.58"/>
    <x v="4"/>
    <x v="2"/>
    <x v="0"/>
    <x v="0"/>
    <x v="2"/>
    <s v="Nov"/>
    <s v="Q4"/>
    <x v="23"/>
    <n v="4"/>
    <n v="27.34"/>
  </r>
  <r>
    <s v="ORD00512"/>
    <d v="2024-12-23T00:00:00"/>
    <d v="2024-12-28T00:00:00"/>
    <s v="C0029"/>
    <x v="133"/>
    <s v="Consumer"/>
    <x v="3"/>
    <x v="8"/>
    <s v="P011"/>
    <x v="9"/>
    <x v="4"/>
    <n v="4"/>
    <n v="600"/>
    <x v="1"/>
    <n v="2040"/>
    <n v="721.89"/>
    <x v="3"/>
    <x v="0"/>
    <x v="3"/>
    <x v="1"/>
    <x v="10"/>
    <s v="Dec"/>
    <s v="Q4"/>
    <x v="16"/>
    <n v="5"/>
    <n v="35.39"/>
  </r>
  <r>
    <s v="ORD01429"/>
    <d v="2024-01-04T00:00:00"/>
    <d v="2024-01-06T00:00:00"/>
    <s v="C0004"/>
    <x v="119"/>
    <s v="Corporate"/>
    <x v="0"/>
    <x v="11"/>
    <s v="P007"/>
    <x v="10"/>
    <x v="0"/>
    <n v="2"/>
    <n v="6000"/>
    <x v="2"/>
    <n v="9600"/>
    <n v="1969.95"/>
    <x v="4"/>
    <x v="2"/>
    <x v="3"/>
    <x v="1"/>
    <x v="11"/>
    <s v="Jan"/>
    <s v="Q1"/>
    <x v="21"/>
    <n v="2"/>
    <n v="20.52"/>
  </r>
  <r>
    <s v="ORD00844"/>
    <d v="2025-09-11T00:00:00"/>
    <d v="2025-09-19T00:00:00"/>
    <s v="C0033"/>
    <x v="255"/>
    <s v="Small Business"/>
    <x v="2"/>
    <x v="14"/>
    <s v="P007"/>
    <x v="10"/>
    <x v="0"/>
    <n v="4"/>
    <n v="6000"/>
    <x v="4"/>
    <n v="21600"/>
    <n v="4310.79"/>
    <x v="0"/>
    <x v="1"/>
    <x v="1"/>
    <x v="0"/>
    <x v="9"/>
    <s v="Sep"/>
    <s v="Q3"/>
    <x v="11"/>
    <n v="8"/>
    <n v="19.96"/>
  </r>
  <r>
    <s v="ORD00659"/>
    <d v="2025-03-24T00:00:00"/>
    <d v="2025-03-27T00:00:00"/>
    <s v="C0054"/>
    <x v="169"/>
    <s v="Small Business"/>
    <x v="2"/>
    <x v="14"/>
    <s v="P007"/>
    <x v="10"/>
    <x v="0"/>
    <n v="2"/>
    <n v="6000"/>
    <x v="1"/>
    <n v="10200"/>
    <n v="1796.84"/>
    <x v="0"/>
    <x v="1"/>
    <x v="1"/>
    <x v="0"/>
    <x v="0"/>
    <s v="Mar"/>
    <s v="Q1"/>
    <x v="0"/>
    <n v="3"/>
    <n v="17.62"/>
  </r>
  <r>
    <s v="ORD01104"/>
    <d v="2025-08-21T00:00:00"/>
    <d v="2025-08-25T00:00:00"/>
    <s v="C0063"/>
    <x v="275"/>
    <s v="Consumer"/>
    <x v="0"/>
    <x v="0"/>
    <s v="P012"/>
    <x v="4"/>
    <x v="3"/>
    <n v="3"/>
    <n v="3500"/>
    <x v="1"/>
    <n v="8925"/>
    <n v="2818.25"/>
    <x v="1"/>
    <x v="0"/>
    <x v="3"/>
    <x v="0"/>
    <x v="7"/>
    <s v="Aug"/>
    <s v="Q3"/>
    <x v="22"/>
    <n v="4"/>
    <n v="31.58"/>
  </r>
  <r>
    <s v="ORD01289"/>
    <d v="2025-07-04T00:00:00"/>
    <d v="2025-07-05T00:00:00"/>
    <s v="C0134"/>
    <x v="178"/>
    <s v="Small Business"/>
    <x v="1"/>
    <x v="16"/>
    <s v="P012"/>
    <x v="4"/>
    <x v="3"/>
    <n v="1"/>
    <n v="3500"/>
    <x v="2"/>
    <n v="2800"/>
    <n v="844.74"/>
    <x v="0"/>
    <x v="1"/>
    <x v="3"/>
    <x v="0"/>
    <x v="3"/>
    <s v="Jul"/>
    <s v="Q3"/>
    <x v="15"/>
    <n v="1"/>
    <n v="30.17"/>
  </r>
  <r>
    <s v="ORD01630"/>
    <d v="2025-03-12T00:00:00"/>
    <d v="2025-03-17T00:00:00"/>
    <s v="C0213"/>
    <x v="116"/>
    <s v="Corporate"/>
    <x v="3"/>
    <x v="7"/>
    <s v="P003"/>
    <x v="5"/>
    <x v="2"/>
    <n v="1"/>
    <n v="3000"/>
    <x v="0"/>
    <n v="3000"/>
    <n v="760.11"/>
    <x v="3"/>
    <x v="2"/>
    <x v="1"/>
    <x v="0"/>
    <x v="0"/>
    <s v="Mar"/>
    <s v="Q1"/>
    <x v="0"/>
    <n v="5"/>
    <n v="25.34"/>
  </r>
  <r>
    <s v="ORD00715"/>
    <d v="2024-04-25T00:00:00"/>
    <d v="2024-05-01T00:00:00"/>
    <s v="C0235"/>
    <x v="111"/>
    <s v="Consumer"/>
    <x v="1"/>
    <x v="16"/>
    <s v="P008"/>
    <x v="11"/>
    <x v="1"/>
    <n v="4"/>
    <n v="250"/>
    <x v="2"/>
    <n v="800"/>
    <n v="320"/>
    <x v="2"/>
    <x v="0"/>
    <x v="4"/>
    <x v="1"/>
    <x v="5"/>
    <s v="Apr"/>
    <s v="Q2"/>
    <x v="6"/>
    <n v="6"/>
    <n v="40"/>
  </r>
  <r>
    <s v="ORD01867"/>
    <d v="2024-02-22T00:00:00"/>
    <d v="2024-02-25T00:00:00"/>
    <s v="C0110"/>
    <x v="204"/>
    <s v="Small Business"/>
    <x v="0"/>
    <x v="0"/>
    <s v="P008"/>
    <x v="11"/>
    <x v="1"/>
    <n v="2"/>
    <n v="250"/>
    <x v="2"/>
    <n v="400"/>
    <n v="169.86"/>
    <x v="2"/>
    <x v="0"/>
    <x v="0"/>
    <x v="1"/>
    <x v="6"/>
    <s v="Feb"/>
    <s v="Q1"/>
    <x v="18"/>
    <n v="3"/>
    <n v="42.47"/>
  </r>
  <r>
    <s v="ORD00544"/>
    <d v="2025-07-22T00:00:00"/>
    <d v="2025-07-29T00:00:00"/>
    <s v="C0238"/>
    <x v="88"/>
    <s v="Small Business"/>
    <x v="3"/>
    <x v="8"/>
    <s v="P006"/>
    <x v="1"/>
    <x v="0"/>
    <n v="1"/>
    <n v="9500"/>
    <x v="3"/>
    <n v="9025"/>
    <n v="1390.7"/>
    <x v="2"/>
    <x v="2"/>
    <x v="3"/>
    <x v="0"/>
    <x v="3"/>
    <s v="Jul"/>
    <s v="Q3"/>
    <x v="15"/>
    <n v="7"/>
    <n v="15.41"/>
  </r>
  <r>
    <s v="ORD01770"/>
    <d v="2024-06-27T00:00:00"/>
    <d v="2024-07-04T00:00:00"/>
    <s v="C0268"/>
    <x v="236"/>
    <s v="Corporate"/>
    <x v="2"/>
    <x v="14"/>
    <s v="P011"/>
    <x v="9"/>
    <x v="4"/>
    <n v="1"/>
    <n v="600"/>
    <x v="4"/>
    <n v="540"/>
    <n v="155.03"/>
    <x v="0"/>
    <x v="2"/>
    <x v="3"/>
    <x v="1"/>
    <x v="8"/>
    <s v="Jun"/>
    <s v="Q2"/>
    <x v="12"/>
    <n v="7"/>
    <n v="28.71"/>
  </r>
  <r>
    <s v="ORD01910"/>
    <d v="2024-07-19T00:00:00"/>
    <d v="2024-07-25T00:00:00"/>
    <s v="C0287"/>
    <x v="2"/>
    <s v="Corporate"/>
    <x v="0"/>
    <x v="2"/>
    <s v="P003"/>
    <x v="5"/>
    <x v="2"/>
    <n v="4"/>
    <n v="3000"/>
    <x v="0"/>
    <n v="12000"/>
    <n v="3352.09"/>
    <x v="0"/>
    <x v="0"/>
    <x v="4"/>
    <x v="1"/>
    <x v="3"/>
    <s v="Jul"/>
    <s v="Q3"/>
    <x v="4"/>
    <n v="6"/>
    <n v="27.93"/>
  </r>
  <r>
    <s v="ORD01779"/>
    <d v="2025-02-12T00:00:00"/>
    <d v="2025-02-16T00:00:00"/>
    <s v="C0269"/>
    <x v="102"/>
    <s v="Consumer"/>
    <x v="2"/>
    <x v="3"/>
    <s v="P001"/>
    <x v="8"/>
    <x v="2"/>
    <n v="2"/>
    <n v="55000"/>
    <x v="1"/>
    <n v="93500"/>
    <n v="15989.85"/>
    <x v="3"/>
    <x v="0"/>
    <x v="4"/>
    <x v="0"/>
    <x v="6"/>
    <s v="Feb"/>
    <s v="Q1"/>
    <x v="7"/>
    <n v="4"/>
    <n v="17.100000000000001"/>
  </r>
  <r>
    <s v="ORD01735"/>
    <d v="2025-06-18T00:00:00"/>
    <d v="2025-06-25T00:00:00"/>
    <s v="C0234"/>
    <x v="113"/>
    <s v="Corporate"/>
    <x v="3"/>
    <x v="8"/>
    <s v="P002"/>
    <x v="3"/>
    <x v="2"/>
    <n v="1"/>
    <n v="25000"/>
    <x v="4"/>
    <n v="22500"/>
    <n v="3420.27"/>
    <x v="5"/>
    <x v="2"/>
    <x v="2"/>
    <x v="0"/>
    <x v="8"/>
    <s v="Jun"/>
    <s v="Q2"/>
    <x v="10"/>
    <n v="7"/>
    <n v="15.2"/>
  </r>
  <r>
    <s v="ORD01487"/>
    <d v="2025-01-12T00:00:00"/>
    <d v="2025-01-13T00:00:00"/>
    <s v="C0283"/>
    <x v="59"/>
    <s v="Small Business"/>
    <x v="1"/>
    <x v="13"/>
    <s v="P008"/>
    <x v="11"/>
    <x v="1"/>
    <n v="1"/>
    <n v="250"/>
    <x v="2"/>
    <n v="200"/>
    <n v="79.06"/>
    <x v="5"/>
    <x v="1"/>
    <x v="4"/>
    <x v="0"/>
    <x v="11"/>
    <s v="Jan"/>
    <s v="Q1"/>
    <x v="17"/>
    <n v="1"/>
    <n v="39.53"/>
  </r>
  <r>
    <s v="ORD00605"/>
    <d v="2025-08-28T00:00:00"/>
    <d v="2025-09-04T00:00:00"/>
    <s v="C0251"/>
    <x v="159"/>
    <s v="Consumer"/>
    <x v="0"/>
    <x v="10"/>
    <s v="P004"/>
    <x v="7"/>
    <x v="2"/>
    <n v="2"/>
    <n v="8000"/>
    <x v="3"/>
    <n v="15200"/>
    <n v="3800"/>
    <x v="5"/>
    <x v="0"/>
    <x v="2"/>
    <x v="0"/>
    <x v="7"/>
    <s v="Aug"/>
    <s v="Q3"/>
    <x v="22"/>
    <n v="7"/>
    <n v="25"/>
  </r>
  <r>
    <s v="ORD00728"/>
    <d v="2025-02-26T00:00:00"/>
    <d v="2025-03-03T00:00:00"/>
    <s v="C0262"/>
    <x v="175"/>
    <s v="Corporate"/>
    <x v="0"/>
    <x v="15"/>
    <s v="P007"/>
    <x v="10"/>
    <x v="0"/>
    <n v="1"/>
    <n v="6000"/>
    <x v="1"/>
    <n v="5100"/>
    <n v="1209.46"/>
    <x v="3"/>
    <x v="1"/>
    <x v="1"/>
    <x v="0"/>
    <x v="6"/>
    <s v="Feb"/>
    <s v="Q1"/>
    <x v="7"/>
    <n v="5"/>
    <n v="23.71"/>
  </r>
  <r>
    <s v="ORD00707"/>
    <d v="2025-01-27T00:00:00"/>
    <d v="2025-01-29T00:00:00"/>
    <s v="C0109"/>
    <x v="136"/>
    <s v="Corporate"/>
    <x v="1"/>
    <x v="1"/>
    <s v="P012"/>
    <x v="4"/>
    <x v="3"/>
    <n v="3"/>
    <n v="3500"/>
    <x v="1"/>
    <n v="8925"/>
    <n v="2681.44"/>
    <x v="2"/>
    <x v="2"/>
    <x v="3"/>
    <x v="0"/>
    <x v="11"/>
    <s v="Jan"/>
    <s v="Q1"/>
    <x v="17"/>
    <n v="2"/>
    <n v="30.04"/>
  </r>
  <r>
    <s v="ORD00874"/>
    <d v="2024-06-07T00:00:00"/>
    <d v="2024-06-13T00:00:00"/>
    <s v="C0241"/>
    <x v="63"/>
    <s v="Consumer"/>
    <x v="2"/>
    <x v="4"/>
    <s v="P004"/>
    <x v="7"/>
    <x v="2"/>
    <n v="5"/>
    <n v="8000"/>
    <x v="0"/>
    <n v="40000"/>
    <n v="7051.34"/>
    <x v="6"/>
    <x v="1"/>
    <x v="0"/>
    <x v="1"/>
    <x v="8"/>
    <s v="Jun"/>
    <s v="Q2"/>
    <x v="12"/>
    <n v="6"/>
    <n v="17.63"/>
  </r>
  <r>
    <s v="ORD01706"/>
    <d v="2025-04-18T00:00:00"/>
    <d v="2025-04-25T00:00:00"/>
    <s v="C0129"/>
    <x v="259"/>
    <s v="Consumer"/>
    <x v="2"/>
    <x v="14"/>
    <s v="P002"/>
    <x v="3"/>
    <x v="2"/>
    <n v="4"/>
    <n v="25000"/>
    <x v="2"/>
    <n v="80000"/>
    <n v="10272.879999999999"/>
    <x v="4"/>
    <x v="1"/>
    <x v="4"/>
    <x v="0"/>
    <x v="5"/>
    <s v="Apr"/>
    <s v="Q2"/>
    <x v="13"/>
    <n v="7"/>
    <n v="12.84"/>
  </r>
  <r>
    <s v="ORD01381"/>
    <d v="2025-03-24T00:00:00"/>
    <d v="2025-03-27T00:00:00"/>
    <s v="C0180"/>
    <x v="89"/>
    <s v="Corporate"/>
    <x v="2"/>
    <x v="9"/>
    <s v="P006"/>
    <x v="1"/>
    <x v="0"/>
    <n v="4"/>
    <n v="9500"/>
    <x v="2"/>
    <n v="30400"/>
    <n v="4643.22"/>
    <x v="3"/>
    <x v="0"/>
    <x v="3"/>
    <x v="0"/>
    <x v="0"/>
    <s v="Mar"/>
    <s v="Q1"/>
    <x v="0"/>
    <n v="3"/>
    <n v="15.27"/>
  </r>
  <r>
    <s v="ORD00860"/>
    <d v="2024-08-11T00:00:00"/>
    <d v="2024-08-13T00:00:00"/>
    <s v="C0023"/>
    <x v="132"/>
    <s v="Small Business"/>
    <x v="1"/>
    <x v="16"/>
    <s v="P002"/>
    <x v="3"/>
    <x v="2"/>
    <n v="2"/>
    <n v="25000"/>
    <x v="2"/>
    <n v="40000"/>
    <n v="5637.29"/>
    <x v="5"/>
    <x v="2"/>
    <x v="1"/>
    <x v="1"/>
    <x v="7"/>
    <s v="Aug"/>
    <s v="Q3"/>
    <x v="9"/>
    <n v="2"/>
    <n v="14.09"/>
  </r>
  <r>
    <s v="ORD00588"/>
    <d v="2024-07-26T00:00:00"/>
    <d v="2024-08-02T00:00:00"/>
    <s v="C0113"/>
    <x v="195"/>
    <s v="Small Business"/>
    <x v="1"/>
    <x v="16"/>
    <s v="P002"/>
    <x v="3"/>
    <x v="2"/>
    <n v="2"/>
    <n v="25000"/>
    <x v="2"/>
    <n v="40000"/>
    <n v="6206.15"/>
    <x v="3"/>
    <x v="0"/>
    <x v="1"/>
    <x v="1"/>
    <x v="3"/>
    <s v="Jul"/>
    <s v="Q3"/>
    <x v="4"/>
    <n v="7"/>
    <n v="15.52"/>
  </r>
  <r>
    <s v="ORD00091"/>
    <d v="2024-03-19T00:00:00"/>
    <d v="2024-03-25T00:00:00"/>
    <s v="C0191"/>
    <x v="210"/>
    <s v="Corporate"/>
    <x v="2"/>
    <x v="3"/>
    <s v="P008"/>
    <x v="11"/>
    <x v="1"/>
    <n v="2"/>
    <n v="250"/>
    <x v="4"/>
    <n v="450"/>
    <n v="152.41999999999999"/>
    <x v="5"/>
    <x v="1"/>
    <x v="2"/>
    <x v="1"/>
    <x v="0"/>
    <s v="Mar"/>
    <s v="Q1"/>
    <x v="2"/>
    <n v="6"/>
    <n v="33.869999999999997"/>
  </r>
  <r>
    <s v="ORD00073"/>
    <d v="2025-02-09T00:00:00"/>
    <d v="2025-02-11T00:00:00"/>
    <s v="C0213"/>
    <x v="116"/>
    <s v="Corporate"/>
    <x v="3"/>
    <x v="7"/>
    <s v="P001"/>
    <x v="8"/>
    <x v="2"/>
    <n v="2"/>
    <n v="55000"/>
    <x v="0"/>
    <n v="110000"/>
    <n v="16918.439999999999"/>
    <x v="3"/>
    <x v="0"/>
    <x v="3"/>
    <x v="0"/>
    <x v="6"/>
    <s v="Feb"/>
    <s v="Q1"/>
    <x v="7"/>
    <n v="2"/>
    <n v="15.38"/>
  </r>
  <r>
    <s v="ORD00520"/>
    <d v="2025-10-14T00:00:00"/>
    <d v="2025-10-16T00:00:00"/>
    <s v="C0180"/>
    <x v="89"/>
    <s v="Corporate"/>
    <x v="2"/>
    <x v="9"/>
    <s v="P009"/>
    <x v="2"/>
    <x v="1"/>
    <n v="2"/>
    <n v="180"/>
    <x v="1"/>
    <n v="306"/>
    <n v="111.9"/>
    <x v="3"/>
    <x v="1"/>
    <x v="1"/>
    <x v="0"/>
    <x v="1"/>
    <s v="Oct"/>
    <s v="Q4"/>
    <x v="14"/>
    <n v="2"/>
    <n v="36.57"/>
  </r>
  <r>
    <s v="ORD01398"/>
    <d v="2024-07-06T00:00:00"/>
    <d v="2024-07-13T00:00:00"/>
    <s v="C0071"/>
    <x v="162"/>
    <s v="Small Business"/>
    <x v="3"/>
    <x v="6"/>
    <s v="P006"/>
    <x v="1"/>
    <x v="0"/>
    <n v="1"/>
    <n v="9500"/>
    <x v="0"/>
    <n v="9500"/>
    <n v="1464.83"/>
    <x v="3"/>
    <x v="1"/>
    <x v="3"/>
    <x v="1"/>
    <x v="3"/>
    <s v="Jul"/>
    <s v="Q3"/>
    <x v="4"/>
    <n v="7"/>
    <n v="15.42"/>
  </r>
  <r>
    <s v="ORD01960"/>
    <d v="2024-07-01T00:00:00"/>
    <d v="2024-07-03T00:00:00"/>
    <s v="C0001"/>
    <x v="250"/>
    <s v="Small Business"/>
    <x v="0"/>
    <x v="0"/>
    <s v="P010"/>
    <x v="6"/>
    <x v="4"/>
    <n v="4"/>
    <n v="1800"/>
    <x v="2"/>
    <n v="5760"/>
    <n v="1499.26"/>
    <x v="3"/>
    <x v="0"/>
    <x v="0"/>
    <x v="1"/>
    <x v="3"/>
    <s v="Jul"/>
    <s v="Q3"/>
    <x v="4"/>
    <n v="2"/>
    <n v="26.03"/>
  </r>
  <r>
    <s v="ORD01887"/>
    <d v="2024-08-06T00:00:00"/>
    <d v="2024-08-12T00:00:00"/>
    <s v="C0056"/>
    <x v="26"/>
    <s v="Small Business"/>
    <x v="3"/>
    <x v="12"/>
    <s v="P004"/>
    <x v="7"/>
    <x v="2"/>
    <n v="2"/>
    <n v="8000"/>
    <x v="3"/>
    <n v="15200"/>
    <n v="4019.55"/>
    <x v="4"/>
    <x v="0"/>
    <x v="3"/>
    <x v="1"/>
    <x v="7"/>
    <s v="Aug"/>
    <s v="Q3"/>
    <x v="9"/>
    <n v="6"/>
    <n v="26.44"/>
  </r>
  <r>
    <s v="ORD00421"/>
    <d v="2025-03-05T00:00:00"/>
    <d v="2025-03-12T00:00:00"/>
    <s v="C0218"/>
    <x v="105"/>
    <s v="Corporate"/>
    <x v="2"/>
    <x v="3"/>
    <s v="P004"/>
    <x v="7"/>
    <x v="2"/>
    <n v="3"/>
    <n v="8000"/>
    <x v="0"/>
    <n v="24000"/>
    <n v="5076.1899999999996"/>
    <x v="3"/>
    <x v="1"/>
    <x v="2"/>
    <x v="0"/>
    <x v="0"/>
    <s v="Mar"/>
    <s v="Q1"/>
    <x v="0"/>
    <n v="7"/>
    <n v="21.15"/>
  </r>
  <r>
    <s v="ORD01482"/>
    <d v="2025-10-23T00:00:00"/>
    <d v="2025-10-24T00:00:00"/>
    <s v="C0275"/>
    <x v="281"/>
    <s v="Small Business"/>
    <x v="0"/>
    <x v="15"/>
    <s v="P004"/>
    <x v="7"/>
    <x v="2"/>
    <n v="5"/>
    <n v="8000"/>
    <x v="4"/>
    <n v="36000"/>
    <n v="6733.3"/>
    <x v="5"/>
    <x v="0"/>
    <x v="1"/>
    <x v="0"/>
    <x v="1"/>
    <s v="Oct"/>
    <s v="Q4"/>
    <x v="14"/>
    <n v="1"/>
    <n v="18.7"/>
  </r>
  <r>
    <s v="ORD00313"/>
    <d v="2025-01-17T00:00:00"/>
    <d v="2025-01-21T00:00:00"/>
    <s v="C0274"/>
    <x v="9"/>
    <s v="Consumer"/>
    <x v="3"/>
    <x v="6"/>
    <s v="P004"/>
    <x v="7"/>
    <x v="2"/>
    <n v="5"/>
    <n v="8000"/>
    <x v="0"/>
    <n v="40000"/>
    <n v="10027.39"/>
    <x v="2"/>
    <x v="2"/>
    <x v="3"/>
    <x v="0"/>
    <x v="11"/>
    <s v="Jan"/>
    <s v="Q1"/>
    <x v="17"/>
    <n v="4"/>
    <n v="25.07"/>
  </r>
  <r>
    <s v="ORD00612"/>
    <d v="2024-02-26T00:00:00"/>
    <d v="2024-02-27T00:00:00"/>
    <s v="C0172"/>
    <x v="226"/>
    <s v="Small Business"/>
    <x v="3"/>
    <x v="7"/>
    <s v="P012"/>
    <x v="4"/>
    <x v="3"/>
    <n v="2"/>
    <n v="3500"/>
    <x v="1"/>
    <n v="5950"/>
    <n v="1610.02"/>
    <x v="2"/>
    <x v="1"/>
    <x v="4"/>
    <x v="1"/>
    <x v="6"/>
    <s v="Feb"/>
    <s v="Q1"/>
    <x v="18"/>
    <n v="1"/>
    <n v="27.06"/>
  </r>
  <r>
    <s v="ORD00429"/>
    <d v="2025-10-08T00:00:00"/>
    <d v="2025-10-14T00:00:00"/>
    <s v="C0173"/>
    <x v="184"/>
    <s v="Corporate"/>
    <x v="1"/>
    <x v="16"/>
    <s v="P007"/>
    <x v="10"/>
    <x v="0"/>
    <n v="2"/>
    <n v="6000"/>
    <x v="0"/>
    <n v="12000"/>
    <n v="2107.14"/>
    <x v="4"/>
    <x v="1"/>
    <x v="4"/>
    <x v="0"/>
    <x v="1"/>
    <s v="Oct"/>
    <s v="Q4"/>
    <x v="14"/>
    <n v="6"/>
    <n v="17.559999999999999"/>
  </r>
  <r>
    <s v="ORD00106"/>
    <d v="2024-09-10T00:00:00"/>
    <d v="2024-09-17T00:00:00"/>
    <s v="C0137"/>
    <x v="241"/>
    <s v="Small Business"/>
    <x v="1"/>
    <x v="1"/>
    <s v="P008"/>
    <x v="11"/>
    <x v="1"/>
    <n v="1"/>
    <n v="250"/>
    <x v="0"/>
    <n v="250"/>
    <n v="81.61"/>
    <x v="1"/>
    <x v="1"/>
    <x v="2"/>
    <x v="1"/>
    <x v="9"/>
    <s v="Sep"/>
    <s v="Q3"/>
    <x v="20"/>
    <n v="7"/>
    <n v="32.64"/>
  </r>
  <r>
    <s v="ORD01056"/>
    <d v="2025-04-21T00:00:00"/>
    <d v="2025-04-23T00:00:00"/>
    <s v="C0169"/>
    <x v="196"/>
    <s v="Corporate"/>
    <x v="3"/>
    <x v="6"/>
    <s v="P004"/>
    <x v="7"/>
    <x v="2"/>
    <n v="2"/>
    <n v="8000"/>
    <x v="0"/>
    <n v="16000"/>
    <n v="4237.99"/>
    <x v="6"/>
    <x v="1"/>
    <x v="1"/>
    <x v="0"/>
    <x v="5"/>
    <s v="Apr"/>
    <s v="Q2"/>
    <x v="13"/>
    <n v="2"/>
    <n v="26.49"/>
  </r>
  <r>
    <s v="ORD00772"/>
    <d v="2025-11-11T00:00:00"/>
    <d v="2025-11-12T00:00:00"/>
    <s v="C0046"/>
    <x v="269"/>
    <s v="Small Business"/>
    <x v="0"/>
    <x v="2"/>
    <s v="P010"/>
    <x v="6"/>
    <x v="4"/>
    <n v="1"/>
    <n v="1800"/>
    <x v="3"/>
    <n v="1710"/>
    <n v="500.11"/>
    <x v="5"/>
    <x v="1"/>
    <x v="4"/>
    <x v="0"/>
    <x v="2"/>
    <s v="Nov"/>
    <s v="Q4"/>
    <x v="23"/>
    <n v="1"/>
    <n v="29.25"/>
  </r>
  <r>
    <s v="ORD00888"/>
    <d v="2025-09-09T00:00:00"/>
    <d v="2025-09-17T00:00:00"/>
    <s v="C0004"/>
    <x v="119"/>
    <s v="Corporate"/>
    <x v="0"/>
    <x v="11"/>
    <s v="P007"/>
    <x v="10"/>
    <x v="0"/>
    <n v="2"/>
    <n v="6000"/>
    <x v="2"/>
    <n v="9600"/>
    <n v="1857.79"/>
    <x v="0"/>
    <x v="1"/>
    <x v="1"/>
    <x v="0"/>
    <x v="9"/>
    <s v="Sep"/>
    <s v="Q3"/>
    <x v="11"/>
    <n v="8"/>
    <n v="19.350000000000001"/>
  </r>
  <r>
    <s v="ORD01100"/>
    <d v="2025-02-24T00:00:00"/>
    <d v="2025-03-03T00:00:00"/>
    <s v="C0239"/>
    <x v="278"/>
    <s v="Consumer"/>
    <x v="1"/>
    <x v="5"/>
    <s v="P007"/>
    <x v="10"/>
    <x v="0"/>
    <n v="2"/>
    <n v="6000"/>
    <x v="4"/>
    <n v="10800"/>
    <n v="1841.79"/>
    <x v="2"/>
    <x v="0"/>
    <x v="1"/>
    <x v="0"/>
    <x v="6"/>
    <s v="Feb"/>
    <s v="Q1"/>
    <x v="7"/>
    <n v="7"/>
    <n v="17.05"/>
  </r>
  <r>
    <s v="ORD00183"/>
    <d v="2025-03-26T00:00:00"/>
    <d v="2025-03-29T00:00:00"/>
    <s v="C0195"/>
    <x v="220"/>
    <s v="Corporate"/>
    <x v="1"/>
    <x v="5"/>
    <s v="P006"/>
    <x v="1"/>
    <x v="0"/>
    <n v="1"/>
    <n v="9500"/>
    <x v="2"/>
    <n v="7600"/>
    <n v="1564.71"/>
    <x v="3"/>
    <x v="1"/>
    <x v="1"/>
    <x v="0"/>
    <x v="0"/>
    <s v="Mar"/>
    <s v="Q1"/>
    <x v="0"/>
    <n v="3"/>
    <n v="20.59"/>
  </r>
  <r>
    <s v="ORD01984"/>
    <d v="2025-12-16T00:00:00"/>
    <d v="2025-12-18T00:00:00"/>
    <s v="C0260"/>
    <x v="190"/>
    <s v="Consumer"/>
    <x v="0"/>
    <x v="10"/>
    <s v="P010"/>
    <x v="6"/>
    <x v="4"/>
    <n v="1"/>
    <n v="1800"/>
    <x v="0"/>
    <n v="1800"/>
    <n v="577.78"/>
    <x v="6"/>
    <x v="2"/>
    <x v="4"/>
    <x v="0"/>
    <x v="10"/>
    <s v="Dec"/>
    <s v="Q4"/>
    <x v="19"/>
    <n v="2"/>
    <n v="32.1"/>
  </r>
  <r>
    <s v="ORD00961"/>
    <d v="2025-04-01T00:00:00"/>
    <d v="2025-04-07T00:00:00"/>
    <s v="C0099"/>
    <x v="36"/>
    <s v="Small Business"/>
    <x v="0"/>
    <x v="0"/>
    <s v="P012"/>
    <x v="4"/>
    <x v="3"/>
    <n v="5"/>
    <n v="3500"/>
    <x v="0"/>
    <n v="17500"/>
    <n v="5600"/>
    <x v="3"/>
    <x v="2"/>
    <x v="0"/>
    <x v="0"/>
    <x v="5"/>
    <s v="Apr"/>
    <s v="Q2"/>
    <x v="13"/>
    <n v="6"/>
    <n v="32"/>
  </r>
  <r>
    <s v="ORD01079"/>
    <d v="2024-04-13T00:00:00"/>
    <d v="2024-04-18T00:00:00"/>
    <s v="C0201"/>
    <x v="150"/>
    <s v="Small Business"/>
    <x v="3"/>
    <x v="7"/>
    <s v="P007"/>
    <x v="10"/>
    <x v="0"/>
    <n v="1"/>
    <n v="6000"/>
    <x v="2"/>
    <n v="4800"/>
    <n v="1211.69"/>
    <x v="0"/>
    <x v="0"/>
    <x v="2"/>
    <x v="1"/>
    <x v="5"/>
    <s v="Apr"/>
    <s v="Q2"/>
    <x v="6"/>
    <n v="5"/>
    <n v="25.24"/>
  </r>
  <r>
    <s v="ORD01131"/>
    <d v="2025-05-05T00:00:00"/>
    <d v="2025-05-07T00:00:00"/>
    <s v="C0042"/>
    <x v="117"/>
    <s v="Consumer"/>
    <x v="1"/>
    <x v="13"/>
    <s v="P009"/>
    <x v="2"/>
    <x v="1"/>
    <n v="5"/>
    <n v="180"/>
    <x v="0"/>
    <n v="900"/>
    <n v="400.68"/>
    <x v="2"/>
    <x v="1"/>
    <x v="1"/>
    <x v="0"/>
    <x v="4"/>
    <s v="May"/>
    <s v="Q2"/>
    <x v="5"/>
    <n v="2"/>
    <n v="44.52"/>
  </r>
  <r>
    <s v="ORD01516"/>
    <d v="2024-02-12T00:00:00"/>
    <d v="2024-02-15T00:00:00"/>
    <s v="C0257"/>
    <x v="64"/>
    <s v="Small Business"/>
    <x v="0"/>
    <x v="11"/>
    <s v="P009"/>
    <x v="2"/>
    <x v="1"/>
    <n v="2"/>
    <n v="180"/>
    <x v="4"/>
    <n v="324"/>
    <n v="102.3"/>
    <x v="5"/>
    <x v="0"/>
    <x v="4"/>
    <x v="1"/>
    <x v="6"/>
    <s v="Feb"/>
    <s v="Q1"/>
    <x v="18"/>
    <n v="3"/>
    <n v="31.57"/>
  </r>
  <r>
    <s v="ORD00473"/>
    <d v="2025-06-20T00:00:00"/>
    <d v="2025-06-26T00:00:00"/>
    <s v="C0028"/>
    <x v="211"/>
    <s v="Corporate"/>
    <x v="2"/>
    <x v="3"/>
    <s v="P005"/>
    <x v="0"/>
    <x v="0"/>
    <n v="1"/>
    <n v="7000"/>
    <x v="4"/>
    <n v="6300"/>
    <n v="1283.3900000000001"/>
    <x v="1"/>
    <x v="2"/>
    <x v="2"/>
    <x v="0"/>
    <x v="8"/>
    <s v="Jun"/>
    <s v="Q2"/>
    <x v="10"/>
    <n v="6"/>
    <n v="20.37"/>
  </r>
  <r>
    <s v="ORD01720"/>
    <d v="2024-03-19T00:00:00"/>
    <d v="2024-03-24T00:00:00"/>
    <s v="C0069"/>
    <x v="101"/>
    <s v="Small Business"/>
    <x v="0"/>
    <x v="0"/>
    <s v="P001"/>
    <x v="8"/>
    <x v="2"/>
    <n v="1"/>
    <n v="55000"/>
    <x v="0"/>
    <n v="55000"/>
    <n v="10131.709999999999"/>
    <x v="2"/>
    <x v="2"/>
    <x v="4"/>
    <x v="1"/>
    <x v="0"/>
    <s v="Mar"/>
    <s v="Q1"/>
    <x v="2"/>
    <n v="5"/>
    <n v="18.420000000000002"/>
  </r>
  <r>
    <s v="ORD00173"/>
    <d v="2025-02-02T00:00:00"/>
    <d v="2025-02-05T00:00:00"/>
    <s v="C0124"/>
    <x v="10"/>
    <s v="Small Business"/>
    <x v="1"/>
    <x v="1"/>
    <s v="P010"/>
    <x v="6"/>
    <x v="4"/>
    <n v="3"/>
    <n v="1800"/>
    <x v="4"/>
    <n v="4860"/>
    <n v="1416.41"/>
    <x v="5"/>
    <x v="2"/>
    <x v="3"/>
    <x v="0"/>
    <x v="6"/>
    <s v="Feb"/>
    <s v="Q1"/>
    <x v="7"/>
    <n v="3"/>
    <n v="29.14"/>
  </r>
  <r>
    <s v="ORD01658"/>
    <d v="2024-10-08T00:00:00"/>
    <d v="2024-10-15T00:00:00"/>
    <s v="C0266"/>
    <x v="201"/>
    <s v="Small Business"/>
    <x v="2"/>
    <x v="4"/>
    <s v="P011"/>
    <x v="9"/>
    <x v="4"/>
    <n v="1"/>
    <n v="600"/>
    <x v="1"/>
    <n v="510"/>
    <n v="146.97"/>
    <x v="3"/>
    <x v="0"/>
    <x v="2"/>
    <x v="1"/>
    <x v="1"/>
    <s v="Oct"/>
    <s v="Q4"/>
    <x v="1"/>
    <n v="7"/>
    <n v="28.82"/>
  </r>
  <r>
    <s v="ORD00849"/>
    <d v="2024-09-15T00:00:00"/>
    <d v="2024-09-17T00:00:00"/>
    <s v="C0231"/>
    <x v="32"/>
    <s v="Small Business"/>
    <x v="1"/>
    <x v="1"/>
    <s v="P003"/>
    <x v="5"/>
    <x v="2"/>
    <n v="1"/>
    <n v="3000"/>
    <x v="0"/>
    <n v="3000"/>
    <n v="796.38"/>
    <x v="5"/>
    <x v="2"/>
    <x v="0"/>
    <x v="1"/>
    <x v="9"/>
    <s v="Sep"/>
    <s v="Q3"/>
    <x v="20"/>
    <n v="2"/>
    <n v="26.55"/>
  </r>
  <r>
    <s v="ORD01161"/>
    <d v="2025-07-15T00:00:00"/>
    <d v="2025-07-16T00:00:00"/>
    <s v="C0295"/>
    <x v="107"/>
    <s v="Consumer"/>
    <x v="0"/>
    <x v="11"/>
    <s v="P011"/>
    <x v="9"/>
    <x v="4"/>
    <n v="3"/>
    <n v="600"/>
    <x v="4"/>
    <n v="1620"/>
    <n v="611.42999999999995"/>
    <x v="1"/>
    <x v="1"/>
    <x v="1"/>
    <x v="0"/>
    <x v="3"/>
    <s v="Jul"/>
    <s v="Q3"/>
    <x v="15"/>
    <n v="1"/>
    <n v="37.74"/>
  </r>
  <r>
    <s v="ORD00418"/>
    <d v="2025-02-07T00:00:00"/>
    <d v="2025-02-09T00:00:00"/>
    <s v="C0258"/>
    <x v="45"/>
    <s v="Small Business"/>
    <x v="0"/>
    <x v="10"/>
    <s v="P006"/>
    <x v="1"/>
    <x v="0"/>
    <n v="4"/>
    <n v="9500"/>
    <x v="2"/>
    <n v="30400"/>
    <n v="4681.1099999999997"/>
    <x v="5"/>
    <x v="2"/>
    <x v="0"/>
    <x v="0"/>
    <x v="6"/>
    <s v="Feb"/>
    <s v="Q1"/>
    <x v="7"/>
    <n v="2"/>
    <n v="15.4"/>
  </r>
  <r>
    <s v="ORD01008"/>
    <d v="2025-09-15T00:00:00"/>
    <d v="2025-09-18T00:00:00"/>
    <s v="C0265"/>
    <x v="109"/>
    <s v="Consumer"/>
    <x v="1"/>
    <x v="1"/>
    <s v="P012"/>
    <x v="4"/>
    <x v="3"/>
    <n v="3"/>
    <n v="3500"/>
    <x v="2"/>
    <n v="8400"/>
    <n v="2248.69"/>
    <x v="3"/>
    <x v="1"/>
    <x v="4"/>
    <x v="0"/>
    <x v="9"/>
    <s v="Sep"/>
    <s v="Q3"/>
    <x v="11"/>
    <n v="3"/>
    <n v="26.77"/>
  </r>
  <r>
    <s v="ORD00250"/>
    <d v="2024-09-11T00:00:00"/>
    <d v="2024-09-16T00:00:00"/>
    <s v="C0047"/>
    <x v="215"/>
    <s v="Corporate"/>
    <x v="2"/>
    <x v="14"/>
    <s v="P012"/>
    <x v="4"/>
    <x v="3"/>
    <n v="10"/>
    <n v="3500"/>
    <x v="3"/>
    <n v="33250"/>
    <n v="9633.2800000000007"/>
    <x v="3"/>
    <x v="0"/>
    <x v="3"/>
    <x v="1"/>
    <x v="9"/>
    <s v="Sep"/>
    <s v="Q3"/>
    <x v="20"/>
    <n v="5"/>
    <n v="28.97"/>
  </r>
  <r>
    <s v="ORD00883"/>
    <d v="2025-12-14T00:00:00"/>
    <d v="2025-12-17T00:00:00"/>
    <s v="C0050"/>
    <x v="35"/>
    <s v="Corporate"/>
    <x v="0"/>
    <x v="2"/>
    <s v="P002"/>
    <x v="3"/>
    <x v="2"/>
    <n v="2"/>
    <n v="25000"/>
    <x v="0"/>
    <n v="50000"/>
    <n v="7449.13"/>
    <x v="4"/>
    <x v="1"/>
    <x v="2"/>
    <x v="0"/>
    <x v="10"/>
    <s v="Dec"/>
    <s v="Q4"/>
    <x v="19"/>
    <n v="3"/>
    <n v="14.9"/>
  </r>
  <r>
    <s v="ORD00417"/>
    <d v="2024-08-15T00:00:00"/>
    <d v="2024-08-22T00:00:00"/>
    <s v="C0144"/>
    <x v="213"/>
    <s v="Small Business"/>
    <x v="1"/>
    <x v="13"/>
    <s v="P007"/>
    <x v="10"/>
    <x v="0"/>
    <n v="3"/>
    <n v="6000"/>
    <x v="0"/>
    <n v="18000"/>
    <n v="3117.57"/>
    <x v="0"/>
    <x v="2"/>
    <x v="3"/>
    <x v="1"/>
    <x v="7"/>
    <s v="Aug"/>
    <s v="Q3"/>
    <x v="9"/>
    <n v="7"/>
    <n v="17.32"/>
  </r>
  <r>
    <s v="ORD01302"/>
    <d v="2025-10-03T00:00:00"/>
    <d v="2025-10-05T00:00:00"/>
    <s v="C0017"/>
    <x v="242"/>
    <s v="Small Business"/>
    <x v="1"/>
    <x v="16"/>
    <s v="P007"/>
    <x v="10"/>
    <x v="0"/>
    <n v="1"/>
    <n v="6000"/>
    <x v="0"/>
    <n v="6000"/>
    <n v="1164.3699999999999"/>
    <x v="2"/>
    <x v="1"/>
    <x v="1"/>
    <x v="0"/>
    <x v="1"/>
    <s v="Oct"/>
    <s v="Q4"/>
    <x v="14"/>
    <n v="2"/>
    <n v="19.41"/>
  </r>
  <r>
    <s v="ORD01681"/>
    <d v="2025-12-17T00:00:00"/>
    <d v="2025-12-23T00:00:00"/>
    <s v="C0223"/>
    <x v="34"/>
    <s v="Corporate"/>
    <x v="1"/>
    <x v="13"/>
    <s v="P004"/>
    <x v="7"/>
    <x v="2"/>
    <n v="1"/>
    <n v="8000"/>
    <x v="4"/>
    <n v="7200"/>
    <n v="1773.88"/>
    <x v="0"/>
    <x v="1"/>
    <x v="1"/>
    <x v="0"/>
    <x v="10"/>
    <s v="Dec"/>
    <s v="Q4"/>
    <x v="19"/>
    <n v="6"/>
    <n v="24.64"/>
  </r>
  <r>
    <s v="ORD00946"/>
    <d v="2024-12-28T00:00:00"/>
    <d v="2024-12-30T00:00:00"/>
    <s v="C0083"/>
    <x v="165"/>
    <s v="Corporate"/>
    <x v="0"/>
    <x v="15"/>
    <s v="P003"/>
    <x v="5"/>
    <x v="2"/>
    <n v="1"/>
    <n v="3000"/>
    <x v="2"/>
    <n v="2400"/>
    <n v="708.26"/>
    <x v="4"/>
    <x v="1"/>
    <x v="3"/>
    <x v="1"/>
    <x v="10"/>
    <s v="Dec"/>
    <s v="Q4"/>
    <x v="16"/>
    <n v="2"/>
    <n v="29.51"/>
  </r>
  <r>
    <s v="ORD00702"/>
    <d v="2024-04-01T00:00:00"/>
    <d v="2024-04-03T00:00:00"/>
    <s v="C0134"/>
    <x v="178"/>
    <s v="Small Business"/>
    <x v="1"/>
    <x v="16"/>
    <s v="P003"/>
    <x v="5"/>
    <x v="2"/>
    <n v="5"/>
    <n v="3000"/>
    <x v="0"/>
    <n v="15000"/>
    <n v="4855.04"/>
    <x v="2"/>
    <x v="2"/>
    <x v="1"/>
    <x v="1"/>
    <x v="5"/>
    <s v="Apr"/>
    <s v="Q2"/>
    <x v="6"/>
    <n v="2"/>
    <n v="32.369999999999997"/>
  </r>
  <r>
    <s v="ORD01108"/>
    <d v="2024-08-28T00:00:00"/>
    <d v="2024-09-05T00:00:00"/>
    <s v="C0248"/>
    <x v="1"/>
    <s v="Consumer"/>
    <x v="1"/>
    <x v="1"/>
    <s v="P003"/>
    <x v="5"/>
    <x v="2"/>
    <n v="4"/>
    <n v="3000"/>
    <x v="4"/>
    <n v="10800"/>
    <n v="2605.31"/>
    <x v="5"/>
    <x v="2"/>
    <x v="3"/>
    <x v="1"/>
    <x v="7"/>
    <s v="Aug"/>
    <s v="Q3"/>
    <x v="9"/>
    <n v="8"/>
    <n v="24.12"/>
  </r>
  <r>
    <s v="ORD01655"/>
    <d v="2024-09-12T00:00:00"/>
    <d v="2024-09-19T00:00:00"/>
    <s v="C0021"/>
    <x v="75"/>
    <s v="Small Business"/>
    <x v="1"/>
    <x v="1"/>
    <s v="P004"/>
    <x v="7"/>
    <x v="2"/>
    <n v="3"/>
    <n v="8000"/>
    <x v="1"/>
    <n v="20400"/>
    <n v="3717.29"/>
    <x v="4"/>
    <x v="0"/>
    <x v="4"/>
    <x v="1"/>
    <x v="9"/>
    <s v="Sep"/>
    <s v="Q3"/>
    <x v="20"/>
    <n v="7"/>
    <n v="18.22"/>
  </r>
  <r>
    <s v="ORD00217"/>
    <d v="2024-01-01T00:00:00"/>
    <d v="2024-01-04T00:00:00"/>
    <s v="C0226"/>
    <x v="25"/>
    <s v="Small Business"/>
    <x v="3"/>
    <x v="6"/>
    <s v="P008"/>
    <x v="11"/>
    <x v="1"/>
    <n v="10"/>
    <n v="250"/>
    <x v="3"/>
    <n v="2375"/>
    <n v="741.88"/>
    <x v="5"/>
    <x v="1"/>
    <x v="2"/>
    <x v="1"/>
    <x v="11"/>
    <s v="Jan"/>
    <s v="Q1"/>
    <x v="21"/>
    <n v="3"/>
    <n v="31.24"/>
  </r>
  <r>
    <s v="ORD01808"/>
    <d v="2025-07-20T00:00:00"/>
    <d v="2025-07-28T00:00:00"/>
    <s v="C0105"/>
    <x v="126"/>
    <s v="Corporate"/>
    <x v="0"/>
    <x v="10"/>
    <s v="P012"/>
    <x v="4"/>
    <x v="3"/>
    <n v="2"/>
    <n v="3500"/>
    <x v="0"/>
    <n v="7000"/>
    <n v="2045.13"/>
    <x v="0"/>
    <x v="2"/>
    <x v="3"/>
    <x v="0"/>
    <x v="3"/>
    <s v="Jul"/>
    <s v="Q3"/>
    <x v="15"/>
    <n v="8"/>
    <n v="29.22"/>
  </r>
  <r>
    <s v="ORD01337"/>
    <d v="2024-11-20T00:00:00"/>
    <d v="2024-11-26T00:00:00"/>
    <s v="C0184"/>
    <x v="115"/>
    <s v="Consumer"/>
    <x v="2"/>
    <x v="9"/>
    <s v="P012"/>
    <x v="4"/>
    <x v="3"/>
    <n v="1"/>
    <n v="3500"/>
    <x v="0"/>
    <n v="3500"/>
    <n v="1120"/>
    <x v="0"/>
    <x v="1"/>
    <x v="1"/>
    <x v="1"/>
    <x v="2"/>
    <s v="Nov"/>
    <s v="Q4"/>
    <x v="3"/>
    <n v="6"/>
    <n v="32"/>
  </r>
  <r>
    <s v="ORD01314"/>
    <d v="2025-04-30T00:00:00"/>
    <d v="2025-05-05T00:00:00"/>
    <s v="C0167"/>
    <x v="188"/>
    <s v="Small Business"/>
    <x v="1"/>
    <x v="1"/>
    <s v="P009"/>
    <x v="2"/>
    <x v="1"/>
    <n v="3"/>
    <n v="180"/>
    <x v="2"/>
    <n v="432"/>
    <n v="168.5"/>
    <x v="4"/>
    <x v="1"/>
    <x v="0"/>
    <x v="0"/>
    <x v="5"/>
    <s v="Apr"/>
    <s v="Q2"/>
    <x v="13"/>
    <n v="5"/>
    <n v="39"/>
  </r>
  <r>
    <s v="ORD01567"/>
    <d v="2025-02-01T00:00:00"/>
    <m/>
    <s v="C0260"/>
    <x v="190"/>
    <s v="Consumer"/>
    <x v="0"/>
    <x v="10"/>
    <s v="P010"/>
    <x v="6"/>
    <x v="4"/>
    <n v="4"/>
    <n v="1800"/>
    <x v="4"/>
    <n v="6480"/>
    <n v="1774"/>
    <x v="5"/>
    <x v="0"/>
    <x v="1"/>
    <x v="0"/>
    <x v="6"/>
    <s v="Feb"/>
    <s v="Q1"/>
    <x v="7"/>
    <s v=""/>
    <n v="27.38"/>
  </r>
  <r>
    <s v="ORD00913"/>
    <d v="2024-02-04T00:00:00"/>
    <d v="2024-02-07T00:00:00"/>
    <s v="C0207"/>
    <x v="152"/>
    <s v="Small Business"/>
    <x v="2"/>
    <x v="3"/>
    <s v="P004"/>
    <x v="7"/>
    <x v="2"/>
    <n v="1"/>
    <n v="8000"/>
    <x v="3"/>
    <n v="7600"/>
    <n v="1701.36"/>
    <x v="5"/>
    <x v="2"/>
    <x v="0"/>
    <x v="1"/>
    <x v="6"/>
    <s v="Feb"/>
    <s v="Q1"/>
    <x v="18"/>
    <n v="3"/>
    <n v="22.39"/>
  </r>
  <r>
    <s v="ORD01304"/>
    <d v="2025-09-15T00:00:00"/>
    <d v="2025-09-19T00:00:00"/>
    <s v="C0091"/>
    <x v="21"/>
    <s v="Corporate"/>
    <x v="0"/>
    <x v="10"/>
    <s v="P001"/>
    <x v="8"/>
    <x v="2"/>
    <n v="1"/>
    <n v="55000"/>
    <x v="0"/>
    <n v="55000"/>
    <n v="7291.78"/>
    <x v="5"/>
    <x v="0"/>
    <x v="2"/>
    <x v="0"/>
    <x v="9"/>
    <s v="Sep"/>
    <s v="Q3"/>
    <x v="11"/>
    <n v="4"/>
    <n v="13.26"/>
  </r>
  <r>
    <s v="ORD01356"/>
    <d v="2025-10-19T00:00:00"/>
    <d v="2025-10-27T00:00:00"/>
    <s v="C0188"/>
    <x v="209"/>
    <s v="Corporate"/>
    <x v="2"/>
    <x v="3"/>
    <s v="P007"/>
    <x v="10"/>
    <x v="0"/>
    <n v="2"/>
    <n v="6000"/>
    <x v="0"/>
    <n v="12000"/>
    <n v="2277.65"/>
    <x v="2"/>
    <x v="0"/>
    <x v="1"/>
    <x v="0"/>
    <x v="1"/>
    <s v="Oct"/>
    <s v="Q4"/>
    <x v="14"/>
    <n v="8"/>
    <n v="18.98"/>
  </r>
  <r>
    <s v="ORD00548"/>
    <d v="2024-05-10T00:00:00"/>
    <d v="2024-05-11T00:00:00"/>
    <s v="C0262"/>
    <x v="175"/>
    <s v="Corporate"/>
    <x v="0"/>
    <x v="15"/>
    <s v="P007"/>
    <x v="10"/>
    <x v="0"/>
    <n v="4"/>
    <n v="6000"/>
    <x v="0"/>
    <n v="24000"/>
    <n v="4882.6899999999996"/>
    <x v="2"/>
    <x v="2"/>
    <x v="1"/>
    <x v="1"/>
    <x v="4"/>
    <s v="May"/>
    <s v="Q2"/>
    <x v="8"/>
    <n v="1"/>
    <n v="20.34"/>
  </r>
  <r>
    <s v="ORD01253"/>
    <d v="2025-01-05T00:00:00"/>
    <d v="2025-01-12T00:00:00"/>
    <s v="C0121"/>
    <x v="207"/>
    <s v="Consumer"/>
    <x v="3"/>
    <x v="12"/>
    <s v="P006"/>
    <x v="1"/>
    <x v="0"/>
    <n v="1"/>
    <n v="9500"/>
    <x v="2"/>
    <n v="7600"/>
    <n v="1064.97"/>
    <x v="2"/>
    <x v="2"/>
    <x v="2"/>
    <x v="0"/>
    <x v="11"/>
    <s v="Jan"/>
    <s v="Q1"/>
    <x v="17"/>
    <n v="7"/>
    <n v="14.01"/>
  </r>
  <r>
    <s v="ORD00567"/>
    <d v="2025-10-29T00:00:00"/>
    <d v="2025-11-03T00:00:00"/>
    <s v="C0222"/>
    <x v="143"/>
    <s v="Corporate"/>
    <x v="3"/>
    <x v="12"/>
    <s v="P010"/>
    <x v="6"/>
    <x v="4"/>
    <n v="1"/>
    <n v="1800"/>
    <x v="0"/>
    <n v="1800"/>
    <n v="643.17999999999995"/>
    <x v="5"/>
    <x v="2"/>
    <x v="0"/>
    <x v="0"/>
    <x v="1"/>
    <s v="Oct"/>
    <s v="Q4"/>
    <x v="14"/>
    <n v="5"/>
    <n v="35.729999999999997"/>
  </r>
  <r>
    <s v="ORD01241"/>
    <d v="2024-05-23T00:00:00"/>
    <d v="2024-05-30T00:00:00"/>
    <s v="C0096"/>
    <x v="172"/>
    <s v="Consumer"/>
    <x v="1"/>
    <x v="1"/>
    <s v="P008"/>
    <x v="11"/>
    <x v="1"/>
    <n v="2"/>
    <n v="250"/>
    <x v="0"/>
    <n v="500"/>
    <n v="169.78"/>
    <x v="5"/>
    <x v="2"/>
    <x v="3"/>
    <x v="1"/>
    <x v="4"/>
    <s v="May"/>
    <s v="Q2"/>
    <x v="8"/>
    <n v="7"/>
    <n v="33.96"/>
  </r>
  <r>
    <s v="ORD00756"/>
    <d v="2025-10-01T00:00:00"/>
    <d v="2025-10-08T00:00:00"/>
    <s v="C0106"/>
    <x v="192"/>
    <s v="Small Business"/>
    <x v="0"/>
    <x v="0"/>
    <s v="P009"/>
    <x v="2"/>
    <x v="1"/>
    <n v="3"/>
    <n v="180"/>
    <x v="1"/>
    <n v="459"/>
    <n v="173.11"/>
    <x v="4"/>
    <x v="1"/>
    <x v="3"/>
    <x v="0"/>
    <x v="1"/>
    <s v="Oct"/>
    <s v="Q4"/>
    <x v="14"/>
    <n v="7"/>
    <n v="37.71"/>
  </r>
  <r>
    <s v="ORD01350"/>
    <d v="2025-04-18T00:00:00"/>
    <d v="2025-04-23T00:00:00"/>
    <s v="C0169"/>
    <x v="196"/>
    <s v="Corporate"/>
    <x v="3"/>
    <x v="6"/>
    <s v="P012"/>
    <x v="4"/>
    <x v="3"/>
    <n v="3"/>
    <n v="3500"/>
    <x v="4"/>
    <n v="9450"/>
    <n v="2742.05"/>
    <x v="4"/>
    <x v="1"/>
    <x v="0"/>
    <x v="0"/>
    <x v="5"/>
    <s v="Apr"/>
    <s v="Q2"/>
    <x v="13"/>
    <n v="5"/>
    <n v="29.02"/>
  </r>
  <r>
    <s v="ORD00365"/>
    <d v="2024-09-14T00:00:00"/>
    <d v="2024-09-19T00:00:00"/>
    <s v="C0028"/>
    <x v="211"/>
    <s v="Corporate"/>
    <x v="2"/>
    <x v="3"/>
    <s v="P003"/>
    <x v="5"/>
    <x v="2"/>
    <n v="2"/>
    <n v="3000"/>
    <x v="4"/>
    <n v="5400"/>
    <n v="1666.41"/>
    <x v="0"/>
    <x v="1"/>
    <x v="0"/>
    <x v="1"/>
    <x v="9"/>
    <s v="Sep"/>
    <s v="Q3"/>
    <x v="20"/>
    <n v="5"/>
    <n v="30.86"/>
  </r>
  <r>
    <s v="ORD00428"/>
    <d v="2025-04-02T00:00:00"/>
    <d v="2025-04-10T00:00:00"/>
    <s v="C0262"/>
    <x v="175"/>
    <s v="Corporate"/>
    <x v="0"/>
    <x v="15"/>
    <s v="P008"/>
    <x v="11"/>
    <x v="1"/>
    <n v="4"/>
    <n v="250"/>
    <x v="3"/>
    <n v="950"/>
    <n v="359.28"/>
    <x v="5"/>
    <x v="0"/>
    <x v="2"/>
    <x v="0"/>
    <x v="5"/>
    <s v="Apr"/>
    <s v="Q2"/>
    <x v="13"/>
    <n v="8"/>
    <n v="37.82"/>
  </r>
  <r>
    <s v="ORD01115"/>
    <d v="2024-11-06T00:00:00"/>
    <d v="2024-11-13T00:00:00"/>
    <s v="C0143"/>
    <x v="282"/>
    <s v="Small Business"/>
    <x v="1"/>
    <x v="5"/>
    <s v="P011"/>
    <x v="9"/>
    <x v="4"/>
    <n v="1"/>
    <n v="600"/>
    <x v="2"/>
    <n v="480"/>
    <n v="174.75"/>
    <x v="6"/>
    <x v="2"/>
    <x v="2"/>
    <x v="1"/>
    <x v="2"/>
    <s v="Nov"/>
    <s v="Q4"/>
    <x v="3"/>
    <n v="7"/>
    <n v="36.409999999999997"/>
  </r>
  <r>
    <s v="ORD00974"/>
    <d v="2024-06-29T00:00:00"/>
    <d v="2024-07-02T00:00:00"/>
    <s v="C0236"/>
    <x v="130"/>
    <s v="Consumer"/>
    <x v="2"/>
    <x v="4"/>
    <s v="P003"/>
    <x v="5"/>
    <x v="2"/>
    <n v="1"/>
    <n v="3000"/>
    <x v="3"/>
    <n v="2850"/>
    <n v="855"/>
    <x v="5"/>
    <x v="1"/>
    <x v="3"/>
    <x v="1"/>
    <x v="8"/>
    <s v="Jun"/>
    <s v="Q2"/>
    <x v="12"/>
    <n v="3"/>
    <n v="30"/>
  </r>
  <r>
    <s v="ORD01076"/>
    <d v="2025-03-08T00:00:00"/>
    <d v="2025-03-13T00:00:00"/>
    <s v="C0196"/>
    <x v="22"/>
    <s v="Consumer"/>
    <x v="0"/>
    <x v="11"/>
    <s v="P012"/>
    <x v="4"/>
    <x v="3"/>
    <n v="1"/>
    <n v="3500"/>
    <x v="0"/>
    <n v="3500"/>
    <n v="964.41"/>
    <x v="1"/>
    <x v="2"/>
    <x v="0"/>
    <x v="0"/>
    <x v="0"/>
    <s v="Mar"/>
    <s v="Q1"/>
    <x v="0"/>
    <n v="5"/>
    <n v="27.55"/>
  </r>
  <r>
    <s v="ORD01616"/>
    <d v="2025-02-04T00:00:00"/>
    <d v="2025-02-09T00:00:00"/>
    <s v="C0187"/>
    <x v="208"/>
    <s v="Corporate"/>
    <x v="3"/>
    <x v="12"/>
    <s v="P003"/>
    <x v="5"/>
    <x v="2"/>
    <n v="1"/>
    <n v="3000"/>
    <x v="0"/>
    <n v="3000"/>
    <n v="647.61"/>
    <x v="6"/>
    <x v="0"/>
    <x v="0"/>
    <x v="0"/>
    <x v="6"/>
    <s v="Feb"/>
    <s v="Q1"/>
    <x v="7"/>
    <n v="5"/>
    <n v="21.59"/>
  </r>
  <r>
    <s v="ORD01604"/>
    <d v="2025-02-09T00:00:00"/>
    <d v="2025-02-13T00:00:00"/>
    <s v="C0250"/>
    <x v="43"/>
    <s v="Small Business"/>
    <x v="0"/>
    <x v="11"/>
    <s v="P008"/>
    <x v="11"/>
    <x v="1"/>
    <n v="2"/>
    <n v="250"/>
    <x v="3"/>
    <n v="475"/>
    <n v="165.69"/>
    <x v="3"/>
    <x v="0"/>
    <x v="1"/>
    <x v="0"/>
    <x v="6"/>
    <s v="Feb"/>
    <s v="Q1"/>
    <x v="7"/>
    <n v="4"/>
    <n v="34.880000000000003"/>
  </r>
  <r>
    <s v="ORD01251"/>
    <d v="2025-12-24T00:00:00"/>
    <d v="2025-12-27T00:00:00"/>
    <s v="C0193"/>
    <x v="243"/>
    <s v="Corporate"/>
    <x v="3"/>
    <x v="8"/>
    <s v="P008"/>
    <x v="11"/>
    <x v="1"/>
    <n v="5"/>
    <n v="250"/>
    <x v="3"/>
    <n v="1187.5"/>
    <n v="356.92"/>
    <x v="0"/>
    <x v="1"/>
    <x v="4"/>
    <x v="0"/>
    <x v="10"/>
    <s v="Dec"/>
    <s v="Q4"/>
    <x v="19"/>
    <n v="3"/>
    <n v="30.06"/>
  </r>
  <r>
    <s v="ORD00998"/>
    <d v="2024-11-09T00:00:00"/>
    <d v="2024-11-11T00:00:00"/>
    <s v="C0293"/>
    <x v="53"/>
    <s v="Corporate"/>
    <x v="1"/>
    <x v="16"/>
    <s v="P009"/>
    <x v="2"/>
    <x v="1"/>
    <n v="2"/>
    <n v="180"/>
    <x v="0"/>
    <n v="360"/>
    <n v="131.01"/>
    <x v="1"/>
    <x v="1"/>
    <x v="2"/>
    <x v="1"/>
    <x v="2"/>
    <s v="Nov"/>
    <s v="Q4"/>
    <x v="3"/>
    <n v="2"/>
    <n v="36.39"/>
  </r>
  <r>
    <s v="ORD01178"/>
    <d v="2024-10-15T00:00:00"/>
    <d v="2024-10-18T00:00:00"/>
    <s v="C0190"/>
    <x v="55"/>
    <s v="Corporate"/>
    <x v="3"/>
    <x v="12"/>
    <s v="P004"/>
    <x v="7"/>
    <x v="2"/>
    <n v="2"/>
    <n v="8000"/>
    <x v="1"/>
    <n v="13600"/>
    <n v="2984.96"/>
    <x v="0"/>
    <x v="1"/>
    <x v="3"/>
    <x v="1"/>
    <x v="1"/>
    <s v="Oct"/>
    <s v="Q4"/>
    <x v="1"/>
    <n v="3"/>
    <n v="21.95"/>
  </r>
  <r>
    <s v="ORD01835"/>
    <d v="2024-12-11T00:00:00"/>
    <d v="2024-12-16T00:00:00"/>
    <s v="C0221"/>
    <x v="128"/>
    <s v="Consumer"/>
    <x v="3"/>
    <x v="8"/>
    <s v="P007"/>
    <x v="10"/>
    <x v="0"/>
    <n v="1"/>
    <n v="6000"/>
    <x v="0"/>
    <n v="6000"/>
    <n v="1270.28"/>
    <x v="1"/>
    <x v="0"/>
    <x v="2"/>
    <x v="1"/>
    <x v="10"/>
    <s v="Dec"/>
    <s v="Q4"/>
    <x v="16"/>
    <n v="5"/>
    <n v="21.17"/>
  </r>
  <r>
    <s v="ORD00139"/>
    <d v="2025-07-03T00:00:00"/>
    <d v="2025-07-11T00:00:00"/>
    <s v="C0104"/>
    <x v="225"/>
    <s v="Corporate"/>
    <x v="0"/>
    <x v="11"/>
    <s v="P010"/>
    <x v="6"/>
    <x v="4"/>
    <n v="1"/>
    <n v="1800"/>
    <x v="0"/>
    <n v="1800"/>
    <n v="656.33"/>
    <x v="2"/>
    <x v="2"/>
    <x v="2"/>
    <x v="0"/>
    <x v="3"/>
    <s v="Jul"/>
    <s v="Q3"/>
    <x v="15"/>
    <n v="8"/>
    <n v="36.46"/>
  </r>
  <r>
    <s v="ORD01684"/>
    <d v="2024-08-23T00:00:00"/>
    <d v="2024-08-25T00:00:00"/>
    <s v="C0065"/>
    <x v="164"/>
    <s v="Consumer"/>
    <x v="0"/>
    <x v="11"/>
    <s v="P001"/>
    <x v="8"/>
    <x v="2"/>
    <n v="3"/>
    <n v="55000"/>
    <x v="4"/>
    <n v="148500"/>
    <n v="28863.72"/>
    <x v="1"/>
    <x v="1"/>
    <x v="0"/>
    <x v="1"/>
    <x v="7"/>
    <s v="Aug"/>
    <s v="Q3"/>
    <x v="9"/>
    <n v="2"/>
    <n v="19.440000000000001"/>
  </r>
  <r>
    <s v="ORD01909"/>
    <d v="2025-07-03T00:00:00"/>
    <d v="2025-07-10T00:00:00"/>
    <s v="C0031"/>
    <x v="84"/>
    <s v="Small Business"/>
    <x v="3"/>
    <x v="6"/>
    <s v="P001"/>
    <x v="8"/>
    <x v="2"/>
    <n v="1"/>
    <n v="55000"/>
    <x v="3"/>
    <n v="52250"/>
    <n v="8798.6"/>
    <x v="0"/>
    <x v="2"/>
    <x v="0"/>
    <x v="0"/>
    <x v="3"/>
    <s v="Jul"/>
    <s v="Q3"/>
    <x v="15"/>
    <n v="7"/>
    <n v="16.84"/>
  </r>
  <r>
    <s v="ORD01140"/>
    <d v="2024-04-16T00:00:00"/>
    <d v="2024-04-24T00:00:00"/>
    <s v="C0278"/>
    <x v="51"/>
    <s v="Small Business"/>
    <x v="0"/>
    <x v="2"/>
    <s v="P009"/>
    <x v="2"/>
    <x v="1"/>
    <n v="1"/>
    <n v="180"/>
    <x v="3"/>
    <n v="171"/>
    <n v="75.58"/>
    <x v="3"/>
    <x v="0"/>
    <x v="2"/>
    <x v="1"/>
    <x v="5"/>
    <s v="Apr"/>
    <s v="Q2"/>
    <x v="6"/>
    <n v="8"/>
    <n v="44.2"/>
  </r>
  <r>
    <s v="ORD00324"/>
    <d v="2024-04-13T00:00:00"/>
    <d v="2024-04-18T00:00:00"/>
    <s v="C0039"/>
    <x v="68"/>
    <s v="Corporate"/>
    <x v="0"/>
    <x v="15"/>
    <s v="P012"/>
    <x v="4"/>
    <x v="3"/>
    <n v="5"/>
    <n v="3500"/>
    <x v="1"/>
    <n v="14875"/>
    <n v="3772.13"/>
    <x v="3"/>
    <x v="1"/>
    <x v="3"/>
    <x v="1"/>
    <x v="5"/>
    <s v="Apr"/>
    <s v="Q2"/>
    <x v="6"/>
    <n v="5"/>
    <n v="25.36"/>
  </r>
  <r>
    <s v="ORD01445"/>
    <d v="2024-05-30T00:00:00"/>
    <d v="2024-06-02T00:00:00"/>
    <s v="C0059"/>
    <x v="283"/>
    <s v="Consumer"/>
    <x v="3"/>
    <x v="7"/>
    <s v="P011"/>
    <x v="9"/>
    <x v="4"/>
    <n v="5"/>
    <n v="600"/>
    <x v="0"/>
    <n v="3000"/>
    <n v="1142.5899999999999"/>
    <x v="0"/>
    <x v="1"/>
    <x v="0"/>
    <x v="1"/>
    <x v="4"/>
    <s v="May"/>
    <s v="Q2"/>
    <x v="8"/>
    <n v="3"/>
    <n v="38.090000000000003"/>
  </r>
  <r>
    <s v="ORD01566"/>
    <d v="2024-07-29T00:00:00"/>
    <d v="2024-08-04T00:00:00"/>
    <s v="C0278"/>
    <x v="51"/>
    <s v="Small Business"/>
    <x v="0"/>
    <x v="2"/>
    <s v="P005"/>
    <x v="0"/>
    <x v="0"/>
    <n v="4"/>
    <n v="7000"/>
    <x v="3"/>
    <n v="26600"/>
    <n v="5118.51"/>
    <x v="3"/>
    <x v="0"/>
    <x v="0"/>
    <x v="1"/>
    <x v="3"/>
    <s v="Jul"/>
    <s v="Q3"/>
    <x v="4"/>
    <n v="6"/>
    <n v="19.239999999999998"/>
  </r>
  <r>
    <s v="ORD00640"/>
    <d v="2025-08-12T00:00:00"/>
    <d v="2025-08-13T00:00:00"/>
    <s v="C0263"/>
    <x v="54"/>
    <s v="Consumer"/>
    <x v="3"/>
    <x v="8"/>
    <s v="P012"/>
    <x v="4"/>
    <x v="3"/>
    <n v="1"/>
    <n v="3500"/>
    <x v="0"/>
    <n v="3500"/>
    <n v="856.96"/>
    <x v="4"/>
    <x v="1"/>
    <x v="0"/>
    <x v="0"/>
    <x v="7"/>
    <s v="Aug"/>
    <s v="Q3"/>
    <x v="22"/>
    <n v="1"/>
    <n v="24.48"/>
  </r>
  <r>
    <s v="ORD00460"/>
    <d v="2024-08-01T00:00:00"/>
    <d v="2024-08-02T00:00:00"/>
    <s v="C0037"/>
    <x v="18"/>
    <s v="Consumer"/>
    <x v="0"/>
    <x v="0"/>
    <s v="P001"/>
    <x v="8"/>
    <x v="2"/>
    <n v="3"/>
    <n v="55000"/>
    <x v="2"/>
    <n v="132000"/>
    <n v="17391.91"/>
    <x v="3"/>
    <x v="2"/>
    <x v="0"/>
    <x v="1"/>
    <x v="7"/>
    <s v="Aug"/>
    <s v="Q3"/>
    <x v="9"/>
    <n v="1"/>
    <n v="13.18"/>
  </r>
  <r>
    <s v="ORD00630"/>
    <d v="2025-11-24T00:00:00"/>
    <d v="2025-12-02T00:00:00"/>
    <s v="C0276"/>
    <x v="181"/>
    <s v="Consumer"/>
    <x v="1"/>
    <x v="13"/>
    <s v="P008"/>
    <x v="11"/>
    <x v="1"/>
    <n v="1"/>
    <n v="250"/>
    <x v="4"/>
    <n v="225"/>
    <n v="77.2"/>
    <x v="3"/>
    <x v="2"/>
    <x v="1"/>
    <x v="0"/>
    <x v="2"/>
    <s v="Nov"/>
    <s v="Q4"/>
    <x v="23"/>
    <n v="8"/>
    <n v="34.31"/>
  </r>
  <r>
    <s v="ORD01654"/>
    <d v="2024-05-11T00:00:00"/>
    <d v="2024-05-13T00:00:00"/>
    <s v="C0130"/>
    <x v="261"/>
    <s v="Corporate"/>
    <x v="2"/>
    <x v="9"/>
    <s v="P012"/>
    <x v="4"/>
    <x v="3"/>
    <n v="2"/>
    <n v="3500"/>
    <x v="2"/>
    <n v="5600"/>
    <n v="1713.74"/>
    <x v="5"/>
    <x v="0"/>
    <x v="2"/>
    <x v="1"/>
    <x v="4"/>
    <s v="May"/>
    <s v="Q2"/>
    <x v="8"/>
    <n v="2"/>
    <n v="30.6"/>
  </r>
  <r>
    <s v="ORD01534"/>
    <d v="2025-12-26T00:00:00"/>
    <d v="2026-01-02T00:00:00"/>
    <s v="C0221"/>
    <x v="128"/>
    <s v="Consumer"/>
    <x v="3"/>
    <x v="8"/>
    <s v="P001"/>
    <x v="8"/>
    <x v="2"/>
    <n v="3"/>
    <n v="55000"/>
    <x v="1"/>
    <n v="140250"/>
    <n v="23159.61"/>
    <x v="0"/>
    <x v="0"/>
    <x v="4"/>
    <x v="0"/>
    <x v="10"/>
    <s v="Dec"/>
    <s v="Q4"/>
    <x v="19"/>
    <n v="7"/>
    <n v="16.510000000000002"/>
  </r>
  <r>
    <s v="ORD01598"/>
    <d v="2025-11-14T00:00:00"/>
    <d v="2025-11-18T00:00:00"/>
    <s v="C0270"/>
    <x v="253"/>
    <s v="Small Business"/>
    <x v="2"/>
    <x v="4"/>
    <s v="P003"/>
    <x v="5"/>
    <x v="2"/>
    <n v="3"/>
    <n v="3000"/>
    <x v="4"/>
    <n v="8100"/>
    <n v="2430"/>
    <x v="4"/>
    <x v="0"/>
    <x v="0"/>
    <x v="0"/>
    <x v="2"/>
    <s v="Nov"/>
    <s v="Q4"/>
    <x v="23"/>
    <n v="4"/>
    <n v="30"/>
  </r>
  <r>
    <s v="ORD00489"/>
    <d v="2024-10-09T00:00:00"/>
    <d v="2024-10-10T00:00:00"/>
    <s v="C0121"/>
    <x v="207"/>
    <s v="Consumer"/>
    <x v="3"/>
    <x v="12"/>
    <s v="P009"/>
    <x v="2"/>
    <x v="1"/>
    <n v="2"/>
    <n v="180"/>
    <x v="3"/>
    <n v="342"/>
    <n v="162.54"/>
    <x v="6"/>
    <x v="1"/>
    <x v="2"/>
    <x v="1"/>
    <x v="1"/>
    <s v="Oct"/>
    <s v="Q4"/>
    <x v="1"/>
    <n v="1"/>
    <n v="47.53"/>
  </r>
  <r>
    <s v="ORD01744"/>
    <d v="2025-08-09T00:00:00"/>
    <d v="2025-08-13T00:00:00"/>
    <s v="C0282"/>
    <x v="284"/>
    <s v="Corporate"/>
    <x v="3"/>
    <x v="8"/>
    <s v="P007"/>
    <x v="10"/>
    <x v="0"/>
    <n v="1"/>
    <n v="6000"/>
    <x v="3"/>
    <n v="5700"/>
    <n v="1302.53"/>
    <x v="2"/>
    <x v="2"/>
    <x v="0"/>
    <x v="0"/>
    <x v="7"/>
    <s v="Aug"/>
    <s v="Q3"/>
    <x v="22"/>
    <n v="4"/>
    <n v="22.85"/>
  </r>
  <r>
    <s v="ORD01069"/>
    <d v="2025-05-21T00:00:00"/>
    <d v="2025-05-29T00:00:00"/>
    <s v="C0040"/>
    <x v="285"/>
    <s v="Small Business"/>
    <x v="3"/>
    <x v="8"/>
    <s v="P002"/>
    <x v="3"/>
    <x v="2"/>
    <n v="1"/>
    <n v="25000"/>
    <x v="0"/>
    <n v="25000"/>
    <n v="3630.75"/>
    <x v="0"/>
    <x v="0"/>
    <x v="0"/>
    <x v="0"/>
    <x v="4"/>
    <s v="May"/>
    <s v="Q2"/>
    <x v="5"/>
    <n v="8"/>
    <n v="14.52"/>
  </r>
  <r>
    <s v="ORD00259"/>
    <d v="2024-08-12T00:00:00"/>
    <d v="2024-08-13T00:00:00"/>
    <s v="C0164"/>
    <x v="67"/>
    <s v="Small Business"/>
    <x v="3"/>
    <x v="7"/>
    <s v="P010"/>
    <x v="6"/>
    <x v="4"/>
    <n v="1"/>
    <n v="1800"/>
    <x v="2"/>
    <n v="1440"/>
    <n v="509.75"/>
    <x v="0"/>
    <x v="2"/>
    <x v="4"/>
    <x v="1"/>
    <x v="7"/>
    <s v="Aug"/>
    <s v="Q3"/>
    <x v="9"/>
    <n v="1"/>
    <n v="35.4"/>
  </r>
  <r>
    <s v="ORD00672"/>
    <d v="2025-10-25T00:00:00"/>
    <d v="2025-10-30T00:00:00"/>
    <s v="C0127"/>
    <x v="248"/>
    <s v="Consumer"/>
    <x v="3"/>
    <x v="12"/>
    <s v="P004"/>
    <x v="7"/>
    <x v="2"/>
    <n v="1"/>
    <n v="8000"/>
    <x v="1"/>
    <n v="6800"/>
    <n v="1234.54"/>
    <x v="2"/>
    <x v="1"/>
    <x v="2"/>
    <x v="0"/>
    <x v="1"/>
    <s v="Oct"/>
    <s v="Q4"/>
    <x v="14"/>
    <n v="5"/>
    <n v="18.16"/>
  </r>
  <r>
    <s v="ORD00534"/>
    <d v="2025-03-30T00:00:00"/>
    <d v="2025-03-31T00:00:00"/>
    <s v="C0174"/>
    <x v="100"/>
    <s v="Small Business"/>
    <x v="1"/>
    <x v="13"/>
    <s v="P009"/>
    <x v="2"/>
    <x v="1"/>
    <n v="1"/>
    <n v="180"/>
    <x v="0"/>
    <n v="180"/>
    <n v="71.95"/>
    <x v="2"/>
    <x v="1"/>
    <x v="3"/>
    <x v="0"/>
    <x v="0"/>
    <s v="Mar"/>
    <s v="Q1"/>
    <x v="0"/>
    <n v="1"/>
    <n v="39.97"/>
  </r>
  <r>
    <s v="ORD01790"/>
    <d v="2025-01-07T00:00:00"/>
    <d v="2025-01-12T00:00:00"/>
    <s v="C0020"/>
    <x v="47"/>
    <s v="Corporate"/>
    <x v="2"/>
    <x v="3"/>
    <s v="P002"/>
    <x v="3"/>
    <x v="2"/>
    <n v="1"/>
    <n v="25000"/>
    <x v="0"/>
    <n v="25000"/>
    <n v="2757.31"/>
    <x v="0"/>
    <x v="0"/>
    <x v="4"/>
    <x v="0"/>
    <x v="11"/>
    <s v="Jan"/>
    <s v="Q1"/>
    <x v="17"/>
    <n v="5"/>
    <n v="11.03"/>
  </r>
  <r>
    <s v="ORD00857"/>
    <d v="2025-11-11T00:00:00"/>
    <d v="2025-11-17T00:00:00"/>
    <s v="C0113"/>
    <x v="195"/>
    <s v="Small Business"/>
    <x v="1"/>
    <x v="16"/>
    <s v="P002"/>
    <x v="3"/>
    <x v="2"/>
    <n v="1"/>
    <n v="25000"/>
    <x v="3"/>
    <n v="23750"/>
    <n v="3224.06"/>
    <x v="3"/>
    <x v="2"/>
    <x v="2"/>
    <x v="0"/>
    <x v="2"/>
    <s v="Nov"/>
    <s v="Q4"/>
    <x v="23"/>
    <n v="6"/>
    <n v="13.57"/>
  </r>
  <r>
    <s v="ORD01129"/>
    <d v="2024-03-01T00:00:00"/>
    <d v="2024-03-07T00:00:00"/>
    <s v="C0103"/>
    <x v="274"/>
    <s v="Small Business"/>
    <x v="3"/>
    <x v="8"/>
    <s v="P006"/>
    <x v="1"/>
    <x v="0"/>
    <n v="1"/>
    <n v="9500"/>
    <x v="4"/>
    <n v="8550"/>
    <n v="1755.67"/>
    <x v="5"/>
    <x v="0"/>
    <x v="2"/>
    <x v="1"/>
    <x v="0"/>
    <s v="Mar"/>
    <s v="Q1"/>
    <x v="2"/>
    <n v="6"/>
    <n v="20.53"/>
  </r>
  <r>
    <s v="ORD00747"/>
    <d v="2024-02-21T00:00:00"/>
    <d v="2024-02-23T00:00:00"/>
    <s v="C0054"/>
    <x v="169"/>
    <s v="Small Business"/>
    <x v="2"/>
    <x v="14"/>
    <s v="P012"/>
    <x v="4"/>
    <x v="3"/>
    <n v="5"/>
    <n v="3500"/>
    <x v="3"/>
    <n v="16625"/>
    <n v="5424.24"/>
    <x v="2"/>
    <x v="2"/>
    <x v="1"/>
    <x v="1"/>
    <x v="6"/>
    <s v="Feb"/>
    <s v="Q1"/>
    <x v="18"/>
    <n v="2"/>
    <n v="32.630000000000003"/>
  </r>
  <r>
    <s v="ORD01173"/>
    <d v="2024-02-19T00:00:00"/>
    <d v="2024-02-26T00:00:00"/>
    <s v="C0253"/>
    <x v="200"/>
    <s v="Corporate"/>
    <x v="0"/>
    <x v="11"/>
    <s v="P006"/>
    <x v="1"/>
    <x v="0"/>
    <n v="2"/>
    <n v="9500"/>
    <x v="4"/>
    <n v="17100"/>
    <n v="3187.2"/>
    <x v="3"/>
    <x v="1"/>
    <x v="0"/>
    <x v="1"/>
    <x v="6"/>
    <s v="Feb"/>
    <s v="Q1"/>
    <x v="18"/>
    <n v="7"/>
    <n v="18.64"/>
  </r>
  <r>
    <s v="ORD00539"/>
    <d v="2024-04-25T00:00:00"/>
    <d v="2024-04-30T00:00:00"/>
    <s v="C0034"/>
    <x v="17"/>
    <s v="Small Business"/>
    <x v="1"/>
    <x v="1"/>
    <s v="P008"/>
    <x v="11"/>
    <x v="1"/>
    <n v="1"/>
    <n v="250"/>
    <x v="3"/>
    <n v="237.5"/>
    <n v="98.64"/>
    <x v="3"/>
    <x v="2"/>
    <x v="1"/>
    <x v="1"/>
    <x v="5"/>
    <s v="Apr"/>
    <s v="Q2"/>
    <x v="6"/>
    <n v="5"/>
    <n v="41.53"/>
  </r>
  <r>
    <s v="ORD01795"/>
    <d v="2025-06-10T00:00:00"/>
    <d v="2025-06-17T00:00:00"/>
    <s v="C0067"/>
    <x v="135"/>
    <s v="Consumer"/>
    <x v="2"/>
    <x v="9"/>
    <s v="P004"/>
    <x v="7"/>
    <x v="2"/>
    <n v="2"/>
    <n v="8000"/>
    <x v="2"/>
    <n v="12800"/>
    <n v="3221.74"/>
    <x v="4"/>
    <x v="0"/>
    <x v="4"/>
    <x v="0"/>
    <x v="8"/>
    <s v="Jun"/>
    <s v="Q2"/>
    <x v="10"/>
    <n v="7"/>
    <n v="25.17"/>
  </r>
  <r>
    <s v="ORD01193"/>
    <d v="2024-03-05T00:00:00"/>
    <d v="2024-03-09T00:00:00"/>
    <s v="C0181"/>
    <x v="134"/>
    <s v="Corporate"/>
    <x v="0"/>
    <x v="11"/>
    <s v="P009"/>
    <x v="2"/>
    <x v="1"/>
    <n v="3"/>
    <n v="180"/>
    <x v="4"/>
    <n v="486"/>
    <n v="171.5"/>
    <x v="4"/>
    <x v="2"/>
    <x v="0"/>
    <x v="1"/>
    <x v="0"/>
    <s v="Mar"/>
    <s v="Q1"/>
    <x v="2"/>
    <n v="4"/>
    <n v="35.29"/>
  </r>
  <r>
    <s v="ORD00343"/>
    <d v="2024-01-05T00:00:00"/>
    <d v="2024-01-12T00:00:00"/>
    <s v="C0069"/>
    <x v="101"/>
    <s v="Small Business"/>
    <x v="0"/>
    <x v="0"/>
    <s v="P008"/>
    <x v="11"/>
    <x v="1"/>
    <n v="2"/>
    <n v="250"/>
    <x v="0"/>
    <n v="500"/>
    <n v="184.26"/>
    <x v="1"/>
    <x v="1"/>
    <x v="1"/>
    <x v="1"/>
    <x v="11"/>
    <s v="Jan"/>
    <s v="Q1"/>
    <x v="21"/>
    <n v="7"/>
    <n v="36.85"/>
  </r>
  <r>
    <s v="ORD01281"/>
    <d v="2024-10-22T00:00:00"/>
    <d v="2024-10-25T00:00:00"/>
    <s v="C0091"/>
    <x v="21"/>
    <s v="Corporate"/>
    <x v="0"/>
    <x v="10"/>
    <s v="P007"/>
    <x v="10"/>
    <x v="0"/>
    <n v="4"/>
    <n v="6000"/>
    <x v="2"/>
    <n v="19200"/>
    <n v="4080.88"/>
    <x v="5"/>
    <x v="0"/>
    <x v="0"/>
    <x v="1"/>
    <x v="1"/>
    <s v="Oct"/>
    <s v="Q4"/>
    <x v="1"/>
    <n v="3"/>
    <n v="21.25"/>
  </r>
  <r>
    <s v="ORD00848"/>
    <d v="2025-07-20T00:00:00"/>
    <d v="2025-07-22T00:00:00"/>
    <s v="C0253"/>
    <x v="200"/>
    <s v="Corporate"/>
    <x v="0"/>
    <x v="11"/>
    <s v="P007"/>
    <x v="10"/>
    <x v="0"/>
    <n v="1"/>
    <n v="6000"/>
    <x v="0"/>
    <n v="6000"/>
    <n v="1052.08"/>
    <x v="1"/>
    <x v="1"/>
    <x v="0"/>
    <x v="0"/>
    <x v="3"/>
    <s v="Jul"/>
    <s v="Q3"/>
    <x v="15"/>
    <n v="2"/>
    <n v="17.53"/>
  </r>
  <r>
    <s v="ORD01836"/>
    <d v="2024-04-12T00:00:00"/>
    <d v="2024-04-19T00:00:00"/>
    <s v="C0145"/>
    <x v="16"/>
    <s v="Corporate"/>
    <x v="3"/>
    <x v="8"/>
    <s v="P003"/>
    <x v="5"/>
    <x v="2"/>
    <n v="1"/>
    <n v="3000"/>
    <x v="0"/>
    <n v="3000"/>
    <n v="914.34"/>
    <x v="5"/>
    <x v="2"/>
    <x v="2"/>
    <x v="1"/>
    <x v="5"/>
    <s v="Apr"/>
    <s v="Q2"/>
    <x v="6"/>
    <n v="7"/>
    <n v="30.48"/>
  </r>
  <r>
    <s v="ORD00055"/>
    <d v="2025-08-16T00:00:00"/>
    <d v="2025-08-22T00:00:00"/>
    <s v="C0238"/>
    <x v="88"/>
    <s v="Small Business"/>
    <x v="3"/>
    <x v="8"/>
    <s v="P010"/>
    <x v="6"/>
    <x v="4"/>
    <n v="2"/>
    <n v="1800"/>
    <x v="4"/>
    <n v="3240"/>
    <n v="1085.46"/>
    <x v="5"/>
    <x v="1"/>
    <x v="2"/>
    <x v="0"/>
    <x v="7"/>
    <s v="Aug"/>
    <s v="Q3"/>
    <x v="22"/>
    <n v="6"/>
    <n v="33.5"/>
  </r>
  <r>
    <s v="ORD00668"/>
    <d v="2025-02-02T00:00:00"/>
    <d v="2025-02-10T00:00:00"/>
    <s v="C0160"/>
    <x v="183"/>
    <s v="Corporate"/>
    <x v="2"/>
    <x v="9"/>
    <s v="P012"/>
    <x v="4"/>
    <x v="3"/>
    <n v="2"/>
    <n v="3500"/>
    <x v="0"/>
    <n v="7000"/>
    <n v="2077.69"/>
    <x v="5"/>
    <x v="2"/>
    <x v="1"/>
    <x v="0"/>
    <x v="6"/>
    <s v="Feb"/>
    <s v="Q1"/>
    <x v="7"/>
    <n v="8"/>
    <n v="29.68"/>
  </r>
  <r>
    <s v="ORD00411"/>
    <d v="2024-01-29T00:00:00"/>
    <d v="2024-02-02T00:00:00"/>
    <s v="C0236"/>
    <x v="130"/>
    <s v="Consumer"/>
    <x v="2"/>
    <x v="4"/>
    <s v="P010"/>
    <x v="6"/>
    <x v="4"/>
    <n v="2"/>
    <n v="1800"/>
    <x v="0"/>
    <n v="3600"/>
    <n v="916.05"/>
    <x v="5"/>
    <x v="2"/>
    <x v="2"/>
    <x v="1"/>
    <x v="11"/>
    <s v="Jan"/>
    <s v="Q1"/>
    <x v="21"/>
    <n v="4"/>
    <n v="25.45"/>
  </r>
  <r>
    <s v="ORD00792"/>
    <d v="2024-01-10T00:00:00"/>
    <d v="2024-01-16T00:00:00"/>
    <s v="C0099"/>
    <x v="36"/>
    <s v="Small Business"/>
    <x v="0"/>
    <x v="0"/>
    <s v="P008"/>
    <x v="11"/>
    <x v="1"/>
    <n v="1"/>
    <n v="250"/>
    <x v="0"/>
    <n v="250"/>
    <n v="100.34"/>
    <x v="4"/>
    <x v="0"/>
    <x v="1"/>
    <x v="1"/>
    <x v="11"/>
    <s v="Jan"/>
    <s v="Q1"/>
    <x v="21"/>
    <n v="6"/>
    <n v="40.14"/>
  </r>
  <r>
    <s v="ORD01406"/>
    <d v="2025-04-03T00:00:00"/>
    <d v="2025-04-09T00:00:00"/>
    <s v="C0281"/>
    <x v="19"/>
    <s v="Consumer"/>
    <x v="3"/>
    <x v="6"/>
    <s v="P007"/>
    <x v="10"/>
    <x v="0"/>
    <n v="5"/>
    <n v="6000"/>
    <x v="1"/>
    <n v="25500"/>
    <n v="5641.32"/>
    <x v="4"/>
    <x v="1"/>
    <x v="2"/>
    <x v="0"/>
    <x v="5"/>
    <s v="Apr"/>
    <s v="Q2"/>
    <x v="13"/>
    <n v="6"/>
    <n v="22.12"/>
  </r>
  <r>
    <s v="ORD01500"/>
    <d v="2024-08-10T00:00:00"/>
    <d v="2024-08-13T00:00:00"/>
    <s v="C0291"/>
    <x v="87"/>
    <s v="Small Business"/>
    <x v="1"/>
    <x v="1"/>
    <s v="P005"/>
    <x v="0"/>
    <x v="0"/>
    <n v="2"/>
    <n v="7000"/>
    <x v="0"/>
    <n v="14000"/>
    <n v="2171.23"/>
    <x v="3"/>
    <x v="0"/>
    <x v="0"/>
    <x v="1"/>
    <x v="7"/>
    <s v="Aug"/>
    <s v="Q3"/>
    <x v="9"/>
    <n v="3"/>
    <n v="15.51"/>
  </r>
  <r>
    <s v="ORD01507"/>
    <d v="2025-12-09T00:00:00"/>
    <d v="2025-12-10T00:00:00"/>
    <s v="C0246"/>
    <x v="8"/>
    <s v="Corporate"/>
    <x v="3"/>
    <x v="6"/>
    <s v="P002"/>
    <x v="3"/>
    <x v="2"/>
    <n v="1"/>
    <n v="25000"/>
    <x v="1"/>
    <n v="21250"/>
    <n v="2712.47"/>
    <x v="0"/>
    <x v="1"/>
    <x v="0"/>
    <x v="0"/>
    <x v="10"/>
    <s v="Dec"/>
    <s v="Q4"/>
    <x v="19"/>
    <n v="1"/>
    <n v="12.76"/>
  </r>
  <r>
    <s v="ORD00117"/>
    <d v="2024-08-21T00:00:00"/>
    <d v="2024-08-28T00:00:00"/>
    <s v="C0297"/>
    <x v="265"/>
    <s v="Corporate"/>
    <x v="0"/>
    <x v="11"/>
    <s v="P010"/>
    <x v="6"/>
    <x v="4"/>
    <n v="3"/>
    <n v="1800"/>
    <x v="4"/>
    <n v="4860"/>
    <n v="1517.6"/>
    <x v="4"/>
    <x v="0"/>
    <x v="2"/>
    <x v="1"/>
    <x v="7"/>
    <s v="Aug"/>
    <s v="Q3"/>
    <x v="9"/>
    <n v="7"/>
    <n v="31.23"/>
  </r>
  <r>
    <s v="ORD00550"/>
    <d v="2025-07-12T00:00:00"/>
    <m/>
    <s v="C0196"/>
    <x v="22"/>
    <s v="Consumer"/>
    <x v="0"/>
    <x v="11"/>
    <s v="P007"/>
    <x v="10"/>
    <x v="0"/>
    <n v="1"/>
    <n v="6000"/>
    <x v="0"/>
    <n v="6000"/>
    <n v="1281.53"/>
    <x v="1"/>
    <x v="1"/>
    <x v="4"/>
    <x v="0"/>
    <x v="3"/>
    <s v="Jul"/>
    <s v="Q3"/>
    <x v="15"/>
    <s v=""/>
    <n v="21.36"/>
  </r>
  <r>
    <s v="ORD01844"/>
    <d v="2025-10-27T00:00:00"/>
    <d v="2025-10-30T00:00:00"/>
    <s v="C0145"/>
    <x v="16"/>
    <s v="Corporate"/>
    <x v="3"/>
    <x v="8"/>
    <s v="P009"/>
    <x v="2"/>
    <x v="1"/>
    <n v="1"/>
    <n v="180"/>
    <x v="0"/>
    <n v="180"/>
    <n v="65.16"/>
    <x v="5"/>
    <x v="2"/>
    <x v="3"/>
    <x v="0"/>
    <x v="1"/>
    <s v="Oct"/>
    <s v="Q4"/>
    <x v="14"/>
    <n v="3"/>
    <n v="36.200000000000003"/>
  </r>
  <r>
    <s v="ORD00021"/>
    <d v="2024-05-06T00:00:00"/>
    <d v="2024-05-11T00:00:00"/>
    <s v="C0136"/>
    <x v="90"/>
    <s v="Small Business"/>
    <x v="3"/>
    <x v="8"/>
    <s v="P009"/>
    <x v="2"/>
    <x v="1"/>
    <n v="2"/>
    <n v="180"/>
    <x v="1"/>
    <n v="306"/>
    <n v="137.65"/>
    <x v="1"/>
    <x v="1"/>
    <x v="4"/>
    <x v="1"/>
    <x v="4"/>
    <s v="May"/>
    <s v="Q2"/>
    <x v="8"/>
    <n v="5"/>
    <n v="44.98"/>
  </r>
  <r>
    <s v="ORD01421"/>
    <d v="2025-07-22T00:00:00"/>
    <d v="2025-07-23T00:00:00"/>
    <s v="C0104"/>
    <x v="225"/>
    <s v="Corporate"/>
    <x v="0"/>
    <x v="11"/>
    <s v="P002"/>
    <x v="3"/>
    <x v="2"/>
    <n v="4"/>
    <n v="25000"/>
    <x v="0"/>
    <n v="100000"/>
    <n v="11262.69"/>
    <x v="0"/>
    <x v="1"/>
    <x v="3"/>
    <x v="0"/>
    <x v="3"/>
    <s v="Jul"/>
    <s v="Q3"/>
    <x v="15"/>
    <n v="1"/>
    <n v="11.26"/>
  </r>
  <r>
    <s v="ORD01134"/>
    <d v="2025-12-13T00:00:00"/>
    <d v="2025-12-21T00:00:00"/>
    <s v="C0199"/>
    <x v="70"/>
    <s v="Consumer"/>
    <x v="2"/>
    <x v="14"/>
    <s v="P007"/>
    <x v="10"/>
    <x v="0"/>
    <n v="3"/>
    <n v="6000"/>
    <x v="4"/>
    <n v="16200"/>
    <n v="2935.86"/>
    <x v="2"/>
    <x v="2"/>
    <x v="4"/>
    <x v="0"/>
    <x v="10"/>
    <s v="Dec"/>
    <s v="Q4"/>
    <x v="19"/>
    <n v="8"/>
    <n v="18.12"/>
  </r>
  <r>
    <s v="ORD00128"/>
    <d v="2025-10-29T00:00:00"/>
    <d v="2025-10-30T00:00:00"/>
    <s v="C0031"/>
    <x v="84"/>
    <s v="Small Business"/>
    <x v="3"/>
    <x v="6"/>
    <s v="P002"/>
    <x v="3"/>
    <x v="2"/>
    <n v="2"/>
    <n v="25000"/>
    <x v="1"/>
    <n v="42500"/>
    <n v="6630.85"/>
    <x v="4"/>
    <x v="1"/>
    <x v="2"/>
    <x v="0"/>
    <x v="1"/>
    <s v="Oct"/>
    <s v="Q4"/>
    <x v="14"/>
    <n v="1"/>
    <n v="15.6"/>
  </r>
  <r>
    <s v="ORD01229"/>
    <d v="2025-03-30T00:00:00"/>
    <d v="2025-04-04T00:00:00"/>
    <s v="C0062"/>
    <x v="92"/>
    <s v="Consumer"/>
    <x v="2"/>
    <x v="14"/>
    <s v="P001"/>
    <x v="8"/>
    <x v="2"/>
    <n v="2"/>
    <n v="55000"/>
    <x v="0"/>
    <n v="110000"/>
    <n v="16348.75"/>
    <x v="4"/>
    <x v="2"/>
    <x v="1"/>
    <x v="0"/>
    <x v="0"/>
    <s v="Mar"/>
    <s v="Q1"/>
    <x v="0"/>
    <n v="5"/>
    <n v="14.86"/>
  </r>
  <r>
    <s v="ORD01458"/>
    <d v="2025-12-22T00:00:00"/>
    <d v="2025-12-24T00:00:00"/>
    <s v="C0063"/>
    <x v="275"/>
    <s v="Consumer"/>
    <x v="0"/>
    <x v="0"/>
    <s v="P001"/>
    <x v="8"/>
    <x v="2"/>
    <n v="5"/>
    <n v="55000"/>
    <x v="0"/>
    <n v="275000"/>
    <n v="38324.379999999997"/>
    <x v="2"/>
    <x v="1"/>
    <x v="2"/>
    <x v="0"/>
    <x v="10"/>
    <s v="Dec"/>
    <s v="Q4"/>
    <x v="19"/>
    <n v="2"/>
    <n v="13.94"/>
  </r>
  <r>
    <s v="ORD01120"/>
    <d v="2024-11-24T00:00:00"/>
    <m/>
    <s v="C0016"/>
    <x v="83"/>
    <s v="Corporate"/>
    <x v="0"/>
    <x v="11"/>
    <s v="P003"/>
    <x v="5"/>
    <x v="2"/>
    <n v="2"/>
    <n v="3000"/>
    <x v="0"/>
    <n v="6000"/>
    <n v="1971.99"/>
    <x v="4"/>
    <x v="1"/>
    <x v="0"/>
    <x v="1"/>
    <x v="2"/>
    <s v="Nov"/>
    <s v="Q4"/>
    <x v="3"/>
    <s v=""/>
    <n v="32.869999999999997"/>
  </r>
  <r>
    <s v="ORD01791"/>
    <d v="2024-04-19T00:00:00"/>
    <d v="2024-04-23T00:00:00"/>
    <s v="C0168"/>
    <x v="256"/>
    <s v="Consumer"/>
    <x v="3"/>
    <x v="6"/>
    <s v="P004"/>
    <x v="7"/>
    <x v="2"/>
    <n v="1"/>
    <n v="8000"/>
    <x v="0"/>
    <n v="8000"/>
    <n v="1692.89"/>
    <x v="0"/>
    <x v="1"/>
    <x v="1"/>
    <x v="1"/>
    <x v="5"/>
    <s v="Apr"/>
    <s v="Q2"/>
    <x v="6"/>
    <n v="4"/>
    <n v="21.16"/>
  </r>
  <r>
    <s v="ORD01629"/>
    <d v="2024-04-11T00:00:00"/>
    <d v="2024-04-14T00:00:00"/>
    <s v="C0246"/>
    <x v="8"/>
    <s v="Corporate"/>
    <x v="3"/>
    <x v="6"/>
    <s v="P001"/>
    <x v="8"/>
    <x v="2"/>
    <n v="1"/>
    <n v="55000"/>
    <x v="1"/>
    <n v="46750"/>
    <n v="8351.1"/>
    <x v="5"/>
    <x v="1"/>
    <x v="4"/>
    <x v="1"/>
    <x v="5"/>
    <s v="Apr"/>
    <s v="Q2"/>
    <x v="6"/>
    <n v="3"/>
    <n v="17.86"/>
  </r>
  <r>
    <s v="ORD00463"/>
    <d v="2024-07-02T00:00:00"/>
    <d v="2024-07-04T00:00:00"/>
    <s v="C0292"/>
    <x v="66"/>
    <s v="Consumer"/>
    <x v="3"/>
    <x v="7"/>
    <s v="P011"/>
    <x v="9"/>
    <x v="4"/>
    <n v="2"/>
    <n v="600"/>
    <x v="4"/>
    <n v="1080"/>
    <n v="355.44"/>
    <x v="5"/>
    <x v="2"/>
    <x v="4"/>
    <x v="1"/>
    <x v="3"/>
    <s v="Jul"/>
    <s v="Q3"/>
    <x v="4"/>
    <n v="2"/>
    <n v="32.909999999999997"/>
  </r>
  <r>
    <s v="ORD00557"/>
    <d v="2024-11-15T00:00:00"/>
    <d v="2024-11-23T00:00:00"/>
    <s v="C0277"/>
    <x v="249"/>
    <s v="Small Business"/>
    <x v="0"/>
    <x v="10"/>
    <s v="P010"/>
    <x v="6"/>
    <x v="4"/>
    <n v="5"/>
    <n v="1800"/>
    <x v="4"/>
    <n v="8100"/>
    <n v="2867.35"/>
    <x v="0"/>
    <x v="2"/>
    <x v="0"/>
    <x v="1"/>
    <x v="2"/>
    <s v="Nov"/>
    <s v="Q4"/>
    <x v="3"/>
    <n v="8"/>
    <n v="35.4"/>
  </r>
  <r>
    <s v="ORD01638"/>
    <d v="2025-01-16T00:00:00"/>
    <d v="2025-01-17T00:00:00"/>
    <s v="C0009"/>
    <x v="233"/>
    <s v="Consumer"/>
    <x v="1"/>
    <x v="5"/>
    <s v="P011"/>
    <x v="9"/>
    <x v="4"/>
    <n v="2"/>
    <n v="600"/>
    <x v="3"/>
    <n v="1140"/>
    <n v="433.15"/>
    <x v="3"/>
    <x v="1"/>
    <x v="3"/>
    <x v="0"/>
    <x v="11"/>
    <s v="Jan"/>
    <s v="Q1"/>
    <x v="17"/>
    <n v="1"/>
    <n v="38"/>
  </r>
  <r>
    <s v="ORD01243"/>
    <d v="2024-04-12T00:00:00"/>
    <d v="2024-04-20T00:00:00"/>
    <s v="C0173"/>
    <x v="184"/>
    <s v="Corporate"/>
    <x v="1"/>
    <x v="16"/>
    <s v="P011"/>
    <x v="9"/>
    <x v="4"/>
    <n v="1"/>
    <n v="600"/>
    <x v="0"/>
    <n v="600"/>
    <n v="187.53"/>
    <x v="1"/>
    <x v="0"/>
    <x v="3"/>
    <x v="1"/>
    <x v="5"/>
    <s v="Apr"/>
    <s v="Q2"/>
    <x v="6"/>
    <n v="8"/>
    <n v="31.26"/>
  </r>
  <r>
    <s v="ORD00593"/>
    <d v="2024-10-04T00:00:00"/>
    <d v="2024-10-05T00:00:00"/>
    <s v="C0074"/>
    <x v="141"/>
    <s v="Consumer"/>
    <x v="2"/>
    <x v="14"/>
    <s v="P011"/>
    <x v="9"/>
    <x v="4"/>
    <n v="2"/>
    <n v="600"/>
    <x v="0"/>
    <n v="1200"/>
    <n v="430.56"/>
    <x v="1"/>
    <x v="0"/>
    <x v="0"/>
    <x v="1"/>
    <x v="1"/>
    <s v="Oct"/>
    <s v="Q4"/>
    <x v="1"/>
    <n v="1"/>
    <n v="35.880000000000003"/>
  </r>
  <r>
    <s v="ORD01888"/>
    <d v="2025-07-23T00:00:00"/>
    <d v="2025-07-24T00:00:00"/>
    <s v="C0131"/>
    <x v="156"/>
    <s v="Corporate"/>
    <x v="1"/>
    <x v="5"/>
    <s v="P006"/>
    <x v="1"/>
    <x v="0"/>
    <n v="2"/>
    <n v="9500"/>
    <x v="3"/>
    <n v="18050"/>
    <n v="3610"/>
    <x v="4"/>
    <x v="1"/>
    <x v="4"/>
    <x v="0"/>
    <x v="3"/>
    <s v="Jul"/>
    <s v="Q3"/>
    <x v="15"/>
    <n v="1"/>
    <n v="20"/>
  </r>
  <r>
    <s v="ORD00703"/>
    <d v="2025-11-20T00:00:00"/>
    <d v="2025-11-25T00:00:00"/>
    <s v="C0223"/>
    <x v="34"/>
    <s v="Corporate"/>
    <x v="1"/>
    <x v="13"/>
    <s v="P008"/>
    <x v="11"/>
    <x v="1"/>
    <n v="1"/>
    <n v="250"/>
    <x v="0"/>
    <n v="250"/>
    <n v="77.62"/>
    <x v="3"/>
    <x v="2"/>
    <x v="0"/>
    <x v="0"/>
    <x v="2"/>
    <s v="Nov"/>
    <s v="Q4"/>
    <x v="23"/>
    <n v="5"/>
    <n v="31.05"/>
  </r>
  <r>
    <s v="ORD00960"/>
    <d v="2025-01-28T00:00:00"/>
    <d v="2025-01-30T00:00:00"/>
    <s v="C0108"/>
    <x v="145"/>
    <s v="Consumer"/>
    <x v="2"/>
    <x v="4"/>
    <s v="P010"/>
    <x v="6"/>
    <x v="4"/>
    <n v="1"/>
    <n v="1800"/>
    <x v="0"/>
    <n v="1800"/>
    <n v="473.88"/>
    <x v="2"/>
    <x v="2"/>
    <x v="2"/>
    <x v="0"/>
    <x v="11"/>
    <s v="Jan"/>
    <s v="Q1"/>
    <x v="17"/>
    <n v="2"/>
    <n v="26.33"/>
  </r>
  <r>
    <s v="ORD01895"/>
    <d v="2025-12-06T00:00:00"/>
    <d v="2025-12-12T00:00:00"/>
    <s v="C0291"/>
    <x v="87"/>
    <s v="Small Business"/>
    <x v="1"/>
    <x v="1"/>
    <s v="P005"/>
    <x v="0"/>
    <x v="0"/>
    <n v="1"/>
    <n v="7000"/>
    <x v="0"/>
    <n v="7000"/>
    <n v="1440.42"/>
    <x v="5"/>
    <x v="0"/>
    <x v="3"/>
    <x v="0"/>
    <x v="10"/>
    <s v="Dec"/>
    <s v="Q4"/>
    <x v="19"/>
    <n v="6"/>
    <n v="20.58"/>
  </r>
  <r>
    <s v="ORD00387"/>
    <d v="2025-09-08T00:00:00"/>
    <d v="2025-09-15T00:00:00"/>
    <s v="C0081"/>
    <x v="149"/>
    <s v="Corporate"/>
    <x v="3"/>
    <x v="12"/>
    <s v="P006"/>
    <x v="1"/>
    <x v="0"/>
    <n v="3"/>
    <n v="9500"/>
    <x v="0"/>
    <n v="28500"/>
    <n v="5497.33"/>
    <x v="3"/>
    <x v="2"/>
    <x v="3"/>
    <x v="0"/>
    <x v="9"/>
    <s v="Sep"/>
    <s v="Q3"/>
    <x v="11"/>
    <n v="7"/>
    <n v="19.29"/>
  </r>
  <r>
    <s v="ORD01182"/>
    <d v="2024-05-20T00:00:00"/>
    <d v="2024-05-24T00:00:00"/>
    <s v="C0005"/>
    <x v="86"/>
    <s v="Consumer"/>
    <x v="0"/>
    <x v="0"/>
    <s v="P004"/>
    <x v="7"/>
    <x v="2"/>
    <n v="2"/>
    <n v="8000"/>
    <x v="2"/>
    <n v="12800"/>
    <n v="3447.25"/>
    <x v="3"/>
    <x v="1"/>
    <x v="2"/>
    <x v="1"/>
    <x v="4"/>
    <s v="May"/>
    <s v="Q2"/>
    <x v="8"/>
    <n v="4"/>
    <n v="26.93"/>
  </r>
  <r>
    <s v="ORD01220"/>
    <d v="2025-07-27T00:00:00"/>
    <d v="2025-08-04T00:00:00"/>
    <s v="C0061"/>
    <x v="85"/>
    <s v="Small Business"/>
    <x v="0"/>
    <x v="11"/>
    <s v="P004"/>
    <x v="7"/>
    <x v="2"/>
    <n v="1"/>
    <n v="8000"/>
    <x v="2"/>
    <n v="6400"/>
    <n v="1366.74"/>
    <x v="3"/>
    <x v="1"/>
    <x v="1"/>
    <x v="0"/>
    <x v="3"/>
    <s v="Jul"/>
    <s v="Q3"/>
    <x v="15"/>
    <n v="8"/>
    <n v="21.36"/>
  </r>
  <r>
    <s v="ORD01475"/>
    <d v="2024-05-11T00:00:00"/>
    <d v="2024-05-19T00:00:00"/>
    <s v="C0192"/>
    <x v="214"/>
    <s v="Consumer"/>
    <x v="3"/>
    <x v="8"/>
    <s v="P012"/>
    <x v="4"/>
    <x v="3"/>
    <n v="1"/>
    <n v="3500"/>
    <x v="3"/>
    <n v="3325"/>
    <n v="771.67"/>
    <x v="3"/>
    <x v="1"/>
    <x v="2"/>
    <x v="1"/>
    <x v="4"/>
    <s v="May"/>
    <s v="Q2"/>
    <x v="8"/>
    <n v="8"/>
    <n v="23.21"/>
  </r>
  <r>
    <s v="ORD01044"/>
    <d v="2024-01-23T00:00:00"/>
    <d v="2024-01-25T00:00:00"/>
    <s v="C0052"/>
    <x v="189"/>
    <s v="Small Business"/>
    <x v="0"/>
    <x v="0"/>
    <s v="P008"/>
    <x v="11"/>
    <x v="1"/>
    <n v="2"/>
    <n v="250"/>
    <x v="3"/>
    <n v="475"/>
    <n v="205.9"/>
    <x v="4"/>
    <x v="2"/>
    <x v="0"/>
    <x v="1"/>
    <x v="11"/>
    <s v="Jan"/>
    <s v="Q1"/>
    <x v="21"/>
    <n v="2"/>
    <n v="43.35"/>
  </r>
  <r>
    <s v="ORD01621"/>
    <d v="2024-07-25T00:00:00"/>
    <d v="2024-07-30T00:00:00"/>
    <s v="C0248"/>
    <x v="1"/>
    <s v="Consumer"/>
    <x v="1"/>
    <x v="1"/>
    <s v="P009"/>
    <x v="2"/>
    <x v="1"/>
    <n v="1"/>
    <n v="180"/>
    <x v="0"/>
    <n v="180"/>
    <n v="78.739999999999995"/>
    <x v="1"/>
    <x v="1"/>
    <x v="1"/>
    <x v="1"/>
    <x v="3"/>
    <s v="Jul"/>
    <s v="Q3"/>
    <x v="4"/>
    <n v="5"/>
    <n v="43.74"/>
  </r>
  <r>
    <s v="ORD01396"/>
    <d v="2025-02-27T00:00:00"/>
    <d v="2025-03-02T00:00:00"/>
    <s v="C0033"/>
    <x v="255"/>
    <s v="Small Business"/>
    <x v="2"/>
    <x v="14"/>
    <s v="P009"/>
    <x v="2"/>
    <x v="1"/>
    <n v="3"/>
    <n v="180"/>
    <x v="1"/>
    <n v="459"/>
    <n v="160.66"/>
    <x v="4"/>
    <x v="0"/>
    <x v="0"/>
    <x v="0"/>
    <x v="6"/>
    <s v="Feb"/>
    <s v="Q1"/>
    <x v="7"/>
    <n v="3"/>
    <n v="35"/>
  </r>
  <r>
    <s v="ORD01933"/>
    <d v="2024-01-16T00:00:00"/>
    <d v="2024-01-17T00:00:00"/>
    <s v="C0023"/>
    <x v="132"/>
    <s v="Small Business"/>
    <x v="1"/>
    <x v="16"/>
    <s v="P002"/>
    <x v="3"/>
    <x v="2"/>
    <n v="1"/>
    <n v="25000"/>
    <x v="0"/>
    <n v="25000"/>
    <n v="3958.45"/>
    <x v="6"/>
    <x v="2"/>
    <x v="1"/>
    <x v="1"/>
    <x v="11"/>
    <s v="Jan"/>
    <s v="Q1"/>
    <x v="21"/>
    <n v="1"/>
    <n v="15.83"/>
  </r>
  <r>
    <s v="ORD01344"/>
    <d v="2024-01-30T00:00:00"/>
    <d v="2024-02-02T00:00:00"/>
    <s v="C0014"/>
    <x v="161"/>
    <s v="Small Business"/>
    <x v="1"/>
    <x v="5"/>
    <s v="P006"/>
    <x v="1"/>
    <x v="0"/>
    <n v="4"/>
    <n v="9500"/>
    <x v="0"/>
    <n v="38000"/>
    <n v="7554.25"/>
    <x v="0"/>
    <x v="0"/>
    <x v="1"/>
    <x v="1"/>
    <x v="11"/>
    <s v="Jan"/>
    <s v="Q1"/>
    <x v="21"/>
    <n v="3"/>
    <n v="19.88"/>
  </r>
  <r>
    <s v="ORD00338"/>
    <d v="2025-07-27T00:00:00"/>
    <d v="2025-08-02T00:00:00"/>
    <s v="C0233"/>
    <x v="30"/>
    <s v="Small Business"/>
    <x v="1"/>
    <x v="13"/>
    <s v="P006"/>
    <x v="1"/>
    <x v="0"/>
    <n v="3"/>
    <n v="9500"/>
    <x v="4"/>
    <n v="25650"/>
    <n v="4561.87"/>
    <x v="6"/>
    <x v="1"/>
    <x v="3"/>
    <x v="0"/>
    <x v="3"/>
    <s v="Jul"/>
    <s v="Q3"/>
    <x v="15"/>
    <n v="6"/>
    <n v="17.79"/>
  </r>
  <r>
    <s v="ORD00786"/>
    <d v="2025-06-30T00:00:00"/>
    <d v="2025-07-02T00:00:00"/>
    <s v="C0024"/>
    <x v="286"/>
    <s v="Small Business"/>
    <x v="1"/>
    <x v="5"/>
    <s v="P003"/>
    <x v="5"/>
    <x v="2"/>
    <n v="2"/>
    <n v="3000"/>
    <x v="0"/>
    <n v="6000"/>
    <n v="1324.59"/>
    <x v="4"/>
    <x v="2"/>
    <x v="1"/>
    <x v="0"/>
    <x v="8"/>
    <s v="Jun"/>
    <s v="Q2"/>
    <x v="10"/>
    <n v="2"/>
    <n v="22.08"/>
  </r>
  <r>
    <s v="ORD00119"/>
    <d v="2025-04-27T00:00:00"/>
    <d v="2025-04-30T00:00:00"/>
    <s v="C0257"/>
    <x v="64"/>
    <s v="Small Business"/>
    <x v="0"/>
    <x v="11"/>
    <s v="P010"/>
    <x v="6"/>
    <x v="4"/>
    <n v="4"/>
    <n v="1800"/>
    <x v="1"/>
    <n v="6120"/>
    <n v="2122.64"/>
    <x v="1"/>
    <x v="0"/>
    <x v="1"/>
    <x v="0"/>
    <x v="5"/>
    <s v="Apr"/>
    <s v="Q2"/>
    <x v="13"/>
    <n v="3"/>
    <n v="34.68"/>
  </r>
  <r>
    <s v="ORD01876"/>
    <d v="2025-05-03T00:00:00"/>
    <d v="2025-05-09T00:00:00"/>
    <s v="C0297"/>
    <x v="265"/>
    <s v="Corporate"/>
    <x v="0"/>
    <x v="11"/>
    <s v="P011"/>
    <x v="9"/>
    <x v="4"/>
    <n v="3"/>
    <n v="600"/>
    <x v="0"/>
    <n v="1800"/>
    <n v="551.89"/>
    <x v="4"/>
    <x v="2"/>
    <x v="3"/>
    <x v="0"/>
    <x v="4"/>
    <s v="May"/>
    <s v="Q2"/>
    <x v="5"/>
    <n v="6"/>
    <n v="30.66"/>
  </r>
  <r>
    <s v="ORD00344"/>
    <d v="2025-08-15T00:00:00"/>
    <d v="2025-08-22T00:00:00"/>
    <s v="C0091"/>
    <x v="21"/>
    <s v="Corporate"/>
    <x v="0"/>
    <x v="10"/>
    <s v="P012"/>
    <x v="4"/>
    <x v="3"/>
    <n v="1"/>
    <n v="3500"/>
    <x v="2"/>
    <n v="2800"/>
    <n v="673.21"/>
    <x v="5"/>
    <x v="2"/>
    <x v="1"/>
    <x v="0"/>
    <x v="7"/>
    <s v="Aug"/>
    <s v="Q3"/>
    <x v="22"/>
    <n v="7"/>
    <n v="24.04"/>
  </r>
  <r>
    <s v="ORD00233"/>
    <d v="2025-12-25T00:00:00"/>
    <d v="2025-12-30T00:00:00"/>
    <s v="C0062"/>
    <x v="92"/>
    <s v="Consumer"/>
    <x v="2"/>
    <x v="14"/>
    <s v="P001"/>
    <x v="8"/>
    <x v="2"/>
    <n v="1"/>
    <n v="55000"/>
    <x v="3"/>
    <n v="52250"/>
    <n v="10168.75"/>
    <x v="4"/>
    <x v="1"/>
    <x v="2"/>
    <x v="0"/>
    <x v="10"/>
    <s v="Dec"/>
    <s v="Q4"/>
    <x v="19"/>
    <n v="5"/>
    <n v="19.46"/>
  </r>
  <r>
    <s v="ORD01375"/>
    <d v="2025-03-26T00:00:00"/>
    <d v="2025-03-27T00:00:00"/>
    <s v="C0178"/>
    <x v="174"/>
    <s v="Corporate"/>
    <x v="3"/>
    <x v="6"/>
    <s v="P011"/>
    <x v="9"/>
    <x v="4"/>
    <n v="4"/>
    <n v="600"/>
    <x v="4"/>
    <n v="2160"/>
    <n v="858.04"/>
    <x v="0"/>
    <x v="2"/>
    <x v="0"/>
    <x v="0"/>
    <x v="0"/>
    <s v="Mar"/>
    <s v="Q1"/>
    <x v="0"/>
    <n v="1"/>
    <n v="39.72"/>
  </r>
  <r>
    <s v="ORD01834"/>
    <d v="2024-07-21T00:00:00"/>
    <d v="2024-07-22T00:00:00"/>
    <s v="C0225"/>
    <x v="56"/>
    <s v="Consumer"/>
    <x v="2"/>
    <x v="3"/>
    <s v="P004"/>
    <x v="7"/>
    <x v="2"/>
    <n v="5"/>
    <n v="8000"/>
    <x v="1"/>
    <n v="34000"/>
    <n v="8430.92"/>
    <x v="3"/>
    <x v="2"/>
    <x v="2"/>
    <x v="1"/>
    <x v="3"/>
    <s v="Jul"/>
    <s v="Q3"/>
    <x v="4"/>
    <n v="1"/>
    <n v="24.8"/>
  </r>
  <r>
    <s v="ORD01789"/>
    <d v="2025-05-07T00:00:00"/>
    <d v="2025-05-13T00:00:00"/>
    <s v="C0039"/>
    <x v="68"/>
    <s v="Corporate"/>
    <x v="0"/>
    <x v="15"/>
    <s v="P002"/>
    <x v="3"/>
    <x v="2"/>
    <n v="2"/>
    <n v="25000"/>
    <x v="0"/>
    <n v="50000"/>
    <n v="5390.67"/>
    <x v="1"/>
    <x v="0"/>
    <x v="4"/>
    <x v="0"/>
    <x v="4"/>
    <s v="May"/>
    <s v="Q2"/>
    <x v="5"/>
    <n v="6"/>
    <n v="10.78"/>
  </r>
  <r>
    <s v="ORD01539"/>
    <d v="2025-06-21T00:00:00"/>
    <d v="2025-06-26T00:00:00"/>
    <s v="C0007"/>
    <x v="168"/>
    <s v="Consumer"/>
    <x v="0"/>
    <x v="11"/>
    <s v="P002"/>
    <x v="3"/>
    <x v="2"/>
    <n v="3"/>
    <n v="25000"/>
    <x v="4"/>
    <n v="67500"/>
    <n v="9236.1"/>
    <x v="4"/>
    <x v="1"/>
    <x v="2"/>
    <x v="0"/>
    <x v="8"/>
    <s v="Jun"/>
    <s v="Q2"/>
    <x v="10"/>
    <n v="5"/>
    <n v="13.68"/>
  </r>
  <r>
    <s v="ORD01060"/>
    <d v="2024-10-18T00:00:00"/>
    <d v="2024-10-19T00:00:00"/>
    <s v="C0003"/>
    <x v="108"/>
    <s v="Small Business"/>
    <x v="2"/>
    <x v="3"/>
    <s v="P008"/>
    <x v="11"/>
    <x v="1"/>
    <n v="10"/>
    <n v="250"/>
    <x v="0"/>
    <n v="2500"/>
    <n v="1058.33"/>
    <x v="3"/>
    <x v="2"/>
    <x v="3"/>
    <x v="1"/>
    <x v="1"/>
    <s v="Oct"/>
    <s v="Q4"/>
    <x v="1"/>
    <n v="1"/>
    <n v="42.33"/>
  </r>
  <r>
    <s v="ORD01105"/>
    <d v="2024-08-16T00:00:00"/>
    <d v="2024-08-21T00:00:00"/>
    <s v="C0254"/>
    <x v="287"/>
    <s v="Corporate"/>
    <x v="2"/>
    <x v="9"/>
    <s v="P003"/>
    <x v="5"/>
    <x v="2"/>
    <n v="4"/>
    <n v="3000"/>
    <x v="1"/>
    <n v="10200"/>
    <n v="3185.16"/>
    <x v="5"/>
    <x v="1"/>
    <x v="3"/>
    <x v="1"/>
    <x v="7"/>
    <s v="Aug"/>
    <s v="Q3"/>
    <x v="9"/>
    <n v="5"/>
    <n v="31.23"/>
  </r>
  <r>
    <s v="ORD01403"/>
    <d v="2024-06-30T00:00:00"/>
    <d v="2024-07-03T00:00:00"/>
    <s v="C0192"/>
    <x v="214"/>
    <s v="Consumer"/>
    <x v="3"/>
    <x v="8"/>
    <s v="P010"/>
    <x v="6"/>
    <x v="4"/>
    <n v="4"/>
    <n v="1800"/>
    <x v="1"/>
    <n v="6120"/>
    <n v="2224.23"/>
    <x v="1"/>
    <x v="0"/>
    <x v="0"/>
    <x v="1"/>
    <x v="8"/>
    <s v="Jun"/>
    <s v="Q2"/>
    <x v="12"/>
    <n v="3"/>
    <n v="36.340000000000003"/>
  </r>
  <r>
    <s v="ORD00997"/>
    <d v="2025-02-09T00:00:00"/>
    <d v="2025-02-17T00:00:00"/>
    <s v="C0083"/>
    <x v="165"/>
    <s v="Corporate"/>
    <x v="0"/>
    <x v="15"/>
    <s v="P001"/>
    <x v="8"/>
    <x v="2"/>
    <n v="4"/>
    <n v="55000"/>
    <x v="1"/>
    <n v="187000"/>
    <n v="36329.129999999997"/>
    <x v="1"/>
    <x v="2"/>
    <x v="4"/>
    <x v="0"/>
    <x v="6"/>
    <s v="Feb"/>
    <s v="Q1"/>
    <x v="7"/>
    <n v="8"/>
    <n v="19.43"/>
  </r>
  <r>
    <s v="ORD01622"/>
    <d v="2024-02-10T00:00:00"/>
    <d v="2024-02-15T00:00:00"/>
    <s v="C0101"/>
    <x v="276"/>
    <s v="Consumer"/>
    <x v="1"/>
    <x v="5"/>
    <s v="P007"/>
    <x v="10"/>
    <x v="0"/>
    <n v="2"/>
    <n v="6000"/>
    <x v="1"/>
    <n v="10200"/>
    <n v="2292.2800000000002"/>
    <x v="1"/>
    <x v="1"/>
    <x v="3"/>
    <x v="1"/>
    <x v="6"/>
    <s v="Feb"/>
    <s v="Q1"/>
    <x v="18"/>
    <n v="5"/>
    <n v="22.47"/>
  </r>
  <r>
    <s v="ORD00570"/>
    <d v="2024-08-12T00:00:00"/>
    <d v="2024-08-13T00:00:00"/>
    <s v="C0229"/>
    <x v="206"/>
    <s v="Consumer"/>
    <x v="0"/>
    <x v="2"/>
    <s v="P006"/>
    <x v="1"/>
    <x v="0"/>
    <n v="3"/>
    <n v="9500"/>
    <x v="0"/>
    <n v="28500"/>
    <n v="4430.22"/>
    <x v="1"/>
    <x v="0"/>
    <x v="3"/>
    <x v="1"/>
    <x v="7"/>
    <s v="Aug"/>
    <s v="Q3"/>
    <x v="9"/>
    <n v="1"/>
    <n v="15.54"/>
  </r>
  <r>
    <s v="ORD00058"/>
    <d v="2025-04-18T00:00:00"/>
    <d v="2025-04-19T00:00:00"/>
    <s v="C0260"/>
    <x v="190"/>
    <s v="Consumer"/>
    <x v="0"/>
    <x v="10"/>
    <s v="P007"/>
    <x v="10"/>
    <x v="0"/>
    <n v="2"/>
    <n v="6000"/>
    <x v="2"/>
    <n v="9600"/>
    <n v="2293.79"/>
    <x v="0"/>
    <x v="2"/>
    <x v="2"/>
    <x v="0"/>
    <x v="5"/>
    <s v="Apr"/>
    <s v="Q2"/>
    <x v="13"/>
    <n v="1"/>
    <n v="23.89"/>
  </r>
  <r>
    <s v="ORD00007"/>
    <d v="2024-05-27T00:00:00"/>
    <d v="2024-05-29T00:00:00"/>
    <s v="C0234"/>
    <x v="113"/>
    <s v="Corporate"/>
    <x v="3"/>
    <x v="8"/>
    <s v="P001"/>
    <x v="8"/>
    <x v="2"/>
    <n v="2"/>
    <n v="55000"/>
    <x v="1"/>
    <n v="93500"/>
    <n v="18310.75"/>
    <x v="0"/>
    <x v="1"/>
    <x v="4"/>
    <x v="1"/>
    <x v="4"/>
    <s v="May"/>
    <s v="Q2"/>
    <x v="8"/>
    <n v="2"/>
    <n v="19.579999999999998"/>
  </r>
  <r>
    <s v="ORD00474"/>
    <d v="2025-11-20T00:00:00"/>
    <d v="2025-11-22T00:00:00"/>
    <s v="C0079"/>
    <x v="267"/>
    <s v="Consumer"/>
    <x v="0"/>
    <x v="0"/>
    <s v="P001"/>
    <x v="8"/>
    <x v="2"/>
    <n v="1"/>
    <n v="55000"/>
    <x v="3"/>
    <n v="52250"/>
    <n v="9415.68"/>
    <x v="4"/>
    <x v="1"/>
    <x v="4"/>
    <x v="0"/>
    <x v="2"/>
    <s v="Nov"/>
    <s v="Q4"/>
    <x v="23"/>
    <n v="2"/>
    <n v="18.02"/>
  </r>
  <r>
    <s v="ORD01669"/>
    <d v="2024-11-28T00:00:00"/>
    <d v="2024-12-04T00:00:00"/>
    <s v="C0101"/>
    <x v="276"/>
    <s v="Consumer"/>
    <x v="1"/>
    <x v="5"/>
    <s v="P004"/>
    <x v="7"/>
    <x v="2"/>
    <n v="1"/>
    <n v="8000"/>
    <x v="3"/>
    <n v="7600"/>
    <n v="1906.78"/>
    <x v="6"/>
    <x v="0"/>
    <x v="0"/>
    <x v="1"/>
    <x v="2"/>
    <s v="Nov"/>
    <s v="Q4"/>
    <x v="3"/>
    <n v="6"/>
    <n v="25.09"/>
  </r>
  <r>
    <s v="ORD01145"/>
    <d v="2024-12-22T00:00:00"/>
    <d v="2024-12-27T00:00:00"/>
    <s v="C0017"/>
    <x v="242"/>
    <s v="Small Business"/>
    <x v="1"/>
    <x v="16"/>
    <s v="P009"/>
    <x v="2"/>
    <x v="1"/>
    <n v="5"/>
    <n v="180"/>
    <x v="2"/>
    <n v="720"/>
    <n v="342.55"/>
    <x v="1"/>
    <x v="0"/>
    <x v="3"/>
    <x v="1"/>
    <x v="10"/>
    <s v="Dec"/>
    <s v="Q4"/>
    <x v="16"/>
    <n v="5"/>
    <n v="47.58"/>
  </r>
  <r>
    <s v="ORD00045"/>
    <d v="2024-03-27T00:00:00"/>
    <d v="2024-03-28T00:00:00"/>
    <s v="C0291"/>
    <x v="87"/>
    <s v="Small Business"/>
    <x v="1"/>
    <x v="1"/>
    <s v="P010"/>
    <x v="6"/>
    <x v="4"/>
    <n v="4"/>
    <n v="1800"/>
    <x v="0"/>
    <n v="7200"/>
    <n v="1922.67"/>
    <x v="5"/>
    <x v="0"/>
    <x v="4"/>
    <x v="1"/>
    <x v="0"/>
    <s v="Mar"/>
    <s v="Q1"/>
    <x v="2"/>
    <n v="1"/>
    <n v="26.7"/>
  </r>
  <r>
    <s v="ORD00990"/>
    <d v="2025-12-11T00:00:00"/>
    <d v="2025-12-12T00:00:00"/>
    <s v="C0270"/>
    <x v="253"/>
    <s v="Small Business"/>
    <x v="2"/>
    <x v="4"/>
    <s v="P010"/>
    <x v="6"/>
    <x v="4"/>
    <n v="1"/>
    <n v="1800"/>
    <x v="0"/>
    <n v="1800"/>
    <n v="500.27"/>
    <x v="4"/>
    <x v="0"/>
    <x v="4"/>
    <x v="0"/>
    <x v="10"/>
    <s v="Dec"/>
    <s v="Q4"/>
    <x v="19"/>
    <n v="1"/>
    <n v="27.79"/>
  </r>
  <r>
    <s v="ORD01174"/>
    <d v="2024-05-26T00:00:00"/>
    <d v="2024-05-30T00:00:00"/>
    <s v="C0164"/>
    <x v="67"/>
    <s v="Small Business"/>
    <x v="3"/>
    <x v="7"/>
    <s v="P003"/>
    <x v="5"/>
    <x v="2"/>
    <n v="1"/>
    <n v="3000"/>
    <x v="1"/>
    <n v="2550"/>
    <n v="805.51"/>
    <x v="0"/>
    <x v="2"/>
    <x v="4"/>
    <x v="1"/>
    <x v="4"/>
    <s v="May"/>
    <s v="Q2"/>
    <x v="8"/>
    <n v="4"/>
    <n v="31.59"/>
  </r>
  <r>
    <s v="ORD01934"/>
    <d v="2025-03-20T00:00:00"/>
    <d v="2025-03-28T00:00:00"/>
    <s v="C0198"/>
    <x v="61"/>
    <s v="Consumer"/>
    <x v="0"/>
    <x v="0"/>
    <s v="P008"/>
    <x v="11"/>
    <x v="1"/>
    <n v="1"/>
    <n v="250"/>
    <x v="0"/>
    <n v="250"/>
    <n v="106.4"/>
    <x v="5"/>
    <x v="1"/>
    <x v="3"/>
    <x v="0"/>
    <x v="0"/>
    <s v="Mar"/>
    <s v="Q1"/>
    <x v="0"/>
    <n v="8"/>
    <n v="42.56"/>
  </r>
  <r>
    <s v="ORD01262"/>
    <d v="2025-07-09T00:00:00"/>
    <d v="2025-07-10T00:00:00"/>
    <s v="C0152"/>
    <x v="27"/>
    <s v="Small Business"/>
    <x v="3"/>
    <x v="12"/>
    <s v="P001"/>
    <x v="8"/>
    <x v="2"/>
    <n v="1"/>
    <n v="55000"/>
    <x v="0"/>
    <n v="55000"/>
    <n v="8343.27"/>
    <x v="0"/>
    <x v="1"/>
    <x v="4"/>
    <x v="0"/>
    <x v="3"/>
    <s v="Jul"/>
    <s v="Q3"/>
    <x v="15"/>
    <n v="1"/>
    <n v="15.17"/>
  </r>
  <r>
    <s v="ORD01668"/>
    <d v="2025-02-15T00:00:00"/>
    <d v="2025-02-21T00:00:00"/>
    <s v="C0103"/>
    <x v="274"/>
    <s v="Small Business"/>
    <x v="3"/>
    <x v="8"/>
    <s v="P011"/>
    <x v="9"/>
    <x v="4"/>
    <n v="3"/>
    <n v="600"/>
    <x v="4"/>
    <n v="1620"/>
    <n v="570.1"/>
    <x v="2"/>
    <x v="1"/>
    <x v="0"/>
    <x v="0"/>
    <x v="6"/>
    <s v="Feb"/>
    <s v="Q1"/>
    <x v="7"/>
    <n v="6"/>
    <n v="35.19"/>
  </r>
  <r>
    <s v="ORD00796"/>
    <d v="2024-09-22T00:00:00"/>
    <d v="2024-09-27T00:00:00"/>
    <s v="C0034"/>
    <x v="17"/>
    <s v="Small Business"/>
    <x v="1"/>
    <x v="1"/>
    <s v="P003"/>
    <x v="5"/>
    <x v="2"/>
    <n v="5"/>
    <n v="3000"/>
    <x v="2"/>
    <n v="12000"/>
    <n v="2848.27"/>
    <x v="4"/>
    <x v="2"/>
    <x v="3"/>
    <x v="1"/>
    <x v="9"/>
    <s v="Sep"/>
    <s v="Q3"/>
    <x v="20"/>
    <n v="5"/>
    <n v="23.74"/>
  </r>
  <r>
    <s v="ORD01461"/>
    <d v="2024-09-26T00:00:00"/>
    <m/>
    <s v="C0091"/>
    <x v="21"/>
    <s v="Corporate"/>
    <x v="0"/>
    <x v="10"/>
    <s v="P004"/>
    <x v="7"/>
    <x v="2"/>
    <n v="1"/>
    <n v="8000"/>
    <x v="4"/>
    <n v="7200"/>
    <n v="1674.31"/>
    <x v="5"/>
    <x v="0"/>
    <x v="3"/>
    <x v="1"/>
    <x v="9"/>
    <s v="Sep"/>
    <s v="Q3"/>
    <x v="20"/>
    <s v=""/>
    <n v="23.25"/>
  </r>
  <r>
    <s v="ORD01287"/>
    <d v="2024-04-23T00:00:00"/>
    <d v="2024-04-26T00:00:00"/>
    <s v="C0257"/>
    <x v="64"/>
    <s v="Small Business"/>
    <x v="0"/>
    <x v="11"/>
    <s v="P011"/>
    <x v="9"/>
    <x v="4"/>
    <n v="4"/>
    <n v="600"/>
    <x v="2"/>
    <n v="1920"/>
    <n v="607.39"/>
    <x v="4"/>
    <x v="1"/>
    <x v="3"/>
    <x v="1"/>
    <x v="5"/>
    <s v="Apr"/>
    <s v="Q2"/>
    <x v="6"/>
    <n v="3"/>
    <n v="31.63"/>
  </r>
  <r>
    <s v="ORD00982"/>
    <d v="2024-05-30T00:00:00"/>
    <d v="2024-06-06T00:00:00"/>
    <s v="C0219"/>
    <x v="60"/>
    <s v="Corporate"/>
    <x v="3"/>
    <x v="12"/>
    <s v="P007"/>
    <x v="10"/>
    <x v="0"/>
    <n v="1"/>
    <n v="6000"/>
    <x v="0"/>
    <n v="6000"/>
    <n v="1138.1099999999999"/>
    <x v="5"/>
    <x v="2"/>
    <x v="3"/>
    <x v="1"/>
    <x v="4"/>
    <s v="May"/>
    <s v="Q2"/>
    <x v="8"/>
    <n v="7"/>
    <n v="18.97"/>
  </r>
  <r>
    <s v="ORD01992"/>
    <d v="2024-04-18T00:00:00"/>
    <d v="2024-04-19T00:00:00"/>
    <s v="C0095"/>
    <x v="15"/>
    <s v="Consumer"/>
    <x v="2"/>
    <x v="4"/>
    <s v="P005"/>
    <x v="0"/>
    <x v="0"/>
    <n v="2"/>
    <n v="7000"/>
    <x v="0"/>
    <n v="14000"/>
    <n v="2382.4"/>
    <x v="5"/>
    <x v="0"/>
    <x v="1"/>
    <x v="1"/>
    <x v="5"/>
    <s v="Apr"/>
    <s v="Q2"/>
    <x v="6"/>
    <n v="1"/>
    <n v="17.02"/>
  </r>
  <r>
    <s v="ORD01466"/>
    <d v="2025-05-06T00:00:00"/>
    <d v="2025-05-12T00:00:00"/>
    <s v="C0231"/>
    <x v="32"/>
    <s v="Small Business"/>
    <x v="1"/>
    <x v="1"/>
    <s v="P006"/>
    <x v="1"/>
    <x v="0"/>
    <n v="1"/>
    <n v="9500"/>
    <x v="0"/>
    <n v="9500"/>
    <n v="1910.19"/>
    <x v="1"/>
    <x v="2"/>
    <x v="2"/>
    <x v="0"/>
    <x v="4"/>
    <s v="May"/>
    <s v="Q2"/>
    <x v="5"/>
    <n v="6"/>
    <n v="20.11"/>
  </r>
  <r>
    <s v="ORD01200"/>
    <d v="2025-07-28T00:00:00"/>
    <d v="2025-08-01T00:00:00"/>
    <s v="C0114"/>
    <x v="98"/>
    <s v="Small Business"/>
    <x v="3"/>
    <x v="6"/>
    <s v="P007"/>
    <x v="10"/>
    <x v="0"/>
    <n v="1"/>
    <n v="6000"/>
    <x v="0"/>
    <n v="6000"/>
    <n v="1530.82"/>
    <x v="0"/>
    <x v="0"/>
    <x v="0"/>
    <x v="0"/>
    <x v="3"/>
    <s v="Jul"/>
    <s v="Q3"/>
    <x v="15"/>
    <n v="4"/>
    <n v="25.51"/>
  </r>
  <r>
    <s v="ORD01648"/>
    <d v="2025-02-19T00:00:00"/>
    <d v="2025-02-23T00:00:00"/>
    <s v="C0241"/>
    <x v="63"/>
    <s v="Consumer"/>
    <x v="2"/>
    <x v="4"/>
    <s v="P006"/>
    <x v="1"/>
    <x v="0"/>
    <n v="2"/>
    <n v="9500"/>
    <x v="0"/>
    <n v="19000"/>
    <n v="2901.39"/>
    <x v="2"/>
    <x v="1"/>
    <x v="2"/>
    <x v="0"/>
    <x v="6"/>
    <s v="Feb"/>
    <s v="Q1"/>
    <x v="7"/>
    <n v="4"/>
    <n v="15.27"/>
  </r>
  <r>
    <s v="ORD01244"/>
    <d v="2025-04-12T00:00:00"/>
    <d v="2025-04-19T00:00:00"/>
    <s v="C0225"/>
    <x v="56"/>
    <s v="Consumer"/>
    <x v="2"/>
    <x v="3"/>
    <s v="P010"/>
    <x v="6"/>
    <x v="4"/>
    <n v="2"/>
    <n v="1800"/>
    <x v="1"/>
    <n v="3060"/>
    <n v="936.04"/>
    <x v="0"/>
    <x v="0"/>
    <x v="4"/>
    <x v="0"/>
    <x v="5"/>
    <s v="Apr"/>
    <s v="Q2"/>
    <x v="13"/>
    <n v="7"/>
    <n v="30.59"/>
  </r>
  <r>
    <s v="ORD00231"/>
    <d v="2024-06-08T00:00:00"/>
    <d v="2024-06-10T00:00:00"/>
    <s v="C0262"/>
    <x v="175"/>
    <s v="Corporate"/>
    <x v="0"/>
    <x v="15"/>
    <s v="P004"/>
    <x v="7"/>
    <x v="2"/>
    <n v="2"/>
    <n v="8000"/>
    <x v="3"/>
    <n v="15200"/>
    <n v="3551.38"/>
    <x v="3"/>
    <x v="2"/>
    <x v="0"/>
    <x v="1"/>
    <x v="8"/>
    <s v="Jun"/>
    <s v="Q2"/>
    <x v="12"/>
    <n v="2"/>
    <n v="23.36"/>
  </r>
  <r>
    <s v="ORD01556"/>
    <d v="2025-04-10T00:00:00"/>
    <d v="2025-04-15T00:00:00"/>
    <s v="C0131"/>
    <x v="156"/>
    <s v="Corporate"/>
    <x v="1"/>
    <x v="5"/>
    <s v="P008"/>
    <x v="11"/>
    <x v="1"/>
    <n v="5"/>
    <n v="250"/>
    <x v="4"/>
    <n v="1125"/>
    <n v="420.05"/>
    <x v="1"/>
    <x v="2"/>
    <x v="0"/>
    <x v="0"/>
    <x v="5"/>
    <s v="Apr"/>
    <s v="Q2"/>
    <x v="13"/>
    <n v="5"/>
    <n v="37.340000000000003"/>
  </r>
  <r>
    <s v="ORD01048"/>
    <d v="2024-12-01T00:00:00"/>
    <d v="2024-12-06T00:00:00"/>
    <s v="C0112"/>
    <x v="72"/>
    <s v="Consumer"/>
    <x v="0"/>
    <x v="2"/>
    <s v="P001"/>
    <x v="8"/>
    <x v="2"/>
    <n v="1"/>
    <n v="55000"/>
    <x v="1"/>
    <n v="46750"/>
    <n v="9054.0300000000007"/>
    <x v="3"/>
    <x v="1"/>
    <x v="2"/>
    <x v="1"/>
    <x v="10"/>
    <s v="Dec"/>
    <s v="Q4"/>
    <x v="16"/>
    <n v="5"/>
    <n v="19.37"/>
  </r>
  <r>
    <s v="ORD00606"/>
    <d v="2025-08-16T00:00:00"/>
    <d v="2025-08-17T00:00:00"/>
    <s v="C0168"/>
    <x v="256"/>
    <s v="Consumer"/>
    <x v="3"/>
    <x v="6"/>
    <s v="P007"/>
    <x v="10"/>
    <x v="0"/>
    <n v="1"/>
    <n v="6000"/>
    <x v="4"/>
    <n v="5400"/>
    <n v="1397.74"/>
    <x v="0"/>
    <x v="0"/>
    <x v="3"/>
    <x v="0"/>
    <x v="7"/>
    <s v="Aug"/>
    <s v="Q3"/>
    <x v="22"/>
    <n v="1"/>
    <n v="25.88"/>
  </r>
  <r>
    <s v="ORD00381"/>
    <d v="2024-05-23T00:00:00"/>
    <d v="2024-05-26T00:00:00"/>
    <s v="C0085"/>
    <x v="229"/>
    <s v="Consumer"/>
    <x v="3"/>
    <x v="12"/>
    <s v="P009"/>
    <x v="2"/>
    <x v="1"/>
    <n v="2"/>
    <n v="180"/>
    <x v="0"/>
    <n v="360"/>
    <n v="150.1"/>
    <x v="5"/>
    <x v="2"/>
    <x v="0"/>
    <x v="1"/>
    <x v="4"/>
    <s v="May"/>
    <s v="Q2"/>
    <x v="8"/>
    <n v="3"/>
    <n v="41.69"/>
  </r>
  <r>
    <s v="ORD01453"/>
    <d v="2025-02-01T00:00:00"/>
    <d v="2025-02-08T00:00:00"/>
    <s v="C0241"/>
    <x v="63"/>
    <s v="Consumer"/>
    <x v="2"/>
    <x v="4"/>
    <s v="P007"/>
    <x v="10"/>
    <x v="0"/>
    <n v="1"/>
    <n v="6000"/>
    <x v="1"/>
    <n v="5100"/>
    <n v="989.13"/>
    <x v="3"/>
    <x v="1"/>
    <x v="1"/>
    <x v="0"/>
    <x v="6"/>
    <s v="Feb"/>
    <s v="Q1"/>
    <x v="7"/>
    <n v="7"/>
    <n v="19.39"/>
  </r>
  <r>
    <s v="ORD00210"/>
    <d v="2024-10-14T00:00:00"/>
    <d v="2024-10-19T00:00:00"/>
    <s v="C0180"/>
    <x v="89"/>
    <s v="Corporate"/>
    <x v="2"/>
    <x v="9"/>
    <s v="P009"/>
    <x v="2"/>
    <x v="1"/>
    <n v="1"/>
    <n v="180"/>
    <x v="1"/>
    <n v="153"/>
    <n v="56.25"/>
    <x v="1"/>
    <x v="2"/>
    <x v="3"/>
    <x v="1"/>
    <x v="1"/>
    <s v="Oct"/>
    <s v="Q4"/>
    <x v="1"/>
    <n v="5"/>
    <n v="36.76"/>
  </r>
  <r>
    <s v="ORD00357"/>
    <d v="2025-08-09T00:00:00"/>
    <d v="2025-08-15T00:00:00"/>
    <s v="C0155"/>
    <x v="41"/>
    <s v="Consumer"/>
    <x v="1"/>
    <x v="5"/>
    <s v="P008"/>
    <x v="11"/>
    <x v="1"/>
    <n v="2"/>
    <n v="250"/>
    <x v="0"/>
    <n v="500"/>
    <n v="202.72"/>
    <x v="1"/>
    <x v="0"/>
    <x v="2"/>
    <x v="0"/>
    <x v="7"/>
    <s v="Aug"/>
    <s v="Q3"/>
    <x v="22"/>
    <n v="6"/>
    <n v="40.54"/>
  </r>
  <r>
    <s v="ORD00611"/>
    <d v="2024-10-30T00:00:00"/>
    <d v="2024-11-03T00:00:00"/>
    <s v="C0272"/>
    <x v="153"/>
    <s v="Small Business"/>
    <x v="3"/>
    <x v="8"/>
    <s v="P001"/>
    <x v="8"/>
    <x v="2"/>
    <n v="1"/>
    <n v="55000"/>
    <x v="4"/>
    <n v="49500"/>
    <n v="8170.24"/>
    <x v="5"/>
    <x v="0"/>
    <x v="1"/>
    <x v="1"/>
    <x v="1"/>
    <s v="Oct"/>
    <s v="Q4"/>
    <x v="1"/>
    <n v="4"/>
    <n v="16.510000000000002"/>
  </r>
  <r>
    <s v="ORD00199"/>
    <d v="2024-04-26T00:00:00"/>
    <d v="2024-04-29T00:00:00"/>
    <s v="C0201"/>
    <x v="150"/>
    <s v="Small Business"/>
    <x v="3"/>
    <x v="7"/>
    <s v="P010"/>
    <x v="6"/>
    <x v="4"/>
    <n v="1"/>
    <n v="1800"/>
    <x v="2"/>
    <n v="1440"/>
    <n v="445.1"/>
    <x v="5"/>
    <x v="2"/>
    <x v="4"/>
    <x v="1"/>
    <x v="5"/>
    <s v="Apr"/>
    <s v="Q2"/>
    <x v="6"/>
    <n v="3"/>
    <n v="30.91"/>
  </r>
  <r>
    <s v="ORD01675"/>
    <d v="2024-03-31T00:00:00"/>
    <d v="2024-04-05T00:00:00"/>
    <s v="C0170"/>
    <x v="266"/>
    <s v="Small Business"/>
    <x v="2"/>
    <x v="4"/>
    <s v="P002"/>
    <x v="3"/>
    <x v="2"/>
    <n v="2"/>
    <n v="25000"/>
    <x v="0"/>
    <n v="50000"/>
    <n v="8024.43"/>
    <x v="2"/>
    <x v="1"/>
    <x v="4"/>
    <x v="1"/>
    <x v="0"/>
    <s v="Mar"/>
    <s v="Q1"/>
    <x v="2"/>
    <n v="5"/>
    <n v="16.05"/>
  </r>
  <r>
    <s v="ORD00937"/>
    <d v="2025-06-11T00:00:00"/>
    <d v="2025-06-13T00:00:00"/>
    <s v="C0246"/>
    <x v="8"/>
    <s v="Corporate"/>
    <x v="3"/>
    <x v="6"/>
    <s v="P008"/>
    <x v="11"/>
    <x v="1"/>
    <n v="3"/>
    <n v="250"/>
    <x v="1"/>
    <n v="637.5"/>
    <n v="269.08"/>
    <x v="0"/>
    <x v="0"/>
    <x v="1"/>
    <x v="0"/>
    <x v="8"/>
    <s v="Jun"/>
    <s v="Q2"/>
    <x v="10"/>
    <n v="2"/>
    <n v="42.21"/>
  </r>
  <r>
    <s v="ORD01217"/>
    <d v="2025-08-29T00:00:00"/>
    <d v="2025-09-06T00:00:00"/>
    <s v="C0170"/>
    <x v="266"/>
    <s v="Small Business"/>
    <x v="2"/>
    <x v="4"/>
    <s v="P010"/>
    <x v="6"/>
    <x v="4"/>
    <n v="2"/>
    <n v="1800"/>
    <x v="2"/>
    <n v="2880"/>
    <n v="1002.87"/>
    <x v="4"/>
    <x v="0"/>
    <x v="3"/>
    <x v="0"/>
    <x v="7"/>
    <s v="Aug"/>
    <s v="Q3"/>
    <x v="22"/>
    <n v="8"/>
    <n v="34.82"/>
  </r>
  <r>
    <s v="ORD00227"/>
    <d v="2025-10-15T00:00:00"/>
    <d v="2025-10-21T00:00:00"/>
    <s v="C0124"/>
    <x v="10"/>
    <s v="Small Business"/>
    <x v="1"/>
    <x v="1"/>
    <s v="P008"/>
    <x v="11"/>
    <x v="1"/>
    <n v="2"/>
    <n v="250"/>
    <x v="0"/>
    <n v="500"/>
    <n v="218.95"/>
    <x v="4"/>
    <x v="1"/>
    <x v="1"/>
    <x v="0"/>
    <x v="1"/>
    <s v="Oct"/>
    <s v="Q4"/>
    <x v="14"/>
    <n v="6"/>
    <n v="43.79"/>
  </r>
  <r>
    <s v="ORD01870"/>
    <d v="2025-07-04T00:00:00"/>
    <d v="2025-07-05T00:00:00"/>
    <s v="C0228"/>
    <x v="122"/>
    <s v="Consumer"/>
    <x v="3"/>
    <x v="6"/>
    <s v="P001"/>
    <x v="8"/>
    <x v="2"/>
    <n v="2"/>
    <n v="55000"/>
    <x v="4"/>
    <n v="99000"/>
    <n v="19349.54"/>
    <x v="2"/>
    <x v="2"/>
    <x v="0"/>
    <x v="0"/>
    <x v="3"/>
    <s v="Jul"/>
    <s v="Q3"/>
    <x v="15"/>
    <n v="1"/>
    <n v="19.54"/>
  </r>
  <r>
    <s v="ORD01926"/>
    <d v="2025-09-02T00:00:00"/>
    <d v="2025-09-07T00:00:00"/>
    <s v="C0124"/>
    <x v="10"/>
    <s v="Small Business"/>
    <x v="1"/>
    <x v="1"/>
    <s v="P011"/>
    <x v="9"/>
    <x v="4"/>
    <n v="1"/>
    <n v="600"/>
    <x v="4"/>
    <n v="540"/>
    <n v="181.11"/>
    <x v="1"/>
    <x v="2"/>
    <x v="0"/>
    <x v="0"/>
    <x v="9"/>
    <s v="Sep"/>
    <s v="Q3"/>
    <x v="11"/>
    <n v="5"/>
    <n v="33.54"/>
  </r>
  <r>
    <s v="ORD01644"/>
    <d v="2024-04-26T00:00:00"/>
    <d v="2024-05-02T00:00:00"/>
    <s v="C0052"/>
    <x v="189"/>
    <s v="Small Business"/>
    <x v="0"/>
    <x v="0"/>
    <s v="P006"/>
    <x v="1"/>
    <x v="0"/>
    <n v="1"/>
    <n v="9500"/>
    <x v="0"/>
    <n v="9500"/>
    <n v="1913.68"/>
    <x v="2"/>
    <x v="0"/>
    <x v="1"/>
    <x v="1"/>
    <x v="5"/>
    <s v="Apr"/>
    <s v="Q2"/>
    <x v="6"/>
    <n v="6"/>
    <n v="20.14"/>
  </r>
  <r>
    <s v="ORD00420"/>
    <d v="2025-07-15T00:00:00"/>
    <d v="2025-07-21T00:00:00"/>
    <s v="C0133"/>
    <x v="97"/>
    <s v="Consumer"/>
    <x v="1"/>
    <x v="5"/>
    <s v="P003"/>
    <x v="5"/>
    <x v="2"/>
    <n v="1"/>
    <n v="3000"/>
    <x v="0"/>
    <n v="3000"/>
    <n v="799.68"/>
    <x v="3"/>
    <x v="0"/>
    <x v="0"/>
    <x v="0"/>
    <x v="3"/>
    <s v="Jul"/>
    <s v="Q3"/>
    <x v="15"/>
    <n v="6"/>
    <n v="26.66"/>
  </r>
  <r>
    <s v="ORD01228"/>
    <d v="2025-01-13T00:00:00"/>
    <d v="2025-01-16T00:00:00"/>
    <s v="C0054"/>
    <x v="169"/>
    <s v="Small Business"/>
    <x v="2"/>
    <x v="14"/>
    <s v="P001"/>
    <x v="8"/>
    <x v="2"/>
    <n v="1"/>
    <n v="55000"/>
    <x v="1"/>
    <n v="46750"/>
    <n v="6406.14"/>
    <x v="4"/>
    <x v="0"/>
    <x v="0"/>
    <x v="0"/>
    <x v="11"/>
    <s v="Jan"/>
    <s v="Q1"/>
    <x v="17"/>
    <n v="3"/>
    <n v="13.7"/>
  </r>
  <r>
    <s v="ORD01098"/>
    <d v="2025-07-21T00:00:00"/>
    <d v="2025-07-29T00:00:00"/>
    <s v="C0070"/>
    <x v="31"/>
    <s v="Corporate"/>
    <x v="3"/>
    <x v="8"/>
    <s v="P007"/>
    <x v="10"/>
    <x v="0"/>
    <n v="1"/>
    <n v="6000"/>
    <x v="0"/>
    <n v="6000"/>
    <n v="1057.3"/>
    <x v="1"/>
    <x v="0"/>
    <x v="0"/>
    <x v="0"/>
    <x v="3"/>
    <s v="Jul"/>
    <s v="Q3"/>
    <x v="15"/>
    <n v="8"/>
    <n v="17.62"/>
  </r>
  <r>
    <s v="ORD00361"/>
    <d v="2025-01-30T00:00:00"/>
    <d v="2025-02-05T00:00:00"/>
    <s v="C0196"/>
    <x v="22"/>
    <s v="Consumer"/>
    <x v="0"/>
    <x v="11"/>
    <s v="P002"/>
    <x v="3"/>
    <x v="2"/>
    <n v="1"/>
    <n v="25000"/>
    <x v="1"/>
    <n v="21250"/>
    <n v="2591.86"/>
    <x v="1"/>
    <x v="2"/>
    <x v="0"/>
    <x v="0"/>
    <x v="11"/>
    <s v="Jan"/>
    <s v="Q1"/>
    <x v="17"/>
    <n v="6"/>
    <n v="12.2"/>
  </r>
  <r>
    <s v="ORD00781"/>
    <d v="2024-10-02T00:00:00"/>
    <d v="2024-10-03T00:00:00"/>
    <s v="C0198"/>
    <x v="61"/>
    <s v="Consumer"/>
    <x v="0"/>
    <x v="0"/>
    <s v="P002"/>
    <x v="3"/>
    <x v="2"/>
    <n v="2"/>
    <n v="25000"/>
    <x v="3"/>
    <n v="47500"/>
    <n v="5174.0600000000004"/>
    <x v="0"/>
    <x v="2"/>
    <x v="2"/>
    <x v="1"/>
    <x v="1"/>
    <s v="Oct"/>
    <s v="Q4"/>
    <x v="1"/>
    <n v="1"/>
    <n v="10.89"/>
  </r>
  <r>
    <s v="ORD01730"/>
    <d v="2024-12-16T00:00:00"/>
    <d v="2024-12-19T00:00:00"/>
    <s v="C0230"/>
    <x v="129"/>
    <s v="Corporate"/>
    <x v="3"/>
    <x v="12"/>
    <s v="P004"/>
    <x v="7"/>
    <x v="2"/>
    <n v="2"/>
    <n v="8000"/>
    <x v="1"/>
    <n v="13600"/>
    <n v="3400"/>
    <x v="0"/>
    <x v="0"/>
    <x v="2"/>
    <x v="1"/>
    <x v="10"/>
    <s v="Dec"/>
    <s v="Q4"/>
    <x v="16"/>
    <n v="3"/>
    <n v="25"/>
  </r>
  <r>
    <s v="ORD00609"/>
    <d v="2025-05-06T00:00:00"/>
    <d v="2025-05-07T00:00:00"/>
    <s v="C0047"/>
    <x v="215"/>
    <s v="Corporate"/>
    <x v="2"/>
    <x v="14"/>
    <s v="P001"/>
    <x v="8"/>
    <x v="2"/>
    <n v="3"/>
    <n v="55000"/>
    <x v="0"/>
    <n v="165000"/>
    <n v="29145.26"/>
    <x v="0"/>
    <x v="1"/>
    <x v="2"/>
    <x v="0"/>
    <x v="4"/>
    <s v="May"/>
    <s v="Q2"/>
    <x v="5"/>
    <n v="1"/>
    <n v="17.66"/>
  </r>
  <r>
    <s v="ORD00619"/>
    <d v="2024-12-21T00:00:00"/>
    <d v="2024-12-23T00:00:00"/>
    <s v="C0068"/>
    <x v="247"/>
    <s v="Consumer"/>
    <x v="3"/>
    <x v="6"/>
    <s v="P008"/>
    <x v="11"/>
    <x v="1"/>
    <n v="3"/>
    <n v="250"/>
    <x v="0"/>
    <n v="750"/>
    <n v="244.98"/>
    <x v="2"/>
    <x v="0"/>
    <x v="1"/>
    <x v="1"/>
    <x v="10"/>
    <s v="Dec"/>
    <s v="Q4"/>
    <x v="16"/>
    <n v="2"/>
    <n v="32.659999999999997"/>
  </r>
  <r>
    <s v="ORD01232"/>
    <d v="2025-09-15T00:00:00"/>
    <d v="2025-09-16T00:00:00"/>
    <s v="C0023"/>
    <x v="132"/>
    <s v="Small Business"/>
    <x v="1"/>
    <x v="16"/>
    <s v="P005"/>
    <x v="0"/>
    <x v="0"/>
    <n v="1"/>
    <n v="7000"/>
    <x v="4"/>
    <n v="6300"/>
    <n v="1197.0899999999999"/>
    <x v="3"/>
    <x v="1"/>
    <x v="1"/>
    <x v="0"/>
    <x v="9"/>
    <s v="Sep"/>
    <s v="Q3"/>
    <x v="11"/>
    <n v="1"/>
    <n v="19"/>
  </r>
  <r>
    <s v="ORD01177"/>
    <d v="2024-01-29T00:00:00"/>
    <d v="2024-02-02T00:00:00"/>
    <s v="C0261"/>
    <x v="180"/>
    <s v="Consumer"/>
    <x v="2"/>
    <x v="3"/>
    <s v="P003"/>
    <x v="5"/>
    <x v="2"/>
    <n v="2"/>
    <n v="3000"/>
    <x v="0"/>
    <n v="6000"/>
    <n v="1951.1"/>
    <x v="2"/>
    <x v="1"/>
    <x v="3"/>
    <x v="1"/>
    <x v="11"/>
    <s v="Jan"/>
    <s v="Q1"/>
    <x v="21"/>
    <n v="4"/>
    <n v="32.520000000000003"/>
  </r>
  <r>
    <s v="ORD00592"/>
    <d v="2025-10-29T00:00:00"/>
    <d v="2025-11-06T00:00:00"/>
    <s v="C0046"/>
    <x v="269"/>
    <s v="Small Business"/>
    <x v="0"/>
    <x v="2"/>
    <s v="P012"/>
    <x v="4"/>
    <x v="3"/>
    <n v="1"/>
    <n v="3500"/>
    <x v="1"/>
    <n v="2975"/>
    <n v="973.86"/>
    <x v="5"/>
    <x v="0"/>
    <x v="2"/>
    <x v="0"/>
    <x v="1"/>
    <s v="Oct"/>
    <s v="Q4"/>
    <x v="14"/>
    <n v="8"/>
    <n v="32.729999999999997"/>
  </r>
  <r>
    <s v="ORD00446"/>
    <d v="2025-03-29T00:00:00"/>
    <d v="2025-03-31T00:00:00"/>
    <s v="C0128"/>
    <x v="91"/>
    <s v="Corporate"/>
    <x v="3"/>
    <x v="8"/>
    <s v="P007"/>
    <x v="10"/>
    <x v="0"/>
    <n v="1"/>
    <n v="6000"/>
    <x v="0"/>
    <n v="6000"/>
    <n v="1122.73"/>
    <x v="1"/>
    <x v="2"/>
    <x v="2"/>
    <x v="0"/>
    <x v="0"/>
    <s v="Mar"/>
    <s v="Q1"/>
    <x v="0"/>
    <n v="2"/>
    <n v="18.71"/>
  </r>
  <r>
    <s v="ORD00340"/>
    <d v="2024-06-17T00:00:00"/>
    <d v="2024-06-24T00:00:00"/>
    <s v="C0055"/>
    <x v="28"/>
    <s v="Corporate"/>
    <x v="3"/>
    <x v="12"/>
    <s v="P001"/>
    <x v="8"/>
    <x v="2"/>
    <n v="2"/>
    <n v="55000"/>
    <x v="2"/>
    <n v="88000"/>
    <n v="15630"/>
    <x v="2"/>
    <x v="1"/>
    <x v="1"/>
    <x v="1"/>
    <x v="8"/>
    <s v="Jun"/>
    <s v="Q2"/>
    <x v="12"/>
    <n v="7"/>
    <n v="17.760000000000002"/>
  </r>
  <r>
    <s v="ORD00096"/>
    <d v="2025-01-12T00:00:00"/>
    <d v="2025-01-14T00:00:00"/>
    <s v="C0284"/>
    <x v="73"/>
    <s v="Corporate"/>
    <x v="0"/>
    <x v="10"/>
    <s v="P010"/>
    <x v="6"/>
    <x v="4"/>
    <n v="2"/>
    <n v="1800"/>
    <x v="4"/>
    <n v="3240"/>
    <n v="852.66"/>
    <x v="2"/>
    <x v="1"/>
    <x v="0"/>
    <x v="0"/>
    <x v="11"/>
    <s v="Jan"/>
    <s v="Q1"/>
    <x v="17"/>
    <n v="2"/>
    <n v="26.32"/>
  </r>
  <r>
    <s v="ORD00587"/>
    <d v="2025-04-12T00:00:00"/>
    <d v="2025-04-14T00:00:00"/>
    <s v="C0158"/>
    <x v="151"/>
    <s v="Small Business"/>
    <x v="2"/>
    <x v="9"/>
    <s v="P002"/>
    <x v="3"/>
    <x v="2"/>
    <n v="2"/>
    <n v="25000"/>
    <x v="2"/>
    <n v="40000"/>
    <n v="5618.5"/>
    <x v="2"/>
    <x v="1"/>
    <x v="1"/>
    <x v="0"/>
    <x v="5"/>
    <s v="Apr"/>
    <s v="Q2"/>
    <x v="13"/>
    <n v="2"/>
    <n v="14.05"/>
  </r>
  <r>
    <s v="ORD00979"/>
    <d v="2024-05-22T00:00:00"/>
    <d v="2024-05-25T00:00:00"/>
    <s v="C0044"/>
    <x v="123"/>
    <s v="Small Business"/>
    <x v="3"/>
    <x v="7"/>
    <s v="P004"/>
    <x v="7"/>
    <x v="2"/>
    <n v="2"/>
    <n v="8000"/>
    <x v="4"/>
    <n v="14400"/>
    <n v="3805.04"/>
    <x v="3"/>
    <x v="1"/>
    <x v="0"/>
    <x v="1"/>
    <x v="4"/>
    <s v="May"/>
    <s v="Q2"/>
    <x v="8"/>
    <n v="3"/>
    <n v="26.42"/>
  </r>
  <r>
    <s v="ORD01659"/>
    <d v="2024-10-07T00:00:00"/>
    <d v="2024-10-08T00:00:00"/>
    <s v="C0251"/>
    <x v="159"/>
    <s v="Consumer"/>
    <x v="0"/>
    <x v="10"/>
    <s v="P008"/>
    <x v="11"/>
    <x v="1"/>
    <n v="1"/>
    <n v="250"/>
    <x v="3"/>
    <n v="237.5"/>
    <n v="84.12"/>
    <x v="2"/>
    <x v="2"/>
    <x v="0"/>
    <x v="1"/>
    <x v="1"/>
    <s v="Oct"/>
    <s v="Q4"/>
    <x v="1"/>
    <n v="1"/>
    <n v="35.42"/>
  </r>
  <r>
    <s v="ORD01767"/>
    <d v="2024-05-30T00:00:00"/>
    <d v="2024-05-31T00:00:00"/>
    <s v="C0208"/>
    <x v="218"/>
    <s v="Small Business"/>
    <x v="2"/>
    <x v="3"/>
    <s v="P009"/>
    <x v="2"/>
    <x v="1"/>
    <n v="4"/>
    <n v="180"/>
    <x v="0"/>
    <n v="720"/>
    <n v="274.12"/>
    <x v="0"/>
    <x v="2"/>
    <x v="2"/>
    <x v="1"/>
    <x v="4"/>
    <s v="May"/>
    <s v="Q2"/>
    <x v="8"/>
    <n v="1"/>
    <n v="38.07"/>
  </r>
  <r>
    <s v="ORD01202"/>
    <d v="2025-07-30T00:00:00"/>
    <d v="2025-08-01T00:00:00"/>
    <s v="C0190"/>
    <x v="55"/>
    <s v="Corporate"/>
    <x v="3"/>
    <x v="12"/>
    <s v="P008"/>
    <x v="11"/>
    <x v="1"/>
    <n v="1"/>
    <n v="250"/>
    <x v="0"/>
    <n v="250"/>
    <n v="83.3"/>
    <x v="2"/>
    <x v="2"/>
    <x v="2"/>
    <x v="0"/>
    <x v="3"/>
    <s v="Jul"/>
    <s v="Q3"/>
    <x v="15"/>
    <n v="2"/>
    <n v="33.32"/>
  </r>
  <r>
    <s v="ORD01144"/>
    <d v="2024-02-15T00:00:00"/>
    <d v="2024-02-22T00:00:00"/>
    <s v="C0197"/>
    <x v="176"/>
    <s v="Small Business"/>
    <x v="1"/>
    <x v="16"/>
    <s v="P008"/>
    <x v="11"/>
    <x v="1"/>
    <n v="1"/>
    <n v="250"/>
    <x v="3"/>
    <n v="237.5"/>
    <n v="73.510000000000005"/>
    <x v="1"/>
    <x v="0"/>
    <x v="4"/>
    <x v="1"/>
    <x v="6"/>
    <s v="Feb"/>
    <s v="Q1"/>
    <x v="18"/>
    <n v="7"/>
    <n v="30.95"/>
  </r>
  <r>
    <s v="ORD00425"/>
    <d v="2024-04-11T00:00:00"/>
    <d v="2024-04-16T00:00:00"/>
    <s v="C0025"/>
    <x v="37"/>
    <s v="Consumer"/>
    <x v="2"/>
    <x v="14"/>
    <s v="P007"/>
    <x v="10"/>
    <x v="0"/>
    <n v="3"/>
    <n v="6000"/>
    <x v="0"/>
    <n v="18000"/>
    <n v="3396.33"/>
    <x v="0"/>
    <x v="2"/>
    <x v="3"/>
    <x v="1"/>
    <x v="5"/>
    <s v="Apr"/>
    <s v="Q2"/>
    <x v="6"/>
    <n v="5"/>
    <n v="18.87"/>
  </r>
  <r>
    <s v="ORD01258"/>
    <d v="2024-11-06T00:00:00"/>
    <d v="2024-11-14T00:00:00"/>
    <s v="C0217"/>
    <x v="246"/>
    <s v="Corporate"/>
    <x v="3"/>
    <x v="8"/>
    <s v="P001"/>
    <x v="8"/>
    <x v="2"/>
    <n v="3"/>
    <n v="55000"/>
    <x v="0"/>
    <n v="165000"/>
    <n v="27961.200000000001"/>
    <x v="1"/>
    <x v="1"/>
    <x v="0"/>
    <x v="1"/>
    <x v="2"/>
    <s v="Nov"/>
    <s v="Q4"/>
    <x v="3"/>
    <n v="8"/>
    <n v="16.95"/>
  </r>
  <r>
    <s v="ORD01374"/>
    <d v="2024-04-30T00:00:00"/>
    <d v="2024-05-07T00:00:00"/>
    <s v="C0295"/>
    <x v="107"/>
    <s v="Consumer"/>
    <x v="0"/>
    <x v="11"/>
    <s v="P002"/>
    <x v="3"/>
    <x v="2"/>
    <n v="10"/>
    <n v="25000"/>
    <x v="0"/>
    <n v="250000"/>
    <n v="31660.51"/>
    <x v="0"/>
    <x v="2"/>
    <x v="3"/>
    <x v="1"/>
    <x v="5"/>
    <s v="Apr"/>
    <s v="Q2"/>
    <x v="6"/>
    <n v="7"/>
    <n v="12.66"/>
  </r>
  <r>
    <s v="ORD01340"/>
    <d v="2024-05-24T00:00:00"/>
    <d v="2024-05-27T00:00:00"/>
    <s v="C0166"/>
    <x v="288"/>
    <s v="Small Business"/>
    <x v="2"/>
    <x v="9"/>
    <s v="P001"/>
    <x v="8"/>
    <x v="2"/>
    <n v="4"/>
    <n v="55000"/>
    <x v="0"/>
    <n v="220000"/>
    <n v="36662.94"/>
    <x v="1"/>
    <x v="0"/>
    <x v="2"/>
    <x v="1"/>
    <x v="4"/>
    <s v="May"/>
    <s v="Q2"/>
    <x v="8"/>
    <n v="3"/>
    <n v="16.66"/>
  </r>
  <r>
    <s v="ORD01900"/>
    <d v="2024-11-01T00:00:00"/>
    <d v="2024-11-08T00:00:00"/>
    <s v="C0155"/>
    <x v="41"/>
    <s v="Consumer"/>
    <x v="1"/>
    <x v="5"/>
    <s v="P003"/>
    <x v="5"/>
    <x v="2"/>
    <n v="2"/>
    <n v="3000"/>
    <x v="0"/>
    <n v="6000"/>
    <n v="1293.81"/>
    <x v="0"/>
    <x v="2"/>
    <x v="4"/>
    <x v="1"/>
    <x v="2"/>
    <s v="Nov"/>
    <s v="Q4"/>
    <x v="3"/>
    <n v="7"/>
    <n v="21.56"/>
  </r>
  <r>
    <s v="ORD01709"/>
    <d v="2025-06-01T00:00:00"/>
    <d v="2025-06-03T00:00:00"/>
    <s v="C0295"/>
    <x v="107"/>
    <s v="Consumer"/>
    <x v="0"/>
    <x v="11"/>
    <s v="P009"/>
    <x v="2"/>
    <x v="1"/>
    <n v="5"/>
    <n v="180"/>
    <x v="0"/>
    <n v="900"/>
    <n v="408.57"/>
    <x v="3"/>
    <x v="0"/>
    <x v="1"/>
    <x v="0"/>
    <x v="8"/>
    <s v="Jun"/>
    <s v="Q2"/>
    <x v="10"/>
    <n v="2"/>
    <n v="45.4"/>
  </r>
  <r>
    <s v="ORD01404"/>
    <d v="2024-02-09T00:00:00"/>
    <d v="2024-02-14T00:00:00"/>
    <s v="C0016"/>
    <x v="83"/>
    <s v="Corporate"/>
    <x v="0"/>
    <x v="11"/>
    <s v="P010"/>
    <x v="6"/>
    <x v="4"/>
    <n v="5"/>
    <n v="1800"/>
    <x v="2"/>
    <n v="7200"/>
    <n v="2712.23"/>
    <x v="3"/>
    <x v="0"/>
    <x v="4"/>
    <x v="1"/>
    <x v="6"/>
    <s v="Feb"/>
    <s v="Q1"/>
    <x v="18"/>
    <n v="5"/>
    <n v="37.67"/>
  </r>
  <r>
    <s v="ORD00782"/>
    <d v="2025-07-21T00:00:00"/>
    <d v="2025-07-24T00:00:00"/>
    <s v="C0010"/>
    <x v="185"/>
    <s v="Corporate"/>
    <x v="3"/>
    <x v="8"/>
    <s v="P005"/>
    <x v="0"/>
    <x v="0"/>
    <n v="10"/>
    <n v="7000"/>
    <x v="1"/>
    <n v="59500"/>
    <n v="9694.5"/>
    <x v="3"/>
    <x v="2"/>
    <x v="0"/>
    <x v="0"/>
    <x v="3"/>
    <s v="Jul"/>
    <s v="Q3"/>
    <x v="15"/>
    <n v="3"/>
    <n v="16.29"/>
  </r>
  <r>
    <s v="ORD01793"/>
    <d v="2024-02-06T00:00:00"/>
    <d v="2024-02-08T00:00:00"/>
    <s v="C0146"/>
    <x v="199"/>
    <s v="Consumer"/>
    <x v="1"/>
    <x v="16"/>
    <s v="P002"/>
    <x v="3"/>
    <x v="2"/>
    <n v="3"/>
    <n v="25000"/>
    <x v="0"/>
    <n v="75000"/>
    <n v="9929.85"/>
    <x v="5"/>
    <x v="2"/>
    <x v="1"/>
    <x v="1"/>
    <x v="6"/>
    <s v="Feb"/>
    <s v="Q1"/>
    <x v="18"/>
    <n v="2"/>
    <n v="13.24"/>
  </r>
  <r>
    <s v="ORD00276"/>
    <d v="2024-07-13T00:00:00"/>
    <d v="2024-07-18T00:00:00"/>
    <s v="C0170"/>
    <x v="266"/>
    <s v="Small Business"/>
    <x v="2"/>
    <x v="4"/>
    <s v="P004"/>
    <x v="7"/>
    <x v="2"/>
    <n v="2"/>
    <n v="8000"/>
    <x v="4"/>
    <n v="14400"/>
    <n v="3559.73"/>
    <x v="5"/>
    <x v="1"/>
    <x v="4"/>
    <x v="1"/>
    <x v="3"/>
    <s v="Jul"/>
    <s v="Q3"/>
    <x v="4"/>
    <n v="5"/>
    <n v="24.72"/>
  </r>
  <r>
    <s v="ORD00219"/>
    <d v="2025-11-02T00:00:00"/>
    <d v="2025-11-05T00:00:00"/>
    <s v="C0120"/>
    <x v="4"/>
    <s v="Corporate"/>
    <x v="2"/>
    <x v="3"/>
    <s v="P007"/>
    <x v="10"/>
    <x v="0"/>
    <n v="1"/>
    <n v="6000"/>
    <x v="0"/>
    <n v="6000"/>
    <n v="1282.6400000000001"/>
    <x v="6"/>
    <x v="0"/>
    <x v="1"/>
    <x v="0"/>
    <x v="2"/>
    <s v="Nov"/>
    <s v="Q4"/>
    <x v="23"/>
    <n v="3"/>
    <n v="21.38"/>
  </r>
  <r>
    <s v="ORD01379"/>
    <d v="2024-04-01T00:00:00"/>
    <d v="2024-04-05T00:00:00"/>
    <s v="C0089"/>
    <x v="99"/>
    <s v="Small Business"/>
    <x v="2"/>
    <x v="3"/>
    <s v="P008"/>
    <x v="11"/>
    <x v="1"/>
    <n v="1"/>
    <n v="250"/>
    <x v="4"/>
    <n v="225"/>
    <n v="82.38"/>
    <x v="3"/>
    <x v="1"/>
    <x v="3"/>
    <x v="1"/>
    <x v="5"/>
    <s v="Apr"/>
    <s v="Q2"/>
    <x v="6"/>
    <n v="4"/>
    <n v="36.61"/>
  </r>
  <r>
    <s v="ORD01574"/>
    <d v="2024-10-27T00:00:00"/>
    <d v="2024-10-31T00:00:00"/>
    <s v="C0232"/>
    <x v="78"/>
    <s v="Small Business"/>
    <x v="1"/>
    <x v="1"/>
    <s v="P003"/>
    <x v="5"/>
    <x v="2"/>
    <n v="2"/>
    <n v="3000"/>
    <x v="2"/>
    <n v="4800"/>
    <n v="1535.59"/>
    <x v="0"/>
    <x v="1"/>
    <x v="2"/>
    <x v="1"/>
    <x v="1"/>
    <s v="Oct"/>
    <s v="Q4"/>
    <x v="1"/>
    <n v="4"/>
    <n v="31.99"/>
  </r>
  <r>
    <s v="ORD01425"/>
    <d v="2024-02-27T00:00:00"/>
    <d v="2024-02-29T00:00:00"/>
    <s v="C0103"/>
    <x v="274"/>
    <s v="Small Business"/>
    <x v="3"/>
    <x v="8"/>
    <s v="P011"/>
    <x v="9"/>
    <x v="4"/>
    <n v="1"/>
    <n v="600"/>
    <x v="0"/>
    <n v="600"/>
    <n v="245.95"/>
    <x v="4"/>
    <x v="0"/>
    <x v="2"/>
    <x v="1"/>
    <x v="6"/>
    <s v="Feb"/>
    <s v="Q1"/>
    <x v="18"/>
    <n v="2"/>
    <n v="40.99"/>
  </r>
  <r>
    <s v="ORD01450"/>
    <d v="2024-10-13T00:00:00"/>
    <d v="2024-10-16T00:00:00"/>
    <s v="C0099"/>
    <x v="36"/>
    <s v="Small Business"/>
    <x v="0"/>
    <x v="0"/>
    <s v="P009"/>
    <x v="2"/>
    <x v="1"/>
    <n v="5"/>
    <n v="180"/>
    <x v="0"/>
    <n v="900"/>
    <n v="362.82"/>
    <x v="2"/>
    <x v="2"/>
    <x v="2"/>
    <x v="1"/>
    <x v="1"/>
    <s v="Oct"/>
    <s v="Q4"/>
    <x v="1"/>
    <n v="3"/>
    <n v="40.31"/>
  </r>
  <r>
    <s v="ORD01966"/>
    <d v="2024-07-26T00:00:00"/>
    <d v="2024-07-30T00:00:00"/>
    <s v="C0073"/>
    <x v="147"/>
    <s v="Consumer"/>
    <x v="3"/>
    <x v="8"/>
    <s v="P008"/>
    <x v="11"/>
    <x v="1"/>
    <n v="4"/>
    <n v="250"/>
    <x v="2"/>
    <n v="800"/>
    <n v="292.92"/>
    <x v="5"/>
    <x v="0"/>
    <x v="3"/>
    <x v="1"/>
    <x v="3"/>
    <s v="Jul"/>
    <s v="Q3"/>
    <x v="4"/>
    <n v="4"/>
    <n v="36.619999999999997"/>
  </r>
  <r>
    <s v="ORD01185"/>
    <d v="2025-08-20T00:00:00"/>
    <d v="2025-08-23T00:00:00"/>
    <s v="C0195"/>
    <x v="220"/>
    <s v="Corporate"/>
    <x v="1"/>
    <x v="5"/>
    <s v="P011"/>
    <x v="9"/>
    <x v="4"/>
    <n v="1"/>
    <n v="600"/>
    <x v="0"/>
    <n v="600"/>
    <n v="203.76"/>
    <x v="3"/>
    <x v="0"/>
    <x v="4"/>
    <x v="0"/>
    <x v="7"/>
    <s v="Aug"/>
    <s v="Q3"/>
    <x v="22"/>
    <n v="3"/>
    <n v="33.96"/>
  </r>
  <r>
    <s v="ORD01025"/>
    <d v="2024-01-04T00:00:00"/>
    <d v="2024-01-12T00:00:00"/>
    <s v="C0267"/>
    <x v="93"/>
    <s v="Consumer"/>
    <x v="2"/>
    <x v="9"/>
    <s v="P012"/>
    <x v="4"/>
    <x v="3"/>
    <n v="10"/>
    <n v="3500"/>
    <x v="2"/>
    <n v="28000"/>
    <n v="9344.4500000000007"/>
    <x v="5"/>
    <x v="2"/>
    <x v="3"/>
    <x v="1"/>
    <x v="11"/>
    <s v="Jan"/>
    <s v="Q1"/>
    <x v="21"/>
    <n v="8"/>
    <n v="33.369999999999997"/>
  </r>
  <r>
    <s v="ORD01027"/>
    <d v="2025-08-13T00:00:00"/>
    <d v="2025-08-14T00:00:00"/>
    <s v="C0098"/>
    <x v="0"/>
    <s v="Corporate"/>
    <x v="0"/>
    <x v="0"/>
    <s v="P011"/>
    <x v="9"/>
    <x v="4"/>
    <n v="5"/>
    <n v="600"/>
    <x v="0"/>
    <n v="3000"/>
    <n v="1140"/>
    <x v="3"/>
    <x v="1"/>
    <x v="1"/>
    <x v="0"/>
    <x v="7"/>
    <s v="Aug"/>
    <s v="Q3"/>
    <x v="22"/>
    <n v="1"/>
    <n v="38"/>
  </r>
  <r>
    <s v="ORD00239"/>
    <d v="2024-02-23T00:00:00"/>
    <d v="2024-02-24T00:00:00"/>
    <s v="C0258"/>
    <x v="45"/>
    <s v="Small Business"/>
    <x v="0"/>
    <x v="10"/>
    <s v="P011"/>
    <x v="9"/>
    <x v="4"/>
    <n v="1"/>
    <n v="600"/>
    <x v="2"/>
    <n v="480"/>
    <n v="165.31"/>
    <x v="0"/>
    <x v="0"/>
    <x v="0"/>
    <x v="1"/>
    <x v="6"/>
    <s v="Feb"/>
    <s v="Q1"/>
    <x v="18"/>
    <n v="1"/>
    <n v="34.44"/>
  </r>
  <r>
    <s v="ORD00914"/>
    <d v="2025-10-27T00:00:00"/>
    <d v="2025-10-29T00:00:00"/>
    <s v="C0046"/>
    <x v="269"/>
    <s v="Small Business"/>
    <x v="0"/>
    <x v="2"/>
    <s v="P008"/>
    <x v="11"/>
    <x v="1"/>
    <n v="2"/>
    <n v="250"/>
    <x v="3"/>
    <n v="475"/>
    <n v="160.91999999999999"/>
    <x v="2"/>
    <x v="0"/>
    <x v="3"/>
    <x v="0"/>
    <x v="1"/>
    <s v="Oct"/>
    <s v="Q4"/>
    <x v="14"/>
    <n v="2"/>
    <n v="33.880000000000003"/>
  </r>
  <r>
    <s v="ORD00900"/>
    <d v="2024-03-30T00:00:00"/>
    <d v="2024-04-03T00:00:00"/>
    <s v="C0060"/>
    <x v="125"/>
    <s v="Corporate"/>
    <x v="2"/>
    <x v="3"/>
    <s v="P005"/>
    <x v="0"/>
    <x v="0"/>
    <n v="1"/>
    <n v="7000"/>
    <x v="0"/>
    <n v="7000"/>
    <n v="1534.2"/>
    <x v="5"/>
    <x v="0"/>
    <x v="1"/>
    <x v="1"/>
    <x v="0"/>
    <s v="Mar"/>
    <s v="Q1"/>
    <x v="2"/>
    <n v="4"/>
    <n v="21.92"/>
  </r>
  <r>
    <s v="ORD01922"/>
    <d v="2024-11-08T00:00:00"/>
    <d v="2024-11-10T00:00:00"/>
    <s v="C0170"/>
    <x v="266"/>
    <s v="Small Business"/>
    <x v="2"/>
    <x v="4"/>
    <s v="P004"/>
    <x v="7"/>
    <x v="2"/>
    <n v="4"/>
    <n v="8000"/>
    <x v="2"/>
    <n v="25600"/>
    <n v="6272.01"/>
    <x v="1"/>
    <x v="0"/>
    <x v="0"/>
    <x v="1"/>
    <x v="2"/>
    <s v="Nov"/>
    <s v="Q4"/>
    <x v="3"/>
    <n v="2"/>
    <n v="24.5"/>
  </r>
  <r>
    <s v="ORD01537"/>
    <d v="2024-09-26T00:00:00"/>
    <d v="2024-10-03T00:00:00"/>
    <s v="C0192"/>
    <x v="214"/>
    <s v="Consumer"/>
    <x v="3"/>
    <x v="8"/>
    <s v="P009"/>
    <x v="2"/>
    <x v="1"/>
    <n v="2"/>
    <n v="180"/>
    <x v="2"/>
    <n v="288"/>
    <n v="124.74"/>
    <x v="2"/>
    <x v="2"/>
    <x v="3"/>
    <x v="1"/>
    <x v="9"/>
    <s v="Sep"/>
    <s v="Q3"/>
    <x v="20"/>
    <n v="7"/>
    <n v="43.31"/>
  </r>
  <r>
    <s v="ORD01382"/>
    <d v="2024-11-13T00:00:00"/>
    <d v="2024-11-16T00:00:00"/>
    <s v="C0098"/>
    <x v="0"/>
    <s v="Corporate"/>
    <x v="0"/>
    <x v="0"/>
    <s v="P010"/>
    <x v="6"/>
    <x v="4"/>
    <n v="3"/>
    <n v="1800"/>
    <x v="4"/>
    <n v="4860"/>
    <n v="1392.24"/>
    <x v="0"/>
    <x v="2"/>
    <x v="3"/>
    <x v="1"/>
    <x v="2"/>
    <s v="Nov"/>
    <s v="Q4"/>
    <x v="3"/>
    <n v="3"/>
    <n v="28.65"/>
  </r>
  <r>
    <s v="ORD00877"/>
    <d v="2024-02-29T00:00:00"/>
    <m/>
    <s v="C0189"/>
    <x v="258"/>
    <s v="Small Business"/>
    <x v="0"/>
    <x v="0"/>
    <s v="P012"/>
    <x v="4"/>
    <x v="3"/>
    <n v="3"/>
    <n v="3500"/>
    <x v="3"/>
    <n v="9975"/>
    <n v="3173.7"/>
    <x v="0"/>
    <x v="0"/>
    <x v="4"/>
    <x v="1"/>
    <x v="6"/>
    <s v="Feb"/>
    <s v="Q1"/>
    <x v="18"/>
    <s v=""/>
    <n v="31.82"/>
  </r>
  <r>
    <s v="ORD00929"/>
    <d v="2024-08-15T00:00:00"/>
    <d v="2024-08-17T00:00:00"/>
    <s v="C0051"/>
    <x v="106"/>
    <s v="Consumer"/>
    <x v="2"/>
    <x v="3"/>
    <s v="P007"/>
    <x v="10"/>
    <x v="0"/>
    <n v="1"/>
    <n v="6000"/>
    <x v="0"/>
    <n v="6000"/>
    <n v="1458.85"/>
    <x v="4"/>
    <x v="2"/>
    <x v="4"/>
    <x v="1"/>
    <x v="7"/>
    <s v="Aug"/>
    <s v="Q3"/>
    <x v="9"/>
    <n v="2"/>
    <n v="24.31"/>
  </r>
  <r>
    <s v="ORD01469"/>
    <d v="2025-01-09T00:00:00"/>
    <d v="2025-01-12T00:00:00"/>
    <s v="C0077"/>
    <x v="260"/>
    <s v="Corporate"/>
    <x v="2"/>
    <x v="3"/>
    <s v="P007"/>
    <x v="10"/>
    <x v="0"/>
    <n v="1"/>
    <n v="6000"/>
    <x v="2"/>
    <n v="4800"/>
    <n v="1183.06"/>
    <x v="4"/>
    <x v="2"/>
    <x v="2"/>
    <x v="0"/>
    <x v="11"/>
    <s v="Jan"/>
    <s v="Q1"/>
    <x v="17"/>
    <n v="3"/>
    <n v="24.65"/>
  </r>
  <r>
    <s v="ORD00236"/>
    <d v="2024-06-10T00:00:00"/>
    <m/>
    <s v="C0086"/>
    <x v="158"/>
    <s v="Consumer"/>
    <x v="1"/>
    <x v="16"/>
    <s v="P006"/>
    <x v="1"/>
    <x v="0"/>
    <n v="1"/>
    <n v="9500"/>
    <x v="0"/>
    <n v="9500"/>
    <n v="2009.64"/>
    <x v="4"/>
    <x v="2"/>
    <x v="1"/>
    <x v="1"/>
    <x v="8"/>
    <s v="Jun"/>
    <s v="Q2"/>
    <x v="12"/>
    <s v=""/>
    <n v="21.15"/>
  </r>
  <r>
    <s v="ORD00798"/>
    <d v="2025-02-20T00:00:00"/>
    <d v="2025-02-28T00:00:00"/>
    <s v="C0166"/>
    <x v="288"/>
    <s v="Small Business"/>
    <x v="2"/>
    <x v="9"/>
    <s v="P007"/>
    <x v="10"/>
    <x v="0"/>
    <n v="1"/>
    <n v="6000"/>
    <x v="1"/>
    <n v="5100"/>
    <n v="1110.56"/>
    <x v="3"/>
    <x v="2"/>
    <x v="3"/>
    <x v="0"/>
    <x v="6"/>
    <s v="Feb"/>
    <s v="Q1"/>
    <x v="7"/>
    <n v="8"/>
    <n v="21.78"/>
  </r>
  <r>
    <s v="ORD00694"/>
    <d v="2024-06-13T00:00:00"/>
    <d v="2024-06-20T00:00:00"/>
    <s v="C0153"/>
    <x v="193"/>
    <s v="Small Business"/>
    <x v="3"/>
    <x v="12"/>
    <s v="P004"/>
    <x v="7"/>
    <x v="2"/>
    <n v="5"/>
    <n v="8000"/>
    <x v="1"/>
    <n v="34000"/>
    <n v="7028.43"/>
    <x v="2"/>
    <x v="1"/>
    <x v="3"/>
    <x v="1"/>
    <x v="8"/>
    <s v="Jun"/>
    <s v="Q2"/>
    <x v="12"/>
    <n v="7"/>
    <n v="20.67"/>
  </r>
  <r>
    <s v="ORD01725"/>
    <d v="2024-02-17T00:00:00"/>
    <d v="2024-02-20T00:00:00"/>
    <s v="C0220"/>
    <x v="289"/>
    <s v="Consumer"/>
    <x v="3"/>
    <x v="8"/>
    <s v="P007"/>
    <x v="10"/>
    <x v="0"/>
    <n v="2"/>
    <n v="6000"/>
    <x v="0"/>
    <n v="12000"/>
    <n v="2150.2199999999998"/>
    <x v="0"/>
    <x v="0"/>
    <x v="3"/>
    <x v="1"/>
    <x v="6"/>
    <s v="Feb"/>
    <s v="Q1"/>
    <x v="18"/>
    <n v="3"/>
    <n v="17.920000000000002"/>
  </r>
  <r>
    <s v="ORD01594"/>
    <d v="2024-11-06T00:00:00"/>
    <d v="2024-11-13T00:00:00"/>
    <s v="C0022"/>
    <x v="167"/>
    <s v="Corporate"/>
    <x v="1"/>
    <x v="16"/>
    <s v="P001"/>
    <x v="8"/>
    <x v="2"/>
    <n v="1"/>
    <n v="55000"/>
    <x v="3"/>
    <n v="52250"/>
    <n v="8725.19"/>
    <x v="4"/>
    <x v="1"/>
    <x v="1"/>
    <x v="1"/>
    <x v="2"/>
    <s v="Nov"/>
    <s v="Q4"/>
    <x v="3"/>
    <n v="7"/>
    <n v="16.7"/>
  </r>
  <r>
    <s v="ORD00968"/>
    <d v="2024-02-10T00:00:00"/>
    <d v="2024-02-15T00:00:00"/>
    <s v="C0122"/>
    <x v="44"/>
    <s v="Corporate"/>
    <x v="2"/>
    <x v="14"/>
    <s v="P005"/>
    <x v="0"/>
    <x v="0"/>
    <n v="2"/>
    <n v="7000"/>
    <x v="0"/>
    <n v="14000"/>
    <n v="3298.37"/>
    <x v="2"/>
    <x v="2"/>
    <x v="2"/>
    <x v="1"/>
    <x v="6"/>
    <s v="Feb"/>
    <s v="Q1"/>
    <x v="18"/>
    <n v="5"/>
    <n v="23.56"/>
  </r>
  <r>
    <s v="ORD00861"/>
    <d v="2024-04-07T00:00:00"/>
    <d v="2024-04-10T00:00:00"/>
    <s v="C0088"/>
    <x v="186"/>
    <s v="Corporate"/>
    <x v="0"/>
    <x v="11"/>
    <s v="P005"/>
    <x v="0"/>
    <x v="0"/>
    <n v="2"/>
    <n v="7000"/>
    <x v="1"/>
    <n v="11900"/>
    <n v="2561.7800000000002"/>
    <x v="3"/>
    <x v="0"/>
    <x v="4"/>
    <x v="1"/>
    <x v="5"/>
    <s v="Apr"/>
    <s v="Q2"/>
    <x v="6"/>
    <n v="3"/>
    <n v="21.53"/>
  </r>
  <r>
    <s v="ORD01509"/>
    <d v="2024-01-25T00:00:00"/>
    <d v="2024-02-02T00:00:00"/>
    <s v="C0104"/>
    <x v="225"/>
    <s v="Corporate"/>
    <x v="0"/>
    <x v="11"/>
    <s v="P005"/>
    <x v="0"/>
    <x v="0"/>
    <n v="3"/>
    <n v="7000"/>
    <x v="2"/>
    <n v="16800"/>
    <n v="2865.24"/>
    <x v="2"/>
    <x v="2"/>
    <x v="3"/>
    <x v="1"/>
    <x v="11"/>
    <s v="Jan"/>
    <s v="Q1"/>
    <x v="21"/>
    <n v="8"/>
    <n v="17.059999999999999"/>
  </r>
  <r>
    <s v="ORD01496"/>
    <d v="2025-10-04T00:00:00"/>
    <d v="2025-10-11T00:00:00"/>
    <s v="C0275"/>
    <x v="281"/>
    <s v="Small Business"/>
    <x v="0"/>
    <x v="15"/>
    <s v="P001"/>
    <x v="8"/>
    <x v="2"/>
    <n v="1"/>
    <n v="55000"/>
    <x v="4"/>
    <n v="49500"/>
    <n v="7571.01"/>
    <x v="4"/>
    <x v="0"/>
    <x v="1"/>
    <x v="0"/>
    <x v="1"/>
    <s v="Oct"/>
    <s v="Q4"/>
    <x v="14"/>
    <n v="7"/>
    <n v="15.29"/>
  </r>
  <r>
    <s v="ORD01197"/>
    <d v="2025-05-31T00:00:00"/>
    <d v="2025-06-01T00:00:00"/>
    <s v="C0040"/>
    <x v="285"/>
    <s v="Small Business"/>
    <x v="3"/>
    <x v="8"/>
    <s v="P002"/>
    <x v="3"/>
    <x v="2"/>
    <n v="3"/>
    <n v="25000"/>
    <x v="2"/>
    <n v="60000"/>
    <n v="8937.5"/>
    <x v="2"/>
    <x v="2"/>
    <x v="1"/>
    <x v="0"/>
    <x v="4"/>
    <s v="May"/>
    <s v="Q2"/>
    <x v="5"/>
    <n v="1"/>
    <n v="14.9"/>
  </r>
  <r>
    <s v="ORD01802"/>
    <d v="2024-11-27T00:00:00"/>
    <d v="2024-12-04T00:00:00"/>
    <s v="C0107"/>
    <x v="6"/>
    <s v="Corporate"/>
    <x v="2"/>
    <x v="4"/>
    <s v="P001"/>
    <x v="8"/>
    <x v="2"/>
    <n v="1"/>
    <n v="55000"/>
    <x v="0"/>
    <n v="55000"/>
    <n v="9438.33"/>
    <x v="1"/>
    <x v="2"/>
    <x v="2"/>
    <x v="1"/>
    <x v="2"/>
    <s v="Nov"/>
    <s v="Q4"/>
    <x v="3"/>
    <n v="7"/>
    <n v="17.16"/>
  </r>
  <r>
    <s v="ORD01551"/>
    <d v="2025-02-25T00:00:00"/>
    <d v="2025-03-01T00:00:00"/>
    <s v="C0266"/>
    <x v="201"/>
    <s v="Small Business"/>
    <x v="2"/>
    <x v="4"/>
    <s v="P011"/>
    <x v="9"/>
    <x v="4"/>
    <n v="1"/>
    <n v="600"/>
    <x v="4"/>
    <n v="540"/>
    <n v="178.43"/>
    <x v="1"/>
    <x v="0"/>
    <x v="4"/>
    <x v="0"/>
    <x v="6"/>
    <s v="Feb"/>
    <s v="Q1"/>
    <x v="7"/>
    <n v="4"/>
    <n v="33.04"/>
  </r>
  <r>
    <s v="ORD01497"/>
    <d v="2024-07-19T00:00:00"/>
    <d v="2024-07-24T00:00:00"/>
    <s v="C0132"/>
    <x v="203"/>
    <s v="Small Business"/>
    <x v="1"/>
    <x v="1"/>
    <s v="P006"/>
    <x v="1"/>
    <x v="0"/>
    <n v="1"/>
    <n v="9500"/>
    <x v="0"/>
    <n v="9500"/>
    <n v="1628.4"/>
    <x v="0"/>
    <x v="0"/>
    <x v="0"/>
    <x v="1"/>
    <x v="3"/>
    <s v="Jul"/>
    <s v="Q3"/>
    <x v="4"/>
    <n v="5"/>
    <n v="17.14"/>
  </r>
  <r>
    <s v="ORD01357"/>
    <d v="2024-12-21T00:00:00"/>
    <d v="2024-12-24T00:00:00"/>
    <s v="C0152"/>
    <x v="27"/>
    <s v="Small Business"/>
    <x v="3"/>
    <x v="12"/>
    <s v="P003"/>
    <x v="5"/>
    <x v="2"/>
    <n v="2"/>
    <n v="3000"/>
    <x v="0"/>
    <n v="6000"/>
    <n v="1955.73"/>
    <x v="0"/>
    <x v="2"/>
    <x v="2"/>
    <x v="1"/>
    <x v="10"/>
    <s v="Dec"/>
    <s v="Q4"/>
    <x v="16"/>
    <n v="3"/>
    <n v="32.6"/>
  </r>
  <r>
    <s v="ORD01163"/>
    <d v="2024-04-28T00:00:00"/>
    <d v="2024-05-05T00:00:00"/>
    <s v="C0234"/>
    <x v="113"/>
    <s v="Corporate"/>
    <x v="3"/>
    <x v="8"/>
    <s v="P006"/>
    <x v="1"/>
    <x v="0"/>
    <n v="3"/>
    <n v="9500"/>
    <x v="3"/>
    <n v="27075"/>
    <n v="5377.74"/>
    <x v="3"/>
    <x v="0"/>
    <x v="4"/>
    <x v="1"/>
    <x v="5"/>
    <s v="Apr"/>
    <s v="Q2"/>
    <x v="6"/>
    <n v="7"/>
    <n v="19.86"/>
  </r>
  <r>
    <s v="ORD00761"/>
    <d v="2025-10-04T00:00:00"/>
    <d v="2025-10-09T00:00:00"/>
    <s v="C0298"/>
    <x v="182"/>
    <s v="Consumer"/>
    <x v="0"/>
    <x v="10"/>
    <s v="P010"/>
    <x v="6"/>
    <x v="4"/>
    <n v="4"/>
    <n v="1800"/>
    <x v="0"/>
    <n v="7200"/>
    <n v="2117.14"/>
    <x v="5"/>
    <x v="2"/>
    <x v="1"/>
    <x v="0"/>
    <x v="1"/>
    <s v="Oct"/>
    <s v="Q4"/>
    <x v="14"/>
    <n v="5"/>
    <n v="29.4"/>
  </r>
  <r>
    <s v="ORD01084"/>
    <d v="2024-10-24T00:00:00"/>
    <d v="2024-10-26T00:00:00"/>
    <s v="C0291"/>
    <x v="87"/>
    <s v="Small Business"/>
    <x v="1"/>
    <x v="1"/>
    <s v="P011"/>
    <x v="9"/>
    <x v="4"/>
    <n v="2"/>
    <n v="600"/>
    <x v="0"/>
    <n v="1200"/>
    <n v="456.91"/>
    <x v="2"/>
    <x v="1"/>
    <x v="4"/>
    <x v="1"/>
    <x v="1"/>
    <s v="Oct"/>
    <s v="Q4"/>
    <x v="1"/>
    <n v="2"/>
    <n v="38.08"/>
  </r>
  <r>
    <s v="ORD00014"/>
    <d v="2024-07-22T00:00:00"/>
    <d v="2024-07-26T00:00:00"/>
    <s v="C0234"/>
    <x v="113"/>
    <s v="Corporate"/>
    <x v="3"/>
    <x v="8"/>
    <s v="P005"/>
    <x v="0"/>
    <x v="0"/>
    <n v="10"/>
    <n v="7000"/>
    <x v="2"/>
    <n v="56000"/>
    <n v="11005.25"/>
    <x v="6"/>
    <x v="2"/>
    <x v="4"/>
    <x v="1"/>
    <x v="3"/>
    <s v="Jul"/>
    <s v="Q3"/>
    <x v="4"/>
    <n v="4"/>
    <n v="19.649999999999999"/>
  </r>
  <r>
    <s v="ORD00940"/>
    <d v="2024-12-27T00:00:00"/>
    <d v="2024-12-29T00:00:00"/>
    <s v="C0069"/>
    <x v="101"/>
    <s v="Small Business"/>
    <x v="0"/>
    <x v="0"/>
    <s v="P009"/>
    <x v="2"/>
    <x v="1"/>
    <n v="2"/>
    <n v="180"/>
    <x v="3"/>
    <n v="342"/>
    <n v="118.22"/>
    <x v="3"/>
    <x v="2"/>
    <x v="2"/>
    <x v="1"/>
    <x v="10"/>
    <s v="Dec"/>
    <s v="Q4"/>
    <x v="16"/>
    <n v="2"/>
    <n v="34.57"/>
  </r>
  <r>
    <s v="ORD01985"/>
    <d v="2025-01-02T00:00:00"/>
    <d v="2025-01-08T00:00:00"/>
    <s v="C0090"/>
    <x v="58"/>
    <s v="Consumer"/>
    <x v="0"/>
    <x v="10"/>
    <s v="P009"/>
    <x v="2"/>
    <x v="1"/>
    <n v="1"/>
    <n v="180"/>
    <x v="2"/>
    <n v="144"/>
    <n v="51.67"/>
    <x v="5"/>
    <x v="2"/>
    <x v="4"/>
    <x v="0"/>
    <x v="11"/>
    <s v="Jan"/>
    <s v="Q1"/>
    <x v="17"/>
    <n v="6"/>
    <n v="35.880000000000003"/>
  </r>
  <r>
    <s v="ORD00370"/>
    <d v="2025-02-07T00:00:00"/>
    <d v="2025-02-13T00:00:00"/>
    <s v="C0294"/>
    <x v="290"/>
    <s v="Consumer"/>
    <x v="3"/>
    <x v="6"/>
    <s v="P010"/>
    <x v="6"/>
    <x v="4"/>
    <n v="2"/>
    <n v="1800"/>
    <x v="0"/>
    <n v="3600"/>
    <n v="1035.56"/>
    <x v="4"/>
    <x v="1"/>
    <x v="1"/>
    <x v="0"/>
    <x v="6"/>
    <s v="Feb"/>
    <s v="Q1"/>
    <x v="7"/>
    <n v="6"/>
    <n v="28.77"/>
  </r>
  <r>
    <s v="ORD00214"/>
    <d v="2024-04-05T00:00:00"/>
    <d v="2024-04-11T00:00:00"/>
    <s v="C0298"/>
    <x v="182"/>
    <s v="Consumer"/>
    <x v="0"/>
    <x v="10"/>
    <s v="P001"/>
    <x v="8"/>
    <x v="2"/>
    <n v="3"/>
    <n v="55000"/>
    <x v="3"/>
    <n v="156750"/>
    <n v="26915.31"/>
    <x v="2"/>
    <x v="2"/>
    <x v="0"/>
    <x v="1"/>
    <x v="5"/>
    <s v="Apr"/>
    <s v="Q2"/>
    <x v="6"/>
    <n v="6"/>
    <n v="17.170000000000002"/>
  </r>
  <r>
    <s v="ORD01862"/>
    <d v="2025-09-12T00:00:00"/>
    <d v="2025-09-14T00:00:00"/>
    <s v="C0255"/>
    <x v="142"/>
    <s v="Small Business"/>
    <x v="3"/>
    <x v="8"/>
    <s v="P007"/>
    <x v="10"/>
    <x v="0"/>
    <n v="2"/>
    <n v="6000"/>
    <x v="3"/>
    <n v="11400"/>
    <n v="2614.39"/>
    <x v="4"/>
    <x v="1"/>
    <x v="1"/>
    <x v="0"/>
    <x v="9"/>
    <s v="Sep"/>
    <s v="Q3"/>
    <x v="11"/>
    <n v="2"/>
    <n v="22.93"/>
  </r>
  <r>
    <s v="ORD01859"/>
    <d v="2025-04-23T00:00:00"/>
    <m/>
    <s v="C0249"/>
    <x v="148"/>
    <s v="Corporate"/>
    <x v="0"/>
    <x v="15"/>
    <s v="P011"/>
    <x v="9"/>
    <x v="4"/>
    <n v="1"/>
    <n v="600"/>
    <x v="0"/>
    <n v="600"/>
    <n v="228"/>
    <x v="1"/>
    <x v="0"/>
    <x v="1"/>
    <x v="0"/>
    <x v="5"/>
    <s v="Apr"/>
    <s v="Q2"/>
    <x v="13"/>
    <s v=""/>
    <n v="38"/>
  </r>
  <r>
    <s v="ORD00057"/>
    <d v="2025-04-07T00:00:00"/>
    <d v="2025-04-09T00:00:00"/>
    <s v="C0159"/>
    <x v="146"/>
    <s v="Corporate"/>
    <x v="0"/>
    <x v="15"/>
    <s v="P008"/>
    <x v="11"/>
    <x v="1"/>
    <n v="1"/>
    <n v="250"/>
    <x v="0"/>
    <n v="250"/>
    <n v="103.27"/>
    <x v="5"/>
    <x v="0"/>
    <x v="1"/>
    <x v="0"/>
    <x v="5"/>
    <s v="Apr"/>
    <s v="Q2"/>
    <x v="13"/>
    <n v="2"/>
    <n v="41.31"/>
  </r>
  <r>
    <s v="ORD01987"/>
    <d v="2025-08-07T00:00:00"/>
    <d v="2025-08-09T00:00:00"/>
    <s v="C0010"/>
    <x v="185"/>
    <s v="Corporate"/>
    <x v="3"/>
    <x v="8"/>
    <s v="P007"/>
    <x v="10"/>
    <x v="0"/>
    <n v="2"/>
    <n v="6000"/>
    <x v="2"/>
    <n v="9600"/>
    <n v="2117.37"/>
    <x v="1"/>
    <x v="1"/>
    <x v="0"/>
    <x v="0"/>
    <x v="7"/>
    <s v="Aug"/>
    <s v="Q3"/>
    <x v="22"/>
    <n v="2"/>
    <n v="22.06"/>
  </r>
  <r>
    <s v="ORD01645"/>
    <d v="2024-03-21T00:00:00"/>
    <d v="2024-03-23T00:00:00"/>
    <s v="C0109"/>
    <x v="136"/>
    <s v="Corporate"/>
    <x v="1"/>
    <x v="1"/>
    <s v="P010"/>
    <x v="6"/>
    <x v="4"/>
    <n v="1"/>
    <n v="1800"/>
    <x v="0"/>
    <n v="1800"/>
    <n v="519.5"/>
    <x v="5"/>
    <x v="2"/>
    <x v="1"/>
    <x v="1"/>
    <x v="0"/>
    <s v="Mar"/>
    <s v="Q1"/>
    <x v="2"/>
    <n v="2"/>
    <n v="28.86"/>
  </r>
  <r>
    <s v="ORD00551"/>
    <d v="2024-10-22T00:00:00"/>
    <d v="2024-10-23T00:00:00"/>
    <s v="C0214"/>
    <x v="65"/>
    <s v="Small Business"/>
    <x v="1"/>
    <x v="1"/>
    <s v="P003"/>
    <x v="5"/>
    <x v="2"/>
    <n v="3"/>
    <n v="3000"/>
    <x v="0"/>
    <n v="9000"/>
    <n v="1902.53"/>
    <x v="4"/>
    <x v="2"/>
    <x v="0"/>
    <x v="1"/>
    <x v="1"/>
    <s v="Oct"/>
    <s v="Q4"/>
    <x v="1"/>
    <n v="1"/>
    <n v="21.14"/>
  </r>
  <r>
    <s v="ORD01651"/>
    <d v="2024-08-31T00:00:00"/>
    <m/>
    <s v="C0253"/>
    <x v="200"/>
    <s v="Corporate"/>
    <x v="0"/>
    <x v="11"/>
    <s v="P009"/>
    <x v="2"/>
    <x v="1"/>
    <n v="1"/>
    <n v="180"/>
    <x v="0"/>
    <n v="180"/>
    <n v="76.569999999999993"/>
    <x v="4"/>
    <x v="2"/>
    <x v="4"/>
    <x v="1"/>
    <x v="7"/>
    <s v="Aug"/>
    <s v="Q3"/>
    <x v="9"/>
    <s v=""/>
    <n v="42.54"/>
  </r>
  <r>
    <s v="ORD01907"/>
    <d v="2024-05-17T00:00:00"/>
    <d v="2024-05-18T00:00:00"/>
    <s v="C0160"/>
    <x v="183"/>
    <s v="Corporate"/>
    <x v="2"/>
    <x v="9"/>
    <s v="P007"/>
    <x v="10"/>
    <x v="0"/>
    <n v="3"/>
    <n v="6000"/>
    <x v="4"/>
    <n v="16200"/>
    <n v="2826.32"/>
    <x v="2"/>
    <x v="0"/>
    <x v="2"/>
    <x v="1"/>
    <x v="4"/>
    <s v="May"/>
    <s v="Q2"/>
    <x v="8"/>
    <n v="1"/>
    <n v="17.45"/>
  </r>
  <r>
    <s v="ORD01351"/>
    <d v="2024-05-28T00:00:00"/>
    <d v="2024-06-04T00:00:00"/>
    <s v="C0192"/>
    <x v="214"/>
    <s v="Consumer"/>
    <x v="3"/>
    <x v="8"/>
    <s v="P011"/>
    <x v="9"/>
    <x v="4"/>
    <n v="2"/>
    <n v="600"/>
    <x v="2"/>
    <n v="960"/>
    <n v="260.35000000000002"/>
    <x v="5"/>
    <x v="0"/>
    <x v="2"/>
    <x v="1"/>
    <x v="4"/>
    <s v="May"/>
    <s v="Q2"/>
    <x v="8"/>
    <n v="7"/>
    <n v="27.12"/>
  </r>
  <r>
    <s v="ORD00936"/>
    <d v="2025-05-19T00:00:00"/>
    <d v="2025-05-26T00:00:00"/>
    <s v="C0147"/>
    <x v="219"/>
    <s v="Small Business"/>
    <x v="3"/>
    <x v="6"/>
    <s v="P009"/>
    <x v="2"/>
    <x v="1"/>
    <n v="4"/>
    <n v="180"/>
    <x v="0"/>
    <n v="720"/>
    <n v="324"/>
    <x v="5"/>
    <x v="2"/>
    <x v="2"/>
    <x v="0"/>
    <x v="4"/>
    <s v="May"/>
    <s v="Q2"/>
    <x v="5"/>
    <n v="7"/>
    <n v="45"/>
  </r>
  <r>
    <s v="ORD01184"/>
    <d v="2024-03-09T00:00:00"/>
    <d v="2024-03-12T00:00:00"/>
    <s v="C0002"/>
    <x v="157"/>
    <s v="Consumer"/>
    <x v="1"/>
    <x v="16"/>
    <s v="P007"/>
    <x v="10"/>
    <x v="0"/>
    <n v="2"/>
    <n v="6000"/>
    <x v="4"/>
    <n v="10800"/>
    <n v="2030.62"/>
    <x v="2"/>
    <x v="1"/>
    <x v="4"/>
    <x v="1"/>
    <x v="0"/>
    <s v="Mar"/>
    <s v="Q1"/>
    <x v="2"/>
    <n v="3"/>
    <n v="18.8"/>
  </r>
  <r>
    <s v="ORD01470"/>
    <d v="2024-01-17T00:00:00"/>
    <d v="2024-01-21T00:00:00"/>
    <s v="C0112"/>
    <x v="72"/>
    <s v="Consumer"/>
    <x v="0"/>
    <x v="2"/>
    <s v="P002"/>
    <x v="3"/>
    <x v="2"/>
    <n v="1"/>
    <n v="25000"/>
    <x v="0"/>
    <n v="25000"/>
    <n v="3031.34"/>
    <x v="2"/>
    <x v="1"/>
    <x v="0"/>
    <x v="1"/>
    <x v="11"/>
    <s v="Jan"/>
    <s v="Q1"/>
    <x v="21"/>
    <n v="4"/>
    <n v="12.13"/>
  </r>
  <r>
    <s v="ORD00104"/>
    <d v="2025-03-26T00:00:00"/>
    <d v="2025-03-29T00:00:00"/>
    <s v="C0031"/>
    <x v="84"/>
    <s v="Small Business"/>
    <x v="3"/>
    <x v="6"/>
    <s v="P003"/>
    <x v="5"/>
    <x v="2"/>
    <n v="2"/>
    <n v="3000"/>
    <x v="3"/>
    <n v="5700"/>
    <n v="1336.55"/>
    <x v="3"/>
    <x v="2"/>
    <x v="4"/>
    <x v="0"/>
    <x v="0"/>
    <s v="Mar"/>
    <s v="Q1"/>
    <x v="0"/>
    <n v="3"/>
    <n v="23.45"/>
  </r>
  <r>
    <s v="ORD01550"/>
    <d v="2024-11-16T00:00:00"/>
    <d v="2024-11-22T00:00:00"/>
    <s v="C0263"/>
    <x v="54"/>
    <s v="Consumer"/>
    <x v="3"/>
    <x v="8"/>
    <s v="P004"/>
    <x v="7"/>
    <x v="2"/>
    <n v="1"/>
    <n v="8000"/>
    <x v="0"/>
    <n v="8000"/>
    <n v="1852.81"/>
    <x v="3"/>
    <x v="0"/>
    <x v="4"/>
    <x v="1"/>
    <x v="2"/>
    <s v="Nov"/>
    <s v="Q4"/>
    <x v="3"/>
    <n v="6"/>
    <n v="23.16"/>
  </r>
  <r>
    <s v="ORD00527"/>
    <d v="2024-11-05T00:00:00"/>
    <d v="2024-11-07T00:00:00"/>
    <s v="C0111"/>
    <x v="74"/>
    <s v="Consumer"/>
    <x v="3"/>
    <x v="8"/>
    <s v="P009"/>
    <x v="2"/>
    <x v="1"/>
    <n v="1"/>
    <n v="180"/>
    <x v="0"/>
    <n v="180"/>
    <n v="81.900000000000006"/>
    <x v="0"/>
    <x v="2"/>
    <x v="3"/>
    <x v="1"/>
    <x v="2"/>
    <s v="Nov"/>
    <s v="Q4"/>
    <x v="3"/>
    <n v="2"/>
    <n v="45.5"/>
  </r>
  <r>
    <s v="ORD01274"/>
    <d v="2025-02-16T00:00:00"/>
    <d v="2025-02-18T00:00:00"/>
    <s v="C0200"/>
    <x v="245"/>
    <s v="Consumer"/>
    <x v="2"/>
    <x v="14"/>
    <s v="P005"/>
    <x v="0"/>
    <x v="0"/>
    <n v="1"/>
    <n v="7000"/>
    <x v="2"/>
    <n v="5600"/>
    <n v="1143.94"/>
    <x v="5"/>
    <x v="1"/>
    <x v="1"/>
    <x v="0"/>
    <x v="6"/>
    <s v="Feb"/>
    <s v="Q1"/>
    <x v="7"/>
    <n v="2"/>
    <n v="20.43"/>
  </r>
  <r>
    <s v="ORD00266"/>
    <d v="2024-05-19T00:00:00"/>
    <d v="2024-05-27T00:00:00"/>
    <s v="C0155"/>
    <x v="41"/>
    <s v="Consumer"/>
    <x v="1"/>
    <x v="5"/>
    <s v="P006"/>
    <x v="1"/>
    <x v="0"/>
    <n v="10"/>
    <n v="9500"/>
    <x v="1"/>
    <n v="80750"/>
    <n v="17433.560000000001"/>
    <x v="5"/>
    <x v="1"/>
    <x v="2"/>
    <x v="1"/>
    <x v="4"/>
    <s v="May"/>
    <s v="Q2"/>
    <x v="8"/>
    <n v="8"/>
    <n v="21.59"/>
  </r>
  <r>
    <s v="ORD01695"/>
    <d v="2024-02-15T00:00:00"/>
    <d v="2024-02-19T00:00:00"/>
    <s v="C0240"/>
    <x v="170"/>
    <s v="Corporate"/>
    <x v="1"/>
    <x v="16"/>
    <s v="P001"/>
    <x v="8"/>
    <x v="2"/>
    <n v="2"/>
    <n v="55000"/>
    <x v="0"/>
    <n v="110000"/>
    <n v="19800"/>
    <x v="0"/>
    <x v="1"/>
    <x v="4"/>
    <x v="1"/>
    <x v="6"/>
    <s v="Feb"/>
    <s v="Q1"/>
    <x v="18"/>
    <n v="4"/>
    <n v="18"/>
  </r>
  <r>
    <s v="ORD01564"/>
    <d v="2024-10-13T00:00:00"/>
    <d v="2024-10-20T00:00:00"/>
    <s v="C0089"/>
    <x v="99"/>
    <s v="Small Business"/>
    <x v="2"/>
    <x v="3"/>
    <s v="P004"/>
    <x v="7"/>
    <x v="2"/>
    <n v="1"/>
    <n v="8000"/>
    <x v="0"/>
    <n v="8000"/>
    <n v="1748.15"/>
    <x v="0"/>
    <x v="0"/>
    <x v="2"/>
    <x v="1"/>
    <x v="1"/>
    <s v="Oct"/>
    <s v="Q4"/>
    <x v="1"/>
    <n v="7"/>
    <n v="21.85"/>
  </r>
  <r>
    <s v="ORD00088"/>
    <d v="2025-03-21T00:00:00"/>
    <d v="2025-03-23T00:00:00"/>
    <s v="C0181"/>
    <x v="134"/>
    <s v="Corporate"/>
    <x v="0"/>
    <x v="11"/>
    <s v="P010"/>
    <x v="6"/>
    <x v="4"/>
    <n v="1"/>
    <n v="1800"/>
    <x v="2"/>
    <n v="1440"/>
    <n v="543.9"/>
    <x v="5"/>
    <x v="2"/>
    <x v="0"/>
    <x v="0"/>
    <x v="0"/>
    <s v="Mar"/>
    <s v="Q1"/>
    <x v="0"/>
    <n v="2"/>
    <n v="37.770000000000003"/>
  </r>
  <r>
    <s v="ORD01376"/>
    <d v="2025-08-03T00:00:00"/>
    <d v="2025-08-05T00:00:00"/>
    <s v="C0014"/>
    <x v="161"/>
    <s v="Small Business"/>
    <x v="1"/>
    <x v="5"/>
    <s v="P004"/>
    <x v="7"/>
    <x v="2"/>
    <n v="1"/>
    <n v="8000"/>
    <x v="1"/>
    <n v="6800"/>
    <n v="1833.25"/>
    <x v="3"/>
    <x v="1"/>
    <x v="3"/>
    <x v="0"/>
    <x v="7"/>
    <s v="Aug"/>
    <s v="Q3"/>
    <x v="22"/>
    <n v="2"/>
    <n v="26.96"/>
  </r>
  <r>
    <s v="ORD00378"/>
    <d v="2024-02-01T00:00:00"/>
    <d v="2024-02-05T00:00:00"/>
    <s v="C0260"/>
    <x v="190"/>
    <s v="Consumer"/>
    <x v="0"/>
    <x v="10"/>
    <s v="P011"/>
    <x v="9"/>
    <x v="4"/>
    <n v="4"/>
    <n v="600"/>
    <x v="4"/>
    <n v="2160"/>
    <n v="707.57"/>
    <x v="2"/>
    <x v="2"/>
    <x v="4"/>
    <x v="1"/>
    <x v="6"/>
    <s v="Feb"/>
    <s v="Q1"/>
    <x v="18"/>
    <n v="4"/>
    <n v="32.76"/>
  </r>
  <r>
    <s v="ORD00988"/>
    <d v="2025-12-11T00:00:00"/>
    <d v="2025-12-15T00:00:00"/>
    <s v="C0218"/>
    <x v="105"/>
    <s v="Corporate"/>
    <x v="2"/>
    <x v="3"/>
    <s v="P008"/>
    <x v="11"/>
    <x v="1"/>
    <n v="2"/>
    <n v="250"/>
    <x v="1"/>
    <n v="425"/>
    <n v="141.68"/>
    <x v="0"/>
    <x v="1"/>
    <x v="1"/>
    <x v="0"/>
    <x v="10"/>
    <s v="Dec"/>
    <s v="Q4"/>
    <x v="19"/>
    <n v="4"/>
    <n v="33.340000000000003"/>
  </r>
  <r>
    <s v="ORD01851"/>
    <d v="2024-04-20T00:00:00"/>
    <d v="2024-04-22T00:00:00"/>
    <s v="C0016"/>
    <x v="83"/>
    <s v="Corporate"/>
    <x v="0"/>
    <x v="11"/>
    <s v="P012"/>
    <x v="4"/>
    <x v="3"/>
    <n v="10"/>
    <n v="3500"/>
    <x v="1"/>
    <n v="29750"/>
    <n v="6895.54"/>
    <x v="4"/>
    <x v="2"/>
    <x v="3"/>
    <x v="1"/>
    <x v="5"/>
    <s v="Apr"/>
    <s v="Q2"/>
    <x v="6"/>
    <n v="2"/>
    <n v="23.18"/>
  </r>
  <r>
    <s v="ORD00996"/>
    <d v="2025-12-12T00:00:00"/>
    <d v="2025-12-13T00:00:00"/>
    <s v="C0228"/>
    <x v="122"/>
    <s v="Consumer"/>
    <x v="3"/>
    <x v="6"/>
    <s v="P011"/>
    <x v="9"/>
    <x v="4"/>
    <n v="1"/>
    <n v="600"/>
    <x v="0"/>
    <n v="600"/>
    <n v="239.96"/>
    <x v="1"/>
    <x v="0"/>
    <x v="1"/>
    <x v="0"/>
    <x v="10"/>
    <s v="Dec"/>
    <s v="Q4"/>
    <x v="19"/>
    <n v="1"/>
    <n v="39.99"/>
  </r>
  <r>
    <s v="ORD00628"/>
    <d v="2024-05-22T00:00:00"/>
    <d v="2024-05-29T00:00:00"/>
    <s v="C0246"/>
    <x v="8"/>
    <s v="Corporate"/>
    <x v="3"/>
    <x v="6"/>
    <s v="P001"/>
    <x v="8"/>
    <x v="2"/>
    <n v="3"/>
    <n v="55000"/>
    <x v="0"/>
    <n v="165000"/>
    <n v="24450.02"/>
    <x v="1"/>
    <x v="0"/>
    <x v="0"/>
    <x v="1"/>
    <x v="4"/>
    <s v="May"/>
    <s v="Q2"/>
    <x v="8"/>
    <n v="7"/>
    <n v="14.82"/>
  </r>
  <r>
    <s v="ORD01046"/>
    <d v="2024-12-17T00:00:00"/>
    <d v="2024-12-18T00:00:00"/>
    <s v="C0017"/>
    <x v="242"/>
    <s v="Small Business"/>
    <x v="1"/>
    <x v="16"/>
    <s v="P002"/>
    <x v="3"/>
    <x v="2"/>
    <n v="2"/>
    <n v="25000"/>
    <x v="4"/>
    <n v="45000"/>
    <n v="6344.98"/>
    <x v="4"/>
    <x v="2"/>
    <x v="4"/>
    <x v="1"/>
    <x v="10"/>
    <s v="Dec"/>
    <s v="Q4"/>
    <x v="16"/>
    <n v="1"/>
    <n v="14.1"/>
  </r>
  <r>
    <s v="ORD00955"/>
    <d v="2025-10-10T00:00:00"/>
    <d v="2025-10-17T00:00:00"/>
    <s v="C0157"/>
    <x v="240"/>
    <s v="Consumer"/>
    <x v="2"/>
    <x v="3"/>
    <s v="P012"/>
    <x v="4"/>
    <x v="3"/>
    <n v="1"/>
    <n v="3500"/>
    <x v="3"/>
    <n v="3325"/>
    <n v="948.75"/>
    <x v="5"/>
    <x v="0"/>
    <x v="4"/>
    <x v="0"/>
    <x v="1"/>
    <s v="Oct"/>
    <s v="Q4"/>
    <x v="14"/>
    <n v="7"/>
    <n v="28.53"/>
  </r>
  <r>
    <s v="ORD00026"/>
    <d v="2025-03-31T00:00:00"/>
    <d v="2025-04-06T00:00:00"/>
    <s v="C0112"/>
    <x v="72"/>
    <s v="Consumer"/>
    <x v="0"/>
    <x v="2"/>
    <s v="P008"/>
    <x v="11"/>
    <x v="1"/>
    <n v="5"/>
    <n v="250"/>
    <x v="2"/>
    <n v="1000"/>
    <n v="338.03"/>
    <x v="1"/>
    <x v="2"/>
    <x v="4"/>
    <x v="0"/>
    <x v="0"/>
    <s v="Mar"/>
    <s v="Q1"/>
    <x v="0"/>
    <n v="6"/>
    <n v="33.799999999999997"/>
  </r>
  <r>
    <s v="ORD01703"/>
    <d v="2024-09-05T00:00:00"/>
    <d v="2024-09-12T00:00:00"/>
    <s v="C0205"/>
    <x v="280"/>
    <s v="Consumer"/>
    <x v="0"/>
    <x v="11"/>
    <s v="P005"/>
    <x v="0"/>
    <x v="0"/>
    <n v="1"/>
    <n v="7000"/>
    <x v="0"/>
    <n v="7000"/>
    <n v="1165.1600000000001"/>
    <x v="1"/>
    <x v="2"/>
    <x v="4"/>
    <x v="1"/>
    <x v="9"/>
    <s v="Sep"/>
    <s v="Q3"/>
    <x v="20"/>
    <n v="7"/>
    <n v="16.649999999999999"/>
  </r>
  <r>
    <s v="ORD00503"/>
    <d v="2024-02-25T00:00:00"/>
    <d v="2024-03-04T00:00:00"/>
    <s v="C0151"/>
    <x v="198"/>
    <s v="Corporate"/>
    <x v="1"/>
    <x v="1"/>
    <s v="P010"/>
    <x v="6"/>
    <x v="4"/>
    <n v="3"/>
    <n v="1800"/>
    <x v="0"/>
    <n v="5400"/>
    <n v="1673.47"/>
    <x v="2"/>
    <x v="2"/>
    <x v="1"/>
    <x v="1"/>
    <x v="6"/>
    <s v="Feb"/>
    <s v="Q1"/>
    <x v="18"/>
    <n v="8"/>
    <n v="30.99"/>
  </r>
  <r>
    <s v="ORD01995"/>
    <d v="2024-09-16T00:00:00"/>
    <d v="2024-09-18T00:00:00"/>
    <s v="C0212"/>
    <x v="50"/>
    <s v="Corporate"/>
    <x v="1"/>
    <x v="5"/>
    <s v="P009"/>
    <x v="2"/>
    <x v="1"/>
    <n v="1"/>
    <n v="180"/>
    <x v="0"/>
    <n v="180"/>
    <n v="85.42"/>
    <x v="2"/>
    <x v="1"/>
    <x v="0"/>
    <x v="1"/>
    <x v="9"/>
    <s v="Sep"/>
    <s v="Q3"/>
    <x v="20"/>
    <n v="2"/>
    <n v="47.46"/>
  </r>
  <r>
    <s v="ORD00177"/>
    <d v="2024-04-03T00:00:00"/>
    <d v="2024-04-08T00:00:00"/>
    <s v="C0185"/>
    <x v="12"/>
    <s v="Corporate"/>
    <x v="1"/>
    <x v="1"/>
    <s v="P002"/>
    <x v="3"/>
    <x v="2"/>
    <n v="1"/>
    <n v="25000"/>
    <x v="0"/>
    <n v="25000"/>
    <n v="3292.1"/>
    <x v="2"/>
    <x v="0"/>
    <x v="3"/>
    <x v="1"/>
    <x v="5"/>
    <s v="Apr"/>
    <s v="Q2"/>
    <x v="6"/>
    <n v="5"/>
    <n v="13.17"/>
  </r>
  <r>
    <s v="ORD01158"/>
    <d v="2024-02-01T00:00:00"/>
    <d v="2024-02-04T00:00:00"/>
    <s v="C0151"/>
    <x v="198"/>
    <s v="Corporate"/>
    <x v="1"/>
    <x v="1"/>
    <s v="P010"/>
    <x v="6"/>
    <x v="4"/>
    <n v="1"/>
    <n v="1800"/>
    <x v="0"/>
    <n v="1800"/>
    <n v="514.29999999999995"/>
    <x v="1"/>
    <x v="0"/>
    <x v="3"/>
    <x v="1"/>
    <x v="6"/>
    <s v="Feb"/>
    <s v="Q1"/>
    <x v="18"/>
    <n v="3"/>
    <n v="28.57"/>
  </r>
  <r>
    <s v="ORD01101"/>
    <d v="2025-08-17T00:00:00"/>
    <d v="2025-08-22T00:00:00"/>
    <s v="C0155"/>
    <x v="41"/>
    <s v="Consumer"/>
    <x v="1"/>
    <x v="5"/>
    <s v="P004"/>
    <x v="7"/>
    <x v="2"/>
    <n v="2"/>
    <n v="8000"/>
    <x v="0"/>
    <n v="16000"/>
    <n v="3793.42"/>
    <x v="2"/>
    <x v="1"/>
    <x v="2"/>
    <x v="0"/>
    <x v="7"/>
    <s v="Aug"/>
    <s v="Q3"/>
    <x v="22"/>
    <n v="5"/>
    <n v="23.71"/>
  </r>
  <r>
    <s v="ORD01360"/>
    <d v="2024-04-12T00:00:00"/>
    <d v="2024-04-16T00:00:00"/>
    <s v="C0192"/>
    <x v="214"/>
    <s v="Consumer"/>
    <x v="3"/>
    <x v="8"/>
    <s v="P003"/>
    <x v="5"/>
    <x v="2"/>
    <n v="3"/>
    <n v="3000"/>
    <x v="1"/>
    <n v="7650"/>
    <n v="2188.8000000000002"/>
    <x v="5"/>
    <x v="0"/>
    <x v="1"/>
    <x v="1"/>
    <x v="5"/>
    <s v="Apr"/>
    <s v="Q2"/>
    <x v="6"/>
    <n v="4"/>
    <n v="28.61"/>
  </r>
  <r>
    <s v="ORD00019"/>
    <d v="2025-05-08T00:00:00"/>
    <d v="2025-05-14T00:00:00"/>
    <s v="C0085"/>
    <x v="229"/>
    <s v="Consumer"/>
    <x v="3"/>
    <x v="12"/>
    <s v="P005"/>
    <x v="0"/>
    <x v="0"/>
    <n v="10"/>
    <n v="7000"/>
    <x v="0"/>
    <n v="70000"/>
    <n v="15378.81"/>
    <x v="2"/>
    <x v="1"/>
    <x v="3"/>
    <x v="0"/>
    <x v="4"/>
    <s v="May"/>
    <s v="Q2"/>
    <x v="5"/>
    <n v="6"/>
    <n v="21.97"/>
  </r>
  <r>
    <s v="ORD00851"/>
    <d v="2025-04-20T00:00:00"/>
    <d v="2025-04-24T00:00:00"/>
    <s v="C0168"/>
    <x v="256"/>
    <s v="Consumer"/>
    <x v="3"/>
    <x v="6"/>
    <s v="P011"/>
    <x v="9"/>
    <x v="4"/>
    <n v="2"/>
    <n v="600"/>
    <x v="0"/>
    <n v="1200"/>
    <n v="334.26"/>
    <x v="5"/>
    <x v="1"/>
    <x v="2"/>
    <x v="0"/>
    <x v="5"/>
    <s v="Apr"/>
    <s v="Q2"/>
    <x v="13"/>
    <n v="4"/>
    <n v="27.86"/>
  </r>
  <r>
    <s v="ORD00456"/>
    <d v="2024-09-01T00:00:00"/>
    <d v="2024-09-08T00:00:00"/>
    <s v="C0187"/>
    <x v="208"/>
    <s v="Corporate"/>
    <x v="3"/>
    <x v="12"/>
    <s v="P010"/>
    <x v="6"/>
    <x v="4"/>
    <n v="1"/>
    <n v="1800"/>
    <x v="0"/>
    <n v="1800"/>
    <n v="606.89"/>
    <x v="4"/>
    <x v="2"/>
    <x v="0"/>
    <x v="1"/>
    <x v="9"/>
    <s v="Sep"/>
    <s v="Q3"/>
    <x v="20"/>
    <n v="7"/>
    <n v="33.72"/>
  </r>
  <r>
    <s v="ORD00842"/>
    <d v="2024-07-30T00:00:00"/>
    <d v="2024-08-07T00:00:00"/>
    <s v="C0036"/>
    <x v="217"/>
    <s v="Consumer"/>
    <x v="2"/>
    <x v="9"/>
    <s v="P007"/>
    <x v="10"/>
    <x v="0"/>
    <n v="1"/>
    <n v="6000"/>
    <x v="0"/>
    <n v="6000"/>
    <n v="1186.42"/>
    <x v="4"/>
    <x v="2"/>
    <x v="1"/>
    <x v="1"/>
    <x v="3"/>
    <s v="Jul"/>
    <s v="Q3"/>
    <x v="4"/>
    <n v="8"/>
    <n v="19.77"/>
  </r>
  <r>
    <s v="ORD00249"/>
    <d v="2024-04-02T00:00:00"/>
    <d v="2024-04-03T00:00:00"/>
    <s v="C0136"/>
    <x v="90"/>
    <s v="Small Business"/>
    <x v="3"/>
    <x v="8"/>
    <s v="P002"/>
    <x v="3"/>
    <x v="2"/>
    <n v="1"/>
    <n v="25000"/>
    <x v="1"/>
    <n v="21250"/>
    <n v="2619.12"/>
    <x v="4"/>
    <x v="1"/>
    <x v="2"/>
    <x v="1"/>
    <x v="5"/>
    <s v="Apr"/>
    <s v="Q2"/>
    <x v="6"/>
    <n v="1"/>
    <n v="12.33"/>
  </r>
  <r>
    <s v="ORD01072"/>
    <d v="2024-07-11T00:00:00"/>
    <d v="2024-07-16T00:00:00"/>
    <s v="C0104"/>
    <x v="225"/>
    <s v="Corporate"/>
    <x v="0"/>
    <x v="11"/>
    <s v="P007"/>
    <x v="10"/>
    <x v="0"/>
    <n v="1"/>
    <n v="6000"/>
    <x v="3"/>
    <n v="5700"/>
    <n v="1047.45"/>
    <x v="1"/>
    <x v="2"/>
    <x v="3"/>
    <x v="1"/>
    <x v="3"/>
    <s v="Jul"/>
    <s v="Q3"/>
    <x v="4"/>
    <n v="5"/>
    <n v="18.38"/>
  </r>
  <r>
    <s v="ORD00793"/>
    <d v="2024-08-14T00:00:00"/>
    <d v="2024-08-15T00:00:00"/>
    <s v="C0156"/>
    <x v="155"/>
    <s v="Consumer"/>
    <x v="1"/>
    <x v="16"/>
    <s v="P012"/>
    <x v="4"/>
    <x v="3"/>
    <n v="1"/>
    <n v="3500"/>
    <x v="3"/>
    <n v="3325"/>
    <n v="1156.48"/>
    <x v="3"/>
    <x v="1"/>
    <x v="1"/>
    <x v="1"/>
    <x v="7"/>
    <s v="Aug"/>
    <s v="Q3"/>
    <x v="9"/>
    <n v="1"/>
    <n v="34.78"/>
  </r>
  <r>
    <s v="ORD00158"/>
    <d v="2025-01-03T00:00:00"/>
    <d v="2025-01-11T00:00:00"/>
    <s v="C0158"/>
    <x v="151"/>
    <s v="Small Business"/>
    <x v="2"/>
    <x v="9"/>
    <s v="P005"/>
    <x v="0"/>
    <x v="0"/>
    <n v="2"/>
    <n v="7000"/>
    <x v="3"/>
    <n v="13300"/>
    <n v="2593.61"/>
    <x v="3"/>
    <x v="0"/>
    <x v="4"/>
    <x v="0"/>
    <x v="11"/>
    <s v="Jan"/>
    <s v="Q1"/>
    <x v="17"/>
    <n v="8"/>
    <n v="19.5"/>
  </r>
  <r>
    <s v="ORD01762"/>
    <d v="2024-07-10T00:00:00"/>
    <d v="2024-07-12T00:00:00"/>
    <s v="C0263"/>
    <x v="54"/>
    <s v="Consumer"/>
    <x v="3"/>
    <x v="8"/>
    <s v="P003"/>
    <x v="5"/>
    <x v="2"/>
    <n v="1"/>
    <n v="3000"/>
    <x v="2"/>
    <n v="2400"/>
    <n v="550.51"/>
    <x v="0"/>
    <x v="2"/>
    <x v="1"/>
    <x v="1"/>
    <x v="3"/>
    <s v="Jul"/>
    <s v="Q3"/>
    <x v="4"/>
    <n v="2"/>
    <n v="22.94"/>
  </r>
  <r>
    <s v="ORD01865"/>
    <d v="2024-07-06T00:00:00"/>
    <d v="2024-07-11T00:00:00"/>
    <s v="C0166"/>
    <x v="288"/>
    <s v="Small Business"/>
    <x v="2"/>
    <x v="9"/>
    <s v="P007"/>
    <x v="10"/>
    <x v="0"/>
    <n v="1"/>
    <n v="6000"/>
    <x v="1"/>
    <n v="5100"/>
    <n v="1330.26"/>
    <x v="1"/>
    <x v="2"/>
    <x v="3"/>
    <x v="1"/>
    <x v="3"/>
    <s v="Jul"/>
    <s v="Q3"/>
    <x v="4"/>
    <n v="5"/>
    <n v="26.08"/>
  </r>
  <r>
    <s v="ORD01473"/>
    <d v="2024-08-28T00:00:00"/>
    <d v="2024-09-04T00:00:00"/>
    <s v="C0149"/>
    <x v="114"/>
    <s v="Corporate"/>
    <x v="0"/>
    <x v="2"/>
    <s v="P003"/>
    <x v="5"/>
    <x v="2"/>
    <n v="2"/>
    <n v="3000"/>
    <x v="3"/>
    <n v="5700"/>
    <n v="1746.68"/>
    <x v="0"/>
    <x v="0"/>
    <x v="4"/>
    <x v="1"/>
    <x v="7"/>
    <s v="Aug"/>
    <s v="Q3"/>
    <x v="9"/>
    <n v="7"/>
    <n v="30.64"/>
  </r>
  <r>
    <s v="ORD01447"/>
    <d v="2025-05-18T00:00:00"/>
    <d v="2025-05-24T00:00:00"/>
    <s v="C0230"/>
    <x v="129"/>
    <s v="Corporate"/>
    <x v="3"/>
    <x v="12"/>
    <s v="P001"/>
    <x v="8"/>
    <x v="2"/>
    <n v="5"/>
    <n v="55000"/>
    <x v="4"/>
    <n v="247500"/>
    <n v="37312.03"/>
    <x v="2"/>
    <x v="1"/>
    <x v="3"/>
    <x v="0"/>
    <x v="4"/>
    <s v="May"/>
    <s v="Q2"/>
    <x v="5"/>
    <n v="6"/>
    <n v="15.08"/>
  </r>
  <r>
    <s v="ORD01982"/>
    <d v="2024-01-10T00:00:00"/>
    <d v="2024-01-14T00:00:00"/>
    <s v="C0034"/>
    <x v="17"/>
    <s v="Small Business"/>
    <x v="1"/>
    <x v="1"/>
    <s v="P001"/>
    <x v="8"/>
    <x v="2"/>
    <n v="10"/>
    <n v="55000"/>
    <x v="0"/>
    <n v="550000"/>
    <n v="107212.75"/>
    <x v="3"/>
    <x v="2"/>
    <x v="3"/>
    <x v="1"/>
    <x v="11"/>
    <s v="Jan"/>
    <s v="Q1"/>
    <x v="21"/>
    <n v="4"/>
    <n v="19.489999999999998"/>
  </r>
  <r>
    <s v="ORD01588"/>
    <d v="2025-01-30T00:00:00"/>
    <d v="2025-02-04T00:00:00"/>
    <s v="C0180"/>
    <x v="89"/>
    <s v="Corporate"/>
    <x v="2"/>
    <x v="9"/>
    <s v="P008"/>
    <x v="11"/>
    <x v="1"/>
    <n v="4"/>
    <n v="250"/>
    <x v="2"/>
    <n v="800"/>
    <n v="279.47000000000003"/>
    <x v="3"/>
    <x v="2"/>
    <x v="1"/>
    <x v="0"/>
    <x v="11"/>
    <s v="Jan"/>
    <s v="Q1"/>
    <x v="17"/>
    <n v="5"/>
    <n v="34.93"/>
  </r>
  <r>
    <s v="ORD01937"/>
    <d v="2024-05-21T00:00:00"/>
    <d v="2024-05-27T00:00:00"/>
    <s v="C0282"/>
    <x v="284"/>
    <s v="Corporate"/>
    <x v="3"/>
    <x v="8"/>
    <s v="P011"/>
    <x v="9"/>
    <x v="4"/>
    <n v="1"/>
    <n v="600"/>
    <x v="0"/>
    <n v="600"/>
    <n v="196.87"/>
    <x v="5"/>
    <x v="0"/>
    <x v="3"/>
    <x v="1"/>
    <x v="4"/>
    <s v="May"/>
    <s v="Q2"/>
    <x v="8"/>
    <n v="6"/>
    <n v="32.81"/>
  </r>
  <r>
    <s v="ORD01679"/>
    <d v="2025-12-05T00:00:00"/>
    <d v="2025-12-08T00:00:00"/>
    <s v="C0222"/>
    <x v="143"/>
    <s v="Corporate"/>
    <x v="3"/>
    <x v="12"/>
    <s v="P003"/>
    <x v="5"/>
    <x v="2"/>
    <n v="5"/>
    <n v="3000"/>
    <x v="3"/>
    <n v="14250"/>
    <n v="3639.03"/>
    <x v="3"/>
    <x v="0"/>
    <x v="1"/>
    <x v="0"/>
    <x v="10"/>
    <s v="Dec"/>
    <s v="Q4"/>
    <x v="19"/>
    <n v="3"/>
    <n v="25.54"/>
  </r>
  <r>
    <s v="ORD01633"/>
    <d v="2024-12-30T00:00:00"/>
    <d v="2025-01-04T00:00:00"/>
    <s v="C0143"/>
    <x v="282"/>
    <s v="Small Business"/>
    <x v="1"/>
    <x v="5"/>
    <s v="P002"/>
    <x v="3"/>
    <x v="2"/>
    <n v="1"/>
    <n v="25000"/>
    <x v="3"/>
    <n v="23750"/>
    <n v="3643.16"/>
    <x v="5"/>
    <x v="0"/>
    <x v="1"/>
    <x v="1"/>
    <x v="10"/>
    <s v="Dec"/>
    <s v="Q4"/>
    <x v="16"/>
    <n v="5"/>
    <n v="15.34"/>
  </r>
  <r>
    <s v="ORD01423"/>
    <d v="2024-05-26T00:00:00"/>
    <d v="2024-05-30T00:00:00"/>
    <s v="C0190"/>
    <x v="55"/>
    <s v="Corporate"/>
    <x v="3"/>
    <x v="12"/>
    <s v="P008"/>
    <x v="11"/>
    <x v="1"/>
    <n v="2"/>
    <n v="250"/>
    <x v="2"/>
    <n v="400"/>
    <n v="114.63"/>
    <x v="4"/>
    <x v="2"/>
    <x v="4"/>
    <x v="1"/>
    <x v="4"/>
    <s v="May"/>
    <s v="Q2"/>
    <x v="8"/>
    <n v="4"/>
    <n v="28.66"/>
  </r>
  <r>
    <s v="ORD01998"/>
    <d v="2024-06-20T00:00:00"/>
    <d v="2024-06-24T00:00:00"/>
    <s v="C0217"/>
    <x v="246"/>
    <s v="Corporate"/>
    <x v="3"/>
    <x v="8"/>
    <s v="P005"/>
    <x v="0"/>
    <x v="0"/>
    <n v="1"/>
    <n v="7000"/>
    <x v="0"/>
    <n v="7000"/>
    <n v="1665.2"/>
    <x v="0"/>
    <x v="2"/>
    <x v="2"/>
    <x v="1"/>
    <x v="8"/>
    <s v="Jun"/>
    <s v="Q2"/>
    <x v="12"/>
    <n v="4"/>
    <n v="23.79"/>
  </r>
  <r>
    <s v="ORD00006"/>
    <d v="2024-02-07T00:00:00"/>
    <d v="2024-02-09T00:00:00"/>
    <s v="C0078"/>
    <x v="273"/>
    <s v="Small Business"/>
    <x v="0"/>
    <x v="0"/>
    <s v="P008"/>
    <x v="11"/>
    <x v="1"/>
    <n v="1"/>
    <n v="250"/>
    <x v="4"/>
    <n v="225"/>
    <n v="74.95"/>
    <x v="0"/>
    <x v="0"/>
    <x v="3"/>
    <x v="1"/>
    <x v="6"/>
    <s v="Feb"/>
    <s v="Q1"/>
    <x v="18"/>
    <n v="2"/>
    <n v="33.31"/>
  </r>
  <r>
    <s v="ORD00305"/>
    <d v="2025-05-02T00:00:00"/>
    <d v="2025-05-07T00:00:00"/>
    <s v="C0274"/>
    <x v="9"/>
    <s v="Consumer"/>
    <x v="3"/>
    <x v="6"/>
    <s v="P011"/>
    <x v="9"/>
    <x v="4"/>
    <n v="5"/>
    <n v="600"/>
    <x v="1"/>
    <n v="2550"/>
    <n v="817.25"/>
    <x v="4"/>
    <x v="2"/>
    <x v="1"/>
    <x v="0"/>
    <x v="4"/>
    <s v="May"/>
    <s v="Q2"/>
    <x v="5"/>
    <n v="5"/>
    <n v="32.049999999999997"/>
  </r>
  <r>
    <s v="ORD01436"/>
    <d v="2025-07-15T00:00:00"/>
    <d v="2025-07-20T00:00:00"/>
    <s v="C0187"/>
    <x v="208"/>
    <s v="Corporate"/>
    <x v="3"/>
    <x v="12"/>
    <s v="P008"/>
    <x v="11"/>
    <x v="1"/>
    <n v="4"/>
    <n v="250"/>
    <x v="2"/>
    <n v="800"/>
    <n v="276.25"/>
    <x v="4"/>
    <x v="1"/>
    <x v="2"/>
    <x v="0"/>
    <x v="3"/>
    <s v="Jul"/>
    <s v="Q3"/>
    <x v="15"/>
    <n v="5"/>
    <n v="34.53"/>
  </r>
  <r>
    <s v="ORD00636"/>
    <d v="2025-05-17T00:00:00"/>
    <d v="2025-05-22T00:00:00"/>
    <s v="C0149"/>
    <x v="114"/>
    <s v="Corporate"/>
    <x v="0"/>
    <x v="2"/>
    <s v="P009"/>
    <x v="2"/>
    <x v="1"/>
    <n v="1"/>
    <n v="180"/>
    <x v="2"/>
    <n v="144"/>
    <n v="53.19"/>
    <x v="0"/>
    <x v="2"/>
    <x v="3"/>
    <x v="0"/>
    <x v="4"/>
    <s v="May"/>
    <s v="Q2"/>
    <x v="5"/>
    <n v="5"/>
    <n v="36.94"/>
  </r>
  <r>
    <s v="ORD01118"/>
    <d v="2025-05-02T00:00:00"/>
    <d v="2025-05-06T00:00:00"/>
    <s v="C0256"/>
    <x v="112"/>
    <s v="Small Business"/>
    <x v="3"/>
    <x v="8"/>
    <s v="P011"/>
    <x v="9"/>
    <x v="4"/>
    <n v="1"/>
    <n v="600"/>
    <x v="0"/>
    <n v="600"/>
    <n v="249.1"/>
    <x v="2"/>
    <x v="0"/>
    <x v="0"/>
    <x v="0"/>
    <x v="4"/>
    <s v="May"/>
    <s v="Q2"/>
    <x v="5"/>
    <n v="4"/>
    <n v="41.52"/>
  </r>
  <r>
    <s v="ORD01214"/>
    <d v="2025-07-26T00:00:00"/>
    <d v="2025-07-30T00:00:00"/>
    <s v="C0180"/>
    <x v="89"/>
    <s v="Corporate"/>
    <x v="2"/>
    <x v="9"/>
    <s v="P011"/>
    <x v="9"/>
    <x v="4"/>
    <n v="4"/>
    <n v="600"/>
    <x v="0"/>
    <n v="2400"/>
    <n v="867.79"/>
    <x v="6"/>
    <x v="1"/>
    <x v="0"/>
    <x v="0"/>
    <x v="3"/>
    <s v="Jul"/>
    <s v="Q3"/>
    <x v="15"/>
    <n v="4"/>
    <n v="36.159999999999997"/>
  </r>
  <r>
    <s v="ORD00124"/>
    <d v="2024-03-21T00:00:00"/>
    <d v="2024-03-29T00:00:00"/>
    <s v="C0022"/>
    <x v="167"/>
    <s v="Corporate"/>
    <x v="1"/>
    <x v="16"/>
    <s v="P005"/>
    <x v="0"/>
    <x v="0"/>
    <n v="1"/>
    <n v="7000"/>
    <x v="3"/>
    <n v="6650"/>
    <n v="1407.97"/>
    <x v="4"/>
    <x v="0"/>
    <x v="1"/>
    <x v="1"/>
    <x v="0"/>
    <s v="Mar"/>
    <s v="Q1"/>
    <x v="2"/>
    <n v="8"/>
    <n v="21.17"/>
  </r>
  <r>
    <s v="ORD00769"/>
    <d v="2024-11-08T00:00:00"/>
    <d v="2024-11-09T00:00:00"/>
    <s v="C0216"/>
    <x v="154"/>
    <s v="Corporate"/>
    <x v="1"/>
    <x v="1"/>
    <s v="P001"/>
    <x v="8"/>
    <x v="2"/>
    <n v="1"/>
    <n v="55000"/>
    <x v="2"/>
    <n v="44000"/>
    <n v="7887.24"/>
    <x v="2"/>
    <x v="2"/>
    <x v="4"/>
    <x v="1"/>
    <x v="2"/>
    <s v="Nov"/>
    <s v="Q4"/>
    <x v="3"/>
    <n v="1"/>
    <n v="17.93"/>
  </r>
  <r>
    <s v="ORD00576"/>
    <d v="2024-03-13T00:00:00"/>
    <d v="2024-03-14T00:00:00"/>
    <s v="C0018"/>
    <x v="291"/>
    <s v="Small Business"/>
    <x v="0"/>
    <x v="0"/>
    <s v="P002"/>
    <x v="3"/>
    <x v="2"/>
    <n v="2"/>
    <n v="25000"/>
    <x v="0"/>
    <n v="50000"/>
    <n v="7581.71"/>
    <x v="0"/>
    <x v="0"/>
    <x v="3"/>
    <x v="1"/>
    <x v="0"/>
    <s v="Mar"/>
    <s v="Q1"/>
    <x v="2"/>
    <n v="1"/>
    <n v="15.16"/>
  </r>
  <r>
    <s v="ORD01971"/>
    <d v="2024-06-30T00:00:00"/>
    <d v="2024-07-05T00:00:00"/>
    <s v="C0281"/>
    <x v="19"/>
    <s v="Consumer"/>
    <x v="3"/>
    <x v="6"/>
    <s v="P005"/>
    <x v="0"/>
    <x v="0"/>
    <n v="1"/>
    <n v="7000"/>
    <x v="0"/>
    <n v="7000"/>
    <n v="1313.7"/>
    <x v="0"/>
    <x v="0"/>
    <x v="1"/>
    <x v="1"/>
    <x v="8"/>
    <s v="Jun"/>
    <s v="Q2"/>
    <x v="12"/>
    <n v="5"/>
    <n v="18.77"/>
  </r>
  <r>
    <s v="ORD01536"/>
    <d v="2024-05-03T00:00:00"/>
    <d v="2024-05-07T00:00:00"/>
    <s v="C0125"/>
    <x v="120"/>
    <s v="Consumer"/>
    <x v="2"/>
    <x v="4"/>
    <s v="P003"/>
    <x v="5"/>
    <x v="2"/>
    <n v="1"/>
    <n v="3000"/>
    <x v="0"/>
    <n v="3000"/>
    <n v="835.35"/>
    <x v="0"/>
    <x v="2"/>
    <x v="1"/>
    <x v="1"/>
    <x v="4"/>
    <s v="May"/>
    <s v="Q2"/>
    <x v="8"/>
    <n v="4"/>
    <n v="27.85"/>
  </r>
  <r>
    <s v="ORD00643"/>
    <d v="2025-12-02T00:00:00"/>
    <d v="2025-12-04T00:00:00"/>
    <s v="C0166"/>
    <x v="288"/>
    <s v="Small Business"/>
    <x v="2"/>
    <x v="9"/>
    <s v="P006"/>
    <x v="1"/>
    <x v="0"/>
    <n v="1"/>
    <n v="9500"/>
    <x v="1"/>
    <n v="8075"/>
    <n v="1575.17"/>
    <x v="1"/>
    <x v="2"/>
    <x v="4"/>
    <x v="0"/>
    <x v="10"/>
    <s v="Dec"/>
    <s v="Q4"/>
    <x v="19"/>
    <n v="2"/>
    <n v="19.510000000000002"/>
  </r>
  <r>
    <s v="ORD00100"/>
    <d v="2024-07-20T00:00:00"/>
    <d v="2024-07-25T00:00:00"/>
    <s v="C0041"/>
    <x v="3"/>
    <s v="Small Business"/>
    <x v="0"/>
    <x v="0"/>
    <s v="P005"/>
    <x v="0"/>
    <x v="0"/>
    <n v="2"/>
    <n v="7000"/>
    <x v="4"/>
    <n v="12600"/>
    <n v="2244.71"/>
    <x v="1"/>
    <x v="2"/>
    <x v="3"/>
    <x v="1"/>
    <x v="3"/>
    <s v="Jul"/>
    <s v="Q3"/>
    <x v="4"/>
    <n v="5"/>
    <n v="17.82"/>
  </r>
  <r>
    <s v="ORD00147"/>
    <d v="2025-11-07T00:00:00"/>
    <d v="2025-11-09T00:00:00"/>
    <s v="C0058"/>
    <x v="144"/>
    <s v="Small Business"/>
    <x v="1"/>
    <x v="1"/>
    <s v="P001"/>
    <x v="8"/>
    <x v="2"/>
    <n v="3"/>
    <n v="55000"/>
    <x v="0"/>
    <n v="165000"/>
    <n v="23649.119999999999"/>
    <x v="2"/>
    <x v="2"/>
    <x v="3"/>
    <x v="0"/>
    <x v="2"/>
    <s v="Nov"/>
    <s v="Q4"/>
    <x v="23"/>
    <n v="2"/>
    <n v="14.33"/>
  </r>
  <r>
    <s v="ORD01761"/>
    <d v="2024-09-13T00:00:00"/>
    <d v="2024-09-15T00:00:00"/>
    <s v="C0105"/>
    <x v="126"/>
    <s v="Corporate"/>
    <x v="0"/>
    <x v="10"/>
    <s v="P011"/>
    <x v="9"/>
    <x v="4"/>
    <n v="4"/>
    <n v="600"/>
    <x v="3"/>
    <n v="2280"/>
    <n v="769.5"/>
    <x v="4"/>
    <x v="1"/>
    <x v="0"/>
    <x v="1"/>
    <x v="9"/>
    <s v="Sep"/>
    <s v="Q3"/>
    <x v="20"/>
    <n v="2"/>
    <n v="33.75"/>
  </r>
  <r>
    <s v="ORD00915"/>
    <d v="2025-11-15T00:00:00"/>
    <d v="2025-11-23T00:00:00"/>
    <s v="C0251"/>
    <x v="159"/>
    <s v="Consumer"/>
    <x v="0"/>
    <x v="10"/>
    <s v="P011"/>
    <x v="9"/>
    <x v="4"/>
    <n v="1"/>
    <n v="600"/>
    <x v="4"/>
    <n v="540"/>
    <n v="190.67"/>
    <x v="3"/>
    <x v="2"/>
    <x v="3"/>
    <x v="0"/>
    <x v="2"/>
    <s v="Nov"/>
    <s v="Q4"/>
    <x v="23"/>
    <n v="8"/>
    <n v="35.31"/>
  </r>
  <r>
    <s v="ORD00271"/>
    <d v="2025-12-10T00:00:00"/>
    <d v="2025-12-11T00:00:00"/>
    <s v="C0108"/>
    <x v="145"/>
    <s v="Consumer"/>
    <x v="2"/>
    <x v="4"/>
    <s v="P004"/>
    <x v="7"/>
    <x v="2"/>
    <n v="1"/>
    <n v="8000"/>
    <x v="0"/>
    <n v="8000"/>
    <n v="1976.33"/>
    <x v="0"/>
    <x v="1"/>
    <x v="0"/>
    <x v="0"/>
    <x v="10"/>
    <s v="Dec"/>
    <s v="Q4"/>
    <x v="19"/>
    <n v="1"/>
    <n v="24.7"/>
  </r>
  <r>
    <s v="ORD01126"/>
    <d v="2024-01-24T00:00:00"/>
    <d v="2024-01-29T00:00:00"/>
    <s v="C0277"/>
    <x v="249"/>
    <s v="Small Business"/>
    <x v="0"/>
    <x v="10"/>
    <s v="P006"/>
    <x v="1"/>
    <x v="0"/>
    <n v="1"/>
    <n v="9500"/>
    <x v="0"/>
    <n v="9500"/>
    <n v="2030.93"/>
    <x v="0"/>
    <x v="2"/>
    <x v="4"/>
    <x v="1"/>
    <x v="11"/>
    <s v="Jan"/>
    <s v="Q1"/>
    <x v="21"/>
    <n v="5"/>
    <n v="21.38"/>
  </r>
  <r>
    <s v="ORD00499"/>
    <d v="2025-03-13T00:00:00"/>
    <d v="2025-03-20T00:00:00"/>
    <s v="C0235"/>
    <x v="111"/>
    <s v="Consumer"/>
    <x v="1"/>
    <x v="16"/>
    <s v="P004"/>
    <x v="7"/>
    <x v="2"/>
    <n v="2"/>
    <n v="8000"/>
    <x v="0"/>
    <n v="16000"/>
    <n v="3772.69"/>
    <x v="5"/>
    <x v="1"/>
    <x v="0"/>
    <x v="0"/>
    <x v="0"/>
    <s v="Mar"/>
    <s v="Q1"/>
    <x v="0"/>
    <n v="7"/>
    <n v="23.58"/>
  </r>
  <r>
    <s v="ORD01495"/>
    <d v="2024-12-23T00:00:00"/>
    <d v="2024-12-26T00:00:00"/>
    <s v="C0252"/>
    <x v="7"/>
    <s v="Consumer"/>
    <x v="1"/>
    <x v="5"/>
    <s v="P001"/>
    <x v="8"/>
    <x v="2"/>
    <n v="2"/>
    <n v="55000"/>
    <x v="0"/>
    <n v="110000"/>
    <n v="17892.46"/>
    <x v="0"/>
    <x v="0"/>
    <x v="2"/>
    <x v="1"/>
    <x v="10"/>
    <s v="Dec"/>
    <s v="Q4"/>
    <x v="16"/>
    <n v="3"/>
    <n v="16.27"/>
  </r>
  <r>
    <s v="ORD00092"/>
    <d v="2024-07-09T00:00:00"/>
    <d v="2024-07-11T00:00:00"/>
    <s v="C0059"/>
    <x v="283"/>
    <s v="Consumer"/>
    <x v="3"/>
    <x v="7"/>
    <s v="P001"/>
    <x v="8"/>
    <x v="2"/>
    <n v="2"/>
    <n v="55000"/>
    <x v="3"/>
    <n v="104500"/>
    <n v="20040.490000000002"/>
    <x v="3"/>
    <x v="1"/>
    <x v="0"/>
    <x v="1"/>
    <x v="3"/>
    <s v="Jul"/>
    <s v="Q3"/>
    <x v="4"/>
    <n v="2"/>
    <n v="19.18"/>
  </r>
  <r>
    <s v="ORD00198"/>
    <d v="2024-09-25T00:00:00"/>
    <d v="2024-10-01T00:00:00"/>
    <s v="C0235"/>
    <x v="111"/>
    <s v="Consumer"/>
    <x v="1"/>
    <x v="16"/>
    <s v="P002"/>
    <x v="3"/>
    <x v="2"/>
    <n v="3"/>
    <n v="25000"/>
    <x v="3"/>
    <n v="71250"/>
    <n v="9737.23"/>
    <x v="1"/>
    <x v="1"/>
    <x v="1"/>
    <x v="1"/>
    <x v="9"/>
    <s v="Sep"/>
    <s v="Q3"/>
    <x v="20"/>
    <n v="6"/>
    <n v="13.67"/>
  </r>
  <r>
    <s v="ORD01035"/>
    <d v="2024-02-03T00:00:00"/>
    <d v="2024-02-09T00:00:00"/>
    <s v="C0003"/>
    <x v="108"/>
    <s v="Small Business"/>
    <x v="2"/>
    <x v="3"/>
    <s v="P007"/>
    <x v="10"/>
    <x v="0"/>
    <n v="1"/>
    <n v="6000"/>
    <x v="0"/>
    <n v="6000"/>
    <n v="1463.33"/>
    <x v="3"/>
    <x v="0"/>
    <x v="1"/>
    <x v="1"/>
    <x v="6"/>
    <s v="Feb"/>
    <s v="Q1"/>
    <x v="18"/>
    <n v="6"/>
    <n v="24.39"/>
  </r>
  <r>
    <s v="ORD01110"/>
    <d v="2025-05-06T00:00:00"/>
    <d v="2025-05-14T00:00:00"/>
    <s v="C0103"/>
    <x v="274"/>
    <s v="Small Business"/>
    <x v="3"/>
    <x v="8"/>
    <s v="P008"/>
    <x v="11"/>
    <x v="1"/>
    <n v="1"/>
    <n v="250"/>
    <x v="1"/>
    <n v="212.5"/>
    <n v="62.9"/>
    <x v="3"/>
    <x v="2"/>
    <x v="4"/>
    <x v="0"/>
    <x v="4"/>
    <s v="May"/>
    <s v="Q2"/>
    <x v="5"/>
    <n v="8"/>
    <n v="29.6"/>
  </r>
  <r>
    <s v="ORD01474"/>
    <d v="2025-10-07T00:00:00"/>
    <d v="2025-10-10T00:00:00"/>
    <s v="C0082"/>
    <x v="223"/>
    <s v="Corporate"/>
    <x v="0"/>
    <x v="10"/>
    <s v="P006"/>
    <x v="1"/>
    <x v="0"/>
    <n v="2"/>
    <n v="9500"/>
    <x v="4"/>
    <n v="17100"/>
    <n v="2560.69"/>
    <x v="1"/>
    <x v="1"/>
    <x v="4"/>
    <x v="0"/>
    <x v="1"/>
    <s v="Oct"/>
    <s v="Q4"/>
    <x v="14"/>
    <n v="3"/>
    <n v="14.97"/>
  </r>
  <r>
    <s v="ORD00492"/>
    <d v="2025-12-06T00:00:00"/>
    <d v="2025-12-09T00:00:00"/>
    <s v="C0071"/>
    <x v="162"/>
    <s v="Small Business"/>
    <x v="3"/>
    <x v="6"/>
    <s v="P005"/>
    <x v="0"/>
    <x v="0"/>
    <n v="2"/>
    <n v="7000"/>
    <x v="0"/>
    <n v="14000"/>
    <n v="2685.84"/>
    <x v="5"/>
    <x v="2"/>
    <x v="2"/>
    <x v="0"/>
    <x v="10"/>
    <s v="Dec"/>
    <s v="Q4"/>
    <x v="19"/>
    <n v="3"/>
    <n v="19.18"/>
  </r>
  <r>
    <s v="ORD00300"/>
    <d v="2024-08-11T00:00:00"/>
    <d v="2024-08-18T00:00:00"/>
    <s v="C0236"/>
    <x v="130"/>
    <s v="Consumer"/>
    <x v="2"/>
    <x v="4"/>
    <s v="P005"/>
    <x v="0"/>
    <x v="0"/>
    <n v="2"/>
    <n v="7000"/>
    <x v="1"/>
    <n v="11900"/>
    <n v="2618"/>
    <x v="1"/>
    <x v="0"/>
    <x v="0"/>
    <x v="1"/>
    <x v="7"/>
    <s v="Aug"/>
    <s v="Q3"/>
    <x v="9"/>
    <n v="7"/>
    <n v="22"/>
  </r>
  <r>
    <s v="ORD01699"/>
    <d v="2025-09-20T00:00:00"/>
    <d v="2025-09-21T00:00:00"/>
    <s v="C0211"/>
    <x v="166"/>
    <s v="Consumer"/>
    <x v="3"/>
    <x v="8"/>
    <s v="P010"/>
    <x v="6"/>
    <x v="4"/>
    <n v="2"/>
    <n v="1800"/>
    <x v="4"/>
    <n v="3240"/>
    <n v="954.86"/>
    <x v="1"/>
    <x v="2"/>
    <x v="1"/>
    <x v="0"/>
    <x v="9"/>
    <s v="Sep"/>
    <s v="Q3"/>
    <x v="11"/>
    <n v="1"/>
    <n v="29.47"/>
  </r>
  <r>
    <s v="ORD00141"/>
    <d v="2024-02-29T00:00:00"/>
    <d v="2024-03-01T00:00:00"/>
    <s v="C0234"/>
    <x v="113"/>
    <s v="Corporate"/>
    <x v="3"/>
    <x v="8"/>
    <s v="P010"/>
    <x v="6"/>
    <x v="4"/>
    <n v="2"/>
    <n v="1800"/>
    <x v="1"/>
    <n v="3060"/>
    <n v="1095.3800000000001"/>
    <x v="0"/>
    <x v="1"/>
    <x v="3"/>
    <x v="1"/>
    <x v="6"/>
    <s v="Feb"/>
    <s v="Q1"/>
    <x v="18"/>
    <n v="1"/>
    <n v="35.799999999999997"/>
  </r>
  <r>
    <s v="ORD01378"/>
    <d v="2025-12-16T00:00:00"/>
    <d v="2025-12-22T00:00:00"/>
    <s v="C0167"/>
    <x v="188"/>
    <s v="Small Business"/>
    <x v="1"/>
    <x v="1"/>
    <s v="P008"/>
    <x v="11"/>
    <x v="1"/>
    <n v="1"/>
    <n v="250"/>
    <x v="2"/>
    <n v="200"/>
    <n v="61.14"/>
    <x v="5"/>
    <x v="1"/>
    <x v="4"/>
    <x v="0"/>
    <x v="10"/>
    <s v="Dec"/>
    <s v="Q4"/>
    <x v="19"/>
    <n v="6"/>
    <n v="30.57"/>
  </r>
  <r>
    <s v="ORD00713"/>
    <d v="2025-11-04T00:00:00"/>
    <d v="2025-11-08T00:00:00"/>
    <s v="C0078"/>
    <x v="273"/>
    <s v="Small Business"/>
    <x v="0"/>
    <x v="0"/>
    <s v="P009"/>
    <x v="2"/>
    <x v="1"/>
    <n v="2"/>
    <n v="180"/>
    <x v="0"/>
    <n v="360"/>
    <n v="123.03"/>
    <x v="4"/>
    <x v="0"/>
    <x v="0"/>
    <x v="0"/>
    <x v="2"/>
    <s v="Nov"/>
    <s v="Q4"/>
    <x v="23"/>
    <n v="4"/>
    <n v="34.18"/>
  </r>
  <r>
    <s v="ORD00941"/>
    <d v="2024-10-24T00:00:00"/>
    <d v="2024-10-31T00:00:00"/>
    <s v="C0277"/>
    <x v="249"/>
    <s v="Small Business"/>
    <x v="0"/>
    <x v="10"/>
    <s v="P002"/>
    <x v="3"/>
    <x v="2"/>
    <n v="1"/>
    <n v="25000"/>
    <x v="0"/>
    <n v="25000"/>
    <n v="2628.35"/>
    <x v="4"/>
    <x v="1"/>
    <x v="1"/>
    <x v="1"/>
    <x v="1"/>
    <s v="Oct"/>
    <s v="Q4"/>
    <x v="1"/>
    <n v="7"/>
    <n v="10.51"/>
  </r>
  <r>
    <s v="ORD00288"/>
    <d v="2024-12-18T00:00:00"/>
    <d v="2024-12-26T00:00:00"/>
    <s v="C0147"/>
    <x v="219"/>
    <s v="Small Business"/>
    <x v="3"/>
    <x v="6"/>
    <s v="P009"/>
    <x v="2"/>
    <x v="1"/>
    <n v="1"/>
    <n v="180"/>
    <x v="1"/>
    <n v="153"/>
    <n v="68.849999999999994"/>
    <x v="2"/>
    <x v="0"/>
    <x v="4"/>
    <x v="1"/>
    <x v="10"/>
    <s v="Dec"/>
    <s v="Q4"/>
    <x v="16"/>
    <n v="8"/>
    <n v="45"/>
  </r>
  <r>
    <s v="ORD00560"/>
    <d v="2025-05-11T00:00:00"/>
    <d v="2025-05-16T00:00:00"/>
    <s v="C0014"/>
    <x v="161"/>
    <s v="Small Business"/>
    <x v="1"/>
    <x v="5"/>
    <s v="P005"/>
    <x v="0"/>
    <x v="0"/>
    <n v="1"/>
    <n v="7000"/>
    <x v="4"/>
    <n v="6300"/>
    <n v="1012.81"/>
    <x v="3"/>
    <x v="0"/>
    <x v="1"/>
    <x v="0"/>
    <x v="4"/>
    <s v="May"/>
    <s v="Q2"/>
    <x v="5"/>
    <n v="5"/>
    <n v="16.079999999999998"/>
  </r>
  <r>
    <s v="ORD00422"/>
    <d v="2025-08-12T00:00:00"/>
    <d v="2025-08-17T00:00:00"/>
    <s v="C0293"/>
    <x v="53"/>
    <s v="Corporate"/>
    <x v="1"/>
    <x v="16"/>
    <s v="P003"/>
    <x v="5"/>
    <x v="2"/>
    <n v="3"/>
    <n v="3000"/>
    <x v="2"/>
    <n v="7200"/>
    <n v="1598.29"/>
    <x v="4"/>
    <x v="2"/>
    <x v="0"/>
    <x v="0"/>
    <x v="7"/>
    <s v="Aug"/>
    <s v="Q3"/>
    <x v="22"/>
    <n v="5"/>
    <n v="22.2"/>
  </r>
  <r>
    <s v="ORD00558"/>
    <d v="2024-12-05T00:00:00"/>
    <d v="2024-12-08T00:00:00"/>
    <s v="C0294"/>
    <x v="290"/>
    <s v="Consumer"/>
    <x v="3"/>
    <x v="6"/>
    <s v="P012"/>
    <x v="4"/>
    <x v="3"/>
    <n v="10"/>
    <n v="3500"/>
    <x v="2"/>
    <n v="28000"/>
    <n v="7327.91"/>
    <x v="2"/>
    <x v="2"/>
    <x v="1"/>
    <x v="1"/>
    <x v="10"/>
    <s v="Dec"/>
    <s v="Q4"/>
    <x v="16"/>
    <n v="3"/>
    <n v="26.17"/>
  </r>
  <r>
    <s v="ORD00098"/>
    <d v="2025-11-27T00:00:00"/>
    <d v="2025-11-30T00:00:00"/>
    <s v="C0231"/>
    <x v="32"/>
    <s v="Small Business"/>
    <x v="1"/>
    <x v="1"/>
    <s v="P008"/>
    <x v="11"/>
    <x v="1"/>
    <n v="1"/>
    <n v="250"/>
    <x v="2"/>
    <n v="200"/>
    <n v="80.97"/>
    <x v="4"/>
    <x v="1"/>
    <x v="1"/>
    <x v="0"/>
    <x v="2"/>
    <s v="Nov"/>
    <s v="Q4"/>
    <x v="23"/>
    <n v="3"/>
    <n v="40.49"/>
  </r>
  <r>
    <s v="ORD01372"/>
    <d v="2025-03-20T00:00:00"/>
    <d v="2025-03-28T00:00:00"/>
    <s v="C0114"/>
    <x v="98"/>
    <s v="Small Business"/>
    <x v="3"/>
    <x v="6"/>
    <s v="P010"/>
    <x v="6"/>
    <x v="4"/>
    <n v="3"/>
    <n v="1800"/>
    <x v="0"/>
    <n v="5400"/>
    <n v="2076.96"/>
    <x v="1"/>
    <x v="2"/>
    <x v="0"/>
    <x v="0"/>
    <x v="0"/>
    <s v="Mar"/>
    <s v="Q1"/>
    <x v="0"/>
    <n v="8"/>
    <n v="38.46"/>
  </r>
  <r>
    <s v="ORD00097"/>
    <d v="2025-02-24T00:00:00"/>
    <d v="2025-02-27T00:00:00"/>
    <s v="C0246"/>
    <x v="8"/>
    <s v="Corporate"/>
    <x v="3"/>
    <x v="6"/>
    <s v="P009"/>
    <x v="2"/>
    <x v="1"/>
    <n v="3"/>
    <n v="180"/>
    <x v="2"/>
    <n v="432"/>
    <n v="180.78"/>
    <x v="3"/>
    <x v="2"/>
    <x v="3"/>
    <x v="0"/>
    <x v="6"/>
    <s v="Feb"/>
    <s v="Q1"/>
    <x v="7"/>
    <n v="3"/>
    <n v="41.85"/>
  </r>
  <r>
    <s v="ORD01970"/>
    <d v="2025-08-25T00:00:00"/>
    <m/>
    <s v="C0230"/>
    <x v="129"/>
    <s v="Corporate"/>
    <x v="3"/>
    <x v="12"/>
    <s v="P004"/>
    <x v="7"/>
    <x v="2"/>
    <n v="2"/>
    <n v="8000"/>
    <x v="1"/>
    <n v="13600"/>
    <n v="3735.18"/>
    <x v="1"/>
    <x v="2"/>
    <x v="2"/>
    <x v="0"/>
    <x v="7"/>
    <s v="Aug"/>
    <s v="Q3"/>
    <x v="22"/>
    <s v=""/>
    <n v="27.46"/>
  </r>
  <r>
    <s v="ORD00927"/>
    <d v="2024-01-27T00:00:00"/>
    <d v="2024-01-29T00:00:00"/>
    <s v="C0223"/>
    <x v="34"/>
    <s v="Corporate"/>
    <x v="1"/>
    <x v="13"/>
    <s v="P007"/>
    <x v="10"/>
    <x v="0"/>
    <n v="10"/>
    <n v="6000"/>
    <x v="0"/>
    <n v="60000"/>
    <n v="10526.54"/>
    <x v="1"/>
    <x v="0"/>
    <x v="1"/>
    <x v="1"/>
    <x v="11"/>
    <s v="Jan"/>
    <s v="Q1"/>
    <x v="21"/>
    <n v="2"/>
    <n v="17.54"/>
  </r>
  <r>
    <s v="ORD00819"/>
    <d v="2025-01-13T00:00:00"/>
    <d v="2025-01-20T00:00:00"/>
    <s v="C0234"/>
    <x v="113"/>
    <s v="Corporate"/>
    <x v="3"/>
    <x v="8"/>
    <s v="P004"/>
    <x v="7"/>
    <x v="2"/>
    <n v="4"/>
    <n v="8000"/>
    <x v="1"/>
    <n v="27200"/>
    <n v="5226.1000000000004"/>
    <x v="5"/>
    <x v="0"/>
    <x v="3"/>
    <x v="0"/>
    <x v="11"/>
    <s v="Jan"/>
    <s v="Q1"/>
    <x v="17"/>
    <n v="7"/>
    <n v="19.21"/>
  </r>
  <r>
    <s v="ORD01031"/>
    <d v="2024-04-16T00:00:00"/>
    <d v="2024-04-23T00:00:00"/>
    <s v="C0051"/>
    <x v="106"/>
    <s v="Consumer"/>
    <x v="2"/>
    <x v="3"/>
    <s v="P002"/>
    <x v="3"/>
    <x v="2"/>
    <n v="1"/>
    <n v="25000"/>
    <x v="0"/>
    <n v="25000"/>
    <n v="3549.39"/>
    <x v="2"/>
    <x v="1"/>
    <x v="1"/>
    <x v="1"/>
    <x v="5"/>
    <s v="Apr"/>
    <s v="Q2"/>
    <x v="6"/>
    <n v="7"/>
    <n v="14.2"/>
  </r>
  <r>
    <s v="ORD00648"/>
    <d v="2024-05-13T00:00:00"/>
    <d v="2024-05-15T00:00:00"/>
    <s v="C0065"/>
    <x v="164"/>
    <s v="Consumer"/>
    <x v="0"/>
    <x v="11"/>
    <s v="P004"/>
    <x v="7"/>
    <x v="2"/>
    <n v="10"/>
    <n v="8000"/>
    <x v="3"/>
    <n v="76000"/>
    <n v="18550.22"/>
    <x v="2"/>
    <x v="0"/>
    <x v="0"/>
    <x v="1"/>
    <x v="4"/>
    <s v="May"/>
    <s v="Q2"/>
    <x v="8"/>
    <n v="2"/>
    <n v="24.41"/>
  </r>
  <r>
    <s v="ORD01837"/>
    <d v="2025-08-13T00:00:00"/>
    <d v="2025-08-18T00:00:00"/>
    <s v="C0173"/>
    <x v="184"/>
    <s v="Corporate"/>
    <x v="1"/>
    <x v="16"/>
    <s v="P001"/>
    <x v="8"/>
    <x v="2"/>
    <n v="3"/>
    <n v="55000"/>
    <x v="0"/>
    <n v="165000"/>
    <n v="22573.52"/>
    <x v="0"/>
    <x v="0"/>
    <x v="3"/>
    <x v="0"/>
    <x v="7"/>
    <s v="Aug"/>
    <s v="Q3"/>
    <x v="22"/>
    <n v="5"/>
    <n v="13.68"/>
  </r>
  <r>
    <s v="ORD00349"/>
    <d v="2025-03-08T00:00:00"/>
    <d v="2025-03-15T00:00:00"/>
    <s v="C0274"/>
    <x v="9"/>
    <s v="Consumer"/>
    <x v="3"/>
    <x v="6"/>
    <s v="P005"/>
    <x v="0"/>
    <x v="0"/>
    <n v="4"/>
    <n v="7000"/>
    <x v="4"/>
    <n v="25200"/>
    <n v="4116.91"/>
    <x v="4"/>
    <x v="0"/>
    <x v="3"/>
    <x v="0"/>
    <x v="0"/>
    <s v="Mar"/>
    <s v="Q1"/>
    <x v="0"/>
    <n v="7"/>
    <n v="16.34"/>
  </r>
  <r>
    <s v="ORD00114"/>
    <d v="2025-06-11T00:00:00"/>
    <d v="2025-06-18T00:00:00"/>
    <s v="C0077"/>
    <x v="260"/>
    <s v="Corporate"/>
    <x v="2"/>
    <x v="3"/>
    <s v="P010"/>
    <x v="6"/>
    <x v="4"/>
    <n v="1"/>
    <n v="1800"/>
    <x v="4"/>
    <n v="1620"/>
    <n v="469.14"/>
    <x v="1"/>
    <x v="2"/>
    <x v="4"/>
    <x v="0"/>
    <x v="8"/>
    <s v="Jun"/>
    <s v="Q2"/>
    <x v="10"/>
    <n v="7"/>
    <n v="28.96"/>
  </r>
  <r>
    <s v="ORD01277"/>
    <d v="2025-07-04T00:00:00"/>
    <d v="2025-07-06T00:00:00"/>
    <s v="C0121"/>
    <x v="207"/>
    <s v="Consumer"/>
    <x v="3"/>
    <x v="12"/>
    <s v="P007"/>
    <x v="10"/>
    <x v="0"/>
    <n v="1"/>
    <n v="6000"/>
    <x v="4"/>
    <n v="5400"/>
    <n v="1399.07"/>
    <x v="2"/>
    <x v="1"/>
    <x v="2"/>
    <x v="0"/>
    <x v="3"/>
    <s v="Jul"/>
    <s v="Q3"/>
    <x v="15"/>
    <n v="2"/>
    <n v="25.91"/>
  </r>
  <r>
    <s v="ORD00635"/>
    <d v="2025-07-23T00:00:00"/>
    <d v="2025-07-26T00:00:00"/>
    <s v="C0213"/>
    <x v="116"/>
    <s v="Corporate"/>
    <x v="3"/>
    <x v="7"/>
    <s v="P003"/>
    <x v="5"/>
    <x v="2"/>
    <n v="2"/>
    <n v="3000"/>
    <x v="4"/>
    <n v="5400"/>
    <n v="1623.4"/>
    <x v="4"/>
    <x v="1"/>
    <x v="0"/>
    <x v="0"/>
    <x v="3"/>
    <s v="Jul"/>
    <s v="Q3"/>
    <x v="15"/>
    <n v="3"/>
    <n v="30.06"/>
  </r>
  <r>
    <s v="ORD00437"/>
    <d v="2024-09-23T00:00:00"/>
    <d v="2024-09-26T00:00:00"/>
    <s v="C0188"/>
    <x v="209"/>
    <s v="Corporate"/>
    <x v="2"/>
    <x v="3"/>
    <s v="P007"/>
    <x v="10"/>
    <x v="0"/>
    <n v="1"/>
    <n v="6000"/>
    <x v="0"/>
    <n v="6000"/>
    <n v="1008.05"/>
    <x v="3"/>
    <x v="1"/>
    <x v="0"/>
    <x v="1"/>
    <x v="9"/>
    <s v="Sep"/>
    <s v="Q3"/>
    <x v="20"/>
    <n v="3"/>
    <n v="16.8"/>
  </r>
  <r>
    <s v="ORD00071"/>
    <d v="2024-04-15T00:00:00"/>
    <d v="2024-04-20T00:00:00"/>
    <s v="C0191"/>
    <x v="210"/>
    <s v="Corporate"/>
    <x v="2"/>
    <x v="3"/>
    <s v="P009"/>
    <x v="2"/>
    <x v="1"/>
    <n v="3"/>
    <n v="180"/>
    <x v="4"/>
    <n v="486"/>
    <n v="227.55"/>
    <x v="2"/>
    <x v="0"/>
    <x v="4"/>
    <x v="1"/>
    <x v="5"/>
    <s v="Apr"/>
    <s v="Q2"/>
    <x v="6"/>
    <n v="5"/>
    <n v="46.82"/>
  </r>
  <r>
    <s v="ORD01768"/>
    <d v="2024-06-24T00:00:00"/>
    <d v="2024-06-27T00:00:00"/>
    <s v="C0044"/>
    <x v="123"/>
    <s v="Small Business"/>
    <x v="3"/>
    <x v="7"/>
    <s v="P011"/>
    <x v="9"/>
    <x v="4"/>
    <n v="1"/>
    <n v="600"/>
    <x v="1"/>
    <n v="510"/>
    <n v="162.74"/>
    <x v="2"/>
    <x v="1"/>
    <x v="4"/>
    <x v="1"/>
    <x v="8"/>
    <s v="Jun"/>
    <s v="Q2"/>
    <x v="12"/>
    <n v="3"/>
    <n v="31.91"/>
  </r>
  <r>
    <s v="ORD01137"/>
    <d v="2024-02-14T00:00:00"/>
    <d v="2024-02-18T00:00:00"/>
    <s v="C0093"/>
    <x v="127"/>
    <s v="Consumer"/>
    <x v="0"/>
    <x v="11"/>
    <s v="P005"/>
    <x v="0"/>
    <x v="0"/>
    <n v="1"/>
    <n v="7000"/>
    <x v="4"/>
    <n v="6300"/>
    <n v="1333.45"/>
    <x v="3"/>
    <x v="0"/>
    <x v="1"/>
    <x v="1"/>
    <x v="6"/>
    <s v="Feb"/>
    <s v="Q1"/>
    <x v="18"/>
    <n v="4"/>
    <n v="21.17"/>
  </r>
  <r>
    <s v="ORD01939"/>
    <d v="2025-08-25T00:00:00"/>
    <d v="2025-08-26T00:00:00"/>
    <s v="C0169"/>
    <x v="196"/>
    <s v="Corporate"/>
    <x v="3"/>
    <x v="6"/>
    <s v="P012"/>
    <x v="4"/>
    <x v="3"/>
    <n v="1"/>
    <n v="3500"/>
    <x v="2"/>
    <n v="2800"/>
    <n v="653.91"/>
    <x v="5"/>
    <x v="0"/>
    <x v="0"/>
    <x v="0"/>
    <x v="7"/>
    <s v="Aug"/>
    <s v="Q3"/>
    <x v="22"/>
    <n v="1"/>
    <n v="23.35"/>
  </r>
  <r>
    <s v="ORD01148"/>
    <d v="2024-01-16T00:00:00"/>
    <d v="2024-01-18T00:00:00"/>
    <s v="C0122"/>
    <x v="44"/>
    <s v="Corporate"/>
    <x v="2"/>
    <x v="14"/>
    <s v="P003"/>
    <x v="5"/>
    <x v="2"/>
    <n v="1"/>
    <n v="3000"/>
    <x v="1"/>
    <n v="2550"/>
    <n v="826.5"/>
    <x v="6"/>
    <x v="2"/>
    <x v="4"/>
    <x v="1"/>
    <x v="11"/>
    <s v="Jan"/>
    <s v="Q1"/>
    <x v="21"/>
    <n v="2"/>
    <n v="32.409999999999997"/>
  </r>
  <r>
    <s v="ORD01639"/>
    <d v="2025-08-31T00:00:00"/>
    <d v="2025-09-03T00:00:00"/>
    <s v="C0069"/>
    <x v="101"/>
    <s v="Small Business"/>
    <x v="0"/>
    <x v="0"/>
    <s v="P002"/>
    <x v="3"/>
    <x v="2"/>
    <n v="2"/>
    <n v="25000"/>
    <x v="2"/>
    <n v="40000"/>
    <n v="4479.59"/>
    <x v="0"/>
    <x v="1"/>
    <x v="1"/>
    <x v="0"/>
    <x v="7"/>
    <s v="Aug"/>
    <s v="Q3"/>
    <x v="22"/>
    <n v="3"/>
    <n v="11.2"/>
  </r>
  <r>
    <s v="ORD01067"/>
    <d v="2024-09-03T00:00:00"/>
    <d v="2024-09-08T00:00:00"/>
    <s v="C0268"/>
    <x v="236"/>
    <s v="Corporate"/>
    <x v="2"/>
    <x v="14"/>
    <s v="P009"/>
    <x v="2"/>
    <x v="1"/>
    <n v="2"/>
    <n v="180"/>
    <x v="1"/>
    <n v="306"/>
    <n v="123.38"/>
    <x v="3"/>
    <x v="2"/>
    <x v="0"/>
    <x v="1"/>
    <x v="9"/>
    <s v="Sep"/>
    <s v="Q3"/>
    <x v="20"/>
    <n v="5"/>
    <n v="40.32"/>
  </r>
  <r>
    <s v="ORD00773"/>
    <d v="2025-12-25T00:00:00"/>
    <d v="2025-12-27T00:00:00"/>
    <s v="C0046"/>
    <x v="269"/>
    <s v="Small Business"/>
    <x v="0"/>
    <x v="2"/>
    <s v="P003"/>
    <x v="5"/>
    <x v="2"/>
    <n v="2"/>
    <n v="3000"/>
    <x v="2"/>
    <n v="4800"/>
    <n v="1415.46"/>
    <x v="5"/>
    <x v="2"/>
    <x v="3"/>
    <x v="0"/>
    <x v="10"/>
    <s v="Dec"/>
    <s v="Q4"/>
    <x v="19"/>
    <n v="2"/>
    <n v="29.49"/>
  </r>
  <r>
    <s v="ORD00269"/>
    <d v="2025-08-02T00:00:00"/>
    <d v="2025-08-04T00:00:00"/>
    <s v="C0114"/>
    <x v="98"/>
    <s v="Small Business"/>
    <x v="3"/>
    <x v="6"/>
    <s v="P011"/>
    <x v="9"/>
    <x v="4"/>
    <n v="1"/>
    <n v="600"/>
    <x v="3"/>
    <n v="570"/>
    <n v="163.81"/>
    <x v="4"/>
    <x v="1"/>
    <x v="4"/>
    <x v="0"/>
    <x v="7"/>
    <s v="Aug"/>
    <s v="Q3"/>
    <x v="22"/>
    <n v="2"/>
    <n v="28.74"/>
  </r>
  <r>
    <s v="ORD00013"/>
    <d v="2025-11-24T00:00:00"/>
    <d v="2025-11-29T00:00:00"/>
    <s v="C0239"/>
    <x v="278"/>
    <s v="Consumer"/>
    <x v="1"/>
    <x v="5"/>
    <s v="P005"/>
    <x v="0"/>
    <x v="0"/>
    <n v="1"/>
    <n v="7000"/>
    <x v="0"/>
    <n v="7000"/>
    <n v="1686.39"/>
    <x v="5"/>
    <x v="1"/>
    <x v="4"/>
    <x v="0"/>
    <x v="2"/>
    <s v="Nov"/>
    <s v="Q4"/>
    <x v="23"/>
    <n v="5"/>
    <n v="24.09"/>
  </r>
  <r>
    <s v="ORD00364"/>
    <d v="2024-03-14T00:00:00"/>
    <d v="2024-03-20T00:00:00"/>
    <s v="C0223"/>
    <x v="34"/>
    <s v="Corporate"/>
    <x v="1"/>
    <x v="13"/>
    <s v="P011"/>
    <x v="9"/>
    <x v="4"/>
    <n v="3"/>
    <n v="600"/>
    <x v="0"/>
    <n v="1800"/>
    <n v="485.3"/>
    <x v="2"/>
    <x v="0"/>
    <x v="3"/>
    <x v="1"/>
    <x v="0"/>
    <s v="Mar"/>
    <s v="Q1"/>
    <x v="2"/>
    <n v="6"/>
    <n v="26.96"/>
  </r>
  <r>
    <s v="ORD00022"/>
    <d v="2024-08-27T00:00:00"/>
    <d v="2024-09-02T00:00:00"/>
    <s v="C0056"/>
    <x v="26"/>
    <s v="Small Business"/>
    <x v="3"/>
    <x v="12"/>
    <s v="P011"/>
    <x v="9"/>
    <x v="4"/>
    <n v="2"/>
    <n v="600"/>
    <x v="4"/>
    <n v="1080"/>
    <n v="432.44"/>
    <x v="1"/>
    <x v="0"/>
    <x v="3"/>
    <x v="1"/>
    <x v="7"/>
    <s v="Aug"/>
    <s v="Q3"/>
    <x v="9"/>
    <n v="6"/>
    <n v="40.04"/>
  </r>
  <r>
    <s v="ORD01511"/>
    <d v="2025-04-28T00:00:00"/>
    <d v="2025-05-04T00:00:00"/>
    <s v="C0189"/>
    <x v="258"/>
    <s v="Small Business"/>
    <x v="0"/>
    <x v="0"/>
    <s v="P008"/>
    <x v="11"/>
    <x v="1"/>
    <n v="2"/>
    <n v="250"/>
    <x v="0"/>
    <n v="500"/>
    <n v="192.69"/>
    <x v="5"/>
    <x v="2"/>
    <x v="1"/>
    <x v="0"/>
    <x v="5"/>
    <s v="Apr"/>
    <s v="Q2"/>
    <x v="13"/>
    <n v="6"/>
    <n v="38.54"/>
  </r>
  <r>
    <s v="ORD01455"/>
    <d v="2025-11-18T00:00:00"/>
    <d v="2025-11-20T00:00:00"/>
    <s v="C0043"/>
    <x v="279"/>
    <s v="Consumer"/>
    <x v="1"/>
    <x v="1"/>
    <s v="P008"/>
    <x v="11"/>
    <x v="1"/>
    <n v="3"/>
    <n v="250"/>
    <x v="0"/>
    <n v="750"/>
    <n v="313.38"/>
    <x v="6"/>
    <x v="0"/>
    <x v="3"/>
    <x v="0"/>
    <x v="2"/>
    <s v="Nov"/>
    <s v="Q4"/>
    <x v="23"/>
    <n v="2"/>
    <n v="41.78"/>
  </r>
  <r>
    <s v="ORD00562"/>
    <d v="2025-12-18T00:00:00"/>
    <d v="2025-12-24T00:00:00"/>
    <s v="C0090"/>
    <x v="58"/>
    <s v="Consumer"/>
    <x v="0"/>
    <x v="10"/>
    <s v="P005"/>
    <x v="0"/>
    <x v="0"/>
    <n v="1"/>
    <n v="7000"/>
    <x v="4"/>
    <n v="6300"/>
    <n v="1448.1"/>
    <x v="2"/>
    <x v="0"/>
    <x v="1"/>
    <x v="0"/>
    <x v="10"/>
    <s v="Dec"/>
    <s v="Q4"/>
    <x v="19"/>
    <n v="6"/>
    <n v="22.99"/>
  </r>
  <r>
    <s v="ORD01708"/>
    <d v="2024-01-24T00:00:00"/>
    <m/>
    <s v="C0151"/>
    <x v="198"/>
    <s v="Corporate"/>
    <x v="1"/>
    <x v="1"/>
    <s v="P004"/>
    <x v="7"/>
    <x v="2"/>
    <n v="3"/>
    <n v="8000"/>
    <x v="3"/>
    <n v="22800"/>
    <n v="4850.18"/>
    <x v="3"/>
    <x v="1"/>
    <x v="1"/>
    <x v="1"/>
    <x v="11"/>
    <s v="Jan"/>
    <s v="Q1"/>
    <x v="21"/>
    <s v=""/>
    <n v="21.27"/>
  </r>
  <r>
    <s v="ORD00116"/>
    <d v="2025-08-20T00:00:00"/>
    <d v="2025-08-21T00:00:00"/>
    <s v="C0057"/>
    <x v="268"/>
    <s v="Corporate"/>
    <x v="2"/>
    <x v="4"/>
    <s v="P007"/>
    <x v="10"/>
    <x v="0"/>
    <n v="1"/>
    <n v="6000"/>
    <x v="1"/>
    <n v="5100"/>
    <n v="1283.78"/>
    <x v="1"/>
    <x v="1"/>
    <x v="4"/>
    <x v="0"/>
    <x v="7"/>
    <s v="Aug"/>
    <s v="Q3"/>
    <x v="22"/>
    <n v="1"/>
    <n v="25.17"/>
  </r>
  <r>
    <s v="ORD00403"/>
    <d v="2025-04-27T00:00:00"/>
    <d v="2025-05-02T00:00:00"/>
    <s v="C0047"/>
    <x v="215"/>
    <s v="Corporate"/>
    <x v="2"/>
    <x v="14"/>
    <s v="P003"/>
    <x v="5"/>
    <x v="2"/>
    <n v="5"/>
    <n v="3000"/>
    <x v="3"/>
    <n v="14250"/>
    <n v="3143.22"/>
    <x v="4"/>
    <x v="1"/>
    <x v="3"/>
    <x v="0"/>
    <x v="5"/>
    <s v="Apr"/>
    <s v="Q2"/>
    <x v="13"/>
    <n v="5"/>
    <n v="22.06"/>
  </r>
  <r>
    <s v="ORD00765"/>
    <d v="2025-12-06T00:00:00"/>
    <d v="2025-12-09T00:00:00"/>
    <s v="C0217"/>
    <x v="246"/>
    <s v="Corporate"/>
    <x v="3"/>
    <x v="8"/>
    <s v="P008"/>
    <x v="11"/>
    <x v="1"/>
    <n v="2"/>
    <n v="250"/>
    <x v="3"/>
    <n v="475"/>
    <n v="195.61"/>
    <x v="1"/>
    <x v="0"/>
    <x v="0"/>
    <x v="0"/>
    <x v="10"/>
    <s v="Dec"/>
    <s v="Q4"/>
    <x v="19"/>
    <n v="3"/>
    <n v="41.18"/>
  </r>
  <r>
    <s v="ORD01490"/>
    <d v="2025-02-26T00:00:00"/>
    <d v="2025-02-27T00:00:00"/>
    <s v="C0174"/>
    <x v="100"/>
    <s v="Small Business"/>
    <x v="1"/>
    <x v="13"/>
    <s v="P002"/>
    <x v="3"/>
    <x v="2"/>
    <n v="1"/>
    <n v="25000"/>
    <x v="0"/>
    <n v="25000"/>
    <n v="3363.68"/>
    <x v="1"/>
    <x v="1"/>
    <x v="0"/>
    <x v="0"/>
    <x v="6"/>
    <s v="Feb"/>
    <s v="Q1"/>
    <x v="7"/>
    <n v="1"/>
    <n v="13.45"/>
  </r>
  <r>
    <s v="ORD01786"/>
    <d v="2025-12-03T00:00:00"/>
    <d v="2025-12-10T00:00:00"/>
    <s v="C0272"/>
    <x v="153"/>
    <s v="Small Business"/>
    <x v="3"/>
    <x v="8"/>
    <s v="P010"/>
    <x v="6"/>
    <x v="4"/>
    <n v="1"/>
    <n v="1800"/>
    <x v="4"/>
    <n v="1620"/>
    <n v="420.99"/>
    <x v="3"/>
    <x v="1"/>
    <x v="3"/>
    <x v="0"/>
    <x v="10"/>
    <s v="Dec"/>
    <s v="Q4"/>
    <x v="19"/>
    <n v="7"/>
    <n v="25.99"/>
  </r>
  <r>
    <s v="ORD01219"/>
    <d v="2024-05-20T00:00:00"/>
    <d v="2024-05-28T00:00:00"/>
    <s v="C0040"/>
    <x v="285"/>
    <s v="Small Business"/>
    <x v="3"/>
    <x v="8"/>
    <s v="P001"/>
    <x v="8"/>
    <x v="2"/>
    <n v="2"/>
    <n v="55000"/>
    <x v="3"/>
    <n v="104500"/>
    <n v="16367.75"/>
    <x v="3"/>
    <x v="0"/>
    <x v="1"/>
    <x v="1"/>
    <x v="4"/>
    <s v="May"/>
    <s v="Q2"/>
    <x v="8"/>
    <n v="8"/>
    <n v="15.66"/>
  </r>
  <r>
    <s v="ORD00710"/>
    <d v="2025-05-19T00:00:00"/>
    <d v="2025-05-25T00:00:00"/>
    <s v="C0087"/>
    <x v="94"/>
    <s v="Consumer"/>
    <x v="0"/>
    <x v="2"/>
    <s v="P009"/>
    <x v="2"/>
    <x v="1"/>
    <n v="5"/>
    <n v="180"/>
    <x v="3"/>
    <n v="855"/>
    <n v="289.63"/>
    <x v="5"/>
    <x v="2"/>
    <x v="0"/>
    <x v="0"/>
    <x v="4"/>
    <s v="May"/>
    <s v="Q2"/>
    <x v="5"/>
    <n v="6"/>
    <n v="33.869999999999997"/>
  </r>
  <r>
    <s v="ORD00599"/>
    <d v="2025-03-05T00:00:00"/>
    <d v="2025-03-09T00:00:00"/>
    <s v="C0297"/>
    <x v="265"/>
    <s v="Corporate"/>
    <x v="0"/>
    <x v="11"/>
    <s v="P006"/>
    <x v="1"/>
    <x v="0"/>
    <n v="1"/>
    <n v="9500"/>
    <x v="1"/>
    <n v="8075"/>
    <n v="1710.85"/>
    <x v="2"/>
    <x v="1"/>
    <x v="2"/>
    <x v="0"/>
    <x v="0"/>
    <s v="Mar"/>
    <s v="Q1"/>
    <x v="0"/>
    <n v="4"/>
    <n v="21.19"/>
  </r>
  <r>
    <s v="ORD01754"/>
    <d v="2024-06-13T00:00:00"/>
    <d v="2024-06-18T00:00:00"/>
    <s v="C0197"/>
    <x v="176"/>
    <s v="Small Business"/>
    <x v="1"/>
    <x v="16"/>
    <s v="P001"/>
    <x v="8"/>
    <x v="2"/>
    <n v="2"/>
    <n v="55000"/>
    <x v="4"/>
    <n v="99000"/>
    <n v="12950.11"/>
    <x v="2"/>
    <x v="1"/>
    <x v="1"/>
    <x v="1"/>
    <x v="8"/>
    <s v="Jun"/>
    <s v="Q2"/>
    <x v="12"/>
    <n v="5"/>
    <n v="13.08"/>
  </r>
  <r>
    <s v="ORD00003"/>
    <d v="2024-11-01T00:00:00"/>
    <d v="2024-11-04T00:00:00"/>
    <s v="C0002"/>
    <x v="157"/>
    <s v="Consumer"/>
    <x v="1"/>
    <x v="16"/>
    <s v="P005"/>
    <x v="0"/>
    <x v="0"/>
    <n v="2"/>
    <n v="7000"/>
    <x v="1"/>
    <n v="11900"/>
    <n v="2618"/>
    <x v="0"/>
    <x v="2"/>
    <x v="0"/>
    <x v="1"/>
    <x v="2"/>
    <s v="Nov"/>
    <s v="Q4"/>
    <x v="3"/>
    <n v="3"/>
    <n v="22"/>
  </r>
  <r>
    <s v="ORD00999"/>
    <d v="2025-09-25T00:00:00"/>
    <d v="2025-09-27T00:00:00"/>
    <s v="C0109"/>
    <x v="136"/>
    <s v="Corporate"/>
    <x v="1"/>
    <x v="1"/>
    <s v="P007"/>
    <x v="10"/>
    <x v="0"/>
    <n v="1"/>
    <n v="6000"/>
    <x v="3"/>
    <n v="5700"/>
    <n v="1058.1199999999999"/>
    <x v="5"/>
    <x v="1"/>
    <x v="0"/>
    <x v="0"/>
    <x v="9"/>
    <s v="Sep"/>
    <s v="Q3"/>
    <x v="11"/>
    <n v="2"/>
    <n v="18.559999999999999"/>
  </r>
  <r>
    <s v="ORD01751"/>
    <d v="2025-01-12T00:00:00"/>
    <d v="2025-01-20T00:00:00"/>
    <s v="C0074"/>
    <x v="141"/>
    <s v="Consumer"/>
    <x v="2"/>
    <x v="14"/>
    <s v="P001"/>
    <x v="8"/>
    <x v="2"/>
    <n v="1"/>
    <n v="55000"/>
    <x v="0"/>
    <n v="55000"/>
    <n v="7999.68"/>
    <x v="0"/>
    <x v="1"/>
    <x v="1"/>
    <x v="0"/>
    <x v="11"/>
    <s v="Jan"/>
    <s v="Q1"/>
    <x v="17"/>
    <n v="8"/>
    <n v="14.54"/>
  </r>
  <r>
    <s v="ORD01444"/>
    <d v="2024-05-01T00:00:00"/>
    <d v="2024-05-09T00:00:00"/>
    <s v="C0084"/>
    <x v="95"/>
    <s v="Corporate"/>
    <x v="3"/>
    <x v="8"/>
    <s v="P007"/>
    <x v="10"/>
    <x v="0"/>
    <n v="2"/>
    <n v="6000"/>
    <x v="4"/>
    <n v="10800"/>
    <n v="2239.16"/>
    <x v="5"/>
    <x v="1"/>
    <x v="2"/>
    <x v="1"/>
    <x v="4"/>
    <s v="May"/>
    <s v="Q2"/>
    <x v="8"/>
    <n v="8"/>
    <n v="20.73"/>
  </r>
  <r>
    <s v="ORD01157"/>
    <d v="2024-01-26T00:00:00"/>
    <d v="2024-02-02T00:00:00"/>
    <s v="C0145"/>
    <x v="16"/>
    <s v="Corporate"/>
    <x v="3"/>
    <x v="8"/>
    <s v="P003"/>
    <x v="5"/>
    <x v="2"/>
    <n v="1"/>
    <n v="3000"/>
    <x v="2"/>
    <n v="2400"/>
    <n v="607.76"/>
    <x v="5"/>
    <x v="1"/>
    <x v="0"/>
    <x v="1"/>
    <x v="11"/>
    <s v="Jan"/>
    <s v="Q1"/>
    <x v="21"/>
    <n v="7"/>
    <n v="25.32"/>
  </r>
  <r>
    <s v="ORD00281"/>
    <d v="2024-10-02T00:00:00"/>
    <d v="2024-10-04T00:00:00"/>
    <s v="C0135"/>
    <x v="103"/>
    <s v="Consumer"/>
    <x v="1"/>
    <x v="5"/>
    <s v="P004"/>
    <x v="7"/>
    <x v="2"/>
    <n v="1"/>
    <n v="8000"/>
    <x v="1"/>
    <n v="6800"/>
    <n v="1643.88"/>
    <x v="5"/>
    <x v="1"/>
    <x v="1"/>
    <x v="1"/>
    <x v="1"/>
    <s v="Oct"/>
    <s v="Q4"/>
    <x v="1"/>
    <n v="2"/>
    <n v="24.17"/>
  </r>
  <r>
    <s v="ORD00736"/>
    <d v="2025-12-20T00:00:00"/>
    <d v="2025-12-24T00:00:00"/>
    <s v="C0079"/>
    <x v="267"/>
    <s v="Consumer"/>
    <x v="0"/>
    <x v="0"/>
    <s v="P012"/>
    <x v="4"/>
    <x v="3"/>
    <n v="2"/>
    <n v="3500"/>
    <x v="0"/>
    <n v="7000"/>
    <n v="2338.38"/>
    <x v="4"/>
    <x v="1"/>
    <x v="1"/>
    <x v="0"/>
    <x v="10"/>
    <s v="Dec"/>
    <s v="Q4"/>
    <x v="19"/>
    <n v="4"/>
    <n v="33.409999999999997"/>
  </r>
  <r>
    <s v="ORD00056"/>
    <d v="2025-04-25T00:00:00"/>
    <d v="2025-04-26T00:00:00"/>
    <s v="C0226"/>
    <x v="25"/>
    <s v="Small Business"/>
    <x v="3"/>
    <x v="6"/>
    <s v="P002"/>
    <x v="3"/>
    <x v="2"/>
    <n v="2"/>
    <n v="25000"/>
    <x v="0"/>
    <n v="50000"/>
    <n v="7638.99"/>
    <x v="3"/>
    <x v="2"/>
    <x v="3"/>
    <x v="0"/>
    <x v="5"/>
    <s v="Apr"/>
    <s v="Q2"/>
    <x v="13"/>
    <n v="1"/>
    <n v="15.28"/>
  </r>
  <r>
    <s v="ORD01855"/>
    <d v="2024-05-03T00:00:00"/>
    <d v="2024-05-07T00:00:00"/>
    <s v="C0016"/>
    <x v="83"/>
    <s v="Corporate"/>
    <x v="0"/>
    <x v="11"/>
    <s v="P004"/>
    <x v="7"/>
    <x v="2"/>
    <n v="2"/>
    <n v="8000"/>
    <x v="0"/>
    <n v="16000"/>
    <n v="3118.34"/>
    <x v="1"/>
    <x v="1"/>
    <x v="2"/>
    <x v="1"/>
    <x v="4"/>
    <s v="May"/>
    <s v="Q2"/>
    <x v="8"/>
    <n v="4"/>
    <n v="19.489999999999998"/>
  </r>
  <r>
    <s v="ORD00992"/>
    <d v="2025-03-07T00:00:00"/>
    <d v="2025-03-10T00:00:00"/>
    <s v="C0074"/>
    <x v="141"/>
    <s v="Consumer"/>
    <x v="2"/>
    <x v="14"/>
    <s v="P009"/>
    <x v="2"/>
    <x v="1"/>
    <n v="1"/>
    <n v="180"/>
    <x v="2"/>
    <n v="144"/>
    <n v="51.18"/>
    <x v="2"/>
    <x v="2"/>
    <x v="2"/>
    <x v="0"/>
    <x v="0"/>
    <s v="Mar"/>
    <s v="Q1"/>
    <x v="0"/>
    <n v="3"/>
    <n v="35.54"/>
  </r>
  <r>
    <s v="ORD00892"/>
    <d v="2025-02-27T00:00:00"/>
    <d v="2025-03-05T00:00:00"/>
    <s v="C0244"/>
    <x v="14"/>
    <s v="Consumer"/>
    <x v="2"/>
    <x v="9"/>
    <s v="P009"/>
    <x v="2"/>
    <x v="1"/>
    <n v="3"/>
    <n v="180"/>
    <x v="0"/>
    <n v="540"/>
    <n v="265.95999999999998"/>
    <x v="2"/>
    <x v="2"/>
    <x v="4"/>
    <x v="0"/>
    <x v="6"/>
    <s v="Feb"/>
    <s v="Q1"/>
    <x v="7"/>
    <n v="6"/>
    <n v="49.25"/>
  </r>
  <r>
    <s v="ORD01523"/>
    <d v="2025-09-21T00:00:00"/>
    <d v="2025-09-22T00:00:00"/>
    <s v="C0245"/>
    <x v="118"/>
    <s v="Corporate"/>
    <x v="0"/>
    <x v="11"/>
    <s v="P011"/>
    <x v="9"/>
    <x v="4"/>
    <n v="2"/>
    <n v="600"/>
    <x v="1"/>
    <n v="1020"/>
    <n v="347.5"/>
    <x v="0"/>
    <x v="1"/>
    <x v="4"/>
    <x v="0"/>
    <x v="9"/>
    <s v="Sep"/>
    <s v="Q3"/>
    <x v="11"/>
    <n v="1"/>
    <n v="34.07"/>
  </r>
  <r>
    <s v="ORD00447"/>
    <d v="2025-11-28T00:00:00"/>
    <d v="2025-11-29T00:00:00"/>
    <s v="C0243"/>
    <x v="24"/>
    <s v="Corporate"/>
    <x v="0"/>
    <x v="11"/>
    <s v="P007"/>
    <x v="10"/>
    <x v="0"/>
    <n v="5"/>
    <n v="6000"/>
    <x v="0"/>
    <n v="30000"/>
    <n v="6851.99"/>
    <x v="5"/>
    <x v="2"/>
    <x v="1"/>
    <x v="0"/>
    <x v="2"/>
    <s v="Nov"/>
    <s v="Q4"/>
    <x v="23"/>
    <n v="1"/>
    <n v="22.84"/>
  </r>
  <r>
    <s v="ORD00907"/>
    <d v="2024-06-12T00:00:00"/>
    <d v="2024-06-19T00:00:00"/>
    <s v="C0154"/>
    <x v="23"/>
    <s v="Small Business"/>
    <x v="0"/>
    <x v="2"/>
    <s v="P011"/>
    <x v="9"/>
    <x v="4"/>
    <n v="10"/>
    <n v="600"/>
    <x v="4"/>
    <n v="5400"/>
    <n v="2052"/>
    <x v="5"/>
    <x v="1"/>
    <x v="4"/>
    <x v="1"/>
    <x v="8"/>
    <s v="Jun"/>
    <s v="Q2"/>
    <x v="12"/>
    <n v="7"/>
    <n v="38"/>
  </r>
  <r>
    <s v="ORD00660"/>
    <d v="2024-06-21T00:00:00"/>
    <d v="2024-06-28T00:00:00"/>
    <s v="C0053"/>
    <x v="234"/>
    <s v="Small Business"/>
    <x v="3"/>
    <x v="7"/>
    <s v="P012"/>
    <x v="4"/>
    <x v="3"/>
    <n v="1"/>
    <n v="3500"/>
    <x v="0"/>
    <n v="3500"/>
    <n v="935.71"/>
    <x v="2"/>
    <x v="0"/>
    <x v="0"/>
    <x v="1"/>
    <x v="8"/>
    <s v="Jun"/>
    <s v="Q2"/>
    <x v="12"/>
    <n v="7"/>
    <n v="26.73"/>
  </r>
  <r>
    <s v="ORD00155"/>
    <d v="2024-07-11T00:00:00"/>
    <d v="2024-07-15T00:00:00"/>
    <s v="C0021"/>
    <x v="75"/>
    <s v="Small Business"/>
    <x v="1"/>
    <x v="1"/>
    <s v="P002"/>
    <x v="3"/>
    <x v="2"/>
    <n v="4"/>
    <n v="25000"/>
    <x v="4"/>
    <n v="90000"/>
    <n v="13361.25"/>
    <x v="0"/>
    <x v="0"/>
    <x v="4"/>
    <x v="1"/>
    <x v="3"/>
    <s v="Jul"/>
    <s v="Q3"/>
    <x v="4"/>
    <n v="4"/>
    <n v="14.85"/>
  </r>
  <r>
    <s v="ORD01738"/>
    <d v="2025-07-27T00:00:00"/>
    <d v="2025-07-28T00:00:00"/>
    <s v="C0207"/>
    <x v="152"/>
    <s v="Small Business"/>
    <x v="2"/>
    <x v="3"/>
    <s v="P010"/>
    <x v="6"/>
    <x v="4"/>
    <n v="10"/>
    <n v="1800"/>
    <x v="0"/>
    <n v="18000"/>
    <n v="5437.7"/>
    <x v="1"/>
    <x v="1"/>
    <x v="2"/>
    <x v="0"/>
    <x v="3"/>
    <s v="Jul"/>
    <s v="Q3"/>
    <x v="15"/>
    <n v="1"/>
    <n v="30.21"/>
  </r>
  <r>
    <s v="ORD01942"/>
    <d v="2025-04-25T00:00:00"/>
    <d v="2025-04-29T00:00:00"/>
    <s v="C0138"/>
    <x v="38"/>
    <s v="Small Business"/>
    <x v="0"/>
    <x v="15"/>
    <s v="P010"/>
    <x v="6"/>
    <x v="4"/>
    <n v="1"/>
    <n v="1800"/>
    <x v="4"/>
    <n v="1620"/>
    <n v="400.31"/>
    <x v="0"/>
    <x v="1"/>
    <x v="1"/>
    <x v="0"/>
    <x v="5"/>
    <s v="Apr"/>
    <s v="Q2"/>
    <x v="13"/>
    <n v="4"/>
    <n v="24.71"/>
  </r>
  <r>
    <s v="ORD01370"/>
    <d v="2024-04-17T00:00:00"/>
    <d v="2024-04-22T00:00:00"/>
    <s v="C0030"/>
    <x v="104"/>
    <s v="Consumer"/>
    <x v="2"/>
    <x v="4"/>
    <s v="P011"/>
    <x v="9"/>
    <x v="4"/>
    <n v="4"/>
    <n v="600"/>
    <x v="0"/>
    <n v="2400"/>
    <n v="945.68"/>
    <x v="3"/>
    <x v="2"/>
    <x v="1"/>
    <x v="1"/>
    <x v="5"/>
    <s v="Apr"/>
    <s v="Q2"/>
    <x v="6"/>
    <n v="5"/>
    <n v="39.4"/>
  </r>
  <r>
    <s v="ORD01127"/>
    <d v="2024-10-21T00:00:00"/>
    <d v="2024-10-26T00:00:00"/>
    <s v="C0035"/>
    <x v="33"/>
    <s v="Consumer"/>
    <x v="3"/>
    <x v="8"/>
    <s v="P003"/>
    <x v="5"/>
    <x v="2"/>
    <n v="2"/>
    <n v="3000"/>
    <x v="2"/>
    <n v="4800"/>
    <n v="1306.23"/>
    <x v="0"/>
    <x v="2"/>
    <x v="3"/>
    <x v="1"/>
    <x v="1"/>
    <s v="Oct"/>
    <s v="Q4"/>
    <x v="1"/>
    <n v="5"/>
    <n v="27.21"/>
  </r>
  <r>
    <s v="ORD01216"/>
    <d v="2024-08-09T00:00:00"/>
    <d v="2024-08-12T00:00:00"/>
    <s v="C0053"/>
    <x v="234"/>
    <s v="Small Business"/>
    <x v="3"/>
    <x v="7"/>
    <s v="P012"/>
    <x v="4"/>
    <x v="3"/>
    <n v="1"/>
    <n v="3500"/>
    <x v="0"/>
    <n v="3500"/>
    <n v="1036.52"/>
    <x v="1"/>
    <x v="2"/>
    <x v="0"/>
    <x v="1"/>
    <x v="7"/>
    <s v="Aug"/>
    <s v="Q3"/>
    <x v="9"/>
    <n v="3"/>
    <n v="29.61"/>
  </r>
  <r>
    <s v="ORD00201"/>
    <d v="2025-03-04T00:00:00"/>
    <d v="2025-03-07T00:00:00"/>
    <s v="C0262"/>
    <x v="175"/>
    <s v="Corporate"/>
    <x v="0"/>
    <x v="15"/>
    <s v="P007"/>
    <x v="10"/>
    <x v="0"/>
    <n v="2"/>
    <n v="6000"/>
    <x v="4"/>
    <n v="10800"/>
    <n v="2212.23"/>
    <x v="0"/>
    <x v="2"/>
    <x v="1"/>
    <x v="0"/>
    <x v="0"/>
    <s v="Mar"/>
    <s v="Q1"/>
    <x v="0"/>
    <n v="3"/>
    <n v="20.48"/>
  </r>
  <r>
    <s v="ORD00321"/>
    <d v="2024-04-26T00:00:00"/>
    <d v="2024-04-30T00:00:00"/>
    <s v="C0061"/>
    <x v="85"/>
    <s v="Small Business"/>
    <x v="0"/>
    <x v="11"/>
    <s v="P005"/>
    <x v="0"/>
    <x v="0"/>
    <n v="3"/>
    <n v="7000"/>
    <x v="3"/>
    <n v="19950"/>
    <n v="3421.04"/>
    <x v="3"/>
    <x v="2"/>
    <x v="2"/>
    <x v="1"/>
    <x v="5"/>
    <s v="Apr"/>
    <s v="Q2"/>
    <x v="6"/>
    <n v="4"/>
    <n v="17.149999999999999"/>
  </r>
  <r>
    <s v="ORD00319"/>
    <d v="2025-01-24T00:00:00"/>
    <d v="2025-01-27T00:00:00"/>
    <s v="C0214"/>
    <x v="65"/>
    <s v="Small Business"/>
    <x v="1"/>
    <x v="1"/>
    <s v="P008"/>
    <x v="11"/>
    <x v="1"/>
    <n v="1"/>
    <n v="250"/>
    <x v="0"/>
    <n v="250"/>
    <n v="88.98"/>
    <x v="4"/>
    <x v="2"/>
    <x v="3"/>
    <x v="0"/>
    <x v="11"/>
    <s v="Jan"/>
    <s v="Q1"/>
    <x v="17"/>
    <n v="3"/>
    <n v="35.590000000000003"/>
  </r>
  <r>
    <s v="ORD01422"/>
    <d v="2024-02-08T00:00:00"/>
    <d v="2024-02-10T00:00:00"/>
    <s v="C0058"/>
    <x v="144"/>
    <s v="Small Business"/>
    <x v="1"/>
    <x v="1"/>
    <s v="P004"/>
    <x v="7"/>
    <x v="2"/>
    <n v="4"/>
    <n v="8000"/>
    <x v="0"/>
    <n v="32000"/>
    <n v="5867.55"/>
    <x v="4"/>
    <x v="1"/>
    <x v="1"/>
    <x v="1"/>
    <x v="6"/>
    <s v="Feb"/>
    <s v="Q1"/>
    <x v="18"/>
    <n v="2"/>
    <n v="18.34"/>
  </r>
  <r>
    <s v="ORD01683"/>
    <d v="2024-01-21T00:00:00"/>
    <d v="2024-01-29T00:00:00"/>
    <s v="C0110"/>
    <x v="204"/>
    <s v="Small Business"/>
    <x v="0"/>
    <x v="0"/>
    <s v="P012"/>
    <x v="4"/>
    <x v="3"/>
    <n v="1"/>
    <n v="3500"/>
    <x v="0"/>
    <n v="3500"/>
    <n v="952.24"/>
    <x v="2"/>
    <x v="2"/>
    <x v="3"/>
    <x v="1"/>
    <x v="11"/>
    <s v="Jan"/>
    <s v="Q1"/>
    <x v="21"/>
    <n v="8"/>
    <n v="27.21"/>
  </r>
  <r>
    <s v="ORD01002"/>
    <d v="2024-08-04T00:00:00"/>
    <d v="2024-08-08T00:00:00"/>
    <s v="C0055"/>
    <x v="28"/>
    <s v="Corporate"/>
    <x v="3"/>
    <x v="12"/>
    <s v="P002"/>
    <x v="3"/>
    <x v="2"/>
    <n v="2"/>
    <n v="25000"/>
    <x v="2"/>
    <n v="40000"/>
    <n v="6000"/>
    <x v="1"/>
    <x v="0"/>
    <x v="3"/>
    <x v="1"/>
    <x v="7"/>
    <s v="Aug"/>
    <s v="Q3"/>
    <x v="9"/>
    <n v="4"/>
    <n v="15"/>
  </r>
  <r>
    <s v="ORD00110"/>
    <d v="2024-09-27T00:00:00"/>
    <d v="2024-09-28T00:00:00"/>
    <s v="C0221"/>
    <x v="128"/>
    <s v="Consumer"/>
    <x v="3"/>
    <x v="8"/>
    <s v="P003"/>
    <x v="5"/>
    <x v="2"/>
    <n v="3"/>
    <n v="3000"/>
    <x v="2"/>
    <n v="7200"/>
    <n v="1860.41"/>
    <x v="0"/>
    <x v="0"/>
    <x v="1"/>
    <x v="1"/>
    <x v="9"/>
    <s v="Sep"/>
    <s v="Q3"/>
    <x v="20"/>
    <n v="1"/>
    <n v="25.84"/>
  </r>
  <r>
    <s v="ORD00171"/>
    <d v="2024-02-17T00:00:00"/>
    <d v="2024-02-18T00:00:00"/>
    <s v="C0244"/>
    <x v="14"/>
    <s v="Consumer"/>
    <x v="2"/>
    <x v="9"/>
    <s v="P005"/>
    <x v="0"/>
    <x v="0"/>
    <n v="5"/>
    <n v="7000"/>
    <x v="1"/>
    <n v="29750"/>
    <n v="7004.68"/>
    <x v="4"/>
    <x v="1"/>
    <x v="3"/>
    <x v="1"/>
    <x v="6"/>
    <s v="Feb"/>
    <s v="Q1"/>
    <x v="18"/>
    <n v="1"/>
    <n v="23.55"/>
  </r>
  <r>
    <s v="ORD01259"/>
    <d v="2025-01-08T00:00:00"/>
    <d v="2025-01-15T00:00:00"/>
    <s v="C0172"/>
    <x v="226"/>
    <s v="Small Business"/>
    <x v="3"/>
    <x v="7"/>
    <s v="P009"/>
    <x v="2"/>
    <x v="1"/>
    <n v="1"/>
    <n v="180"/>
    <x v="0"/>
    <n v="180"/>
    <n v="88.48"/>
    <x v="5"/>
    <x v="0"/>
    <x v="2"/>
    <x v="0"/>
    <x v="11"/>
    <s v="Jan"/>
    <s v="Q1"/>
    <x v="17"/>
    <n v="7"/>
    <n v="49.16"/>
  </r>
  <r>
    <s v="ORD01818"/>
    <d v="2024-01-21T00:00:00"/>
    <d v="2024-01-29T00:00:00"/>
    <s v="C0149"/>
    <x v="114"/>
    <s v="Corporate"/>
    <x v="0"/>
    <x v="2"/>
    <s v="P004"/>
    <x v="7"/>
    <x v="2"/>
    <n v="2"/>
    <n v="8000"/>
    <x v="0"/>
    <n v="16000"/>
    <n v="4184.6899999999996"/>
    <x v="1"/>
    <x v="2"/>
    <x v="3"/>
    <x v="1"/>
    <x v="11"/>
    <s v="Jan"/>
    <s v="Q1"/>
    <x v="21"/>
    <n v="8"/>
    <n v="26.15"/>
  </r>
  <r>
    <s v="ORD00876"/>
    <d v="2024-06-15T00:00:00"/>
    <d v="2024-06-21T00:00:00"/>
    <s v="C0198"/>
    <x v="61"/>
    <s v="Consumer"/>
    <x v="0"/>
    <x v="0"/>
    <s v="P010"/>
    <x v="6"/>
    <x v="4"/>
    <n v="1"/>
    <n v="1800"/>
    <x v="3"/>
    <n v="1710"/>
    <n v="648.08000000000004"/>
    <x v="1"/>
    <x v="2"/>
    <x v="0"/>
    <x v="1"/>
    <x v="8"/>
    <s v="Jun"/>
    <s v="Q2"/>
    <x v="12"/>
    <n v="6"/>
    <n v="37.9"/>
  </r>
  <r>
    <s v="ORD01535"/>
    <d v="2025-12-19T00:00:00"/>
    <d v="2025-12-25T00:00:00"/>
    <s v="C0224"/>
    <x v="292"/>
    <s v="Small Business"/>
    <x v="1"/>
    <x v="5"/>
    <s v="P009"/>
    <x v="2"/>
    <x v="1"/>
    <n v="1"/>
    <n v="180"/>
    <x v="0"/>
    <n v="180"/>
    <n v="85.14"/>
    <x v="0"/>
    <x v="1"/>
    <x v="1"/>
    <x v="0"/>
    <x v="10"/>
    <s v="Dec"/>
    <s v="Q4"/>
    <x v="19"/>
    <n v="6"/>
    <n v="47.3"/>
  </r>
  <r>
    <s v="ORD01997"/>
    <d v="2025-04-06T00:00:00"/>
    <d v="2025-04-08T00:00:00"/>
    <s v="C0285"/>
    <x v="171"/>
    <s v="Corporate"/>
    <x v="3"/>
    <x v="6"/>
    <s v="P009"/>
    <x v="2"/>
    <x v="1"/>
    <n v="1"/>
    <n v="180"/>
    <x v="4"/>
    <n v="162"/>
    <n v="76.13"/>
    <x v="4"/>
    <x v="2"/>
    <x v="1"/>
    <x v="0"/>
    <x v="5"/>
    <s v="Apr"/>
    <s v="Q2"/>
    <x v="13"/>
    <n v="2"/>
    <n v="46.99"/>
  </r>
  <r>
    <s v="ORD00438"/>
    <d v="2025-12-05T00:00:00"/>
    <d v="2025-12-12T00:00:00"/>
    <s v="C0274"/>
    <x v="9"/>
    <s v="Consumer"/>
    <x v="3"/>
    <x v="6"/>
    <s v="P001"/>
    <x v="8"/>
    <x v="2"/>
    <n v="5"/>
    <n v="55000"/>
    <x v="3"/>
    <n v="261250"/>
    <n v="38553.17"/>
    <x v="3"/>
    <x v="2"/>
    <x v="2"/>
    <x v="0"/>
    <x v="10"/>
    <s v="Dec"/>
    <s v="Q4"/>
    <x v="19"/>
    <n v="7"/>
    <n v="14.76"/>
  </r>
  <r>
    <s v="ORD00926"/>
    <d v="2025-01-16T00:00:00"/>
    <d v="2025-01-19T00:00:00"/>
    <s v="C0099"/>
    <x v="36"/>
    <s v="Small Business"/>
    <x v="0"/>
    <x v="0"/>
    <s v="P012"/>
    <x v="4"/>
    <x v="3"/>
    <n v="2"/>
    <n v="3500"/>
    <x v="1"/>
    <n v="5950"/>
    <n v="1957.7"/>
    <x v="0"/>
    <x v="0"/>
    <x v="4"/>
    <x v="0"/>
    <x v="11"/>
    <s v="Jan"/>
    <s v="Q1"/>
    <x v="17"/>
    <n v="3"/>
    <n v="32.9"/>
  </r>
  <r>
    <s v="ORD00132"/>
    <d v="2025-08-04T00:00:00"/>
    <d v="2025-08-11T00:00:00"/>
    <s v="C0173"/>
    <x v="184"/>
    <s v="Corporate"/>
    <x v="1"/>
    <x v="16"/>
    <s v="P005"/>
    <x v="0"/>
    <x v="0"/>
    <n v="3"/>
    <n v="7000"/>
    <x v="0"/>
    <n v="21000"/>
    <n v="3558.31"/>
    <x v="0"/>
    <x v="2"/>
    <x v="4"/>
    <x v="0"/>
    <x v="7"/>
    <s v="Aug"/>
    <s v="Q3"/>
    <x v="22"/>
    <n v="7"/>
    <n v="16.940000000000001"/>
  </r>
  <r>
    <s v="ORD00696"/>
    <d v="2024-12-26T00:00:00"/>
    <d v="2025-01-03T00:00:00"/>
    <s v="C0260"/>
    <x v="190"/>
    <s v="Consumer"/>
    <x v="0"/>
    <x v="10"/>
    <s v="P002"/>
    <x v="3"/>
    <x v="2"/>
    <n v="3"/>
    <n v="25000"/>
    <x v="4"/>
    <n v="67500"/>
    <n v="10075.530000000001"/>
    <x v="5"/>
    <x v="0"/>
    <x v="3"/>
    <x v="1"/>
    <x v="10"/>
    <s v="Dec"/>
    <s v="Q4"/>
    <x v="16"/>
    <n v="8"/>
    <n v="14.93"/>
  </r>
  <r>
    <s v="ORD00799"/>
    <d v="2024-10-11T00:00:00"/>
    <d v="2024-10-15T00:00:00"/>
    <s v="C0115"/>
    <x v="237"/>
    <s v="Consumer"/>
    <x v="0"/>
    <x v="0"/>
    <s v="P001"/>
    <x v="8"/>
    <x v="2"/>
    <n v="2"/>
    <n v="55000"/>
    <x v="0"/>
    <n v="110000"/>
    <n v="19800"/>
    <x v="3"/>
    <x v="0"/>
    <x v="1"/>
    <x v="1"/>
    <x v="1"/>
    <s v="Oct"/>
    <s v="Q4"/>
    <x v="1"/>
    <n v="4"/>
    <n v="18"/>
  </r>
  <r>
    <s v="ORD00260"/>
    <d v="2024-06-12T00:00:00"/>
    <d v="2024-06-13T00:00:00"/>
    <s v="C0300"/>
    <x v="235"/>
    <s v="Small Business"/>
    <x v="2"/>
    <x v="9"/>
    <s v="P004"/>
    <x v="7"/>
    <x v="2"/>
    <n v="1"/>
    <n v="8000"/>
    <x v="1"/>
    <n v="6800"/>
    <n v="1353.98"/>
    <x v="4"/>
    <x v="2"/>
    <x v="0"/>
    <x v="1"/>
    <x v="8"/>
    <s v="Jun"/>
    <s v="Q2"/>
    <x v="12"/>
    <n v="1"/>
    <n v="19.91"/>
  </r>
  <r>
    <s v="ORD01781"/>
    <d v="2025-11-20T00:00:00"/>
    <d v="2025-11-26T00:00:00"/>
    <s v="C0020"/>
    <x v="47"/>
    <s v="Corporate"/>
    <x v="2"/>
    <x v="3"/>
    <s v="P001"/>
    <x v="8"/>
    <x v="2"/>
    <n v="1"/>
    <n v="55000"/>
    <x v="4"/>
    <n v="49500"/>
    <n v="6863.93"/>
    <x v="3"/>
    <x v="1"/>
    <x v="4"/>
    <x v="0"/>
    <x v="2"/>
    <s v="Nov"/>
    <s v="Q4"/>
    <x v="23"/>
    <n v="6"/>
    <n v="13.87"/>
  </r>
  <r>
    <s v="ORD01879"/>
    <d v="2025-08-17T00:00:00"/>
    <d v="2025-08-24T00:00:00"/>
    <s v="C0055"/>
    <x v="28"/>
    <s v="Corporate"/>
    <x v="3"/>
    <x v="12"/>
    <s v="P008"/>
    <x v="11"/>
    <x v="1"/>
    <n v="3"/>
    <n v="250"/>
    <x v="2"/>
    <n v="600"/>
    <n v="231.23"/>
    <x v="4"/>
    <x v="1"/>
    <x v="3"/>
    <x v="0"/>
    <x v="7"/>
    <s v="Aug"/>
    <s v="Q3"/>
    <x v="22"/>
    <n v="7"/>
    <n v="38.54"/>
  </r>
  <r>
    <s v="ORD00235"/>
    <d v="2025-08-13T00:00:00"/>
    <d v="2025-08-19T00:00:00"/>
    <s v="C0135"/>
    <x v="103"/>
    <s v="Consumer"/>
    <x v="1"/>
    <x v="5"/>
    <s v="P012"/>
    <x v="4"/>
    <x v="3"/>
    <n v="2"/>
    <n v="3500"/>
    <x v="3"/>
    <n v="6650"/>
    <n v="1877.06"/>
    <x v="2"/>
    <x v="1"/>
    <x v="1"/>
    <x v="0"/>
    <x v="7"/>
    <s v="Aug"/>
    <s v="Q3"/>
    <x v="22"/>
    <n v="6"/>
    <n v="28.23"/>
  </r>
  <r>
    <s v="ORD01489"/>
    <d v="2024-03-10T00:00:00"/>
    <d v="2024-03-14T00:00:00"/>
    <s v="C0255"/>
    <x v="142"/>
    <s v="Small Business"/>
    <x v="3"/>
    <x v="8"/>
    <s v="P002"/>
    <x v="3"/>
    <x v="2"/>
    <n v="1"/>
    <n v="25000"/>
    <x v="0"/>
    <n v="25000"/>
    <n v="3409.17"/>
    <x v="2"/>
    <x v="1"/>
    <x v="4"/>
    <x v="1"/>
    <x v="0"/>
    <s v="Mar"/>
    <s v="Q1"/>
    <x v="2"/>
    <n v="4"/>
    <n v="13.64"/>
  </r>
  <r>
    <s v="ORD00302"/>
    <d v="2024-10-10T00:00:00"/>
    <d v="2024-10-15T00:00:00"/>
    <s v="C0033"/>
    <x v="255"/>
    <s v="Small Business"/>
    <x v="2"/>
    <x v="14"/>
    <s v="P006"/>
    <x v="1"/>
    <x v="0"/>
    <n v="4"/>
    <n v="9500"/>
    <x v="0"/>
    <n v="38000"/>
    <n v="7314.6"/>
    <x v="4"/>
    <x v="0"/>
    <x v="1"/>
    <x v="1"/>
    <x v="1"/>
    <s v="Oct"/>
    <s v="Q4"/>
    <x v="1"/>
    <n v="5"/>
    <n v="19.25"/>
  </r>
  <r>
    <s v="ORD01726"/>
    <d v="2025-06-16T00:00:00"/>
    <d v="2025-06-18T00:00:00"/>
    <s v="C0099"/>
    <x v="36"/>
    <s v="Small Business"/>
    <x v="0"/>
    <x v="0"/>
    <s v="P001"/>
    <x v="8"/>
    <x v="2"/>
    <n v="4"/>
    <n v="55000"/>
    <x v="0"/>
    <n v="220000"/>
    <n v="39600"/>
    <x v="2"/>
    <x v="1"/>
    <x v="2"/>
    <x v="0"/>
    <x v="8"/>
    <s v="Jun"/>
    <s v="Q2"/>
    <x v="10"/>
    <n v="2"/>
    <n v="18"/>
  </r>
  <r>
    <s v="ORD01775"/>
    <d v="2024-07-02T00:00:00"/>
    <d v="2024-07-09T00:00:00"/>
    <s v="C0047"/>
    <x v="215"/>
    <s v="Corporate"/>
    <x v="2"/>
    <x v="14"/>
    <s v="P006"/>
    <x v="1"/>
    <x v="0"/>
    <n v="1"/>
    <n v="9500"/>
    <x v="4"/>
    <n v="8550"/>
    <n v="1471.73"/>
    <x v="0"/>
    <x v="0"/>
    <x v="1"/>
    <x v="1"/>
    <x v="3"/>
    <s v="Jul"/>
    <s v="Q3"/>
    <x v="4"/>
    <n v="7"/>
    <n v="17.21"/>
  </r>
  <r>
    <s v="ORD00657"/>
    <d v="2025-04-12T00:00:00"/>
    <d v="2025-04-20T00:00:00"/>
    <s v="C0198"/>
    <x v="61"/>
    <s v="Consumer"/>
    <x v="0"/>
    <x v="0"/>
    <s v="P005"/>
    <x v="0"/>
    <x v="0"/>
    <n v="2"/>
    <n v="7000"/>
    <x v="0"/>
    <n v="14000"/>
    <n v="3002.44"/>
    <x v="4"/>
    <x v="2"/>
    <x v="0"/>
    <x v="0"/>
    <x v="5"/>
    <s v="Apr"/>
    <s v="Q2"/>
    <x v="13"/>
    <n v="8"/>
    <n v="21.45"/>
  </r>
  <r>
    <s v="ORD01371"/>
    <d v="2025-11-13T00:00:00"/>
    <d v="2025-11-21T00:00:00"/>
    <s v="C0169"/>
    <x v="196"/>
    <s v="Corporate"/>
    <x v="3"/>
    <x v="6"/>
    <s v="P007"/>
    <x v="10"/>
    <x v="0"/>
    <n v="10"/>
    <n v="6000"/>
    <x v="0"/>
    <n v="60000"/>
    <n v="10154.450000000001"/>
    <x v="4"/>
    <x v="2"/>
    <x v="0"/>
    <x v="0"/>
    <x v="2"/>
    <s v="Nov"/>
    <s v="Q4"/>
    <x v="23"/>
    <n v="8"/>
    <n v="16.920000000000002"/>
  </r>
  <r>
    <s v="ORD01829"/>
    <d v="2024-02-28T00:00:00"/>
    <d v="2024-03-06T00:00:00"/>
    <s v="C0262"/>
    <x v="175"/>
    <s v="Corporate"/>
    <x v="0"/>
    <x v="15"/>
    <s v="P004"/>
    <x v="7"/>
    <x v="2"/>
    <n v="2"/>
    <n v="8000"/>
    <x v="0"/>
    <n v="16000"/>
    <n v="4258.6499999999996"/>
    <x v="0"/>
    <x v="0"/>
    <x v="2"/>
    <x v="1"/>
    <x v="6"/>
    <s v="Feb"/>
    <s v="Q1"/>
    <x v="18"/>
    <n v="7"/>
    <n v="26.62"/>
  </r>
  <r>
    <s v="ORD01778"/>
    <d v="2025-06-12T00:00:00"/>
    <d v="2025-06-13T00:00:00"/>
    <s v="C0067"/>
    <x v="135"/>
    <s v="Consumer"/>
    <x v="2"/>
    <x v="9"/>
    <s v="P006"/>
    <x v="1"/>
    <x v="0"/>
    <n v="2"/>
    <n v="9500"/>
    <x v="3"/>
    <n v="18050"/>
    <n v="3962.61"/>
    <x v="5"/>
    <x v="2"/>
    <x v="4"/>
    <x v="0"/>
    <x v="8"/>
    <s v="Jun"/>
    <s v="Q2"/>
    <x v="10"/>
    <n v="1"/>
    <n v="21.95"/>
  </r>
  <r>
    <s v="ORD01759"/>
    <d v="2025-11-14T00:00:00"/>
    <d v="2025-11-17T00:00:00"/>
    <s v="C0230"/>
    <x v="129"/>
    <s v="Corporate"/>
    <x v="3"/>
    <x v="12"/>
    <s v="P002"/>
    <x v="3"/>
    <x v="2"/>
    <n v="1"/>
    <n v="25000"/>
    <x v="4"/>
    <n v="22500"/>
    <n v="2428.9"/>
    <x v="1"/>
    <x v="1"/>
    <x v="3"/>
    <x v="0"/>
    <x v="2"/>
    <s v="Nov"/>
    <s v="Q4"/>
    <x v="23"/>
    <n v="3"/>
    <n v="10.8"/>
  </r>
  <r>
    <s v="ORD00991"/>
    <d v="2024-05-16T00:00:00"/>
    <d v="2024-05-22T00:00:00"/>
    <s v="C0286"/>
    <x v="39"/>
    <s v="Corporate"/>
    <x v="3"/>
    <x v="7"/>
    <s v="P008"/>
    <x v="11"/>
    <x v="1"/>
    <n v="5"/>
    <n v="250"/>
    <x v="0"/>
    <n v="1250"/>
    <n v="500"/>
    <x v="4"/>
    <x v="1"/>
    <x v="0"/>
    <x v="1"/>
    <x v="4"/>
    <s v="May"/>
    <s v="Q2"/>
    <x v="8"/>
    <n v="6"/>
    <n v="40"/>
  </r>
  <r>
    <s v="ORD01199"/>
    <d v="2024-10-07T00:00:00"/>
    <d v="2024-10-14T00:00:00"/>
    <s v="C0012"/>
    <x v="160"/>
    <s v="Corporate"/>
    <x v="0"/>
    <x v="0"/>
    <s v="P005"/>
    <x v="0"/>
    <x v="0"/>
    <n v="1"/>
    <n v="7000"/>
    <x v="1"/>
    <n v="5950"/>
    <n v="1218"/>
    <x v="3"/>
    <x v="1"/>
    <x v="3"/>
    <x v="1"/>
    <x v="1"/>
    <s v="Oct"/>
    <s v="Q4"/>
    <x v="1"/>
    <n v="7"/>
    <n v="20.47"/>
  </r>
  <r>
    <s v="ORD00322"/>
    <d v="2025-02-23T00:00:00"/>
    <d v="2025-02-27T00:00:00"/>
    <s v="C0184"/>
    <x v="115"/>
    <s v="Consumer"/>
    <x v="2"/>
    <x v="9"/>
    <s v="P012"/>
    <x v="4"/>
    <x v="3"/>
    <n v="1"/>
    <n v="3500"/>
    <x v="0"/>
    <n v="3500"/>
    <n v="1029.57"/>
    <x v="5"/>
    <x v="1"/>
    <x v="4"/>
    <x v="0"/>
    <x v="6"/>
    <s v="Feb"/>
    <s v="Q1"/>
    <x v="7"/>
    <n v="4"/>
    <n v="29.42"/>
  </r>
  <r>
    <s v="ORD01393"/>
    <d v="2024-10-09T00:00:00"/>
    <d v="2024-10-17T00:00:00"/>
    <s v="C0034"/>
    <x v="17"/>
    <s v="Small Business"/>
    <x v="1"/>
    <x v="1"/>
    <s v="P012"/>
    <x v="4"/>
    <x v="3"/>
    <n v="5"/>
    <n v="3500"/>
    <x v="1"/>
    <n v="14875"/>
    <n v="3384.51"/>
    <x v="0"/>
    <x v="2"/>
    <x v="2"/>
    <x v="1"/>
    <x v="1"/>
    <s v="Oct"/>
    <s v="Q4"/>
    <x v="1"/>
    <n v="8"/>
    <n v="22.75"/>
  </r>
  <r>
    <s v="ORD00174"/>
    <d v="2024-12-20T00:00:00"/>
    <d v="2024-12-27T00:00:00"/>
    <s v="C0257"/>
    <x v="64"/>
    <s v="Small Business"/>
    <x v="0"/>
    <x v="11"/>
    <s v="P012"/>
    <x v="4"/>
    <x v="3"/>
    <n v="2"/>
    <n v="3500"/>
    <x v="2"/>
    <n v="5600"/>
    <n v="1308.8900000000001"/>
    <x v="3"/>
    <x v="0"/>
    <x v="4"/>
    <x v="1"/>
    <x v="10"/>
    <s v="Dec"/>
    <s v="Q4"/>
    <x v="16"/>
    <n v="7"/>
    <n v="23.37"/>
  </r>
  <r>
    <s v="ORD00461"/>
    <d v="2024-02-29T00:00:00"/>
    <d v="2024-03-02T00:00:00"/>
    <s v="C0189"/>
    <x v="258"/>
    <s v="Small Business"/>
    <x v="0"/>
    <x v="0"/>
    <s v="P012"/>
    <x v="4"/>
    <x v="3"/>
    <n v="4"/>
    <n v="3500"/>
    <x v="0"/>
    <n v="14000"/>
    <n v="4084.01"/>
    <x v="3"/>
    <x v="0"/>
    <x v="2"/>
    <x v="1"/>
    <x v="6"/>
    <s v="Feb"/>
    <s v="Q1"/>
    <x v="18"/>
    <n v="2"/>
    <n v="29.17"/>
  </r>
  <r>
    <s v="ORD00763"/>
    <d v="2025-03-11T00:00:00"/>
    <d v="2025-03-18T00:00:00"/>
    <s v="C0076"/>
    <x v="224"/>
    <s v="Corporate"/>
    <x v="2"/>
    <x v="4"/>
    <s v="P012"/>
    <x v="4"/>
    <x v="3"/>
    <n v="4"/>
    <n v="3500"/>
    <x v="0"/>
    <n v="14000"/>
    <n v="3301.31"/>
    <x v="4"/>
    <x v="1"/>
    <x v="2"/>
    <x v="0"/>
    <x v="0"/>
    <s v="Mar"/>
    <s v="Q1"/>
    <x v="0"/>
    <n v="7"/>
    <n v="23.58"/>
  </r>
  <r>
    <s v="ORD01260"/>
    <d v="2025-12-25T00:00:00"/>
    <d v="2026-01-02T00:00:00"/>
    <s v="C0004"/>
    <x v="119"/>
    <s v="Corporate"/>
    <x v="0"/>
    <x v="11"/>
    <s v="P006"/>
    <x v="1"/>
    <x v="0"/>
    <n v="1"/>
    <n v="9500"/>
    <x v="2"/>
    <n v="7600"/>
    <n v="1437.63"/>
    <x v="0"/>
    <x v="0"/>
    <x v="0"/>
    <x v="0"/>
    <x v="10"/>
    <s v="Dec"/>
    <s v="Q4"/>
    <x v="19"/>
    <n v="8"/>
    <n v="18.920000000000002"/>
  </r>
  <r>
    <s v="ORD01512"/>
    <d v="2025-10-16T00:00:00"/>
    <d v="2025-10-22T00:00:00"/>
    <s v="C0075"/>
    <x v="293"/>
    <s v="Corporate"/>
    <x v="3"/>
    <x v="12"/>
    <s v="P006"/>
    <x v="1"/>
    <x v="0"/>
    <n v="1"/>
    <n v="9500"/>
    <x v="3"/>
    <n v="9025"/>
    <n v="1532.16"/>
    <x v="3"/>
    <x v="0"/>
    <x v="0"/>
    <x v="0"/>
    <x v="1"/>
    <s v="Oct"/>
    <s v="Q4"/>
    <x v="14"/>
    <n v="6"/>
    <n v="16.98"/>
  </r>
  <r>
    <s v="ORD00510"/>
    <d v="2024-01-06T00:00:00"/>
    <d v="2024-01-14T00:00:00"/>
    <s v="C0256"/>
    <x v="112"/>
    <s v="Small Business"/>
    <x v="3"/>
    <x v="8"/>
    <s v="P009"/>
    <x v="2"/>
    <x v="1"/>
    <n v="2"/>
    <n v="180"/>
    <x v="3"/>
    <n v="342"/>
    <n v="122.37"/>
    <x v="0"/>
    <x v="1"/>
    <x v="0"/>
    <x v="1"/>
    <x v="11"/>
    <s v="Jan"/>
    <s v="Q1"/>
    <x v="21"/>
    <n v="8"/>
    <n v="35.78"/>
  </r>
  <r>
    <s v="ORD00613"/>
    <d v="2024-02-11T00:00:00"/>
    <d v="2024-02-13T00:00:00"/>
    <s v="C0239"/>
    <x v="278"/>
    <s v="Consumer"/>
    <x v="1"/>
    <x v="5"/>
    <s v="P010"/>
    <x v="6"/>
    <x v="4"/>
    <n v="1"/>
    <n v="1800"/>
    <x v="0"/>
    <n v="1800"/>
    <n v="604.34"/>
    <x v="1"/>
    <x v="2"/>
    <x v="2"/>
    <x v="1"/>
    <x v="6"/>
    <s v="Feb"/>
    <s v="Q1"/>
    <x v="18"/>
    <n v="2"/>
    <n v="33.57"/>
  </r>
  <r>
    <s v="ORD01325"/>
    <d v="2025-10-19T00:00:00"/>
    <d v="2025-10-20T00:00:00"/>
    <s v="C0072"/>
    <x v="80"/>
    <s v="Consumer"/>
    <x v="0"/>
    <x v="0"/>
    <s v="P002"/>
    <x v="3"/>
    <x v="2"/>
    <n v="1"/>
    <n v="25000"/>
    <x v="3"/>
    <n v="23750"/>
    <n v="3631.04"/>
    <x v="1"/>
    <x v="1"/>
    <x v="3"/>
    <x v="0"/>
    <x v="1"/>
    <s v="Oct"/>
    <s v="Q4"/>
    <x v="14"/>
    <n v="1"/>
    <n v="15.29"/>
  </r>
  <r>
    <s v="ORD01068"/>
    <d v="2024-09-27T00:00:00"/>
    <d v="2024-10-01T00:00:00"/>
    <s v="C0116"/>
    <x v="131"/>
    <s v="Corporate"/>
    <x v="2"/>
    <x v="3"/>
    <s v="P002"/>
    <x v="3"/>
    <x v="2"/>
    <n v="3"/>
    <n v="25000"/>
    <x v="1"/>
    <n v="63750"/>
    <n v="7010.44"/>
    <x v="5"/>
    <x v="1"/>
    <x v="2"/>
    <x v="1"/>
    <x v="9"/>
    <s v="Sep"/>
    <s v="Q3"/>
    <x v="20"/>
    <n v="4"/>
    <n v="11"/>
  </r>
  <r>
    <s v="ORD00175"/>
    <d v="2024-08-21T00:00:00"/>
    <d v="2024-08-28T00:00:00"/>
    <s v="C0231"/>
    <x v="32"/>
    <s v="Small Business"/>
    <x v="1"/>
    <x v="1"/>
    <s v="P008"/>
    <x v="11"/>
    <x v="1"/>
    <n v="1"/>
    <n v="250"/>
    <x v="3"/>
    <n v="237.5"/>
    <n v="82.91"/>
    <x v="2"/>
    <x v="2"/>
    <x v="4"/>
    <x v="1"/>
    <x v="7"/>
    <s v="Aug"/>
    <s v="Q3"/>
    <x v="9"/>
    <n v="7"/>
    <n v="34.909999999999997"/>
  </r>
  <r>
    <s v="ORD00398"/>
    <d v="2025-01-19T00:00:00"/>
    <d v="2025-01-26T00:00:00"/>
    <s v="C0267"/>
    <x v="93"/>
    <s v="Consumer"/>
    <x v="2"/>
    <x v="9"/>
    <s v="P001"/>
    <x v="8"/>
    <x v="2"/>
    <n v="3"/>
    <n v="55000"/>
    <x v="1"/>
    <n v="140250"/>
    <n v="25793.19"/>
    <x v="3"/>
    <x v="0"/>
    <x v="2"/>
    <x v="0"/>
    <x v="11"/>
    <s v="Jan"/>
    <s v="Q1"/>
    <x v="17"/>
    <n v="7"/>
    <n v="18.39"/>
  </r>
  <r>
    <s v="ORD00530"/>
    <d v="2025-04-23T00:00:00"/>
    <d v="2025-04-28T00:00:00"/>
    <s v="C0045"/>
    <x v="49"/>
    <s v="Small Business"/>
    <x v="1"/>
    <x v="16"/>
    <s v="P006"/>
    <x v="1"/>
    <x v="0"/>
    <n v="4"/>
    <n v="9500"/>
    <x v="0"/>
    <n v="38000"/>
    <n v="6902.56"/>
    <x v="2"/>
    <x v="2"/>
    <x v="4"/>
    <x v="0"/>
    <x v="5"/>
    <s v="Apr"/>
    <s v="Q2"/>
    <x v="13"/>
    <n v="5"/>
    <n v="18.16"/>
  </r>
  <r>
    <s v="ORD01587"/>
    <d v="2024-02-22T00:00:00"/>
    <d v="2024-02-24T00:00:00"/>
    <s v="C0067"/>
    <x v="135"/>
    <s v="Consumer"/>
    <x v="2"/>
    <x v="9"/>
    <s v="P007"/>
    <x v="10"/>
    <x v="0"/>
    <n v="1"/>
    <n v="6000"/>
    <x v="0"/>
    <n v="6000"/>
    <n v="1524.69"/>
    <x v="3"/>
    <x v="1"/>
    <x v="3"/>
    <x v="1"/>
    <x v="6"/>
    <s v="Feb"/>
    <s v="Q1"/>
    <x v="18"/>
    <n v="2"/>
    <n v="25.41"/>
  </r>
  <r>
    <s v="ORD00585"/>
    <d v="2025-07-03T00:00:00"/>
    <d v="2025-07-05T00:00:00"/>
    <s v="C0235"/>
    <x v="111"/>
    <s v="Consumer"/>
    <x v="1"/>
    <x v="16"/>
    <s v="P011"/>
    <x v="9"/>
    <x v="4"/>
    <n v="1"/>
    <n v="600"/>
    <x v="4"/>
    <n v="540"/>
    <n v="162.76"/>
    <x v="2"/>
    <x v="2"/>
    <x v="2"/>
    <x v="0"/>
    <x v="3"/>
    <s v="Jul"/>
    <s v="Q3"/>
    <x v="15"/>
    <n v="2"/>
    <n v="30.14"/>
  </r>
  <r>
    <s v="ORD00050"/>
    <d v="2024-02-13T00:00:00"/>
    <d v="2024-02-19T00:00:00"/>
    <s v="C0037"/>
    <x v="18"/>
    <s v="Consumer"/>
    <x v="0"/>
    <x v="0"/>
    <s v="P007"/>
    <x v="10"/>
    <x v="0"/>
    <n v="2"/>
    <n v="6000"/>
    <x v="3"/>
    <n v="11400"/>
    <n v="2923.32"/>
    <x v="1"/>
    <x v="1"/>
    <x v="1"/>
    <x v="1"/>
    <x v="6"/>
    <s v="Feb"/>
    <s v="Q1"/>
    <x v="18"/>
    <n v="6"/>
    <n v="25.64"/>
  </r>
  <r>
    <s v="ORD01210"/>
    <d v="2025-06-19T00:00:00"/>
    <d v="2025-06-25T00:00:00"/>
    <s v="C0073"/>
    <x v="147"/>
    <s v="Consumer"/>
    <x v="3"/>
    <x v="8"/>
    <s v="P005"/>
    <x v="0"/>
    <x v="0"/>
    <n v="3"/>
    <n v="7000"/>
    <x v="2"/>
    <n v="16800"/>
    <n v="3494.94"/>
    <x v="1"/>
    <x v="2"/>
    <x v="4"/>
    <x v="0"/>
    <x v="8"/>
    <s v="Jun"/>
    <s v="Q2"/>
    <x v="10"/>
    <n v="6"/>
    <n v="20.8"/>
  </r>
  <r>
    <s v="ORD01499"/>
    <d v="2024-11-01T00:00:00"/>
    <d v="2024-11-07T00:00:00"/>
    <s v="C0292"/>
    <x v="66"/>
    <s v="Consumer"/>
    <x v="3"/>
    <x v="7"/>
    <s v="P012"/>
    <x v="4"/>
    <x v="3"/>
    <n v="3"/>
    <n v="3500"/>
    <x v="4"/>
    <n v="9450"/>
    <n v="3106.08"/>
    <x v="0"/>
    <x v="0"/>
    <x v="2"/>
    <x v="1"/>
    <x v="2"/>
    <s v="Nov"/>
    <s v="Q4"/>
    <x v="3"/>
    <n v="6"/>
    <n v="32.869999999999997"/>
  </r>
  <r>
    <s v="ORD00679"/>
    <d v="2024-07-23T00:00:00"/>
    <d v="2024-07-31T00:00:00"/>
    <s v="C0277"/>
    <x v="249"/>
    <s v="Small Business"/>
    <x v="0"/>
    <x v="10"/>
    <s v="P006"/>
    <x v="1"/>
    <x v="0"/>
    <n v="2"/>
    <n v="9500"/>
    <x v="0"/>
    <n v="19000"/>
    <n v="3609.95"/>
    <x v="5"/>
    <x v="2"/>
    <x v="2"/>
    <x v="1"/>
    <x v="3"/>
    <s v="Jul"/>
    <s v="Q3"/>
    <x v="4"/>
    <n v="8"/>
    <n v="19"/>
  </r>
  <r>
    <s v="ORD01575"/>
    <d v="2024-08-25T00:00:00"/>
    <d v="2024-08-28T00:00:00"/>
    <s v="C0267"/>
    <x v="93"/>
    <s v="Consumer"/>
    <x v="2"/>
    <x v="9"/>
    <s v="P002"/>
    <x v="3"/>
    <x v="2"/>
    <n v="4"/>
    <n v="25000"/>
    <x v="4"/>
    <n v="90000"/>
    <n v="9731.59"/>
    <x v="3"/>
    <x v="2"/>
    <x v="0"/>
    <x v="1"/>
    <x v="7"/>
    <s v="Aug"/>
    <s v="Q3"/>
    <x v="9"/>
    <n v="3"/>
    <n v="10.81"/>
  </r>
  <r>
    <s v="ORD01806"/>
    <d v="2024-05-16T00:00:00"/>
    <d v="2024-05-19T00:00:00"/>
    <s v="C0279"/>
    <x v="202"/>
    <s v="Corporate"/>
    <x v="0"/>
    <x v="10"/>
    <s v="P002"/>
    <x v="3"/>
    <x v="2"/>
    <n v="1"/>
    <n v="25000"/>
    <x v="0"/>
    <n v="25000"/>
    <n v="2814.44"/>
    <x v="5"/>
    <x v="0"/>
    <x v="4"/>
    <x v="1"/>
    <x v="4"/>
    <s v="May"/>
    <s v="Q2"/>
    <x v="8"/>
    <n v="3"/>
    <n v="11.26"/>
  </r>
  <r>
    <s v="ORD01249"/>
    <d v="2024-08-29T00:00:00"/>
    <d v="2024-09-02T00:00:00"/>
    <s v="C0042"/>
    <x v="117"/>
    <s v="Consumer"/>
    <x v="1"/>
    <x v="13"/>
    <s v="P003"/>
    <x v="5"/>
    <x v="2"/>
    <n v="4"/>
    <n v="3000"/>
    <x v="3"/>
    <n v="11400"/>
    <n v="2517.35"/>
    <x v="4"/>
    <x v="2"/>
    <x v="1"/>
    <x v="1"/>
    <x v="7"/>
    <s v="Aug"/>
    <s v="Q3"/>
    <x v="9"/>
    <n v="4"/>
    <n v="22.08"/>
  </r>
  <r>
    <s v="ORD01524"/>
    <d v="2025-12-18T00:00:00"/>
    <d v="2025-12-20T00:00:00"/>
    <s v="C0016"/>
    <x v="83"/>
    <s v="Corporate"/>
    <x v="0"/>
    <x v="11"/>
    <s v="P005"/>
    <x v="0"/>
    <x v="0"/>
    <n v="3"/>
    <n v="7000"/>
    <x v="2"/>
    <n v="16800"/>
    <n v="3384.08"/>
    <x v="0"/>
    <x v="2"/>
    <x v="1"/>
    <x v="0"/>
    <x v="10"/>
    <s v="Dec"/>
    <s v="Q4"/>
    <x v="19"/>
    <n v="2"/>
    <n v="20.14"/>
  </r>
  <r>
    <s v="ORD00956"/>
    <d v="2025-01-07T00:00:00"/>
    <d v="2025-01-11T00:00:00"/>
    <s v="C0057"/>
    <x v="268"/>
    <s v="Corporate"/>
    <x v="2"/>
    <x v="4"/>
    <s v="P005"/>
    <x v="0"/>
    <x v="0"/>
    <n v="1"/>
    <n v="7000"/>
    <x v="0"/>
    <n v="7000"/>
    <n v="1516.34"/>
    <x v="3"/>
    <x v="0"/>
    <x v="2"/>
    <x v="0"/>
    <x v="11"/>
    <s v="Jan"/>
    <s v="Q1"/>
    <x v="17"/>
    <n v="4"/>
    <n v="21.66"/>
  </r>
  <r>
    <s v="ORD00776"/>
    <d v="2025-06-30T00:00:00"/>
    <d v="2025-07-08T00:00:00"/>
    <s v="C0228"/>
    <x v="122"/>
    <s v="Consumer"/>
    <x v="3"/>
    <x v="6"/>
    <s v="P002"/>
    <x v="3"/>
    <x v="2"/>
    <n v="2"/>
    <n v="25000"/>
    <x v="3"/>
    <n v="47500"/>
    <n v="6665.85"/>
    <x v="2"/>
    <x v="1"/>
    <x v="0"/>
    <x v="0"/>
    <x v="8"/>
    <s v="Jun"/>
    <s v="Q2"/>
    <x v="10"/>
    <n v="8"/>
    <n v="14.03"/>
  </r>
  <r>
    <s v="ORD00905"/>
    <d v="2025-08-10T00:00:00"/>
    <d v="2025-08-15T00:00:00"/>
    <s v="C0141"/>
    <x v="262"/>
    <s v="Corporate"/>
    <x v="2"/>
    <x v="4"/>
    <s v="P012"/>
    <x v="4"/>
    <x v="3"/>
    <n v="2"/>
    <n v="3500"/>
    <x v="2"/>
    <n v="5600"/>
    <n v="1409.02"/>
    <x v="5"/>
    <x v="1"/>
    <x v="3"/>
    <x v="0"/>
    <x v="7"/>
    <s v="Aug"/>
    <s v="Q3"/>
    <x v="22"/>
    <n v="5"/>
    <n v="25.16"/>
  </r>
  <r>
    <s v="ORD00760"/>
    <d v="2024-02-18T00:00:00"/>
    <d v="2024-02-19T00:00:00"/>
    <s v="C0182"/>
    <x v="264"/>
    <s v="Corporate"/>
    <x v="3"/>
    <x v="7"/>
    <s v="P002"/>
    <x v="3"/>
    <x v="2"/>
    <n v="3"/>
    <n v="25000"/>
    <x v="0"/>
    <n v="75000"/>
    <n v="9894.32"/>
    <x v="6"/>
    <x v="1"/>
    <x v="2"/>
    <x v="1"/>
    <x v="6"/>
    <s v="Feb"/>
    <s v="Q1"/>
    <x v="18"/>
    <n v="1"/>
    <n v="13.19"/>
  </r>
  <r>
    <s v="ORD00741"/>
    <d v="2025-12-02T00:00:00"/>
    <d v="2025-12-10T00:00:00"/>
    <s v="C0113"/>
    <x v="195"/>
    <s v="Small Business"/>
    <x v="1"/>
    <x v="16"/>
    <s v="P010"/>
    <x v="6"/>
    <x v="4"/>
    <n v="2"/>
    <n v="1800"/>
    <x v="2"/>
    <n v="2880"/>
    <n v="993.97"/>
    <x v="4"/>
    <x v="1"/>
    <x v="0"/>
    <x v="0"/>
    <x v="10"/>
    <s v="Dec"/>
    <s v="Q4"/>
    <x v="19"/>
    <n v="8"/>
    <n v="34.51"/>
  </r>
  <r>
    <s v="ORD00966"/>
    <d v="2024-01-04T00:00:00"/>
    <d v="2024-01-05T00:00:00"/>
    <s v="C0106"/>
    <x v="192"/>
    <s v="Small Business"/>
    <x v="0"/>
    <x v="0"/>
    <s v="P003"/>
    <x v="5"/>
    <x v="2"/>
    <n v="1"/>
    <n v="3000"/>
    <x v="0"/>
    <n v="3000"/>
    <n v="843.16"/>
    <x v="1"/>
    <x v="1"/>
    <x v="1"/>
    <x v="1"/>
    <x v="11"/>
    <s v="Jan"/>
    <s v="Q1"/>
    <x v="21"/>
    <n v="1"/>
    <n v="28.11"/>
  </r>
  <r>
    <s v="ORD01571"/>
    <d v="2025-03-23T00:00:00"/>
    <d v="2025-03-28T00:00:00"/>
    <s v="C0218"/>
    <x v="105"/>
    <s v="Corporate"/>
    <x v="2"/>
    <x v="3"/>
    <s v="P002"/>
    <x v="3"/>
    <x v="2"/>
    <n v="1"/>
    <n v="25000"/>
    <x v="0"/>
    <n v="25000"/>
    <n v="3028.68"/>
    <x v="0"/>
    <x v="0"/>
    <x v="2"/>
    <x v="0"/>
    <x v="0"/>
    <s v="Mar"/>
    <s v="Q1"/>
    <x v="0"/>
    <n v="5"/>
    <n v="12.11"/>
  </r>
  <r>
    <s v="ORD00523"/>
    <d v="2025-04-18T00:00:00"/>
    <d v="2025-04-19T00:00:00"/>
    <s v="C0275"/>
    <x v="281"/>
    <s v="Small Business"/>
    <x v="0"/>
    <x v="15"/>
    <s v="P006"/>
    <x v="1"/>
    <x v="0"/>
    <n v="3"/>
    <n v="9500"/>
    <x v="3"/>
    <n v="27075"/>
    <n v="5800.09"/>
    <x v="6"/>
    <x v="1"/>
    <x v="1"/>
    <x v="0"/>
    <x v="5"/>
    <s v="Apr"/>
    <s v="Q2"/>
    <x v="13"/>
    <n v="1"/>
    <n v="21.42"/>
  </r>
  <r>
    <s v="ORD00505"/>
    <d v="2025-04-09T00:00:00"/>
    <d v="2025-04-17T00:00:00"/>
    <s v="C0013"/>
    <x v="212"/>
    <s v="Corporate"/>
    <x v="0"/>
    <x v="2"/>
    <s v="P003"/>
    <x v="5"/>
    <x v="2"/>
    <n v="2"/>
    <n v="3000"/>
    <x v="1"/>
    <n v="5100"/>
    <n v="1619.23"/>
    <x v="2"/>
    <x v="1"/>
    <x v="4"/>
    <x v="0"/>
    <x v="5"/>
    <s v="Apr"/>
    <s v="Q2"/>
    <x v="13"/>
    <n v="8"/>
    <n v="31.75"/>
  </r>
  <r>
    <s v="ORD00220"/>
    <d v="2024-01-09T00:00:00"/>
    <d v="2024-01-16T00:00:00"/>
    <s v="C0228"/>
    <x v="122"/>
    <s v="Consumer"/>
    <x v="3"/>
    <x v="6"/>
    <s v="P001"/>
    <x v="8"/>
    <x v="2"/>
    <n v="3"/>
    <n v="55000"/>
    <x v="2"/>
    <n v="132000"/>
    <n v="17778.12"/>
    <x v="5"/>
    <x v="0"/>
    <x v="0"/>
    <x v="1"/>
    <x v="11"/>
    <s v="Jan"/>
    <s v="Q1"/>
    <x v="21"/>
    <n v="7"/>
    <n v="13.47"/>
  </r>
  <r>
    <s v="ORD00487"/>
    <d v="2025-05-27T00:00:00"/>
    <d v="2025-05-28T00:00:00"/>
    <s v="C0096"/>
    <x v="172"/>
    <s v="Consumer"/>
    <x v="1"/>
    <x v="1"/>
    <s v="P004"/>
    <x v="7"/>
    <x v="2"/>
    <n v="10"/>
    <n v="8000"/>
    <x v="4"/>
    <n v="72000"/>
    <n v="19269.72"/>
    <x v="2"/>
    <x v="0"/>
    <x v="1"/>
    <x v="0"/>
    <x v="4"/>
    <s v="May"/>
    <s v="Q2"/>
    <x v="5"/>
    <n v="1"/>
    <n v="26.76"/>
  </r>
  <r>
    <s v="ORD00360"/>
    <d v="2024-12-20T00:00:00"/>
    <d v="2024-12-24T00:00:00"/>
    <s v="C0059"/>
    <x v="283"/>
    <s v="Consumer"/>
    <x v="3"/>
    <x v="7"/>
    <s v="P011"/>
    <x v="9"/>
    <x v="4"/>
    <n v="5"/>
    <n v="600"/>
    <x v="4"/>
    <n v="2700"/>
    <n v="1095.2"/>
    <x v="2"/>
    <x v="2"/>
    <x v="4"/>
    <x v="1"/>
    <x v="10"/>
    <s v="Dec"/>
    <s v="Q4"/>
    <x v="16"/>
    <n v="4"/>
    <n v="40.56"/>
  </r>
  <r>
    <s v="ORD01133"/>
    <d v="2025-09-14T00:00:00"/>
    <d v="2025-09-15T00:00:00"/>
    <s v="C0101"/>
    <x v="276"/>
    <s v="Consumer"/>
    <x v="1"/>
    <x v="5"/>
    <s v="P009"/>
    <x v="2"/>
    <x v="1"/>
    <n v="4"/>
    <n v="180"/>
    <x v="1"/>
    <n v="612"/>
    <n v="268.08"/>
    <x v="1"/>
    <x v="1"/>
    <x v="3"/>
    <x v="0"/>
    <x v="9"/>
    <s v="Sep"/>
    <s v="Q3"/>
    <x v="11"/>
    <n v="1"/>
    <n v="43.8"/>
  </r>
  <r>
    <s v="ORD00297"/>
    <d v="2025-08-08T00:00:00"/>
    <d v="2025-08-12T00:00:00"/>
    <s v="C0026"/>
    <x v="239"/>
    <s v="Corporate"/>
    <x v="3"/>
    <x v="6"/>
    <s v="P003"/>
    <x v="5"/>
    <x v="2"/>
    <n v="3"/>
    <n v="3000"/>
    <x v="0"/>
    <n v="9000"/>
    <n v="2815.68"/>
    <x v="5"/>
    <x v="0"/>
    <x v="4"/>
    <x v="0"/>
    <x v="7"/>
    <s v="Aug"/>
    <s v="Q3"/>
    <x v="22"/>
    <n v="4"/>
    <n v="31.29"/>
  </r>
  <r>
    <s v="ORD00095"/>
    <d v="2024-08-17T00:00:00"/>
    <d v="2024-08-21T00:00:00"/>
    <s v="C0186"/>
    <x v="294"/>
    <s v="Corporate"/>
    <x v="0"/>
    <x v="15"/>
    <s v="P009"/>
    <x v="2"/>
    <x v="1"/>
    <n v="1"/>
    <n v="180"/>
    <x v="0"/>
    <n v="180"/>
    <n v="82.36"/>
    <x v="0"/>
    <x v="0"/>
    <x v="4"/>
    <x v="1"/>
    <x v="7"/>
    <s v="Aug"/>
    <s v="Q3"/>
    <x v="9"/>
    <n v="4"/>
    <n v="45.76"/>
  </r>
  <r>
    <s v="ORD00751"/>
    <d v="2024-09-29T00:00:00"/>
    <d v="2024-10-03T00:00:00"/>
    <s v="C0088"/>
    <x v="186"/>
    <s v="Corporate"/>
    <x v="0"/>
    <x v="11"/>
    <s v="P002"/>
    <x v="3"/>
    <x v="2"/>
    <n v="1"/>
    <n v="25000"/>
    <x v="2"/>
    <n v="20000"/>
    <n v="2598.0100000000002"/>
    <x v="4"/>
    <x v="2"/>
    <x v="0"/>
    <x v="1"/>
    <x v="9"/>
    <s v="Sep"/>
    <s v="Q3"/>
    <x v="20"/>
    <n v="4"/>
    <n v="12.99"/>
  </r>
  <r>
    <s v="ORD00610"/>
    <d v="2025-01-14T00:00:00"/>
    <d v="2025-01-16T00:00:00"/>
    <s v="C0208"/>
    <x v="218"/>
    <s v="Small Business"/>
    <x v="2"/>
    <x v="3"/>
    <s v="P003"/>
    <x v="5"/>
    <x v="2"/>
    <n v="2"/>
    <n v="3000"/>
    <x v="1"/>
    <n v="5100"/>
    <n v="1458.64"/>
    <x v="0"/>
    <x v="2"/>
    <x v="4"/>
    <x v="0"/>
    <x v="11"/>
    <s v="Jan"/>
    <s v="Q1"/>
    <x v="17"/>
    <n v="2"/>
    <n v="28.6"/>
  </r>
  <r>
    <s v="ORD00821"/>
    <d v="2025-08-24T00:00:00"/>
    <d v="2025-08-27T00:00:00"/>
    <s v="C0024"/>
    <x v="286"/>
    <s v="Small Business"/>
    <x v="1"/>
    <x v="5"/>
    <s v="P010"/>
    <x v="6"/>
    <x v="4"/>
    <n v="1"/>
    <n v="1800"/>
    <x v="4"/>
    <n v="1620"/>
    <n v="463.62"/>
    <x v="3"/>
    <x v="0"/>
    <x v="3"/>
    <x v="0"/>
    <x v="7"/>
    <s v="Aug"/>
    <s v="Q3"/>
    <x v="22"/>
    <n v="3"/>
    <n v="28.62"/>
  </r>
  <r>
    <s v="ORD00497"/>
    <d v="2025-05-18T00:00:00"/>
    <d v="2025-05-19T00:00:00"/>
    <s v="C0095"/>
    <x v="15"/>
    <s v="Consumer"/>
    <x v="2"/>
    <x v="4"/>
    <s v="P007"/>
    <x v="10"/>
    <x v="0"/>
    <n v="2"/>
    <n v="6000"/>
    <x v="0"/>
    <n v="12000"/>
    <n v="2238.64"/>
    <x v="0"/>
    <x v="0"/>
    <x v="4"/>
    <x v="0"/>
    <x v="4"/>
    <s v="May"/>
    <s v="Q2"/>
    <x v="5"/>
    <n v="1"/>
    <n v="18.66"/>
  </r>
  <r>
    <s v="ORD01245"/>
    <d v="2024-12-11T00:00:00"/>
    <d v="2024-12-15T00:00:00"/>
    <s v="C0192"/>
    <x v="214"/>
    <s v="Consumer"/>
    <x v="3"/>
    <x v="8"/>
    <s v="P010"/>
    <x v="6"/>
    <x v="4"/>
    <n v="2"/>
    <n v="1800"/>
    <x v="0"/>
    <n v="3600"/>
    <n v="1371.27"/>
    <x v="1"/>
    <x v="0"/>
    <x v="0"/>
    <x v="1"/>
    <x v="10"/>
    <s v="Dec"/>
    <s v="Q4"/>
    <x v="16"/>
    <n v="4"/>
    <n v="38.090000000000003"/>
  </r>
  <r>
    <s v="ORD01986"/>
    <d v="2025-01-05T00:00:00"/>
    <d v="2025-01-13T00:00:00"/>
    <s v="C0076"/>
    <x v="224"/>
    <s v="Corporate"/>
    <x v="2"/>
    <x v="4"/>
    <s v="P001"/>
    <x v="8"/>
    <x v="2"/>
    <n v="1"/>
    <n v="55000"/>
    <x v="0"/>
    <n v="55000"/>
    <n v="7164.93"/>
    <x v="1"/>
    <x v="2"/>
    <x v="3"/>
    <x v="0"/>
    <x v="11"/>
    <s v="Jan"/>
    <s v="Q1"/>
    <x v="17"/>
    <n v="8"/>
    <n v="13.03"/>
  </r>
  <r>
    <s v="ORD00298"/>
    <d v="2024-01-21T00:00:00"/>
    <d v="2024-01-29T00:00:00"/>
    <s v="C0210"/>
    <x v="29"/>
    <s v="Small Business"/>
    <x v="0"/>
    <x v="2"/>
    <s v="P009"/>
    <x v="2"/>
    <x v="1"/>
    <n v="4"/>
    <n v="180"/>
    <x v="2"/>
    <n v="576"/>
    <n v="252.17"/>
    <x v="4"/>
    <x v="2"/>
    <x v="2"/>
    <x v="1"/>
    <x v="11"/>
    <s v="Jan"/>
    <s v="Q1"/>
    <x v="21"/>
    <n v="8"/>
    <n v="43.78"/>
  </r>
  <r>
    <s v="ORD00118"/>
    <d v="2025-12-18T00:00:00"/>
    <d v="2025-12-25T00:00:00"/>
    <s v="C0017"/>
    <x v="242"/>
    <s v="Small Business"/>
    <x v="1"/>
    <x v="16"/>
    <s v="P010"/>
    <x v="6"/>
    <x v="4"/>
    <n v="1"/>
    <n v="1800"/>
    <x v="0"/>
    <n v="1800"/>
    <n v="546.53"/>
    <x v="5"/>
    <x v="0"/>
    <x v="0"/>
    <x v="0"/>
    <x v="10"/>
    <s v="Dec"/>
    <s v="Q4"/>
    <x v="19"/>
    <n v="7"/>
    <n v="30.36"/>
  </r>
  <r>
    <s v="ORD01908"/>
    <d v="2024-04-12T00:00:00"/>
    <d v="2024-04-17T00:00:00"/>
    <s v="C0144"/>
    <x v="213"/>
    <s v="Small Business"/>
    <x v="1"/>
    <x v="13"/>
    <s v="P012"/>
    <x v="4"/>
    <x v="3"/>
    <n v="1"/>
    <n v="3500"/>
    <x v="2"/>
    <n v="2800"/>
    <n v="807.6"/>
    <x v="1"/>
    <x v="2"/>
    <x v="0"/>
    <x v="1"/>
    <x v="5"/>
    <s v="Apr"/>
    <s v="Q2"/>
    <x v="6"/>
    <n v="5"/>
    <n v="28.84"/>
  </r>
  <r>
    <s v="ORD01332"/>
    <d v="2024-07-30T00:00:00"/>
    <d v="2024-07-31T00:00:00"/>
    <s v="C0097"/>
    <x v="295"/>
    <s v="Corporate"/>
    <x v="1"/>
    <x v="1"/>
    <s v="P003"/>
    <x v="5"/>
    <x v="2"/>
    <n v="1"/>
    <n v="3000"/>
    <x v="0"/>
    <n v="3000"/>
    <n v="639.44000000000005"/>
    <x v="4"/>
    <x v="2"/>
    <x v="4"/>
    <x v="1"/>
    <x v="3"/>
    <s v="Jul"/>
    <s v="Q3"/>
    <x v="4"/>
    <n v="1"/>
    <n v="21.31"/>
  </r>
  <r>
    <s v="ORD00598"/>
    <d v="2024-01-30T00:00:00"/>
    <d v="2024-02-03T00:00:00"/>
    <s v="C0091"/>
    <x v="21"/>
    <s v="Corporate"/>
    <x v="0"/>
    <x v="10"/>
    <s v="P003"/>
    <x v="5"/>
    <x v="2"/>
    <n v="2"/>
    <n v="3000"/>
    <x v="0"/>
    <n v="6000"/>
    <n v="1311.02"/>
    <x v="5"/>
    <x v="1"/>
    <x v="1"/>
    <x v="1"/>
    <x v="11"/>
    <s v="Jan"/>
    <s v="Q1"/>
    <x v="21"/>
    <n v="4"/>
    <n v="21.85"/>
  </r>
  <r>
    <s v="ORD01347"/>
    <d v="2025-04-25T00:00:00"/>
    <d v="2025-05-01T00:00:00"/>
    <s v="C0160"/>
    <x v="183"/>
    <s v="Corporate"/>
    <x v="2"/>
    <x v="9"/>
    <s v="P008"/>
    <x v="11"/>
    <x v="1"/>
    <n v="4"/>
    <n v="250"/>
    <x v="0"/>
    <n v="1000"/>
    <n v="300.51"/>
    <x v="1"/>
    <x v="2"/>
    <x v="2"/>
    <x v="0"/>
    <x v="5"/>
    <s v="Apr"/>
    <s v="Q2"/>
    <x v="13"/>
    <n v="6"/>
    <n v="30.05"/>
  </r>
  <r>
    <s v="ORD00186"/>
    <d v="2024-08-02T00:00:00"/>
    <d v="2024-08-04T00:00:00"/>
    <s v="C0237"/>
    <x v="296"/>
    <s v="Consumer"/>
    <x v="2"/>
    <x v="14"/>
    <s v="P012"/>
    <x v="4"/>
    <x v="3"/>
    <n v="2"/>
    <n v="3500"/>
    <x v="0"/>
    <n v="7000"/>
    <n v="2312.83"/>
    <x v="0"/>
    <x v="2"/>
    <x v="0"/>
    <x v="1"/>
    <x v="7"/>
    <s v="Aug"/>
    <s v="Q3"/>
    <x v="9"/>
    <n v="2"/>
    <n v="33.04"/>
  </r>
  <r>
    <s v="ORD01481"/>
    <d v="2025-05-09T00:00:00"/>
    <d v="2025-05-15T00:00:00"/>
    <s v="C0183"/>
    <x v="244"/>
    <s v="Corporate"/>
    <x v="1"/>
    <x v="1"/>
    <s v="P010"/>
    <x v="6"/>
    <x v="4"/>
    <n v="2"/>
    <n v="1800"/>
    <x v="2"/>
    <n v="2880"/>
    <n v="815.58"/>
    <x v="0"/>
    <x v="1"/>
    <x v="1"/>
    <x v="0"/>
    <x v="4"/>
    <s v="May"/>
    <s v="Q2"/>
    <x v="5"/>
    <n v="6"/>
    <n v="28.32"/>
  </r>
  <r>
    <s v="ORD01029"/>
    <d v="2024-04-26T00:00:00"/>
    <d v="2024-04-29T00:00:00"/>
    <s v="C0268"/>
    <x v="236"/>
    <s v="Corporate"/>
    <x v="2"/>
    <x v="14"/>
    <s v="P006"/>
    <x v="1"/>
    <x v="0"/>
    <n v="5"/>
    <n v="9500"/>
    <x v="3"/>
    <n v="45125"/>
    <n v="7863.96"/>
    <x v="1"/>
    <x v="2"/>
    <x v="2"/>
    <x v="1"/>
    <x v="5"/>
    <s v="Apr"/>
    <s v="Q2"/>
    <x v="6"/>
    <n v="3"/>
    <n v="17.43"/>
  </r>
  <r>
    <s v="ORD01853"/>
    <d v="2024-10-09T00:00:00"/>
    <d v="2024-10-13T00:00:00"/>
    <s v="C0185"/>
    <x v="12"/>
    <s v="Corporate"/>
    <x v="1"/>
    <x v="1"/>
    <s v="P009"/>
    <x v="2"/>
    <x v="1"/>
    <n v="1"/>
    <n v="180"/>
    <x v="3"/>
    <n v="171"/>
    <n v="59.25"/>
    <x v="2"/>
    <x v="0"/>
    <x v="1"/>
    <x v="1"/>
    <x v="1"/>
    <s v="Oct"/>
    <s v="Q4"/>
    <x v="1"/>
    <n v="4"/>
    <n v="34.65"/>
  </r>
  <r>
    <s v="ORD01573"/>
    <d v="2024-06-11T00:00:00"/>
    <d v="2024-06-16T00:00:00"/>
    <s v="C0047"/>
    <x v="215"/>
    <s v="Corporate"/>
    <x v="2"/>
    <x v="14"/>
    <s v="P012"/>
    <x v="4"/>
    <x v="3"/>
    <n v="1"/>
    <n v="3500"/>
    <x v="1"/>
    <n v="2975"/>
    <n v="876.92"/>
    <x v="2"/>
    <x v="2"/>
    <x v="4"/>
    <x v="1"/>
    <x v="8"/>
    <s v="Jun"/>
    <s v="Q2"/>
    <x v="12"/>
    <n v="5"/>
    <n v="29.48"/>
  </r>
  <r>
    <s v="ORD01087"/>
    <d v="2024-08-13T00:00:00"/>
    <d v="2024-08-14T00:00:00"/>
    <s v="C0076"/>
    <x v="224"/>
    <s v="Corporate"/>
    <x v="2"/>
    <x v="4"/>
    <s v="P007"/>
    <x v="10"/>
    <x v="0"/>
    <n v="3"/>
    <n v="6000"/>
    <x v="0"/>
    <n v="18000"/>
    <n v="3641.23"/>
    <x v="4"/>
    <x v="2"/>
    <x v="0"/>
    <x v="1"/>
    <x v="7"/>
    <s v="Aug"/>
    <s v="Q3"/>
    <x v="9"/>
    <n v="1"/>
    <n v="20.23"/>
  </r>
  <r>
    <s v="ORD01139"/>
    <d v="2024-11-05T00:00:00"/>
    <d v="2024-11-09T00:00:00"/>
    <s v="C0113"/>
    <x v="195"/>
    <s v="Small Business"/>
    <x v="1"/>
    <x v="16"/>
    <s v="P008"/>
    <x v="11"/>
    <x v="1"/>
    <n v="3"/>
    <n v="250"/>
    <x v="0"/>
    <n v="750"/>
    <n v="314.27999999999997"/>
    <x v="1"/>
    <x v="1"/>
    <x v="4"/>
    <x v="1"/>
    <x v="2"/>
    <s v="Nov"/>
    <s v="Q4"/>
    <x v="3"/>
    <n v="4"/>
    <n v="41.9"/>
  </r>
  <r>
    <s v="ORD01989"/>
    <d v="2024-07-17T00:00:00"/>
    <d v="2024-07-23T00:00:00"/>
    <s v="C0112"/>
    <x v="72"/>
    <s v="Consumer"/>
    <x v="0"/>
    <x v="2"/>
    <s v="P011"/>
    <x v="9"/>
    <x v="4"/>
    <n v="2"/>
    <n v="600"/>
    <x v="0"/>
    <n v="1200"/>
    <n v="375.15"/>
    <x v="4"/>
    <x v="0"/>
    <x v="3"/>
    <x v="1"/>
    <x v="3"/>
    <s v="Jul"/>
    <s v="Q3"/>
    <x v="4"/>
    <n v="6"/>
    <n v="31.26"/>
  </r>
  <r>
    <s v="ORD00470"/>
    <d v="2024-08-10T00:00:00"/>
    <d v="2024-08-18T00:00:00"/>
    <s v="C0205"/>
    <x v="280"/>
    <s v="Consumer"/>
    <x v="0"/>
    <x v="11"/>
    <s v="P010"/>
    <x v="6"/>
    <x v="4"/>
    <n v="3"/>
    <n v="1800"/>
    <x v="1"/>
    <n v="4590"/>
    <n v="1333.2"/>
    <x v="4"/>
    <x v="1"/>
    <x v="1"/>
    <x v="1"/>
    <x v="7"/>
    <s v="Aug"/>
    <s v="Q3"/>
    <x v="9"/>
    <n v="8"/>
    <n v="29.05"/>
  </r>
  <r>
    <s v="ORD01608"/>
    <d v="2024-11-13T00:00:00"/>
    <d v="2024-11-14T00:00:00"/>
    <s v="C0021"/>
    <x v="75"/>
    <s v="Small Business"/>
    <x v="1"/>
    <x v="1"/>
    <s v="P003"/>
    <x v="5"/>
    <x v="2"/>
    <n v="1"/>
    <n v="3000"/>
    <x v="4"/>
    <n v="2700"/>
    <n v="593.67999999999995"/>
    <x v="1"/>
    <x v="0"/>
    <x v="2"/>
    <x v="1"/>
    <x v="2"/>
    <s v="Nov"/>
    <s v="Q4"/>
    <x v="3"/>
    <n v="1"/>
    <n v="21.99"/>
  </r>
  <r>
    <s v="ORD00441"/>
    <d v="2024-07-11T00:00:00"/>
    <d v="2024-07-13T00:00:00"/>
    <s v="C0138"/>
    <x v="38"/>
    <s v="Small Business"/>
    <x v="0"/>
    <x v="15"/>
    <s v="P007"/>
    <x v="10"/>
    <x v="0"/>
    <n v="4"/>
    <n v="6000"/>
    <x v="0"/>
    <n v="24000"/>
    <n v="4346.78"/>
    <x v="5"/>
    <x v="1"/>
    <x v="1"/>
    <x v="1"/>
    <x v="3"/>
    <s v="Jul"/>
    <s v="Q3"/>
    <x v="4"/>
    <n v="2"/>
    <n v="18.11"/>
  </r>
  <r>
    <s v="ORD00355"/>
    <d v="2025-06-10T00:00:00"/>
    <d v="2025-06-15T00:00:00"/>
    <s v="C0096"/>
    <x v="172"/>
    <s v="Consumer"/>
    <x v="1"/>
    <x v="1"/>
    <s v="P003"/>
    <x v="5"/>
    <x v="2"/>
    <n v="1"/>
    <n v="3000"/>
    <x v="0"/>
    <n v="3000"/>
    <n v="784.26"/>
    <x v="4"/>
    <x v="0"/>
    <x v="1"/>
    <x v="0"/>
    <x v="8"/>
    <s v="Jun"/>
    <s v="Q2"/>
    <x v="10"/>
    <n v="5"/>
    <n v="26.14"/>
  </r>
  <r>
    <s v="ORD00205"/>
    <d v="2024-10-22T00:00:00"/>
    <d v="2024-10-30T00:00:00"/>
    <s v="C0116"/>
    <x v="131"/>
    <s v="Corporate"/>
    <x v="2"/>
    <x v="3"/>
    <s v="P009"/>
    <x v="2"/>
    <x v="1"/>
    <n v="2"/>
    <n v="180"/>
    <x v="1"/>
    <n v="306"/>
    <n v="138.94"/>
    <x v="1"/>
    <x v="2"/>
    <x v="3"/>
    <x v="1"/>
    <x v="1"/>
    <s v="Oct"/>
    <s v="Q4"/>
    <x v="1"/>
    <n v="8"/>
    <n v="45.41"/>
  </r>
  <r>
    <s v="ORD01572"/>
    <d v="2025-10-22T00:00:00"/>
    <d v="2025-10-29T00:00:00"/>
    <s v="C0113"/>
    <x v="195"/>
    <s v="Small Business"/>
    <x v="1"/>
    <x v="16"/>
    <s v="P010"/>
    <x v="6"/>
    <x v="4"/>
    <n v="2"/>
    <n v="1800"/>
    <x v="0"/>
    <n v="3600"/>
    <n v="1308.33"/>
    <x v="3"/>
    <x v="0"/>
    <x v="2"/>
    <x v="0"/>
    <x v="1"/>
    <s v="Oct"/>
    <s v="Q4"/>
    <x v="14"/>
    <n v="7"/>
    <n v="36.340000000000003"/>
  </r>
  <r>
    <s v="ORD00467"/>
    <d v="2024-02-05T00:00:00"/>
    <d v="2024-02-08T00:00:00"/>
    <s v="C0204"/>
    <x v="137"/>
    <s v="Corporate"/>
    <x v="0"/>
    <x v="10"/>
    <s v="P001"/>
    <x v="8"/>
    <x v="2"/>
    <n v="10"/>
    <n v="55000"/>
    <x v="4"/>
    <n v="495000"/>
    <n v="62951.02"/>
    <x v="3"/>
    <x v="0"/>
    <x v="4"/>
    <x v="1"/>
    <x v="6"/>
    <s v="Feb"/>
    <s v="Q1"/>
    <x v="18"/>
    <n v="3"/>
    <n v="12.72"/>
  </r>
  <r>
    <s v="ORD01882"/>
    <d v="2024-06-12T00:00:00"/>
    <d v="2024-06-16T00:00:00"/>
    <s v="C0198"/>
    <x v="61"/>
    <s v="Consumer"/>
    <x v="0"/>
    <x v="0"/>
    <s v="P003"/>
    <x v="5"/>
    <x v="2"/>
    <n v="10"/>
    <n v="3000"/>
    <x v="0"/>
    <n v="30000"/>
    <n v="8387.99"/>
    <x v="5"/>
    <x v="1"/>
    <x v="4"/>
    <x v="1"/>
    <x v="8"/>
    <s v="Jun"/>
    <s v="Q2"/>
    <x v="12"/>
    <n v="4"/>
    <n v="27.96"/>
  </r>
  <r>
    <s v="ORD01696"/>
    <d v="2025-06-12T00:00:00"/>
    <d v="2025-06-14T00:00:00"/>
    <s v="C0046"/>
    <x v="269"/>
    <s v="Small Business"/>
    <x v="0"/>
    <x v="2"/>
    <s v="P006"/>
    <x v="1"/>
    <x v="0"/>
    <n v="1"/>
    <n v="9500"/>
    <x v="0"/>
    <n v="9500"/>
    <n v="1637.94"/>
    <x v="4"/>
    <x v="1"/>
    <x v="2"/>
    <x v="0"/>
    <x v="8"/>
    <s v="Jun"/>
    <s v="Q2"/>
    <x v="10"/>
    <n v="2"/>
    <n v="17.239999999999998"/>
  </r>
  <r>
    <s v="ORD01502"/>
    <d v="2024-09-11T00:00:00"/>
    <d v="2024-09-12T00:00:00"/>
    <s v="C0147"/>
    <x v="219"/>
    <s v="Small Business"/>
    <x v="3"/>
    <x v="6"/>
    <s v="P011"/>
    <x v="9"/>
    <x v="4"/>
    <n v="1"/>
    <n v="600"/>
    <x v="0"/>
    <n v="600"/>
    <n v="240.26"/>
    <x v="1"/>
    <x v="0"/>
    <x v="3"/>
    <x v="1"/>
    <x v="9"/>
    <s v="Sep"/>
    <s v="Q3"/>
    <x v="20"/>
    <n v="1"/>
    <n v="40.04"/>
  </r>
  <r>
    <s v="ORD01991"/>
    <d v="2024-12-22T00:00:00"/>
    <d v="2024-12-28T00:00:00"/>
    <s v="C0083"/>
    <x v="165"/>
    <s v="Corporate"/>
    <x v="0"/>
    <x v="15"/>
    <s v="P011"/>
    <x v="9"/>
    <x v="4"/>
    <n v="1"/>
    <n v="600"/>
    <x v="0"/>
    <n v="600"/>
    <n v="249.47"/>
    <x v="3"/>
    <x v="0"/>
    <x v="0"/>
    <x v="1"/>
    <x v="10"/>
    <s v="Dec"/>
    <s v="Q4"/>
    <x v="16"/>
    <n v="6"/>
    <n v="41.58"/>
  </r>
  <r>
    <s v="ORD00293"/>
    <d v="2024-03-08T00:00:00"/>
    <d v="2024-03-09T00:00:00"/>
    <s v="C0264"/>
    <x v="297"/>
    <s v="Small Business"/>
    <x v="2"/>
    <x v="4"/>
    <s v="P003"/>
    <x v="5"/>
    <x v="2"/>
    <n v="1"/>
    <n v="3000"/>
    <x v="4"/>
    <n v="2700"/>
    <n v="697.7"/>
    <x v="4"/>
    <x v="0"/>
    <x v="2"/>
    <x v="1"/>
    <x v="0"/>
    <s v="Mar"/>
    <s v="Q1"/>
    <x v="2"/>
    <n v="1"/>
    <n v="25.84"/>
  </r>
  <r>
    <s v="ORD01106"/>
    <d v="2025-12-05T00:00:00"/>
    <d v="2025-12-07T00:00:00"/>
    <s v="C0249"/>
    <x v="148"/>
    <s v="Corporate"/>
    <x v="0"/>
    <x v="15"/>
    <s v="P010"/>
    <x v="6"/>
    <x v="4"/>
    <n v="1"/>
    <n v="1800"/>
    <x v="0"/>
    <n v="1800"/>
    <n v="593.16"/>
    <x v="1"/>
    <x v="0"/>
    <x v="2"/>
    <x v="0"/>
    <x v="10"/>
    <s v="Dec"/>
    <s v="Q4"/>
    <x v="19"/>
    <n v="2"/>
    <n v="32.950000000000003"/>
  </r>
  <r>
    <s v="ORD01593"/>
    <d v="2025-10-12T00:00:00"/>
    <d v="2025-10-19T00:00:00"/>
    <s v="C0226"/>
    <x v="25"/>
    <s v="Small Business"/>
    <x v="3"/>
    <x v="6"/>
    <s v="P012"/>
    <x v="4"/>
    <x v="3"/>
    <n v="1"/>
    <n v="3500"/>
    <x v="0"/>
    <n v="3500"/>
    <n v="825.75"/>
    <x v="3"/>
    <x v="1"/>
    <x v="2"/>
    <x v="0"/>
    <x v="1"/>
    <s v="Oct"/>
    <s v="Q4"/>
    <x v="14"/>
    <n v="7"/>
    <n v="23.59"/>
  </r>
  <r>
    <s v="ORD01261"/>
    <d v="2024-05-04T00:00:00"/>
    <d v="2024-05-10T00:00:00"/>
    <s v="C0145"/>
    <x v="16"/>
    <s v="Corporate"/>
    <x v="3"/>
    <x v="8"/>
    <s v="P001"/>
    <x v="8"/>
    <x v="2"/>
    <n v="4"/>
    <n v="55000"/>
    <x v="3"/>
    <n v="209000"/>
    <n v="31858.18"/>
    <x v="3"/>
    <x v="1"/>
    <x v="4"/>
    <x v="1"/>
    <x v="4"/>
    <s v="May"/>
    <s v="Q2"/>
    <x v="8"/>
    <n v="6"/>
    <n v="15.24"/>
  </r>
  <r>
    <s v="ORD00067"/>
    <d v="2025-01-20T00:00:00"/>
    <d v="2025-01-23T00:00:00"/>
    <s v="C0068"/>
    <x v="247"/>
    <s v="Consumer"/>
    <x v="3"/>
    <x v="6"/>
    <s v="P010"/>
    <x v="6"/>
    <x v="4"/>
    <n v="1"/>
    <n v="1800"/>
    <x v="0"/>
    <n v="1800"/>
    <n v="650.5"/>
    <x v="5"/>
    <x v="1"/>
    <x v="3"/>
    <x v="0"/>
    <x v="11"/>
    <s v="Jan"/>
    <s v="Q1"/>
    <x v="17"/>
    <n v="3"/>
    <n v="36.14"/>
  </r>
  <r>
    <s v="ORD00688"/>
    <d v="2025-05-23T00:00:00"/>
    <d v="2025-05-29T00:00:00"/>
    <s v="C0269"/>
    <x v="102"/>
    <s v="Consumer"/>
    <x v="2"/>
    <x v="3"/>
    <s v="P005"/>
    <x v="0"/>
    <x v="0"/>
    <n v="4"/>
    <n v="7000"/>
    <x v="0"/>
    <n v="28000"/>
    <n v="5789.96"/>
    <x v="3"/>
    <x v="2"/>
    <x v="0"/>
    <x v="0"/>
    <x v="4"/>
    <s v="May"/>
    <s v="Q2"/>
    <x v="5"/>
    <n v="6"/>
    <n v="20.68"/>
  </r>
  <r>
    <s v="ORD00637"/>
    <d v="2024-01-03T00:00:00"/>
    <d v="2024-01-11T00:00:00"/>
    <s v="C0115"/>
    <x v="237"/>
    <s v="Consumer"/>
    <x v="0"/>
    <x v="0"/>
    <s v="P001"/>
    <x v="8"/>
    <x v="2"/>
    <n v="1"/>
    <n v="55000"/>
    <x v="0"/>
    <n v="55000"/>
    <n v="10715.87"/>
    <x v="2"/>
    <x v="2"/>
    <x v="4"/>
    <x v="1"/>
    <x v="11"/>
    <s v="Jan"/>
    <s v="Q1"/>
    <x v="21"/>
    <n v="8"/>
    <n v="19.48"/>
  </r>
  <r>
    <s v="ORD01432"/>
    <d v="2024-08-17T00:00:00"/>
    <d v="2024-08-24T00:00:00"/>
    <s v="C0275"/>
    <x v="281"/>
    <s v="Small Business"/>
    <x v="0"/>
    <x v="15"/>
    <s v="P006"/>
    <x v="1"/>
    <x v="0"/>
    <n v="1"/>
    <n v="9500"/>
    <x v="1"/>
    <n v="8075"/>
    <n v="1602.71"/>
    <x v="3"/>
    <x v="0"/>
    <x v="4"/>
    <x v="1"/>
    <x v="7"/>
    <s v="Aug"/>
    <s v="Q3"/>
    <x v="9"/>
    <n v="7"/>
    <n v="19.850000000000001"/>
  </r>
  <r>
    <s v="ORD01012"/>
    <d v="2024-09-19T00:00:00"/>
    <d v="2024-09-22T00:00:00"/>
    <s v="C0133"/>
    <x v="97"/>
    <s v="Consumer"/>
    <x v="1"/>
    <x v="5"/>
    <s v="P008"/>
    <x v="11"/>
    <x v="1"/>
    <n v="3"/>
    <n v="250"/>
    <x v="3"/>
    <n v="712.5"/>
    <n v="273.63"/>
    <x v="2"/>
    <x v="2"/>
    <x v="0"/>
    <x v="1"/>
    <x v="9"/>
    <s v="Sep"/>
    <s v="Q3"/>
    <x v="20"/>
    <n v="3"/>
    <n v="38.4"/>
  </r>
  <r>
    <s v="ORD00893"/>
    <d v="2024-11-29T00:00:00"/>
    <d v="2024-12-01T00:00:00"/>
    <s v="C0024"/>
    <x v="286"/>
    <s v="Small Business"/>
    <x v="1"/>
    <x v="5"/>
    <s v="P012"/>
    <x v="4"/>
    <x v="3"/>
    <n v="1"/>
    <n v="3500"/>
    <x v="3"/>
    <n v="3325"/>
    <n v="915.11"/>
    <x v="3"/>
    <x v="1"/>
    <x v="0"/>
    <x v="1"/>
    <x v="2"/>
    <s v="Nov"/>
    <s v="Q4"/>
    <x v="3"/>
    <n v="2"/>
    <n v="27.52"/>
  </r>
  <r>
    <s v="ORD00152"/>
    <d v="2024-11-03T00:00:00"/>
    <d v="2024-11-07T00:00:00"/>
    <s v="C0210"/>
    <x v="29"/>
    <s v="Small Business"/>
    <x v="0"/>
    <x v="2"/>
    <s v="P003"/>
    <x v="5"/>
    <x v="2"/>
    <n v="3"/>
    <n v="3000"/>
    <x v="3"/>
    <n v="8550"/>
    <n v="2042.73"/>
    <x v="3"/>
    <x v="2"/>
    <x v="2"/>
    <x v="1"/>
    <x v="2"/>
    <s v="Nov"/>
    <s v="Q4"/>
    <x v="3"/>
    <n v="4"/>
    <n v="23.89"/>
  </r>
  <r>
    <s v="ORD00689"/>
    <d v="2024-08-11T00:00:00"/>
    <d v="2024-08-16T00:00:00"/>
    <s v="C0121"/>
    <x v="207"/>
    <s v="Consumer"/>
    <x v="3"/>
    <x v="12"/>
    <s v="P007"/>
    <x v="10"/>
    <x v="0"/>
    <n v="1"/>
    <n v="6000"/>
    <x v="0"/>
    <n v="6000"/>
    <n v="1131.33"/>
    <x v="0"/>
    <x v="1"/>
    <x v="4"/>
    <x v="1"/>
    <x v="7"/>
    <s v="Aug"/>
    <s v="Q3"/>
    <x v="9"/>
    <n v="5"/>
    <n v="18.86"/>
  </r>
  <r>
    <s v="ORD01225"/>
    <d v="2025-08-23T00:00:00"/>
    <d v="2025-08-28T00:00:00"/>
    <s v="C0100"/>
    <x v="270"/>
    <s v="Consumer"/>
    <x v="2"/>
    <x v="4"/>
    <s v="P001"/>
    <x v="8"/>
    <x v="2"/>
    <n v="1"/>
    <n v="55000"/>
    <x v="0"/>
    <n v="55000"/>
    <n v="10537.72"/>
    <x v="1"/>
    <x v="0"/>
    <x v="1"/>
    <x v="0"/>
    <x v="7"/>
    <s v="Aug"/>
    <s v="Q3"/>
    <x v="22"/>
    <n v="5"/>
    <n v="19.16"/>
  </r>
  <r>
    <s v="ORD01267"/>
    <d v="2024-09-20T00:00:00"/>
    <d v="2024-09-27T00:00:00"/>
    <s v="C0095"/>
    <x v="15"/>
    <s v="Consumer"/>
    <x v="2"/>
    <x v="4"/>
    <s v="P012"/>
    <x v="4"/>
    <x v="3"/>
    <n v="3"/>
    <n v="3500"/>
    <x v="1"/>
    <n v="8925"/>
    <n v="3007.85"/>
    <x v="2"/>
    <x v="0"/>
    <x v="1"/>
    <x v="1"/>
    <x v="9"/>
    <s v="Sep"/>
    <s v="Q3"/>
    <x v="20"/>
    <n v="7"/>
    <n v="33.700000000000003"/>
  </r>
  <r>
    <s v="ORD00482"/>
    <d v="2024-01-24T00:00:00"/>
    <d v="2024-01-28T00:00:00"/>
    <s v="C0231"/>
    <x v="32"/>
    <s v="Small Business"/>
    <x v="1"/>
    <x v="1"/>
    <s v="P008"/>
    <x v="11"/>
    <x v="1"/>
    <n v="1"/>
    <n v="250"/>
    <x v="1"/>
    <n v="212.5"/>
    <n v="77.790000000000006"/>
    <x v="1"/>
    <x v="2"/>
    <x v="4"/>
    <x v="1"/>
    <x v="11"/>
    <s v="Jan"/>
    <s v="Q1"/>
    <x v="21"/>
    <n v="4"/>
    <n v="36.61"/>
  </r>
  <r>
    <s v="ORD00042"/>
    <d v="2025-09-15T00:00:00"/>
    <d v="2025-09-16T00:00:00"/>
    <s v="C0286"/>
    <x v="39"/>
    <s v="Corporate"/>
    <x v="3"/>
    <x v="7"/>
    <s v="P001"/>
    <x v="8"/>
    <x v="2"/>
    <n v="5"/>
    <n v="55000"/>
    <x v="2"/>
    <n v="220000"/>
    <n v="38704.58"/>
    <x v="4"/>
    <x v="1"/>
    <x v="4"/>
    <x v="0"/>
    <x v="9"/>
    <s v="Sep"/>
    <s v="Q3"/>
    <x v="11"/>
    <n v="1"/>
    <n v="17.59"/>
  </r>
  <r>
    <s v="ORD01667"/>
    <d v="2024-07-10T00:00:00"/>
    <d v="2024-07-17T00:00:00"/>
    <s v="C0247"/>
    <x v="277"/>
    <s v="Consumer"/>
    <x v="1"/>
    <x v="16"/>
    <s v="P004"/>
    <x v="7"/>
    <x v="2"/>
    <n v="1"/>
    <n v="8000"/>
    <x v="0"/>
    <n v="8000"/>
    <n v="1976.7"/>
    <x v="3"/>
    <x v="2"/>
    <x v="4"/>
    <x v="1"/>
    <x v="3"/>
    <s v="Jul"/>
    <s v="Q3"/>
    <x v="4"/>
    <n v="7"/>
    <n v="24.71"/>
  </r>
  <r>
    <s v="ORD01494"/>
    <d v="2025-11-16T00:00:00"/>
    <d v="2025-11-17T00:00:00"/>
    <s v="C0253"/>
    <x v="200"/>
    <s v="Corporate"/>
    <x v="0"/>
    <x v="11"/>
    <s v="P001"/>
    <x v="8"/>
    <x v="2"/>
    <n v="2"/>
    <n v="55000"/>
    <x v="0"/>
    <n v="110000"/>
    <n v="14177.83"/>
    <x v="4"/>
    <x v="0"/>
    <x v="1"/>
    <x v="0"/>
    <x v="2"/>
    <s v="Nov"/>
    <s v="Q4"/>
    <x v="23"/>
    <n v="1"/>
    <n v="12.89"/>
  </r>
  <r>
    <s v="ORD01605"/>
    <d v="2024-06-12T00:00:00"/>
    <d v="2024-06-14T00:00:00"/>
    <s v="C0085"/>
    <x v="229"/>
    <s v="Consumer"/>
    <x v="3"/>
    <x v="12"/>
    <s v="P006"/>
    <x v="1"/>
    <x v="0"/>
    <n v="2"/>
    <n v="9500"/>
    <x v="4"/>
    <n v="17100"/>
    <n v="2909.53"/>
    <x v="2"/>
    <x v="0"/>
    <x v="3"/>
    <x v="1"/>
    <x v="8"/>
    <s v="Jun"/>
    <s v="Q2"/>
    <x v="12"/>
    <n v="2"/>
    <n v="17.010000000000002"/>
  </r>
  <r>
    <s v="ORD00172"/>
    <d v="2024-05-27T00:00:00"/>
    <d v="2024-05-29T00:00:00"/>
    <s v="C0107"/>
    <x v="6"/>
    <s v="Corporate"/>
    <x v="2"/>
    <x v="4"/>
    <s v="P010"/>
    <x v="6"/>
    <x v="4"/>
    <n v="3"/>
    <n v="1800"/>
    <x v="1"/>
    <n v="4590"/>
    <n v="1652.06"/>
    <x v="3"/>
    <x v="0"/>
    <x v="1"/>
    <x v="1"/>
    <x v="4"/>
    <s v="May"/>
    <s v="Q2"/>
    <x v="8"/>
    <n v="2"/>
    <n v="35.99"/>
  </r>
  <r>
    <s v="ORD00480"/>
    <d v="2024-07-23T00:00:00"/>
    <d v="2024-07-25T00:00:00"/>
    <s v="C0023"/>
    <x v="132"/>
    <s v="Small Business"/>
    <x v="1"/>
    <x v="16"/>
    <s v="P004"/>
    <x v="7"/>
    <x v="2"/>
    <n v="3"/>
    <n v="8000"/>
    <x v="0"/>
    <n v="24000"/>
    <n v="6018.56"/>
    <x v="2"/>
    <x v="2"/>
    <x v="3"/>
    <x v="1"/>
    <x v="3"/>
    <s v="Jul"/>
    <s v="Q3"/>
    <x v="4"/>
    <n v="2"/>
    <n v="25.08"/>
  </r>
  <r>
    <s v="ORD01170"/>
    <d v="2024-02-16T00:00:00"/>
    <d v="2024-02-23T00:00:00"/>
    <s v="C0056"/>
    <x v="26"/>
    <s v="Small Business"/>
    <x v="3"/>
    <x v="12"/>
    <s v="P012"/>
    <x v="4"/>
    <x v="3"/>
    <n v="1"/>
    <n v="3500"/>
    <x v="0"/>
    <n v="3500"/>
    <n v="1209.56"/>
    <x v="5"/>
    <x v="1"/>
    <x v="0"/>
    <x v="1"/>
    <x v="6"/>
    <s v="Feb"/>
    <s v="Q1"/>
    <x v="18"/>
    <n v="7"/>
    <n v="34.56"/>
  </r>
  <r>
    <s v="ORD01446"/>
    <d v="2024-01-21T00:00:00"/>
    <d v="2024-01-29T00:00:00"/>
    <s v="C0245"/>
    <x v="118"/>
    <s v="Corporate"/>
    <x v="0"/>
    <x v="11"/>
    <s v="P003"/>
    <x v="5"/>
    <x v="2"/>
    <n v="2"/>
    <n v="3000"/>
    <x v="2"/>
    <n v="4800"/>
    <n v="1216.73"/>
    <x v="1"/>
    <x v="2"/>
    <x v="2"/>
    <x v="1"/>
    <x v="11"/>
    <s v="Jan"/>
    <s v="Q1"/>
    <x v="21"/>
    <n v="8"/>
    <n v="25.35"/>
  </r>
  <r>
    <s v="ORD00122"/>
    <d v="2024-10-22T00:00:00"/>
    <d v="2024-10-28T00:00:00"/>
    <s v="C0116"/>
    <x v="131"/>
    <s v="Corporate"/>
    <x v="2"/>
    <x v="3"/>
    <s v="P005"/>
    <x v="0"/>
    <x v="0"/>
    <n v="3"/>
    <n v="7000"/>
    <x v="3"/>
    <n v="19950"/>
    <n v="3628.9"/>
    <x v="1"/>
    <x v="2"/>
    <x v="4"/>
    <x v="1"/>
    <x v="1"/>
    <s v="Oct"/>
    <s v="Q4"/>
    <x v="1"/>
    <n v="6"/>
    <n v="18.190000000000001"/>
  </r>
  <r>
    <s v="ORD01273"/>
    <d v="2024-12-20T00:00:00"/>
    <d v="2024-12-24T00:00:00"/>
    <s v="C0175"/>
    <x v="271"/>
    <s v="Consumer"/>
    <x v="0"/>
    <x v="10"/>
    <s v="P006"/>
    <x v="1"/>
    <x v="0"/>
    <n v="1"/>
    <n v="9500"/>
    <x v="2"/>
    <n v="7600"/>
    <n v="1515.48"/>
    <x v="1"/>
    <x v="2"/>
    <x v="2"/>
    <x v="1"/>
    <x v="10"/>
    <s v="Dec"/>
    <s v="Q4"/>
    <x v="16"/>
    <n v="4"/>
    <n v="19.940000000000001"/>
  </r>
  <r>
    <s v="ORD01207"/>
    <d v="2024-01-14T00:00:00"/>
    <d v="2024-01-18T00:00:00"/>
    <s v="C0193"/>
    <x v="243"/>
    <s v="Corporate"/>
    <x v="3"/>
    <x v="8"/>
    <s v="P003"/>
    <x v="5"/>
    <x v="2"/>
    <n v="1"/>
    <n v="3000"/>
    <x v="1"/>
    <n v="2550"/>
    <n v="572.66999999999996"/>
    <x v="0"/>
    <x v="1"/>
    <x v="3"/>
    <x v="1"/>
    <x v="11"/>
    <s v="Jan"/>
    <s v="Q1"/>
    <x v="21"/>
    <n v="4"/>
    <n v="22.46"/>
  </r>
  <r>
    <s v="ORD00029"/>
    <d v="2025-09-02T00:00:00"/>
    <d v="2025-09-05T00:00:00"/>
    <s v="C0169"/>
    <x v="196"/>
    <s v="Corporate"/>
    <x v="3"/>
    <x v="6"/>
    <s v="P003"/>
    <x v="5"/>
    <x v="2"/>
    <n v="1"/>
    <n v="3000"/>
    <x v="2"/>
    <n v="2400"/>
    <n v="787.4"/>
    <x v="1"/>
    <x v="1"/>
    <x v="2"/>
    <x v="0"/>
    <x v="9"/>
    <s v="Sep"/>
    <s v="Q3"/>
    <x v="11"/>
    <n v="3"/>
    <n v="32.81"/>
  </r>
  <r>
    <s v="ORD01676"/>
    <d v="2025-07-23T00:00:00"/>
    <d v="2025-07-24T00:00:00"/>
    <s v="C0183"/>
    <x v="244"/>
    <s v="Corporate"/>
    <x v="1"/>
    <x v="1"/>
    <s v="P008"/>
    <x v="11"/>
    <x v="1"/>
    <n v="3"/>
    <n v="250"/>
    <x v="0"/>
    <n v="750"/>
    <n v="298.67"/>
    <x v="6"/>
    <x v="1"/>
    <x v="2"/>
    <x v="0"/>
    <x v="3"/>
    <s v="Jul"/>
    <s v="Q3"/>
    <x v="15"/>
    <n v="1"/>
    <n v="39.82"/>
  </r>
  <r>
    <s v="ORD00804"/>
    <d v="2025-03-28T00:00:00"/>
    <d v="2025-03-30T00:00:00"/>
    <s v="C0066"/>
    <x v="20"/>
    <s v="Consumer"/>
    <x v="1"/>
    <x v="1"/>
    <s v="P001"/>
    <x v="8"/>
    <x v="2"/>
    <n v="1"/>
    <n v="55000"/>
    <x v="4"/>
    <n v="49500"/>
    <n v="8468.7199999999993"/>
    <x v="2"/>
    <x v="2"/>
    <x v="3"/>
    <x v="0"/>
    <x v="0"/>
    <s v="Mar"/>
    <s v="Q1"/>
    <x v="0"/>
    <n v="2"/>
    <n v="17.11"/>
  </r>
  <r>
    <s v="ORD01462"/>
    <d v="2024-11-25T00:00:00"/>
    <d v="2024-11-30T00:00:00"/>
    <s v="C0097"/>
    <x v="295"/>
    <s v="Corporate"/>
    <x v="1"/>
    <x v="1"/>
    <s v="P003"/>
    <x v="5"/>
    <x v="2"/>
    <n v="1"/>
    <n v="3000"/>
    <x v="3"/>
    <n v="2850"/>
    <n v="815.77"/>
    <x v="1"/>
    <x v="1"/>
    <x v="1"/>
    <x v="1"/>
    <x v="2"/>
    <s v="Nov"/>
    <s v="Q4"/>
    <x v="3"/>
    <n v="5"/>
    <n v="28.62"/>
  </r>
  <r>
    <s v="ORD01680"/>
    <d v="2025-03-06T00:00:00"/>
    <d v="2025-03-08T00:00:00"/>
    <s v="C0090"/>
    <x v="58"/>
    <s v="Consumer"/>
    <x v="0"/>
    <x v="10"/>
    <s v="P011"/>
    <x v="9"/>
    <x v="4"/>
    <n v="1"/>
    <n v="600"/>
    <x v="2"/>
    <n v="480"/>
    <n v="139.16999999999999"/>
    <x v="4"/>
    <x v="1"/>
    <x v="3"/>
    <x v="0"/>
    <x v="0"/>
    <s v="Mar"/>
    <s v="Q1"/>
    <x v="0"/>
    <n v="2"/>
    <n v="28.99"/>
  </r>
  <r>
    <s v="ORD01047"/>
    <d v="2025-09-12T00:00:00"/>
    <d v="2025-09-15T00:00:00"/>
    <s v="C0063"/>
    <x v="275"/>
    <s v="Consumer"/>
    <x v="0"/>
    <x v="0"/>
    <s v="P004"/>
    <x v="7"/>
    <x v="2"/>
    <n v="1"/>
    <n v="8000"/>
    <x v="0"/>
    <n v="8000"/>
    <n v="1814.4"/>
    <x v="4"/>
    <x v="1"/>
    <x v="3"/>
    <x v="0"/>
    <x v="9"/>
    <s v="Sep"/>
    <s v="Q3"/>
    <x v="11"/>
    <n v="3"/>
    <n v="22.68"/>
  </r>
  <r>
    <s v="ORD00243"/>
    <d v="2024-07-29T00:00:00"/>
    <d v="2024-07-30T00:00:00"/>
    <s v="C0158"/>
    <x v="151"/>
    <s v="Small Business"/>
    <x v="2"/>
    <x v="9"/>
    <s v="P002"/>
    <x v="3"/>
    <x v="2"/>
    <n v="2"/>
    <n v="25000"/>
    <x v="0"/>
    <n v="50000"/>
    <n v="6509.45"/>
    <x v="4"/>
    <x v="2"/>
    <x v="4"/>
    <x v="1"/>
    <x v="3"/>
    <s v="Jul"/>
    <s v="Q3"/>
    <x v="4"/>
    <n v="1"/>
    <n v="13.02"/>
  </r>
  <r>
    <s v="ORD01852"/>
    <d v="2024-04-14T00:00:00"/>
    <d v="2024-04-20T00:00:00"/>
    <s v="C0210"/>
    <x v="29"/>
    <s v="Small Business"/>
    <x v="0"/>
    <x v="2"/>
    <s v="P008"/>
    <x v="11"/>
    <x v="1"/>
    <n v="1"/>
    <n v="250"/>
    <x v="3"/>
    <n v="237.5"/>
    <n v="93.58"/>
    <x v="2"/>
    <x v="0"/>
    <x v="4"/>
    <x v="1"/>
    <x v="5"/>
    <s v="Apr"/>
    <s v="Q2"/>
    <x v="6"/>
    <n v="6"/>
    <n v="39.4"/>
  </r>
  <r>
    <s v="ORD01449"/>
    <d v="2025-09-09T00:00:00"/>
    <d v="2025-09-16T00:00:00"/>
    <s v="C0043"/>
    <x v="279"/>
    <s v="Consumer"/>
    <x v="1"/>
    <x v="1"/>
    <s v="P006"/>
    <x v="1"/>
    <x v="0"/>
    <n v="10"/>
    <n v="9500"/>
    <x v="3"/>
    <n v="90250"/>
    <n v="12750.2"/>
    <x v="4"/>
    <x v="1"/>
    <x v="4"/>
    <x v="0"/>
    <x v="9"/>
    <s v="Sep"/>
    <s v="Q3"/>
    <x v="11"/>
    <n v="7"/>
    <n v="14.13"/>
  </r>
  <r>
    <s v="ORD01694"/>
    <d v="2025-05-28T00:00:00"/>
    <d v="2025-06-05T00:00:00"/>
    <s v="C0090"/>
    <x v="58"/>
    <s v="Consumer"/>
    <x v="0"/>
    <x v="10"/>
    <s v="P005"/>
    <x v="0"/>
    <x v="0"/>
    <n v="2"/>
    <n v="7000"/>
    <x v="0"/>
    <n v="14000"/>
    <n v="2542.9899999999998"/>
    <x v="2"/>
    <x v="2"/>
    <x v="0"/>
    <x v="0"/>
    <x v="4"/>
    <s v="May"/>
    <s v="Q2"/>
    <x v="5"/>
    <n v="8"/>
    <n v="18.16"/>
  </r>
  <r>
    <s v="ORD01582"/>
    <d v="2025-10-24T00:00:00"/>
    <d v="2025-10-31T00:00:00"/>
    <s v="C0269"/>
    <x v="102"/>
    <s v="Consumer"/>
    <x v="2"/>
    <x v="3"/>
    <s v="P008"/>
    <x v="11"/>
    <x v="1"/>
    <n v="1"/>
    <n v="250"/>
    <x v="4"/>
    <n v="225"/>
    <n v="83.79"/>
    <x v="3"/>
    <x v="2"/>
    <x v="0"/>
    <x v="0"/>
    <x v="1"/>
    <s v="Oct"/>
    <s v="Q4"/>
    <x v="14"/>
    <n v="7"/>
    <n v="37.24"/>
  </r>
  <r>
    <s v="ORD00869"/>
    <d v="2025-04-23T00:00:00"/>
    <d v="2025-04-30T00:00:00"/>
    <s v="C0219"/>
    <x v="60"/>
    <s v="Corporate"/>
    <x v="3"/>
    <x v="12"/>
    <s v="P012"/>
    <x v="4"/>
    <x v="3"/>
    <n v="1"/>
    <n v="3500"/>
    <x v="1"/>
    <n v="2975"/>
    <n v="741.62"/>
    <x v="4"/>
    <x v="2"/>
    <x v="2"/>
    <x v="0"/>
    <x v="5"/>
    <s v="Apr"/>
    <s v="Q2"/>
    <x v="13"/>
    <n v="7"/>
    <n v="24.93"/>
  </r>
  <r>
    <s v="ORD00356"/>
    <d v="2024-12-04T00:00:00"/>
    <d v="2024-12-10T00:00:00"/>
    <s v="C0131"/>
    <x v="156"/>
    <s v="Corporate"/>
    <x v="1"/>
    <x v="5"/>
    <s v="P001"/>
    <x v="8"/>
    <x v="2"/>
    <n v="5"/>
    <n v="55000"/>
    <x v="0"/>
    <n v="275000"/>
    <n v="37693.33"/>
    <x v="1"/>
    <x v="0"/>
    <x v="1"/>
    <x v="1"/>
    <x v="10"/>
    <s v="Dec"/>
    <s v="Q4"/>
    <x v="16"/>
    <n v="6"/>
    <n v="13.71"/>
  </r>
  <r>
    <s v="ORD00208"/>
    <d v="2025-03-25T00:00:00"/>
    <d v="2025-03-29T00:00:00"/>
    <s v="C0179"/>
    <x v="298"/>
    <s v="Consumer"/>
    <x v="3"/>
    <x v="6"/>
    <s v="P002"/>
    <x v="3"/>
    <x v="2"/>
    <n v="4"/>
    <n v="25000"/>
    <x v="0"/>
    <n v="100000"/>
    <n v="15153.79"/>
    <x v="4"/>
    <x v="2"/>
    <x v="1"/>
    <x v="0"/>
    <x v="0"/>
    <s v="Mar"/>
    <s v="Q1"/>
    <x v="0"/>
    <n v="4"/>
    <n v="15.15"/>
  </r>
  <r>
    <s v="ORD00528"/>
    <d v="2024-06-06T00:00:00"/>
    <d v="2024-06-11T00:00:00"/>
    <s v="C0248"/>
    <x v="1"/>
    <s v="Consumer"/>
    <x v="1"/>
    <x v="1"/>
    <s v="P009"/>
    <x v="2"/>
    <x v="1"/>
    <n v="1"/>
    <n v="180"/>
    <x v="3"/>
    <n v="171"/>
    <n v="76.41"/>
    <x v="3"/>
    <x v="0"/>
    <x v="3"/>
    <x v="1"/>
    <x v="8"/>
    <s v="Jun"/>
    <s v="Q2"/>
    <x v="12"/>
    <n v="5"/>
    <n v="44.68"/>
  </r>
  <r>
    <s v="ORD00872"/>
    <d v="2024-03-26T00:00:00"/>
    <d v="2024-03-29T00:00:00"/>
    <s v="C0196"/>
    <x v="22"/>
    <s v="Consumer"/>
    <x v="0"/>
    <x v="11"/>
    <s v="P007"/>
    <x v="10"/>
    <x v="0"/>
    <n v="3"/>
    <n v="6000"/>
    <x v="0"/>
    <n v="18000"/>
    <n v="4052.48"/>
    <x v="1"/>
    <x v="2"/>
    <x v="2"/>
    <x v="1"/>
    <x v="0"/>
    <s v="Mar"/>
    <s v="Q1"/>
    <x v="2"/>
    <n v="3"/>
    <n v="22.51"/>
  </r>
  <r>
    <s v="ORD01527"/>
    <d v="2025-04-25T00:00:00"/>
    <d v="2025-05-03T00:00:00"/>
    <s v="C0124"/>
    <x v="10"/>
    <s v="Small Business"/>
    <x v="1"/>
    <x v="1"/>
    <s v="P010"/>
    <x v="6"/>
    <x v="4"/>
    <n v="1"/>
    <n v="1800"/>
    <x v="0"/>
    <n v="1800"/>
    <n v="580.26"/>
    <x v="4"/>
    <x v="2"/>
    <x v="0"/>
    <x v="0"/>
    <x v="5"/>
    <s v="Apr"/>
    <s v="Q2"/>
    <x v="13"/>
    <n v="8"/>
    <n v="32.24"/>
  </r>
  <r>
    <s v="ORD00867"/>
    <d v="2024-11-25T00:00:00"/>
    <d v="2024-11-27T00:00:00"/>
    <s v="C0196"/>
    <x v="22"/>
    <s v="Consumer"/>
    <x v="0"/>
    <x v="11"/>
    <s v="P009"/>
    <x v="2"/>
    <x v="1"/>
    <n v="2"/>
    <n v="180"/>
    <x v="0"/>
    <n v="360"/>
    <n v="169.77"/>
    <x v="4"/>
    <x v="0"/>
    <x v="0"/>
    <x v="1"/>
    <x v="2"/>
    <s v="Nov"/>
    <s v="Q4"/>
    <x v="3"/>
    <n v="2"/>
    <n v="47.16"/>
  </r>
  <r>
    <s v="ORD00768"/>
    <d v="2024-04-30T00:00:00"/>
    <d v="2024-05-08T00:00:00"/>
    <s v="C0268"/>
    <x v="236"/>
    <s v="Corporate"/>
    <x v="2"/>
    <x v="14"/>
    <s v="P003"/>
    <x v="5"/>
    <x v="2"/>
    <n v="1"/>
    <n v="3000"/>
    <x v="0"/>
    <n v="3000"/>
    <n v="739.17"/>
    <x v="2"/>
    <x v="0"/>
    <x v="2"/>
    <x v="1"/>
    <x v="5"/>
    <s v="Apr"/>
    <s v="Q2"/>
    <x v="6"/>
    <n v="8"/>
    <n v="24.64"/>
  </r>
  <r>
    <s v="ORD00975"/>
    <d v="2024-06-30T00:00:00"/>
    <d v="2024-07-02T00:00:00"/>
    <s v="C0159"/>
    <x v="146"/>
    <s v="Corporate"/>
    <x v="0"/>
    <x v="15"/>
    <s v="P003"/>
    <x v="5"/>
    <x v="2"/>
    <n v="4"/>
    <n v="3000"/>
    <x v="1"/>
    <n v="10200"/>
    <n v="2885.97"/>
    <x v="4"/>
    <x v="0"/>
    <x v="0"/>
    <x v="1"/>
    <x v="8"/>
    <s v="Jun"/>
    <s v="Q2"/>
    <x v="12"/>
    <n v="2"/>
    <n v="28.29"/>
  </r>
  <r>
    <s v="ORD00651"/>
    <d v="2024-04-02T00:00:00"/>
    <d v="2024-04-08T00:00:00"/>
    <s v="C0180"/>
    <x v="89"/>
    <s v="Corporate"/>
    <x v="2"/>
    <x v="9"/>
    <s v="P001"/>
    <x v="8"/>
    <x v="2"/>
    <n v="1"/>
    <n v="55000"/>
    <x v="1"/>
    <n v="46750"/>
    <n v="9060.75"/>
    <x v="3"/>
    <x v="0"/>
    <x v="1"/>
    <x v="1"/>
    <x v="5"/>
    <s v="Apr"/>
    <s v="Q2"/>
    <x v="6"/>
    <n v="6"/>
    <n v="19.38"/>
  </r>
  <r>
    <s v="ORD01515"/>
    <d v="2024-05-22T00:00:00"/>
    <d v="2024-05-29T00:00:00"/>
    <s v="C0082"/>
    <x v="223"/>
    <s v="Corporate"/>
    <x v="0"/>
    <x v="10"/>
    <s v="P010"/>
    <x v="6"/>
    <x v="4"/>
    <n v="10"/>
    <n v="1800"/>
    <x v="2"/>
    <n v="14400"/>
    <n v="3942.92"/>
    <x v="2"/>
    <x v="1"/>
    <x v="3"/>
    <x v="1"/>
    <x v="4"/>
    <s v="May"/>
    <s v="Q2"/>
    <x v="8"/>
    <n v="7"/>
    <n v="27.38"/>
  </r>
  <r>
    <s v="ORD00178"/>
    <d v="2025-04-04T00:00:00"/>
    <d v="2025-04-05T00:00:00"/>
    <s v="C0096"/>
    <x v="172"/>
    <s v="Consumer"/>
    <x v="1"/>
    <x v="1"/>
    <s v="P007"/>
    <x v="10"/>
    <x v="0"/>
    <n v="2"/>
    <n v="6000"/>
    <x v="4"/>
    <n v="10800"/>
    <n v="2237.46"/>
    <x v="2"/>
    <x v="1"/>
    <x v="1"/>
    <x v="0"/>
    <x v="5"/>
    <s v="Apr"/>
    <s v="Q2"/>
    <x v="13"/>
    <n v="1"/>
    <n v="20.72"/>
  </r>
  <r>
    <s v="ORD00196"/>
    <d v="2025-09-20T00:00:00"/>
    <d v="2025-09-27T00:00:00"/>
    <s v="C0203"/>
    <x v="179"/>
    <s v="Consumer"/>
    <x v="1"/>
    <x v="13"/>
    <s v="P001"/>
    <x v="8"/>
    <x v="2"/>
    <n v="4"/>
    <n v="55000"/>
    <x v="3"/>
    <n v="209000"/>
    <n v="35245.47"/>
    <x v="2"/>
    <x v="2"/>
    <x v="2"/>
    <x v="0"/>
    <x v="9"/>
    <s v="Sep"/>
    <s v="Q3"/>
    <x v="11"/>
    <n v="7"/>
    <n v="16.86"/>
  </r>
  <r>
    <s v="ORD00790"/>
    <d v="2024-03-24T00:00:00"/>
    <d v="2024-03-25T00:00:00"/>
    <s v="C0202"/>
    <x v="222"/>
    <s v="Small Business"/>
    <x v="2"/>
    <x v="9"/>
    <s v="P009"/>
    <x v="2"/>
    <x v="1"/>
    <n v="3"/>
    <n v="180"/>
    <x v="1"/>
    <n v="459"/>
    <n v="198.39"/>
    <x v="5"/>
    <x v="1"/>
    <x v="3"/>
    <x v="1"/>
    <x v="0"/>
    <s v="Mar"/>
    <s v="Q1"/>
    <x v="2"/>
    <n v="1"/>
    <n v="43.22"/>
  </r>
  <r>
    <s v="ORD00513"/>
    <d v="2024-07-01T00:00:00"/>
    <d v="2024-07-04T00:00:00"/>
    <s v="C0056"/>
    <x v="26"/>
    <s v="Small Business"/>
    <x v="3"/>
    <x v="12"/>
    <s v="P007"/>
    <x v="10"/>
    <x v="0"/>
    <n v="1"/>
    <n v="6000"/>
    <x v="0"/>
    <n v="6000"/>
    <n v="1359.99"/>
    <x v="0"/>
    <x v="2"/>
    <x v="1"/>
    <x v="1"/>
    <x v="3"/>
    <s v="Jul"/>
    <s v="Q3"/>
    <x v="4"/>
    <n v="3"/>
    <n v="22.67"/>
  </r>
  <r>
    <s v="ORD00906"/>
    <d v="2024-08-03T00:00:00"/>
    <d v="2024-08-04T00:00:00"/>
    <s v="C0171"/>
    <x v="257"/>
    <s v="Corporate"/>
    <x v="3"/>
    <x v="12"/>
    <s v="P003"/>
    <x v="5"/>
    <x v="2"/>
    <n v="4"/>
    <n v="3000"/>
    <x v="2"/>
    <n v="9600"/>
    <n v="2275.2800000000002"/>
    <x v="4"/>
    <x v="1"/>
    <x v="0"/>
    <x v="1"/>
    <x v="7"/>
    <s v="Aug"/>
    <s v="Q3"/>
    <x v="9"/>
    <n v="1"/>
    <n v="23.7"/>
  </r>
  <r>
    <s v="ORD00507"/>
    <d v="2024-06-12T00:00:00"/>
    <d v="2024-06-15T00:00:00"/>
    <s v="C0262"/>
    <x v="175"/>
    <s v="Corporate"/>
    <x v="0"/>
    <x v="15"/>
    <s v="P010"/>
    <x v="6"/>
    <x v="4"/>
    <n v="1"/>
    <n v="1800"/>
    <x v="3"/>
    <n v="1710"/>
    <n v="429.46"/>
    <x v="3"/>
    <x v="2"/>
    <x v="2"/>
    <x v="1"/>
    <x v="8"/>
    <s v="Jun"/>
    <s v="Q2"/>
    <x v="12"/>
    <n v="3"/>
    <n v="25.11"/>
  </r>
  <r>
    <s v="ORD00410"/>
    <d v="2025-08-11T00:00:00"/>
    <d v="2025-08-19T00:00:00"/>
    <s v="C0132"/>
    <x v="203"/>
    <s v="Small Business"/>
    <x v="1"/>
    <x v="1"/>
    <s v="P009"/>
    <x v="2"/>
    <x v="1"/>
    <n v="1"/>
    <n v="180"/>
    <x v="3"/>
    <n v="171"/>
    <n v="83.6"/>
    <x v="4"/>
    <x v="1"/>
    <x v="0"/>
    <x v="0"/>
    <x v="7"/>
    <s v="Aug"/>
    <s v="Q3"/>
    <x v="22"/>
    <n v="8"/>
    <n v="48.89"/>
  </r>
  <r>
    <s v="ORD00934"/>
    <d v="2025-06-17T00:00:00"/>
    <d v="2025-06-19T00:00:00"/>
    <s v="C0142"/>
    <x v="272"/>
    <s v="Small Business"/>
    <x v="0"/>
    <x v="2"/>
    <s v="P007"/>
    <x v="10"/>
    <x v="0"/>
    <n v="5"/>
    <n v="6000"/>
    <x v="2"/>
    <n v="24000"/>
    <n v="5760"/>
    <x v="3"/>
    <x v="1"/>
    <x v="4"/>
    <x v="0"/>
    <x v="8"/>
    <s v="Jun"/>
    <s v="Q2"/>
    <x v="10"/>
    <n v="2"/>
    <n v="24"/>
  </r>
  <r>
    <s v="ORD00852"/>
    <d v="2024-06-14T00:00:00"/>
    <d v="2024-06-17T00:00:00"/>
    <s v="C0242"/>
    <x v="254"/>
    <s v="Consumer"/>
    <x v="2"/>
    <x v="4"/>
    <s v="P005"/>
    <x v="0"/>
    <x v="0"/>
    <n v="1"/>
    <n v="7000"/>
    <x v="0"/>
    <n v="7000"/>
    <n v="1451.9"/>
    <x v="3"/>
    <x v="0"/>
    <x v="1"/>
    <x v="1"/>
    <x v="8"/>
    <s v="Jun"/>
    <s v="Q2"/>
    <x v="12"/>
    <n v="3"/>
    <n v="20.74"/>
  </r>
  <r>
    <s v="ORD00221"/>
    <d v="2025-01-27T00:00:00"/>
    <d v="2025-02-02T00:00:00"/>
    <s v="C0037"/>
    <x v="18"/>
    <s v="Consumer"/>
    <x v="0"/>
    <x v="0"/>
    <s v="P004"/>
    <x v="7"/>
    <x v="2"/>
    <n v="1"/>
    <n v="8000"/>
    <x v="2"/>
    <n v="6400"/>
    <n v="1185.55"/>
    <x v="3"/>
    <x v="1"/>
    <x v="2"/>
    <x v="0"/>
    <x v="11"/>
    <s v="Jan"/>
    <s v="Q1"/>
    <x v="17"/>
    <n v="6"/>
    <n v="18.52"/>
  </r>
  <r>
    <s v="ORD01114"/>
    <d v="2024-03-05T00:00:00"/>
    <d v="2024-03-11T00:00:00"/>
    <s v="C0200"/>
    <x v="245"/>
    <s v="Consumer"/>
    <x v="2"/>
    <x v="14"/>
    <s v="P009"/>
    <x v="2"/>
    <x v="1"/>
    <n v="1"/>
    <n v="180"/>
    <x v="0"/>
    <n v="180"/>
    <n v="68.099999999999994"/>
    <x v="0"/>
    <x v="2"/>
    <x v="2"/>
    <x v="1"/>
    <x v="0"/>
    <s v="Mar"/>
    <s v="Q1"/>
    <x v="2"/>
    <n v="6"/>
    <n v="37.83"/>
  </r>
  <r>
    <s v="ORD00382"/>
    <d v="2024-08-12T00:00:00"/>
    <d v="2024-08-18T00:00:00"/>
    <s v="C0184"/>
    <x v="115"/>
    <s v="Consumer"/>
    <x v="2"/>
    <x v="9"/>
    <s v="P001"/>
    <x v="8"/>
    <x v="2"/>
    <n v="3"/>
    <n v="55000"/>
    <x v="0"/>
    <n v="165000"/>
    <n v="21536.79"/>
    <x v="4"/>
    <x v="0"/>
    <x v="2"/>
    <x v="1"/>
    <x v="7"/>
    <s v="Aug"/>
    <s v="Q3"/>
    <x v="9"/>
    <n v="6"/>
    <n v="13.05"/>
  </r>
  <r>
    <s v="ORD00971"/>
    <d v="2024-10-13T00:00:00"/>
    <d v="2024-10-15T00:00:00"/>
    <s v="C0113"/>
    <x v="195"/>
    <s v="Small Business"/>
    <x v="1"/>
    <x v="16"/>
    <s v="P012"/>
    <x v="4"/>
    <x v="3"/>
    <n v="10"/>
    <n v="3500"/>
    <x v="4"/>
    <n v="31500"/>
    <n v="9706.2999999999993"/>
    <x v="5"/>
    <x v="2"/>
    <x v="0"/>
    <x v="1"/>
    <x v="1"/>
    <s v="Oct"/>
    <s v="Q4"/>
    <x v="1"/>
    <n v="2"/>
    <n v="30.81"/>
  </r>
  <r>
    <s v="ORD01915"/>
    <d v="2024-09-16T00:00:00"/>
    <d v="2024-09-21T00:00:00"/>
    <s v="C0258"/>
    <x v="45"/>
    <s v="Small Business"/>
    <x v="0"/>
    <x v="10"/>
    <s v="P006"/>
    <x v="1"/>
    <x v="0"/>
    <n v="1"/>
    <n v="9500"/>
    <x v="2"/>
    <n v="7600"/>
    <n v="1659.81"/>
    <x v="2"/>
    <x v="0"/>
    <x v="0"/>
    <x v="1"/>
    <x v="9"/>
    <s v="Sep"/>
    <s v="Q3"/>
    <x v="20"/>
    <n v="5"/>
    <n v="21.84"/>
  </r>
  <r>
    <s v="ORD00856"/>
    <d v="2024-01-17T00:00:00"/>
    <d v="2024-01-21T00:00:00"/>
    <s v="C0103"/>
    <x v="274"/>
    <s v="Small Business"/>
    <x v="3"/>
    <x v="8"/>
    <s v="P002"/>
    <x v="3"/>
    <x v="2"/>
    <n v="2"/>
    <n v="25000"/>
    <x v="0"/>
    <n v="50000"/>
    <n v="6261.35"/>
    <x v="5"/>
    <x v="2"/>
    <x v="3"/>
    <x v="1"/>
    <x v="11"/>
    <s v="Jan"/>
    <s v="Q1"/>
    <x v="21"/>
    <n v="4"/>
    <n v="12.52"/>
  </r>
  <r>
    <s v="ORD01632"/>
    <d v="2024-12-11T00:00:00"/>
    <d v="2024-12-13T00:00:00"/>
    <s v="C0059"/>
    <x v="283"/>
    <s v="Consumer"/>
    <x v="3"/>
    <x v="7"/>
    <s v="P008"/>
    <x v="11"/>
    <x v="1"/>
    <n v="3"/>
    <n v="250"/>
    <x v="2"/>
    <n v="600"/>
    <n v="219.32"/>
    <x v="0"/>
    <x v="2"/>
    <x v="1"/>
    <x v="1"/>
    <x v="10"/>
    <s v="Dec"/>
    <s v="Q4"/>
    <x v="16"/>
    <n v="2"/>
    <n v="36.549999999999997"/>
  </r>
  <r>
    <s v="ORD01431"/>
    <d v="2024-08-31T00:00:00"/>
    <d v="2024-09-08T00:00:00"/>
    <s v="C0199"/>
    <x v="70"/>
    <s v="Consumer"/>
    <x v="2"/>
    <x v="14"/>
    <s v="P008"/>
    <x v="11"/>
    <x v="1"/>
    <n v="3"/>
    <n v="250"/>
    <x v="4"/>
    <n v="675"/>
    <n v="216"/>
    <x v="0"/>
    <x v="0"/>
    <x v="0"/>
    <x v="1"/>
    <x v="7"/>
    <s v="Aug"/>
    <s v="Q3"/>
    <x v="9"/>
    <n v="8"/>
    <n v="32"/>
  </r>
  <r>
    <s v="ORD00930"/>
    <d v="2025-06-25T00:00:00"/>
    <d v="2025-06-30T00:00:00"/>
    <s v="C0251"/>
    <x v="159"/>
    <s v="Consumer"/>
    <x v="0"/>
    <x v="10"/>
    <s v="P002"/>
    <x v="3"/>
    <x v="2"/>
    <n v="1"/>
    <n v="25000"/>
    <x v="4"/>
    <n v="22500"/>
    <n v="3530.79"/>
    <x v="1"/>
    <x v="0"/>
    <x v="3"/>
    <x v="0"/>
    <x v="8"/>
    <s v="Jun"/>
    <s v="Q2"/>
    <x v="10"/>
    <n v="5"/>
    <n v="15.69"/>
  </r>
  <r>
    <s v="ORD01411"/>
    <d v="2024-02-12T00:00:00"/>
    <d v="2024-02-15T00:00:00"/>
    <s v="C0029"/>
    <x v="133"/>
    <s v="Consumer"/>
    <x v="3"/>
    <x v="8"/>
    <s v="P009"/>
    <x v="2"/>
    <x v="1"/>
    <n v="1"/>
    <n v="180"/>
    <x v="0"/>
    <n v="180"/>
    <n v="66.650000000000006"/>
    <x v="5"/>
    <x v="1"/>
    <x v="3"/>
    <x v="1"/>
    <x v="6"/>
    <s v="Feb"/>
    <s v="Q1"/>
    <x v="18"/>
    <n v="3"/>
    <n v="37.03"/>
  </r>
  <r>
    <s v="ORD00451"/>
    <d v="2024-03-02T00:00:00"/>
    <d v="2024-03-04T00:00:00"/>
    <s v="C0174"/>
    <x v="100"/>
    <s v="Small Business"/>
    <x v="1"/>
    <x v="13"/>
    <s v="P011"/>
    <x v="9"/>
    <x v="4"/>
    <n v="1"/>
    <n v="600"/>
    <x v="1"/>
    <n v="510"/>
    <n v="147.59"/>
    <x v="4"/>
    <x v="1"/>
    <x v="2"/>
    <x v="1"/>
    <x v="0"/>
    <s v="Mar"/>
    <s v="Q1"/>
    <x v="2"/>
    <n v="2"/>
    <n v="28.94"/>
  </r>
  <r>
    <s v="ORD01547"/>
    <d v="2025-10-27T00:00:00"/>
    <d v="2025-11-02T00:00:00"/>
    <s v="C0144"/>
    <x v="213"/>
    <s v="Small Business"/>
    <x v="1"/>
    <x v="13"/>
    <s v="P008"/>
    <x v="11"/>
    <x v="1"/>
    <n v="5"/>
    <n v="250"/>
    <x v="0"/>
    <n v="1250"/>
    <n v="517.26"/>
    <x v="3"/>
    <x v="1"/>
    <x v="1"/>
    <x v="0"/>
    <x v="1"/>
    <s v="Oct"/>
    <s v="Q4"/>
    <x v="14"/>
    <n v="6"/>
    <n v="41.38"/>
  </r>
  <r>
    <s v="ORD00641"/>
    <d v="2024-06-16T00:00:00"/>
    <d v="2024-06-22T00:00:00"/>
    <s v="C0070"/>
    <x v="31"/>
    <s v="Corporate"/>
    <x v="3"/>
    <x v="8"/>
    <s v="P006"/>
    <x v="1"/>
    <x v="0"/>
    <n v="1"/>
    <n v="9500"/>
    <x v="0"/>
    <n v="9500"/>
    <n v="1648.83"/>
    <x v="2"/>
    <x v="1"/>
    <x v="4"/>
    <x v="1"/>
    <x v="8"/>
    <s v="Jun"/>
    <s v="Q2"/>
    <x v="12"/>
    <n v="6"/>
    <n v="17.36"/>
  </r>
  <r>
    <s v="ORD01975"/>
    <d v="2024-04-12T00:00:00"/>
    <d v="2024-04-19T00:00:00"/>
    <s v="C0053"/>
    <x v="234"/>
    <s v="Small Business"/>
    <x v="3"/>
    <x v="7"/>
    <s v="P004"/>
    <x v="7"/>
    <x v="2"/>
    <n v="5"/>
    <n v="8000"/>
    <x v="0"/>
    <n v="40000"/>
    <n v="10000"/>
    <x v="2"/>
    <x v="2"/>
    <x v="3"/>
    <x v="1"/>
    <x v="5"/>
    <s v="Apr"/>
    <s v="Q2"/>
    <x v="6"/>
    <n v="7"/>
    <n v="25"/>
  </r>
  <r>
    <s v="ORD01514"/>
    <d v="2025-11-27T00:00:00"/>
    <d v="2025-11-30T00:00:00"/>
    <s v="C0231"/>
    <x v="32"/>
    <s v="Small Business"/>
    <x v="1"/>
    <x v="1"/>
    <s v="P009"/>
    <x v="2"/>
    <x v="1"/>
    <n v="1"/>
    <n v="180"/>
    <x v="4"/>
    <n v="162"/>
    <n v="77.81"/>
    <x v="1"/>
    <x v="1"/>
    <x v="1"/>
    <x v="0"/>
    <x v="2"/>
    <s v="Nov"/>
    <s v="Q4"/>
    <x v="23"/>
    <n v="3"/>
    <n v="48.03"/>
  </r>
  <r>
    <s v="ORD00624"/>
    <d v="2025-08-11T00:00:00"/>
    <d v="2025-08-15T00:00:00"/>
    <s v="C0022"/>
    <x v="167"/>
    <s v="Corporate"/>
    <x v="1"/>
    <x v="16"/>
    <s v="P006"/>
    <x v="1"/>
    <x v="0"/>
    <n v="1"/>
    <n v="9500"/>
    <x v="0"/>
    <n v="9500"/>
    <n v="1610.95"/>
    <x v="1"/>
    <x v="2"/>
    <x v="3"/>
    <x v="0"/>
    <x v="7"/>
    <s v="Aug"/>
    <s v="Q3"/>
    <x v="22"/>
    <n v="4"/>
    <n v="16.96"/>
  </r>
  <r>
    <s v="ORD01364"/>
    <d v="2024-07-17T00:00:00"/>
    <d v="2024-07-22T00:00:00"/>
    <s v="C0201"/>
    <x v="150"/>
    <s v="Small Business"/>
    <x v="3"/>
    <x v="7"/>
    <s v="P010"/>
    <x v="6"/>
    <x v="4"/>
    <n v="1"/>
    <n v="1800"/>
    <x v="0"/>
    <n v="1800"/>
    <n v="458.77"/>
    <x v="4"/>
    <x v="1"/>
    <x v="3"/>
    <x v="1"/>
    <x v="3"/>
    <s v="Jul"/>
    <s v="Q3"/>
    <x v="4"/>
    <n v="5"/>
    <n v="25.49"/>
  </r>
  <r>
    <s v="ORD01911"/>
    <d v="2025-02-22T00:00:00"/>
    <d v="2025-03-01T00:00:00"/>
    <s v="C0229"/>
    <x v="206"/>
    <s v="Consumer"/>
    <x v="0"/>
    <x v="2"/>
    <s v="P003"/>
    <x v="5"/>
    <x v="2"/>
    <n v="3"/>
    <n v="3000"/>
    <x v="2"/>
    <n v="7200"/>
    <n v="1653.79"/>
    <x v="2"/>
    <x v="0"/>
    <x v="3"/>
    <x v="0"/>
    <x v="6"/>
    <s v="Feb"/>
    <s v="Q1"/>
    <x v="7"/>
    <n v="7"/>
    <n v="22.97"/>
  </r>
  <r>
    <s v="ORD00161"/>
    <d v="2025-12-02T00:00:00"/>
    <d v="2025-12-10T00:00:00"/>
    <s v="C0282"/>
    <x v="284"/>
    <s v="Corporate"/>
    <x v="3"/>
    <x v="8"/>
    <s v="P011"/>
    <x v="9"/>
    <x v="4"/>
    <n v="3"/>
    <n v="600"/>
    <x v="3"/>
    <n v="1710"/>
    <n v="706.07"/>
    <x v="0"/>
    <x v="0"/>
    <x v="4"/>
    <x v="0"/>
    <x v="10"/>
    <s v="Dec"/>
    <s v="Q4"/>
    <x v="19"/>
    <n v="8"/>
    <n v="41.29"/>
  </r>
  <r>
    <s v="ORD01560"/>
    <d v="2024-04-24T00:00:00"/>
    <d v="2024-04-29T00:00:00"/>
    <s v="C0031"/>
    <x v="84"/>
    <s v="Small Business"/>
    <x v="3"/>
    <x v="6"/>
    <s v="P001"/>
    <x v="8"/>
    <x v="2"/>
    <n v="1"/>
    <n v="55000"/>
    <x v="4"/>
    <n v="49500"/>
    <n v="8801.5499999999993"/>
    <x v="0"/>
    <x v="0"/>
    <x v="2"/>
    <x v="1"/>
    <x v="5"/>
    <s v="Apr"/>
    <s v="Q2"/>
    <x v="6"/>
    <n v="5"/>
    <n v="17.78"/>
  </r>
  <r>
    <s v="ORD00664"/>
    <d v="2025-09-11T00:00:00"/>
    <d v="2025-09-13T00:00:00"/>
    <s v="C0092"/>
    <x v="40"/>
    <s v="Consumer"/>
    <x v="0"/>
    <x v="11"/>
    <s v="P007"/>
    <x v="10"/>
    <x v="0"/>
    <n v="3"/>
    <n v="6000"/>
    <x v="0"/>
    <n v="18000"/>
    <n v="3547.16"/>
    <x v="2"/>
    <x v="2"/>
    <x v="1"/>
    <x v="0"/>
    <x v="9"/>
    <s v="Sep"/>
    <s v="Q3"/>
    <x v="11"/>
    <n v="2"/>
    <n v="19.71"/>
  </r>
  <r>
    <s v="ORD00476"/>
    <d v="2025-05-28T00:00:00"/>
    <d v="2025-05-31T00:00:00"/>
    <s v="C0044"/>
    <x v="123"/>
    <s v="Small Business"/>
    <x v="3"/>
    <x v="7"/>
    <s v="P007"/>
    <x v="10"/>
    <x v="0"/>
    <n v="2"/>
    <n v="6000"/>
    <x v="1"/>
    <n v="10200"/>
    <n v="1841.26"/>
    <x v="0"/>
    <x v="2"/>
    <x v="2"/>
    <x v="0"/>
    <x v="4"/>
    <s v="May"/>
    <s v="Q2"/>
    <x v="5"/>
    <n v="3"/>
    <n v="18.05"/>
  </r>
  <r>
    <s v="ORD01832"/>
    <d v="2025-09-12T00:00:00"/>
    <d v="2025-09-14T00:00:00"/>
    <s v="C0028"/>
    <x v="211"/>
    <s v="Corporate"/>
    <x v="2"/>
    <x v="3"/>
    <s v="P002"/>
    <x v="3"/>
    <x v="2"/>
    <n v="3"/>
    <n v="25000"/>
    <x v="1"/>
    <n v="63750"/>
    <n v="7035.08"/>
    <x v="0"/>
    <x v="1"/>
    <x v="3"/>
    <x v="0"/>
    <x v="9"/>
    <s v="Sep"/>
    <s v="Q3"/>
    <x v="11"/>
    <n v="2"/>
    <n v="11.04"/>
  </r>
  <r>
    <s v="ORD00166"/>
    <d v="2025-11-21T00:00:00"/>
    <d v="2025-11-23T00:00:00"/>
    <s v="C0258"/>
    <x v="45"/>
    <s v="Small Business"/>
    <x v="0"/>
    <x v="10"/>
    <s v="P012"/>
    <x v="4"/>
    <x v="3"/>
    <n v="5"/>
    <n v="3500"/>
    <x v="0"/>
    <n v="17500"/>
    <n v="4159.72"/>
    <x v="1"/>
    <x v="0"/>
    <x v="2"/>
    <x v="0"/>
    <x v="2"/>
    <s v="Nov"/>
    <s v="Q4"/>
    <x v="23"/>
    <n v="2"/>
    <n v="23.77"/>
  </r>
  <r>
    <s v="ORD01969"/>
    <d v="2025-03-06T00:00:00"/>
    <d v="2025-03-13T00:00:00"/>
    <s v="C0173"/>
    <x v="184"/>
    <s v="Corporate"/>
    <x v="1"/>
    <x v="16"/>
    <s v="P003"/>
    <x v="5"/>
    <x v="2"/>
    <n v="2"/>
    <n v="3000"/>
    <x v="3"/>
    <n v="5700"/>
    <n v="1786.64"/>
    <x v="2"/>
    <x v="2"/>
    <x v="0"/>
    <x v="0"/>
    <x v="0"/>
    <s v="Mar"/>
    <s v="Q1"/>
    <x v="0"/>
    <n v="7"/>
    <n v="31.34"/>
  </r>
  <r>
    <s v="ORD01237"/>
    <d v="2024-06-30T00:00:00"/>
    <d v="2024-07-05T00:00:00"/>
    <s v="C0140"/>
    <x v="140"/>
    <s v="Small Business"/>
    <x v="3"/>
    <x v="7"/>
    <s v="P004"/>
    <x v="7"/>
    <x v="2"/>
    <n v="10"/>
    <n v="8000"/>
    <x v="0"/>
    <n v="80000"/>
    <n v="19580.47"/>
    <x v="2"/>
    <x v="1"/>
    <x v="4"/>
    <x v="1"/>
    <x v="8"/>
    <s v="Jun"/>
    <s v="Q2"/>
    <x v="12"/>
    <n v="5"/>
    <n v="24.48"/>
  </r>
  <r>
    <s v="ORD00084"/>
    <d v="2024-02-18T00:00:00"/>
    <d v="2024-02-24T00:00:00"/>
    <s v="C0147"/>
    <x v="219"/>
    <s v="Small Business"/>
    <x v="3"/>
    <x v="6"/>
    <s v="P006"/>
    <x v="1"/>
    <x v="0"/>
    <n v="4"/>
    <n v="9500"/>
    <x v="0"/>
    <n v="38000"/>
    <n v="6150.58"/>
    <x v="0"/>
    <x v="1"/>
    <x v="0"/>
    <x v="1"/>
    <x v="6"/>
    <s v="Feb"/>
    <s v="Q1"/>
    <x v="18"/>
    <n v="6"/>
    <n v="16.190000000000001"/>
  </r>
  <r>
    <s v="ORD00884"/>
    <d v="2025-05-13T00:00:00"/>
    <d v="2025-05-17T00:00:00"/>
    <s v="C0069"/>
    <x v="101"/>
    <s v="Small Business"/>
    <x v="0"/>
    <x v="0"/>
    <s v="P004"/>
    <x v="7"/>
    <x v="2"/>
    <n v="1"/>
    <n v="8000"/>
    <x v="0"/>
    <n v="8000"/>
    <n v="1760.53"/>
    <x v="4"/>
    <x v="0"/>
    <x v="3"/>
    <x v="0"/>
    <x v="4"/>
    <s v="May"/>
    <s v="Q2"/>
    <x v="5"/>
    <n v="4"/>
    <n v="22.01"/>
  </r>
  <r>
    <s v="ORD01295"/>
    <d v="2024-06-11T00:00:00"/>
    <d v="2024-06-19T00:00:00"/>
    <s v="C0158"/>
    <x v="151"/>
    <s v="Small Business"/>
    <x v="2"/>
    <x v="9"/>
    <s v="P012"/>
    <x v="4"/>
    <x v="3"/>
    <n v="2"/>
    <n v="3500"/>
    <x v="0"/>
    <n v="7000"/>
    <n v="1993.86"/>
    <x v="5"/>
    <x v="1"/>
    <x v="2"/>
    <x v="1"/>
    <x v="8"/>
    <s v="Jun"/>
    <s v="Q2"/>
    <x v="12"/>
    <n v="8"/>
    <n v="28.48"/>
  </r>
  <r>
    <s v="ORD01755"/>
    <d v="2024-03-09T00:00:00"/>
    <d v="2024-03-13T00:00:00"/>
    <s v="C0274"/>
    <x v="9"/>
    <s v="Consumer"/>
    <x v="3"/>
    <x v="6"/>
    <s v="P005"/>
    <x v="0"/>
    <x v="0"/>
    <n v="10"/>
    <n v="7000"/>
    <x v="0"/>
    <n v="70000"/>
    <n v="12028.43"/>
    <x v="2"/>
    <x v="0"/>
    <x v="4"/>
    <x v="1"/>
    <x v="0"/>
    <s v="Mar"/>
    <s v="Q1"/>
    <x v="2"/>
    <n v="4"/>
    <n v="17.18"/>
  </r>
  <r>
    <s v="ORD01857"/>
    <d v="2024-05-21T00:00:00"/>
    <m/>
    <s v="C0269"/>
    <x v="102"/>
    <s v="Consumer"/>
    <x v="2"/>
    <x v="3"/>
    <s v="P004"/>
    <x v="7"/>
    <x v="2"/>
    <n v="3"/>
    <n v="8000"/>
    <x v="3"/>
    <n v="22800"/>
    <n v="4033.28"/>
    <x v="3"/>
    <x v="1"/>
    <x v="0"/>
    <x v="1"/>
    <x v="4"/>
    <s v="May"/>
    <s v="Q2"/>
    <x v="8"/>
    <s v=""/>
    <n v="17.690000000000001"/>
  </r>
  <r>
    <s v="ORD00701"/>
    <d v="2025-04-18T00:00:00"/>
    <d v="2025-04-19T00:00:00"/>
    <s v="C0118"/>
    <x v="227"/>
    <s v="Corporate"/>
    <x v="0"/>
    <x v="2"/>
    <s v="P002"/>
    <x v="3"/>
    <x v="2"/>
    <n v="1"/>
    <n v="25000"/>
    <x v="1"/>
    <n v="21250"/>
    <n v="3317.33"/>
    <x v="0"/>
    <x v="2"/>
    <x v="0"/>
    <x v="0"/>
    <x v="5"/>
    <s v="Apr"/>
    <s v="Q2"/>
    <x v="13"/>
    <n v="1"/>
    <n v="15.61"/>
  </r>
  <r>
    <s v="ORD00600"/>
    <d v="2025-02-26T00:00:00"/>
    <d v="2025-02-28T00:00:00"/>
    <s v="C0051"/>
    <x v="106"/>
    <s v="Consumer"/>
    <x v="2"/>
    <x v="3"/>
    <s v="P004"/>
    <x v="7"/>
    <x v="2"/>
    <n v="4"/>
    <n v="8000"/>
    <x v="3"/>
    <n v="30400"/>
    <n v="7600"/>
    <x v="0"/>
    <x v="2"/>
    <x v="0"/>
    <x v="0"/>
    <x v="6"/>
    <s v="Feb"/>
    <s v="Q1"/>
    <x v="7"/>
    <n v="2"/>
    <n v="25"/>
  </r>
  <r>
    <s v="ORD00714"/>
    <d v="2025-12-23T00:00:00"/>
    <d v="2025-12-29T00:00:00"/>
    <s v="C0134"/>
    <x v="178"/>
    <s v="Small Business"/>
    <x v="1"/>
    <x v="16"/>
    <s v="P003"/>
    <x v="5"/>
    <x v="2"/>
    <n v="1"/>
    <n v="3000"/>
    <x v="3"/>
    <n v="2850"/>
    <n v="612.45000000000005"/>
    <x v="5"/>
    <x v="2"/>
    <x v="0"/>
    <x v="0"/>
    <x v="10"/>
    <s v="Dec"/>
    <s v="Q4"/>
    <x v="19"/>
    <n v="6"/>
    <n v="21.49"/>
  </r>
  <r>
    <s v="ORD00717"/>
    <d v="2025-03-02T00:00:00"/>
    <d v="2025-03-04T00:00:00"/>
    <s v="C0293"/>
    <x v="53"/>
    <s v="Corporate"/>
    <x v="1"/>
    <x v="16"/>
    <s v="P003"/>
    <x v="5"/>
    <x v="2"/>
    <n v="5"/>
    <n v="3000"/>
    <x v="0"/>
    <n v="15000"/>
    <n v="4532.8599999999997"/>
    <x v="3"/>
    <x v="0"/>
    <x v="4"/>
    <x v="0"/>
    <x v="0"/>
    <s v="Mar"/>
    <s v="Q1"/>
    <x v="0"/>
    <n v="2"/>
    <n v="30.22"/>
  </r>
  <r>
    <s v="ORD01387"/>
    <d v="2025-02-28T00:00:00"/>
    <d v="2025-03-03T00:00:00"/>
    <s v="C0248"/>
    <x v="1"/>
    <s v="Consumer"/>
    <x v="1"/>
    <x v="1"/>
    <s v="P008"/>
    <x v="11"/>
    <x v="1"/>
    <n v="2"/>
    <n v="250"/>
    <x v="4"/>
    <n v="450"/>
    <n v="139.84"/>
    <x v="1"/>
    <x v="2"/>
    <x v="0"/>
    <x v="0"/>
    <x v="6"/>
    <s v="Feb"/>
    <s v="Q1"/>
    <x v="7"/>
    <n v="3"/>
    <n v="31.08"/>
  </r>
  <r>
    <s v="ORD01465"/>
    <d v="2025-11-21T00:00:00"/>
    <d v="2025-11-23T00:00:00"/>
    <s v="C0229"/>
    <x v="206"/>
    <s v="Consumer"/>
    <x v="0"/>
    <x v="2"/>
    <s v="P001"/>
    <x v="8"/>
    <x v="2"/>
    <n v="2"/>
    <n v="55000"/>
    <x v="0"/>
    <n v="110000"/>
    <n v="19800"/>
    <x v="1"/>
    <x v="1"/>
    <x v="4"/>
    <x v="0"/>
    <x v="2"/>
    <s v="Nov"/>
    <s v="Q4"/>
    <x v="23"/>
    <n v="2"/>
    <n v="18"/>
  </r>
  <r>
    <s v="ORD01135"/>
    <d v="2024-12-17T00:00:00"/>
    <d v="2024-12-18T00:00:00"/>
    <s v="C0181"/>
    <x v="134"/>
    <s v="Corporate"/>
    <x v="0"/>
    <x v="11"/>
    <s v="P004"/>
    <x v="7"/>
    <x v="2"/>
    <n v="1"/>
    <n v="8000"/>
    <x v="0"/>
    <n v="8000"/>
    <n v="1473.59"/>
    <x v="4"/>
    <x v="1"/>
    <x v="1"/>
    <x v="1"/>
    <x v="10"/>
    <s v="Dec"/>
    <s v="Q4"/>
    <x v="16"/>
    <n v="1"/>
    <n v="18.420000000000002"/>
  </r>
  <r>
    <s v="ORD00395"/>
    <d v="2025-11-25T00:00:00"/>
    <d v="2025-12-02T00:00:00"/>
    <s v="C0277"/>
    <x v="249"/>
    <s v="Small Business"/>
    <x v="0"/>
    <x v="10"/>
    <s v="P001"/>
    <x v="8"/>
    <x v="2"/>
    <n v="2"/>
    <n v="55000"/>
    <x v="0"/>
    <n v="110000"/>
    <n v="20788.61"/>
    <x v="4"/>
    <x v="1"/>
    <x v="0"/>
    <x v="0"/>
    <x v="2"/>
    <s v="Nov"/>
    <s v="Q4"/>
    <x v="23"/>
    <n v="7"/>
    <n v="18.899999999999999"/>
  </r>
  <r>
    <s v="ORD01083"/>
    <d v="2024-12-26T00:00:00"/>
    <d v="2025-01-03T00:00:00"/>
    <s v="C0005"/>
    <x v="86"/>
    <s v="Consumer"/>
    <x v="0"/>
    <x v="0"/>
    <s v="P010"/>
    <x v="6"/>
    <x v="4"/>
    <n v="2"/>
    <n v="1800"/>
    <x v="3"/>
    <n v="3420"/>
    <n v="1256"/>
    <x v="2"/>
    <x v="0"/>
    <x v="3"/>
    <x v="1"/>
    <x v="10"/>
    <s v="Dec"/>
    <s v="Q4"/>
    <x v="16"/>
    <n v="8"/>
    <n v="36.729999999999997"/>
  </r>
  <r>
    <s v="ORD00458"/>
    <d v="2024-07-01T00:00:00"/>
    <d v="2024-07-05T00:00:00"/>
    <s v="C0023"/>
    <x v="132"/>
    <s v="Small Business"/>
    <x v="1"/>
    <x v="16"/>
    <s v="P003"/>
    <x v="5"/>
    <x v="2"/>
    <n v="4"/>
    <n v="3000"/>
    <x v="0"/>
    <n v="12000"/>
    <n v="2674.16"/>
    <x v="2"/>
    <x v="0"/>
    <x v="1"/>
    <x v="1"/>
    <x v="3"/>
    <s v="Jul"/>
    <s v="Q3"/>
    <x v="4"/>
    <n v="4"/>
    <n v="22.28"/>
  </r>
  <r>
    <s v="ORD01723"/>
    <d v="2024-04-04T00:00:00"/>
    <d v="2024-04-09T00:00:00"/>
    <s v="C0215"/>
    <x v="252"/>
    <s v="Consumer"/>
    <x v="2"/>
    <x v="9"/>
    <s v="P002"/>
    <x v="3"/>
    <x v="2"/>
    <n v="1"/>
    <n v="25000"/>
    <x v="0"/>
    <n v="25000"/>
    <n v="3668.13"/>
    <x v="4"/>
    <x v="2"/>
    <x v="1"/>
    <x v="1"/>
    <x v="5"/>
    <s v="Apr"/>
    <s v="Q2"/>
    <x v="6"/>
    <n v="5"/>
    <n v="14.67"/>
  </r>
  <r>
    <s v="ORD01750"/>
    <d v="2024-11-25T00:00:00"/>
    <d v="2024-11-29T00:00:00"/>
    <s v="C0038"/>
    <x v="82"/>
    <s v="Small Business"/>
    <x v="2"/>
    <x v="9"/>
    <s v="P012"/>
    <x v="4"/>
    <x v="3"/>
    <n v="2"/>
    <n v="3500"/>
    <x v="0"/>
    <n v="7000"/>
    <n v="2341.16"/>
    <x v="1"/>
    <x v="1"/>
    <x v="0"/>
    <x v="1"/>
    <x v="2"/>
    <s v="Nov"/>
    <s v="Q4"/>
    <x v="3"/>
    <n v="4"/>
    <n v="33.450000000000003"/>
  </r>
  <r>
    <s v="ORD01073"/>
    <d v="2024-04-19T00:00:00"/>
    <d v="2024-04-27T00:00:00"/>
    <s v="C0076"/>
    <x v="224"/>
    <s v="Corporate"/>
    <x v="2"/>
    <x v="4"/>
    <s v="P008"/>
    <x v="11"/>
    <x v="1"/>
    <n v="3"/>
    <n v="250"/>
    <x v="0"/>
    <n v="750"/>
    <n v="211.99"/>
    <x v="4"/>
    <x v="1"/>
    <x v="3"/>
    <x v="1"/>
    <x v="5"/>
    <s v="Apr"/>
    <s v="Q2"/>
    <x v="6"/>
    <n v="8"/>
    <n v="28.27"/>
  </r>
  <r>
    <s v="ORD01687"/>
    <d v="2024-09-24T00:00:00"/>
    <d v="2024-09-25T00:00:00"/>
    <s v="C0048"/>
    <x v="124"/>
    <s v="Small Business"/>
    <x v="2"/>
    <x v="3"/>
    <s v="P005"/>
    <x v="0"/>
    <x v="0"/>
    <n v="1"/>
    <n v="7000"/>
    <x v="0"/>
    <n v="7000"/>
    <n v="1588.12"/>
    <x v="0"/>
    <x v="1"/>
    <x v="2"/>
    <x v="1"/>
    <x v="9"/>
    <s v="Sep"/>
    <s v="Q3"/>
    <x v="20"/>
    <n v="1"/>
    <n v="22.69"/>
  </r>
  <r>
    <s v="ORD01418"/>
    <d v="2025-09-06T00:00:00"/>
    <d v="2025-09-14T00:00:00"/>
    <s v="C0250"/>
    <x v="43"/>
    <s v="Small Business"/>
    <x v="0"/>
    <x v="11"/>
    <s v="P005"/>
    <x v="0"/>
    <x v="0"/>
    <n v="1"/>
    <n v="7000"/>
    <x v="1"/>
    <n v="5950"/>
    <n v="1123.3699999999999"/>
    <x v="4"/>
    <x v="2"/>
    <x v="2"/>
    <x v="0"/>
    <x v="9"/>
    <s v="Sep"/>
    <s v="Q3"/>
    <x v="11"/>
    <n v="8"/>
    <n v="18.88"/>
  </r>
  <r>
    <s v="ORD00228"/>
    <d v="2025-07-13T00:00:00"/>
    <d v="2025-07-15T00:00:00"/>
    <s v="C0216"/>
    <x v="154"/>
    <s v="Corporate"/>
    <x v="1"/>
    <x v="1"/>
    <s v="P006"/>
    <x v="1"/>
    <x v="0"/>
    <n v="3"/>
    <n v="9500"/>
    <x v="2"/>
    <n v="22800"/>
    <n v="4051.13"/>
    <x v="2"/>
    <x v="2"/>
    <x v="3"/>
    <x v="0"/>
    <x v="3"/>
    <s v="Jul"/>
    <s v="Q3"/>
    <x v="15"/>
    <n v="2"/>
    <n v="17.77"/>
  </r>
  <r>
    <s v="ORD00705"/>
    <d v="2025-02-22T00:00:00"/>
    <d v="2025-02-27T00:00:00"/>
    <s v="C0215"/>
    <x v="252"/>
    <s v="Consumer"/>
    <x v="2"/>
    <x v="9"/>
    <s v="P003"/>
    <x v="5"/>
    <x v="2"/>
    <n v="3"/>
    <n v="3000"/>
    <x v="0"/>
    <n v="9000"/>
    <n v="2203.41"/>
    <x v="4"/>
    <x v="2"/>
    <x v="0"/>
    <x v="0"/>
    <x v="6"/>
    <s v="Feb"/>
    <s v="Q1"/>
    <x v="7"/>
    <n v="5"/>
    <n v="24.48"/>
  </r>
  <r>
    <s v="ORD01368"/>
    <d v="2025-10-03T00:00:00"/>
    <d v="2025-10-11T00:00:00"/>
    <s v="C0131"/>
    <x v="156"/>
    <s v="Corporate"/>
    <x v="1"/>
    <x v="5"/>
    <s v="P002"/>
    <x v="3"/>
    <x v="2"/>
    <n v="2"/>
    <n v="25000"/>
    <x v="1"/>
    <n v="42500"/>
    <n v="6225.66"/>
    <x v="3"/>
    <x v="0"/>
    <x v="1"/>
    <x v="0"/>
    <x v="1"/>
    <s v="Oct"/>
    <s v="Q4"/>
    <x v="14"/>
    <n v="8"/>
    <n v="14.65"/>
  </r>
  <r>
    <s v="ORD00376"/>
    <d v="2025-04-18T00:00:00"/>
    <d v="2025-04-20T00:00:00"/>
    <s v="C0170"/>
    <x v="266"/>
    <s v="Small Business"/>
    <x v="2"/>
    <x v="4"/>
    <s v="P008"/>
    <x v="11"/>
    <x v="1"/>
    <n v="2"/>
    <n v="250"/>
    <x v="2"/>
    <n v="400"/>
    <n v="131.55000000000001"/>
    <x v="4"/>
    <x v="2"/>
    <x v="1"/>
    <x v="0"/>
    <x v="5"/>
    <s v="Apr"/>
    <s v="Q2"/>
    <x v="13"/>
    <n v="2"/>
    <n v="32.89"/>
  </r>
  <r>
    <s v="ORD01902"/>
    <d v="2025-03-09T00:00:00"/>
    <d v="2025-03-15T00:00:00"/>
    <s v="C0160"/>
    <x v="183"/>
    <s v="Corporate"/>
    <x v="2"/>
    <x v="9"/>
    <s v="P006"/>
    <x v="1"/>
    <x v="0"/>
    <n v="4"/>
    <n v="9500"/>
    <x v="3"/>
    <n v="36100"/>
    <n v="7238.1"/>
    <x v="1"/>
    <x v="0"/>
    <x v="1"/>
    <x v="0"/>
    <x v="0"/>
    <s v="Mar"/>
    <s v="Q1"/>
    <x v="0"/>
    <n v="6"/>
    <n v="20.05"/>
  </r>
  <r>
    <s v="ORD01384"/>
    <d v="2025-02-10T00:00:00"/>
    <d v="2025-02-15T00:00:00"/>
    <s v="C0273"/>
    <x v="46"/>
    <s v="Small Business"/>
    <x v="3"/>
    <x v="8"/>
    <s v="P006"/>
    <x v="1"/>
    <x v="0"/>
    <n v="1"/>
    <n v="9500"/>
    <x v="3"/>
    <n v="9025"/>
    <n v="1338.32"/>
    <x v="1"/>
    <x v="2"/>
    <x v="3"/>
    <x v="0"/>
    <x v="6"/>
    <s v="Feb"/>
    <s v="Q1"/>
    <x v="7"/>
    <n v="5"/>
    <n v="14.83"/>
  </r>
  <r>
    <s v="ORD01672"/>
    <d v="2024-04-09T00:00:00"/>
    <d v="2024-04-16T00:00:00"/>
    <s v="C0112"/>
    <x v="72"/>
    <s v="Consumer"/>
    <x v="0"/>
    <x v="2"/>
    <s v="P006"/>
    <x v="1"/>
    <x v="0"/>
    <n v="1"/>
    <n v="9500"/>
    <x v="0"/>
    <n v="9500"/>
    <n v="2027.83"/>
    <x v="2"/>
    <x v="1"/>
    <x v="1"/>
    <x v="1"/>
    <x v="5"/>
    <s v="Apr"/>
    <s v="Q2"/>
    <x v="6"/>
    <n v="7"/>
    <n v="21.35"/>
  </r>
  <r>
    <s v="ORD01875"/>
    <d v="2025-09-06T00:00:00"/>
    <d v="2025-09-09T00:00:00"/>
    <s v="C0139"/>
    <x v="177"/>
    <s v="Consumer"/>
    <x v="2"/>
    <x v="4"/>
    <s v="P003"/>
    <x v="5"/>
    <x v="2"/>
    <n v="3"/>
    <n v="3000"/>
    <x v="4"/>
    <n v="8100"/>
    <n v="2579.5"/>
    <x v="6"/>
    <x v="2"/>
    <x v="0"/>
    <x v="0"/>
    <x v="9"/>
    <s v="Sep"/>
    <s v="Q3"/>
    <x v="11"/>
    <n v="3"/>
    <n v="31.85"/>
  </r>
  <r>
    <s v="ORD01848"/>
    <d v="2024-04-23T00:00:00"/>
    <d v="2024-04-25T00:00:00"/>
    <s v="C0223"/>
    <x v="34"/>
    <s v="Corporate"/>
    <x v="1"/>
    <x v="13"/>
    <s v="P001"/>
    <x v="8"/>
    <x v="2"/>
    <n v="1"/>
    <n v="55000"/>
    <x v="0"/>
    <n v="55000"/>
    <n v="9975.86"/>
    <x v="2"/>
    <x v="0"/>
    <x v="3"/>
    <x v="1"/>
    <x v="5"/>
    <s v="Apr"/>
    <s v="Q2"/>
    <x v="6"/>
    <n v="2"/>
    <n v="18.14"/>
  </r>
  <r>
    <s v="ORD00542"/>
    <d v="2024-12-14T00:00:00"/>
    <d v="2024-12-21T00:00:00"/>
    <s v="C0197"/>
    <x v="176"/>
    <s v="Small Business"/>
    <x v="1"/>
    <x v="16"/>
    <s v="P002"/>
    <x v="3"/>
    <x v="2"/>
    <n v="3"/>
    <n v="25000"/>
    <x v="3"/>
    <n v="71250"/>
    <n v="10834.19"/>
    <x v="1"/>
    <x v="1"/>
    <x v="1"/>
    <x v="1"/>
    <x v="10"/>
    <s v="Dec"/>
    <s v="Q4"/>
    <x v="16"/>
    <n v="7"/>
    <n v="15.21"/>
  </r>
  <r>
    <s v="ORD01663"/>
    <d v="2025-06-05T00:00:00"/>
    <d v="2025-06-11T00:00:00"/>
    <s v="C0113"/>
    <x v="195"/>
    <s v="Small Business"/>
    <x v="1"/>
    <x v="16"/>
    <s v="P009"/>
    <x v="2"/>
    <x v="1"/>
    <n v="2"/>
    <n v="180"/>
    <x v="0"/>
    <n v="360"/>
    <n v="120.52"/>
    <x v="1"/>
    <x v="1"/>
    <x v="3"/>
    <x v="0"/>
    <x v="8"/>
    <s v="Jun"/>
    <s v="Q2"/>
    <x v="10"/>
    <n v="6"/>
    <n v="33.479999999999997"/>
  </r>
  <r>
    <s v="ORD01733"/>
    <d v="2025-04-08T00:00:00"/>
    <d v="2025-04-15T00:00:00"/>
    <s v="C0009"/>
    <x v="233"/>
    <s v="Consumer"/>
    <x v="1"/>
    <x v="5"/>
    <s v="P012"/>
    <x v="4"/>
    <x v="3"/>
    <n v="10"/>
    <n v="3500"/>
    <x v="4"/>
    <n v="31500"/>
    <n v="10311.129999999999"/>
    <x v="1"/>
    <x v="2"/>
    <x v="1"/>
    <x v="0"/>
    <x v="5"/>
    <s v="Apr"/>
    <s v="Q2"/>
    <x v="13"/>
    <n v="7"/>
    <n v="32.729999999999997"/>
  </r>
  <r>
    <s v="ORD00734"/>
    <d v="2025-12-13T00:00:00"/>
    <d v="2025-12-16T00:00:00"/>
    <s v="C0058"/>
    <x v="144"/>
    <s v="Small Business"/>
    <x v="1"/>
    <x v="1"/>
    <s v="P001"/>
    <x v="8"/>
    <x v="2"/>
    <n v="4"/>
    <n v="55000"/>
    <x v="0"/>
    <n v="220000"/>
    <n v="35340.9"/>
    <x v="5"/>
    <x v="0"/>
    <x v="0"/>
    <x v="0"/>
    <x v="10"/>
    <s v="Dec"/>
    <s v="Q4"/>
    <x v="19"/>
    <n v="3"/>
    <n v="16.059999999999999"/>
  </r>
  <r>
    <s v="ORD01716"/>
    <d v="2024-04-07T00:00:00"/>
    <d v="2024-04-08T00:00:00"/>
    <s v="C0168"/>
    <x v="256"/>
    <s v="Consumer"/>
    <x v="3"/>
    <x v="6"/>
    <s v="P007"/>
    <x v="10"/>
    <x v="0"/>
    <n v="2"/>
    <n v="6000"/>
    <x v="4"/>
    <n v="10800"/>
    <n v="2704.37"/>
    <x v="2"/>
    <x v="0"/>
    <x v="2"/>
    <x v="1"/>
    <x v="5"/>
    <s v="Apr"/>
    <s v="Q2"/>
    <x v="6"/>
    <n v="1"/>
    <n v="25.04"/>
  </r>
  <r>
    <s v="ORD00342"/>
    <d v="2025-10-10T00:00:00"/>
    <d v="2025-10-18T00:00:00"/>
    <s v="C0213"/>
    <x v="116"/>
    <s v="Corporate"/>
    <x v="3"/>
    <x v="7"/>
    <s v="P001"/>
    <x v="8"/>
    <x v="2"/>
    <n v="2"/>
    <n v="55000"/>
    <x v="2"/>
    <n v="88000"/>
    <n v="15840"/>
    <x v="5"/>
    <x v="2"/>
    <x v="1"/>
    <x v="0"/>
    <x v="1"/>
    <s v="Oct"/>
    <s v="Q4"/>
    <x v="14"/>
    <n v="8"/>
    <n v="18"/>
  </r>
  <r>
    <s v="ORD00563"/>
    <d v="2025-02-26T00:00:00"/>
    <d v="2025-03-01T00:00:00"/>
    <s v="C0079"/>
    <x v="267"/>
    <s v="Consumer"/>
    <x v="0"/>
    <x v="0"/>
    <s v="P008"/>
    <x v="11"/>
    <x v="1"/>
    <n v="3"/>
    <n v="250"/>
    <x v="0"/>
    <n v="750"/>
    <n v="289.27999999999997"/>
    <x v="4"/>
    <x v="2"/>
    <x v="4"/>
    <x v="0"/>
    <x v="6"/>
    <s v="Feb"/>
    <s v="Q1"/>
    <x v="7"/>
    <n v="3"/>
    <n v="38.57"/>
  </r>
  <r>
    <s v="ORD00060"/>
    <d v="2024-09-10T00:00:00"/>
    <d v="2024-09-13T00:00:00"/>
    <s v="C0089"/>
    <x v="99"/>
    <s v="Small Business"/>
    <x v="2"/>
    <x v="3"/>
    <s v="P001"/>
    <x v="8"/>
    <x v="2"/>
    <n v="3"/>
    <n v="55000"/>
    <x v="3"/>
    <n v="156750"/>
    <n v="25665.14"/>
    <x v="3"/>
    <x v="1"/>
    <x v="4"/>
    <x v="1"/>
    <x v="9"/>
    <s v="Sep"/>
    <s v="Q3"/>
    <x v="20"/>
    <n v="3"/>
    <n v="16.37"/>
  </r>
  <r>
    <s v="ORD01180"/>
    <d v="2024-08-15T00:00:00"/>
    <d v="2024-08-21T00:00:00"/>
    <s v="C0182"/>
    <x v="264"/>
    <s v="Corporate"/>
    <x v="3"/>
    <x v="7"/>
    <s v="P002"/>
    <x v="3"/>
    <x v="2"/>
    <n v="3"/>
    <n v="25000"/>
    <x v="0"/>
    <n v="75000"/>
    <n v="8580.27"/>
    <x v="3"/>
    <x v="1"/>
    <x v="1"/>
    <x v="1"/>
    <x v="7"/>
    <s v="Aug"/>
    <s v="Q3"/>
    <x v="9"/>
    <n v="6"/>
    <n v="11.44"/>
  </r>
  <r>
    <s v="ORD00723"/>
    <d v="2024-11-13T00:00:00"/>
    <d v="2024-11-19T00:00:00"/>
    <s v="C0222"/>
    <x v="143"/>
    <s v="Corporate"/>
    <x v="3"/>
    <x v="12"/>
    <s v="P012"/>
    <x v="4"/>
    <x v="3"/>
    <n v="2"/>
    <n v="3500"/>
    <x v="0"/>
    <n v="7000"/>
    <n v="2164.31"/>
    <x v="1"/>
    <x v="0"/>
    <x v="0"/>
    <x v="1"/>
    <x v="2"/>
    <s v="Nov"/>
    <s v="Q4"/>
    <x v="3"/>
    <n v="6"/>
    <n v="30.92"/>
  </r>
  <r>
    <s v="ORD01643"/>
    <d v="2024-01-27T00:00:00"/>
    <d v="2024-01-29T00:00:00"/>
    <s v="C0209"/>
    <x v="79"/>
    <s v="Small Business"/>
    <x v="1"/>
    <x v="5"/>
    <s v="P001"/>
    <x v="8"/>
    <x v="2"/>
    <n v="10"/>
    <n v="55000"/>
    <x v="0"/>
    <n v="550000"/>
    <n v="76617.14"/>
    <x v="4"/>
    <x v="2"/>
    <x v="1"/>
    <x v="1"/>
    <x v="11"/>
    <s v="Jan"/>
    <s v="Q1"/>
    <x v="21"/>
    <n v="2"/>
    <n v="13.93"/>
  </r>
  <r>
    <s v="ORD01749"/>
    <d v="2024-02-19T00:00:00"/>
    <d v="2024-02-24T00:00:00"/>
    <s v="C0172"/>
    <x v="226"/>
    <s v="Small Business"/>
    <x v="3"/>
    <x v="7"/>
    <s v="P001"/>
    <x v="8"/>
    <x v="2"/>
    <n v="5"/>
    <n v="55000"/>
    <x v="3"/>
    <n v="261250"/>
    <n v="42845.65"/>
    <x v="2"/>
    <x v="1"/>
    <x v="1"/>
    <x v="1"/>
    <x v="6"/>
    <s v="Feb"/>
    <s v="Q1"/>
    <x v="18"/>
    <n v="5"/>
    <n v="16.399999999999999"/>
  </r>
  <r>
    <s v="ORD00292"/>
    <d v="2025-03-28T00:00:00"/>
    <d v="2025-04-05T00:00:00"/>
    <s v="C0046"/>
    <x v="269"/>
    <s v="Small Business"/>
    <x v="0"/>
    <x v="2"/>
    <s v="P004"/>
    <x v="7"/>
    <x v="2"/>
    <n v="1"/>
    <n v="8000"/>
    <x v="2"/>
    <n v="6400"/>
    <n v="1380.59"/>
    <x v="1"/>
    <x v="1"/>
    <x v="3"/>
    <x v="0"/>
    <x v="0"/>
    <s v="Mar"/>
    <s v="Q1"/>
    <x v="0"/>
    <n v="8"/>
    <n v="21.57"/>
  </r>
  <r>
    <s v="ORD00229"/>
    <d v="2024-08-08T00:00:00"/>
    <d v="2024-08-15T00:00:00"/>
    <s v="C0008"/>
    <x v="69"/>
    <s v="Corporate"/>
    <x v="3"/>
    <x v="12"/>
    <s v="P005"/>
    <x v="0"/>
    <x v="0"/>
    <n v="1"/>
    <n v="7000"/>
    <x v="0"/>
    <n v="7000"/>
    <n v="1662.39"/>
    <x v="1"/>
    <x v="1"/>
    <x v="1"/>
    <x v="1"/>
    <x v="7"/>
    <s v="Aug"/>
    <s v="Q3"/>
    <x v="9"/>
    <n v="7"/>
    <n v="23.75"/>
  </r>
  <r>
    <s v="ORD00206"/>
    <d v="2024-10-01T00:00:00"/>
    <d v="2024-10-02T00:00:00"/>
    <s v="C0294"/>
    <x v="290"/>
    <s v="Consumer"/>
    <x v="3"/>
    <x v="6"/>
    <s v="P002"/>
    <x v="3"/>
    <x v="2"/>
    <n v="4"/>
    <n v="25000"/>
    <x v="0"/>
    <n v="100000"/>
    <n v="13752.26"/>
    <x v="5"/>
    <x v="1"/>
    <x v="1"/>
    <x v="1"/>
    <x v="1"/>
    <s v="Oct"/>
    <s v="Q4"/>
    <x v="1"/>
    <n v="1"/>
    <n v="13.75"/>
  </r>
  <r>
    <s v="ORD01485"/>
    <d v="2025-01-26T00:00:00"/>
    <d v="2025-02-01T00:00:00"/>
    <s v="C0229"/>
    <x v="206"/>
    <s v="Consumer"/>
    <x v="0"/>
    <x v="2"/>
    <s v="P011"/>
    <x v="9"/>
    <x v="4"/>
    <n v="2"/>
    <n v="600"/>
    <x v="4"/>
    <n v="1080"/>
    <n v="360.19"/>
    <x v="2"/>
    <x v="1"/>
    <x v="0"/>
    <x v="0"/>
    <x v="11"/>
    <s v="Jan"/>
    <s v="Q1"/>
    <x v="17"/>
    <n v="6"/>
    <n v="33.35"/>
  </r>
  <r>
    <s v="ORD01478"/>
    <d v="2025-05-15T00:00:00"/>
    <d v="2025-05-17T00:00:00"/>
    <s v="C0122"/>
    <x v="44"/>
    <s v="Corporate"/>
    <x v="2"/>
    <x v="14"/>
    <s v="P004"/>
    <x v="7"/>
    <x v="2"/>
    <n v="2"/>
    <n v="8000"/>
    <x v="0"/>
    <n v="16000"/>
    <n v="3301.54"/>
    <x v="0"/>
    <x v="0"/>
    <x v="1"/>
    <x v="0"/>
    <x v="4"/>
    <s v="May"/>
    <s v="Q2"/>
    <x v="5"/>
    <n v="2"/>
    <n v="20.63"/>
  </r>
  <r>
    <s v="ORD00162"/>
    <d v="2025-07-13T00:00:00"/>
    <d v="2025-07-14T00:00:00"/>
    <s v="C0087"/>
    <x v="94"/>
    <s v="Consumer"/>
    <x v="0"/>
    <x v="2"/>
    <s v="P003"/>
    <x v="5"/>
    <x v="2"/>
    <n v="2"/>
    <n v="3000"/>
    <x v="4"/>
    <n v="5400"/>
    <n v="1775.73"/>
    <x v="1"/>
    <x v="0"/>
    <x v="3"/>
    <x v="0"/>
    <x v="3"/>
    <s v="Jul"/>
    <s v="Q3"/>
    <x v="15"/>
    <n v="1"/>
    <n v="32.880000000000003"/>
  </r>
  <r>
    <s v="ORD01873"/>
    <d v="2025-04-30T00:00:00"/>
    <d v="2025-05-03T00:00:00"/>
    <s v="C0024"/>
    <x v="286"/>
    <s v="Small Business"/>
    <x v="1"/>
    <x v="5"/>
    <s v="P007"/>
    <x v="10"/>
    <x v="0"/>
    <n v="1"/>
    <n v="6000"/>
    <x v="1"/>
    <n v="5100"/>
    <n v="902.67"/>
    <x v="4"/>
    <x v="1"/>
    <x v="1"/>
    <x v="0"/>
    <x v="5"/>
    <s v="Apr"/>
    <s v="Q2"/>
    <x v="13"/>
    <n v="3"/>
    <n v="17.7"/>
  </r>
  <r>
    <s v="ORD00678"/>
    <d v="2025-03-13T00:00:00"/>
    <d v="2025-03-18T00:00:00"/>
    <s v="C0272"/>
    <x v="153"/>
    <s v="Small Business"/>
    <x v="3"/>
    <x v="8"/>
    <s v="P008"/>
    <x v="11"/>
    <x v="1"/>
    <n v="1"/>
    <n v="250"/>
    <x v="2"/>
    <n v="200"/>
    <n v="58.45"/>
    <x v="1"/>
    <x v="1"/>
    <x v="0"/>
    <x v="0"/>
    <x v="0"/>
    <s v="Mar"/>
    <s v="Q1"/>
    <x v="0"/>
    <n v="5"/>
    <n v="29.23"/>
  </r>
  <r>
    <s v="ORD01271"/>
    <d v="2024-08-14T00:00:00"/>
    <d v="2024-08-16T00:00:00"/>
    <s v="C0163"/>
    <x v="231"/>
    <s v="Small Business"/>
    <x v="2"/>
    <x v="14"/>
    <s v="P002"/>
    <x v="3"/>
    <x v="2"/>
    <n v="1"/>
    <n v="25000"/>
    <x v="1"/>
    <n v="21250"/>
    <n v="2645.13"/>
    <x v="1"/>
    <x v="1"/>
    <x v="1"/>
    <x v="1"/>
    <x v="7"/>
    <s v="Aug"/>
    <s v="Q3"/>
    <x v="9"/>
    <n v="2"/>
    <n v="12.45"/>
  </r>
  <r>
    <s v="ORD01828"/>
    <d v="2025-08-23T00:00:00"/>
    <d v="2025-08-28T00:00:00"/>
    <s v="C0086"/>
    <x v="158"/>
    <s v="Consumer"/>
    <x v="1"/>
    <x v="16"/>
    <s v="P012"/>
    <x v="4"/>
    <x v="3"/>
    <n v="3"/>
    <n v="3500"/>
    <x v="1"/>
    <n v="8925"/>
    <n v="2026.65"/>
    <x v="4"/>
    <x v="1"/>
    <x v="4"/>
    <x v="0"/>
    <x v="7"/>
    <s v="Aug"/>
    <s v="Q3"/>
    <x v="22"/>
    <n v="5"/>
    <n v="22.71"/>
  </r>
  <r>
    <s v="ORD01538"/>
    <d v="2024-05-30T00:00:00"/>
    <m/>
    <s v="C0119"/>
    <x v="238"/>
    <s v="Consumer"/>
    <x v="0"/>
    <x v="2"/>
    <s v="P004"/>
    <x v="7"/>
    <x v="2"/>
    <n v="1"/>
    <n v="8000"/>
    <x v="1"/>
    <n v="6800"/>
    <n v="1667"/>
    <x v="3"/>
    <x v="0"/>
    <x v="1"/>
    <x v="1"/>
    <x v="4"/>
    <s v="May"/>
    <s v="Q2"/>
    <x v="8"/>
    <s v=""/>
    <n v="24.51"/>
  </r>
  <r>
    <s v="ORD00459"/>
    <d v="2025-05-16T00:00:00"/>
    <d v="2025-05-17T00:00:00"/>
    <s v="C0199"/>
    <x v="70"/>
    <s v="Consumer"/>
    <x v="2"/>
    <x v="14"/>
    <s v="P011"/>
    <x v="9"/>
    <x v="4"/>
    <n v="2"/>
    <n v="600"/>
    <x v="1"/>
    <n v="1020"/>
    <n v="387.6"/>
    <x v="3"/>
    <x v="0"/>
    <x v="1"/>
    <x v="0"/>
    <x v="4"/>
    <s v="May"/>
    <s v="Q2"/>
    <x v="5"/>
    <n v="1"/>
    <n v="38"/>
  </r>
  <r>
    <s v="ORD01402"/>
    <d v="2024-07-12T00:00:00"/>
    <d v="2024-07-16T00:00:00"/>
    <s v="C0036"/>
    <x v="217"/>
    <s v="Consumer"/>
    <x v="2"/>
    <x v="9"/>
    <s v="P003"/>
    <x v="5"/>
    <x v="2"/>
    <n v="2"/>
    <n v="3000"/>
    <x v="3"/>
    <n v="5700"/>
    <n v="1321.34"/>
    <x v="3"/>
    <x v="0"/>
    <x v="2"/>
    <x v="1"/>
    <x v="3"/>
    <s v="Jul"/>
    <s v="Q3"/>
    <x v="4"/>
    <n v="4"/>
    <n v="23.18"/>
  </r>
  <r>
    <s v="ORD01377"/>
    <d v="2025-01-02T00:00:00"/>
    <d v="2025-01-06T00:00:00"/>
    <s v="C0234"/>
    <x v="113"/>
    <s v="Corporate"/>
    <x v="3"/>
    <x v="8"/>
    <s v="P005"/>
    <x v="0"/>
    <x v="0"/>
    <n v="4"/>
    <n v="7000"/>
    <x v="0"/>
    <n v="28000"/>
    <n v="5180.26"/>
    <x v="3"/>
    <x v="1"/>
    <x v="3"/>
    <x v="0"/>
    <x v="11"/>
    <s v="Jan"/>
    <s v="Q1"/>
    <x v="17"/>
    <n v="4"/>
    <n v="18.5"/>
  </r>
  <r>
    <s v="ORD01407"/>
    <d v="2024-07-11T00:00:00"/>
    <d v="2024-07-19T00:00:00"/>
    <s v="C0123"/>
    <x v="251"/>
    <s v="Small Business"/>
    <x v="0"/>
    <x v="10"/>
    <s v="P008"/>
    <x v="11"/>
    <x v="1"/>
    <n v="3"/>
    <n v="250"/>
    <x v="0"/>
    <n v="750"/>
    <n v="253"/>
    <x v="5"/>
    <x v="2"/>
    <x v="1"/>
    <x v="1"/>
    <x v="3"/>
    <s v="Jul"/>
    <s v="Q3"/>
    <x v="4"/>
    <n v="8"/>
    <n v="33.729999999999997"/>
  </r>
  <r>
    <s v="ORD01401"/>
    <d v="2025-06-25T00:00:00"/>
    <d v="2025-06-26T00:00:00"/>
    <s v="C0087"/>
    <x v="94"/>
    <s v="Consumer"/>
    <x v="0"/>
    <x v="2"/>
    <s v="P001"/>
    <x v="8"/>
    <x v="2"/>
    <n v="1"/>
    <n v="55000"/>
    <x v="0"/>
    <n v="55000"/>
    <n v="8453.6200000000008"/>
    <x v="1"/>
    <x v="2"/>
    <x v="4"/>
    <x v="0"/>
    <x v="8"/>
    <s v="Jun"/>
    <s v="Q2"/>
    <x v="10"/>
    <n v="1"/>
    <n v="15.37"/>
  </r>
  <r>
    <s v="ORD00543"/>
    <d v="2025-11-09T00:00:00"/>
    <d v="2025-11-17T00:00:00"/>
    <s v="C0121"/>
    <x v="207"/>
    <s v="Consumer"/>
    <x v="3"/>
    <x v="12"/>
    <s v="P003"/>
    <x v="5"/>
    <x v="2"/>
    <n v="3"/>
    <n v="3000"/>
    <x v="1"/>
    <n v="7650"/>
    <n v="2133.6"/>
    <x v="2"/>
    <x v="2"/>
    <x v="1"/>
    <x v="0"/>
    <x v="2"/>
    <s v="Nov"/>
    <s v="Q4"/>
    <x v="23"/>
    <n v="8"/>
    <n v="27.89"/>
  </r>
  <r>
    <s v="ORD01222"/>
    <d v="2025-03-28T00:00:00"/>
    <d v="2025-03-30T00:00:00"/>
    <s v="C0224"/>
    <x v="292"/>
    <s v="Small Business"/>
    <x v="1"/>
    <x v="5"/>
    <s v="P009"/>
    <x v="2"/>
    <x v="1"/>
    <n v="2"/>
    <n v="180"/>
    <x v="2"/>
    <n v="288"/>
    <n v="103.71"/>
    <x v="1"/>
    <x v="1"/>
    <x v="4"/>
    <x v="0"/>
    <x v="0"/>
    <s v="Mar"/>
    <s v="Q1"/>
    <x v="0"/>
    <n v="2"/>
    <n v="36.01"/>
  </r>
  <r>
    <s v="ORD00951"/>
    <d v="2025-03-15T00:00:00"/>
    <d v="2025-03-18T00:00:00"/>
    <s v="C0249"/>
    <x v="148"/>
    <s v="Corporate"/>
    <x v="0"/>
    <x v="15"/>
    <s v="P002"/>
    <x v="3"/>
    <x v="2"/>
    <n v="1"/>
    <n v="25000"/>
    <x v="0"/>
    <n v="25000"/>
    <n v="3718.87"/>
    <x v="4"/>
    <x v="1"/>
    <x v="3"/>
    <x v="0"/>
    <x v="0"/>
    <s v="Mar"/>
    <s v="Q1"/>
    <x v="0"/>
    <n v="3"/>
    <n v="14.88"/>
  </r>
  <r>
    <s v="ORD00133"/>
    <d v="2025-11-16T00:00:00"/>
    <d v="2025-11-20T00:00:00"/>
    <s v="C0045"/>
    <x v="49"/>
    <s v="Small Business"/>
    <x v="1"/>
    <x v="16"/>
    <s v="P007"/>
    <x v="10"/>
    <x v="0"/>
    <n v="10"/>
    <n v="6000"/>
    <x v="3"/>
    <n v="57000"/>
    <n v="11346.75"/>
    <x v="2"/>
    <x v="1"/>
    <x v="0"/>
    <x v="0"/>
    <x v="2"/>
    <s v="Nov"/>
    <s v="Q4"/>
    <x v="23"/>
    <n v="4"/>
    <n v="19.91"/>
  </r>
  <r>
    <s v="ORD00465"/>
    <d v="2025-03-29T00:00:00"/>
    <d v="2025-04-04T00:00:00"/>
    <s v="C0274"/>
    <x v="9"/>
    <s v="Consumer"/>
    <x v="3"/>
    <x v="6"/>
    <s v="P010"/>
    <x v="6"/>
    <x v="4"/>
    <n v="5"/>
    <n v="1800"/>
    <x v="0"/>
    <n v="9000"/>
    <n v="2898.1"/>
    <x v="3"/>
    <x v="1"/>
    <x v="0"/>
    <x v="0"/>
    <x v="0"/>
    <s v="Mar"/>
    <s v="Q1"/>
    <x v="0"/>
    <n v="6"/>
    <n v="32.200000000000003"/>
  </r>
  <r>
    <s v="ORD01565"/>
    <d v="2025-02-22T00:00:00"/>
    <d v="2025-03-01T00:00:00"/>
    <s v="C0052"/>
    <x v="189"/>
    <s v="Small Business"/>
    <x v="0"/>
    <x v="0"/>
    <s v="P002"/>
    <x v="3"/>
    <x v="2"/>
    <n v="3"/>
    <n v="25000"/>
    <x v="3"/>
    <n v="71250"/>
    <n v="8124.15"/>
    <x v="1"/>
    <x v="1"/>
    <x v="3"/>
    <x v="0"/>
    <x v="6"/>
    <s v="Feb"/>
    <s v="Q1"/>
    <x v="7"/>
    <n v="7"/>
    <n v="11.4"/>
  </r>
  <r>
    <s v="ORD00430"/>
    <d v="2024-09-30T00:00:00"/>
    <d v="2024-10-08T00:00:00"/>
    <s v="C0150"/>
    <x v="228"/>
    <s v="Small Business"/>
    <x v="2"/>
    <x v="9"/>
    <s v="P012"/>
    <x v="4"/>
    <x v="3"/>
    <n v="2"/>
    <n v="3500"/>
    <x v="3"/>
    <n v="6650"/>
    <n v="1720.49"/>
    <x v="3"/>
    <x v="2"/>
    <x v="1"/>
    <x v="1"/>
    <x v="9"/>
    <s v="Sep"/>
    <s v="Q3"/>
    <x v="20"/>
    <n v="8"/>
    <n v="25.87"/>
  </r>
  <r>
    <s v="ORD00639"/>
    <d v="2025-05-07T00:00:00"/>
    <d v="2025-05-15T00:00:00"/>
    <s v="C0186"/>
    <x v="294"/>
    <s v="Corporate"/>
    <x v="0"/>
    <x v="15"/>
    <s v="P010"/>
    <x v="6"/>
    <x v="4"/>
    <n v="2"/>
    <n v="1800"/>
    <x v="2"/>
    <n v="2880"/>
    <n v="809.59"/>
    <x v="5"/>
    <x v="0"/>
    <x v="4"/>
    <x v="0"/>
    <x v="4"/>
    <s v="May"/>
    <s v="Q2"/>
    <x v="5"/>
    <n v="8"/>
    <n v="28.11"/>
  </r>
  <r>
    <s v="ORD00193"/>
    <d v="2024-12-22T00:00:00"/>
    <d v="2024-12-24T00:00:00"/>
    <s v="C0267"/>
    <x v="93"/>
    <s v="Consumer"/>
    <x v="2"/>
    <x v="9"/>
    <s v="P008"/>
    <x v="11"/>
    <x v="1"/>
    <n v="2"/>
    <n v="250"/>
    <x v="1"/>
    <n v="425"/>
    <n v="149.77000000000001"/>
    <x v="3"/>
    <x v="0"/>
    <x v="3"/>
    <x v="1"/>
    <x v="10"/>
    <s v="Dec"/>
    <s v="Q4"/>
    <x v="16"/>
    <n v="2"/>
    <n v="35.24"/>
  </r>
  <r>
    <s v="ORD01583"/>
    <d v="2025-05-26T00:00:00"/>
    <d v="2025-06-01T00:00:00"/>
    <s v="C0086"/>
    <x v="158"/>
    <s v="Consumer"/>
    <x v="1"/>
    <x v="16"/>
    <s v="P009"/>
    <x v="2"/>
    <x v="1"/>
    <n v="1"/>
    <n v="180"/>
    <x v="0"/>
    <n v="180"/>
    <n v="63.4"/>
    <x v="3"/>
    <x v="0"/>
    <x v="1"/>
    <x v="0"/>
    <x v="4"/>
    <s v="May"/>
    <s v="Q2"/>
    <x v="5"/>
    <n v="6"/>
    <n v="35.22"/>
  </r>
  <r>
    <s v="ORD00379"/>
    <d v="2025-04-28T00:00:00"/>
    <d v="2025-05-02T00:00:00"/>
    <s v="C0279"/>
    <x v="202"/>
    <s v="Corporate"/>
    <x v="0"/>
    <x v="10"/>
    <s v="P009"/>
    <x v="2"/>
    <x v="1"/>
    <n v="3"/>
    <n v="180"/>
    <x v="0"/>
    <n v="540"/>
    <n v="205.66"/>
    <x v="1"/>
    <x v="2"/>
    <x v="4"/>
    <x v="0"/>
    <x v="5"/>
    <s v="Apr"/>
    <s v="Q2"/>
    <x v="13"/>
    <n v="4"/>
    <n v="38.090000000000003"/>
  </r>
  <r>
    <s v="ORD01990"/>
    <d v="2025-04-14T00:00:00"/>
    <d v="2025-04-20T00:00:00"/>
    <s v="C0202"/>
    <x v="222"/>
    <s v="Small Business"/>
    <x v="2"/>
    <x v="9"/>
    <s v="P008"/>
    <x v="11"/>
    <x v="1"/>
    <n v="1"/>
    <n v="250"/>
    <x v="2"/>
    <n v="200"/>
    <n v="83.09"/>
    <x v="3"/>
    <x v="0"/>
    <x v="2"/>
    <x v="0"/>
    <x v="5"/>
    <s v="Apr"/>
    <s v="Q2"/>
    <x v="13"/>
    <n v="6"/>
    <n v="41.55"/>
  </r>
  <r>
    <s v="ORD01794"/>
    <d v="2024-03-02T00:00:00"/>
    <d v="2024-03-10T00:00:00"/>
    <s v="C0243"/>
    <x v="24"/>
    <s v="Corporate"/>
    <x v="0"/>
    <x v="11"/>
    <s v="P009"/>
    <x v="2"/>
    <x v="1"/>
    <n v="2"/>
    <n v="180"/>
    <x v="2"/>
    <n v="288"/>
    <n v="97.54"/>
    <x v="2"/>
    <x v="1"/>
    <x v="4"/>
    <x v="1"/>
    <x v="0"/>
    <s v="Mar"/>
    <s v="Q1"/>
    <x v="2"/>
    <n v="8"/>
    <n v="33.869999999999997"/>
  </r>
  <r>
    <s v="ORD00704"/>
    <d v="2025-03-17T00:00:00"/>
    <d v="2025-03-22T00:00:00"/>
    <s v="C0196"/>
    <x v="22"/>
    <s v="Consumer"/>
    <x v="0"/>
    <x v="11"/>
    <s v="P003"/>
    <x v="5"/>
    <x v="2"/>
    <n v="4"/>
    <n v="3000"/>
    <x v="4"/>
    <n v="10800"/>
    <n v="2547.37"/>
    <x v="5"/>
    <x v="2"/>
    <x v="2"/>
    <x v="0"/>
    <x v="0"/>
    <s v="Mar"/>
    <s v="Q1"/>
    <x v="0"/>
    <n v="5"/>
    <n v="23.59"/>
  </r>
  <r>
    <s v="ORD00615"/>
    <d v="2025-05-30T00:00:00"/>
    <d v="2025-06-05T00:00:00"/>
    <s v="C0181"/>
    <x v="134"/>
    <s v="Corporate"/>
    <x v="0"/>
    <x v="11"/>
    <s v="P005"/>
    <x v="0"/>
    <x v="0"/>
    <n v="3"/>
    <n v="7000"/>
    <x v="0"/>
    <n v="21000"/>
    <n v="3334.64"/>
    <x v="6"/>
    <x v="1"/>
    <x v="0"/>
    <x v="0"/>
    <x v="4"/>
    <s v="May"/>
    <s v="Q2"/>
    <x v="5"/>
    <n v="6"/>
    <n v="15.88"/>
  </r>
  <r>
    <s v="ORD01845"/>
    <d v="2025-12-28T00:00:00"/>
    <d v="2026-01-03T00:00:00"/>
    <s v="C0114"/>
    <x v="98"/>
    <s v="Small Business"/>
    <x v="3"/>
    <x v="6"/>
    <s v="P012"/>
    <x v="4"/>
    <x v="3"/>
    <n v="1"/>
    <n v="3500"/>
    <x v="0"/>
    <n v="3500"/>
    <n v="839.86"/>
    <x v="0"/>
    <x v="1"/>
    <x v="1"/>
    <x v="0"/>
    <x v="10"/>
    <s v="Dec"/>
    <s v="Q4"/>
    <x v="19"/>
    <n v="6"/>
    <n v="24"/>
  </r>
  <r>
    <s v="ORD01303"/>
    <d v="2024-09-07T00:00:00"/>
    <d v="2024-09-11T00:00:00"/>
    <s v="C0268"/>
    <x v="236"/>
    <s v="Corporate"/>
    <x v="2"/>
    <x v="14"/>
    <s v="P004"/>
    <x v="7"/>
    <x v="2"/>
    <n v="1"/>
    <n v="8000"/>
    <x v="1"/>
    <n v="6800"/>
    <n v="1314.23"/>
    <x v="4"/>
    <x v="2"/>
    <x v="0"/>
    <x v="1"/>
    <x v="9"/>
    <s v="Sep"/>
    <s v="Q3"/>
    <x v="20"/>
    <n v="4"/>
    <n v="19.329999999999998"/>
  </r>
  <r>
    <s v="ORD01600"/>
    <d v="2025-07-22T00:00:00"/>
    <d v="2025-07-26T00:00:00"/>
    <s v="C0055"/>
    <x v="28"/>
    <s v="Corporate"/>
    <x v="3"/>
    <x v="12"/>
    <s v="P003"/>
    <x v="5"/>
    <x v="2"/>
    <n v="1"/>
    <n v="3000"/>
    <x v="2"/>
    <n v="2400"/>
    <n v="567.05999999999995"/>
    <x v="0"/>
    <x v="0"/>
    <x v="3"/>
    <x v="0"/>
    <x v="3"/>
    <s v="Jul"/>
    <s v="Q3"/>
    <x v="15"/>
    <n v="4"/>
    <n v="23.63"/>
  </r>
  <r>
    <s v="ORD01412"/>
    <d v="2024-02-18T00:00:00"/>
    <d v="2024-02-19T00:00:00"/>
    <s v="C0274"/>
    <x v="9"/>
    <s v="Consumer"/>
    <x v="3"/>
    <x v="6"/>
    <s v="P001"/>
    <x v="8"/>
    <x v="2"/>
    <n v="10"/>
    <n v="55000"/>
    <x v="3"/>
    <n v="522500"/>
    <n v="72916.55"/>
    <x v="5"/>
    <x v="1"/>
    <x v="1"/>
    <x v="1"/>
    <x v="6"/>
    <s v="Feb"/>
    <s v="Q1"/>
    <x v="18"/>
    <n v="1"/>
    <n v="13.96"/>
  </r>
  <r>
    <s v="ORD00272"/>
    <d v="2025-05-19T00:00:00"/>
    <d v="2025-05-21T00:00:00"/>
    <s v="C0086"/>
    <x v="158"/>
    <s v="Consumer"/>
    <x v="1"/>
    <x v="16"/>
    <s v="P007"/>
    <x v="10"/>
    <x v="0"/>
    <n v="4"/>
    <n v="6000"/>
    <x v="0"/>
    <n v="24000"/>
    <n v="5290.04"/>
    <x v="0"/>
    <x v="2"/>
    <x v="2"/>
    <x v="0"/>
    <x v="4"/>
    <s v="May"/>
    <s v="Q2"/>
    <x v="5"/>
    <n v="2"/>
    <n v="22.04"/>
  </r>
  <r>
    <s v="ORD01386"/>
    <d v="2024-08-19T00:00:00"/>
    <d v="2024-08-20T00:00:00"/>
    <s v="C0113"/>
    <x v="195"/>
    <s v="Small Business"/>
    <x v="1"/>
    <x v="16"/>
    <s v="P004"/>
    <x v="7"/>
    <x v="2"/>
    <n v="2"/>
    <n v="8000"/>
    <x v="2"/>
    <n v="12800"/>
    <n v="2516.44"/>
    <x v="3"/>
    <x v="0"/>
    <x v="3"/>
    <x v="1"/>
    <x v="7"/>
    <s v="Aug"/>
    <s v="Q3"/>
    <x v="9"/>
    <n v="1"/>
    <n v="19.66"/>
  </r>
  <r>
    <s v="ORD00079"/>
    <d v="2025-01-04T00:00:00"/>
    <d v="2025-01-05T00:00:00"/>
    <s v="C0044"/>
    <x v="123"/>
    <s v="Small Business"/>
    <x v="3"/>
    <x v="7"/>
    <s v="P009"/>
    <x v="2"/>
    <x v="1"/>
    <n v="1"/>
    <n v="180"/>
    <x v="4"/>
    <n v="162"/>
    <n v="66.900000000000006"/>
    <x v="0"/>
    <x v="1"/>
    <x v="3"/>
    <x v="0"/>
    <x v="11"/>
    <s v="Jan"/>
    <s v="Q1"/>
    <x v="17"/>
    <n v="1"/>
    <n v="41.3"/>
  </r>
  <r>
    <s v="ORD00726"/>
    <d v="2025-10-06T00:00:00"/>
    <d v="2025-10-14T00:00:00"/>
    <s v="C0254"/>
    <x v="287"/>
    <s v="Corporate"/>
    <x v="2"/>
    <x v="9"/>
    <s v="P009"/>
    <x v="2"/>
    <x v="1"/>
    <n v="1"/>
    <n v="180"/>
    <x v="3"/>
    <n v="171"/>
    <n v="67.33"/>
    <x v="3"/>
    <x v="0"/>
    <x v="2"/>
    <x v="0"/>
    <x v="1"/>
    <s v="Oct"/>
    <s v="Q4"/>
    <x v="14"/>
    <n v="8"/>
    <n v="39.369999999999997"/>
  </r>
  <r>
    <s v="ORD00226"/>
    <d v="2025-02-05T00:00:00"/>
    <d v="2025-02-09T00:00:00"/>
    <s v="C0097"/>
    <x v="295"/>
    <s v="Corporate"/>
    <x v="1"/>
    <x v="1"/>
    <s v="P012"/>
    <x v="4"/>
    <x v="3"/>
    <n v="1"/>
    <n v="3500"/>
    <x v="0"/>
    <n v="3500"/>
    <n v="1135.1400000000001"/>
    <x v="0"/>
    <x v="1"/>
    <x v="3"/>
    <x v="0"/>
    <x v="6"/>
    <s v="Feb"/>
    <s v="Q1"/>
    <x v="7"/>
    <n v="4"/>
    <n v="32.43"/>
  </r>
  <r>
    <s v="ORD00720"/>
    <d v="2025-08-05T00:00:00"/>
    <d v="2025-08-10T00:00:00"/>
    <s v="C0167"/>
    <x v="188"/>
    <s v="Small Business"/>
    <x v="1"/>
    <x v="1"/>
    <s v="P012"/>
    <x v="4"/>
    <x v="3"/>
    <n v="1"/>
    <n v="3500"/>
    <x v="2"/>
    <n v="2800"/>
    <n v="644.65"/>
    <x v="3"/>
    <x v="0"/>
    <x v="3"/>
    <x v="0"/>
    <x v="7"/>
    <s v="Aug"/>
    <s v="Q3"/>
    <x v="22"/>
    <n v="5"/>
    <n v="23.02"/>
  </r>
  <r>
    <s v="ORD01146"/>
    <d v="2025-09-28T00:00:00"/>
    <d v="2025-09-29T00:00:00"/>
    <s v="C0175"/>
    <x v="271"/>
    <s v="Consumer"/>
    <x v="0"/>
    <x v="10"/>
    <s v="P012"/>
    <x v="4"/>
    <x v="3"/>
    <n v="2"/>
    <n v="3500"/>
    <x v="3"/>
    <n v="6650"/>
    <n v="2155.7600000000002"/>
    <x v="2"/>
    <x v="2"/>
    <x v="0"/>
    <x v="0"/>
    <x v="9"/>
    <s v="Sep"/>
    <s v="Q3"/>
    <x v="11"/>
    <n v="1"/>
    <n v="32.42"/>
  </r>
  <r>
    <s v="ORD00687"/>
    <d v="2024-05-23T00:00:00"/>
    <d v="2024-05-25T00:00:00"/>
    <s v="C0204"/>
    <x v="137"/>
    <s v="Corporate"/>
    <x v="0"/>
    <x v="10"/>
    <s v="P012"/>
    <x v="4"/>
    <x v="3"/>
    <n v="1"/>
    <n v="3500"/>
    <x v="4"/>
    <n v="3150"/>
    <n v="1001.74"/>
    <x v="1"/>
    <x v="2"/>
    <x v="1"/>
    <x v="1"/>
    <x v="4"/>
    <s v="May"/>
    <s v="Q2"/>
    <x v="8"/>
    <n v="2"/>
    <n v="31.8"/>
  </r>
  <r>
    <s v="ORD00283"/>
    <d v="2025-05-02T00:00:00"/>
    <d v="2025-05-03T00:00:00"/>
    <s v="C0294"/>
    <x v="290"/>
    <s v="Consumer"/>
    <x v="3"/>
    <x v="6"/>
    <s v="P004"/>
    <x v="7"/>
    <x v="2"/>
    <n v="1"/>
    <n v="8000"/>
    <x v="3"/>
    <n v="7600"/>
    <n v="2016.11"/>
    <x v="1"/>
    <x v="2"/>
    <x v="1"/>
    <x v="0"/>
    <x v="4"/>
    <s v="May"/>
    <s v="Q2"/>
    <x v="5"/>
    <n v="1"/>
    <n v="26.53"/>
  </r>
  <r>
    <s v="ORD00864"/>
    <d v="2025-01-18T00:00:00"/>
    <d v="2025-01-22T00:00:00"/>
    <s v="C0031"/>
    <x v="84"/>
    <s v="Small Business"/>
    <x v="3"/>
    <x v="6"/>
    <s v="P003"/>
    <x v="5"/>
    <x v="2"/>
    <n v="2"/>
    <n v="3000"/>
    <x v="0"/>
    <n v="6000"/>
    <n v="1369.2"/>
    <x v="5"/>
    <x v="0"/>
    <x v="2"/>
    <x v="0"/>
    <x v="11"/>
    <s v="Jan"/>
    <s v="Q1"/>
    <x v="17"/>
    <n v="4"/>
    <n v="22.82"/>
  </r>
  <r>
    <s v="ORD00130"/>
    <d v="2024-04-19T00:00:00"/>
    <d v="2024-04-27T00:00:00"/>
    <s v="C0291"/>
    <x v="87"/>
    <s v="Small Business"/>
    <x v="1"/>
    <x v="1"/>
    <s v="P010"/>
    <x v="6"/>
    <x v="4"/>
    <n v="5"/>
    <n v="1800"/>
    <x v="0"/>
    <n v="9000"/>
    <n v="2563.5500000000002"/>
    <x v="4"/>
    <x v="2"/>
    <x v="0"/>
    <x v="1"/>
    <x v="5"/>
    <s v="Apr"/>
    <s v="Q2"/>
    <x v="6"/>
    <n v="8"/>
    <n v="28.48"/>
  </r>
  <r>
    <s v="ORD01152"/>
    <d v="2025-09-16T00:00:00"/>
    <d v="2025-09-21T00:00:00"/>
    <s v="C0041"/>
    <x v="3"/>
    <s v="Small Business"/>
    <x v="0"/>
    <x v="0"/>
    <s v="P005"/>
    <x v="0"/>
    <x v="0"/>
    <n v="2"/>
    <n v="7000"/>
    <x v="0"/>
    <n v="14000"/>
    <n v="2698.62"/>
    <x v="3"/>
    <x v="1"/>
    <x v="0"/>
    <x v="0"/>
    <x v="9"/>
    <s v="Sep"/>
    <s v="Q3"/>
    <x v="11"/>
    <n v="5"/>
    <n v="19.28"/>
  </r>
  <r>
    <s v="ORD00495"/>
    <d v="2024-01-27T00:00:00"/>
    <d v="2024-01-31T00:00:00"/>
    <s v="C0068"/>
    <x v="247"/>
    <s v="Consumer"/>
    <x v="3"/>
    <x v="6"/>
    <s v="P003"/>
    <x v="5"/>
    <x v="2"/>
    <n v="3"/>
    <n v="3000"/>
    <x v="4"/>
    <n v="8100"/>
    <n v="2300.67"/>
    <x v="1"/>
    <x v="0"/>
    <x v="2"/>
    <x v="1"/>
    <x v="11"/>
    <s v="Jan"/>
    <s v="Q1"/>
    <x v="21"/>
    <n v="4"/>
    <n v="28.4"/>
  </r>
  <r>
    <s v="ORD01741"/>
    <d v="2024-09-06T00:00:00"/>
    <m/>
    <s v="C0186"/>
    <x v="294"/>
    <s v="Corporate"/>
    <x v="0"/>
    <x v="15"/>
    <s v="P011"/>
    <x v="9"/>
    <x v="4"/>
    <n v="4"/>
    <n v="600"/>
    <x v="4"/>
    <n v="2160"/>
    <n v="620.04"/>
    <x v="3"/>
    <x v="0"/>
    <x v="4"/>
    <x v="1"/>
    <x v="9"/>
    <s v="Sep"/>
    <s v="Q3"/>
    <x v="20"/>
    <s v=""/>
    <n v="28.71"/>
  </r>
  <r>
    <s v="ORD01405"/>
    <d v="2025-06-14T00:00:00"/>
    <d v="2025-06-17T00:00:00"/>
    <s v="C0093"/>
    <x v="127"/>
    <s v="Consumer"/>
    <x v="0"/>
    <x v="11"/>
    <s v="P010"/>
    <x v="6"/>
    <x v="4"/>
    <n v="1"/>
    <n v="1800"/>
    <x v="0"/>
    <n v="1800"/>
    <n v="566.41"/>
    <x v="1"/>
    <x v="1"/>
    <x v="0"/>
    <x v="0"/>
    <x v="8"/>
    <s v="Jun"/>
    <s v="Q2"/>
    <x v="10"/>
    <n v="3"/>
    <n v="31.47"/>
  </r>
  <r>
    <s v="ORD01288"/>
    <d v="2024-02-03T00:00:00"/>
    <d v="2024-02-11T00:00:00"/>
    <s v="C0004"/>
    <x v="119"/>
    <s v="Corporate"/>
    <x v="0"/>
    <x v="11"/>
    <s v="P012"/>
    <x v="4"/>
    <x v="3"/>
    <n v="3"/>
    <n v="3500"/>
    <x v="3"/>
    <n v="9975"/>
    <n v="3341.47"/>
    <x v="0"/>
    <x v="0"/>
    <x v="0"/>
    <x v="1"/>
    <x v="6"/>
    <s v="Feb"/>
    <s v="Q1"/>
    <x v="18"/>
    <n v="8"/>
    <n v="33.5"/>
  </r>
  <r>
    <s v="ORD01976"/>
    <d v="2024-10-29T00:00:00"/>
    <d v="2024-11-01T00:00:00"/>
    <s v="C0073"/>
    <x v="147"/>
    <s v="Consumer"/>
    <x v="3"/>
    <x v="8"/>
    <s v="P006"/>
    <x v="1"/>
    <x v="0"/>
    <n v="2"/>
    <n v="9500"/>
    <x v="3"/>
    <n v="18050"/>
    <n v="2604.9499999999998"/>
    <x v="4"/>
    <x v="2"/>
    <x v="3"/>
    <x v="1"/>
    <x v="1"/>
    <s v="Oct"/>
    <s v="Q4"/>
    <x v="1"/>
    <n v="3"/>
    <n v="14.43"/>
  </r>
  <r>
    <s v="ORD00708"/>
    <d v="2024-08-28T00:00:00"/>
    <d v="2024-08-29T00:00:00"/>
    <s v="C0027"/>
    <x v="191"/>
    <s v="Consumer"/>
    <x v="2"/>
    <x v="4"/>
    <s v="P006"/>
    <x v="1"/>
    <x v="0"/>
    <n v="2"/>
    <n v="9500"/>
    <x v="0"/>
    <n v="19000"/>
    <n v="4175.04"/>
    <x v="2"/>
    <x v="1"/>
    <x v="1"/>
    <x v="1"/>
    <x v="7"/>
    <s v="Aug"/>
    <s v="Q3"/>
    <x v="9"/>
    <n v="1"/>
    <n v="21.97"/>
  </r>
  <r>
    <s v="ORD01745"/>
    <d v="2025-11-19T00:00:00"/>
    <d v="2025-11-25T00:00:00"/>
    <s v="C0219"/>
    <x v="60"/>
    <s v="Corporate"/>
    <x v="3"/>
    <x v="12"/>
    <s v="P002"/>
    <x v="3"/>
    <x v="2"/>
    <n v="4"/>
    <n v="25000"/>
    <x v="2"/>
    <n v="80000"/>
    <n v="9313.3799999999992"/>
    <x v="1"/>
    <x v="1"/>
    <x v="3"/>
    <x v="0"/>
    <x v="2"/>
    <s v="Nov"/>
    <s v="Q4"/>
    <x v="23"/>
    <n v="6"/>
    <n v="11.64"/>
  </r>
  <r>
    <s v="ORD01838"/>
    <d v="2025-01-10T00:00:00"/>
    <d v="2025-01-12T00:00:00"/>
    <s v="C0100"/>
    <x v="270"/>
    <s v="Consumer"/>
    <x v="2"/>
    <x v="4"/>
    <s v="P012"/>
    <x v="4"/>
    <x v="3"/>
    <n v="10"/>
    <n v="3500"/>
    <x v="0"/>
    <n v="35000"/>
    <n v="11072.65"/>
    <x v="5"/>
    <x v="2"/>
    <x v="3"/>
    <x v="0"/>
    <x v="11"/>
    <s v="Jan"/>
    <s v="Q1"/>
    <x v="17"/>
    <n v="2"/>
    <n v="31.64"/>
  </r>
  <r>
    <s v="ORD00645"/>
    <d v="2025-05-30T00:00:00"/>
    <d v="2025-06-01T00:00:00"/>
    <s v="C0112"/>
    <x v="72"/>
    <s v="Consumer"/>
    <x v="0"/>
    <x v="2"/>
    <s v="P003"/>
    <x v="5"/>
    <x v="2"/>
    <n v="1"/>
    <n v="3000"/>
    <x v="0"/>
    <n v="3000"/>
    <n v="916.24"/>
    <x v="0"/>
    <x v="1"/>
    <x v="3"/>
    <x v="0"/>
    <x v="4"/>
    <s v="May"/>
    <s v="Q2"/>
    <x v="5"/>
    <n v="2"/>
    <n v="30.54"/>
  </r>
  <r>
    <s v="ORD01868"/>
    <d v="2025-11-07T00:00:00"/>
    <d v="2025-11-12T00:00:00"/>
    <s v="C0029"/>
    <x v="133"/>
    <s v="Consumer"/>
    <x v="3"/>
    <x v="8"/>
    <s v="P003"/>
    <x v="5"/>
    <x v="2"/>
    <n v="1"/>
    <n v="3000"/>
    <x v="2"/>
    <n v="2400"/>
    <n v="694.21"/>
    <x v="2"/>
    <x v="2"/>
    <x v="3"/>
    <x v="0"/>
    <x v="2"/>
    <s v="Nov"/>
    <s v="Q4"/>
    <x v="23"/>
    <n v="5"/>
    <n v="28.93"/>
  </r>
  <r>
    <s v="ORD00291"/>
    <d v="2024-05-17T00:00:00"/>
    <d v="2024-05-23T00:00:00"/>
    <s v="C0051"/>
    <x v="106"/>
    <s v="Consumer"/>
    <x v="2"/>
    <x v="3"/>
    <s v="P004"/>
    <x v="7"/>
    <x v="2"/>
    <n v="1"/>
    <n v="8000"/>
    <x v="1"/>
    <n v="6800"/>
    <n v="1491.32"/>
    <x v="3"/>
    <x v="2"/>
    <x v="3"/>
    <x v="1"/>
    <x v="4"/>
    <s v="May"/>
    <s v="Q2"/>
    <x v="8"/>
    <n v="6"/>
    <n v="21.93"/>
  </r>
  <r>
    <s v="ORD01004"/>
    <d v="2024-01-09T00:00:00"/>
    <d v="2024-01-16T00:00:00"/>
    <s v="C0048"/>
    <x v="124"/>
    <s v="Small Business"/>
    <x v="2"/>
    <x v="3"/>
    <s v="P005"/>
    <x v="0"/>
    <x v="0"/>
    <n v="10"/>
    <n v="7000"/>
    <x v="2"/>
    <n v="56000"/>
    <n v="10015.68"/>
    <x v="1"/>
    <x v="0"/>
    <x v="4"/>
    <x v="1"/>
    <x v="11"/>
    <s v="Jan"/>
    <s v="Q1"/>
    <x v="21"/>
    <n v="7"/>
    <n v="17.89"/>
  </r>
  <r>
    <s v="ORD01513"/>
    <d v="2025-01-03T00:00:00"/>
    <d v="2025-01-06T00:00:00"/>
    <s v="C0278"/>
    <x v="51"/>
    <s v="Small Business"/>
    <x v="0"/>
    <x v="2"/>
    <s v="P007"/>
    <x v="10"/>
    <x v="0"/>
    <n v="10"/>
    <n v="6000"/>
    <x v="0"/>
    <n v="60000"/>
    <n v="13548.39"/>
    <x v="6"/>
    <x v="1"/>
    <x v="0"/>
    <x v="0"/>
    <x v="11"/>
    <s v="Jan"/>
    <s v="Q1"/>
    <x v="17"/>
    <n v="3"/>
    <n v="22.58"/>
  </r>
  <r>
    <s v="ORD01785"/>
    <d v="2024-12-17T00:00:00"/>
    <d v="2024-12-21T00:00:00"/>
    <s v="C0248"/>
    <x v="1"/>
    <s v="Consumer"/>
    <x v="1"/>
    <x v="1"/>
    <s v="P003"/>
    <x v="5"/>
    <x v="2"/>
    <n v="10"/>
    <n v="3000"/>
    <x v="0"/>
    <n v="30000"/>
    <n v="7753.15"/>
    <x v="5"/>
    <x v="0"/>
    <x v="4"/>
    <x v="1"/>
    <x v="10"/>
    <s v="Dec"/>
    <s v="Q4"/>
    <x v="16"/>
    <n v="4"/>
    <n v="25.84"/>
  </r>
  <r>
    <s v="ORD00958"/>
    <d v="2024-09-15T00:00:00"/>
    <d v="2024-09-17T00:00:00"/>
    <s v="C0221"/>
    <x v="128"/>
    <s v="Consumer"/>
    <x v="3"/>
    <x v="8"/>
    <s v="P003"/>
    <x v="5"/>
    <x v="2"/>
    <n v="5"/>
    <n v="3000"/>
    <x v="0"/>
    <n v="15000"/>
    <n v="3751.71"/>
    <x v="2"/>
    <x v="2"/>
    <x v="3"/>
    <x v="1"/>
    <x v="9"/>
    <s v="Sep"/>
    <s v="Q3"/>
    <x v="20"/>
    <n v="2"/>
    <n v="25.01"/>
  </r>
  <r>
    <s v="ORD01428"/>
    <d v="2024-06-22T00:00:00"/>
    <m/>
    <s v="C0009"/>
    <x v="233"/>
    <s v="Consumer"/>
    <x v="1"/>
    <x v="5"/>
    <s v="P010"/>
    <x v="6"/>
    <x v="4"/>
    <n v="3"/>
    <n v="1800"/>
    <x v="0"/>
    <n v="5400"/>
    <n v="1603"/>
    <x v="2"/>
    <x v="2"/>
    <x v="2"/>
    <x v="1"/>
    <x v="8"/>
    <s v="Jun"/>
    <s v="Q2"/>
    <x v="12"/>
    <s v=""/>
    <n v="29.69"/>
  </r>
  <r>
    <s v="ORD00094"/>
    <d v="2024-11-23T00:00:00"/>
    <d v="2024-11-28T00:00:00"/>
    <s v="C0045"/>
    <x v="49"/>
    <s v="Small Business"/>
    <x v="1"/>
    <x v="16"/>
    <s v="P011"/>
    <x v="9"/>
    <x v="4"/>
    <n v="3"/>
    <n v="600"/>
    <x v="4"/>
    <n v="1620"/>
    <n v="564.41999999999996"/>
    <x v="4"/>
    <x v="2"/>
    <x v="2"/>
    <x v="1"/>
    <x v="2"/>
    <s v="Nov"/>
    <s v="Q4"/>
    <x v="3"/>
    <n v="5"/>
    <n v="34.840000000000003"/>
  </r>
  <r>
    <s v="ORD01162"/>
    <d v="2024-11-20T00:00:00"/>
    <d v="2024-11-26T00:00:00"/>
    <s v="C0267"/>
    <x v="93"/>
    <s v="Consumer"/>
    <x v="2"/>
    <x v="9"/>
    <s v="P008"/>
    <x v="11"/>
    <x v="1"/>
    <n v="4"/>
    <n v="250"/>
    <x v="0"/>
    <n v="1000"/>
    <n v="425.77"/>
    <x v="4"/>
    <x v="1"/>
    <x v="2"/>
    <x v="1"/>
    <x v="2"/>
    <s v="Nov"/>
    <s v="Q4"/>
    <x v="3"/>
    <n v="6"/>
    <n v="42.58"/>
  </r>
  <r>
    <s v="ORD01816"/>
    <d v="2024-09-07T00:00:00"/>
    <d v="2024-09-11T00:00:00"/>
    <s v="C0187"/>
    <x v="208"/>
    <s v="Corporate"/>
    <x v="3"/>
    <x v="12"/>
    <s v="P012"/>
    <x v="4"/>
    <x v="3"/>
    <n v="3"/>
    <n v="3500"/>
    <x v="2"/>
    <n v="8400"/>
    <n v="2843.39"/>
    <x v="3"/>
    <x v="2"/>
    <x v="4"/>
    <x v="1"/>
    <x v="9"/>
    <s v="Sep"/>
    <s v="Q3"/>
    <x v="20"/>
    <n v="4"/>
    <n v="33.85"/>
  </r>
  <r>
    <s v="ORD01554"/>
    <d v="2025-02-05T00:00:00"/>
    <d v="2025-02-13T00:00:00"/>
    <s v="C0192"/>
    <x v="214"/>
    <s v="Consumer"/>
    <x v="3"/>
    <x v="8"/>
    <s v="P004"/>
    <x v="7"/>
    <x v="2"/>
    <n v="2"/>
    <n v="8000"/>
    <x v="0"/>
    <n v="16000"/>
    <n v="4291.97"/>
    <x v="1"/>
    <x v="1"/>
    <x v="2"/>
    <x v="0"/>
    <x v="6"/>
    <s v="Feb"/>
    <s v="Q1"/>
    <x v="7"/>
    <n v="8"/>
    <n v="26.82"/>
  </r>
  <r>
    <s v="ORD01841"/>
    <d v="2024-08-05T00:00:00"/>
    <d v="2024-08-08T00:00:00"/>
    <s v="C0158"/>
    <x v="151"/>
    <s v="Small Business"/>
    <x v="2"/>
    <x v="9"/>
    <s v="P003"/>
    <x v="5"/>
    <x v="2"/>
    <n v="4"/>
    <n v="3000"/>
    <x v="0"/>
    <n v="12000"/>
    <n v="3875.78"/>
    <x v="2"/>
    <x v="0"/>
    <x v="0"/>
    <x v="1"/>
    <x v="7"/>
    <s v="Aug"/>
    <s v="Q3"/>
    <x v="9"/>
    <n v="3"/>
    <n v="32.299999999999997"/>
  </r>
  <r>
    <s v="ORD01553"/>
    <d v="2024-10-25T00:00:00"/>
    <d v="2024-10-31T00:00:00"/>
    <s v="C0061"/>
    <x v="85"/>
    <s v="Small Business"/>
    <x v="0"/>
    <x v="11"/>
    <s v="P012"/>
    <x v="4"/>
    <x v="3"/>
    <n v="1"/>
    <n v="3500"/>
    <x v="2"/>
    <n v="2800"/>
    <n v="854.23"/>
    <x v="4"/>
    <x v="2"/>
    <x v="0"/>
    <x v="1"/>
    <x v="1"/>
    <s v="Oct"/>
    <s v="Q4"/>
    <x v="1"/>
    <n v="6"/>
    <n v="30.51"/>
  </r>
  <r>
    <s v="ORD01961"/>
    <d v="2024-02-14T00:00:00"/>
    <d v="2024-02-22T00:00:00"/>
    <s v="C0042"/>
    <x v="117"/>
    <s v="Consumer"/>
    <x v="1"/>
    <x v="13"/>
    <s v="P012"/>
    <x v="4"/>
    <x v="3"/>
    <n v="3"/>
    <n v="3500"/>
    <x v="0"/>
    <n v="10500"/>
    <n v="3624.77"/>
    <x v="2"/>
    <x v="2"/>
    <x v="2"/>
    <x v="1"/>
    <x v="6"/>
    <s v="Feb"/>
    <s v="Q1"/>
    <x v="18"/>
    <n v="8"/>
    <n v="34.520000000000003"/>
  </r>
  <r>
    <s v="ORD01704"/>
    <d v="2025-08-08T00:00:00"/>
    <d v="2025-08-15T00:00:00"/>
    <s v="C0088"/>
    <x v="186"/>
    <s v="Corporate"/>
    <x v="0"/>
    <x v="11"/>
    <s v="P009"/>
    <x v="2"/>
    <x v="1"/>
    <n v="2"/>
    <n v="180"/>
    <x v="1"/>
    <n v="306"/>
    <n v="136.63"/>
    <x v="3"/>
    <x v="0"/>
    <x v="3"/>
    <x v="0"/>
    <x v="7"/>
    <s v="Aug"/>
    <s v="Q3"/>
    <x v="22"/>
    <n v="7"/>
    <n v="44.65"/>
  </r>
  <r>
    <s v="ORD00404"/>
    <d v="2025-01-28T00:00:00"/>
    <d v="2025-02-02T00:00:00"/>
    <s v="C0020"/>
    <x v="47"/>
    <s v="Corporate"/>
    <x v="2"/>
    <x v="3"/>
    <s v="P012"/>
    <x v="4"/>
    <x v="3"/>
    <n v="5"/>
    <n v="3500"/>
    <x v="3"/>
    <n v="16625"/>
    <n v="5030.5200000000004"/>
    <x v="5"/>
    <x v="2"/>
    <x v="3"/>
    <x v="0"/>
    <x v="11"/>
    <s v="Jan"/>
    <s v="Q1"/>
    <x v="17"/>
    <n v="5"/>
    <n v="30.26"/>
  </r>
  <r>
    <s v="ORD00105"/>
    <d v="2024-05-13T00:00:00"/>
    <d v="2024-05-19T00:00:00"/>
    <s v="C0177"/>
    <x v="121"/>
    <s v="Consumer"/>
    <x v="2"/>
    <x v="14"/>
    <s v="P007"/>
    <x v="10"/>
    <x v="0"/>
    <n v="3"/>
    <n v="6000"/>
    <x v="4"/>
    <n v="16200"/>
    <n v="3595.08"/>
    <x v="4"/>
    <x v="1"/>
    <x v="3"/>
    <x v="1"/>
    <x v="4"/>
    <s v="May"/>
    <s v="Q2"/>
    <x v="8"/>
    <n v="6"/>
    <n v="22.19"/>
  </r>
  <r>
    <s v="ORD00017"/>
    <d v="2025-10-23T00:00:00"/>
    <d v="2025-10-26T00:00:00"/>
    <s v="C0050"/>
    <x v="35"/>
    <s v="Corporate"/>
    <x v="0"/>
    <x v="2"/>
    <s v="P011"/>
    <x v="9"/>
    <x v="4"/>
    <n v="3"/>
    <n v="600"/>
    <x v="0"/>
    <n v="1800"/>
    <n v="684"/>
    <x v="2"/>
    <x v="1"/>
    <x v="4"/>
    <x v="0"/>
    <x v="1"/>
    <s v="Oct"/>
    <s v="Q4"/>
    <x v="14"/>
    <n v="3"/>
    <n v="38"/>
  </r>
  <r>
    <s v="ORD01501"/>
    <d v="2024-12-01T00:00:00"/>
    <d v="2024-12-09T00:00:00"/>
    <s v="C0199"/>
    <x v="70"/>
    <s v="Consumer"/>
    <x v="2"/>
    <x v="14"/>
    <s v="P012"/>
    <x v="4"/>
    <x v="3"/>
    <n v="1"/>
    <n v="3500"/>
    <x v="2"/>
    <n v="2800"/>
    <n v="896"/>
    <x v="0"/>
    <x v="2"/>
    <x v="1"/>
    <x v="1"/>
    <x v="10"/>
    <s v="Dec"/>
    <s v="Q4"/>
    <x v="16"/>
    <n v="8"/>
    <n v="32"/>
  </r>
  <r>
    <s v="ORD00339"/>
    <d v="2024-08-15T00:00:00"/>
    <d v="2024-08-20T00:00:00"/>
    <s v="C0050"/>
    <x v="35"/>
    <s v="Corporate"/>
    <x v="0"/>
    <x v="2"/>
    <s v="P011"/>
    <x v="9"/>
    <x v="4"/>
    <n v="1"/>
    <n v="600"/>
    <x v="0"/>
    <n v="600"/>
    <n v="235.29"/>
    <x v="1"/>
    <x v="2"/>
    <x v="4"/>
    <x v="1"/>
    <x v="7"/>
    <s v="Aug"/>
    <s v="Q3"/>
    <x v="9"/>
    <n v="5"/>
    <n v="39.22"/>
  </r>
  <r>
    <s v="ORD01925"/>
    <d v="2025-09-26T00:00:00"/>
    <d v="2025-09-28T00:00:00"/>
    <s v="C0244"/>
    <x v="14"/>
    <s v="Consumer"/>
    <x v="2"/>
    <x v="9"/>
    <s v="P010"/>
    <x v="6"/>
    <x v="4"/>
    <n v="1"/>
    <n v="1800"/>
    <x v="1"/>
    <n v="1530"/>
    <n v="542.84"/>
    <x v="2"/>
    <x v="2"/>
    <x v="4"/>
    <x v="0"/>
    <x v="9"/>
    <s v="Sep"/>
    <s v="Q3"/>
    <x v="11"/>
    <n v="2"/>
    <n v="35.479999999999997"/>
  </r>
  <r>
    <s v="ORD00822"/>
    <d v="2025-06-04T00:00:00"/>
    <d v="2025-06-06T00:00:00"/>
    <s v="C0144"/>
    <x v="213"/>
    <s v="Small Business"/>
    <x v="1"/>
    <x v="13"/>
    <s v="P003"/>
    <x v="5"/>
    <x v="2"/>
    <n v="10"/>
    <n v="3000"/>
    <x v="3"/>
    <n v="28500"/>
    <n v="6700.59"/>
    <x v="0"/>
    <x v="2"/>
    <x v="1"/>
    <x v="0"/>
    <x v="8"/>
    <s v="Jun"/>
    <s v="Q2"/>
    <x v="10"/>
    <n v="2"/>
    <n v="23.51"/>
  </r>
  <r>
    <s v="ORD00552"/>
    <d v="2024-03-27T00:00:00"/>
    <d v="2024-04-04T00:00:00"/>
    <s v="C0224"/>
    <x v="292"/>
    <s v="Small Business"/>
    <x v="1"/>
    <x v="5"/>
    <s v="P003"/>
    <x v="5"/>
    <x v="2"/>
    <n v="1"/>
    <n v="3000"/>
    <x v="2"/>
    <n v="2400"/>
    <n v="623.77"/>
    <x v="5"/>
    <x v="2"/>
    <x v="0"/>
    <x v="1"/>
    <x v="0"/>
    <s v="Mar"/>
    <s v="Q1"/>
    <x v="2"/>
    <n v="8"/>
    <n v="25.99"/>
  </r>
  <r>
    <s v="ORD01892"/>
    <d v="2025-07-18T00:00:00"/>
    <d v="2025-07-23T00:00:00"/>
    <s v="C0206"/>
    <x v="52"/>
    <s v="Corporate"/>
    <x v="1"/>
    <x v="1"/>
    <s v="P008"/>
    <x v="11"/>
    <x v="1"/>
    <n v="1"/>
    <n v="250"/>
    <x v="0"/>
    <n v="250"/>
    <n v="73.180000000000007"/>
    <x v="0"/>
    <x v="2"/>
    <x v="3"/>
    <x v="0"/>
    <x v="3"/>
    <s v="Jul"/>
    <s v="Q3"/>
    <x v="15"/>
    <n v="5"/>
    <n v="29.27"/>
  </r>
  <r>
    <s v="ORD00359"/>
    <d v="2025-01-04T00:00:00"/>
    <d v="2025-01-12T00:00:00"/>
    <s v="C0170"/>
    <x v="266"/>
    <s v="Small Business"/>
    <x v="2"/>
    <x v="4"/>
    <s v="P006"/>
    <x v="1"/>
    <x v="0"/>
    <n v="1"/>
    <n v="9500"/>
    <x v="2"/>
    <n v="7600"/>
    <n v="1439.91"/>
    <x v="1"/>
    <x v="2"/>
    <x v="3"/>
    <x v="0"/>
    <x v="11"/>
    <s v="Jan"/>
    <s v="Q1"/>
    <x v="17"/>
    <n v="8"/>
    <n v="18.95"/>
  </r>
  <r>
    <s v="ORD01221"/>
    <d v="2024-03-21T00:00:00"/>
    <d v="2024-03-24T00:00:00"/>
    <s v="C0163"/>
    <x v="231"/>
    <s v="Small Business"/>
    <x v="2"/>
    <x v="14"/>
    <s v="P009"/>
    <x v="2"/>
    <x v="1"/>
    <n v="4"/>
    <n v="180"/>
    <x v="2"/>
    <n v="576"/>
    <n v="203.62"/>
    <x v="5"/>
    <x v="1"/>
    <x v="2"/>
    <x v="1"/>
    <x v="0"/>
    <s v="Mar"/>
    <s v="Q1"/>
    <x v="2"/>
    <n v="3"/>
    <n v="35.35"/>
  </r>
  <r>
    <s v="ORD00066"/>
    <d v="2024-03-20T00:00:00"/>
    <d v="2024-03-21T00:00:00"/>
    <s v="C0071"/>
    <x v="162"/>
    <s v="Small Business"/>
    <x v="3"/>
    <x v="6"/>
    <s v="P003"/>
    <x v="5"/>
    <x v="2"/>
    <n v="1"/>
    <n v="3000"/>
    <x v="2"/>
    <n v="2400"/>
    <n v="533.13"/>
    <x v="5"/>
    <x v="1"/>
    <x v="1"/>
    <x v="1"/>
    <x v="0"/>
    <s v="Mar"/>
    <s v="Q1"/>
    <x v="2"/>
    <n v="1"/>
    <n v="22.21"/>
  </r>
  <r>
    <s v="ORD01477"/>
    <d v="2025-12-16T00:00:00"/>
    <d v="2025-12-20T00:00:00"/>
    <s v="C0296"/>
    <x v="81"/>
    <s v="Small Business"/>
    <x v="2"/>
    <x v="4"/>
    <s v="P006"/>
    <x v="1"/>
    <x v="0"/>
    <n v="1"/>
    <n v="9500"/>
    <x v="0"/>
    <n v="9500"/>
    <n v="1924.01"/>
    <x v="5"/>
    <x v="2"/>
    <x v="1"/>
    <x v="0"/>
    <x v="10"/>
    <s v="Dec"/>
    <s v="Q4"/>
    <x v="19"/>
    <n v="4"/>
    <n v="20.25"/>
  </r>
  <r>
    <s v="ORD01846"/>
    <d v="2025-03-09T00:00:00"/>
    <d v="2025-03-15T00:00:00"/>
    <s v="C0232"/>
    <x v="78"/>
    <s v="Small Business"/>
    <x v="1"/>
    <x v="1"/>
    <s v="P006"/>
    <x v="1"/>
    <x v="0"/>
    <n v="4"/>
    <n v="9500"/>
    <x v="0"/>
    <n v="38000"/>
    <n v="7213.64"/>
    <x v="6"/>
    <x v="2"/>
    <x v="4"/>
    <x v="0"/>
    <x v="0"/>
    <s v="Mar"/>
    <s v="Q1"/>
    <x v="0"/>
    <n v="6"/>
    <n v="18.98"/>
  </r>
  <r>
    <s v="ORD00123"/>
    <d v="2025-08-10T00:00:00"/>
    <d v="2025-08-17T00:00:00"/>
    <s v="C0148"/>
    <x v="57"/>
    <s v="Corporate"/>
    <x v="2"/>
    <x v="4"/>
    <s v="P002"/>
    <x v="3"/>
    <x v="2"/>
    <n v="3"/>
    <n v="25000"/>
    <x v="3"/>
    <n v="71250"/>
    <n v="11310.63"/>
    <x v="3"/>
    <x v="0"/>
    <x v="4"/>
    <x v="0"/>
    <x v="7"/>
    <s v="Aug"/>
    <s v="Q3"/>
    <x v="22"/>
    <n v="7"/>
    <n v="15.87"/>
  </r>
  <r>
    <s v="ORD00654"/>
    <d v="2025-08-26T00:00:00"/>
    <d v="2025-08-29T00:00:00"/>
    <s v="C0188"/>
    <x v="209"/>
    <s v="Corporate"/>
    <x v="2"/>
    <x v="3"/>
    <s v="P012"/>
    <x v="4"/>
    <x v="3"/>
    <n v="1"/>
    <n v="3500"/>
    <x v="1"/>
    <n v="2975"/>
    <n v="952"/>
    <x v="3"/>
    <x v="1"/>
    <x v="0"/>
    <x v="0"/>
    <x v="7"/>
    <s v="Aug"/>
    <s v="Q3"/>
    <x v="22"/>
    <n v="3"/>
    <n v="32"/>
  </r>
  <r>
    <s v="ORD00626"/>
    <d v="2025-04-14T00:00:00"/>
    <d v="2025-04-20T00:00:00"/>
    <s v="C0256"/>
    <x v="112"/>
    <s v="Small Business"/>
    <x v="3"/>
    <x v="8"/>
    <s v="P003"/>
    <x v="5"/>
    <x v="2"/>
    <n v="5"/>
    <n v="3000"/>
    <x v="0"/>
    <n v="15000"/>
    <n v="3157.73"/>
    <x v="5"/>
    <x v="2"/>
    <x v="4"/>
    <x v="0"/>
    <x v="5"/>
    <s v="Apr"/>
    <s v="Q2"/>
    <x v="13"/>
    <n v="6"/>
    <n v="21.05"/>
  </r>
  <r>
    <s v="ORD01619"/>
    <d v="2024-05-23T00:00:00"/>
    <d v="2024-05-28T00:00:00"/>
    <s v="C0076"/>
    <x v="224"/>
    <s v="Corporate"/>
    <x v="2"/>
    <x v="4"/>
    <s v="P001"/>
    <x v="8"/>
    <x v="2"/>
    <n v="1"/>
    <n v="55000"/>
    <x v="4"/>
    <n v="49500"/>
    <n v="8002.45"/>
    <x v="4"/>
    <x v="2"/>
    <x v="2"/>
    <x v="1"/>
    <x v="4"/>
    <s v="May"/>
    <s v="Q2"/>
    <x v="8"/>
    <n v="5"/>
    <n v="16.170000000000002"/>
  </r>
  <r>
    <s v="ORD01483"/>
    <d v="2024-09-11T00:00:00"/>
    <d v="2024-09-12T00:00:00"/>
    <s v="C0259"/>
    <x v="299"/>
    <s v="Small Business"/>
    <x v="2"/>
    <x v="4"/>
    <s v="P005"/>
    <x v="0"/>
    <x v="0"/>
    <n v="3"/>
    <n v="7000"/>
    <x v="3"/>
    <n v="19950"/>
    <n v="4302.3500000000004"/>
    <x v="3"/>
    <x v="1"/>
    <x v="2"/>
    <x v="1"/>
    <x v="9"/>
    <s v="Sep"/>
    <s v="Q3"/>
    <x v="20"/>
    <n v="1"/>
    <n v="21.57"/>
  </r>
  <r>
    <s v="ORD01563"/>
    <d v="2024-05-07T00:00:00"/>
    <d v="2024-05-11T00:00:00"/>
    <s v="C0139"/>
    <x v="177"/>
    <s v="Consumer"/>
    <x v="2"/>
    <x v="4"/>
    <s v="P008"/>
    <x v="11"/>
    <x v="1"/>
    <n v="1"/>
    <n v="250"/>
    <x v="2"/>
    <n v="200"/>
    <n v="69"/>
    <x v="0"/>
    <x v="2"/>
    <x v="2"/>
    <x v="1"/>
    <x v="4"/>
    <s v="May"/>
    <s v="Q2"/>
    <x v="8"/>
    <n v="4"/>
    <n v="34.5"/>
  </r>
  <r>
    <s v="ORD00049"/>
    <d v="2025-03-16T00:00:00"/>
    <d v="2025-03-20T00:00:00"/>
    <s v="C0004"/>
    <x v="119"/>
    <s v="Corporate"/>
    <x v="0"/>
    <x v="11"/>
    <s v="P008"/>
    <x v="11"/>
    <x v="1"/>
    <n v="1"/>
    <n v="250"/>
    <x v="3"/>
    <n v="237.5"/>
    <n v="86.74"/>
    <x v="1"/>
    <x v="2"/>
    <x v="4"/>
    <x v="0"/>
    <x v="0"/>
    <s v="Mar"/>
    <s v="Q1"/>
    <x v="0"/>
    <n v="4"/>
    <n v="36.520000000000003"/>
  </r>
  <r>
    <s v="ORD00065"/>
    <d v="2024-01-19T00:00:00"/>
    <d v="2024-01-25T00:00:00"/>
    <s v="C0261"/>
    <x v="180"/>
    <s v="Consumer"/>
    <x v="2"/>
    <x v="3"/>
    <s v="P006"/>
    <x v="1"/>
    <x v="0"/>
    <n v="1"/>
    <n v="9500"/>
    <x v="0"/>
    <n v="9500"/>
    <n v="2052.89"/>
    <x v="0"/>
    <x v="0"/>
    <x v="2"/>
    <x v="1"/>
    <x v="11"/>
    <s v="Jan"/>
    <s v="Q1"/>
    <x v="21"/>
    <n v="6"/>
    <n v="21.61"/>
  </r>
  <r>
    <s v="ORD01917"/>
    <d v="2025-04-03T00:00:00"/>
    <d v="2025-04-11T00:00:00"/>
    <s v="C0100"/>
    <x v="270"/>
    <s v="Consumer"/>
    <x v="2"/>
    <x v="4"/>
    <s v="P003"/>
    <x v="5"/>
    <x v="2"/>
    <n v="1"/>
    <n v="3000"/>
    <x v="4"/>
    <n v="2700"/>
    <n v="766.19"/>
    <x v="5"/>
    <x v="2"/>
    <x v="3"/>
    <x v="0"/>
    <x v="5"/>
    <s v="Apr"/>
    <s v="Q2"/>
    <x v="13"/>
    <n v="8"/>
    <n v="28.38"/>
  </r>
  <r>
    <s v="ORD00691"/>
    <d v="2025-01-06T00:00:00"/>
    <d v="2025-01-07T00:00:00"/>
    <s v="C0143"/>
    <x v="282"/>
    <s v="Small Business"/>
    <x v="1"/>
    <x v="5"/>
    <s v="P003"/>
    <x v="5"/>
    <x v="2"/>
    <n v="2"/>
    <n v="3000"/>
    <x v="0"/>
    <n v="6000"/>
    <n v="1851.38"/>
    <x v="5"/>
    <x v="2"/>
    <x v="3"/>
    <x v="0"/>
    <x v="11"/>
    <s v="Jan"/>
    <s v="Q1"/>
    <x v="17"/>
    <n v="1"/>
    <n v="30.86"/>
  </r>
  <r>
    <s v="ORD01415"/>
    <d v="2024-01-05T00:00:00"/>
    <d v="2024-01-11T00:00:00"/>
    <s v="C0060"/>
    <x v="125"/>
    <s v="Corporate"/>
    <x v="2"/>
    <x v="3"/>
    <s v="P005"/>
    <x v="0"/>
    <x v="0"/>
    <n v="5"/>
    <n v="7000"/>
    <x v="1"/>
    <n v="29750"/>
    <n v="6711.6"/>
    <x v="4"/>
    <x v="1"/>
    <x v="2"/>
    <x v="1"/>
    <x v="11"/>
    <s v="Jan"/>
    <s v="Q1"/>
    <x v="21"/>
    <n v="6"/>
    <n v="22.56"/>
  </r>
  <r>
    <s v="ORD01223"/>
    <d v="2025-01-09T00:00:00"/>
    <d v="2025-01-16T00:00:00"/>
    <s v="C0092"/>
    <x v="40"/>
    <s v="Consumer"/>
    <x v="0"/>
    <x v="11"/>
    <s v="P001"/>
    <x v="8"/>
    <x v="2"/>
    <n v="4"/>
    <n v="55000"/>
    <x v="2"/>
    <n v="176000"/>
    <n v="30666.74"/>
    <x v="4"/>
    <x v="2"/>
    <x v="1"/>
    <x v="0"/>
    <x v="11"/>
    <s v="Jan"/>
    <s v="Q1"/>
    <x v="17"/>
    <n v="7"/>
    <n v="17.420000000000002"/>
  </r>
  <r>
    <s v="ORD00882"/>
    <d v="2024-10-02T00:00:00"/>
    <d v="2024-10-03T00:00:00"/>
    <s v="C0177"/>
    <x v="121"/>
    <s v="Consumer"/>
    <x v="2"/>
    <x v="14"/>
    <s v="P003"/>
    <x v="5"/>
    <x v="2"/>
    <n v="5"/>
    <n v="3000"/>
    <x v="3"/>
    <n v="14250"/>
    <n v="4187.8100000000004"/>
    <x v="4"/>
    <x v="1"/>
    <x v="3"/>
    <x v="1"/>
    <x v="1"/>
    <s v="Oct"/>
    <s v="Q4"/>
    <x v="1"/>
    <n v="1"/>
    <n v="29.39"/>
  </r>
  <r>
    <s v="ORD01972"/>
    <d v="2024-12-08T00:00:00"/>
    <d v="2024-12-15T00:00:00"/>
    <s v="C0025"/>
    <x v="37"/>
    <s v="Consumer"/>
    <x v="2"/>
    <x v="14"/>
    <s v="P006"/>
    <x v="1"/>
    <x v="0"/>
    <n v="4"/>
    <n v="9500"/>
    <x v="0"/>
    <n v="38000"/>
    <n v="7462.25"/>
    <x v="3"/>
    <x v="1"/>
    <x v="1"/>
    <x v="1"/>
    <x v="10"/>
    <s v="Dec"/>
    <s v="Q4"/>
    <x v="16"/>
    <n v="7"/>
    <n v="19.64"/>
  </r>
  <r>
    <s v="ORD00616"/>
    <d v="2024-05-05T00:00:00"/>
    <d v="2024-05-10T00:00:00"/>
    <s v="C0257"/>
    <x v="64"/>
    <s v="Small Business"/>
    <x v="0"/>
    <x v="11"/>
    <s v="P009"/>
    <x v="2"/>
    <x v="1"/>
    <n v="2"/>
    <n v="180"/>
    <x v="4"/>
    <n v="324"/>
    <n v="141.62"/>
    <x v="0"/>
    <x v="2"/>
    <x v="4"/>
    <x v="1"/>
    <x v="4"/>
    <s v="May"/>
    <s v="Q2"/>
    <x v="8"/>
    <n v="5"/>
    <n v="43.71"/>
  </r>
  <r>
    <s v="ORD00516"/>
    <d v="2024-08-02T00:00:00"/>
    <d v="2024-08-04T00:00:00"/>
    <s v="C0108"/>
    <x v="145"/>
    <s v="Consumer"/>
    <x v="2"/>
    <x v="4"/>
    <s v="P012"/>
    <x v="4"/>
    <x v="3"/>
    <n v="2"/>
    <n v="3500"/>
    <x v="0"/>
    <n v="7000"/>
    <n v="2079.94"/>
    <x v="0"/>
    <x v="2"/>
    <x v="1"/>
    <x v="1"/>
    <x v="7"/>
    <s v="Aug"/>
    <s v="Q3"/>
    <x v="9"/>
    <n v="2"/>
    <n v="29.71"/>
  </r>
  <r>
    <s v="ORD01329"/>
    <d v="2024-07-05T00:00:00"/>
    <d v="2024-07-12T00:00:00"/>
    <s v="C0170"/>
    <x v="266"/>
    <s v="Small Business"/>
    <x v="2"/>
    <x v="4"/>
    <s v="P002"/>
    <x v="3"/>
    <x v="2"/>
    <n v="2"/>
    <n v="25000"/>
    <x v="0"/>
    <n v="50000"/>
    <n v="6612.14"/>
    <x v="2"/>
    <x v="1"/>
    <x v="1"/>
    <x v="1"/>
    <x v="3"/>
    <s v="Jul"/>
    <s v="Q3"/>
    <x v="4"/>
    <n v="7"/>
    <n v="13.22"/>
  </r>
  <r>
    <s v="ORD01346"/>
    <d v="2025-04-20T00:00:00"/>
    <d v="2025-04-28T00:00:00"/>
    <s v="C0058"/>
    <x v="144"/>
    <s v="Small Business"/>
    <x v="1"/>
    <x v="1"/>
    <s v="P008"/>
    <x v="11"/>
    <x v="1"/>
    <n v="10"/>
    <n v="250"/>
    <x v="2"/>
    <n v="2000"/>
    <n v="847.41"/>
    <x v="4"/>
    <x v="2"/>
    <x v="3"/>
    <x v="0"/>
    <x v="5"/>
    <s v="Apr"/>
    <s v="Q2"/>
    <x v="13"/>
    <n v="8"/>
    <n v="42.37"/>
  </r>
  <r>
    <s v="ORD00448"/>
    <d v="2025-05-07T00:00:00"/>
    <d v="2025-05-08T00:00:00"/>
    <s v="C0063"/>
    <x v="275"/>
    <s v="Consumer"/>
    <x v="0"/>
    <x v="0"/>
    <s v="P005"/>
    <x v="0"/>
    <x v="0"/>
    <n v="2"/>
    <n v="7000"/>
    <x v="0"/>
    <n v="14000"/>
    <n v="2600.0500000000002"/>
    <x v="5"/>
    <x v="0"/>
    <x v="3"/>
    <x v="0"/>
    <x v="4"/>
    <s v="May"/>
    <s v="Q2"/>
    <x v="5"/>
    <n v="1"/>
    <n v="18.57"/>
  </r>
  <r>
    <s v="ORD01999"/>
    <d v="2024-05-24T00:00:00"/>
    <d v="2024-05-26T00:00:00"/>
    <s v="C0005"/>
    <x v="86"/>
    <s v="Consumer"/>
    <x v="0"/>
    <x v="0"/>
    <s v="P012"/>
    <x v="4"/>
    <x v="3"/>
    <n v="2"/>
    <n v="3500"/>
    <x v="0"/>
    <n v="7000"/>
    <n v="2034.51"/>
    <x v="3"/>
    <x v="1"/>
    <x v="0"/>
    <x v="1"/>
    <x v="4"/>
    <s v="May"/>
    <s v="Q2"/>
    <x v="8"/>
    <n v="2"/>
    <n v="29.06"/>
  </r>
  <r>
    <s v="ORD01250"/>
    <d v="2025-05-03T00:00:00"/>
    <d v="2025-05-10T00:00:00"/>
    <s v="C0192"/>
    <x v="214"/>
    <s v="Consumer"/>
    <x v="3"/>
    <x v="8"/>
    <s v="P001"/>
    <x v="8"/>
    <x v="2"/>
    <n v="1"/>
    <n v="55000"/>
    <x v="0"/>
    <n v="55000"/>
    <n v="8794.3700000000008"/>
    <x v="5"/>
    <x v="0"/>
    <x v="0"/>
    <x v="0"/>
    <x v="4"/>
    <s v="May"/>
    <s v="Q2"/>
    <x v="5"/>
    <n v="7"/>
    <n v="15.99"/>
  </r>
  <r>
    <s v="ORD01647"/>
    <d v="2024-02-23T00:00:00"/>
    <d v="2024-02-24T00:00:00"/>
    <s v="C0171"/>
    <x v="257"/>
    <s v="Corporate"/>
    <x v="3"/>
    <x v="12"/>
    <s v="P005"/>
    <x v="0"/>
    <x v="0"/>
    <n v="1"/>
    <n v="7000"/>
    <x v="0"/>
    <n v="7000"/>
    <n v="1662.57"/>
    <x v="6"/>
    <x v="1"/>
    <x v="3"/>
    <x v="1"/>
    <x v="6"/>
    <s v="Feb"/>
    <s v="Q1"/>
    <x v="18"/>
    <n v="1"/>
    <n v="23.75"/>
  </r>
  <r>
    <s v="ORD01580"/>
    <d v="2024-06-28T00:00:00"/>
    <d v="2024-06-29T00:00:00"/>
    <s v="C0126"/>
    <x v="110"/>
    <s v="Consumer"/>
    <x v="0"/>
    <x v="15"/>
    <s v="P008"/>
    <x v="11"/>
    <x v="1"/>
    <n v="3"/>
    <n v="250"/>
    <x v="1"/>
    <n v="637.5"/>
    <n v="203.82"/>
    <x v="2"/>
    <x v="1"/>
    <x v="2"/>
    <x v="1"/>
    <x v="8"/>
    <s v="Jun"/>
    <s v="Q2"/>
    <x v="12"/>
    <n v="1"/>
    <n v="31.97"/>
  </r>
  <r>
    <s v="ORD00837"/>
    <d v="2024-05-22T00:00:00"/>
    <d v="2024-05-29T00:00:00"/>
    <s v="C0291"/>
    <x v="87"/>
    <s v="Small Business"/>
    <x v="1"/>
    <x v="1"/>
    <s v="P001"/>
    <x v="8"/>
    <x v="2"/>
    <n v="1"/>
    <n v="55000"/>
    <x v="0"/>
    <n v="55000"/>
    <n v="9180.0400000000009"/>
    <x v="0"/>
    <x v="0"/>
    <x v="0"/>
    <x v="1"/>
    <x v="4"/>
    <s v="May"/>
    <s v="Q2"/>
    <x v="8"/>
    <n v="7"/>
    <n v="16.690000000000001"/>
  </r>
  <r>
    <s v="ORD01333"/>
    <d v="2024-11-18T00:00:00"/>
    <d v="2024-11-25T00:00:00"/>
    <s v="C0036"/>
    <x v="217"/>
    <s v="Consumer"/>
    <x v="2"/>
    <x v="9"/>
    <s v="P006"/>
    <x v="1"/>
    <x v="0"/>
    <n v="3"/>
    <n v="9500"/>
    <x v="0"/>
    <n v="28500"/>
    <n v="4680.68"/>
    <x v="3"/>
    <x v="0"/>
    <x v="2"/>
    <x v="1"/>
    <x v="2"/>
    <s v="Nov"/>
    <s v="Q4"/>
    <x v="3"/>
    <n v="7"/>
    <n v="16.420000000000002"/>
  </r>
  <r>
    <s v="ORD01883"/>
    <d v="2024-05-08T00:00:00"/>
    <d v="2024-05-12T00:00:00"/>
    <s v="C0278"/>
    <x v="51"/>
    <s v="Small Business"/>
    <x v="0"/>
    <x v="2"/>
    <s v="P009"/>
    <x v="2"/>
    <x v="1"/>
    <n v="1"/>
    <n v="180"/>
    <x v="4"/>
    <n v="162"/>
    <n v="79.03"/>
    <x v="3"/>
    <x v="2"/>
    <x v="0"/>
    <x v="1"/>
    <x v="4"/>
    <s v="May"/>
    <s v="Q2"/>
    <x v="8"/>
    <n v="4"/>
    <n v="48.78"/>
  </r>
  <r>
    <s v="ORD01959"/>
    <d v="2025-07-29T00:00:00"/>
    <d v="2025-07-31T00:00:00"/>
    <s v="C0031"/>
    <x v="84"/>
    <s v="Small Business"/>
    <x v="3"/>
    <x v="6"/>
    <s v="P006"/>
    <x v="1"/>
    <x v="0"/>
    <n v="2"/>
    <n v="9500"/>
    <x v="2"/>
    <n v="15200"/>
    <n v="3281.73"/>
    <x v="2"/>
    <x v="2"/>
    <x v="4"/>
    <x v="0"/>
    <x v="3"/>
    <s v="Jul"/>
    <s v="Q3"/>
    <x v="15"/>
    <n v="2"/>
    <n v="21.59"/>
  </r>
  <r>
    <s v="ORD00500"/>
    <d v="2025-07-03T00:00:00"/>
    <d v="2025-07-05T00:00:00"/>
    <s v="C0293"/>
    <x v="53"/>
    <s v="Corporate"/>
    <x v="1"/>
    <x v="16"/>
    <s v="P010"/>
    <x v="6"/>
    <x v="4"/>
    <n v="2"/>
    <n v="1800"/>
    <x v="1"/>
    <n v="3060"/>
    <n v="1086.82"/>
    <x v="0"/>
    <x v="1"/>
    <x v="3"/>
    <x v="0"/>
    <x v="3"/>
    <s v="Jul"/>
    <s v="Q3"/>
    <x v="15"/>
    <n v="2"/>
    <n v="35.520000000000003"/>
  </r>
  <r>
    <s v="ORD01885"/>
    <d v="2025-03-31T00:00:00"/>
    <d v="2025-04-02T00:00:00"/>
    <s v="C0078"/>
    <x v="273"/>
    <s v="Small Business"/>
    <x v="0"/>
    <x v="0"/>
    <s v="P009"/>
    <x v="2"/>
    <x v="1"/>
    <n v="2"/>
    <n v="180"/>
    <x v="0"/>
    <n v="360"/>
    <n v="140.93"/>
    <x v="2"/>
    <x v="1"/>
    <x v="3"/>
    <x v="0"/>
    <x v="0"/>
    <s v="Mar"/>
    <s v="Q1"/>
    <x v="0"/>
    <n v="2"/>
    <n v="39.15"/>
  </r>
  <r>
    <s v="ORD01927"/>
    <d v="2025-03-11T00:00:00"/>
    <d v="2025-03-14T00:00:00"/>
    <s v="C0291"/>
    <x v="87"/>
    <s v="Small Business"/>
    <x v="1"/>
    <x v="1"/>
    <s v="P010"/>
    <x v="6"/>
    <x v="4"/>
    <n v="10"/>
    <n v="1800"/>
    <x v="4"/>
    <n v="16200"/>
    <n v="5135.87"/>
    <x v="5"/>
    <x v="1"/>
    <x v="3"/>
    <x v="0"/>
    <x v="0"/>
    <s v="Mar"/>
    <s v="Q1"/>
    <x v="0"/>
    <n v="3"/>
    <n v="31.7"/>
  </r>
  <r>
    <s v="ORD01041"/>
    <d v="2025-10-30T00:00:00"/>
    <d v="2025-11-06T00:00:00"/>
    <s v="C0096"/>
    <x v="172"/>
    <s v="Consumer"/>
    <x v="1"/>
    <x v="1"/>
    <s v="P004"/>
    <x v="7"/>
    <x v="2"/>
    <n v="1"/>
    <n v="8000"/>
    <x v="4"/>
    <n v="7200"/>
    <n v="1865.13"/>
    <x v="3"/>
    <x v="2"/>
    <x v="3"/>
    <x v="0"/>
    <x v="1"/>
    <s v="Oct"/>
    <s v="Q4"/>
    <x v="14"/>
    <n v="7"/>
    <n v="25.9"/>
  </r>
  <r>
    <s v="ORD00010"/>
    <d v="2025-10-10T00:00:00"/>
    <d v="2025-10-11T00:00:00"/>
    <s v="C0223"/>
    <x v="34"/>
    <s v="Corporate"/>
    <x v="1"/>
    <x v="13"/>
    <s v="P002"/>
    <x v="3"/>
    <x v="2"/>
    <n v="1"/>
    <n v="25000"/>
    <x v="0"/>
    <n v="25000"/>
    <n v="3666"/>
    <x v="6"/>
    <x v="1"/>
    <x v="3"/>
    <x v="0"/>
    <x v="1"/>
    <s v="Oct"/>
    <s v="Q4"/>
    <x v="14"/>
    <n v="1"/>
    <n v="14.66"/>
  </r>
  <r>
    <s v="ORD00965"/>
    <d v="2024-03-17T00:00:00"/>
    <d v="2024-03-24T00:00:00"/>
    <s v="C0273"/>
    <x v="46"/>
    <s v="Small Business"/>
    <x v="3"/>
    <x v="8"/>
    <s v="P009"/>
    <x v="2"/>
    <x v="1"/>
    <n v="1"/>
    <n v="180"/>
    <x v="2"/>
    <n v="144"/>
    <n v="58.56"/>
    <x v="0"/>
    <x v="2"/>
    <x v="4"/>
    <x v="1"/>
    <x v="0"/>
    <s v="Mar"/>
    <s v="Q1"/>
    <x v="2"/>
    <n v="7"/>
    <n v="40.67"/>
  </r>
  <r>
    <s v="ORD01075"/>
    <d v="2025-05-29T00:00:00"/>
    <d v="2025-06-03T00:00:00"/>
    <s v="C0078"/>
    <x v="273"/>
    <s v="Small Business"/>
    <x v="0"/>
    <x v="0"/>
    <s v="P007"/>
    <x v="10"/>
    <x v="0"/>
    <n v="2"/>
    <n v="6000"/>
    <x v="0"/>
    <n v="12000"/>
    <n v="2077.2399999999998"/>
    <x v="3"/>
    <x v="0"/>
    <x v="3"/>
    <x v="0"/>
    <x v="4"/>
    <s v="May"/>
    <s v="Q2"/>
    <x v="5"/>
    <n v="5"/>
    <n v="17.309999999999999"/>
  </r>
  <r>
    <s v="ORD00748"/>
    <d v="2024-02-12T00:00:00"/>
    <d v="2024-02-16T00:00:00"/>
    <s v="C0053"/>
    <x v="234"/>
    <s v="Small Business"/>
    <x v="3"/>
    <x v="7"/>
    <s v="P009"/>
    <x v="2"/>
    <x v="1"/>
    <n v="2"/>
    <n v="180"/>
    <x v="0"/>
    <n v="360"/>
    <n v="154.22"/>
    <x v="3"/>
    <x v="0"/>
    <x v="3"/>
    <x v="1"/>
    <x v="6"/>
    <s v="Feb"/>
    <s v="Q1"/>
    <x v="18"/>
    <n v="4"/>
    <n v="42.84"/>
  </r>
  <r>
    <s v="ORD00969"/>
    <d v="2024-04-28T00:00:00"/>
    <d v="2024-05-04T00:00:00"/>
    <s v="C0108"/>
    <x v="145"/>
    <s v="Consumer"/>
    <x v="2"/>
    <x v="4"/>
    <s v="P009"/>
    <x v="2"/>
    <x v="1"/>
    <n v="1"/>
    <n v="180"/>
    <x v="0"/>
    <n v="180"/>
    <n v="77.2"/>
    <x v="3"/>
    <x v="0"/>
    <x v="1"/>
    <x v="1"/>
    <x v="5"/>
    <s v="Apr"/>
    <s v="Q2"/>
    <x v="6"/>
    <n v="6"/>
    <n v="42.89"/>
  </r>
  <r>
    <s v="ORD00944"/>
    <d v="2024-06-06T00:00:00"/>
    <d v="2024-06-11T00:00:00"/>
    <s v="C0271"/>
    <x v="197"/>
    <s v="Consumer"/>
    <x v="1"/>
    <x v="1"/>
    <s v="P009"/>
    <x v="2"/>
    <x v="1"/>
    <n v="2"/>
    <n v="180"/>
    <x v="3"/>
    <n v="342"/>
    <n v="108.16"/>
    <x v="4"/>
    <x v="1"/>
    <x v="0"/>
    <x v="1"/>
    <x v="8"/>
    <s v="Jun"/>
    <s v="Q2"/>
    <x v="12"/>
    <n v="5"/>
    <n v="31.63"/>
  </r>
  <r>
    <s v="ORD01662"/>
    <d v="2024-10-03T00:00:00"/>
    <d v="2024-10-07T00:00:00"/>
    <s v="C0245"/>
    <x v="118"/>
    <s v="Corporate"/>
    <x v="0"/>
    <x v="11"/>
    <s v="P007"/>
    <x v="10"/>
    <x v="0"/>
    <n v="1"/>
    <n v="6000"/>
    <x v="0"/>
    <n v="6000"/>
    <n v="1017.88"/>
    <x v="6"/>
    <x v="1"/>
    <x v="0"/>
    <x v="1"/>
    <x v="1"/>
    <s v="Oct"/>
    <s v="Q4"/>
    <x v="1"/>
    <n v="4"/>
    <n v="16.96"/>
  </r>
  <r>
    <s v="ORD01698"/>
    <d v="2024-02-12T00:00:00"/>
    <d v="2024-02-13T00:00:00"/>
    <s v="C0193"/>
    <x v="243"/>
    <s v="Corporate"/>
    <x v="3"/>
    <x v="8"/>
    <s v="P012"/>
    <x v="4"/>
    <x v="3"/>
    <n v="2"/>
    <n v="3500"/>
    <x v="0"/>
    <n v="7000"/>
    <n v="2240"/>
    <x v="0"/>
    <x v="0"/>
    <x v="2"/>
    <x v="1"/>
    <x v="6"/>
    <s v="Feb"/>
    <s v="Q1"/>
    <x v="18"/>
    <n v="1"/>
    <n v="32"/>
  </r>
  <r>
    <s v="ORD01889"/>
    <d v="2024-05-28T00:00:00"/>
    <d v="2024-06-03T00:00:00"/>
    <s v="C0155"/>
    <x v="41"/>
    <s v="Consumer"/>
    <x v="1"/>
    <x v="5"/>
    <s v="P008"/>
    <x v="11"/>
    <x v="1"/>
    <n v="1"/>
    <n v="250"/>
    <x v="4"/>
    <n v="225"/>
    <n v="66.510000000000005"/>
    <x v="5"/>
    <x v="0"/>
    <x v="2"/>
    <x v="1"/>
    <x v="4"/>
    <s v="May"/>
    <s v="Q2"/>
    <x v="8"/>
    <n v="6"/>
    <n v="29.56"/>
  </r>
  <r>
    <s v="ORD00316"/>
    <d v="2024-07-11T00:00:00"/>
    <d v="2024-07-15T00:00:00"/>
    <s v="C0251"/>
    <x v="159"/>
    <s v="Consumer"/>
    <x v="0"/>
    <x v="10"/>
    <s v="P006"/>
    <x v="1"/>
    <x v="0"/>
    <n v="1"/>
    <n v="9500"/>
    <x v="2"/>
    <n v="7600"/>
    <n v="1309.26"/>
    <x v="4"/>
    <x v="2"/>
    <x v="2"/>
    <x v="1"/>
    <x v="3"/>
    <s v="Jul"/>
    <s v="Q3"/>
    <x v="4"/>
    <n v="4"/>
    <n v="17.23"/>
  </r>
  <r>
    <s v="ORD00493"/>
    <d v="2025-07-24T00:00:00"/>
    <d v="2025-07-30T00:00:00"/>
    <s v="C0163"/>
    <x v="231"/>
    <s v="Small Business"/>
    <x v="2"/>
    <x v="14"/>
    <s v="P002"/>
    <x v="3"/>
    <x v="2"/>
    <n v="2"/>
    <n v="25000"/>
    <x v="1"/>
    <n v="42500"/>
    <n v="4764.3900000000003"/>
    <x v="4"/>
    <x v="2"/>
    <x v="3"/>
    <x v="0"/>
    <x v="3"/>
    <s v="Jul"/>
    <s v="Q3"/>
    <x v="15"/>
    <n v="6"/>
    <n v="11.21"/>
  </r>
  <r>
    <s v="ORD00642"/>
    <d v="2024-03-19T00:00:00"/>
    <d v="2024-03-21T00:00:00"/>
    <s v="C0272"/>
    <x v="153"/>
    <s v="Small Business"/>
    <x v="3"/>
    <x v="8"/>
    <s v="P011"/>
    <x v="9"/>
    <x v="4"/>
    <n v="2"/>
    <n v="600"/>
    <x v="2"/>
    <n v="960"/>
    <n v="347"/>
    <x v="1"/>
    <x v="0"/>
    <x v="1"/>
    <x v="1"/>
    <x v="0"/>
    <s v="Mar"/>
    <s v="Q1"/>
    <x v="2"/>
    <n v="2"/>
    <n v="36.15"/>
  </r>
  <r>
    <s v="ORD01061"/>
    <d v="2024-04-07T00:00:00"/>
    <d v="2024-04-12T00:00:00"/>
    <s v="C0036"/>
    <x v="217"/>
    <s v="Consumer"/>
    <x v="2"/>
    <x v="9"/>
    <s v="P008"/>
    <x v="11"/>
    <x v="1"/>
    <n v="4"/>
    <n v="250"/>
    <x v="3"/>
    <n v="950"/>
    <n v="375.93"/>
    <x v="6"/>
    <x v="1"/>
    <x v="0"/>
    <x v="1"/>
    <x v="5"/>
    <s v="Apr"/>
    <s v="Q2"/>
    <x v="6"/>
    <n v="5"/>
    <n v="39.57"/>
  </r>
  <r>
    <s v="ORD00614"/>
    <d v="2024-09-01T00:00:00"/>
    <d v="2024-09-05T00:00:00"/>
    <s v="C0071"/>
    <x v="162"/>
    <s v="Small Business"/>
    <x v="3"/>
    <x v="6"/>
    <s v="P006"/>
    <x v="1"/>
    <x v="0"/>
    <n v="2"/>
    <n v="9500"/>
    <x v="1"/>
    <n v="16150"/>
    <n v="2879.21"/>
    <x v="5"/>
    <x v="0"/>
    <x v="4"/>
    <x v="1"/>
    <x v="9"/>
    <s v="Sep"/>
    <s v="Q3"/>
    <x v="20"/>
    <n v="4"/>
    <n v="17.829999999999998"/>
  </r>
  <r>
    <s v="ORD00803"/>
    <d v="2025-04-02T00:00:00"/>
    <d v="2025-04-03T00:00:00"/>
    <s v="C0049"/>
    <x v="194"/>
    <s v="Consumer"/>
    <x v="1"/>
    <x v="1"/>
    <s v="P011"/>
    <x v="9"/>
    <x v="4"/>
    <n v="2"/>
    <n v="600"/>
    <x v="0"/>
    <n v="1200"/>
    <n v="496.95"/>
    <x v="0"/>
    <x v="1"/>
    <x v="3"/>
    <x v="0"/>
    <x v="5"/>
    <s v="Apr"/>
    <s v="Q2"/>
    <x v="13"/>
    <n v="1"/>
    <n v="41.41"/>
  </r>
  <r>
    <s v="ORD00890"/>
    <d v="2024-02-28T00:00:00"/>
    <d v="2024-03-01T00:00:00"/>
    <s v="C0194"/>
    <x v="139"/>
    <s v="Corporate"/>
    <x v="3"/>
    <x v="8"/>
    <s v="P010"/>
    <x v="6"/>
    <x v="4"/>
    <n v="10"/>
    <n v="1800"/>
    <x v="2"/>
    <n v="14400"/>
    <n v="4193.79"/>
    <x v="2"/>
    <x v="1"/>
    <x v="0"/>
    <x v="1"/>
    <x v="6"/>
    <s v="Feb"/>
    <s v="Q1"/>
    <x v="18"/>
    <n v="2"/>
    <n v="29.12"/>
  </r>
  <r>
    <s v="ORD00443"/>
    <d v="2025-03-24T00:00:00"/>
    <d v="2025-03-25T00:00:00"/>
    <s v="C0138"/>
    <x v="38"/>
    <s v="Small Business"/>
    <x v="0"/>
    <x v="15"/>
    <s v="P003"/>
    <x v="5"/>
    <x v="2"/>
    <n v="3"/>
    <n v="3000"/>
    <x v="0"/>
    <n v="9000"/>
    <n v="1987.41"/>
    <x v="0"/>
    <x v="0"/>
    <x v="4"/>
    <x v="0"/>
    <x v="0"/>
    <s v="Mar"/>
    <s v="Q1"/>
    <x v="0"/>
    <n v="1"/>
    <n v="22.08"/>
  </r>
  <r>
    <s v="ORD01013"/>
    <d v="2024-10-20T00:00:00"/>
    <d v="2024-10-26T00:00:00"/>
    <s v="C0021"/>
    <x v="75"/>
    <s v="Small Business"/>
    <x v="1"/>
    <x v="1"/>
    <s v="P006"/>
    <x v="1"/>
    <x v="0"/>
    <n v="4"/>
    <n v="9500"/>
    <x v="1"/>
    <n v="32300"/>
    <n v="4855.3"/>
    <x v="1"/>
    <x v="2"/>
    <x v="4"/>
    <x v="1"/>
    <x v="1"/>
    <s v="Oct"/>
    <s v="Q4"/>
    <x v="1"/>
    <n v="6"/>
    <n v="15.03"/>
  </r>
  <r>
    <s v="ORD00853"/>
    <d v="2024-03-20T00:00:00"/>
    <d v="2024-03-23T00:00:00"/>
    <s v="C0201"/>
    <x v="150"/>
    <s v="Small Business"/>
    <x v="3"/>
    <x v="7"/>
    <s v="P003"/>
    <x v="5"/>
    <x v="2"/>
    <n v="3"/>
    <n v="3000"/>
    <x v="0"/>
    <n v="9000"/>
    <n v="2621.57"/>
    <x v="0"/>
    <x v="1"/>
    <x v="2"/>
    <x v="1"/>
    <x v="0"/>
    <s v="Mar"/>
    <s v="Q1"/>
    <x v="2"/>
    <n v="3"/>
    <n v="29.13"/>
  </r>
  <r>
    <s v="ORD00328"/>
    <d v="2025-05-04T00:00:00"/>
    <d v="2025-05-07T00:00:00"/>
    <s v="C0198"/>
    <x v="61"/>
    <s v="Consumer"/>
    <x v="0"/>
    <x v="0"/>
    <s v="P012"/>
    <x v="4"/>
    <x v="3"/>
    <n v="3"/>
    <n v="3500"/>
    <x v="1"/>
    <n v="8925"/>
    <n v="3011.51"/>
    <x v="2"/>
    <x v="0"/>
    <x v="3"/>
    <x v="0"/>
    <x v="4"/>
    <s v="May"/>
    <s v="Q2"/>
    <x v="5"/>
    <n v="3"/>
    <n v="33.74"/>
  </r>
  <r>
    <s v="ORD01291"/>
    <d v="2025-08-16T00:00:00"/>
    <d v="2025-08-22T00:00:00"/>
    <s v="C0075"/>
    <x v="293"/>
    <s v="Corporate"/>
    <x v="3"/>
    <x v="12"/>
    <s v="P005"/>
    <x v="0"/>
    <x v="0"/>
    <n v="3"/>
    <n v="7000"/>
    <x v="0"/>
    <n v="21000"/>
    <n v="4568.25"/>
    <x v="0"/>
    <x v="2"/>
    <x v="4"/>
    <x v="0"/>
    <x v="7"/>
    <s v="Aug"/>
    <s v="Q3"/>
    <x v="22"/>
    <n v="6"/>
    <n v="21.75"/>
  </r>
  <r>
    <s v="ORD01701"/>
    <d v="2025-06-25T00:00:00"/>
    <d v="2025-06-30T00:00:00"/>
    <s v="C0064"/>
    <x v="5"/>
    <s v="Corporate"/>
    <x v="0"/>
    <x v="0"/>
    <s v="P009"/>
    <x v="2"/>
    <x v="1"/>
    <n v="3"/>
    <n v="180"/>
    <x v="0"/>
    <n v="540"/>
    <n v="230.91"/>
    <x v="5"/>
    <x v="0"/>
    <x v="1"/>
    <x v="0"/>
    <x v="8"/>
    <s v="Jun"/>
    <s v="Q2"/>
    <x v="10"/>
    <n v="5"/>
    <n v="42.76"/>
  </r>
  <r>
    <s v="ORD01121"/>
    <d v="2024-10-19T00:00:00"/>
    <d v="2024-10-23T00:00:00"/>
    <s v="C0225"/>
    <x v="56"/>
    <s v="Consumer"/>
    <x v="2"/>
    <x v="3"/>
    <s v="P011"/>
    <x v="9"/>
    <x v="4"/>
    <n v="3"/>
    <n v="600"/>
    <x v="3"/>
    <n v="1710"/>
    <n v="666.39"/>
    <x v="2"/>
    <x v="2"/>
    <x v="3"/>
    <x v="1"/>
    <x v="1"/>
    <s v="Oct"/>
    <s v="Q4"/>
    <x v="1"/>
    <n v="4"/>
    <n v="38.97"/>
  </r>
  <r>
    <s v="ORD01342"/>
    <d v="2024-06-25T00:00:00"/>
    <d v="2024-06-28T00:00:00"/>
    <s v="C0081"/>
    <x v="149"/>
    <s v="Corporate"/>
    <x v="3"/>
    <x v="12"/>
    <s v="P007"/>
    <x v="10"/>
    <x v="0"/>
    <n v="1"/>
    <n v="6000"/>
    <x v="4"/>
    <n v="5400"/>
    <n v="1407.61"/>
    <x v="3"/>
    <x v="0"/>
    <x v="2"/>
    <x v="1"/>
    <x v="8"/>
    <s v="Jun"/>
    <s v="Q2"/>
    <x v="12"/>
    <n v="3"/>
    <n v="26.07"/>
  </r>
  <r>
    <s v="ORD00724"/>
    <d v="2025-05-02T00:00:00"/>
    <d v="2025-05-09T00:00:00"/>
    <s v="C0229"/>
    <x v="206"/>
    <s v="Consumer"/>
    <x v="0"/>
    <x v="2"/>
    <s v="P007"/>
    <x v="10"/>
    <x v="0"/>
    <n v="1"/>
    <n v="6000"/>
    <x v="4"/>
    <n v="5400"/>
    <n v="1126.52"/>
    <x v="3"/>
    <x v="2"/>
    <x v="2"/>
    <x v="0"/>
    <x v="4"/>
    <s v="May"/>
    <s v="Q2"/>
    <x v="5"/>
    <n v="7"/>
    <n v="20.86"/>
  </r>
  <r>
    <s v="ORD01792"/>
    <d v="2025-03-12T00:00:00"/>
    <d v="2025-03-17T00:00:00"/>
    <s v="C0050"/>
    <x v="35"/>
    <s v="Corporate"/>
    <x v="0"/>
    <x v="2"/>
    <s v="P004"/>
    <x v="7"/>
    <x v="2"/>
    <n v="2"/>
    <n v="8000"/>
    <x v="0"/>
    <n v="16000"/>
    <n v="2873.27"/>
    <x v="6"/>
    <x v="2"/>
    <x v="3"/>
    <x v="0"/>
    <x v="0"/>
    <s v="Mar"/>
    <s v="Q1"/>
    <x v="0"/>
    <n v="5"/>
    <n v="17.96"/>
  </r>
  <r>
    <s v="ORD00469"/>
    <d v="2024-05-21T00:00:00"/>
    <d v="2024-05-26T00:00:00"/>
    <s v="C0183"/>
    <x v="244"/>
    <s v="Corporate"/>
    <x v="1"/>
    <x v="1"/>
    <s v="P003"/>
    <x v="5"/>
    <x v="2"/>
    <n v="1"/>
    <n v="3000"/>
    <x v="4"/>
    <n v="2700"/>
    <n v="647.95000000000005"/>
    <x v="3"/>
    <x v="0"/>
    <x v="1"/>
    <x v="1"/>
    <x v="4"/>
    <s v="May"/>
    <s v="Q2"/>
    <x v="8"/>
    <n v="5"/>
    <n v="24"/>
  </r>
  <r>
    <s v="ORD01151"/>
    <d v="2025-04-22T00:00:00"/>
    <d v="2025-04-26T00:00:00"/>
    <s v="C0226"/>
    <x v="25"/>
    <s v="Small Business"/>
    <x v="3"/>
    <x v="6"/>
    <s v="P001"/>
    <x v="8"/>
    <x v="2"/>
    <n v="1"/>
    <n v="55000"/>
    <x v="0"/>
    <n v="55000"/>
    <n v="8831.6200000000008"/>
    <x v="0"/>
    <x v="0"/>
    <x v="1"/>
    <x v="0"/>
    <x v="5"/>
    <s v="Apr"/>
    <s v="Q2"/>
    <x v="13"/>
    <n v="4"/>
    <n v="16.059999999999999"/>
  </r>
  <r>
    <s v="ORD00608"/>
    <d v="2024-01-13T00:00:00"/>
    <d v="2024-01-16T00:00:00"/>
    <s v="C0043"/>
    <x v="279"/>
    <s v="Consumer"/>
    <x v="1"/>
    <x v="1"/>
    <s v="P009"/>
    <x v="2"/>
    <x v="1"/>
    <n v="3"/>
    <n v="180"/>
    <x v="3"/>
    <n v="513"/>
    <n v="249.31"/>
    <x v="3"/>
    <x v="1"/>
    <x v="2"/>
    <x v="1"/>
    <x v="11"/>
    <s v="Jan"/>
    <s v="Q1"/>
    <x v="21"/>
    <n v="3"/>
    <n v="48.6"/>
  </r>
  <r>
    <s v="ORD01611"/>
    <d v="2025-02-06T00:00:00"/>
    <d v="2025-02-14T00:00:00"/>
    <s v="C0146"/>
    <x v="199"/>
    <s v="Consumer"/>
    <x v="1"/>
    <x v="16"/>
    <s v="P001"/>
    <x v="8"/>
    <x v="2"/>
    <n v="4"/>
    <n v="55000"/>
    <x v="1"/>
    <n v="187000"/>
    <n v="25754.03"/>
    <x v="0"/>
    <x v="1"/>
    <x v="1"/>
    <x v="0"/>
    <x v="6"/>
    <s v="Feb"/>
    <s v="Q1"/>
    <x v="7"/>
    <n v="8"/>
    <n v="13.77"/>
  </r>
  <r>
    <s v="ORD01693"/>
    <d v="2025-09-06T00:00:00"/>
    <d v="2025-09-14T00:00:00"/>
    <s v="C0280"/>
    <x v="13"/>
    <s v="Consumer"/>
    <x v="3"/>
    <x v="8"/>
    <s v="P003"/>
    <x v="5"/>
    <x v="2"/>
    <n v="3"/>
    <n v="3000"/>
    <x v="4"/>
    <n v="8100"/>
    <n v="2164.4299999999998"/>
    <x v="1"/>
    <x v="0"/>
    <x v="2"/>
    <x v="0"/>
    <x v="9"/>
    <s v="Sep"/>
    <s v="Q3"/>
    <x v="11"/>
    <n v="8"/>
    <n v="26.72"/>
  </r>
  <r>
    <s v="ORD01038"/>
    <d v="2025-12-28T00:00:00"/>
    <d v="2026-01-04T00:00:00"/>
    <s v="C0119"/>
    <x v="238"/>
    <s v="Consumer"/>
    <x v="0"/>
    <x v="2"/>
    <s v="P002"/>
    <x v="3"/>
    <x v="2"/>
    <n v="2"/>
    <n v="25000"/>
    <x v="1"/>
    <n v="42500"/>
    <n v="5933.68"/>
    <x v="5"/>
    <x v="1"/>
    <x v="1"/>
    <x v="0"/>
    <x v="10"/>
    <s v="Dec"/>
    <s v="Q4"/>
    <x v="19"/>
    <n v="7"/>
    <n v="13.96"/>
  </r>
  <r>
    <s v="ORD00549"/>
    <d v="2024-10-15T00:00:00"/>
    <d v="2024-10-21T00:00:00"/>
    <s v="C0184"/>
    <x v="115"/>
    <s v="Consumer"/>
    <x v="2"/>
    <x v="9"/>
    <s v="P002"/>
    <x v="3"/>
    <x v="2"/>
    <n v="1"/>
    <n v="25000"/>
    <x v="1"/>
    <n v="21250"/>
    <n v="2983.71"/>
    <x v="5"/>
    <x v="1"/>
    <x v="0"/>
    <x v="1"/>
    <x v="1"/>
    <s v="Oct"/>
    <s v="Q4"/>
    <x v="1"/>
    <n v="6"/>
    <n v="14.04"/>
  </r>
  <r>
    <s v="ORD01531"/>
    <d v="2025-12-04T00:00:00"/>
    <d v="2025-12-08T00:00:00"/>
    <s v="C0219"/>
    <x v="60"/>
    <s v="Corporate"/>
    <x v="3"/>
    <x v="12"/>
    <s v="P002"/>
    <x v="3"/>
    <x v="2"/>
    <n v="4"/>
    <n v="25000"/>
    <x v="0"/>
    <n v="100000"/>
    <n v="13392.88"/>
    <x v="2"/>
    <x v="1"/>
    <x v="2"/>
    <x v="0"/>
    <x v="10"/>
    <s v="Dec"/>
    <s v="Q4"/>
    <x v="19"/>
    <n v="4"/>
    <n v="13.39"/>
  </r>
  <r>
    <s v="ORD01365"/>
    <d v="2024-06-04T00:00:00"/>
    <d v="2024-06-10T00:00:00"/>
    <s v="C0300"/>
    <x v="235"/>
    <s v="Small Business"/>
    <x v="2"/>
    <x v="9"/>
    <s v="P011"/>
    <x v="9"/>
    <x v="4"/>
    <n v="1"/>
    <n v="600"/>
    <x v="0"/>
    <n v="600"/>
    <n v="220.91"/>
    <x v="2"/>
    <x v="2"/>
    <x v="3"/>
    <x v="1"/>
    <x v="8"/>
    <s v="Jun"/>
    <s v="Q2"/>
    <x v="12"/>
    <n v="6"/>
    <n v="36.82"/>
  </r>
  <r>
    <s v="ORD00407"/>
    <d v="2025-11-16T00:00:00"/>
    <d v="2025-11-18T00:00:00"/>
    <s v="C0205"/>
    <x v="280"/>
    <s v="Consumer"/>
    <x v="0"/>
    <x v="11"/>
    <s v="P006"/>
    <x v="1"/>
    <x v="0"/>
    <n v="2"/>
    <n v="9500"/>
    <x v="4"/>
    <n v="17100"/>
    <n v="3420"/>
    <x v="2"/>
    <x v="2"/>
    <x v="4"/>
    <x v="0"/>
    <x v="2"/>
    <s v="Nov"/>
    <s v="Q4"/>
    <x v="23"/>
    <n v="2"/>
    <n v="20"/>
  </r>
  <r>
    <s v="ORD01053"/>
    <d v="2024-02-04T00:00:00"/>
    <d v="2024-02-09T00:00:00"/>
    <s v="C0231"/>
    <x v="32"/>
    <s v="Small Business"/>
    <x v="1"/>
    <x v="1"/>
    <s v="P003"/>
    <x v="5"/>
    <x v="2"/>
    <n v="5"/>
    <n v="3000"/>
    <x v="0"/>
    <n v="15000"/>
    <n v="4206.3599999999997"/>
    <x v="1"/>
    <x v="2"/>
    <x v="1"/>
    <x v="1"/>
    <x v="6"/>
    <s v="Feb"/>
    <s v="Q1"/>
    <x v="18"/>
    <n v="5"/>
    <n v="28.04"/>
  </r>
  <r>
    <s v="ORD00725"/>
    <d v="2025-03-12T00:00:00"/>
    <d v="2025-03-20T00:00:00"/>
    <s v="C0223"/>
    <x v="34"/>
    <s v="Corporate"/>
    <x v="1"/>
    <x v="13"/>
    <s v="P011"/>
    <x v="9"/>
    <x v="4"/>
    <n v="1"/>
    <n v="600"/>
    <x v="4"/>
    <n v="540"/>
    <n v="171.69"/>
    <x v="5"/>
    <x v="0"/>
    <x v="2"/>
    <x v="0"/>
    <x v="0"/>
    <s v="Mar"/>
    <s v="Q1"/>
    <x v="0"/>
    <n v="8"/>
    <n v="31.79"/>
  </r>
  <r>
    <s v="ORD00858"/>
    <d v="2025-02-08T00:00:00"/>
    <d v="2025-02-10T00:00:00"/>
    <s v="C0107"/>
    <x v="6"/>
    <s v="Corporate"/>
    <x v="2"/>
    <x v="4"/>
    <s v="P009"/>
    <x v="2"/>
    <x v="1"/>
    <n v="5"/>
    <n v="180"/>
    <x v="0"/>
    <n v="900"/>
    <n v="321.14999999999998"/>
    <x v="3"/>
    <x v="1"/>
    <x v="2"/>
    <x v="0"/>
    <x v="6"/>
    <s v="Feb"/>
    <s v="Q1"/>
    <x v="7"/>
    <n v="2"/>
    <n v="35.68"/>
  </r>
  <r>
    <s v="ORD01685"/>
    <d v="2024-05-18T00:00:00"/>
    <d v="2024-05-22T00:00:00"/>
    <s v="C0298"/>
    <x v="182"/>
    <s v="Consumer"/>
    <x v="0"/>
    <x v="10"/>
    <s v="P012"/>
    <x v="4"/>
    <x v="3"/>
    <n v="1"/>
    <n v="3500"/>
    <x v="0"/>
    <n v="3500"/>
    <n v="1025.48"/>
    <x v="4"/>
    <x v="0"/>
    <x v="3"/>
    <x v="1"/>
    <x v="4"/>
    <s v="May"/>
    <s v="Q2"/>
    <x v="8"/>
    <n v="4"/>
    <n v="29.3"/>
  </r>
  <r>
    <s v="ORD01358"/>
    <d v="2024-08-15T00:00:00"/>
    <d v="2024-08-21T00:00:00"/>
    <s v="C0073"/>
    <x v="147"/>
    <s v="Consumer"/>
    <x v="3"/>
    <x v="8"/>
    <s v="P011"/>
    <x v="9"/>
    <x v="4"/>
    <n v="3"/>
    <n v="600"/>
    <x v="0"/>
    <n v="1800"/>
    <n v="679.46"/>
    <x v="1"/>
    <x v="2"/>
    <x v="2"/>
    <x v="1"/>
    <x v="7"/>
    <s v="Aug"/>
    <s v="Q3"/>
    <x v="9"/>
    <n v="6"/>
    <n v="37.75"/>
  </r>
  <r>
    <s v="ORD01099"/>
    <d v="2024-05-21T00:00:00"/>
    <d v="2024-05-27T00:00:00"/>
    <s v="C0224"/>
    <x v="292"/>
    <s v="Small Business"/>
    <x v="1"/>
    <x v="5"/>
    <s v="P002"/>
    <x v="3"/>
    <x v="2"/>
    <n v="2"/>
    <n v="25000"/>
    <x v="1"/>
    <n v="42500"/>
    <n v="5261.31"/>
    <x v="0"/>
    <x v="1"/>
    <x v="0"/>
    <x v="1"/>
    <x v="4"/>
    <s v="May"/>
    <s v="Q2"/>
    <x v="8"/>
    <n v="6"/>
    <n v="12.38"/>
  </r>
  <r>
    <s v="ORD01983"/>
    <d v="2025-08-15T00:00:00"/>
    <d v="2025-08-16T00:00:00"/>
    <s v="C0105"/>
    <x v="126"/>
    <s v="Corporate"/>
    <x v="0"/>
    <x v="10"/>
    <s v="P012"/>
    <x v="4"/>
    <x v="3"/>
    <n v="1"/>
    <n v="3500"/>
    <x v="0"/>
    <n v="3500"/>
    <n v="940"/>
    <x v="4"/>
    <x v="1"/>
    <x v="3"/>
    <x v="0"/>
    <x v="7"/>
    <s v="Aug"/>
    <s v="Q3"/>
    <x v="22"/>
    <n v="1"/>
    <n v="26.86"/>
  </r>
  <r>
    <s v="ORD00879"/>
    <d v="2024-06-14T00:00:00"/>
    <d v="2024-06-21T00:00:00"/>
    <s v="C0297"/>
    <x v="265"/>
    <s v="Corporate"/>
    <x v="0"/>
    <x v="11"/>
    <s v="P011"/>
    <x v="9"/>
    <x v="4"/>
    <n v="1"/>
    <n v="600"/>
    <x v="2"/>
    <n v="480"/>
    <n v="134.41"/>
    <x v="0"/>
    <x v="2"/>
    <x v="1"/>
    <x v="1"/>
    <x v="8"/>
    <s v="Jun"/>
    <s v="Q2"/>
    <x v="12"/>
    <n v="7"/>
    <n v="28"/>
  </r>
  <r>
    <s v="ORD01343"/>
    <d v="2024-07-27T00:00:00"/>
    <d v="2024-08-01T00:00:00"/>
    <s v="C0016"/>
    <x v="83"/>
    <s v="Corporate"/>
    <x v="0"/>
    <x v="11"/>
    <s v="P008"/>
    <x v="11"/>
    <x v="1"/>
    <n v="1"/>
    <n v="250"/>
    <x v="1"/>
    <n v="212.5"/>
    <n v="72.19"/>
    <x v="1"/>
    <x v="1"/>
    <x v="3"/>
    <x v="1"/>
    <x v="3"/>
    <s v="Jul"/>
    <s v="Q3"/>
    <x v="4"/>
    <n v="5"/>
    <n v="33.97"/>
  </r>
  <r>
    <s v="ORD01719"/>
    <d v="2025-03-01T00:00:00"/>
    <d v="2025-03-08T00:00:00"/>
    <s v="C0062"/>
    <x v="92"/>
    <s v="Consumer"/>
    <x v="2"/>
    <x v="14"/>
    <s v="P012"/>
    <x v="4"/>
    <x v="3"/>
    <n v="5"/>
    <n v="3500"/>
    <x v="4"/>
    <n v="15750"/>
    <n v="4899.12"/>
    <x v="3"/>
    <x v="2"/>
    <x v="4"/>
    <x v="0"/>
    <x v="0"/>
    <s v="Mar"/>
    <s v="Q1"/>
    <x v="0"/>
    <n v="7"/>
    <n v="31.11"/>
  </r>
  <r>
    <s v="ORD00575"/>
    <d v="2025-03-17T00:00:00"/>
    <d v="2025-03-25T00:00:00"/>
    <s v="C0074"/>
    <x v="141"/>
    <s v="Consumer"/>
    <x v="2"/>
    <x v="14"/>
    <s v="P009"/>
    <x v="2"/>
    <x v="1"/>
    <n v="1"/>
    <n v="180"/>
    <x v="1"/>
    <n v="153"/>
    <n v="51.12"/>
    <x v="5"/>
    <x v="1"/>
    <x v="3"/>
    <x v="0"/>
    <x v="0"/>
    <s v="Mar"/>
    <s v="Q1"/>
    <x v="0"/>
    <n v="8"/>
    <n v="33.409999999999997"/>
  </r>
  <r>
    <s v="ORD00135"/>
    <d v="2025-11-14T00:00:00"/>
    <d v="2025-11-19T00:00:00"/>
    <s v="C0121"/>
    <x v="207"/>
    <s v="Consumer"/>
    <x v="3"/>
    <x v="12"/>
    <s v="P001"/>
    <x v="8"/>
    <x v="2"/>
    <n v="1"/>
    <n v="55000"/>
    <x v="3"/>
    <n v="52250"/>
    <n v="9164.51"/>
    <x v="5"/>
    <x v="0"/>
    <x v="4"/>
    <x v="0"/>
    <x v="2"/>
    <s v="Nov"/>
    <s v="Q4"/>
    <x v="23"/>
    <n v="5"/>
    <n v="17.54"/>
  </r>
  <r>
    <s v="ORD01484"/>
    <d v="2024-01-26T00:00:00"/>
    <d v="2024-01-28T00:00:00"/>
    <s v="C0074"/>
    <x v="141"/>
    <s v="Consumer"/>
    <x v="2"/>
    <x v="14"/>
    <s v="P005"/>
    <x v="0"/>
    <x v="0"/>
    <n v="1"/>
    <n v="7000"/>
    <x v="1"/>
    <n v="5950"/>
    <n v="1315.48"/>
    <x v="3"/>
    <x v="1"/>
    <x v="2"/>
    <x v="1"/>
    <x v="11"/>
    <s v="Jan"/>
    <s v="Q1"/>
    <x v="21"/>
    <n v="2"/>
    <n v="22.11"/>
  </r>
  <r>
    <s v="ORD00677"/>
    <d v="2025-10-01T00:00:00"/>
    <d v="2025-10-07T00:00:00"/>
    <s v="C0206"/>
    <x v="52"/>
    <s v="Corporate"/>
    <x v="1"/>
    <x v="1"/>
    <s v="P004"/>
    <x v="7"/>
    <x v="2"/>
    <n v="1"/>
    <n v="8000"/>
    <x v="2"/>
    <n v="6400"/>
    <n v="1490.04"/>
    <x v="3"/>
    <x v="0"/>
    <x v="1"/>
    <x v="0"/>
    <x v="1"/>
    <s v="Oct"/>
    <s v="Q4"/>
    <x v="14"/>
    <n v="6"/>
    <n v="23.28"/>
  </r>
  <r>
    <s v="ORD00521"/>
    <d v="2024-01-07T00:00:00"/>
    <d v="2024-01-08T00:00:00"/>
    <s v="C0282"/>
    <x v="284"/>
    <s v="Corporate"/>
    <x v="3"/>
    <x v="8"/>
    <s v="P006"/>
    <x v="1"/>
    <x v="0"/>
    <n v="1"/>
    <n v="9500"/>
    <x v="0"/>
    <n v="9500"/>
    <n v="1589.43"/>
    <x v="4"/>
    <x v="0"/>
    <x v="4"/>
    <x v="1"/>
    <x v="11"/>
    <s v="Jan"/>
    <s v="Q1"/>
    <x v="21"/>
    <n v="1"/>
    <n v="16.73"/>
  </r>
  <r>
    <s v="ORD00449"/>
    <d v="2025-03-20T00:00:00"/>
    <d v="2025-03-22T00:00:00"/>
    <s v="C0121"/>
    <x v="207"/>
    <s v="Consumer"/>
    <x v="3"/>
    <x v="12"/>
    <s v="P011"/>
    <x v="9"/>
    <x v="4"/>
    <n v="1"/>
    <n v="600"/>
    <x v="0"/>
    <n v="600"/>
    <n v="232.05"/>
    <x v="0"/>
    <x v="0"/>
    <x v="3"/>
    <x v="0"/>
    <x v="0"/>
    <s v="Mar"/>
    <s v="Q1"/>
    <x v="0"/>
    <n v="2"/>
    <n v="38.68"/>
  </r>
  <r>
    <s v="ORD00764"/>
    <d v="2025-01-13T00:00:00"/>
    <d v="2025-01-20T00:00:00"/>
    <s v="C0229"/>
    <x v="206"/>
    <s v="Consumer"/>
    <x v="0"/>
    <x v="2"/>
    <s v="P002"/>
    <x v="3"/>
    <x v="2"/>
    <n v="3"/>
    <n v="25000"/>
    <x v="3"/>
    <n v="71250"/>
    <n v="9995.9699999999993"/>
    <x v="3"/>
    <x v="2"/>
    <x v="0"/>
    <x v="0"/>
    <x v="11"/>
    <s v="Jan"/>
    <s v="Q1"/>
    <x v="17"/>
    <n v="7"/>
    <n v="14.03"/>
  </r>
  <r>
    <s v="ORD00519"/>
    <d v="2025-10-02T00:00:00"/>
    <d v="2025-10-09T00:00:00"/>
    <s v="C0013"/>
    <x v="212"/>
    <s v="Corporate"/>
    <x v="0"/>
    <x v="2"/>
    <s v="P008"/>
    <x v="11"/>
    <x v="1"/>
    <n v="3"/>
    <n v="250"/>
    <x v="0"/>
    <n v="750"/>
    <n v="305.95"/>
    <x v="0"/>
    <x v="0"/>
    <x v="4"/>
    <x v="0"/>
    <x v="1"/>
    <s v="Oct"/>
    <s v="Q4"/>
    <x v="14"/>
    <n v="7"/>
    <n v="40.79"/>
  </r>
  <r>
    <s v="ORD00623"/>
    <d v="2024-06-28T00:00:00"/>
    <d v="2024-07-01T00:00:00"/>
    <s v="C0147"/>
    <x v="219"/>
    <s v="Small Business"/>
    <x v="3"/>
    <x v="6"/>
    <s v="P003"/>
    <x v="5"/>
    <x v="2"/>
    <n v="4"/>
    <n v="3000"/>
    <x v="1"/>
    <n v="10200"/>
    <n v="3249.37"/>
    <x v="4"/>
    <x v="0"/>
    <x v="3"/>
    <x v="1"/>
    <x v="8"/>
    <s v="Jun"/>
    <s v="Q2"/>
    <x v="12"/>
    <n v="3"/>
    <n v="31.86"/>
  </r>
  <r>
    <s v="ORD01323"/>
    <d v="2024-03-10T00:00:00"/>
    <d v="2024-03-16T00:00:00"/>
    <s v="C0012"/>
    <x v="160"/>
    <s v="Corporate"/>
    <x v="0"/>
    <x v="0"/>
    <s v="P003"/>
    <x v="5"/>
    <x v="2"/>
    <n v="4"/>
    <n v="3000"/>
    <x v="1"/>
    <n v="10200"/>
    <n v="3012.76"/>
    <x v="3"/>
    <x v="1"/>
    <x v="2"/>
    <x v="1"/>
    <x v="0"/>
    <s v="Mar"/>
    <s v="Q1"/>
    <x v="2"/>
    <n v="6"/>
    <n v="29.54"/>
  </r>
  <r>
    <s v="ORD00742"/>
    <d v="2025-10-30T00:00:00"/>
    <d v="2025-11-02T00:00:00"/>
    <s v="C0214"/>
    <x v="65"/>
    <s v="Small Business"/>
    <x v="1"/>
    <x v="1"/>
    <s v="P011"/>
    <x v="9"/>
    <x v="4"/>
    <n v="3"/>
    <n v="600"/>
    <x v="2"/>
    <n v="1440"/>
    <n v="595.55999999999995"/>
    <x v="1"/>
    <x v="0"/>
    <x v="4"/>
    <x v="0"/>
    <x v="1"/>
    <s v="Oct"/>
    <s v="Q4"/>
    <x v="14"/>
    <n v="3"/>
    <n v="41.36"/>
  </r>
  <r>
    <s v="ORD00427"/>
    <d v="2025-11-26T00:00:00"/>
    <d v="2025-11-29T00:00:00"/>
    <s v="C0063"/>
    <x v="275"/>
    <s v="Consumer"/>
    <x v="0"/>
    <x v="0"/>
    <s v="P006"/>
    <x v="1"/>
    <x v="0"/>
    <n v="1"/>
    <n v="9500"/>
    <x v="4"/>
    <n v="8550"/>
    <n v="1641.51"/>
    <x v="6"/>
    <x v="1"/>
    <x v="4"/>
    <x v="0"/>
    <x v="2"/>
    <s v="Nov"/>
    <s v="Q4"/>
    <x v="23"/>
    <n v="3"/>
    <n v="19.2"/>
  </r>
  <r>
    <s v="ORD01010"/>
    <d v="2024-05-26T00:00:00"/>
    <d v="2024-05-28T00:00:00"/>
    <s v="C0050"/>
    <x v="35"/>
    <s v="Corporate"/>
    <x v="0"/>
    <x v="2"/>
    <s v="P001"/>
    <x v="8"/>
    <x v="2"/>
    <n v="3"/>
    <n v="55000"/>
    <x v="0"/>
    <n v="165000"/>
    <n v="27289.98"/>
    <x v="0"/>
    <x v="0"/>
    <x v="0"/>
    <x v="1"/>
    <x v="4"/>
    <s v="May"/>
    <s v="Q2"/>
    <x v="8"/>
    <n v="2"/>
    <n v="16.54"/>
  </r>
  <r>
    <s v="ORD01988"/>
    <d v="2024-02-15T00:00:00"/>
    <d v="2024-02-20T00:00:00"/>
    <s v="C0245"/>
    <x v="118"/>
    <s v="Corporate"/>
    <x v="0"/>
    <x v="11"/>
    <s v="P005"/>
    <x v="0"/>
    <x v="0"/>
    <n v="3"/>
    <n v="7000"/>
    <x v="0"/>
    <n v="21000"/>
    <n v="5074.82"/>
    <x v="5"/>
    <x v="2"/>
    <x v="2"/>
    <x v="1"/>
    <x v="6"/>
    <s v="Feb"/>
    <s v="Q1"/>
    <x v="18"/>
    <n v="5"/>
    <n v="24.17"/>
  </r>
  <r>
    <s v="ORD00780"/>
    <d v="2024-05-03T00:00:00"/>
    <d v="2024-05-07T00:00:00"/>
    <s v="C0133"/>
    <x v="97"/>
    <s v="Consumer"/>
    <x v="1"/>
    <x v="5"/>
    <s v="P007"/>
    <x v="10"/>
    <x v="0"/>
    <n v="1"/>
    <n v="6000"/>
    <x v="0"/>
    <n v="6000"/>
    <n v="1441.23"/>
    <x v="0"/>
    <x v="2"/>
    <x v="1"/>
    <x v="1"/>
    <x v="4"/>
    <s v="May"/>
    <s v="Q2"/>
    <x v="8"/>
    <n v="4"/>
    <n v="24.02"/>
  </r>
  <r>
    <s v="ORD01476"/>
    <d v="2025-12-05T00:00:00"/>
    <d v="2025-12-13T00:00:00"/>
    <s v="C0108"/>
    <x v="145"/>
    <s v="Consumer"/>
    <x v="2"/>
    <x v="4"/>
    <s v="P006"/>
    <x v="1"/>
    <x v="0"/>
    <n v="4"/>
    <n v="9500"/>
    <x v="0"/>
    <n v="38000"/>
    <n v="7246.97"/>
    <x v="3"/>
    <x v="2"/>
    <x v="3"/>
    <x v="0"/>
    <x v="10"/>
    <s v="Dec"/>
    <s v="Q4"/>
    <x v="19"/>
    <n v="8"/>
    <n v="19.07"/>
  </r>
  <r>
    <s v="ORD01824"/>
    <d v="2024-12-23T00:00:00"/>
    <d v="2024-12-29T00:00:00"/>
    <s v="C0292"/>
    <x v="66"/>
    <s v="Consumer"/>
    <x v="3"/>
    <x v="7"/>
    <s v="P008"/>
    <x v="11"/>
    <x v="1"/>
    <n v="3"/>
    <n v="250"/>
    <x v="1"/>
    <n v="637.5"/>
    <n v="250.41"/>
    <x v="5"/>
    <x v="2"/>
    <x v="4"/>
    <x v="1"/>
    <x v="10"/>
    <s v="Dec"/>
    <s v="Q4"/>
    <x v="16"/>
    <n v="6"/>
    <n v="39.28"/>
  </r>
  <r>
    <s v="ORD00524"/>
    <d v="2025-07-02T00:00:00"/>
    <d v="2025-07-08T00:00:00"/>
    <s v="C0162"/>
    <x v="96"/>
    <s v="Corporate"/>
    <x v="0"/>
    <x v="0"/>
    <s v="P009"/>
    <x v="2"/>
    <x v="1"/>
    <n v="1"/>
    <n v="180"/>
    <x v="4"/>
    <n v="162"/>
    <n v="71.02"/>
    <x v="2"/>
    <x v="0"/>
    <x v="4"/>
    <x v="0"/>
    <x v="3"/>
    <s v="Jul"/>
    <s v="Q3"/>
    <x v="15"/>
    <n v="6"/>
    <n v="43.84"/>
  </r>
  <r>
    <s v="ORD01903"/>
    <d v="2024-11-22T00:00:00"/>
    <d v="2024-11-23T00:00:00"/>
    <s v="C0231"/>
    <x v="32"/>
    <s v="Small Business"/>
    <x v="1"/>
    <x v="1"/>
    <s v="P005"/>
    <x v="0"/>
    <x v="0"/>
    <n v="1"/>
    <n v="7000"/>
    <x v="4"/>
    <n v="6300"/>
    <n v="1416.64"/>
    <x v="0"/>
    <x v="0"/>
    <x v="2"/>
    <x v="1"/>
    <x v="2"/>
    <s v="Nov"/>
    <s v="Q4"/>
    <x v="3"/>
    <n v="1"/>
    <n v="22.49"/>
  </r>
  <r>
    <s v="ORD01592"/>
    <d v="2025-03-19T00:00:00"/>
    <d v="2025-03-21T00:00:00"/>
    <s v="C0225"/>
    <x v="56"/>
    <s v="Consumer"/>
    <x v="2"/>
    <x v="3"/>
    <s v="P008"/>
    <x v="11"/>
    <x v="1"/>
    <n v="3"/>
    <n v="250"/>
    <x v="0"/>
    <n v="750"/>
    <n v="289.95999999999998"/>
    <x v="4"/>
    <x v="1"/>
    <x v="4"/>
    <x v="0"/>
    <x v="0"/>
    <s v="Mar"/>
    <s v="Q1"/>
    <x v="0"/>
    <n v="2"/>
    <n v="38.659999999999997"/>
  </r>
  <r>
    <s v="ORD01390"/>
    <d v="2025-12-26T00:00:00"/>
    <d v="2025-12-30T00:00:00"/>
    <s v="C0050"/>
    <x v="35"/>
    <s v="Corporate"/>
    <x v="0"/>
    <x v="2"/>
    <s v="P009"/>
    <x v="2"/>
    <x v="1"/>
    <n v="1"/>
    <n v="180"/>
    <x v="2"/>
    <n v="144"/>
    <n v="66.78"/>
    <x v="5"/>
    <x v="1"/>
    <x v="1"/>
    <x v="0"/>
    <x v="10"/>
    <s v="Dec"/>
    <s v="Q4"/>
    <x v="19"/>
    <n v="4"/>
    <n v="46.38"/>
  </r>
  <r>
    <s v="ORD01993"/>
    <d v="2024-08-14T00:00:00"/>
    <d v="2024-08-15T00:00:00"/>
    <s v="C0077"/>
    <x v="260"/>
    <s v="Corporate"/>
    <x v="2"/>
    <x v="3"/>
    <s v="P004"/>
    <x v="7"/>
    <x v="2"/>
    <n v="1"/>
    <n v="8000"/>
    <x v="2"/>
    <n v="6400"/>
    <n v="1180.96"/>
    <x v="5"/>
    <x v="0"/>
    <x v="1"/>
    <x v="1"/>
    <x v="7"/>
    <s v="Aug"/>
    <s v="Q3"/>
    <x v="9"/>
    <n v="1"/>
    <n v="18.45"/>
  </r>
  <r>
    <s v="ORD00753"/>
    <d v="2025-06-13T00:00:00"/>
    <d v="2025-06-20T00:00:00"/>
    <s v="C0006"/>
    <x v="138"/>
    <s v="Small Business"/>
    <x v="2"/>
    <x v="14"/>
    <s v="P012"/>
    <x v="4"/>
    <x v="3"/>
    <n v="5"/>
    <n v="3500"/>
    <x v="0"/>
    <n v="17500"/>
    <n v="4677.8"/>
    <x v="4"/>
    <x v="1"/>
    <x v="3"/>
    <x v="0"/>
    <x v="8"/>
    <s v="Jun"/>
    <s v="Q2"/>
    <x v="10"/>
    <n v="7"/>
    <n v="26.73"/>
  </r>
  <r>
    <s v="ORD01224"/>
    <d v="2025-01-18T00:00:00"/>
    <d v="2025-01-22T00:00:00"/>
    <s v="C0098"/>
    <x v="0"/>
    <s v="Corporate"/>
    <x v="0"/>
    <x v="0"/>
    <s v="P007"/>
    <x v="10"/>
    <x v="0"/>
    <n v="1"/>
    <n v="6000"/>
    <x v="1"/>
    <n v="5100"/>
    <n v="1344.17"/>
    <x v="0"/>
    <x v="1"/>
    <x v="1"/>
    <x v="0"/>
    <x v="11"/>
    <s v="Jan"/>
    <s v="Q1"/>
    <x v="17"/>
    <n v="4"/>
    <n v="26.36"/>
  </r>
  <r>
    <s v="ORD01359"/>
    <d v="2025-06-21T00:00:00"/>
    <d v="2025-06-25T00:00:00"/>
    <s v="C0289"/>
    <x v="221"/>
    <s v="Corporate"/>
    <x v="0"/>
    <x v="11"/>
    <s v="P009"/>
    <x v="2"/>
    <x v="1"/>
    <n v="1"/>
    <n v="180"/>
    <x v="4"/>
    <n v="162"/>
    <n v="61.61"/>
    <x v="5"/>
    <x v="2"/>
    <x v="2"/>
    <x v="0"/>
    <x v="8"/>
    <s v="Jun"/>
    <s v="Q2"/>
    <x v="10"/>
    <n v="4"/>
    <n v="38.03"/>
  </r>
  <r>
    <s v="ORD00801"/>
    <d v="2025-10-03T00:00:00"/>
    <d v="2025-10-09T00:00:00"/>
    <s v="C0160"/>
    <x v="183"/>
    <s v="Corporate"/>
    <x v="2"/>
    <x v="9"/>
    <s v="P002"/>
    <x v="3"/>
    <x v="2"/>
    <n v="1"/>
    <n v="25000"/>
    <x v="3"/>
    <n v="23750"/>
    <n v="3645.23"/>
    <x v="3"/>
    <x v="0"/>
    <x v="3"/>
    <x v="0"/>
    <x v="1"/>
    <s v="Oct"/>
    <s v="Q4"/>
    <x v="14"/>
    <n v="6"/>
    <n v="15.35"/>
  </r>
  <r>
    <s v="ORD00625"/>
    <d v="2024-05-31T00:00:00"/>
    <d v="2024-06-05T00:00:00"/>
    <s v="C0163"/>
    <x v="231"/>
    <s v="Small Business"/>
    <x v="2"/>
    <x v="14"/>
    <s v="P006"/>
    <x v="1"/>
    <x v="0"/>
    <n v="1"/>
    <n v="9500"/>
    <x v="4"/>
    <n v="8550"/>
    <n v="1864.22"/>
    <x v="2"/>
    <x v="0"/>
    <x v="0"/>
    <x v="1"/>
    <x v="4"/>
    <s v="May"/>
    <s v="Q2"/>
    <x v="8"/>
    <n v="5"/>
    <n v="21.8"/>
  </r>
  <r>
    <s v="ORD00568"/>
    <d v="2024-09-04T00:00:00"/>
    <d v="2024-09-10T00:00:00"/>
    <s v="C0237"/>
    <x v="296"/>
    <s v="Consumer"/>
    <x v="2"/>
    <x v="14"/>
    <s v="P011"/>
    <x v="9"/>
    <x v="4"/>
    <n v="3"/>
    <n v="600"/>
    <x v="4"/>
    <n v="1620"/>
    <n v="620.65"/>
    <x v="5"/>
    <x v="2"/>
    <x v="2"/>
    <x v="1"/>
    <x v="9"/>
    <s v="Sep"/>
    <s v="Q3"/>
    <x v="20"/>
    <n v="6"/>
    <n v="38.31"/>
  </r>
  <r>
    <s v="ORD01562"/>
    <d v="2024-11-20T00:00:00"/>
    <m/>
    <s v="C0284"/>
    <x v="73"/>
    <s v="Corporate"/>
    <x v="0"/>
    <x v="10"/>
    <s v="P010"/>
    <x v="6"/>
    <x v="4"/>
    <n v="1"/>
    <n v="1800"/>
    <x v="2"/>
    <n v="1440"/>
    <n v="430.07"/>
    <x v="4"/>
    <x v="0"/>
    <x v="1"/>
    <x v="1"/>
    <x v="2"/>
    <s v="Nov"/>
    <s v="Q4"/>
    <x v="3"/>
    <s v=""/>
    <n v="29.87"/>
  </r>
  <r>
    <s v="ORD01315"/>
    <d v="2024-05-28T00:00:00"/>
    <d v="2024-06-03T00:00:00"/>
    <s v="C0156"/>
    <x v="155"/>
    <s v="Consumer"/>
    <x v="1"/>
    <x v="16"/>
    <s v="P006"/>
    <x v="1"/>
    <x v="0"/>
    <n v="1"/>
    <n v="9500"/>
    <x v="1"/>
    <n v="8075"/>
    <n v="1359.14"/>
    <x v="0"/>
    <x v="1"/>
    <x v="0"/>
    <x v="1"/>
    <x v="4"/>
    <s v="May"/>
    <s v="Q2"/>
    <x v="8"/>
    <n v="6"/>
    <n v="16.829999999999998"/>
  </r>
  <r>
    <s v="ORD01653"/>
    <d v="2025-03-06T00:00:00"/>
    <d v="2025-03-08T00:00:00"/>
    <s v="C0064"/>
    <x v="5"/>
    <s v="Corporate"/>
    <x v="0"/>
    <x v="0"/>
    <s v="P012"/>
    <x v="4"/>
    <x v="3"/>
    <n v="1"/>
    <n v="3500"/>
    <x v="4"/>
    <n v="3150"/>
    <n v="906.26"/>
    <x v="0"/>
    <x v="2"/>
    <x v="2"/>
    <x v="0"/>
    <x v="0"/>
    <s v="Mar"/>
    <s v="Q1"/>
    <x v="0"/>
    <n v="2"/>
    <n v="28.77"/>
  </r>
  <r>
    <s v="ORD00189"/>
    <d v="2024-09-11T00:00:00"/>
    <d v="2024-09-12T00:00:00"/>
    <s v="C0044"/>
    <x v="123"/>
    <s v="Small Business"/>
    <x v="3"/>
    <x v="7"/>
    <s v="P002"/>
    <x v="3"/>
    <x v="2"/>
    <n v="3"/>
    <n v="25000"/>
    <x v="0"/>
    <n v="75000"/>
    <n v="8623.52"/>
    <x v="1"/>
    <x v="2"/>
    <x v="0"/>
    <x v="1"/>
    <x v="9"/>
    <s v="Sep"/>
    <s v="Q3"/>
    <x v="20"/>
    <n v="1"/>
    <n v="11.5"/>
  </r>
  <r>
    <s v="ORD02000"/>
    <d v="2025-09-02T00:00:00"/>
    <d v="2025-09-08T00:00:00"/>
    <s v="C0013"/>
    <x v="212"/>
    <s v="Corporate"/>
    <x v="0"/>
    <x v="2"/>
    <s v="P012"/>
    <x v="4"/>
    <x v="3"/>
    <n v="1"/>
    <n v="3500"/>
    <x v="3"/>
    <n v="3325"/>
    <n v="793.55"/>
    <x v="4"/>
    <x v="0"/>
    <x v="1"/>
    <x v="0"/>
    <x v="9"/>
    <s v="Sep"/>
    <s v="Q3"/>
    <x v="11"/>
    <n v="6"/>
    <n v="23.87"/>
  </r>
  <r>
    <s v="ORD01602"/>
    <d v="2025-05-07T00:00:00"/>
    <d v="2025-05-13T00:00:00"/>
    <s v="C0084"/>
    <x v="95"/>
    <s v="Corporate"/>
    <x v="3"/>
    <x v="8"/>
    <s v="P010"/>
    <x v="6"/>
    <x v="4"/>
    <n v="5"/>
    <n v="1800"/>
    <x v="1"/>
    <n v="7650"/>
    <n v="1945.28"/>
    <x v="2"/>
    <x v="1"/>
    <x v="0"/>
    <x v="0"/>
    <x v="4"/>
    <s v="May"/>
    <s v="Q2"/>
    <x v="5"/>
    <n v="6"/>
    <n v="25.43"/>
  </r>
  <r>
    <s v="ORD01014"/>
    <d v="2025-11-29T00:00:00"/>
    <d v="2025-11-30T00:00:00"/>
    <s v="C0192"/>
    <x v="214"/>
    <s v="Consumer"/>
    <x v="3"/>
    <x v="8"/>
    <s v="P002"/>
    <x v="3"/>
    <x v="2"/>
    <n v="2"/>
    <n v="25000"/>
    <x v="1"/>
    <n v="42500"/>
    <n v="4571.32"/>
    <x v="5"/>
    <x v="0"/>
    <x v="3"/>
    <x v="0"/>
    <x v="2"/>
    <s v="Nov"/>
    <s v="Q4"/>
    <x v="23"/>
    <n v="1"/>
    <n v="10.76"/>
  </r>
  <r>
    <s v="ORD00669"/>
    <d v="2025-05-02T00:00:00"/>
    <d v="2025-05-09T00:00:00"/>
    <s v="C0293"/>
    <x v="53"/>
    <s v="Corporate"/>
    <x v="1"/>
    <x v="16"/>
    <s v="P008"/>
    <x v="11"/>
    <x v="1"/>
    <n v="2"/>
    <n v="250"/>
    <x v="0"/>
    <n v="500"/>
    <n v="180.53"/>
    <x v="3"/>
    <x v="1"/>
    <x v="1"/>
    <x v="0"/>
    <x v="4"/>
    <s v="May"/>
    <s v="Q2"/>
    <x v="5"/>
    <n v="7"/>
    <n v="36.11"/>
  </r>
  <r>
    <s v="ORD01657"/>
    <d v="2024-05-27T00:00:00"/>
    <d v="2024-06-02T00:00:00"/>
    <s v="C0106"/>
    <x v="192"/>
    <s v="Small Business"/>
    <x v="0"/>
    <x v="0"/>
    <s v="P008"/>
    <x v="11"/>
    <x v="1"/>
    <n v="1"/>
    <n v="250"/>
    <x v="1"/>
    <n v="212.5"/>
    <n v="86.21"/>
    <x v="3"/>
    <x v="1"/>
    <x v="0"/>
    <x v="1"/>
    <x v="4"/>
    <s v="May"/>
    <s v="Q2"/>
    <x v="8"/>
    <n v="6"/>
    <n v="40.57"/>
  </r>
  <r>
    <s v="ORD01891"/>
    <d v="2024-05-09T00:00:00"/>
    <d v="2024-05-10T00:00:00"/>
    <s v="C0034"/>
    <x v="17"/>
    <s v="Small Business"/>
    <x v="1"/>
    <x v="1"/>
    <s v="P009"/>
    <x v="2"/>
    <x v="1"/>
    <n v="3"/>
    <n v="180"/>
    <x v="4"/>
    <n v="486"/>
    <n v="200.18"/>
    <x v="1"/>
    <x v="2"/>
    <x v="3"/>
    <x v="1"/>
    <x v="4"/>
    <s v="May"/>
    <s v="Q2"/>
    <x v="8"/>
    <n v="1"/>
    <n v="41.19"/>
  </r>
  <r>
    <s v="ORD00591"/>
    <d v="2025-10-09T00:00:00"/>
    <d v="2025-10-11T00:00:00"/>
    <s v="C0069"/>
    <x v="101"/>
    <s v="Small Business"/>
    <x v="0"/>
    <x v="0"/>
    <s v="P002"/>
    <x v="3"/>
    <x v="2"/>
    <n v="3"/>
    <n v="25000"/>
    <x v="0"/>
    <n v="75000"/>
    <n v="11833.32"/>
    <x v="2"/>
    <x v="0"/>
    <x v="2"/>
    <x v="0"/>
    <x v="1"/>
    <s v="Oct"/>
    <s v="Q4"/>
    <x v="14"/>
    <n v="2"/>
    <n v="15.78"/>
  </r>
  <r>
    <s v="ORD01505"/>
    <d v="2025-04-12T00:00:00"/>
    <d v="2025-04-14T00:00:00"/>
    <s v="C0073"/>
    <x v="147"/>
    <s v="Consumer"/>
    <x v="3"/>
    <x v="8"/>
    <s v="P005"/>
    <x v="0"/>
    <x v="0"/>
    <n v="5"/>
    <n v="7000"/>
    <x v="2"/>
    <n v="28000"/>
    <n v="6565.49"/>
    <x v="5"/>
    <x v="2"/>
    <x v="3"/>
    <x v="0"/>
    <x v="5"/>
    <s v="Apr"/>
    <s v="Q2"/>
    <x v="13"/>
    <n v="2"/>
    <n v="23.45"/>
  </r>
  <r>
    <s v="ORD01624"/>
    <d v="2024-11-18T00:00:00"/>
    <d v="2024-11-19T00:00:00"/>
    <s v="C0293"/>
    <x v="53"/>
    <s v="Corporate"/>
    <x v="1"/>
    <x v="16"/>
    <s v="P004"/>
    <x v="7"/>
    <x v="2"/>
    <n v="1"/>
    <n v="8000"/>
    <x v="0"/>
    <n v="8000"/>
    <n v="1640.23"/>
    <x v="4"/>
    <x v="2"/>
    <x v="1"/>
    <x v="1"/>
    <x v="2"/>
    <s v="Nov"/>
    <s v="Q4"/>
    <x v="3"/>
    <n v="1"/>
    <n v="20.5"/>
  </r>
  <r>
    <s v="ORD00962"/>
    <d v="2024-06-06T00:00:00"/>
    <d v="2024-06-11T00:00:00"/>
    <s v="C0104"/>
    <x v="225"/>
    <s v="Corporate"/>
    <x v="0"/>
    <x v="11"/>
    <s v="P009"/>
    <x v="2"/>
    <x v="1"/>
    <n v="1"/>
    <n v="180"/>
    <x v="0"/>
    <n v="180"/>
    <n v="70.25"/>
    <x v="1"/>
    <x v="1"/>
    <x v="4"/>
    <x v="1"/>
    <x v="8"/>
    <s v="Jun"/>
    <s v="Q2"/>
    <x v="12"/>
    <n v="5"/>
    <n v="39.03"/>
  </r>
  <r>
    <s v="ORD00490"/>
    <d v="2025-02-06T00:00:00"/>
    <d v="2025-02-10T00:00:00"/>
    <s v="C0078"/>
    <x v="273"/>
    <s v="Small Business"/>
    <x v="0"/>
    <x v="0"/>
    <s v="P006"/>
    <x v="1"/>
    <x v="0"/>
    <n v="3"/>
    <n v="9500"/>
    <x v="0"/>
    <n v="28500"/>
    <n v="5654.15"/>
    <x v="0"/>
    <x v="0"/>
    <x v="1"/>
    <x v="0"/>
    <x v="6"/>
    <s v="Feb"/>
    <s v="Q1"/>
    <x v="7"/>
    <n v="4"/>
    <n v="19.84"/>
  </r>
  <r>
    <s v="ORD00745"/>
    <d v="2024-02-02T00:00:00"/>
    <d v="2024-02-06T00:00:00"/>
    <s v="C0090"/>
    <x v="58"/>
    <s v="Consumer"/>
    <x v="0"/>
    <x v="10"/>
    <s v="P009"/>
    <x v="2"/>
    <x v="1"/>
    <n v="4"/>
    <n v="180"/>
    <x v="0"/>
    <n v="720"/>
    <n v="282.61"/>
    <x v="2"/>
    <x v="2"/>
    <x v="2"/>
    <x v="1"/>
    <x v="6"/>
    <s v="Feb"/>
    <s v="Q1"/>
    <x v="18"/>
    <n v="4"/>
    <n v="39.25"/>
  </r>
  <r>
    <s v="ORD00925"/>
    <d v="2025-03-11T00:00:00"/>
    <m/>
    <s v="C0131"/>
    <x v="156"/>
    <s v="Corporate"/>
    <x v="1"/>
    <x v="5"/>
    <s v="P011"/>
    <x v="9"/>
    <x v="4"/>
    <n v="5"/>
    <n v="600"/>
    <x v="0"/>
    <n v="3000"/>
    <n v="1042.3699999999999"/>
    <x v="5"/>
    <x v="2"/>
    <x v="4"/>
    <x v="0"/>
    <x v="0"/>
    <s v="Mar"/>
    <s v="Q1"/>
    <x v="0"/>
    <s v=""/>
    <n v="34.75"/>
  </r>
  <r>
    <s v="ORD01176"/>
    <d v="2025-09-12T00:00:00"/>
    <d v="2025-09-15T00:00:00"/>
    <s v="C0148"/>
    <x v="57"/>
    <s v="Corporate"/>
    <x v="2"/>
    <x v="4"/>
    <s v="P005"/>
    <x v="0"/>
    <x v="0"/>
    <n v="3"/>
    <n v="7000"/>
    <x v="0"/>
    <n v="21000"/>
    <n v="4465.57"/>
    <x v="2"/>
    <x v="0"/>
    <x v="1"/>
    <x v="0"/>
    <x v="9"/>
    <s v="Sep"/>
    <s v="Q3"/>
    <x v="11"/>
    <n v="3"/>
    <n v="21.26"/>
  </r>
  <r>
    <s v="ORD01649"/>
    <d v="2025-08-05T00:00:00"/>
    <d v="2025-08-06T00:00:00"/>
    <s v="C0095"/>
    <x v="15"/>
    <s v="Consumer"/>
    <x v="2"/>
    <x v="4"/>
    <s v="P011"/>
    <x v="9"/>
    <x v="4"/>
    <n v="3"/>
    <n v="600"/>
    <x v="0"/>
    <n v="1800"/>
    <n v="651.4"/>
    <x v="0"/>
    <x v="0"/>
    <x v="2"/>
    <x v="0"/>
    <x v="7"/>
    <s v="Aug"/>
    <s v="Q3"/>
    <x v="22"/>
    <n v="1"/>
    <n v="36.19"/>
  </r>
  <r>
    <s v="ORD01438"/>
    <d v="2024-06-09T00:00:00"/>
    <d v="2024-06-17T00:00:00"/>
    <s v="C0173"/>
    <x v="184"/>
    <s v="Corporate"/>
    <x v="1"/>
    <x v="16"/>
    <s v="P009"/>
    <x v="2"/>
    <x v="1"/>
    <n v="3"/>
    <n v="180"/>
    <x v="4"/>
    <n v="486"/>
    <n v="190.86"/>
    <x v="2"/>
    <x v="2"/>
    <x v="2"/>
    <x v="1"/>
    <x v="8"/>
    <s v="Jun"/>
    <s v="Q2"/>
    <x v="12"/>
    <n v="8"/>
    <n v="39.270000000000003"/>
  </r>
  <r>
    <s v="ORD00532"/>
    <d v="2024-10-07T00:00:00"/>
    <d v="2024-10-11T00:00:00"/>
    <s v="C0077"/>
    <x v="260"/>
    <s v="Corporate"/>
    <x v="2"/>
    <x v="3"/>
    <s v="P003"/>
    <x v="5"/>
    <x v="2"/>
    <n v="5"/>
    <n v="3000"/>
    <x v="4"/>
    <n v="13500"/>
    <n v="3667.78"/>
    <x v="1"/>
    <x v="1"/>
    <x v="1"/>
    <x v="1"/>
    <x v="1"/>
    <s v="Oct"/>
    <s v="Q4"/>
    <x v="1"/>
    <n v="4"/>
    <n v="27.17"/>
  </r>
  <r>
    <s v="ORD01896"/>
    <d v="2024-05-18T00:00:00"/>
    <d v="2024-05-26T00:00:00"/>
    <s v="C0064"/>
    <x v="5"/>
    <s v="Corporate"/>
    <x v="0"/>
    <x v="0"/>
    <s v="P010"/>
    <x v="6"/>
    <x v="4"/>
    <n v="3"/>
    <n v="1800"/>
    <x v="1"/>
    <n v="4590"/>
    <n v="1240.5899999999999"/>
    <x v="3"/>
    <x v="0"/>
    <x v="0"/>
    <x v="1"/>
    <x v="4"/>
    <s v="May"/>
    <s v="Q2"/>
    <x v="8"/>
    <n v="8"/>
    <n v="27.03"/>
  </r>
  <r>
    <s v="ORD00868"/>
    <d v="2024-04-03T00:00:00"/>
    <d v="2024-04-07T00:00:00"/>
    <s v="C0105"/>
    <x v="126"/>
    <s v="Corporate"/>
    <x v="0"/>
    <x v="10"/>
    <s v="P003"/>
    <x v="5"/>
    <x v="2"/>
    <n v="1"/>
    <n v="3000"/>
    <x v="4"/>
    <n v="2700"/>
    <n v="836.32"/>
    <x v="4"/>
    <x v="2"/>
    <x v="3"/>
    <x v="1"/>
    <x v="5"/>
    <s v="Apr"/>
    <s v="Q2"/>
    <x v="6"/>
    <n v="4"/>
    <n v="30.97"/>
  </r>
  <r>
    <s v="ORD01886"/>
    <d v="2025-08-23T00:00:00"/>
    <d v="2025-08-26T00:00:00"/>
    <s v="C0110"/>
    <x v="204"/>
    <s v="Small Business"/>
    <x v="0"/>
    <x v="0"/>
    <s v="P002"/>
    <x v="3"/>
    <x v="2"/>
    <n v="4"/>
    <n v="25000"/>
    <x v="1"/>
    <n v="85000"/>
    <n v="10191.25"/>
    <x v="4"/>
    <x v="2"/>
    <x v="0"/>
    <x v="0"/>
    <x v="7"/>
    <s v="Aug"/>
    <s v="Q3"/>
    <x v="22"/>
    <n v="3"/>
    <n v="11.99"/>
  </r>
  <r>
    <s v="ORD01334"/>
    <d v="2024-05-20T00:00:00"/>
    <d v="2024-05-27T00:00:00"/>
    <s v="C0182"/>
    <x v="264"/>
    <s v="Corporate"/>
    <x v="3"/>
    <x v="7"/>
    <s v="P001"/>
    <x v="8"/>
    <x v="2"/>
    <n v="4"/>
    <n v="55000"/>
    <x v="3"/>
    <n v="209000"/>
    <n v="28186.560000000001"/>
    <x v="2"/>
    <x v="1"/>
    <x v="2"/>
    <x v="1"/>
    <x v="4"/>
    <s v="May"/>
    <s v="Q2"/>
    <x v="8"/>
    <n v="7"/>
    <n v="13.49"/>
  </r>
  <r>
    <s v="ORD00789"/>
    <d v="2025-05-02T00:00:00"/>
    <d v="2025-05-09T00:00:00"/>
    <s v="C0002"/>
    <x v="157"/>
    <s v="Consumer"/>
    <x v="1"/>
    <x v="16"/>
    <s v="P010"/>
    <x v="6"/>
    <x v="4"/>
    <n v="1"/>
    <n v="1800"/>
    <x v="0"/>
    <n v="1800"/>
    <n v="610.52"/>
    <x v="1"/>
    <x v="2"/>
    <x v="0"/>
    <x v="0"/>
    <x v="4"/>
    <s v="May"/>
    <s v="Q2"/>
    <x v="5"/>
    <n v="7"/>
    <n v="33.92"/>
  </r>
  <r>
    <s v="ORD00354"/>
    <d v="2025-09-09T00:00:00"/>
    <d v="2025-09-14T00:00:00"/>
    <s v="C0280"/>
    <x v="13"/>
    <s v="Consumer"/>
    <x v="3"/>
    <x v="8"/>
    <s v="P012"/>
    <x v="4"/>
    <x v="3"/>
    <n v="1"/>
    <n v="3500"/>
    <x v="1"/>
    <n v="2975"/>
    <n v="1033.5999999999999"/>
    <x v="0"/>
    <x v="0"/>
    <x v="3"/>
    <x v="0"/>
    <x v="9"/>
    <s v="Sep"/>
    <s v="Q3"/>
    <x v="11"/>
    <n v="5"/>
    <n v="34.74"/>
  </r>
  <r>
    <s v="ORD01609"/>
    <d v="2025-05-17T00:00:00"/>
    <d v="2025-05-19T00:00:00"/>
    <s v="C0088"/>
    <x v="186"/>
    <s v="Corporate"/>
    <x v="0"/>
    <x v="11"/>
    <s v="P007"/>
    <x v="10"/>
    <x v="0"/>
    <n v="1"/>
    <n v="6000"/>
    <x v="4"/>
    <n v="5400"/>
    <n v="1058.28"/>
    <x v="1"/>
    <x v="1"/>
    <x v="2"/>
    <x v="0"/>
    <x v="4"/>
    <s v="May"/>
    <s v="Q2"/>
    <x v="5"/>
    <n v="2"/>
    <n v="19.600000000000001"/>
  </r>
  <r>
    <s v="ORD00536"/>
    <d v="2025-11-17T00:00:00"/>
    <d v="2025-11-20T00:00:00"/>
    <s v="C0171"/>
    <x v="257"/>
    <s v="Corporate"/>
    <x v="3"/>
    <x v="12"/>
    <s v="P004"/>
    <x v="7"/>
    <x v="2"/>
    <n v="1"/>
    <n v="8000"/>
    <x v="2"/>
    <n v="6400"/>
    <n v="1609.23"/>
    <x v="2"/>
    <x v="2"/>
    <x v="0"/>
    <x v="0"/>
    <x v="2"/>
    <s v="Nov"/>
    <s v="Q4"/>
    <x v="23"/>
    <n v="3"/>
    <n v="25.14"/>
  </r>
  <r>
    <s v="ORD00279"/>
    <d v="2024-04-28T00:00:00"/>
    <d v="2024-05-03T00:00:00"/>
    <s v="C0042"/>
    <x v="117"/>
    <s v="Consumer"/>
    <x v="1"/>
    <x v="13"/>
    <s v="P008"/>
    <x v="11"/>
    <x v="1"/>
    <n v="1"/>
    <n v="250"/>
    <x v="3"/>
    <n v="237.5"/>
    <n v="84.4"/>
    <x v="2"/>
    <x v="2"/>
    <x v="1"/>
    <x v="1"/>
    <x v="5"/>
    <s v="Apr"/>
    <s v="Q2"/>
    <x v="6"/>
    <n v="5"/>
    <n v="35.54"/>
  </r>
  <r>
    <s v="ORD00041"/>
    <d v="2024-04-27T00:00:00"/>
    <d v="2024-05-04T00:00:00"/>
    <s v="C0285"/>
    <x v="171"/>
    <s v="Corporate"/>
    <x v="3"/>
    <x v="6"/>
    <s v="P006"/>
    <x v="1"/>
    <x v="0"/>
    <n v="3"/>
    <n v="9500"/>
    <x v="4"/>
    <n v="25650"/>
    <n v="4055.08"/>
    <x v="1"/>
    <x v="2"/>
    <x v="1"/>
    <x v="1"/>
    <x v="5"/>
    <s v="Apr"/>
    <s v="Q2"/>
    <x v="6"/>
    <n v="7"/>
    <n v="15.81"/>
  </r>
  <r>
    <s v="ORD00401"/>
    <d v="2025-02-11T00:00:00"/>
    <d v="2025-02-13T00:00:00"/>
    <s v="C0177"/>
    <x v="121"/>
    <s v="Consumer"/>
    <x v="2"/>
    <x v="14"/>
    <s v="P012"/>
    <x v="4"/>
    <x v="3"/>
    <n v="3"/>
    <n v="3500"/>
    <x v="2"/>
    <n v="8400"/>
    <n v="2810.39"/>
    <x v="5"/>
    <x v="0"/>
    <x v="0"/>
    <x v="0"/>
    <x v="6"/>
    <s v="Feb"/>
    <s v="Q1"/>
    <x v="7"/>
    <n v="2"/>
    <n v="33.46"/>
  </r>
  <r>
    <s v="ORD01309"/>
    <d v="2025-10-22T00:00:00"/>
    <d v="2025-10-27T00:00:00"/>
    <s v="C0264"/>
    <x v="297"/>
    <s v="Small Business"/>
    <x v="2"/>
    <x v="4"/>
    <s v="P005"/>
    <x v="0"/>
    <x v="0"/>
    <n v="4"/>
    <n v="7000"/>
    <x v="0"/>
    <n v="28000"/>
    <n v="6160"/>
    <x v="5"/>
    <x v="1"/>
    <x v="3"/>
    <x v="0"/>
    <x v="1"/>
    <s v="Oct"/>
    <s v="Q4"/>
    <x v="14"/>
    <n v="5"/>
    <n v="22"/>
  </r>
  <r>
    <s v="ORD01021"/>
    <d v="2025-11-16T00:00:00"/>
    <d v="2025-11-23T00:00:00"/>
    <s v="C0269"/>
    <x v="102"/>
    <s v="Consumer"/>
    <x v="2"/>
    <x v="3"/>
    <s v="P004"/>
    <x v="7"/>
    <x v="2"/>
    <n v="1"/>
    <n v="8000"/>
    <x v="0"/>
    <n v="8000"/>
    <n v="1473.95"/>
    <x v="3"/>
    <x v="1"/>
    <x v="2"/>
    <x v="0"/>
    <x v="2"/>
    <s v="Nov"/>
    <s v="Q4"/>
    <x v="23"/>
    <n v="7"/>
    <n v="18.420000000000002"/>
  </r>
  <r>
    <s v="ORD01967"/>
    <d v="2024-02-16T00:00:00"/>
    <d v="2024-02-23T00:00:00"/>
    <s v="C0133"/>
    <x v="97"/>
    <s v="Consumer"/>
    <x v="1"/>
    <x v="5"/>
    <s v="P006"/>
    <x v="1"/>
    <x v="0"/>
    <n v="1"/>
    <n v="9500"/>
    <x v="2"/>
    <n v="7600"/>
    <n v="1405.38"/>
    <x v="4"/>
    <x v="2"/>
    <x v="2"/>
    <x v="1"/>
    <x v="6"/>
    <s v="Feb"/>
    <s v="Q1"/>
    <x v="18"/>
    <n v="7"/>
    <n v="18.489999999999998"/>
  </r>
  <r>
    <s v="ORD01807"/>
    <d v="2025-01-21T00:00:00"/>
    <d v="2025-01-28T00:00:00"/>
    <s v="C0048"/>
    <x v="124"/>
    <s v="Small Business"/>
    <x v="2"/>
    <x v="3"/>
    <s v="P001"/>
    <x v="8"/>
    <x v="2"/>
    <n v="3"/>
    <n v="55000"/>
    <x v="0"/>
    <n v="165000"/>
    <n v="26962.74"/>
    <x v="3"/>
    <x v="1"/>
    <x v="2"/>
    <x v="0"/>
    <x v="11"/>
    <s v="Jan"/>
    <s v="Q1"/>
    <x v="17"/>
    <n v="7"/>
    <n v="16.34"/>
  </r>
  <r>
    <s v="ORD00086"/>
    <d v="2025-09-08T00:00:00"/>
    <d v="2025-09-14T00:00:00"/>
    <s v="C0041"/>
    <x v="3"/>
    <s v="Small Business"/>
    <x v="0"/>
    <x v="0"/>
    <s v="P007"/>
    <x v="10"/>
    <x v="0"/>
    <n v="10"/>
    <n v="6000"/>
    <x v="0"/>
    <n v="60000"/>
    <n v="13221.93"/>
    <x v="2"/>
    <x v="0"/>
    <x v="4"/>
    <x v="0"/>
    <x v="9"/>
    <s v="Sep"/>
    <s v="Q3"/>
    <x v="11"/>
    <n v="6"/>
    <n v="22.04"/>
  </r>
  <r>
    <s v="ORD00345"/>
    <d v="2025-01-28T00:00:00"/>
    <d v="2025-02-01T00:00:00"/>
    <s v="C0165"/>
    <x v="42"/>
    <s v="Corporate"/>
    <x v="2"/>
    <x v="3"/>
    <s v="P009"/>
    <x v="2"/>
    <x v="1"/>
    <n v="2"/>
    <n v="180"/>
    <x v="4"/>
    <n v="324"/>
    <n v="155.47999999999999"/>
    <x v="3"/>
    <x v="1"/>
    <x v="4"/>
    <x v="0"/>
    <x v="11"/>
    <s v="Jan"/>
    <s v="Q1"/>
    <x v="17"/>
    <n v="4"/>
    <n v="47.99"/>
  </r>
  <r>
    <s v="ORD00788"/>
    <d v="2025-11-09T00:00:00"/>
    <d v="2025-11-15T00:00:00"/>
    <s v="C0140"/>
    <x v="140"/>
    <s v="Small Business"/>
    <x v="3"/>
    <x v="7"/>
    <s v="P004"/>
    <x v="7"/>
    <x v="2"/>
    <n v="1"/>
    <n v="8000"/>
    <x v="3"/>
    <n v="7600"/>
    <n v="2058.83"/>
    <x v="2"/>
    <x v="2"/>
    <x v="2"/>
    <x v="0"/>
    <x v="2"/>
    <s v="Nov"/>
    <s v="Q4"/>
    <x v="23"/>
    <n v="6"/>
    <n v="27.09"/>
  </r>
  <r>
    <s v="ORD00033"/>
    <d v="2025-10-20T00:00:00"/>
    <d v="2025-10-27T00:00:00"/>
    <s v="C0155"/>
    <x v="41"/>
    <s v="Consumer"/>
    <x v="1"/>
    <x v="5"/>
    <s v="P008"/>
    <x v="11"/>
    <x v="1"/>
    <n v="1"/>
    <n v="250"/>
    <x v="3"/>
    <n v="237.5"/>
    <n v="98.7"/>
    <x v="5"/>
    <x v="0"/>
    <x v="0"/>
    <x v="0"/>
    <x v="1"/>
    <s v="Oct"/>
    <s v="Q4"/>
    <x v="14"/>
    <n v="7"/>
    <n v="41.56"/>
  </r>
  <r>
    <s v="ORD01149"/>
    <d v="2025-02-08T00:00:00"/>
    <d v="2025-02-13T00:00:00"/>
    <s v="C0173"/>
    <x v="184"/>
    <s v="Corporate"/>
    <x v="1"/>
    <x v="16"/>
    <s v="P010"/>
    <x v="6"/>
    <x v="4"/>
    <n v="1"/>
    <n v="1800"/>
    <x v="0"/>
    <n v="1800"/>
    <n v="532.15"/>
    <x v="5"/>
    <x v="2"/>
    <x v="3"/>
    <x v="0"/>
    <x v="6"/>
    <s v="Feb"/>
    <s v="Q1"/>
    <x v="7"/>
    <n v="5"/>
    <n v="29.56"/>
  </r>
  <r>
    <s v="ORD01299"/>
    <d v="2024-06-28T00:00:00"/>
    <d v="2024-06-30T00:00:00"/>
    <s v="C0269"/>
    <x v="102"/>
    <s v="Consumer"/>
    <x v="2"/>
    <x v="3"/>
    <s v="P008"/>
    <x v="11"/>
    <x v="1"/>
    <n v="2"/>
    <n v="250"/>
    <x v="3"/>
    <n v="475"/>
    <n v="134.08000000000001"/>
    <x v="3"/>
    <x v="0"/>
    <x v="4"/>
    <x v="1"/>
    <x v="8"/>
    <s v="Jun"/>
    <s v="Q2"/>
    <x v="12"/>
    <n v="2"/>
    <n v="28.23"/>
  </r>
  <r>
    <s v="ORD00244"/>
    <d v="2024-08-25T00:00:00"/>
    <d v="2024-08-31T00:00:00"/>
    <s v="C0048"/>
    <x v="124"/>
    <s v="Small Business"/>
    <x v="2"/>
    <x v="3"/>
    <s v="P001"/>
    <x v="8"/>
    <x v="2"/>
    <n v="4"/>
    <n v="55000"/>
    <x v="4"/>
    <n v="198000"/>
    <n v="30836.54"/>
    <x v="0"/>
    <x v="2"/>
    <x v="3"/>
    <x v="1"/>
    <x v="7"/>
    <s v="Aug"/>
    <s v="Q3"/>
    <x v="9"/>
    <n v="6"/>
    <n v="15.57"/>
  </r>
  <r>
    <s v="ORD01682"/>
    <d v="2025-08-03T00:00:00"/>
    <d v="2025-08-11T00:00:00"/>
    <s v="C0273"/>
    <x v="46"/>
    <s v="Small Business"/>
    <x v="3"/>
    <x v="8"/>
    <s v="P011"/>
    <x v="9"/>
    <x v="4"/>
    <n v="1"/>
    <n v="600"/>
    <x v="3"/>
    <n v="570"/>
    <n v="188.43"/>
    <x v="3"/>
    <x v="1"/>
    <x v="4"/>
    <x v="0"/>
    <x v="7"/>
    <s v="Aug"/>
    <s v="Q3"/>
    <x v="22"/>
    <n v="8"/>
    <n v="33.06"/>
  </r>
  <r>
    <s v="ORD00432"/>
    <d v="2025-02-10T00:00:00"/>
    <d v="2025-02-18T00:00:00"/>
    <s v="C0108"/>
    <x v="145"/>
    <s v="Consumer"/>
    <x v="2"/>
    <x v="4"/>
    <s v="P003"/>
    <x v="5"/>
    <x v="2"/>
    <n v="1"/>
    <n v="3000"/>
    <x v="0"/>
    <n v="3000"/>
    <n v="967.25"/>
    <x v="1"/>
    <x v="0"/>
    <x v="3"/>
    <x v="0"/>
    <x v="6"/>
    <s v="Feb"/>
    <s v="Q1"/>
    <x v="7"/>
    <n v="8"/>
    <n v="32.24"/>
  </r>
  <r>
    <s v="ORD00388"/>
    <d v="2025-05-05T00:00:00"/>
    <d v="2025-05-12T00:00:00"/>
    <s v="C0247"/>
    <x v="277"/>
    <s v="Consumer"/>
    <x v="1"/>
    <x v="16"/>
    <s v="P011"/>
    <x v="9"/>
    <x v="4"/>
    <n v="2"/>
    <n v="600"/>
    <x v="4"/>
    <n v="1080"/>
    <n v="313.75"/>
    <x v="2"/>
    <x v="0"/>
    <x v="3"/>
    <x v="0"/>
    <x v="4"/>
    <s v="May"/>
    <s v="Q2"/>
    <x v="5"/>
    <n v="7"/>
    <n v="29.05"/>
  </r>
  <r>
    <s v="ORD01743"/>
    <d v="2025-08-27T00:00:00"/>
    <d v="2025-09-03T00:00:00"/>
    <s v="C0076"/>
    <x v="224"/>
    <s v="Corporate"/>
    <x v="2"/>
    <x v="4"/>
    <s v="P007"/>
    <x v="10"/>
    <x v="0"/>
    <n v="3"/>
    <n v="6000"/>
    <x v="4"/>
    <n v="16200"/>
    <n v="3773.78"/>
    <x v="5"/>
    <x v="1"/>
    <x v="3"/>
    <x v="0"/>
    <x v="7"/>
    <s v="Aug"/>
    <s v="Q3"/>
    <x v="22"/>
    <n v="7"/>
    <n v="23.29"/>
  </r>
  <r>
    <s v="ORD00466"/>
    <d v="2024-09-03T00:00:00"/>
    <d v="2024-09-08T00:00:00"/>
    <s v="C0166"/>
    <x v="288"/>
    <s v="Small Business"/>
    <x v="2"/>
    <x v="9"/>
    <s v="P010"/>
    <x v="6"/>
    <x v="4"/>
    <n v="2"/>
    <n v="1800"/>
    <x v="0"/>
    <n v="3600"/>
    <n v="1071.03"/>
    <x v="3"/>
    <x v="1"/>
    <x v="0"/>
    <x v="1"/>
    <x v="9"/>
    <s v="Sep"/>
    <s v="Q3"/>
    <x v="20"/>
    <n v="5"/>
    <n v="29.75"/>
  </r>
  <r>
    <s v="ORD00332"/>
    <d v="2025-12-18T00:00:00"/>
    <d v="2025-12-24T00:00:00"/>
    <s v="C0268"/>
    <x v="236"/>
    <s v="Corporate"/>
    <x v="2"/>
    <x v="14"/>
    <s v="P012"/>
    <x v="4"/>
    <x v="3"/>
    <n v="2"/>
    <n v="3500"/>
    <x v="1"/>
    <n v="5950"/>
    <n v="1522.12"/>
    <x v="5"/>
    <x v="2"/>
    <x v="0"/>
    <x v="0"/>
    <x v="10"/>
    <s v="Dec"/>
    <s v="Q4"/>
    <x v="19"/>
    <n v="6"/>
    <n v="25.58"/>
  </r>
  <r>
    <s v="ORD00372"/>
    <d v="2025-04-17T00:00:00"/>
    <d v="2025-04-19T00:00:00"/>
    <s v="C0028"/>
    <x v="211"/>
    <s v="Corporate"/>
    <x v="2"/>
    <x v="3"/>
    <s v="P009"/>
    <x v="2"/>
    <x v="1"/>
    <n v="2"/>
    <n v="180"/>
    <x v="0"/>
    <n v="360"/>
    <n v="132.22999999999999"/>
    <x v="3"/>
    <x v="0"/>
    <x v="2"/>
    <x v="0"/>
    <x v="5"/>
    <s v="Apr"/>
    <s v="Q2"/>
    <x v="13"/>
    <n v="2"/>
    <n v="36.729999999999997"/>
  </r>
  <r>
    <s v="ORD00306"/>
    <d v="2024-04-09T00:00:00"/>
    <d v="2024-04-12T00:00:00"/>
    <s v="C0093"/>
    <x v="127"/>
    <s v="Consumer"/>
    <x v="0"/>
    <x v="11"/>
    <s v="P005"/>
    <x v="0"/>
    <x v="0"/>
    <n v="2"/>
    <n v="7000"/>
    <x v="1"/>
    <n v="11900"/>
    <n v="2103.46"/>
    <x v="5"/>
    <x v="1"/>
    <x v="3"/>
    <x v="1"/>
    <x v="5"/>
    <s v="Apr"/>
    <s v="Q2"/>
    <x v="6"/>
    <n v="3"/>
    <n v="17.68"/>
  </r>
  <r>
    <s v="ORD00706"/>
    <d v="2025-08-19T00:00:00"/>
    <d v="2025-08-27T00:00:00"/>
    <s v="C0128"/>
    <x v="91"/>
    <s v="Corporate"/>
    <x v="3"/>
    <x v="8"/>
    <s v="P006"/>
    <x v="1"/>
    <x v="0"/>
    <n v="3"/>
    <n v="9500"/>
    <x v="3"/>
    <n v="27075"/>
    <n v="3976.21"/>
    <x v="4"/>
    <x v="1"/>
    <x v="0"/>
    <x v="0"/>
    <x v="7"/>
    <s v="Aug"/>
    <s v="Q3"/>
    <x v="22"/>
    <n v="8"/>
    <n v="14.69"/>
  </r>
  <r>
    <s v="ORD01231"/>
    <d v="2025-11-16T00:00:00"/>
    <d v="2025-11-21T00:00:00"/>
    <s v="C0214"/>
    <x v="65"/>
    <s v="Small Business"/>
    <x v="1"/>
    <x v="1"/>
    <s v="P011"/>
    <x v="9"/>
    <x v="4"/>
    <n v="1"/>
    <n v="600"/>
    <x v="2"/>
    <n v="480"/>
    <n v="164.27"/>
    <x v="2"/>
    <x v="0"/>
    <x v="0"/>
    <x v="0"/>
    <x v="2"/>
    <s v="Nov"/>
    <s v="Q4"/>
    <x v="23"/>
    <n v="5"/>
    <n v="34.22"/>
  </r>
  <r>
    <s v="ORD01318"/>
    <d v="2025-01-26T00:00:00"/>
    <m/>
    <s v="C0165"/>
    <x v="42"/>
    <s v="Corporate"/>
    <x v="2"/>
    <x v="3"/>
    <s v="P007"/>
    <x v="10"/>
    <x v="0"/>
    <n v="1"/>
    <n v="6000"/>
    <x v="4"/>
    <n v="5400"/>
    <n v="1290.31"/>
    <x v="1"/>
    <x v="2"/>
    <x v="0"/>
    <x v="0"/>
    <x v="11"/>
    <s v="Jan"/>
    <s v="Q1"/>
    <x v="17"/>
    <s v=""/>
    <n v="23.89"/>
  </r>
  <r>
    <s v="ORD01355"/>
    <d v="2025-07-16T00:00:00"/>
    <d v="2025-07-22T00:00:00"/>
    <s v="C0175"/>
    <x v="271"/>
    <s v="Consumer"/>
    <x v="0"/>
    <x v="10"/>
    <s v="P008"/>
    <x v="11"/>
    <x v="1"/>
    <n v="2"/>
    <n v="250"/>
    <x v="0"/>
    <n v="500"/>
    <n v="193.44"/>
    <x v="1"/>
    <x v="1"/>
    <x v="3"/>
    <x v="0"/>
    <x v="3"/>
    <s v="Jul"/>
    <s v="Q3"/>
    <x v="15"/>
    <n v="6"/>
    <n v="38.69"/>
  </r>
  <r>
    <s v="ORD01962"/>
    <d v="2024-02-03T00:00:00"/>
    <d v="2024-02-09T00:00:00"/>
    <s v="C0103"/>
    <x v="274"/>
    <s v="Small Business"/>
    <x v="3"/>
    <x v="8"/>
    <s v="P001"/>
    <x v="8"/>
    <x v="2"/>
    <n v="2"/>
    <n v="55000"/>
    <x v="2"/>
    <n v="88000"/>
    <n v="13813.67"/>
    <x v="5"/>
    <x v="0"/>
    <x v="3"/>
    <x v="1"/>
    <x v="6"/>
    <s v="Feb"/>
    <s v="Q1"/>
    <x v="18"/>
    <n v="6"/>
    <n v="15.7"/>
  </r>
  <r>
    <s v="ORD00048"/>
    <d v="2024-07-28T00:00:00"/>
    <d v="2024-08-02T00:00:00"/>
    <s v="C0029"/>
    <x v="133"/>
    <s v="Consumer"/>
    <x v="3"/>
    <x v="8"/>
    <s v="P001"/>
    <x v="8"/>
    <x v="2"/>
    <n v="1"/>
    <n v="55000"/>
    <x v="0"/>
    <n v="55000"/>
    <n v="9968.7000000000007"/>
    <x v="3"/>
    <x v="1"/>
    <x v="3"/>
    <x v="1"/>
    <x v="3"/>
    <s v="Jul"/>
    <s v="Q3"/>
    <x v="4"/>
    <n v="5"/>
    <n v="18.12"/>
  </r>
  <r>
    <s v="ORD01545"/>
    <d v="2025-10-12T00:00:00"/>
    <d v="2025-10-14T00:00:00"/>
    <s v="C0209"/>
    <x v="79"/>
    <s v="Small Business"/>
    <x v="1"/>
    <x v="5"/>
    <s v="P011"/>
    <x v="9"/>
    <x v="4"/>
    <n v="2"/>
    <n v="600"/>
    <x v="0"/>
    <n v="1200"/>
    <n v="409.88"/>
    <x v="6"/>
    <x v="2"/>
    <x v="3"/>
    <x v="0"/>
    <x v="1"/>
    <s v="Oct"/>
    <s v="Q4"/>
    <x v="14"/>
    <n v="2"/>
    <n v="34.159999999999997"/>
  </r>
  <r>
    <s v="ORD01872"/>
    <d v="2025-06-03T00:00:00"/>
    <d v="2025-06-04T00:00:00"/>
    <s v="C0293"/>
    <x v="53"/>
    <s v="Corporate"/>
    <x v="1"/>
    <x v="16"/>
    <s v="P008"/>
    <x v="11"/>
    <x v="1"/>
    <n v="1"/>
    <n v="250"/>
    <x v="0"/>
    <n v="250"/>
    <n v="91.56"/>
    <x v="2"/>
    <x v="1"/>
    <x v="1"/>
    <x v="0"/>
    <x v="8"/>
    <s v="Jun"/>
    <s v="Q2"/>
    <x v="10"/>
    <n v="1"/>
    <n v="36.619999999999997"/>
  </r>
  <r>
    <s v="ORD00351"/>
    <d v="2025-01-02T00:00:00"/>
    <d v="2025-01-06T00:00:00"/>
    <s v="C0278"/>
    <x v="51"/>
    <s v="Small Business"/>
    <x v="0"/>
    <x v="2"/>
    <s v="P001"/>
    <x v="8"/>
    <x v="2"/>
    <n v="4"/>
    <n v="55000"/>
    <x v="0"/>
    <n v="220000"/>
    <n v="37479.160000000003"/>
    <x v="5"/>
    <x v="2"/>
    <x v="1"/>
    <x v="0"/>
    <x v="11"/>
    <s v="Jan"/>
    <s v="Q1"/>
    <x v="17"/>
    <n v="4"/>
    <n v="17.04"/>
  </r>
  <r>
    <s v="ORD00564"/>
    <d v="2024-09-27T00:00:00"/>
    <d v="2024-10-05T00:00:00"/>
    <s v="C0028"/>
    <x v="211"/>
    <s v="Corporate"/>
    <x v="2"/>
    <x v="3"/>
    <s v="P011"/>
    <x v="9"/>
    <x v="4"/>
    <n v="3"/>
    <n v="600"/>
    <x v="0"/>
    <n v="1800"/>
    <n v="493.17"/>
    <x v="0"/>
    <x v="1"/>
    <x v="4"/>
    <x v="1"/>
    <x v="9"/>
    <s v="Sep"/>
    <s v="Q3"/>
    <x v="20"/>
    <n v="8"/>
    <n v="27.4"/>
  </r>
  <r>
    <s v="ORD01011"/>
    <d v="2024-10-29T00:00:00"/>
    <d v="2024-10-31T00:00:00"/>
    <s v="C0161"/>
    <x v="62"/>
    <s v="Consumer"/>
    <x v="3"/>
    <x v="12"/>
    <s v="P003"/>
    <x v="5"/>
    <x v="2"/>
    <n v="1"/>
    <n v="3000"/>
    <x v="0"/>
    <n v="3000"/>
    <n v="757.21"/>
    <x v="4"/>
    <x v="2"/>
    <x v="0"/>
    <x v="1"/>
    <x v="1"/>
    <s v="Oct"/>
    <s v="Q4"/>
    <x v="1"/>
    <n v="2"/>
    <n v="25.24"/>
  </r>
  <r>
    <s v="ORD00074"/>
    <d v="2025-10-27T00:00:00"/>
    <d v="2025-11-04T00:00:00"/>
    <s v="C0164"/>
    <x v="67"/>
    <s v="Small Business"/>
    <x v="3"/>
    <x v="7"/>
    <s v="P002"/>
    <x v="3"/>
    <x v="2"/>
    <n v="1"/>
    <n v="25000"/>
    <x v="0"/>
    <n v="25000"/>
    <n v="3055.32"/>
    <x v="5"/>
    <x v="0"/>
    <x v="0"/>
    <x v="0"/>
    <x v="1"/>
    <s v="Oct"/>
    <s v="Q4"/>
    <x v="14"/>
    <n v="8"/>
    <n v="12.22"/>
  </r>
  <r>
    <s v="ORD01282"/>
    <d v="2025-03-04T00:00:00"/>
    <d v="2025-03-05T00:00:00"/>
    <s v="C0298"/>
    <x v="182"/>
    <s v="Consumer"/>
    <x v="0"/>
    <x v="10"/>
    <s v="P011"/>
    <x v="9"/>
    <x v="4"/>
    <n v="10"/>
    <n v="600"/>
    <x v="3"/>
    <n v="5700"/>
    <n v="1679.84"/>
    <x v="1"/>
    <x v="0"/>
    <x v="2"/>
    <x v="0"/>
    <x v="0"/>
    <s v="Mar"/>
    <s v="Q1"/>
    <x v="0"/>
    <n v="1"/>
    <n v="29.47"/>
  </r>
  <r>
    <s v="ORD01712"/>
    <d v="2024-09-20T00:00:00"/>
    <d v="2024-09-24T00:00:00"/>
    <s v="C0100"/>
    <x v="270"/>
    <s v="Consumer"/>
    <x v="2"/>
    <x v="4"/>
    <s v="P009"/>
    <x v="2"/>
    <x v="1"/>
    <n v="2"/>
    <n v="180"/>
    <x v="1"/>
    <n v="306"/>
    <n v="103.12"/>
    <x v="4"/>
    <x v="0"/>
    <x v="3"/>
    <x v="1"/>
    <x v="9"/>
    <s v="Sep"/>
    <s v="Q3"/>
    <x v="20"/>
    <n v="4"/>
    <n v="33.700000000000003"/>
  </r>
  <r>
    <s v="ORD00802"/>
    <d v="2024-12-14T00:00:00"/>
    <d v="2024-12-16T00:00:00"/>
    <s v="C0243"/>
    <x v="24"/>
    <s v="Corporate"/>
    <x v="0"/>
    <x v="11"/>
    <s v="P004"/>
    <x v="7"/>
    <x v="2"/>
    <n v="4"/>
    <n v="8000"/>
    <x v="4"/>
    <n v="28800"/>
    <n v="7327.04"/>
    <x v="1"/>
    <x v="2"/>
    <x v="0"/>
    <x v="1"/>
    <x v="10"/>
    <s v="Dec"/>
    <s v="Q4"/>
    <x v="16"/>
    <n v="2"/>
    <n v="25.44"/>
  </r>
  <r>
    <s v="ORD01039"/>
    <d v="2024-07-27T00:00:00"/>
    <d v="2024-07-30T00:00:00"/>
    <s v="C0082"/>
    <x v="223"/>
    <s v="Corporate"/>
    <x v="0"/>
    <x v="10"/>
    <s v="P006"/>
    <x v="1"/>
    <x v="0"/>
    <n v="1"/>
    <n v="9500"/>
    <x v="0"/>
    <n v="9500"/>
    <n v="1662.44"/>
    <x v="2"/>
    <x v="2"/>
    <x v="1"/>
    <x v="1"/>
    <x v="3"/>
    <s v="Jul"/>
    <s v="Q3"/>
    <x v="4"/>
    <n v="3"/>
    <n v="17.5"/>
  </r>
  <r>
    <s v="ORD01943"/>
    <d v="2025-07-21T00:00:00"/>
    <d v="2025-07-28T00:00:00"/>
    <s v="C0104"/>
    <x v="225"/>
    <s v="Corporate"/>
    <x v="0"/>
    <x v="11"/>
    <s v="P005"/>
    <x v="0"/>
    <x v="0"/>
    <n v="1"/>
    <n v="7000"/>
    <x v="4"/>
    <n v="6300"/>
    <n v="1372.48"/>
    <x v="4"/>
    <x v="1"/>
    <x v="1"/>
    <x v="0"/>
    <x v="3"/>
    <s v="Jul"/>
    <s v="Q3"/>
    <x v="15"/>
    <n v="7"/>
    <n v="21.79"/>
  </r>
  <r>
    <s v="ORD00131"/>
    <d v="2024-04-25T00:00:00"/>
    <d v="2024-04-30T00:00:00"/>
    <s v="C0140"/>
    <x v="140"/>
    <s v="Small Business"/>
    <x v="3"/>
    <x v="7"/>
    <s v="P004"/>
    <x v="7"/>
    <x v="2"/>
    <n v="1"/>
    <n v="8000"/>
    <x v="1"/>
    <n v="6800"/>
    <n v="1502.06"/>
    <x v="5"/>
    <x v="0"/>
    <x v="3"/>
    <x v="1"/>
    <x v="5"/>
    <s v="Apr"/>
    <s v="Q2"/>
    <x v="6"/>
    <n v="5"/>
    <n v="22.09"/>
  </r>
  <r>
    <s v="ORD00028"/>
    <d v="2024-12-07T00:00:00"/>
    <d v="2024-12-11T00:00:00"/>
    <s v="C0011"/>
    <x v="216"/>
    <s v="Corporate"/>
    <x v="2"/>
    <x v="14"/>
    <s v="P001"/>
    <x v="8"/>
    <x v="2"/>
    <n v="1"/>
    <n v="55000"/>
    <x v="4"/>
    <n v="49500"/>
    <n v="6968.35"/>
    <x v="1"/>
    <x v="0"/>
    <x v="2"/>
    <x v="1"/>
    <x v="10"/>
    <s v="Dec"/>
    <s v="Q4"/>
    <x v="16"/>
    <n v="4"/>
    <n v="14.08"/>
  </r>
  <r>
    <s v="ORD01298"/>
    <d v="2024-06-08T00:00:00"/>
    <d v="2024-06-14T00:00:00"/>
    <s v="C0177"/>
    <x v="121"/>
    <s v="Consumer"/>
    <x v="2"/>
    <x v="14"/>
    <s v="P011"/>
    <x v="9"/>
    <x v="4"/>
    <n v="2"/>
    <n v="600"/>
    <x v="4"/>
    <n v="1080"/>
    <n v="338.87"/>
    <x v="0"/>
    <x v="1"/>
    <x v="2"/>
    <x v="1"/>
    <x v="8"/>
    <s v="Jun"/>
    <s v="Q2"/>
    <x v="12"/>
    <n v="6"/>
    <n v="31.38"/>
  </r>
  <r>
    <s v="ORD00697"/>
    <d v="2025-03-30T00:00:00"/>
    <d v="2025-04-03T00:00:00"/>
    <s v="C0095"/>
    <x v="15"/>
    <s v="Consumer"/>
    <x v="2"/>
    <x v="4"/>
    <s v="P011"/>
    <x v="9"/>
    <x v="4"/>
    <n v="3"/>
    <n v="600"/>
    <x v="0"/>
    <n v="1800"/>
    <n v="479.64"/>
    <x v="5"/>
    <x v="1"/>
    <x v="4"/>
    <x v="0"/>
    <x v="0"/>
    <s v="Mar"/>
    <s v="Q1"/>
    <x v="0"/>
    <n v="4"/>
    <n v="26.65"/>
  </r>
  <r>
    <s v="ORD00308"/>
    <d v="2024-04-30T00:00:00"/>
    <d v="2024-05-02T00:00:00"/>
    <s v="C0151"/>
    <x v="198"/>
    <s v="Corporate"/>
    <x v="1"/>
    <x v="1"/>
    <s v="P008"/>
    <x v="11"/>
    <x v="1"/>
    <n v="2"/>
    <n v="250"/>
    <x v="2"/>
    <n v="400"/>
    <n v="152.6"/>
    <x v="0"/>
    <x v="0"/>
    <x v="1"/>
    <x v="1"/>
    <x v="5"/>
    <s v="Apr"/>
    <s v="Q2"/>
    <x v="6"/>
    <n v="2"/>
    <n v="38.15"/>
  </r>
  <r>
    <s v="ORD01797"/>
    <d v="2024-06-20T00:00:00"/>
    <d v="2024-06-26T00:00:00"/>
    <s v="C0144"/>
    <x v="213"/>
    <s v="Small Business"/>
    <x v="1"/>
    <x v="13"/>
    <s v="P005"/>
    <x v="0"/>
    <x v="0"/>
    <n v="1"/>
    <n v="7000"/>
    <x v="1"/>
    <n v="5950"/>
    <n v="1093.22"/>
    <x v="5"/>
    <x v="2"/>
    <x v="4"/>
    <x v="1"/>
    <x v="8"/>
    <s v="Jun"/>
    <s v="Q2"/>
    <x v="12"/>
    <n v="6"/>
    <n v="18.37"/>
  </r>
  <r>
    <s v="ORD01498"/>
    <d v="2024-07-28T00:00:00"/>
    <d v="2024-07-30T00:00:00"/>
    <s v="C0263"/>
    <x v="54"/>
    <s v="Consumer"/>
    <x v="3"/>
    <x v="8"/>
    <s v="P007"/>
    <x v="10"/>
    <x v="0"/>
    <n v="1"/>
    <n v="6000"/>
    <x v="0"/>
    <n v="6000"/>
    <n v="1231.17"/>
    <x v="5"/>
    <x v="0"/>
    <x v="2"/>
    <x v="1"/>
    <x v="3"/>
    <s v="Jul"/>
    <s v="Q3"/>
    <x v="4"/>
    <n v="2"/>
    <n v="20.52"/>
  </r>
  <r>
    <s v="ORD00209"/>
    <d v="2025-09-16T00:00:00"/>
    <d v="2025-09-20T00:00:00"/>
    <s v="C0180"/>
    <x v="89"/>
    <s v="Corporate"/>
    <x v="2"/>
    <x v="9"/>
    <s v="P012"/>
    <x v="4"/>
    <x v="3"/>
    <n v="2"/>
    <n v="3500"/>
    <x v="0"/>
    <n v="7000"/>
    <n v="2120.0700000000002"/>
    <x v="4"/>
    <x v="0"/>
    <x v="1"/>
    <x v="0"/>
    <x v="9"/>
    <s v="Sep"/>
    <s v="Q3"/>
    <x v="11"/>
    <n v="4"/>
    <n v="30.29"/>
  </r>
  <r>
    <s v="ORD00253"/>
    <d v="2024-03-07T00:00:00"/>
    <d v="2024-03-10T00:00:00"/>
    <s v="C0039"/>
    <x v="68"/>
    <s v="Corporate"/>
    <x v="0"/>
    <x v="15"/>
    <s v="P001"/>
    <x v="8"/>
    <x v="2"/>
    <n v="1"/>
    <n v="55000"/>
    <x v="1"/>
    <n v="46750"/>
    <n v="7383.09"/>
    <x v="2"/>
    <x v="1"/>
    <x v="3"/>
    <x v="1"/>
    <x v="0"/>
    <s v="Mar"/>
    <s v="Q1"/>
    <x v="2"/>
    <n v="3"/>
    <n v="15.79"/>
  </r>
  <r>
    <s v="ORD00037"/>
    <d v="2024-11-16T00:00:00"/>
    <d v="2024-11-24T00:00:00"/>
    <s v="C0161"/>
    <x v="62"/>
    <s v="Consumer"/>
    <x v="3"/>
    <x v="12"/>
    <s v="P007"/>
    <x v="10"/>
    <x v="0"/>
    <n v="1"/>
    <n v="6000"/>
    <x v="0"/>
    <n v="6000"/>
    <n v="1403.61"/>
    <x v="2"/>
    <x v="0"/>
    <x v="3"/>
    <x v="1"/>
    <x v="2"/>
    <s v="Nov"/>
    <s v="Q4"/>
    <x v="3"/>
    <n v="8"/>
    <n v="23.39"/>
  </r>
  <r>
    <s v="ORD00402"/>
    <d v="2024-08-07T00:00:00"/>
    <d v="2024-08-08T00:00:00"/>
    <s v="C0083"/>
    <x v="165"/>
    <s v="Corporate"/>
    <x v="0"/>
    <x v="15"/>
    <s v="P002"/>
    <x v="3"/>
    <x v="2"/>
    <n v="2"/>
    <n v="25000"/>
    <x v="2"/>
    <n v="40000"/>
    <n v="5012.25"/>
    <x v="4"/>
    <x v="1"/>
    <x v="3"/>
    <x v="1"/>
    <x v="7"/>
    <s v="Aug"/>
    <s v="Q3"/>
    <x v="9"/>
    <n v="1"/>
    <n v="12.53"/>
  </r>
  <r>
    <s v="ORD01208"/>
    <d v="2024-06-23T00:00:00"/>
    <d v="2024-06-30T00:00:00"/>
    <s v="C0218"/>
    <x v="105"/>
    <s v="Corporate"/>
    <x v="2"/>
    <x v="3"/>
    <s v="P008"/>
    <x v="11"/>
    <x v="1"/>
    <n v="2"/>
    <n v="250"/>
    <x v="4"/>
    <n v="450"/>
    <n v="161.08000000000001"/>
    <x v="0"/>
    <x v="0"/>
    <x v="4"/>
    <x v="1"/>
    <x v="8"/>
    <s v="Jun"/>
    <s v="Q2"/>
    <x v="12"/>
    <n v="7"/>
    <n v="35.799999999999997"/>
  </r>
  <r>
    <s v="ORD00290"/>
    <d v="2025-05-01T00:00:00"/>
    <d v="2025-05-06T00:00:00"/>
    <s v="C0026"/>
    <x v="239"/>
    <s v="Corporate"/>
    <x v="3"/>
    <x v="6"/>
    <s v="P012"/>
    <x v="4"/>
    <x v="3"/>
    <n v="5"/>
    <n v="3500"/>
    <x v="0"/>
    <n v="17500"/>
    <n v="5600"/>
    <x v="3"/>
    <x v="1"/>
    <x v="0"/>
    <x v="0"/>
    <x v="4"/>
    <s v="May"/>
    <s v="Q2"/>
    <x v="5"/>
    <n v="5"/>
    <n v="32"/>
  </r>
  <r>
    <s v="ORD01586"/>
    <d v="2025-03-25T00:00:00"/>
    <d v="2025-04-02T00:00:00"/>
    <s v="C0009"/>
    <x v="233"/>
    <s v="Consumer"/>
    <x v="1"/>
    <x v="5"/>
    <s v="P004"/>
    <x v="7"/>
    <x v="2"/>
    <n v="1"/>
    <n v="8000"/>
    <x v="3"/>
    <n v="7600"/>
    <n v="1684.43"/>
    <x v="3"/>
    <x v="0"/>
    <x v="0"/>
    <x v="0"/>
    <x v="0"/>
    <s v="Mar"/>
    <s v="Q1"/>
    <x v="0"/>
    <n v="8"/>
    <n v="22.16"/>
  </r>
  <r>
    <s v="ORD00035"/>
    <d v="2024-11-28T00:00:00"/>
    <d v="2024-12-05T00:00:00"/>
    <s v="C0281"/>
    <x v="19"/>
    <s v="Consumer"/>
    <x v="3"/>
    <x v="6"/>
    <s v="P012"/>
    <x v="4"/>
    <x v="3"/>
    <n v="2"/>
    <n v="3500"/>
    <x v="0"/>
    <n v="7000"/>
    <n v="1974.53"/>
    <x v="2"/>
    <x v="2"/>
    <x v="3"/>
    <x v="1"/>
    <x v="2"/>
    <s v="Nov"/>
    <s v="Q4"/>
    <x v="3"/>
    <n v="7"/>
    <n v="28.21"/>
  </r>
  <r>
    <s v="ORD01316"/>
    <d v="2025-03-03T00:00:00"/>
    <d v="2025-03-10T00:00:00"/>
    <s v="C0289"/>
    <x v="221"/>
    <s v="Corporate"/>
    <x v="0"/>
    <x v="11"/>
    <s v="P007"/>
    <x v="10"/>
    <x v="0"/>
    <n v="1"/>
    <n v="6000"/>
    <x v="3"/>
    <n v="5700"/>
    <n v="987.86"/>
    <x v="3"/>
    <x v="2"/>
    <x v="2"/>
    <x v="0"/>
    <x v="0"/>
    <s v="Mar"/>
    <s v="Q1"/>
    <x v="0"/>
    <n v="7"/>
    <n v="17.329999999999998"/>
  </r>
  <r>
    <s v="ORD00478"/>
    <d v="2025-08-12T00:00:00"/>
    <d v="2025-08-18T00:00:00"/>
    <s v="C0166"/>
    <x v="288"/>
    <s v="Small Business"/>
    <x v="2"/>
    <x v="9"/>
    <s v="P011"/>
    <x v="9"/>
    <x v="4"/>
    <n v="1"/>
    <n v="600"/>
    <x v="1"/>
    <n v="510"/>
    <n v="167.72"/>
    <x v="3"/>
    <x v="0"/>
    <x v="4"/>
    <x v="0"/>
    <x v="7"/>
    <s v="Aug"/>
    <s v="Q3"/>
    <x v="22"/>
    <n v="6"/>
    <n v="32.89"/>
  </r>
  <r>
    <s v="ORD01283"/>
    <d v="2025-09-05T00:00:00"/>
    <d v="2025-09-11T00:00:00"/>
    <s v="C0258"/>
    <x v="45"/>
    <s v="Small Business"/>
    <x v="0"/>
    <x v="10"/>
    <s v="P002"/>
    <x v="3"/>
    <x v="2"/>
    <n v="2"/>
    <n v="25000"/>
    <x v="3"/>
    <n v="47500"/>
    <n v="7682.14"/>
    <x v="1"/>
    <x v="0"/>
    <x v="2"/>
    <x v="0"/>
    <x v="9"/>
    <s v="Sep"/>
    <s v="Q3"/>
    <x v="11"/>
    <n v="6"/>
    <n v="16.170000000000002"/>
  </r>
  <r>
    <s v="ORD00102"/>
    <d v="2025-10-18T00:00:00"/>
    <d v="2025-10-25T00:00:00"/>
    <s v="C0042"/>
    <x v="117"/>
    <s v="Consumer"/>
    <x v="1"/>
    <x v="13"/>
    <s v="P001"/>
    <x v="8"/>
    <x v="2"/>
    <n v="1"/>
    <n v="55000"/>
    <x v="0"/>
    <n v="55000"/>
    <n v="9967.16"/>
    <x v="1"/>
    <x v="2"/>
    <x v="3"/>
    <x v="0"/>
    <x v="1"/>
    <s v="Oct"/>
    <s v="Q4"/>
    <x v="14"/>
    <n v="7"/>
    <n v="18.12"/>
  </r>
  <r>
    <s v="ORD00949"/>
    <d v="2024-04-22T00:00:00"/>
    <d v="2024-04-25T00:00:00"/>
    <s v="C0200"/>
    <x v="245"/>
    <s v="Consumer"/>
    <x v="2"/>
    <x v="14"/>
    <s v="P003"/>
    <x v="5"/>
    <x v="2"/>
    <n v="5"/>
    <n v="3000"/>
    <x v="2"/>
    <n v="12000"/>
    <n v="2550.46"/>
    <x v="3"/>
    <x v="2"/>
    <x v="3"/>
    <x v="1"/>
    <x v="5"/>
    <s v="Apr"/>
    <s v="Q2"/>
    <x v="6"/>
    <n v="3"/>
    <n v="21.25"/>
  </r>
  <r>
    <s v="ORD01310"/>
    <d v="2024-01-07T00:00:00"/>
    <d v="2024-01-10T00:00:00"/>
    <s v="C0094"/>
    <x v="76"/>
    <s v="Corporate"/>
    <x v="3"/>
    <x v="8"/>
    <s v="P008"/>
    <x v="11"/>
    <x v="1"/>
    <n v="1"/>
    <n v="250"/>
    <x v="4"/>
    <n v="225"/>
    <n v="79.94"/>
    <x v="4"/>
    <x v="0"/>
    <x v="0"/>
    <x v="1"/>
    <x v="11"/>
    <s v="Jan"/>
    <s v="Q1"/>
    <x v="21"/>
    <n v="3"/>
    <n v="35.53"/>
  </r>
  <r>
    <s v="ORD00716"/>
    <d v="2025-06-04T00:00:00"/>
    <d v="2025-06-08T00:00:00"/>
    <s v="C0093"/>
    <x v="127"/>
    <s v="Consumer"/>
    <x v="0"/>
    <x v="11"/>
    <s v="P003"/>
    <x v="5"/>
    <x v="2"/>
    <n v="4"/>
    <n v="3000"/>
    <x v="4"/>
    <n v="10800"/>
    <n v="3422.6"/>
    <x v="1"/>
    <x v="0"/>
    <x v="1"/>
    <x v="0"/>
    <x v="8"/>
    <s v="Jun"/>
    <s v="Q2"/>
    <x v="10"/>
    <n v="4"/>
    <n v="31.69"/>
  </r>
  <r>
    <s v="ORD01007"/>
    <d v="2024-08-25T00:00:00"/>
    <d v="2024-08-28T00:00:00"/>
    <s v="C0048"/>
    <x v="124"/>
    <s v="Small Business"/>
    <x v="2"/>
    <x v="3"/>
    <s v="P012"/>
    <x v="4"/>
    <x v="3"/>
    <n v="4"/>
    <n v="3500"/>
    <x v="2"/>
    <n v="11200"/>
    <n v="3485.74"/>
    <x v="5"/>
    <x v="0"/>
    <x v="1"/>
    <x v="1"/>
    <x v="7"/>
    <s v="Aug"/>
    <s v="Q3"/>
    <x v="9"/>
    <n v="3"/>
    <n v="31.12"/>
  </r>
  <r>
    <s v="ORD01821"/>
    <d v="2025-12-25T00:00:00"/>
    <d v="2025-12-29T00:00:00"/>
    <s v="C0110"/>
    <x v="204"/>
    <s v="Small Business"/>
    <x v="0"/>
    <x v="0"/>
    <s v="P008"/>
    <x v="11"/>
    <x v="1"/>
    <n v="1"/>
    <n v="250"/>
    <x v="4"/>
    <n v="225"/>
    <n v="97.24"/>
    <x v="4"/>
    <x v="0"/>
    <x v="3"/>
    <x v="0"/>
    <x v="10"/>
    <s v="Dec"/>
    <s v="Q4"/>
    <x v="19"/>
    <n v="4"/>
    <n v="43.22"/>
  </r>
  <r>
    <s v="ORD01711"/>
    <d v="2024-10-23T00:00:00"/>
    <d v="2024-10-27T00:00:00"/>
    <s v="C0175"/>
    <x v="271"/>
    <s v="Consumer"/>
    <x v="0"/>
    <x v="10"/>
    <s v="P001"/>
    <x v="8"/>
    <x v="2"/>
    <n v="1"/>
    <n v="55000"/>
    <x v="2"/>
    <n v="44000"/>
    <n v="6467.08"/>
    <x v="4"/>
    <x v="0"/>
    <x v="4"/>
    <x v="1"/>
    <x v="1"/>
    <s v="Oct"/>
    <s v="Q4"/>
    <x v="1"/>
    <n v="4"/>
    <n v="14.7"/>
  </r>
  <r>
    <s v="ORD01150"/>
    <d v="2025-08-05T00:00:00"/>
    <d v="2025-08-08T00:00:00"/>
    <s v="C0064"/>
    <x v="5"/>
    <s v="Corporate"/>
    <x v="0"/>
    <x v="0"/>
    <s v="P005"/>
    <x v="0"/>
    <x v="0"/>
    <n v="3"/>
    <n v="7000"/>
    <x v="2"/>
    <n v="16800"/>
    <n v="2978.26"/>
    <x v="0"/>
    <x v="1"/>
    <x v="3"/>
    <x v="0"/>
    <x v="7"/>
    <s v="Aug"/>
    <s v="Q3"/>
    <x v="22"/>
    <n v="3"/>
    <n v="17.73"/>
  </r>
  <r>
    <s v="ORD00916"/>
    <d v="2025-05-10T00:00:00"/>
    <d v="2025-05-13T00:00:00"/>
    <s v="C0093"/>
    <x v="127"/>
    <s v="Consumer"/>
    <x v="0"/>
    <x v="11"/>
    <s v="P007"/>
    <x v="10"/>
    <x v="0"/>
    <n v="10"/>
    <n v="6000"/>
    <x v="1"/>
    <n v="51000"/>
    <n v="10691.18"/>
    <x v="2"/>
    <x v="1"/>
    <x v="3"/>
    <x v="0"/>
    <x v="4"/>
    <s v="May"/>
    <s v="Q2"/>
    <x v="5"/>
    <n v="3"/>
    <n v="20.96"/>
  </r>
  <r>
    <s v="ORD01071"/>
    <d v="2024-04-18T00:00:00"/>
    <d v="2024-04-25T00:00:00"/>
    <s v="C0079"/>
    <x v="267"/>
    <s v="Consumer"/>
    <x v="0"/>
    <x v="0"/>
    <s v="P009"/>
    <x v="2"/>
    <x v="1"/>
    <n v="5"/>
    <n v="180"/>
    <x v="0"/>
    <n v="900"/>
    <n v="432"/>
    <x v="0"/>
    <x v="2"/>
    <x v="1"/>
    <x v="1"/>
    <x v="5"/>
    <s v="Apr"/>
    <s v="Q2"/>
    <x v="6"/>
    <n v="7"/>
    <n v="48"/>
  </r>
  <r>
    <s v="ORD00371"/>
    <d v="2024-07-07T00:00:00"/>
    <d v="2024-07-09T00:00:00"/>
    <s v="C0073"/>
    <x v="147"/>
    <s v="Consumer"/>
    <x v="3"/>
    <x v="8"/>
    <s v="P003"/>
    <x v="5"/>
    <x v="2"/>
    <n v="1"/>
    <n v="3000"/>
    <x v="2"/>
    <n v="2400"/>
    <n v="576.79"/>
    <x v="4"/>
    <x v="2"/>
    <x v="1"/>
    <x v="1"/>
    <x v="3"/>
    <s v="Jul"/>
    <s v="Q3"/>
    <x v="4"/>
    <n v="2"/>
    <n v="24.03"/>
  </r>
  <r>
    <s v="ORD01308"/>
    <d v="2024-09-14T00:00:00"/>
    <d v="2024-09-17T00:00:00"/>
    <s v="C0234"/>
    <x v="113"/>
    <s v="Corporate"/>
    <x v="3"/>
    <x v="8"/>
    <s v="P001"/>
    <x v="8"/>
    <x v="2"/>
    <n v="3"/>
    <n v="55000"/>
    <x v="4"/>
    <n v="148500"/>
    <n v="21605.79"/>
    <x v="3"/>
    <x v="2"/>
    <x v="0"/>
    <x v="1"/>
    <x v="9"/>
    <s v="Sep"/>
    <s v="Q3"/>
    <x v="20"/>
    <n v="3"/>
    <n v="14.55"/>
  </r>
  <r>
    <s v="ORD01442"/>
    <d v="2024-12-31T00:00:00"/>
    <d v="2025-01-02T00:00:00"/>
    <s v="C0047"/>
    <x v="215"/>
    <s v="Corporate"/>
    <x v="2"/>
    <x v="14"/>
    <s v="P006"/>
    <x v="1"/>
    <x v="0"/>
    <n v="1"/>
    <n v="9500"/>
    <x v="0"/>
    <n v="9500"/>
    <n v="1563.75"/>
    <x v="3"/>
    <x v="2"/>
    <x v="4"/>
    <x v="1"/>
    <x v="10"/>
    <s v="Dec"/>
    <s v="Q4"/>
    <x v="16"/>
    <n v="2"/>
    <n v="16.46"/>
  </r>
  <r>
    <s v="ORD01218"/>
    <d v="2024-04-03T00:00:00"/>
    <d v="2024-04-06T00:00:00"/>
    <s v="C0119"/>
    <x v="238"/>
    <s v="Consumer"/>
    <x v="0"/>
    <x v="2"/>
    <s v="P004"/>
    <x v="7"/>
    <x v="2"/>
    <n v="5"/>
    <n v="8000"/>
    <x v="4"/>
    <n v="36000"/>
    <n v="6827.37"/>
    <x v="0"/>
    <x v="0"/>
    <x v="4"/>
    <x v="1"/>
    <x v="5"/>
    <s v="Apr"/>
    <s v="Q2"/>
    <x v="6"/>
    <n v="3"/>
    <n v="18.96"/>
  </r>
  <r>
    <s v="ORD00553"/>
    <d v="2025-06-05T00:00:00"/>
    <d v="2025-06-11T00:00:00"/>
    <s v="C0093"/>
    <x v="127"/>
    <s v="Consumer"/>
    <x v="0"/>
    <x v="11"/>
    <s v="P008"/>
    <x v="11"/>
    <x v="1"/>
    <n v="2"/>
    <n v="250"/>
    <x v="2"/>
    <n v="400"/>
    <n v="140.80000000000001"/>
    <x v="4"/>
    <x v="0"/>
    <x v="0"/>
    <x v="0"/>
    <x v="8"/>
    <s v="Jun"/>
    <s v="Q2"/>
    <x v="10"/>
    <n v="6"/>
    <n v="35.200000000000003"/>
  </r>
  <r>
    <s v="ORD00537"/>
    <d v="2024-11-13T00:00:00"/>
    <d v="2024-11-17T00:00:00"/>
    <s v="C0050"/>
    <x v="35"/>
    <s v="Corporate"/>
    <x v="0"/>
    <x v="2"/>
    <s v="P008"/>
    <x v="11"/>
    <x v="1"/>
    <n v="3"/>
    <n v="250"/>
    <x v="3"/>
    <n v="712.5"/>
    <n v="253.14"/>
    <x v="4"/>
    <x v="2"/>
    <x v="4"/>
    <x v="1"/>
    <x v="2"/>
    <s v="Nov"/>
    <s v="Q4"/>
    <x v="3"/>
    <n v="4"/>
    <n v="35.53"/>
  </r>
  <r>
    <s v="ORD01958"/>
    <d v="2024-05-19T00:00:00"/>
    <d v="2024-05-25T00:00:00"/>
    <s v="C0124"/>
    <x v="10"/>
    <s v="Small Business"/>
    <x v="1"/>
    <x v="1"/>
    <s v="P002"/>
    <x v="3"/>
    <x v="2"/>
    <n v="10"/>
    <n v="25000"/>
    <x v="0"/>
    <n v="250000"/>
    <n v="32092.29"/>
    <x v="2"/>
    <x v="1"/>
    <x v="3"/>
    <x v="1"/>
    <x v="4"/>
    <s v="May"/>
    <s v="Q2"/>
    <x v="8"/>
    <n v="6"/>
    <n v="12.84"/>
  </r>
  <r>
    <s v="ORD01472"/>
    <d v="2024-03-02T00:00:00"/>
    <d v="2024-03-08T00:00:00"/>
    <s v="C0250"/>
    <x v="43"/>
    <s v="Small Business"/>
    <x v="0"/>
    <x v="11"/>
    <s v="P011"/>
    <x v="9"/>
    <x v="4"/>
    <n v="1"/>
    <n v="600"/>
    <x v="0"/>
    <n v="600"/>
    <n v="165.7"/>
    <x v="5"/>
    <x v="1"/>
    <x v="1"/>
    <x v="1"/>
    <x v="0"/>
    <s v="Mar"/>
    <s v="Q1"/>
    <x v="2"/>
    <n v="6"/>
    <n v="27.62"/>
  </r>
  <r>
    <s v="ORD00009"/>
    <d v="2025-09-24T00:00:00"/>
    <d v="2025-09-29T00:00:00"/>
    <s v="C0278"/>
    <x v="51"/>
    <s v="Small Business"/>
    <x v="0"/>
    <x v="2"/>
    <s v="P001"/>
    <x v="8"/>
    <x v="2"/>
    <n v="1"/>
    <n v="55000"/>
    <x v="1"/>
    <n v="46750"/>
    <n v="8194.19"/>
    <x v="6"/>
    <x v="2"/>
    <x v="3"/>
    <x v="0"/>
    <x v="9"/>
    <s v="Sep"/>
    <s v="Q3"/>
    <x v="11"/>
    <n v="5"/>
    <n v="17.53"/>
  </r>
  <r>
    <s v="ORD00090"/>
    <d v="2025-01-10T00:00:00"/>
    <d v="2025-01-13T00:00:00"/>
    <s v="C0121"/>
    <x v="207"/>
    <s v="Consumer"/>
    <x v="3"/>
    <x v="12"/>
    <s v="P011"/>
    <x v="9"/>
    <x v="4"/>
    <n v="1"/>
    <n v="600"/>
    <x v="4"/>
    <n v="540"/>
    <n v="146.30000000000001"/>
    <x v="5"/>
    <x v="1"/>
    <x v="4"/>
    <x v="0"/>
    <x v="11"/>
    <s v="Jan"/>
    <s v="Q1"/>
    <x v="17"/>
    <n v="3"/>
    <n v="27.09"/>
  </r>
  <r>
    <s v="ORD01585"/>
    <d v="2025-08-27T00:00:00"/>
    <d v="2025-09-01T00:00:00"/>
    <s v="C0076"/>
    <x v="224"/>
    <s v="Corporate"/>
    <x v="2"/>
    <x v="4"/>
    <s v="P008"/>
    <x v="11"/>
    <x v="1"/>
    <n v="3"/>
    <n v="250"/>
    <x v="1"/>
    <n v="637.5"/>
    <n v="192.76"/>
    <x v="0"/>
    <x v="0"/>
    <x v="2"/>
    <x v="0"/>
    <x v="7"/>
    <s v="Aug"/>
    <s v="Q3"/>
    <x v="22"/>
    <n v="5"/>
    <n v="30.24"/>
  </r>
  <r>
    <s v="ORD00740"/>
    <d v="2025-12-15T00:00:00"/>
    <d v="2025-12-21T00:00:00"/>
    <s v="C0178"/>
    <x v="174"/>
    <s v="Corporate"/>
    <x v="3"/>
    <x v="6"/>
    <s v="P008"/>
    <x v="11"/>
    <x v="1"/>
    <n v="1"/>
    <n v="250"/>
    <x v="1"/>
    <n v="212.5"/>
    <n v="66.03"/>
    <x v="0"/>
    <x v="0"/>
    <x v="1"/>
    <x v="0"/>
    <x v="10"/>
    <s v="Dec"/>
    <s v="Q4"/>
    <x v="19"/>
    <n v="6"/>
    <n v="31.07"/>
  </r>
  <r>
    <s v="ORD01335"/>
    <d v="2025-04-02T00:00:00"/>
    <d v="2025-04-09T00:00:00"/>
    <s v="C0195"/>
    <x v="220"/>
    <s v="Corporate"/>
    <x v="1"/>
    <x v="5"/>
    <s v="P001"/>
    <x v="8"/>
    <x v="2"/>
    <n v="2"/>
    <n v="55000"/>
    <x v="0"/>
    <n v="110000"/>
    <n v="15488.61"/>
    <x v="1"/>
    <x v="0"/>
    <x v="3"/>
    <x v="0"/>
    <x v="5"/>
    <s v="Apr"/>
    <s v="Q2"/>
    <x v="13"/>
    <n v="7"/>
    <n v="14.08"/>
  </r>
  <r>
    <s v="ORD01788"/>
    <d v="2024-08-17T00:00:00"/>
    <d v="2024-08-19T00:00:00"/>
    <s v="C0148"/>
    <x v="57"/>
    <s v="Corporate"/>
    <x v="2"/>
    <x v="4"/>
    <s v="P005"/>
    <x v="0"/>
    <x v="0"/>
    <n v="1"/>
    <n v="7000"/>
    <x v="0"/>
    <n v="7000"/>
    <n v="1464.93"/>
    <x v="5"/>
    <x v="2"/>
    <x v="1"/>
    <x v="1"/>
    <x v="7"/>
    <s v="Aug"/>
    <s v="Q3"/>
    <x v="9"/>
    <n v="2"/>
    <n v="20.93"/>
  </r>
  <r>
    <s v="ORD00115"/>
    <d v="2025-06-05T00:00:00"/>
    <d v="2025-06-13T00:00:00"/>
    <s v="C0173"/>
    <x v="184"/>
    <s v="Corporate"/>
    <x v="1"/>
    <x v="16"/>
    <s v="P009"/>
    <x v="2"/>
    <x v="1"/>
    <n v="2"/>
    <n v="180"/>
    <x v="1"/>
    <n v="306"/>
    <n v="127.4"/>
    <x v="2"/>
    <x v="1"/>
    <x v="4"/>
    <x v="0"/>
    <x v="8"/>
    <s v="Jun"/>
    <s v="Q2"/>
    <x v="10"/>
    <n v="8"/>
    <n v="41.63"/>
  </r>
  <r>
    <s v="ORD00081"/>
    <d v="2024-12-06T00:00:00"/>
    <d v="2024-12-09T00:00:00"/>
    <s v="C0298"/>
    <x v="182"/>
    <s v="Consumer"/>
    <x v="0"/>
    <x v="10"/>
    <s v="P012"/>
    <x v="4"/>
    <x v="3"/>
    <n v="1"/>
    <n v="3500"/>
    <x v="0"/>
    <n v="3500"/>
    <n v="1148.45"/>
    <x v="5"/>
    <x v="1"/>
    <x v="3"/>
    <x v="1"/>
    <x v="10"/>
    <s v="Dec"/>
    <s v="Q4"/>
    <x v="16"/>
    <n v="3"/>
    <n v="32.81"/>
  </r>
  <r>
    <s v="ORD00878"/>
    <d v="2025-11-12T00:00:00"/>
    <d v="2025-11-15T00:00:00"/>
    <s v="C0015"/>
    <x v="11"/>
    <s v="Corporate"/>
    <x v="3"/>
    <x v="7"/>
    <s v="P012"/>
    <x v="4"/>
    <x v="3"/>
    <n v="1"/>
    <n v="3500"/>
    <x v="3"/>
    <n v="3325"/>
    <n v="1146.68"/>
    <x v="3"/>
    <x v="0"/>
    <x v="1"/>
    <x v="0"/>
    <x v="2"/>
    <s v="Nov"/>
    <s v="Q4"/>
    <x v="23"/>
    <n v="3"/>
    <n v="34.49"/>
  </r>
  <r>
    <s v="ORD01077"/>
    <d v="2024-04-21T00:00:00"/>
    <d v="2024-04-23T00:00:00"/>
    <s v="C0266"/>
    <x v="201"/>
    <s v="Small Business"/>
    <x v="2"/>
    <x v="4"/>
    <s v="P007"/>
    <x v="10"/>
    <x v="0"/>
    <n v="3"/>
    <n v="6000"/>
    <x v="1"/>
    <n v="15300"/>
    <n v="2936.05"/>
    <x v="4"/>
    <x v="0"/>
    <x v="3"/>
    <x v="1"/>
    <x v="5"/>
    <s v="Apr"/>
    <s v="Q2"/>
    <x v="6"/>
    <n v="2"/>
    <n v="19.190000000000001"/>
  </r>
  <r>
    <s v="ORD01724"/>
    <d v="2024-02-13T00:00:00"/>
    <d v="2024-02-19T00:00:00"/>
    <s v="C0209"/>
    <x v="79"/>
    <s v="Small Business"/>
    <x v="1"/>
    <x v="5"/>
    <s v="P012"/>
    <x v="4"/>
    <x v="3"/>
    <n v="4"/>
    <n v="3500"/>
    <x v="1"/>
    <n v="11900"/>
    <n v="2697.97"/>
    <x v="4"/>
    <x v="1"/>
    <x v="0"/>
    <x v="1"/>
    <x v="6"/>
    <s v="Feb"/>
    <s v="Q1"/>
    <x v="18"/>
    <n v="6"/>
    <n v="22.67"/>
  </r>
  <r>
    <s v="ORD00234"/>
    <d v="2024-04-30T00:00:00"/>
    <d v="2024-05-07T00:00:00"/>
    <s v="C0138"/>
    <x v="38"/>
    <s v="Small Business"/>
    <x v="0"/>
    <x v="15"/>
    <s v="P012"/>
    <x v="4"/>
    <x v="3"/>
    <n v="3"/>
    <n v="3500"/>
    <x v="0"/>
    <n v="10500"/>
    <n v="2802.25"/>
    <x v="3"/>
    <x v="1"/>
    <x v="3"/>
    <x v="1"/>
    <x v="5"/>
    <s v="Apr"/>
    <s v="Q2"/>
    <x v="6"/>
    <n v="7"/>
    <n v="26.69"/>
  </r>
  <r>
    <s v="ORD01328"/>
    <d v="2025-10-27T00:00:00"/>
    <d v="2025-11-01T00:00:00"/>
    <s v="C0240"/>
    <x v="170"/>
    <s v="Corporate"/>
    <x v="1"/>
    <x v="16"/>
    <s v="P010"/>
    <x v="6"/>
    <x v="4"/>
    <n v="3"/>
    <n v="1800"/>
    <x v="2"/>
    <n v="4320"/>
    <n v="1472.05"/>
    <x v="0"/>
    <x v="1"/>
    <x v="2"/>
    <x v="0"/>
    <x v="1"/>
    <s v="Oct"/>
    <s v="Q4"/>
    <x v="14"/>
    <n v="5"/>
    <n v="34.08"/>
  </r>
  <r>
    <s v="ORD00165"/>
    <d v="2025-07-18T00:00:00"/>
    <d v="2025-07-23T00:00:00"/>
    <s v="C0004"/>
    <x v="119"/>
    <s v="Corporate"/>
    <x v="0"/>
    <x v="11"/>
    <s v="P009"/>
    <x v="2"/>
    <x v="1"/>
    <n v="2"/>
    <n v="180"/>
    <x v="0"/>
    <n v="360"/>
    <n v="147.71"/>
    <x v="1"/>
    <x v="1"/>
    <x v="3"/>
    <x v="0"/>
    <x v="3"/>
    <s v="Jul"/>
    <s v="Q3"/>
    <x v="15"/>
    <n v="5"/>
    <n v="41.03"/>
  </r>
  <r>
    <s v="ORD00904"/>
    <d v="2025-11-12T00:00:00"/>
    <d v="2025-11-17T00:00:00"/>
    <s v="C0146"/>
    <x v="199"/>
    <s v="Consumer"/>
    <x v="1"/>
    <x v="16"/>
    <s v="P003"/>
    <x v="5"/>
    <x v="2"/>
    <n v="4"/>
    <n v="3000"/>
    <x v="0"/>
    <n v="12000"/>
    <n v="3382.39"/>
    <x v="1"/>
    <x v="2"/>
    <x v="3"/>
    <x v="0"/>
    <x v="2"/>
    <s v="Nov"/>
    <s v="Q4"/>
    <x v="23"/>
    <n v="5"/>
    <n v="28.19"/>
  </r>
  <r>
    <s v="ORD01092"/>
    <d v="2025-09-30T00:00:00"/>
    <d v="2025-10-05T00:00:00"/>
    <s v="C0268"/>
    <x v="236"/>
    <s v="Corporate"/>
    <x v="2"/>
    <x v="14"/>
    <s v="P005"/>
    <x v="0"/>
    <x v="0"/>
    <n v="2"/>
    <n v="7000"/>
    <x v="0"/>
    <n v="14000"/>
    <n v="2530.09"/>
    <x v="2"/>
    <x v="1"/>
    <x v="3"/>
    <x v="0"/>
    <x v="9"/>
    <s v="Sep"/>
    <s v="Q3"/>
    <x v="11"/>
    <n v="5"/>
    <n v="18.07"/>
  </r>
  <r>
    <s v="ORD01095"/>
    <d v="2024-10-04T00:00:00"/>
    <d v="2024-10-06T00:00:00"/>
    <s v="C0080"/>
    <x v="173"/>
    <s v="Corporate"/>
    <x v="2"/>
    <x v="9"/>
    <s v="P002"/>
    <x v="3"/>
    <x v="2"/>
    <n v="3"/>
    <n v="25000"/>
    <x v="3"/>
    <n v="71250"/>
    <n v="9983.09"/>
    <x v="3"/>
    <x v="0"/>
    <x v="3"/>
    <x v="1"/>
    <x v="1"/>
    <s v="Oct"/>
    <s v="Q4"/>
    <x v="1"/>
    <n v="2"/>
    <n v="14.01"/>
  </r>
  <r>
    <s v="ORD00191"/>
    <d v="2025-08-25T00:00:00"/>
    <m/>
    <s v="C0238"/>
    <x v="88"/>
    <s v="Small Business"/>
    <x v="3"/>
    <x v="8"/>
    <s v="P011"/>
    <x v="9"/>
    <x v="4"/>
    <n v="3"/>
    <n v="600"/>
    <x v="0"/>
    <n v="1800"/>
    <n v="573.17999999999995"/>
    <x v="0"/>
    <x v="0"/>
    <x v="4"/>
    <x v="0"/>
    <x v="7"/>
    <s v="Aug"/>
    <s v="Q3"/>
    <x v="22"/>
    <s v=""/>
    <n v="31.84"/>
  </r>
  <r>
    <s v="ORD01642"/>
    <d v="2024-12-14T00:00:00"/>
    <d v="2024-12-22T00:00:00"/>
    <s v="C0079"/>
    <x v="267"/>
    <s v="Consumer"/>
    <x v="0"/>
    <x v="0"/>
    <s v="P005"/>
    <x v="0"/>
    <x v="0"/>
    <n v="10"/>
    <n v="7000"/>
    <x v="4"/>
    <n v="63000"/>
    <n v="11718.83"/>
    <x v="3"/>
    <x v="2"/>
    <x v="4"/>
    <x v="1"/>
    <x v="10"/>
    <s v="Dec"/>
    <s v="Q4"/>
    <x v="16"/>
    <n v="8"/>
    <n v="18.600000000000001"/>
  </r>
  <r>
    <s v="ORD00719"/>
    <d v="2025-10-05T00:00:00"/>
    <d v="2025-10-06T00:00:00"/>
    <s v="C0246"/>
    <x v="8"/>
    <s v="Corporate"/>
    <x v="3"/>
    <x v="6"/>
    <s v="P008"/>
    <x v="11"/>
    <x v="1"/>
    <n v="2"/>
    <n v="250"/>
    <x v="0"/>
    <n v="500"/>
    <n v="166.35"/>
    <x v="5"/>
    <x v="2"/>
    <x v="0"/>
    <x v="0"/>
    <x v="1"/>
    <s v="Oct"/>
    <s v="Q4"/>
    <x v="14"/>
    <n v="1"/>
    <n v="33.270000000000003"/>
  </r>
  <r>
    <s v="ORD00812"/>
    <d v="2024-12-15T00:00:00"/>
    <d v="2024-12-21T00:00:00"/>
    <s v="C0104"/>
    <x v="225"/>
    <s v="Corporate"/>
    <x v="0"/>
    <x v="11"/>
    <s v="P002"/>
    <x v="3"/>
    <x v="2"/>
    <n v="2"/>
    <n v="25000"/>
    <x v="1"/>
    <n v="42500"/>
    <n v="6966.4"/>
    <x v="1"/>
    <x v="2"/>
    <x v="4"/>
    <x v="1"/>
    <x v="10"/>
    <s v="Dec"/>
    <s v="Q4"/>
    <x v="16"/>
    <n v="6"/>
    <n v="16.39"/>
  </r>
  <r>
    <s v="ORD01777"/>
    <d v="2025-06-28T00:00:00"/>
    <d v="2025-07-05T00:00:00"/>
    <s v="C0254"/>
    <x v="287"/>
    <s v="Corporate"/>
    <x v="2"/>
    <x v="9"/>
    <s v="P010"/>
    <x v="6"/>
    <x v="4"/>
    <n v="2"/>
    <n v="1800"/>
    <x v="4"/>
    <n v="3240"/>
    <n v="861.8"/>
    <x v="1"/>
    <x v="1"/>
    <x v="2"/>
    <x v="0"/>
    <x v="8"/>
    <s v="Jun"/>
    <s v="Q2"/>
    <x v="10"/>
    <n v="7"/>
    <n v="26.6"/>
  </r>
  <r>
    <s v="ORD00722"/>
    <d v="2025-02-16T00:00:00"/>
    <d v="2025-02-19T00:00:00"/>
    <s v="C0084"/>
    <x v="95"/>
    <s v="Corporate"/>
    <x v="3"/>
    <x v="8"/>
    <s v="P007"/>
    <x v="10"/>
    <x v="0"/>
    <n v="1"/>
    <n v="6000"/>
    <x v="2"/>
    <n v="4800"/>
    <n v="1246.2"/>
    <x v="2"/>
    <x v="1"/>
    <x v="0"/>
    <x v="0"/>
    <x v="6"/>
    <s v="Feb"/>
    <s v="Q1"/>
    <x v="7"/>
    <n v="3"/>
    <n v="25.96"/>
  </r>
  <r>
    <s v="ORD01209"/>
    <d v="2024-10-28T00:00:00"/>
    <d v="2024-11-03T00:00:00"/>
    <s v="C0061"/>
    <x v="85"/>
    <s v="Small Business"/>
    <x v="0"/>
    <x v="11"/>
    <s v="P007"/>
    <x v="10"/>
    <x v="0"/>
    <n v="4"/>
    <n v="6000"/>
    <x v="0"/>
    <n v="24000"/>
    <n v="5235.79"/>
    <x v="1"/>
    <x v="2"/>
    <x v="2"/>
    <x v="1"/>
    <x v="1"/>
    <s v="Oct"/>
    <s v="Q4"/>
    <x v="1"/>
    <n v="6"/>
    <n v="21.82"/>
  </r>
  <r>
    <s v="ORD00285"/>
    <d v="2024-03-21T00:00:00"/>
    <d v="2024-03-24T00:00:00"/>
    <s v="C0022"/>
    <x v="167"/>
    <s v="Corporate"/>
    <x v="1"/>
    <x v="16"/>
    <s v="P007"/>
    <x v="10"/>
    <x v="0"/>
    <n v="10"/>
    <n v="6000"/>
    <x v="3"/>
    <n v="57000"/>
    <n v="10680.9"/>
    <x v="1"/>
    <x v="1"/>
    <x v="2"/>
    <x v="1"/>
    <x v="0"/>
    <s v="Mar"/>
    <s v="Q1"/>
    <x v="2"/>
    <n v="3"/>
    <n v="18.739999999999998"/>
  </r>
  <r>
    <s v="ORD01686"/>
    <d v="2025-07-10T00:00:00"/>
    <d v="2025-07-12T00:00:00"/>
    <s v="C0261"/>
    <x v="180"/>
    <s v="Consumer"/>
    <x v="2"/>
    <x v="3"/>
    <s v="P010"/>
    <x v="6"/>
    <x v="4"/>
    <n v="4"/>
    <n v="1800"/>
    <x v="0"/>
    <n v="7200"/>
    <n v="2307.31"/>
    <x v="3"/>
    <x v="2"/>
    <x v="1"/>
    <x v="0"/>
    <x v="3"/>
    <s v="Jul"/>
    <s v="Q3"/>
    <x v="15"/>
    <n v="2"/>
    <n v="32.049999999999997"/>
  </r>
  <r>
    <s v="ORD00144"/>
    <d v="2024-03-23T00:00:00"/>
    <d v="2024-03-26T00:00:00"/>
    <s v="C0194"/>
    <x v="139"/>
    <s v="Corporate"/>
    <x v="3"/>
    <x v="8"/>
    <s v="P007"/>
    <x v="10"/>
    <x v="0"/>
    <n v="3"/>
    <n v="6000"/>
    <x v="1"/>
    <n v="15300"/>
    <n v="3854.94"/>
    <x v="5"/>
    <x v="1"/>
    <x v="3"/>
    <x v="1"/>
    <x v="0"/>
    <s v="Mar"/>
    <s v="Q1"/>
    <x v="2"/>
    <n v="3"/>
    <n v="25.2"/>
  </r>
  <r>
    <s v="ORD01171"/>
    <d v="2025-12-17T00:00:00"/>
    <m/>
    <s v="C0149"/>
    <x v="114"/>
    <s v="Corporate"/>
    <x v="0"/>
    <x v="2"/>
    <s v="P008"/>
    <x v="11"/>
    <x v="1"/>
    <n v="1"/>
    <n v="250"/>
    <x v="2"/>
    <n v="200"/>
    <n v="74.87"/>
    <x v="4"/>
    <x v="0"/>
    <x v="1"/>
    <x v="0"/>
    <x v="10"/>
    <s v="Dec"/>
    <s v="Q4"/>
    <x v="19"/>
    <s v=""/>
    <n v="37.44"/>
  </r>
  <r>
    <s v="ORD00386"/>
    <d v="2024-05-22T00:00:00"/>
    <d v="2024-05-27T00:00:00"/>
    <s v="C0004"/>
    <x v="119"/>
    <s v="Corporate"/>
    <x v="0"/>
    <x v="11"/>
    <s v="P009"/>
    <x v="2"/>
    <x v="1"/>
    <n v="2"/>
    <n v="180"/>
    <x v="0"/>
    <n v="360"/>
    <n v="118.4"/>
    <x v="4"/>
    <x v="0"/>
    <x v="2"/>
    <x v="1"/>
    <x v="4"/>
    <s v="May"/>
    <s v="Q2"/>
    <x v="8"/>
    <n v="5"/>
    <n v="32.89"/>
  </r>
  <r>
    <s v="ORD01194"/>
    <d v="2024-06-14T00:00:00"/>
    <m/>
    <s v="C0118"/>
    <x v="227"/>
    <s v="Corporate"/>
    <x v="0"/>
    <x v="2"/>
    <s v="P005"/>
    <x v="0"/>
    <x v="0"/>
    <n v="5"/>
    <n v="7000"/>
    <x v="0"/>
    <n v="35000"/>
    <n v="6663.26"/>
    <x v="2"/>
    <x v="0"/>
    <x v="3"/>
    <x v="1"/>
    <x v="8"/>
    <s v="Jun"/>
    <s v="Q2"/>
    <x v="12"/>
    <s v=""/>
    <n v="19.04"/>
  </r>
  <r>
    <s v="ORD01130"/>
    <d v="2025-07-31T00:00:00"/>
    <d v="2025-08-01T00:00:00"/>
    <s v="C0253"/>
    <x v="200"/>
    <s v="Corporate"/>
    <x v="0"/>
    <x v="11"/>
    <s v="P002"/>
    <x v="3"/>
    <x v="2"/>
    <n v="5"/>
    <n v="25000"/>
    <x v="1"/>
    <n v="106250"/>
    <n v="16479.400000000001"/>
    <x v="3"/>
    <x v="0"/>
    <x v="0"/>
    <x v="0"/>
    <x v="3"/>
    <s v="Jul"/>
    <s v="Q3"/>
    <x v="15"/>
    <n v="1"/>
    <n v="15.51"/>
  </r>
  <r>
    <s v="ORD00989"/>
    <d v="2025-06-30T00:00:00"/>
    <d v="2025-07-07T00:00:00"/>
    <s v="C0255"/>
    <x v="142"/>
    <s v="Small Business"/>
    <x v="3"/>
    <x v="8"/>
    <s v="P009"/>
    <x v="2"/>
    <x v="1"/>
    <n v="2"/>
    <n v="180"/>
    <x v="4"/>
    <n v="324"/>
    <n v="149.96"/>
    <x v="2"/>
    <x v="2"/>
    <x v="0"/>
    <x v="0"/>
    <x v="8"/>
    <s v="Jun"/>
    <s v="Q2"/>
    <x v="10"/>
    <n v="7"/>
    <n v="46.28"/>
  </r>
  <r>
    <s v="ORD00676"/>
    <d v="2024-03-18T00:00:00"/>
    <d v="2024-03-23T00:00:00"/>
    <s v="C0255"/>
    <x v="142"/>
    <s v="Small Business"/>
    <x v="3"/>
    <x v="8"/>
    <s v="P011"/>
    <x v="9"/>
    <x v="4"/>
    <n v="4"/>
    <n v="600"/>
    <x v="4"/>
    <n v="2160"/>
    <n v="644.85"/>
    <x v="2"/>
    <x v="1"/>
    <x v="1"/>
    <x v="1"/>
    <x v="0"/>
    <s v="Mar"/>
    <s v="Q1"/>
    <x v="2"/>
    <n v="5"/>
    <n v="29.85"/>
  </r>
  <r>
    <s v="ORD00794"/>
    <d v="2024-07-19T00:00:00"/>
    <d v="2024-07-24T00:00:00"/>
    <s v="C0108"/>
    <x v="145"/>
    <s v="Consumer"/>
    <x v="2"/>
    <x v="4"/>
    <s v="P001"/>
    <x v="8"/>
    <x v="2"/>
    <n v="10"/>
    <n v="55000"/>
    <x v="1"/>
    <n v="467500"/>
    <n v="72237.259999999995"/>
    <x v="1"/>
    <x v="2"/>
    <x v="0"/>
    <x v="1"/>
    <x v="3"/>
    <s v="Jul"/>
    <s v="Q3"/>
    <x v="4"/>
    <n v="5"/>
    <n v="15.45"/>
  </r>
  <r>
    <s v="ORD01599"/>
    <d v="2024-12-02T00:00:00"/>
    <d v="2024-12-03T00:00:00"/>
    <s v="C0248"/>
    <x v="1"/>
    <s v="Consumer"/>
    <x v="1"/>
    <x v="1"/>
    <s v="P005"/>
    <x v="0"/>
    <x v="0"/>
    <n v="1"/>
    <n v="7000"/>
    <x v="1"/>
    <n v="5950"/>
    <n v="1435.35"/>
    <x v="1"/>
    <x v="1"/>
    <x v="4"/>
    <x v="1"/>
    <x v="10"/>
    <s v="Dec"/>
    <s v="Q4"/>
    <x v="16"/>
    <n v="1"/>
    <n v="24.12"/>
  </r>
  <r>
    <s v="ORD01930"/>
    <d v="2024-07-27T00:00:00"/>
    <d v="2024-08-04T00:00:00"/>
    <s v="C0138"/>
    <x v="38"/>
    <s v="Small Business"/>
    <x v="0"/>
    <x v="15"/>
    <s v="P003"/>
    <x v="5"/>
    <x v="2"/>
    <n v="4"/>
    <n v="3000"/>
    <x v="1"/>
    <n v="10200"/>
    <n v="2419.09"/>
    <x v="4"/>
    <x v="2"/>
    <x v="2"/>
    <x v="1"/>
    <x v="3"/>
    <s v="Jul"/>
    <s v="Q3"/>
    <x v="4"/>
    <n v="8"/>
    <n v="23.72"/>
  </r>
  <r>
    <s v="ORD00224"/>
    <d v="2025-03-15T00:00:00"/>
    <d v="2025-03-17T00:00:00"/>
    <s v="C0197"/>
    <x v="176"/>
    <s v="Small Business"/>
    <x v="1"/>
    <x v="16"/>
    <s v="P006"/>
    <x v="1"/>
    <x v="0"/>
    <n v="1"/>
    <n v="9500"/>
    <x v="0"/>
    <n v="9500"/>
    <n v="1518.32"/>
    <x v="4"/>
    <x v="2"/>
    <x v="1"/>
    <x v="0"/>
    <x v="0"/>
    <s v="Mar"/>
    <s v="Q1"/>
    <x v="0"/>
    <n v="2"/>
    <n v="15.98"/>
  </r>
  <r>
    <s v="ORD00903"/>
    <d v="2024-05-28T00:00:00"/>
    <d v="2024-06-05T00:00:00"/>
    <s v="C0236"/>
    <x v="130"/>
    <s v="Consumer"/>
    <x v="2"/>
    <x v="4"/>
    <s v="P006"/>
    <x v="1"/>
    <x v="0"/>
    <n v="4"/>
    <n v="9500"/>
    <x v="0"/>
    <n v="38000"/>
    <n v="7865.14"/>
    <x v="5"/>
    <x v="1"/>
    <x v="2"/>
    <x v="1"/>
    <x v="4"/>
    <s v="May"/>
    <s v="Q2"/>
    <x v="8"/>
    <n v="8"/>
    <n v="20.7"/>
  </r>
  <r>
    <s v="ORD01584"/>
    <d v="2025-01-19T00:00:00"/>
    <d v="2025-01-23T00:00:00"/>
    <s v="C0212"/>
    <x v="50"/>
    <s v="Corporate"/>
    <x v="1"/>
    <x v="5"/>
    <s v="P007"/>
    <x v="10"/>
    <x v="0"/>
    <n v="1"/>
    <n v="6000"/>
    <x v="0"/>
    <n v="6000"/>
    <n v="1189.18"/>
    <x v="2"/>
    <x v="0"/>
    <x v="0"/>
    <x v="0"/>
    <x v="11"/>
    <s v="Jan"/>
    <s v="Q1"/>
    <x v="17"/>
    <n v="4"/>
    <n v="19.82"/>
  </r>
  <r>
    <s v="ORD00596"/>
    <d v="2024-06-29T00:00:00"/>
    <d v="2024-07-05T00:00:00"/>
    <s v="C0243"/>
    <x v="24"/>
    <s v="Corporate"/>
    <x v="0"/>
    <x v="11"/>
    <s v="P008"/>
    <x v="11"/>
    <x v="1"/>
    <n v="1"/>
    <n v="250"/>
    <x v="0"/>
    <n v="250"/>
    <n v="72.16"/>
    <x v="3"/>
    <x v="0"/>
    <x v="0"/>
    <x v="1"/>
    <x v="8"/>
    <s v="Jun"/>
    <s v="Q2"/>
    <x v="12"/>
    <n v="6"/>
    <n v="28.86"/>
  </r>
  <r>
    <s v="ORD01456"/>
    <d v="2024-06-30T00:00:00"/>
    <d v="2024-07-04T00:00:00"/>
    <s v="C0125"/>
    <x v="120"/>
    <s v="Consumer"/>
    <x v="2"/>
    <x v="4"/>
    <s v="P002"/>
    <x v="3"/>
    <x v="2"/>
    <n v="1"/>
    <n v="25000"/>
    <x v="0"/>
    <n v="25000"/>
    <n v="3482.86"/>
    <x v="2"/>
    <x v="0"/>
    <x v="3"/>
    <x v="1"/>
    <x v="8"/>
    <s v="Jun"/>
    <s v="Q2"/>
    <x v="12"/>
    <n v="4"/>
    <n v="13.93"/>
  </r>
  <r>
    <s v="ORD01881"/>
    <d v="2025-06-07T00:00:00"/>
    <d v="2025-06-10T00:00:00"/>
    <s v="C0137"/>
    <x v="241"/>
    <s v="Small Business"/>
    <x v="1"/>
    <x v="1"/>
    <s v="P008"/>
    <x v="11"/>
    <x v="1"/>
    <n v="1"/>
    <n v="250"/>
    <x v="0"/>
    <n v="250"/>
    <n v="87.76"/>
    <x v="1"/>
    <x v="1"/>
    <x v="3"/>
    <x v="0"/>
    <x v="8"/>
    <s v="Jun"/>
    <s v="Q2"/>
    <x v="10"/>
    <n v="3"/>
    <n v="35.1"/>
  </r>
  <r>
    <s v="ORD00149"/>
    <d v="2025-05-30T00:00:00"/>
    <d v="2025-06-05T00:00:00"/>
    <s v="C0029"/>
    <x v="133"/>
    <s v="Consumer"/>
    <x v="3"/>
    <x v="8"/>
    <s v="P003"/>
    <x v="5"/>
    <x v="2"/>
    <n v="10"/>
    <n v="3000"/>
    <x v="0"/>
    <n v="30000"/>
    <n v="9236.83"/>
    <x v="1"/>
    <x v="2"/>
    <x v="4"/>
    <x v="0"/>
    <x v="4"/>
    <s v="May"/>
    <s v="Q2"/>
    <x v="5"/>
    <n v="6"/>
    <n v="30.79"/>
  </r>
  <r>
    <s v="ORD00061"/>
    <d v="2024-12-12T00:00:00"/>
    <d v="2024-12-14T00:00:00"/>
    <s v="C0199"/>
    <x v="70"/>
    <s v="Consumer"/>
    <x v="2"/>
    <x v="14"/>
    <s v="P007"/>
    <x v="10"/>
    <x v="0"/>
    <n v="1"/>
    <n v="6000"/>
    <x v="1"/>
    <n v="5100"/>
    <n v="1173.72"/>
    <x v="3"/>
    <x v="0"/>
    <x v="1"/>
    <x v="1"/>
    <x v="10"/>
    <s v="Dec"/>
    <s v="Q4"/>
    <x v="16"/>
    <n v="2"/>
    <n v="23.01"/>
  </r>
  <r>
    <s v="ORD00650"/>
    <d v="2024-11-04T00:00:00"/>
    <d v="2024-11-08T00:00:00"/>
    <s v="C0023"/>
    <x v="132"/>
    <s v="Small Business"/>
    <x v="1"/>
    <x v="16"/>
    <s v="P002"/>
    <x v="3"/>
    <x v="2"/>
    <n v="3"/>
    <n v="25000"/>
    <x v="2"/>
    <n v="60000"/>
    <n v="6745.66"/>
    <x v="1"/>
    <x v="0"/>
    <x v="2"/>
    <x v="1"/>
    <x v="2"/>
    <s v="Nov"/>
    <s v="Q4"/>
    <x v="3"/>
    <n v="4"/>
    <n v="11.24"/>
  </r>
  <r>
    <s v="ORD01974"/>
    <d v="2024-12-07T00:00:00"/>
    <d v="2024-12-12T00:00:00"/>
    <s v="C0018"/>
    <x v="291"/>
    <s v="Small Business"/>
    <x v="0"/>
    <x v="0"/>
    <s v="P009"/>
    <x v="2"/>
    <x v="1"/>
    <n v="1"/>
    <n v="180"/>
    <x v="0"/>
    <n v="180"/>
    <n v="72.69"/>
    <x v="5"/>
    <x v="0"/>
    <x v="1"/>
    <x v="1"/>
    <x v="10"/>
    <s v="Dec"/>
    <s v="Q4"/>
    <x v="16"/>
    <n v="5"/>
    <n v="40.380000000000003"/>
  </r>
  <r>
    <s v="ORD01090"/>
    <d v="2024-07-14T00:00:00"/>
    <d v="2024-07-16T00:00:00"/>
    <s v="C0142"/>
    <x v="272"/>
    <s v="Small Business"/>
    <x v="0"/>
    <x v="2"/>
    <s v="P005"/>
    <x v="0"/>
    <x v="0"/>
    <n v="1"/>
    <n v="7000"/>
    <x v="4"/>
    <n v="6300"/>
    <n v="1359.3"/>
    <x v="0"/>
    <x v="1"/>
    <x v="1"/>
    <x v="1"/>
    <x v="3"/>
    <s v="Jul"/>
    <s v="Q3"/>
    <x v="4"/>
    <n v="2"/>
    <n v="21.58"/>
  </r>
  <r>
    <s v="ORD01520"/>
    <d v="2024-04-08T00:00:00"/>
    <d v="2024-04-09T00:00:00"/>
    <s v="C0278"/>
    <x v="51"/>
    <s v="Small Business"/>
    <x v="0"/>
    <x v="2"/>
    <s v="P011"/>
    <x v="9"/>
    <x v="4"/>
    <n v="5"/>
    <n v="600"/>
    <x v="0"/>
    <n v="3000"/>
    <n v="808.72"/>
    <x v="3"/>
    <x v="0"/>
    <x v="2"/>
    <x v="1"/>
    <x v="5"/>
    <s v="Apr"/>
    <s v="Q2"/>
    <x v="6"/>
    <n v="1"/>
    <n v="26.96"/>
  </r>
  <r>
    <s v="ORD00757"/>
    <d v="2024-12-08T00:00:00"/>
    <d v="2024-12-13T00:00:00"/>
    <s v="C0019"/>
    <x v="48"/>
    <s v="Consumer"/>
    <x v="2"/>
    <x v="4"/>
    <s v="P009"/>
    <x v="2"/>
    <x v="1"/>
    <n v="3"/>
    <n v="180"/>
    <x v="0"/>
    <n v="540"/>
    <n v="220.69"/>
    <x v="4"/>
    <x v="0"/>
    <x v="1"/>
    <x v="1"/>
    <x v="10"/>
    <s v="Dec"/>
    <s v="Q4"/>
    <x v="16"/>
    <n v="5"/>
    <n v="40.869999999999997"/>
  </r>
  <r>
    <s v="ORD01141"/>
    <d v="2024-08-24T00:00:00"/>
    <d v="2024-08-30T00:00:00"/>
    <s v="C0071"/>
    <x v="162"/>
    <s v="Small Business"/>
    <x v="3"/>
    <x v="6"/>
    <s v="P009"/>
    <x v="2"/>
    <x v="1"/>
    <n v="1"/>
    <n v="180"/>
    <x v="4"/>
    <n v="162"/>
    <n v="57.18"/>
    <x v="5"/>
    <x v="0"/>
    <x v="3"/>
    <x v="1"/>
    <x v="7"/>
    <s v="Aug"/>
    <s v="Q3"/>
    <x v="9"/>
    <n v="6"/>
    <n v="35.299999999999997"/>
  </r>
  <r>
    <s v="ORD01869"/>
    <d v="2025-12-01T00:00:00"/>
    <d v="2025-12-09T00:00:00"/>
    <s v="C0121"/>
    <x v="207"/>
    <s v="Consumer"/>
    <x v="3"/>
    <x v="12"/>
    <s v="P006"/>
    <x v="1"/>
    <x v="0"/>
    <n v="2"/>
    <n v="9500"/>
    <x v="4"/>
    <n v="17100"/>
    <n v="3208.61"/>
    <x v="4"/>
    <x v="0"/>
    <x v="3"/>
    <x v="0"/>
    <x v="10"/>
    <s v="Dec"/>
    <s v="Q4"/>
    <x v="19"/>
    <n v="8"/>
    <n v="18.760000000000002"/>
  </r>
  <r>
    <s v="ORD00385"/>
    <d v="2024-09-14T00:00:00"/>
    <d v="2024-09-20T00:00:00"/>
    <s v="C0040"/>
    <x v="285"/>
    <s v="Small Business"/>
    <x v="3"/>
    <x v="8"/>
    <s v="P009"/>
    <x v="2"/>
    <x v="1"/>
    <n v="1"/>
    <n v="180"/>
    <x v="0"/>
    <n v="180"/>
    <n v="73.430000000000007"/>
    <x v="3"/>
    <x v="1"/>
    <x v="0"/>
    <x v="1"/>
    <x v="9"/>
    <s v="Sep"/>
    <s v="Q3"/>
    <x v="20"/>
    <n v="6"/>
    <n v="40.79"/>
  </r>
  <r>
    <s v="ORD01718"/>
    <d v="2025-01-21T00:00:00"/>
    <d v="2025-01-26T00:00:00"/>
    <s v="C0126"/>
    <x v="110"/>
    <s v="Consumer"/>
    <x v="0"/>
    <x v="15"/>
    <s v="P012"/>
    <x v="4"/>
    <x v="3"/>
    <n v="1"/>
    <n v="3500"/>
    <x v="1"/>
    <n v="2975"/>
    <n v="934.04"/>
    <x v="5"/>
    <x v="1"/>
    <x v="1"/>
    <x v="0"/>
    <x v="11"/>
    <s v="Jan"/>
    <s v="Q1"/>
    <x v="17"/>
    <n v="5"/>
    <n v="31.4"/>
  </r>
  <r>
    <s v="ORD01125"/>
    <d v="2024-03-21T00:00:00"/>
    <d v="2024-03-23T00:00:00"/>
    <s v="C0037"/>
    <x v="18"/>
    <s v="Consumer"/>
    <x v="0"/>
    <x v="0"/>
    <s v="P010"/>
    <x v="6"/>
    <x v="4"/>
    <n v="1"/>
    <n v="1800"/>
    <x v="4"/>
    <n v="1620"/>
    <n v="464.54"/>
    <x v="0"/>
    <x v="0"/>
    <x v="3"/>
    <x v="1"/>
    <x v="0"/>
    <s v="Mar"/>
    <s v="Q1"/>
    <x v="2"/>
    <n v="2"/>
    <n v="28.68"/>
  </r>
  <r>
    <s v="ORD00052"/>
    <d v="2024-04-18T00:00:00"/>
    <d v="2024-04-20T00:00:00"/>
    <s v="C0046"/>
    <x v="269"/>
    <s v="Small Business"/>
    <x v="0"/>
    <x v="2"/>
    <s v="P007"/>
    <x v="10"/>
    <x v="0"/>
    <n v="1"/>
    <n v="6000"/>
    <x v="4"/>
    <n v="5400"/>
    <n v="1114.79"/>
    <x v="0"/>
    <x v="1"/>
    <x v="4"/>
    <x v="1"/>
    <x v="5"/>
    <s v="Apr"/>
    <s v="Q2"/>
    <x v="6"/>
    <n v="2"/>
    <n v="20.64"/>
  </r>
  <r>
    <s v="ORD00607"/>
    <d v="2025-05-31T00:00:00"/>
    <d v="2025-06-02T00:00:00"/>
    <s v="C0241"/>
    <x v="63"/>
    <s v="Consumer"/>
    <x v="2"/>
    <x v="4"/>
    <s v="P012"/>
    <x v="4"/>
    <x v="3"/>
    <n v="1"/>
    <n v="3500"/>
    <x v="4"/>
    <n v="3150"/>
    <n v="864.59"/>
    <x v="0"/>
    <x v="1"/>
    <x v="2"/>
    <x v="0"/>
    <x v="4"/>
    <s v="May"/>
    <s v="Q2"/>
    <x v="5"/>
    <n v="2"/>
    <n v="27.45"/>
  </r>
  <r>
    <s v="ORD00779"/>
    <d v="2024-11-29T00:00:00"/>
    <d v="2024-12-05T00:00:00"/>
    <s v="C0031"/>
    <x v="84"/>
    <s v="Small Business"/>
    <x v="3"/>
    <x v="6"/>
    <s v="P010"/>
    <x v="6"/>
    <x v="4"/>
    <n v="3"/>
    <n v="1800"/>
    <x v="0"/>
    <n v="5400"/>
    <n v="1617.79"/>
    <x v="4"/>
    <x v="1"/>
    <x v="4"/>
    <x v="1"/>
    <x v="2"/>
    <s v="Nov"/>
    <s v="Q4"/>
    <x v="3"/>
    <n v="6"/>
    <n v="29.96"/>
  </r>
  <r>
    <s v="ORD01016"/>
    <d v="2025-04-22T00:00:00"/>
    <d v="2025-04-30T00:00:00"/>
    <s v="C0048"/>
    <x v="124"/>
    <s v="Small Business"/>
    <x v="2"/>
    <x v="3"/>
    <s v="P006"/>
    <x v="1"/>
    <x v="0"/>
    <n v="2"/>
    <n v="9500"/>
    <x v="4"/>
    <n v="17100"/>
    <n v="3625.37"/>
    <x v="2"/>
    <x v="0"/>
    <x v="2"/>
    <x v="0"/>
    <x v="5"/>
    <s v="Apr"/>
    <s v="Q2"/>
    <x v="13"/>
    <n v="8"/>
    <n v="21.2"/>
  </r>
  <r>
    <s v="ORD01713"/>
    <d v="2025-09-06T00:00:00"/>
    <d v="2025-09-08T00:00:00"/>
    <s v="C0049"/>
    <x v="194"/>
    <s v="Consumer"/>
    <x v="1"/>
    <x v="1"/>
    <s v="P012"/>
    <x v="4"/>
    <x v="3"/>
    <n v="2"/>
    <n v="3500"/>
    <x v="3"/>
    <n v="6650"/>
    <n v="2103.5300000000002"/>
    <x v="1"/>
    <x v="0"/>
    <x v="1"/>
    <x v="0"/>
    <x v="9"/>
    <s v="Sep"/>
    <s v="Q3"/>
    <x v="11"/>
    <n v="2"/>
    <n v="31.63"/>
  </r>
  <r>
    <s v="ORD01236"/>
    <d v="2025-01-23T00:00:00"/>
    <d v="2025-01-29T00:00:00"/>
    <s v="C0159"/>
    <x v="146"/>
    <s v="Corporate"/>
    <x v="0"/>
    <x v="15"/>
    <s v="P001"/>
    <x v="8"/>
    <x v="2"/>
    <n v="3"/>
    <n v="55000"/>
    <x v="0"/>
    <n v="165000"/>
    <n v="24104.09"/>
    <x v="0"/>
    <x v="0"/>
    <x v="2"/>
    <x v="0"/>
    <x v="11"/>
    <s v="Jan"/>
    <s v="Q1"/>
    <x v="17"/>
    <n v="6"/>
    <n v="14.61"/>
  </r>
  <r>
    <s v="ORD00661"/>
    <d v="2025-08-18T00:00:00"/>
    <d v="2025-08-25T00:00:00"/>
    <s v="C0256"/>
    <x v="112"/>
    <s v="Small Business"/>
    <x v="3"/>
    <x v="8"/>
    <s v="P005"/>
    <x v="0"/>
    <x v="0"/>
    <n v="2"/>
    <n v="7000"/>
    <x v="2"/>
    <n v="11200"/>
    <n v="2502.92"/>
    <x v="3"/>
    <x v="1"/>
    <x v="1"/>
    <x v="0"/>
    <x v="7"/>
    <s v="Aug"/>
    <s v="Q3"/>
    <x v="22"/>
    <n v="7"/>
    <n v="22.35"/>
  </r>
  <r>
    <s v="ORD00889"/>
    <d v="2025-01-14T00:00:00"/>
    <d v="2025-01-18T00:00:00"/>
    <s v="C0220"/>
    <x v="289"/>
    <s v="Consumer"/>
    <x v="3"/>
    <x v="8"/>
    <s v="P006"/>
    <x v="1"/>
    <x v="0"/>
    <n v="3"/>
    <n v="9500"/>
    <x v="0"/>
    <n v="28500"/>
    <n v="6268.73"/>
    <x v="3"/>
    <x v="2"/>
    <x v="0"/>
    <x v="0"/>
    <x v="11"/>
    <s v="Jan"/>
    <s v="Q1"/>
    <x v="17"/>
    <n v="4"/>
    <n v="22"/>
  </r>
  <r>
    <s v="ORD00312"/>
    <d v="2025-09-21T00:00:00"/>
    <d v="2025-09-29T00:00:00"/>
    <s v="C0046"/>
    <x v="269"/>
    <s v="Small Business"/>
    <x v="0"/>
    <x v="2"/>
    <s v="P003"/>
    <x v="5"/>
    <x v="2"/>
    <n v="2"/>
    <n v="3000"/>
    <x v="3"/>
    <n v="5700"/>
    <n v="1472.92"/>
    <x v="0"/>
    <x v="0"/>
    <x v="3"/>
    <x v="0"/>
    <x v="9"/>
    <s v="Sep"/>
    <s v="Q3"/>
    <x v="11"/>
    <n v="8"/>
    <n v="25.84"/>
  </r>
  <r>
    <s v="ORD00953"/>
    <d v="2025-08-28T00:00:00"/>
    <d v="2025-08-31T00:00:00"/>
    <s v="C0093"/>
    <x v="127"/>
    <s v="Consumer"/>
    <x v="0"/>
    <x v="11"/>
    <s v="P004"/>
    <x v="7"/>
    <x v="2"/>
    <n v="2"/>
    <n v="8000"/>
    <x v="0"/>
    <n v="16000"/>
    <n v="3167.01"/>
    <x v="0"/>
    <x v="0"/>
    <x v="4"/>
    <x v="0"/>
    <x v="7"/>
    <s v="Aug"/>
    <s v="Q3"/>
    <x v="22"/>
    <n v="3"/>
    <n v="19.79"/>
  </r>
  <r>
    <s v="ORD00984"/>
    <d v="2024-06-03T00:00:00"/>
    <d v="2024-06-06T00:00:00"/>
    <s v="C0023"/>
    <x v="132"/>
    <s v="Small Business"/>
    <x v="1"/>
    <x v="16"/>
    <s v="P010"/>
    <x v="6"/>
    <x v="4"/>
    <n v="1"/>
    <n v="1800"/>
    <x v="4"/>
    <n v="1620"/>
    <n v="472.84"/>
    <x v="5"/>
    <x v="1"/>
    <x v="2"/>
    <x v="1"/>
    <x v="8"/>
    <s v="Jun"/>
    <s v="Q2"/>
    <x v="12"/>
    <n v="3"/>
    <n v="29.19"/>
  </r>
  <r>
    <s v="ORD00977"/>
    <d v="2024-04-22T00:00:00"/>
    <d v="2024-04-23T00:00:00"/>
    <s v="C0197"/>
    <x v="176"/>
    <s v="Small Business"/>
    <x v="1"/>
    <x v="16"/>
    <s v="P001"/>
    <x v="8"/>
    <x v="2"/>
    <n v="4"/>
    <n v="55000"/>
    <x v="2"/>
    <n v="176000"/>
    <n v="32700.31"/>
    <x v="4"/>
    <x v="0"/>
    <x v="3"/>
    <x v="1"/>
    <x v="5"/>
    <s v="Apr"/>
    <s v="Q2"/>
    <x v="6"/>
    <n v="1"/>
    <n v="18.579999999999998"/>
  </r>
  <r>
    <s v="ORD01275"/>
    <d v="2024-07-31T00:00:00"/>
    <d v="2024-08-05T00:00:00"/>
    <s v="C0177"/>
    <x v="121"/>
    <s v="Consumer"/>
    <x v="2"/>
    <x v="14"/>
    <s v="P002"/>
    <x v="3"/>
    <x v="2"/>
    <n v="3"/>
    <n v="25000"/>
    <x v="4"/>
    <n v="67500"/>
    <n v="8582.73"/>
    <x v="3"/>
    <x v="1"/>
    <x v="0"/>
    <x v="1"/>
    <x v="3"/>
    <s v="Jul"/>
    <s v="Q3"/>
    <x v="4"/>
    <n v="5"/>
    <n v="12.72"/>
  </r>
  <r>
    <s v="ORD00700"/>
    <d v="2024-07-05T00:00:00"/>
    <d v="2024-07-09T00:00:00"/>
    <s v="C0213"/>
    <x v="116"/>
    <s v="Corporate"/>
    <x v="3"/>
    <x v="7"/>
    <s v="P006"/>
    <x v="1"/>
    <x v="0"/>
    <n v="1"/>
    <n v="9500"/>
    <x v="3"/>
    <n v="9025"/>
    <n v="1945.61"/>
    <x v="2"/>
    <x v="0"/>
    <x v="1"/>
    <x v="1"/>
    <x v="3"/>
    <s v="Jul"/>
    <s v="Q3"/>
    <x v="4"/>
    <n v="4"/>
    <n v="21.56"/>
  </r>
  <r>
    <s v="ORD00663"/>
    <d v="2024-05-17T00:00:00"/>
    <d v="2024-05-19T00:00:00"/>
    <s v="C0119"/>
    <x v="238"/>
    <s v="Consumer"/>
    <x v="0"/>
    <x v="2"/>
    <s v="P011"/>
    <x v="9"/>
    <x v="4"/>
    <n v="1"/>
    <n v="600"/>
    <x v="1"/>
    <n v="510"/>
    <n v="139.76"/>
    <x v="0"/>
    <x v="2"/>
    <x v="3"/>
    <x v="1"/>
    <x v="4"/>
    <s v="May"/>
    <s v="Q2"/>
    <x v="8"/>
    <n v="2"/>
    <n v="27.4"/>
  </r>
  <r>
    <s v="ORD00278"/>
    <d v="2024-10-28T00:00:00"/>
    <d v="2024-10-29T00:00:00"/>
    <s v="C0219"/>
    <x v="60"/>
    <s v="Corporate"/>
    <x v="3"/>
    <x v="12"/>
    <s v="P002"/>
    <x v="3"/>
    <x v="2"/>
    <n v="2"/>
    <n v="25000"/>
    <x v="3"/>
    <n v="47500"/>
    <n v="5556.57"/>
    <x v="4"/>
    <x v="0"/>
    <x v="4"/>
    <x v="1"/>
    <x v="1"/>
    <s v="Oct"/>
    <s v="Q4"/>
    <x v="1"/>
    <n v="1"/>
    <n v="11.7"/>
  </r>
  <r>
    <s v="ORD00218"/>
    <d v="2025-11-01T00:00:00"/>
    <d v="2025-11-04T00:00:00"/>
    <s v="C0141"/>
    <x v="262"/>
    <s v="Corporate"/>
    <x v="2"/>
    <x v="4"/>
    <s v="P002"/>
    <x v="3"/>
    <x v="2"/>
    <n v="1"/>
    <n v="25000"/>
    <x v="1"/>
    <n v="21250"/>
    <n v="3383.6"/>
    <x v="2"/>
    <x v="1"/>
    <x v="4"/>
    <x v="0"/>
    <x v="2"/>
    <s v="Nov"/>
    <s v="Q4"/>
    <x v="23"/>
    <n v="3"/>
    <n v="15.92"/>
  </r>
  <r>
    <s v="ORD01097"/>
    <d v="2025-07-31T00:00:00"/>
    <d v="2025-08-03T00:00:00"/>
    <s v="C0160"/>
    <x v="183"/>
    <s v="Corporate"/>
    <x v="2"/>
    <x v="9"/>
    <s v="P003"/>
    <x v="5"/>
    <x v="2"/>
    <n v="2"/>
    <n v="3000"/>
    <x v="0"/>
    <n v="6000"/>
    <n v="1839.15"/>
    <x v="6"/>
    <x v="0"/>
    <x v="4"/>
    <x v="0"/>
    <x v="3"/>
    <s v="Jul"/>
    <s v="Q3"/>
    <x v="15"/>
    <n v="3"/>
    <n v="30.65"/>
  </r>
  <r>
    <s v="ORD01159"/>
    <d v="2025-06-07T00:00:00"/>
    <d v="2025-06-13T00:00:00"/>
    <s v="C0109"/>
    <x v="136"/>
    <s v="Corporate"/>
    <x v="1"/>
    <x v="1"/>
    <s v="P006"/>
    <x v="1"/>
    <x v="0"/>
    <n v="3"/>
    <n v="9500"/>
    <x v="1"/>
    <n v="24225"/>
    <n v="4376.3599999999997"/>
    <x v="4"/>
    <x v="1"/>
    <x v="1"/>
    <x v="0"/>
    <x v="8"/>
    <s v="Jun"/>
    <s v="Q2"/>
    <x v="10"/>
    <n v="6"/>
    <n v="18.07"/>
  </r>
  <r>
    <s v="ORD00652"/>
    <d v="2025-08-06T00:00:00"/>
    <d v="2025-08-07T00:00:00"/>
    <s v="C0124"/>
    <x v="10"/>
    <s v="Small Business"/>
    <x v="1"/>
    <x v="1"/>
    <s v="P009"/>
    <x v="2"/>
    <x v="1"/>
    <n v="1"/>
    <n v="180"/>
    <x v="2"/>
    <n v="144"/>
    <n v="60.35"/>
    <x v="1"/>
    <x v="0"/>
    <x v="2"/>
    <x v="0"/>
    <x v="7"/>
    <s v="Aug"/>
    <s v="Q3"/>
    <x v="22"/>
    <n v="1"/>
    <n v="41.91"/>
  </r>
  <r>
    <s v="ORD01656"/>
    <d v="2024-01-03T00:00:00"/>
    <d v="2024-01-04T00:00:00"/>
    <s v="C0058"/>
    <x v="144"/>
    <s v="Small Business"/>
    <x v="1"/>
    <x v="1"/>
    <s v="P010"/>
    <x v="6"/>
    <x v="4"/>
    <n v="3"/>
    <n v="1800"/>
    <x v="1"/>
    <n v="4590"/>
    <n v="1195.73"/>
    <x v="0"/>
    <x v="0"/>
    <x v="4"/>
    <x v="1"/>
    <x v="11"/>
    <s v="Jan"/>
    <s v="Q1"/>
    <x v="21"/>
    <n v="1"/>
    <n v="26.05"/>
  </r>
  <r>
    <s v="ORD00496"/>
    <d v="2024-03-22T00:00:00"/>
    <d v="2024-03-30T00:00:00"/>
    <s v="C0014"/>
    <x v="161"/>
    <s v="Small Business"/>
    <x v="1"/>
    <x v="5"/>
    <s v="P006"/>
    <x v="1"/>
    <x v="0"/>
    <n v="3"/>
    <n v="9500"/>
    <x v="3"/>
    <n v="27075"/>
    <n v="4080.93"/>
    <x v="5"/>
    <x v="2"/>
    <x v="4"/>
    <x v="1"/>
    <x v="0"/>
    <s v="Mar"/>
    <s v="Q1"/>
    <x v="2"/>
    <n v="8"/>
    <n v="15.07"/>
  </r>
  <r>
    <s v="ORD01196"/>
    <d v="2024-10-05T00:00:00"/>
    <d v="2024-10-08T00:00:00"/>
    <s v="C0127"/>
    <x v="248"/>
    <s v="Consumer"/>
    <x v="3"/>
    <x v="12"/>
    <s v="P001"/>
    <x v="8"/>
    <x v="2"/>
    <n v="4"/>
    <n v="55000"/>
    <x v="3"/>
    <n v="209000"/>
    <n v="36194.589999999997"/>
    <x v="5"/>
    <x v="1"/>
    <x v="3"/>
    <x v="1"/>
    <x v="1"/>
    <s v="Oct"/>
    <s v="Q4"/>
    <x v="1"/>
    <n v="3"/>
    <n v="17.32"/>
  </r>
  <r>
    <s v="ORD01190"/>
    <d v="2025-03-28T00:00:00"/>
    <d v="2025-04-02T00:00:00"/>
    <s v="C0211"/>
    <x v="166"/>
    <s v="Consumer"/>
    <x v="3"/>
    <x v="8"/>
    <s v="P007"/>
    <x v="10"/>
    <x v="0"/>
    <n v="2"/>
    <n v="6000"/>
    <x v="0"/>
    <n v="12000"/>
    <n v="3067.05"/>
    <x v="0"/>
    <x v="2"/>
    <x v="2"/>
    <x v="0"/>
    <x v="0"/>
    <s v="Mar"/>
    <s v="Q1"/>
    <x v="0"/>
    <n v="5"/>
    <n v="25.56"/>
  </r>
  <r>
    <s v="ORD00597"/>
    <d v="2025-09-23T00:00:00"/>
    <d v="2025-09-25T00:00:00"/>
    <s v="C0129"/>
    <x v="259"/>
    <s v="Consumer"/>
    <x v="2"/>
    <x v="14"/>
    <s v="P006"/>
    <x v="1"/>
    <x v="0"/>
    <n v="4"/>
    <n v="9500"/>
    <x v="2"/>
    <n v="30400"/>
    <n v="5358.06"/>
    <x v="5"/>
    <x v="0"/>
    <x v="1"/>
    <x v="0"/>
    <x v="9"/>
    <s v="Sep"/>
    <s v="Q3"/>
    <x v="11"/>
    <n v="2"/>
    <n v="17.63"/>
  </r>
  <r>
    <s v="ORD00950"/>
    <d v="2025-11-25T00:00:00"/>
    <d v="2025-12-02T00:00:00"/>
    <s v="C0122"/>
    <x v="44"/>
    <s v="Corporate"/>
    <x v="2"/>
    <x v="14"/>
    <s v="P001"/>
    <x v="8"/>
    <x v="2"/>
    <n v="2"/>
    <n v="55000"/>
    <x v="4"/>
    <n v="99000"/>
    <n v="17730.41"/>
    <x v="0"/>
    <x v="1"/>
    <x v="4"/>
    <x v="0"/>
    <x v="2"/>
    <s v="Nov"/>
    <s v="Q4"/>
    <x v="23"/>
    <n v="7"/>
    <n v="17.91"/>
  </r>
  <r>
    <s v="ORD00002"/>
    <d v="2024-05-19T00:00:00"/>
    <d v="2024-05-26T00:00:00"/>
    <s v="C0261"/>
    <x v="180"/>
    <s v="Consumer"/>
    <x v="2"/>
    <x v="3"/>
    <s v="P012"/>
    <x v="4"/>
    <x v="3"/>
    <n v="4"/>
    <n v="3500"/>
    <x v="0"/>
    <n v="14000"/>
    <n v="4520.63"/>
    <x v="3"/>
    <x v="2"/>
    <x v="4"/>
    <x v="1"/>
    <x v="4"/>
    <s v="May"/>
    <s v="Q2"/>
    <x v="8"/>
    <n v="7"/>
    <n v="32.29"/>
  </r>
  <r>
    <s v="ORD01248"/>
    <d v="2025-02-09T00:00:00"/>
    <d v="2025-02-13T00:00:00"/>
    <s v="C0178"/>
    <x v="174"/>
    <s v="Corporate"/>
    <x v="3"/>
    <x v="6"/>
    <s v="P008"/>
    <x v="11"/>
    <x v="1"/>
    <n v="1"/>
    <n v="250"/>
    <x v="0"/>
    <n v="250"/>
    <n v="96.34"/>
    <x v="4"/>
    <x v="1"/>
    <x v="4"/>
    <x v="0"/>
    <x v="6"/>
    <s v="Feb"/>
    <s v="Q1"/>
    <x v="7"/>
    <n v="4"/>
    <n v="38.54"/>
  </r>
  <r>
    <s v="ORD01102"/>
    <d v="2024-01-07T00:00:00"/>
    <d v="2024-01-15T00:00:00"/>
    <s v="C0207"/>
    <x v="152"/>
    <s v="Small Business"/>
    <x v="2"/>
    <x v="3"/>
    <s v="P011"/>
    <x v="9"/>
    <x v="4"/>
    <n v="2"/>
    <n v="600"/>
    <x v="2"/>
    <n v="960"/>
    <n v="383.03"/>
    <x v="2"/>
    <x v="0"/>
    <x v="3"/>
    <x v="1"/>
    <x v="11"/>
    <s v="Jan"/>
    <s v="Q1"/>
    <x v="21"/>
    <n v="8"/>
    <n v="39.9"/>
  </r>
  <r>
    <s v="ORD01463"/>
    <d v="2025-03-12T00:00:00"/>
    <d v="2025-03-13T00:00:00"/>
    <s v="C0147"/>
    <x v="219"/>
    <s v="Small Business"/>
    <x v="3"/>
    <x v="6"/>
    <s v="P004"/>
    <x v="7"/>
    <x v="2"/>
    <n v="1"/>
    <n v="8000"/>
    <x v="0"/>
    <n v="8000"/>
    <n v="1988.35"/>
    <x v="5"/>
    <x v="2"/>
    <x v="4"/>
    <x v="0"/>
    <x v="0"/>
    <s v="Mar"/>
    <s v="Q1"/>
    <x v="0"/>
    <n v="1"/>
    <n v="24.85"/>
  </r>
  <r>
    <s v="ORD01827"/>
    <d v="2024-08-03T00:00:00"/>
    <d v="2024-08-05T00:00:00"/>
    <s v="C0178"/>
    <x v="174"/>
    <s v="Corporate"/>
    <x v="3"/>
    <x v="6"/>
    <s v="P003"/>
    <x v="5"/>
    <x v="2"/>
    <n v="4"/>
    <n v="3000"/>
    <x v="4"/>
    <n v="10800"/>
    <n v="3432.51"/>
    <x v="2"/>
    <x v="0"/>
    <x v="1"/>
    <x v="1"/>
    <x v="7"/>
    <s v="Aug"/>
    <s v="Q3"/>
    <x v="9"/>
    <n v="2"/>
    <n v="31.78"/>
  </r>
  <r>
    <s v="ORD01385"/>
    <d v="2025-03-29T00:00:00"/>
    <d v="2025-04-03T00:00:00"/>
    <s v="C0166"/>
    <x v="288"/>
    <s v="Small Business"/>
    <x v="2"/>
    <x v="9"/>
    <s v="P004"/>
    <x v="7"/>
    <x v="2"/>
    <n v="4"/>
    <n v="8000"/>
    <x v="0"/>
    <n v="32000"/>
    <n v="7353.56"/>
    <x v="2"/>
    <x v="1"/>
    <x v="2"/>
    <x v="0"/>
    <x v="0"/>
    <s v="Mar"/>
    <s v="Q1"/>
    <x v="0"/>
    <n v="5"/>
    <n v="22.98"/>
  </r>
  <r>
    <s v="ORD01234"/>
    <d v="2024-03-29T00:00:00"/>
    <d v="2024-03-30T00:00:00"/>
    <s v="C0094"/>
    <x v="76"/>
    <s v="Corporate"/>
    <x v="3"/>
    <x v="8"/>
    <s v="P012"/>
    <x v="4"/>
    <x v="3"/>
    <n v="1"/>
    <n v="3500"/>
    <x v="4"/>
    <n v="3150"/>
    <n v="958.26"/>
    <x v="4"/>
    <x v="0"/>
    <x v="2"/>
    <x v="1"/>
    <x v="0"/>
    <s v="Mar"/>
    <s v="Q1"/>
    <x v="2"/>
    <n v="1"/>
    <n v="30.42"/>
  </r>
  <r>
    <s v="ORD01313"/>
    <d v="2025-11-19T00:00:00"/>
    <d v="2025-11-22T00:00:00"/>
    <s v="C0108"/>
    <x v="145"/>
    <s v="Consumer"/>
    <x v="2"/>
    <x v="4"/>
    <s v="P010"/>
    <x v="6"/>
    <x v="4"/>
    <n v="1"/>
    <n v="1800"/>
    <x v="2"/>
    <n v="1440"/>
    <n v="432.68"/>
    <x v="4"/>
    <x v="2"/>
    <x v="2"/>
    <x v="0"/>
    <x v="2"/>
    <s v="Nov"/>
    <s v="Q4"/>
    <x v="23"/>
    <n v="3"/>
    <n v="30.05"/>
  </r>
  <r>
    <s v="ORD01878"/>
    <d v="2024-10-17T00:00:00"/>
    <d v="2024-10-23T00:00:00"/>
    <s v="C0091"/>
    <x v="21"/>
    <s v="Corporate"/>
    <x v="0"/>
    <x v="10"/>
    <s v="P008"/>
    <x v="11"/>
    <x v="1"/>
    <n v="4"/>
    <n v="250"/>
    <x v="4"/>
    <n v="900"/>
    <n v="332.38"/>
    <x v="5"/>
    <x v="1"/>
    <x v="4"/>
    <x v="1"/>
    <x v="1"/>
    <s v="Oct"/>
    <s v="Q4"/>
    <x v="1"/>
    <n v="6"/>
    <n v="36.93"/>
  </r>
  <r>
    <s v="ORD01128"/>
    <d v="2024-04-23T00:00:00"/>
    <d v="2024-04-24T00:00:00"/>
    <s v="C0280"/>
    <x v="13"/>
    <s v="Consumer"/>
    <x v="3"/>
    <x v="8"/>
    <s v="P012"/>
    <x v="4"/>
    <x v="3"/>
    <n v="2"/>
    <n v="3500"/>
    <x v="0"/>
    <n v="7000"/>
    <n v="2153.3000000000002"/>
    <x v="3"/>
    <x v="1"/>
    <x v="4"/>
    <x v="1"/>
    <x v="5"/>
    <s v="Apr"/>
    <s v="Q2"/>
    <x v="6"/>
    <n v="1"/>
    <n v="30.76"/>
  </r>
  <r>
    <s v="ORD00384"/>
    <d v="2024-10-07T00:00:00"/>
    <d v="2024-10-14T00:00:00"/>
    <s v="C0267"/>
    <x v="93"/>
    <s v="Consumer"/>
    <x v="2"/>
    <x v="9"/>
    <s v="P011"/>
    <x v="9"/>
    <x v="4"/>
    <n v="1"/>
    <n v="600"/>
    <x v="4"/>
    <n v="540"/>
    <n v="190.44"/>
    <x v="5"/>
    <x v="1"/>
    <x v="4"/>
    <x v="1"/>
    <x v="1"/>
    <s v="Oct"/>
    <s v="Q4"/>
    <x v="1"/>
    <n v="7"/>
    <n v="35.270000000000003"/>
  </r>
  <r>
    <s v="ORD00347"/>
    <d v="2024-08-10T00:00:00"/>
    <d v="2024-08-16T00:00:00"/>
    <s v="C0284"/>
    <x v="73"/>
    <s v="Corporate"/>
    <x v="0"/>
    <x v="10"/>
    <s v="P011"/>
    <x v="9"/>
    <x v="4"/>
    <n v="1"/>
    <n v="600"/>
    <x v="4"/>
    <n v="540"/>
    <n v="202.28"/>
    <x v="5"/>
    <x v="0"/>
    <x v="2"/>
    <x v="1"/>
    <x v="7"/>
    <s v="Aug"/>
    <s v="Q3"/>
    <x v="9"/>
    <n v="6"/>
    <n v="37.46"/>
  </r>
  <r>
    <s v="ORD00666"/>
    <d v="2024-02-02T00:00:00"/>
    <d v="2024-02-08T00:00:00"/>
    <s v="C0280"/>
    <x v="13"/>
    <s v="Consumer"/>
    <x v="3"/>
    <x v="8"/>
    <s v="P001"/>
    <x v="8"/>
    <x v="2"/>
    <n v="10"/>
    <n v="55000"/>
    <x v="0"/>
    <n v="550000"/>
    <n v="84491.74"/>
    <x v="0"/>
    <x v="1"/>
    <x v="0"/>
    <x v="1"/>
    <x v="6"/>
    <s v="Feb"/>
    <s v="Q1"/>
    <x v="18"/>
    <n v="6"/>
    <n v="15.36"/>
  </r>
  <r>
    <s v="ORD01674"/>
    <d v="2025-05-02T00:00:00"/>
    <d v="2025-05-03T00:00:00"/>
    <s v="C0124"/>
    <x v="10"/>
    <s v="Small Business"/>
    <x v="1"/>
    <x v="1"/>
    <s v="P001"/>
    <x v="8"/>
    <x v="2"/>
    <n v="3"/>
    <n v="55000"/>
    <x v="4"/>
    <n v="148500"/>
    <n v="20496.97"/>
    <x v="0"/>
    <x v="0"/>
    <x v="3"/>
    <x v="0"/>
    <x v="4"/>
    <s v="May"/>
    <s v="Q2"/>
    <x v="5"/>
    <n v="1"/>
    <n v="13.8"/>
  </r>
  <r>
    <s v="ORD00810"/>
    <d v="2025-04-25T00:00:00"/>
    <d v="2025-04-26T00:00:00"/>
    <s v="C0075"/>
    <x v="293"/>
    <s v="Corporate"/>
    <x v="3"/>
    <x v="12"/>
    <s v="P003"/>
    <x v="5"/>
    <x v="2"/>
    <n v="1"/>
    <n v="3000"/>
    <x v="0"/>
    <n v="3000"/>
    <n v="734.78"/>
    <x v="1"/>
    <x v="2"/>
    <x v="2"/>
    <x v="0"/>
    <x v="5"/>
    <s v="Apr"/>
    <s v="Q2"/>
    <x v="13"/>
    <n v="1"/>
    <n v="24.49"/>
  </r>
  <r>
    <s v="ORD00176"/>
    <d v="2024-03-16T00:00:00"/>
    <d v="2024-03-19T00:00:00"/>
    <s v="C0127"/>
    <x v="248"/>
    <s v="Consumer"/>
    <x v="3"/>
    <x v="12"/>
    <s v="P012"/>
    <x v="4"/>
    <x v="3"/>
    <n v="1"/>
    <n v="3500"/>
    <x v="0"/>
    <n v="3500"/>
    <n v="954.24"/>
    <x v="5"/>
    <x v="1"/>
    <x v="4"/>
    <x v="1"/>
    <x v="0"/>
    <s v="Mar"/>
    <s v="Q1"/>
    <x v="2"/>
    <n v="3"/>
    <n v="27.26"/>
  </r>
  <r>
    <s v="ORD00814"/>
    <d v="2025-09-30T00:00:00"/>
    <d v="2025-10-06T00:00:00"/>
    <s v="C0118"/>
    <x v="227"/>
    <s v="Corporate"/>
    <x v="0"/>
    <x v="2"/>
    <s v="P008"/>
    <x v="11"/>
    <x v="1"/>
    <n v="1"/>
    <n v="250"/>
    <x v="3"/>
    <n v="237.5"/>
    <n v="94.41"/>
    <x v="5"/>
    <x v="1"/>
    <x v="2"/>
    <x v="0"/>
    <x v="9"/>
    <s v="Sep"/>
    <s v="Q3"/>
    <x v="11"/>
    <n v="6"/>
    <n v="39.75"/>
  </r>
  <r>
    <s v="ORD01319"/>
    <d v="2024-03-17T00:00:00"/>
    <d v="2024-03-25T00:00:00"/>
    <s v="C0141"/>
    <x v="262"/>
    <s v="Corporate"/>
    <x v="2"/>
    <x v="4"/>
    <s v="P002"/>
    <x v="3"/>
    <x v="2"/>
    <n v="1"/>
    <n v="25000"/>
    <x v="0"/>
    <n v="25000"/>
    <n v="3709.27"/>
    <x v="2"/>
    <x v="2"/>
    <x v="0"/>
    <x v="1"/>
    <x v="0"/>
    <s v="Mar"/>
    <s v="Q1"/>
    <x v="2"/>
    <n v="8"/>
    <n v="14.84"/>
  </r>
  <r>
    <s v="ORD00917"/>
    <d v="2025-02-19T00:00:00"/>
    <d v="2025-02-27T00:00:00"/>
    <s v="C0276"/>
    <x v="181"/>
    <s v="Consumer"/>
    <x v="1"/>
    <x v="13"/>
    <s v="P003"/>
    <x v="5"/>
    <x v="2"/>
    <n v="4"/>
    <n v="3000"/>
    <x v="0"/>
    <n v="12000"/>
    <n v="3087.07"/>
    <x v="2"/>
    <x v="2"/>
    <x v="1"/>
    <x v="0"/>
    <x v="6"/>
    <s v="Feb"/>
    <s v="Q1"/>
    <x v="7"/>
    <n v="8"/>
    <n v="25.73"/>
  </r>
  <r>
    <s v="ORD00399"/>
    <d v="2025-08-22T00:00:00"/>
    <d v="2025-08-28T00:00:00"/>
    <s v="C0219"/>
    <x v="60"/>
    <s v="Corporate"/>
    <x v="3"/>
    <x v="12"/>
    <s v="P011"/>
    <x v="9"/>
    <x v="4"/>
    <n v="1"/>
    <n v="600"/>
    <x v="2"/>
    <n v="480"/>
    <n v="166.79"/>
    <x v="1"/>
    <x v="1"/>
    <x v="0"/>
    <x v="0"/>
    <x v="7"/>
    <s v="Aug"/>
    <s v="Q3"/>
    <x v="22"/>
    <n v="6"/>
    <n v="34.75"/>
  </r>
  <r>
    <s v="ORD01409"/>
    <d v="2024-05-18T00:00:00"/>
    <d v="2024-05-25T00:00:00"/>
    <s v="C0145"/>
    <x v="16"/>
    <s v="Corporate"/>
    <x v="3"/>
    <x v="8"/>
    <s v="P006"/>
    <x v="1"/>
    <x v="0"/>
    <n v="2"/>
    <n v="9500"/>
    <x v="0"/>
    <n v="19000"/>
    <n v="3105.3"/>
    <x v="0"/>
    <x v="1"/>
    <x v="0"/>
    <x v="1"/>
    <x v="4"/>
    <s v="May"/>
    <s v="Q2"/>
    <x v="8"/>
    <n v="7"/>
    <n v="16.34"/>
  </r>
  <r>
    <s v="ORD01433"/>
    <d v="2024-11-03T00:00:00"/>
    <d v="2024-11-07T00:00:00"/>
    <s v="C0011"/>
    <x v="216"/>
    <s v="Corporate"/>
    <x v="2"/>
    <x v="14"/>
    <s v="P007"/>
    <x v="10"/>
    <x v="0"/>
    <n v="2"/>
    <n v="6000"/>
    <x v="1"/>
    <n v="10200"/>
    <n v="2575.11"/>
    <x v="0"/>
    <x v="0"/>
    <x v="4"/>
    <x v="1"/>
    <x v="2"/>
    <s v="Nov"/>
    <s v="Q4"/>
    <x v="3"/>
    <n v="4"/>
    <n v="25.25"/>
  </r>
  <r>
    <s v="ORD01168"/>
    <d v="2024-01-25T00:00:00"/>
    <d v="2024-02-01T00:00:00"/>
    <s v="C0018"/>
    <x v="291"/>
    <s v="Small Business"/>
    <x v="0"/>
    <x v="0"/>
    <s v="P007"/>
    <x v="10"/>
    <x v="0"/>
    <n v="3"/>
    <n v="6000"/>
    <x v="0"/>
    <n v="18000"/>
    <n v="3252.75"/>
    <x v="0"/>
    <x v="1"/>
    <x v="2"/>
    <x v="1"/>
    <x v="11"/>
    <s v="Jan"/>
    <s v="Q1"/>
    <x v="21"/>
    <n v="7"/>
    <n v="18.07"/>
  </r>
  <r>
    <s v="ORD00023"/>
    <d v="2024-11-05T00:00:00"/>
    <d v="2024-11-10T00:00:00"/>
    <s v="C0238"/>
    <x v="88"/>
    <s v="Small Business"/>
    <x v="3"/>
    <x v="8"/>
    <s v="P012"/>
    <x v="4"/>
    <x v="3"/>
    <n v="1"/>
    <n v="3500"/>
    <x v="0"/>
    <n v="3500"/>
    <n v="1207.93"/>
    <x v="0"/>
    <x v="0"/>
    <x v="3"/>
    <x v="1"/>
    <x v="2"/>
    <s v="Nov"/>
    <s v="Q4"/>
    <x v="3"/>
    <n v="5"/>
    <n v="34.51"/>
  </r>
  <r>
    <s v="ORD01953"/>
    <d v="2025-11-28T00:00:00"/>
    <d v="2025-12-05T00:00:00"/>
    <s v="C0284"/>
    <x v="73"/>
    <s v="Corporate"/>
    <x v="0"/>
    <x v="10"/>
    <s v="P006"/>
    <x v="1"/>
    <x v="0"/>
    <n v="2"/>
    <n v="9500"/>
    <x v="2"/>
    <n v="15200"/>
    <n v="2183.17"/>
    <x v="1"/>
    <x v="0"/>
    <x v="3"/>
    <x v="0"/>
    <x v="2"/>
    <s v="Nov"/>
    <s v="Q4"/>
    <x v="23"/>
    <n v="7"/>
    <n v="14.36"/>
  </r>
  <r>
    <s v="ORD01416"/>
    <d v="2024-02-15T00:00:00"/>
    <d v="2024-02-20T00:00:00"/>
    <s v="C0191"/>
    <x v="210"/>
    <s v="Corporate"/>
    <x v="2"/>
    <x v="3"/>
    <s v="P007"/>
    <x v="10"/>
    <x v="0"/>
    <n v="1"/>
    <n v="6000"/>
    <x v="4"/>
    <n v="5400"/>
    <n v="1034.82"/>
    <x v="0"/>
    <x v="2"/>
    <x v="1"/>
    <x v="1"/>
    <x v="6"/>
    <s v="Feb"/>
    <s v="Q1"/>
    <x v="18"/>
    <n v="5"/>
    <n v="19.16"/>
  </r>
  <r>
    <s v="ORD01702"/>
    <d v="2024-09-11T00:00:00"/>
    <d v="2024-09-15T00:00:00"/>
    <s v="C0243"/>
    <x v="24"/>
    <s v="Corporate"/>
    <x v="0"/>
    <x v="11"/>
    <s v="P008"/>
    <x v="11"/>
    <x v="1"/>
    <n v="2"/>
    <n v="250"/>
    <x v="3"/>
    <n v="475"/>
    <n v="187.58"/>
    <x v="1"/>
    <x v="2"/>
    <x v="3"/>
    <x v="1"/>
    <x v="9"/>
    <s v="Sep"/>
    <s v="Q3"/>
    <x v="20"/>
    <n v="4"/>
    <n v="39.49"/>
  </r>
  <r>
    <s v="ORD01055"/>
    <d v="2025-01-15T00:00:00"/>
    <d v="2025-01-16T00:00:00"/>
    <s v="C0111"/>
    <x v="74"/>
    <s v="Consumer"/>
    <x v="3"/>
    <x v="8"/>
    <s v="P011"/>
    <x v="9"/>
    <x v="4"/>
    <n v="1"/>
    <n v="600"/>
    <x v="2"/>
    <n v="480"/>
    <n v="150.62"/>
    <x v="3"/>
    <x v="2"/>
    <x v="3"/>
    <x v="0"/>
    <x v="11"/>
    <s v="Jan"/>
    <s v="Q1"/>
    <x v="17"/>
    <n v="1"/>
    <n v="31.38"/>
  </r>
  <r>
    <s v="ORD00910"/>
    <d v="2025-03-28T00:00:00"/>
    <d v="2025-04-01T00:00:00"/>
    <s v="C0296"/>
    <x v="81"/>
    <s v="Small Business"/>
    <x v="2"/>
    <x v="4"/>
    <s v="P003"/>
    <x v="5"/>
    <x v="2"/>
    <n v="3"/>
    <n v="3000"/>
    <x v="0"/>
    <n v="9000"/>
    <n v="2859"/>
    <x v="4"/>
    <x v="2"/>
    <x v="2"/>
    <x v="0"/>
    <x v="0"/>
    <s v="Mar"/>
    <s v="Q1"/>
    <x v="0"/>
    <n v="4"/>
    <n v="31.77"/>
  </r>
  <r>
    <s v="ORD00891"/>
    <d v="2025-09-08T00:00:00"/>
    <d v="2025-09-12T00:00:00"/>
    <s v="C0072"/>
    <x v="80"/>
    <s v="Consumer"/>
    <x v="0"/>
    <x v="0"/>
    <s v="P001"/>
    <x v="8"/>
    <x v="2"/>
    <n v="1"/>
    <n v="55000"/>
    <x v="4"/>
    <n v="49500"/>
    <n v="7233.02"/>
    <x v="3"/>
    <x v="1"/>
    <x v="1"/>
    <x v="0"/>
    <x v="9"/>
    <s v="Sep"/>
    <s v="Q3"/>
    <x v="11"/>
    <n v="4"/>
    <n v="14.61"/>
  </r>
  <r>
    <s v="ORD01981"/>
    <d v="2025-09-01T00:00:00"/>
    <d v="2025-09-07T00:00:00"/>
    <s v="C0067"/>
    <x v="135"/>
    <s v="Consumer"/>
    <x v="2"/>
    <x v="9"/>
    <s v="P008"/>
    <x v="11"/>
    <x v="1"/>
    <n v="2"/>
    <n v="250"/>
    <x v="0"/>
    <n v="500"/>
    <n v="196.66"/>
    <x v="5"/>
    <x v="0"/>
    <x v="2"/>
    <x v="0"/>
    <x v="9"/>
    <s v="Sep"/>
    <s v="Q3"/>
    <x v="11"/>
    <n v="6"/>
    <n v="39.33"/>
  </r>
  <r>
    <s v="ORD00871"/>
    <d v="2025-04-27T00:00:00"/>
    <d v="2025-05-04T00:00:00"/>
    <s v="C0194"/>
    <x v="139"/>
    <s v="Corporate"/>
    <x v="3"/>
    <x v="8"/>
    <s v="P003"/>
    <x v="5"/>
    <x v="2"/>
    <n v="2"/>
    <n v="3000"/>
    <x v="4"/>
    <n v="5400"/>
    <n v="1528.89"/>
    <x v="4"/>
    <x v="1"/>
    <x v="3"/>
    <x v="0"/>
    <x v="5"/>
    <s v="Apr"/>
    <s v="Q2"/>
    <x v="13"/>
    <n v="7"/>
    <n v="28.31"/>
  </r>
  <r>
    <s v="ORD00377"/>
    <d v="2024-05-23T00:00:00"/>
    <d v="2024-05-25T00:00:00"/>
    <s v="C0042"/>
    <x v="117"/>
    <s v="Consumer"/>
    <x v="1"/>
    <x v="13"/>
    <s v="P005"/>
    <x v="0"/>
    <x v="0"/>
    <n v="4"/>
    <n v="7000"/>
    <x v="0"/>
    <n v="28000"/>
    <n v="4960.6099999999997"/>
    <x v="5"/>
    <x v="0"/>
    <x v="3"/>
    <x v="1"/>
    <x v="4"/>
    <s v="May"/>
    <s v="Q2"/>
    <x v="8"/>
    <n v="2"/>
    <n v="17.72"/>
  </r>
  <r>
    <s v="ORD00326"/>
    <d v="2024-01-10T00:00:00"/>
    <d v="2024-01-16T00:00:00"/>
    <s v="C0049"/>
    <x v="194"/>
    <s v="Consumer"/>
    <x v="1"/>
    <x v="1"/>
    <s v="P001"/>
    <x v="8"/>
    <x v="2"/>
    <n v="4"/>
    <n v="55000"/>
    <x v="1"/>
    <n v="187000"/>
    <n v="32275.88"/>
    <x v="3"/>
    <x v="1"/>
    <x v="1"/>
    <x v="1"/>
    <x v="11"/>
    <s v="Jan"/>
    <s v="Q1"/>
    <x v="21"/>
    <n v="6"/>
    <n v="17.260000000000002"/>
  </r>
  <r>
    <s v="ORD01213"/>
    <d v="2024-04-06T00:00:00"/>
    <d v="2024-04-14T00:00:00"/>
    <s v="C0103"/>
    <x v="274"/>
    <s v="Small Business"/>
    <x v="3"/>
    <x v="8"/>
    <s v="P012"/>
    <x v="4"/>
    <x v="3"/>
    <n v="2"/>
    <n v="3500"/>
    <x v="0"/>
    <n v="7000"/>
    <n v="1652.86"/>
    <x v="1"/>
    <x v="0"/>
    <x v="3"/>
    <x v="1"/>
    <x v="5"/>
    <s v="Apr"/>
    <s v="Q2"/>
    <x v="6"/>
    <n v="8"/>
    <n v="23.61"/>
  </r>
  <r>
    <s v="ORD00353"/>
    <d v="2024-02-25T00:00:00"/>
    <d v="2024-03-04T00:00:00"/>
    <s v="C0161"/>
    <x v="62"/>
    <s v="Consumer"/>
    <x v="3"/>
    <x v="12"/>
    <s v="P009"/>
    <x v="2"/>
    <x v="1"/>
    <n v="1"/>
    <n v="180"/>
    <x v="0"/>
    <n v="180"/>
    <n v="63.28"/>
    <x v="4"/>
    <x v="2"/>
    <x v="4"/>
    <x v="1"/>
    <x v="6"/>
    <s v="Feb"/>
    <s v="Q1"/>
    <x v="18"/>
    <n v="8"/>
    <n v="35.159999999999997"/>
  </r>
  <r>
    <s v="ORD00823"/>
    <d v="2025-06-04T00:00:00"/>
    <d v="2025-06-10T00:00:00"/>
    <s v="C0034"/>
    <x v="17"/>
    <s v="Small Business"/>
    <x v="1"/>
    <x v="1"/>
    <s v="P003"/>
    <x v="5"/>
    <x v="2"/>
    <n v="1"/>
    <n v="3000"/>
    <x v="1"/>
    <n v="2550"/>
    <n v="765.35"/>
    <x v="0"/>
    <x v="2"/>
    <x v="0"/>
    <x v="0"/>
    <x v="8"/>
    <s v="Jun"/>
    <s v="Q2"/>
    <x v="10"/>
    <n v="6"/>
    <n v="30.01"/>
  </r>
  <r>
    <s v="ORD01894"/>
    <d v="2024-09-11T00:00:00"/>
    <d v="2024-09-19T00:00:00"/>
    <s v="C0276"/>
    <x v="181"/>
    <s v="Consumer"/>
    <x v="1"/>
    <x v="13"/>
    <s v="P010"/>
    <x v="6"/>
    <x v="4"/>
    <n v="3"/>
    <n v="1800"/>
    <x v="4"/>
    <n v="4860"/>
    <n v="1460.02"/>
    <x v="3"/>
    <x v="2"/>
    <x v="0"/>
    <x v="1"/>
    <x v="9"/>
    <s v="Sep"/>
    <s v="Q3"/>
    <x v="20"/>
    <n v="8"/>
    <n v="30.04"/>
  </r>
  <r>
    <s v="ORD00942"/>
    <d v="2025-09-24T00:00:00"/>
    <d v="2025-10-02T00:00:00"/>
    <s v="C0019"/>
    <x v="48"/>
    <s v="Consumer"/>
    <x v="2"/>
    <x v="4"/>
    <s v="P008"/>
    <x v="11"/>
    <x v="1"/>
    <n v="4"/>
    <n v="250"/>
    <x v="0"/>
    <n v="1000"/>
    <n v="336.92"/>
    <x v="3"/>
    <x v="1"/>
    <x v="4"/>
    <x v="0"/>
    <x v="9"/>
    <s v="Sep"/>
    <s v="Q3"/>
    <x v="11"/>
    <n v="8"/>
    <n v="33.69"/>
  </r>
  <r>
    <s v="ORD00331"/>
    <d v="2024-02-17T00:00:00"/>
    <d v="2024-02-21T00:00:00"/>
    <s v="C0211"/>
    <x v="166"/>
    <s v="Consumer"/>
    <x v="3"/>
    <x v="8"/>
    <s v="P008"/>
    <x v="11"/>
    <x v="1"/>
    <n v="1"/>
    <n v="250"/>
    <x v="1"/>
    <n v="212.5"/>
    <n v="70.180000000000007"/>
    <x v="5"/>
    <x v="1"/>
    <x v="1"/>
    <x v="1"/>
    <x v="6"/>
    <s v="Feb"/>
    <s v="Q1"/>
    <x v="18"/>
    <n v="4"/>
    <n v="33.03"/>
  </r>
  <r>
    <s v="ORD01311"/>
    <d v="2025-03-29T00:00:00"/>
    <d v="2025-04-01T00:00:00"/>
    <s v="C0156"/>
    <x v="155"/>
    <s v="Consumer"/>
    <x v="1"/>
    <x v="16"/>
    <s v="P002"/>
    <x v="3"/>
    <x v="2"/>
    <n v="1"/>
    <n v="25000"/>
    <x v="1"/>
    <n v="21250"/>
    <n v="2917.95"/>
    <x v="4"/>
    <x v="0"/>
    <x v="2"/>
    <x v="0"/>
    <x v="0"/>
    <s v="Mar"/>
    <s v="Q1"/>
    <x v="0"/>
    <n v="3"/>
    <n v="13.73"/>
  </r>
  <r>
    <s v="ORD01603"/>
    <d v="2025-02-28T00:00:00"/>
    <d v="2025-03-06T00:00:00"/>
    <s v="C0222"/>
    <x v="143"/>
    <s v="Corporate"/>
    <x v="3"/>
    <x v="12"/>
    <s v="P003"/>
    <x v="5"/>
    <x v="2"/>
    <n v="2"/>
    <n v="3000"/>
    <x v="0"/>
    <n v="6000"/>
    <n v="1500.33"/>
    <x v="2"/>
    <x v="1"/>
    <x v="2"/>
    <x v="0"/>
    <x v="6"/>
    <s v="Feb"/>
    <s v="Q1"/>
    <x v="7"/>
    <n v="6"/>
    <n v="25.01"/>
  </r>
  <r>
    <s v="ORD01590"/>
    <d v="2024-03-02T00:00:00"/>
    <d v="2024-03-08T00:00:00"/>
    <s v="C0288"/>
    <x v="163"/>
    <s v="Corporate"/>
    <x v="1"/>
    <x v="5"/>
    <s v="P005"/>
    <x v="0"/>
    <x v="0"/>
    <n v="1"/>
    <n v="7000"/>
    <x v="0"/>
    <n v="7000"/>
    <n v="1466.5"/>
    <x v="2"/>
    <x v="1"/>
    <x v="0"/>
    <x v="1"/>
    <x v="0"/>
    <s v="Mar"/>
    <s v="Q1"/>
    <x v="2"/>
    <n v="6"/>
    <n v="20.95"/>
  </r>
  <r>
    <s v="ORD01801"/>
    <d v="2024-08-30T00:00:00"/>
    <d v="2024-09-01T00:00:00"/>
    <s v="C0119"/>
    <x v="238"/>
    <s v="Consumer"/>
    <x v="0"/>
    <x v="2"/>
    <s v="P002"/>
    <x v="3"/>
    <x v="2"/>
    <n v="1"/>
    <n v="25000"/>
    <x v="2"/>
    <n v="20000"/>
    <n v="3159.7"/>
    <x v="3"/>
    <x v="1"/>
    <x v="3"/>
    <x v="1"/>
    <x v="7"/>
    <s v="Aug"/>
    <s v="Q3"/>
    <x v="9"/>
    <n v="2"/>
    <n v="15.8"/>
  </r>
  <r>
    <s v="ORD00813"/>
    <d v="2024-12-02T00:00:00"/>
    <d v="2024-12-10T00:00:00"/>
    <s v="C0154"/>
    <x v="23"/>
    <s v="Small Business"/>
    <x v="0"/>
    <x v="2"/>
    <s v="P007"/>
    <x v="10"/>
    <x v="0"/>
    <n v="2"/>
    <n v="6000"/>
    <x v="2"/>
    <n v="9600"/>
    <n v="2451.96"/>
    <x v="4"/>
    <x v="0"/>
    <x v="2"/>
    <x v="1"/>
    <x v="10"/>
    <s v="Dec"/>
    <s v="Q4"/>
    <x v="16"/>
    <n v="8"/>
    <n v="25.54"/>
  </r>
  <r>
    <s v="ORD01341"/>
    <d v="2024-03-03T00:00:00"/>
    <d v="2024-03-08T00:00:00"/>
    <s v="C0241"/>
    <x v="63"/>
    <s v="Consumer"/>
    <x v="2"/>
    <x v="4"/>
    <s v="P001"/>
    <x v="8"/>
    <x v="2"/>
    <n v="2"/>
    <n v="55000"/>
    <x v="0"/>
    <n v="110000"/>
    <n v="20721.45"/>
    <x v="3"/>
    <x v="2"/>
    <x v="0"/>
    <x v="1"/>
    <x v="0"/>
    <s v="Mar"/>
    <s v="Q1"/>
    <x v="2"/>
    <n v="5"/>
    <n v="18.84"/>
  </r>
  <r>
    <s v="ORD01493"/>
    <d v="2025-05-27T00:00:00"/>
    <d v="2025-06-03T00:00:00"/>
    <s v="C0079"/>
    <x v="267"/>
    <s v="Consumer"/>
    <x v="0"/>
    <x v="0"/>
    <s v="P003"/>
    <x v="5"/>
    <x v="2"/>
    <n v="1"/>
    <n v="3000"/>
    <x v="3"/>
    <n v="2850"/>
    <n v="857.04"/>
    <x v="2"/>
    <x v="2"/>
    <x v="4"/>
    <x v="0"/>
    <x v="4"/>
    <s v="May"/>
    <s v="Q2"/>
    <x v="5"/>
    <n v="7"/>
    <n v="30.07"/>
  </r>
  <r>
    <s v="ORD00180"/>
    <d v="2025-08-08T00:00:00"/>
    <d v="2025-08-11T00:00:00"/>
    <s v="C0287"/>
    <x v="2"/>
    <s v="Corporate"/>
    <x v="0"/>
    <x v="2"/>
    <s v="P004"/>
    <x v="7"/>
    <x v="2"/>
    <n v="2"/>
    <n v="8000"/>
    <x v="1"/>
    <n v="13600"/>
    <n v="2897.8"/>
    <x v="3"/>
    <x v="1"/>
    <x v="4"/>
    <x v="0"/>
    <x v="7"/>
    <s v="Aug"/>
    <s v="Q3"/>
    <x v="22"/>
    <n v="3"/>
    <n v="21.31"/>
  </r>
  <r>
    <s v="ORD00051"/>
    <d v="2025-10-17T00:00:00"/>
    <d v="2025-10-20T00:00:00"/>
    <s v="C0208"/>
    <x v="218"/>
    <s v="Small Business"/>
    <x v="2"/>
    <x v="3"/>
    <s v="P012"/>
    <x v="4"/>
    <x v="3"/>
    <n v="1"/>
    <n v="3500"/>
    <x v="0"/>
    <n v="3500"/>
    <n v="1216.8599999999999"/>
    <x v="1"/>
    <x v="1"/>
    <x v="4"/>
    <x v="0"/>
    <x v="1"/>
    <s v="Oct"/>
    <s v="Q4"/>
    <x v="14"/>
    <n v="3"/>
    <n v="34.770000000000003"/>
  </r>
  <r>
    <s v="ORD00733"/>
    <d v="2025-11-20T00:00:00"/>
    <d v="2025-11-23T00:00:00"/>
    <s v="C0185"/>
    <x v="12"/>
    <s v="Corporate"/>
    <x v="1"/>
    <x v="1"/>
    <s v="P012"/>
    <x v="4"/>
    <x v="3"/>
    <n v="3"/>
    <n v="3500"/>
    <x v="2"/>
    <n v="8400"/>
    <n v="2207.02"/>
    <x v="4"/>
    <x v="0"/>
    <x v="2"/>
    <x v="0"/>
    <x v="2"/>
    <s v="Nov"/>
    <s v="Q4"/>
    <x v="23"/>
    <n v="3"/>
    <n v="26.27"/>
  </r>
  <r>
    <s v="ORD01366"/>
    <d v="2025-06-20T00:00:00"/>
    <m/>
    <s v="C0267"/>
    <x v="93"/>
    <s v="Consumer"/>
    <x v="2"/>
    <x v="9"/>
    <s v="P005"/>
    <x v="0"/>
    <x v="0"/>
    <n v="1"/>
    <n v="7000"/>
    <x v="1"/>
    <n v="5950"/>
    <n v="1229.6500000000001"/>
    <x v="5"/>
    <x v="1"/>
    <x v="4"/>
    <x v="0"/>
    <x v="8"/>
    <s v="Jun"/>
    <s v="Q2"/>
    <x v="10"/>
    <s v=""/>
    <n v="20.67"/>
  </r>
  <r>
    <s v="ORD01362"/>
    <d v="2024-11-03T00:00:00"/>
    <d v="2024-11-07T00:00:00"/>
    <s v="C0070"/>
    <x v="31"/>
    <s v="Corporate"/>
    <x v="3"/>
    <x v="8"/>
    <s v="P012"/>
    <x v="4"/>
    <x v="3"/>
    <n v="1"/>
    <n v="3500"/>
    <x v="4"/>
    <n v="3150"/>
    <n v="974.99"/>
    <x v="5"/>
    <x v="2"/>
    <x v="1"/>
    <x v="1"/>
    <x v="2"/>
    <s v="Nov"/>
    <s v="Q4"/>
    <x v="3"/>
    <n v="4"/>
    <n v="30.95"/>
  </r>
  <r>
    <s v="ORD01856"/>
    <d v="2025-03-23T00:00:00"/>
    <d v="2025-03-25T00:00:00"/>
    <s v="C0226"/>
    <x v="25"/>
    <s v="Small Business"/>
    <x v="3"/>
    <x v="6"/>
    <s v="P005"/>
    <x v="0"/>
    <x v="0"/>
    <n v="4"/>
    <n v="7000"/>
    <x v="3"/>
    <n v="26600"/>
    <n v="6023.33"/>
    <x v="3"/>
    <x v="2"/>
    <x v="3"/>
    <x v="0"/>
    <x v="0"/>
    <s v="Mar"/>
    <s v="Q1"/>
    <x v="0"/>
    <n v="2"/>
    <n v="22.64"/>
  </r>
  <r>
    <s v="ORD01078"/>
    <d v="2024-09-29T00:00:00"/>
    <d v="2024-10-03T00:00:00"/>
    <s v="C0019"/>
    <x v="48"/>
    <s v="Consumer"/>
    <x v="2"/>
    <x v="4"/>
    <s v="P010"/>
    <x v="6"/>
    <x v="4"/>
    <n v="1"/>
    <n v="1800"/>
    <x v="4"/>
    <n v="1620"/>
    <n v="419.81"/>
    <x v="1"/>
    <x v="0"/>
    <x v="0"/>
    <x v="1"/>
    <x v="9"/>
    <s v="Sep"/>
    <s v="Q3"/>
    <x v="20"/>
    <n v="4"/>
    <n v="25.91"/>
  </r>
  <r>
    <s v="ORD01116"/>
    <d v="2025-06-03T00:00:00"/>
    <d v="2025-06-09T00:00:00"/>
    <s v="C0295"/>
    <x v="107"/>
    <s v="Consumer"/>
    <x v="0"/>
    <x v="11"/>
    <s v="P012"/>
    <x v="4"/>
    <x v="3"/>
    <n v="3"/>
    <n v="3500"/>
    <x v="4"/>
    <n v="9450"/>
    <n v="2430.36"/>
    <x v="1"/>
    <x v="2"/>
    <x v="4"/>
    <x v="0"/>
    <x v="8"/>
    <s v="Jun"/>
    <s v="Q2"/>
    <x v="10"/>
    <n v="6"/>
    <n v="25.72"/>
  </r>
  <r>
    <s v="ORD00886"/>
    <d v="2025-01-21T00:00:00"/>
    <d v="2025-01-25T00:00:00"/>
    <s v="C0151"/>
    <x v="198"/>
    <s v="Corporate"/>
    <x v="1"/>
    <x v="1"/>
    <s v="P002"/>
    <x v="3"/>
    <x v="2"/>
    <n v="1"/>
    <n v="25000"/>
    <x v="0"/>
    <n v="25000"/>
    <n v="3138.23"/>
    <x v="0"/>
    <x v="1"/>
    <x v="3"/>
    <x v="0"/>
    <x v="11"/>
    <s v="Jan"/>
    <s v="Q1"/>
    <x v="17"/>
    <n v="4"/>
    <n v="12.55"/>
  </r>
  <r>
    <s v="ORD00484"/>
    <d v="2024-06-23T00:00:00"/>
    <d v="2024-06-28T00:00:00"/>
    <s v="C0023"/>
    <x v="132"/>
    <s v="Small Business"/>
    <x v="1"/>
    <x v="16"/>
    <s v="P005"/>
    <x v="0"/>
    <x v="0"/>
    <n v="1"/>
    <n v="7000"/>
    <x v="0"/>
    <n v="7000"/>
    <n v="1564.14"/>
    <x v="2"/>
    <x v="1"/>
    <x v="3"/>
    <x v="1"/>
    <x v="8"/>
    <s v="Jun"/>
    <s v="Q2"/>
    <x v="12"/>
    <n v="5"/>
    <n v="22.34"/>
  </r>
  <r>
    <s v="ORD01899"/>
    <d v="2025-01-16T00:00:00"/>
    <d v="2025-01-17T00:00:00"/>
    <s v="C0134"/>
    <x v="178"/>
    <s v="Small Business"/>
    <x v="1"/>
    <x v="16"/>
    <s v="P006"/>
    <x v="1"/>
    <x v="0"/>
    <n v="2"/>
    <n v="9500"/>
    <x v="3"/>
    <n v="18050"/>
    <n v="3228.07"/>
    <x v="2"/>
    <x v="2"/>
    <x v="1"/>
    <x v="0"/>
    <x v="11"/>
    <s v="Jan"/>
    <s v="Q1"/>
    <x v="17"/>
    <n v="1"/>
    <n v="17.88"/>
  </r>
  <r>
    <s v="ORD00838"/>
    <d v="2025-01-30T00:00:00"/>
    <d v="2025-02-07T00:00:00"/>
    <s v="C0033"/>
    <x v="255"/>
    <s v="Small Business"/>
    <x v="2"/>
    <x v="14"/>
    <s v="P009"/>
    <x v="2"/>
    <x v="1"/>
    <n v="1"/>
    <n v="180"/>
    <x v="0"/>
    <n v="180"/>
    <n v="67.349999999999994"/>
    <x v="5"/>
    <x v="1"/>
    <x v="3"/>
    <x v="0"/>
    <x v="11"/>
    <s v="Jan"/>
    <s v="Q1"/>
    <x v="17"/>
    <n v="8"/>
    <n v="37.42"/>
  </r>
  <r>
    <s v="ORD00444"/>
    <d v="2025-05-25T00:00:00"/>
    <d v="2025-05-26T00:00:00"/>
    <s v="C0216"/>
    <x v="154"/>
    <s v="Corporate"/>
    <x v="1"/>
    <x v="1"/>
    <s v="P005"/>
    <x v="0"/>
    <x v="0"/>
    <n v="10"/>
    <n v="7000"/>
    <x v="3"/>
    <n v="66500"/>
    <n v="14630"/>
    <x v="3"/>
    <x v="0"/>
    <x v="2"/>
    <x v="0"/>
    <x v="4"/>
    <s v="May"/>
    <s v="Q2"/>
    <x v="5"/>
    <n v="1"/>
    <n v="22"/>
  </r>
  <r>
    <s v="ORD01963"/>
    <d v="2025-12-18T00:00:00"/>
    <d v="2025-12-23T00:00:00"/>
    <s v="C0248"/>
    <x v="1"/>
    <s v="Consumer"/>
    <x v="1"/>
    <x v="1"/>
    <s v="P005"/>
    <x v="0"/>
    <x v="0"/>
    <n v="3"/>
    <n v="7000"/>
    <x v="4"/>
    <n v="18900"/>
    <n v="3865.28"/>
    <x v="1"/>
    <x v="2"/>
    <x v="4"/>
    <x v="0"/>
    <x v="10"/>
    <s v="Dec"/>
    <s v="Q4"/>
    <x v="19"/>
    <n v="5"/>
    <n v="20.45"/>
  </r>
  <r>
    <s v="ORD01660"/>
    <d v="2024-07-27T00:00:00"/>
    <d v="2024-08-01T00:00:00"/>
    <s v="C0269"/>
    <x v="102"/>
    <s v="Consumer"/>
    <x v="2"/>
    <x v="3"/>
    <s v="P005"/>
    <x v="0"/>
    <x v="0"/>
    <n v="2"/>
    <n v="7000"/>
    <x v="0"/>
    <n v="14000"/>
    <n v="2329.34"/>
    <x v="4"/>
    <x v="1"/>
    <x v="3"/>
    <x v="1"/>
    <x v="3"/>
    <s v="Jul"/>
    <s v="Q3"/>
    <x v="4"/>
    <n v="5"/>
    <n v="16.64"/>
  </r>
  <r>
    <s v="ORD01112"/>
    <d v="2024-01-12T00:00:00"/>
    <d v="2024-01-20T00:00:00"/>
    <s v="C0289"/>
    <x v="221"/>
    <s v="Corporate"/>
    <x v="0"/>
    <x v="11"/>
    <s v="P007"/>
    <x v="10"/>
    <x v="0"/>
    <n v="2"/>
    <n v="6000"/>
    <x v="0"/>
    <n v="12000"/>
    <n v="2759.17"/>
    <x v="2"/>
    <x v="1"/>
    <x v="2"/>
    <x v="1"/>
    <x v="11"/>
    <s v="Jan"/>
    <s v="Q1"/>
    <x v="21"/>
    <n v="8"/>
    <n v="22.99"/>
  </r>
  <r>
    <s v="ORD01088"/>
    <d v="2024-04-01T00:00:00"/>
    <d v="2024-04-06T00:00:00"/>
    <s v="C0185"/>
    <x v="12"/>
    <s v="Corporate"/>
    <x v="1"/>
    <x v="1"/>
    <s v="P004"/>
    <x v="7"/>
    <x v="2"/>
    <n v="1"/>
    <n v="8000"/>
    <x v="3"/>
    <n v="7600"/>
    <n v="1815.44"/>
    <x v="5"/>
    <x v="2"/>
    <x v="1"/>
    <x v="1"/>
    <x v="5"/>
    <s v="Apr"/>
    <s v="Q2"/>
    <x v="6"/>
    <n v="5"/>
    <n v="23.89"/>
  </r>
  <r>
    <s v="ORD01348"/>
    <d v="2025-08-07T00:00:00"/>
    <d v="2025-08-10T00:00:00"/>
    <s v="C0245"/>
    <x v="118"/>
    <s v="Corporate"/>
    <x v="0"/>
    <x v="11"/>
    <s v="P008"/>
    <x v="11"/>
    <x v="1"/>
    <n v="1"/>
    <n v="250"/>
    <x v="0"/>
    <n v="250"/>
    <n v="90.59"/>
    <x v="4"/>
    <x v="2"/>
    <x v="3"/>
    <x v="0"/>
    <x v="7"/>
    <s v="Aug"/>
    <s v="Q3"/>
    <x v="22"/>
    <n v="3"/>
    <n v="36.24"/>
  </r>
  <r>
    <s v="ORD00257"/>
    <d v="2025-06-22T00:00:00"/>
    <d v="2025-06-23T00:00:00"/>
    <s v="C0103"/>
    <x v="274"/>
    <s v="Small Business"/>
    <x v="3"/>
    <x v="8"/>
    <s v="P011"/>
    <x v="9"/>
    <x v="4"/>
    <n v="1"/>
    <n v="600"/>
    <x v="2"/>
    <n v="480"/>
    <n v="182.4"/>
    <x v="0"/>
    <x v="2"/>
    <x v="4"/>
    <x v="0"/>
    <x v="8"/>
    <s v="Jun"/>
    <s v="Q2"/>
    <x v="10"/>
    <n v="1"/>
    <n v="38"/>
  </r>
  <r>
    <s v="ORD01839"/>
    <d v="2025-11-13T00:00:00"/>
    <d v="2025-11-21T00:00:00"/>
    <s v="C0110"/>
    <x v="204"/>
    <s v="Small Business"/>
    <x v="0"/>
    <x v="0"/>
    <s v="P012"/>
    <x v="4"/>
    <x v="3"/>
    <n v="1"/>
    <n v="3500"/>
    <x v="2"/>
    <n v="2800"/>
    <n v="876.13"/>
    <x v="2"/>
    <x v="0"/>
    <x v="2"/>
    <x v="0"/>
    <x v="2"/>
    <s v="Nov"/>
    <s v="Q4"/>
    <x v="23"/>
    <n v="8"/>
    <n v="31.29"/>
  </r>
  <r>
    <s v="ORD01782"/>
    <d v="2025-02-06T00:00:00"/>
    <d v="2025-02-12T00:00:00"/>
    <s v="C0094"/>
    <x v="76"/>
    <s v="Corporate"/>
    <x v="3"/>
    <x v="8"/>
    <s v="P009"/>
    <x v="2"/>
    <x v="1"/>
    <n v="2"/>
    <n v="180"/>
    <x v="3"/>
    <n v="342"/>
    <n v="119.8"/>
    <x v="1"/>
    <x v="1"/>
    <x v="2"/>
    <x v="0"/>
    <x v="6"/>
    <s v="Feb"/>
    <s v="Q1"/>
    <x v="7"/>
    <n v="6"/>
    <n v="35.03"/>
  </r>
  <r>
    <s v="ORD00816"/>
    <d v="2025-08-22T00:00:00"/>
    <d v="2025-08-23T00:00:00"/>
    <s v="C0100"/>
    <x v="270"/>
    <s v="Consumer"/>
    <x v="2"/>
    <x v="4"/>
    <s v="P011"/>
    <x v="9"/>
    <x v="4"/>
    <n v="5"/>
    <n v="600"/>
    <x v="0"/>
    <n v="3000"/>
    <n v="818.02"/>
    <x v="4"/>
    <x v="0"/>
    <x v="4"/>
    <x v="0"/>
    <x v="7"/>
    <s v="Aug"/>
    <s v="Q3"/>
    <x v="22"/>
    <n v="1"/>
    <n v="27.27"/>
  </r>
  <r>
    <s v="ORD01015"/>
    <d v="2024-04-17T00:00:00"/>
    <d v="2024-04-19T00:00:00"/>
    <s v="C0005"/>
    <x v="86"/>
    <s v="Consumer"/>
    <x v="0"/>
    <x v="0"/>
    <s v="P003"/>
    <x v="5"/>
    <x v="2"/>
    <n v="1"/>
    <n v="3000"/>
    <x v="0"/>
    <n v="3000"/>
    <n v="835.25"/>
    <x v="4"/>
    <x v="1"/>
    <x v="0"/>
    <x v="1"/>
    <x v="5"/>
    <s v="Apr"/>
    <s v="Q2"/>
    <x v="6"/>
    <n v="2"/>
    <n v="27.84"/>
  </r>
  <r>
    <s v="ORD01043"/>
    <d v="2024-05-25T00:00:00"/>
    <d v="2024-06-02T00:00:00"/>
    <s v="C0063"/>
    <x v="275"/>
    <s v="Consumer"/>
    <x v="0"/>
    <x v="0"/>
    <s v="P002"/>
    <x v="3"/>
    <x v="2"/>
    <n v="1"/>
    <n v="25000"/>
    <x v="0"/>
    <n v="25000"/>
    <n v="2764.17"/>
    <x v="3"/>
    <x v="0"/>
    <x v="0"/>
    <x v="1"/>
    <x v="4"/>
    <s v="May"/>
    <s v="Q2"/>
    <x v="8"/>
    <n v="8"/>
    <n v="11.06"/>
  </r>
  <r>
    <s v="ORD00202"/>
    <d v="2024-06-19T00:00:00"/>
    <d v="2024-06-27T00:00:00"/>
    <s v="C0089"/>
    <x v="99"/>
    <s v="Small Business"/>
    <x v="2"/>
    <x v="3"/>
    <s v="P009"/>
    <x v="2"/>
    <x v="1"/>
    <n v="2"/>
    <n v="180"/>
    <x v="0"/>
    <n v="360"/>
    <n v="125.52"/>
    <x v="1"/>
    <x v="0"/>
    <x v="4"/>
    <x v="1"/>
    <x v="8"/>
    <s v="Jun"/>
    <s v="Q2"/>
    <x v="12"/>
    <n v="8"/>
    <n v="34.869999999999997"/>
  </r>
  <r>
    <s v="ORD01776"/>
    <d v="2025-09-22T00:00:00"/>
    <d v="2025-09-24T00:00:00"/>
    <s v="C0096"/>
    <x v="172"/>
    <s v="Consumer"/>
    <x v="1"/>
    <x v="1"/>
    <s v="P001"/>
    <x v="8"/>
    <x v="2"/>
    <n v="2"/>
    <n v="55000"/>
    <x v="3"/>
    <n v="104500"/>
    <n v="19037.59"/>
    <x v="5"/>
    <x v="2"/>
    <x v="0"/>
    <x v="0"/>
    <x v="9"/>
    <s v="Sep"/>
    <s v="Q3"/>
    <x v="11"/>
    <n v="2"/>
    <n v="18.22"/>
  </r>
  <r>
    <s v="ORD01414"/>
    <d v="2024-11-23T00:00:00"/>
    <d v="2024-11-24T00:00:00"/>
    <s v="C0114"/>
    <x v="98"/>
    <s v="Small Business"/>
    <x v="3"/>
    <x v="6"/>
    <s v="P012"/>
    <x v="4"/>
    <x v="3"/>
    <n v="1"/>
    <n v="3500"/>
    <x v="0"/>
    <n v="3500"/>
    <n v="1039.8699999999999"/>
    <x v="2"/>
    <x v="1"/>
    <x v="2"/>
    <x v="1"/>
    <x v="2"/>
    <s v="Nov"/>
    <s v="Q4"/>
    <x v="3"/>
    <n v="1"/>
    <n v="29.71"/>
  </r>
  <r>
    <s v="ORD00981"/>
    <d v="2024-04-15T00:00:00"/>
    <d v="2024-04-16T00:00:00"/>
    <s v="C0279"/>
    <x v="202"/>
    <s v="Corporate"/>
    <x v="0"/>
    <x v="10"/>
    <s v="P005"/>
    <x v="0"/>
    <x v="0"/>
    <n v="2"/>
    <n v="7000"/>
    <x v="2"/>
    <n v="11200"/>
    <n v="2134.1"/>
    <x v="6"/>
    <x v="0"/>
    <x v="2"/>
    <x v="1"/>
    <x v="5"/>
    <s v="Apr"/>
    <s v="Q2"/>
    <x v="6"/>
    <n v="1"/>
    <n v="19.05"/>
  </r>
  <r>
    <s v="ORD00875"/>
    <d v="2025-01-17T00:00:00"/>
    <d v="2025-01-19T00:00:00"/>
    <s v="C0203"/>
    <x v="179"/>
    <s v="Consumer"/>
    <x v="1"/>
    <x v="13"/>
    <s v="P012"/>
    <x v="4"/>
    <x v="3"/>
    <n v="1"/>
    <n v="3500"/>
    <x v="0"/>
    <n v="3500"/>
    <n v="1071.19"/>
    <x v="0"/>
    <x v="0"/>
    <x v="3"/>
    <x v="0"/>
    <x v="11"/>
    <s v="Jan"/>
    <s v="Q1"/>
    <x v="17"/>
    <n v="2"/>
    <n v="30.61"/>
  </r>
  <r>
    <s v="ORD00995"/>
    <d v="2024-07-05T00:00:00"/>
    <d v="2024-07-10T00:00:00"/>
    <s v="C0214"/>
    <x v="65"/>
    <s v="Small Business"/>
    <x v="1"/>
    <x v="1"/>
    <s v="P003"/>
    <x v="5"/>
    <x v="2"/>
    <n v="2"/>
    <n v="3000"/>
    <x v="0"/>
    <n v="6000"/>
    <n v="1798.64"/>
    <x v="0"/>
    <x v="1"/>
    <x v="4"/>
    <x v="1"/>
    <x v="3"/>
    <s v="Jul"/>
    <s v="Q3"/>
    <x v="4"/>
    <n v="5"/>
    <n v="29.98"/>
  </r>
  <r>
    <s v="ORD01664"/>
    <d v="2025-06-12T00:00:00"/>
    <d v="2025-06-14T00:00:00"/>
    <s v="C0140"/>
    <x v="140"/>
    <s v="Small Business"/>
    <x v="3"/>
    <x v="7"/>
    <s v="P011"/>
    <x v="9"/>
    <x v="4"/>
    <n v="3"/>
    <n v="600"/>
    <x v="1"/>
    <n v="1530"/>
    <n v="500.87"/>
    <x v="1"/>
    <x v="0"/>
    <x v="2"/>
    <x v="0"/>
    <x v="8"/>
    <s v="Jun"/>
    <s v="Q2"/>
    <x v="10"/>
    <n v="2"/>
    <n v="32.74"/>
  </r>
  <r>
    <s v="ORD00831"/>
    <d v="2025-09-10T00:00:00"/>
    <d v="2025-09-15T00:00:00"/>
    <s v="C0098"/>
    <x v="0"/>
    <s v="Corporate"/>
    <x v="0"/>
    <x v="0"/>
    <s v="P012"/>
    <x v="4"/>
    <x v="3"/>
    <n v="10"/>
    <n v="3500"/>
    <x v="2"/>
    <n v="28000"/>
    <n v="8968.5400000000009"/>
    <x v="2"/>
    <x v="1"/>
    <x v="4"/>
    <x v="0"/>
    <x v="9"/>
    <s v="Sep"/>
    <s v="Q3"/>
    <x v="11"/>
    <n v="5"/>
    <n v="32.03"/>
  </r>
  <r>
    <s v="ORD00213"/>
    <d v="2025-06-11T00:00:00"/>
    <d v="2025-06-17T00:00:00"/>
    <s v="C0048"/>
    <x v="124"/>
    <s v="Small Business"/>
    <x v="2"/>
    <x v="3"/>
    <s v="P007"/>
    <x v="10"/>
    <x v="0"/>
    <n v="3"/>
    <n v="6000"/>
    <x v="1"/>
    <n v="15300"/>
    <n v="3945.69"/>
    <x v="0"/>
    <x v="1"/>
    <x v="4"/>
    <x v="0"/>
    <x v="8"/>
    <s v="Jun"/>
    <s v="Q2"/>
    <x v="10"/>
    <n v="6"/>
    <n v="25.79"/>
  </r>
  <r>
    <s v="ORD01492"/>
    <d v="2024-02-23T00:00:00"/>
    <d v="2024-02-24T00:00:00"/>
    <s v="C0286"/>
    <x v="39"/>
    <s v="Corporate"/>
    <x v="3"/>
    <x v="7"/>
    <s v="P001"/>
    <x v="8"/>
    <x v="2"/>
    <n v="2"/>
    <n v="55000"/>
    <x v="1"/>
    <n v="93500"/>
    <n v="13299.2"/>
    <x v="2"/>
    <x v="0"/>
    <x v="2"/>
    <x v="1"/>
    <x v="6"/>
    <s v="Feb"/>
    <s v="Q1"/>
    <x v="18"/>
    <n v="1"/>
    <n v="14.22"/>
  </r>
  <r>
    <s v="ORD01552"/>
    <d v="2025-12-03T00:00:00"/>
    <d v="2025-12-11T00:00:00"/>
    <s v="C0098"/>
    <x v="0"/>
    <s v="Corporate"/>
    <x v="0"/>
    <x v="0"/>
    <s v="P011"/>
    <x v="9"/>
    <x v="4"/>
    <n v="2"/>
    <n v="600"/>
    <x v="0"/>
    <n v="1200"/>
    <n v="356.49"/>
    <x v="1"/>
    <x v="2"/>
    <x v="2"/>
    <x v="0"/>
    <x v="10"/>
    <s v="Dec"/>
    <s v="Q4"/>
    <x v="19"/>
    <n v="8"/>
    <n v="29.71"/>
  </r>
  <r>
    <s v="ORD00059"/>
    <d v="2025-05-02T00:00:00"/>
    <d v="2025-05-08T00:00:00"/>
    <s v="C0165"/>
    <x v="42"/>
    <s v="Corporate"/>
    <x v="2"/>
    <x v="3"/>
    <s v="P010"/>
    <x v="6"/>
    <x v="4"/>
    <n v="2"/>
    <n v="1800"/>
    <x v="0"/>
    <n v="3600"/>
    <n v="1109.06"/>
    <x v="5"/>
    <x v="0"/>
    <x v="1"/>
    <x v="0"/>
    <x v="4"/>
    <s v="May"/>
    <s v="Q2"/>
    <x v="5"/>
    <n v="6"/>
    <n v="30.81"/>
  </r>
  <r>
    <s v="ORD01327"/>
    <d v="2024-03-18T00:00:00"/>
    <d v="2024-03-21T00:00:00"/>
    <s v="C0035"/>
    <x v="33"/>
    <s v="Consumer"/>
    <x v="3"/>
    <x v="8"/>
    <s v="P012"/>
    <x v="4"/>
    <x v="3"/>
    <n v="2"/>
    <n v="3500"/>
    <x v="4"/>
    <n v="6300"/>
    <n v="2040.67"/>
    <x v="1"/>
    <x v="0"/>
    <x v="1"/>
    <x v="1"/>
    <x v="0"/>
    <s v="Mar"/>
    <s v="Q1"/>
    <x v="2"/>
    <n v="3"/>
    <n v="32.39"/>
  </r>
  <r>
    <s v="ORD00730"/>
    <d v="2024-10-31T00:00:00"/>
    <d v="2024-11-05T00:00:00"/>
    <s v="C0214"/>
    <x v="65"/>
    <s v="Small Business"/>
    <x v="1"/>
    <x v="1"/>
    <s v="P012"/>
    <x v="4"/>
    <x v="3"/>
    <n v="3"/>
    <n v="3500"/>
    <x v="2"/>
    <n v="8400"/>
    <n v="2602.2600000000002"/>
    <x v="3"/>
    <x v="0"/>
    <x v="2"/>
    <x v="1"/>
    <x v="1"/>
    <s v="Oct"/>
    <s v="Q4"/>
    <x v="1"/>
    <n v="5"/>
    <n v="30.98"/>
  </r>
  <r>
    <s v="ORD01769"/>
    <d v="2025-07-06T00:00:00"/>
    <d v="2025-07-13T00:00:00"/>
    <s v="C0008"/>
    <x v="69"/>
    <s v="Corporate"/>
    <x v="3"/>
    <x v="12"/>
    <s v="P006"/>
    <x v="1"/>
    <x v="0"/>
    <n v="10"/>
    <n v="9500"/>
    <x v="0"/>
    <n v="95000"/>
    <n v="18519.28"/>
    <x v="1"/>
    <x v="0"/>
    <x v="3"/>
    <x v="0"/>
    <x v="3"/>
    <s v="Jul"/>
    <s v="Q3"/>
    <x v="15"/>
    <n v="7"/>
    <n v="19.489999999999998"/>
  </r>
  <r>
    <s v="ORD01503"/>
    <d v="2024-11-06T00:00:00"/>
    <d v="2024-11-12T00:00:00"/>
    <s v="C0141"/>
    <x v="262"/>
    <s v="Corporate"/>
    <x v="2"/>
    <x v="4"/>
    <s v="P001"/>
    <x v="8"/>
    <x v="2"/>
    <n v="3"/>
    <n v="55000"/>
    <x v="0"/>
    <n v="165000"/>
    <n v="21945.119999999999"/>
    <x v="4"/>
    <x v="2"/>
    <x v="2"/>
    <x v="1"/>
    <x v="2"/>
    <s v="Nov"/>
    <s v="Q4"/>
    <x v="3"/>
    <n v="6"/>
    <n v="13.3"/>
  </r>
  <r>
    <s v="ORD00836"/>
    <d v="2025-03-05T00:00:00"/>
    <d v="2025-03-10T00:00:00"/>
    <s v="C0174"/>
    <x v="100"/>
    <s v="Small Business"/>
    <x v="1"/>
    <x v="13"/>
    <s v="P004"/>
    <x v="7"/>
    <x v="2"/>
    <n v="2"/>
    <n v="8000"/>
    <x v="2"/>
    <n v="12800"/>
    <n v="2756.31"/>
    <x v="3"/>
    <x v="2"/>
    <x v="3"/>
    <x v="0"/>
    <x v="0"/>
    <s v="Mar"/>
    <s v="Q1"/>
    <x v="0"/>
    <n v="5"/>
    <n v="21.53"/>
  </r>
  <r>
    <s v="ORD00972"/>
    <d v="2025-10-11T00:00:00"/>
    <d v="2025-10-16T00:00:00"/>
    <s v="C0132"/>
    <x v="203"/>
    <s v="Small Business"/>
    <x v="1"/>
    <x v="1"/>
    <s v="P011"/>
    <x v="9"/>
    <x v="4"/>
    <n v="1"/>
    <n v="600"/>
    <x v="3"/>
    <n v="570"/>
    <n v="170.74"/>
    <x v="4"/>
    <x v="2"/>
    <x v="0"/>
    <x v="0"/>
    <x v="1"/>
    <s v="Oct"/>
    <s v="Q4"/>
    <x v="14"/>
    <n v="5"/>
    <n v="29.95"/>
  </r>
  <r>
    <s v="ORD00477"/>
    <d v="2025-10-29T00:00:00"/>
    <d v="2025-11-02T00:00:00"/>
    <s v="C0250"/>
    <x v="43"/>
    <s v="Small Business"/>
    <x v="0"/>
    <x v="11"/>
    <s v="P007"/>
    <x v="10"/>
    <x v="0"/>
    <n v="2"/>
    <n v="6000"/>
    <x v="1"/>
    <n v="10200"/>
    <n v="2226.94"/>
    <x v="2"/>
    <x v="1"/>
    <x v="0"/>
    <x v="0"/>
    <x v="1"/>
    <s v="Oct"/>
    <s v="Q4"/>
    <x v="14"/>
    <n v="4"/>
    <n v="21.83"/>
  </r>
  <r>
    <s v="ORD01242"/>
    <d v="2024-04-17T00:00:00"/>
    <m/>
    <s v="C0166"/>
    <x v="288"/>
    <s v="Small Business"/>
    <x v="2"/>
    <x v="9"/>
    <s v="P012"/>
    <x v="4"/>
    <x v="3"/>
    <n v="2"/>
    <n v="3500"/>
    <x v="2"/>
    <n v="5600"/>
    <n v="1900.25"/>
    <x v="0"/>
    <x v="1"/>
    <x v="4"/>
    <x v="1"/>
    <x v="5"/>
    <s v="Apr"/>
    <s v="Q2"/>
    <x v="6"/>
    <s v=""/>
    <n v="33.93"/>
  </r>
  <r>
    <s v="ORD00865"/>
    <d v="2024-12-02T00:00:00"/>
    <m/>
    <s v="C0228"/>
    <x v="122"/>
    <s v="Consumer"/>
    <x v="3"/>
    <x v="6"/>
    <s v="P012"/>
    <x v="4"/>
    <x v="3"/>
    <n v="1"/>
    <n v="3500"/>
    <x v="2"/>
    <n v="2800"/>
    <n v="899.76"/>
    <x v="5"/>
    <x v="1"/>
    <x v="3"/>
    <x v="1"/>
    <x v="10"/>
    <s v="Dec"/>
    <s v="Q4"/>
    <x v="16"/>
    <s v=""/>
    <n v="32.130000000000003"/>
  </r>
  <r>
    <s v="ORD01367"/>
    <d v="2025-09-16T00:00:00"/>
    <d v="2025-09-22T00:00:00"/>
    <s v="C0064"/>
    <x v="5"/>
    <s v="Corporate"/>
    <x v="0"/>
    <x v="0"/>
    <s v="P009"/>
    <x v="2"/>
    <x v="1"/>
    <n v="2"/>
    <n v="180"/>
    <x v="0"/>
    <n v="360"/>
    <n v="170.44"/>
    <x v="3"/>
    <x v="0"/>
    <x v="0"/>
    <x v="0"/>
    <x v="9"/>
    <s v="Sep"/>
    <s v="Q3"/>
    <x v="11"/>
    <n v="6"/>
    <n v="47.34"/>
  </r>
  <r>
    <s v="ORD00287"/>
    <d v="2024-04-25T00:00:00"/>
    <d v="2024-04-27T00:00:00"/>
    <s v="C0268"/>
    <x v="236"/>
    <s v="Corporate"/>
    <x v="2"/>
    <x v="14"/>
    <s v="P007"/>
    <x v="10"/>
    <x v="0"/>
    <n v="2"/>
    <n v="6000"/>
    <x v="0"/>
    <n v="12000"/>
    <n v="2668.72"/>
    <x v="2"/>
    <x v="2"/>
    <x v="3"/>
    <x v="1"/>
    <x v="5"/>
    <s v="Apr"/>
    <s v="Q2"/>
    <x v="6"/>
    <n v="2"/>
    <n v="22.24"/>
  </r>
  <r>
    <s v="ORD00632"/>
    <d v="2024-11-11T00:00:00"/>
    <d v="2024-11-19T00:00:00"/>
    <s v="C0177"/>
    <x v="121"/>
    <s v="Consumer"/>
    <x v="2"/>
    <x v="14"/>
    <s v="P006"/>
    <x v="1"/>
    <x v="0"/>
    <n v="4"/>
    <n v="9500"/>
    <x v="0"/>
    <n v="38000"/>
    <n v="5975.71"/>
    <x v="5"/>
    <x v="1"/>
    <x v="0"/>
    <x v="1"/>
    <x v="2"/>
    <s v="Nov"/>
    <s v="Q4"/>
    <x v="3"/>
    <n v="8"/>
    <n v="15.73"/>
  </r>
  <r>
    <s v="ORD01530"/>
    <d v="2024-06-27T00:00:00"/>
    <d v="2024-06-28T00:00:00"/>
    <s v="C0265"/>
    <x v="109"/>
    <s v="Consumer"/>
    <x v="1"/>
    <x v="1"/>
    <s v="P008"/>
    <x v="11"/>
    <x v="1"/>
    <n v="5"/>
    <n v="250"/>
    <x v="0"/>
    <n v="1250"/>
    <n v="500"/>
    <x v="3"/>
    <x v="2"/>
    <x v="4"/>
    <x v="1"/>
    <x v="8"/>
    <s v="Jun"/>
    <s v="Q2"/>
    <x v="12"/>
    <n v="1"/>
    <n v="40"/>
  </r>
  <r>
    <s v="ORD00256"/>
    <d v="2024-10-29T00:00:00"/>
    <d v="2024-11-03T00:00:00"/>
    <s v="C0126"/>
    <x v="110"/>
    <s v="Consumer"/>
    <x v="0"/>
    <x v="15"/>
    <s v="P011"/>
    <x v="9"/>
    <x v="4"/>
    <n v="4"/>
    <n v="600"/>
    <x v="3"/>
    <n v="2280"/>
    <n v="627.61"/>
    <x v="0"/>
    <x v="0"/>
    <x v="0"/>
    <x v="1"/>
    <x v="1"/>
    <s v="Oct"/>
    <s v="Q4"/>
    <x v="1"/>
    <n v="5"/>
    <n v="27.53"/>
  </r>
  <r>
    <s v="ORD01198"/>
    <d v="2025-08-25T00:00:00"/>
    <d v="2025-08-30T00:00:00"/>
    <s v="C0078"/>
    <x v="273"/>
    <s v="Small Business"/>
    <x v="0"/>
    <x v="0"/>
    <s v="P002"/>
    <x v="3"/>
    <x v="2"/>
    <n v="3"/>
    <n v="25000"/>
    <x v="0"/>
    <n v="75000"/>
    <n v="11616.62"/>
    <x v="3"/>
    <x v="1"/>
    <x v="1"/>
    <x v="0"/>
    <x v="7"/>
    <s v="Aug"/>
    <s v="Q3"/>
    <x v="22"/>
    <n v="5"/>
    <n v="15.49"/>
  </r>
  <r>
    <s v="ORD01143"/>
    <d v="2025-01-28T00:00:00"/>
    <d v="2025-02-04T00:00:00"/>
    <s v="C0143"/>
    <x v="282"/>
    <s v="Small Business"/>
    <x v="1"/>
    <x v="5"/>
    <s v="P010"/>
    <x v="6"/>
    <x v="4"/>
    <n v="1"/>
    <n v="1800"/>
    <x v="0"/>
    <n v="1800"/>
    <n v="456.05"/>
    <x v="0"/>
    <x v="0"/>
    <x v="0"/>
    <x v="0"/>
    <x v="11"/>
    <s v="Jan"/>
    <s v="Q1"/>
    <x v="17"/>
    <n v="7"/>
    <n v="25.34"/>
  </r>
  <r>
    <s v="ORD00194"/>
    <d v="2025-10-25T00:00:00"/>
    <d v="2025-10-28T00:00:00"/>
    <s v="C0012"/>
    <x v="160"/>
    <s v="Corporate"/>
    <x v="0"/>
    <x v="0"/>
    <s v="P006"/>
    <x v="1"/>
    <x v="0"/>
    <n v="4"/>
    <n v="9500"/>
    <x v="1"/>
    <n v="32300"/>
    <n v="5152.2700000000004"/>
    <x v="1"/>
    <x v="0"/>
    <x v="4"/>
    <x v="0"/>
    <x v="1"/>
    <s v="Oct"/>
    <s v="Q4"/>
    <x v="14"/>
    <n v="3"/>
    <n v="15.95"/>
  </r>
  <r>
    <s v="ORD00286"/>
    <d v="2025-02-01T00:00:00"/>
    <d v="2025-02-06T00:00:00"/>
    <s v="C0035"/>
    <x v="33"/>
    <s v="Consumer"/>
    <x v="3"/>
    <x v="8"/>
    <s v="P002"/>
    <x v="3"/>
    <x v="2"/>
    <n v="2"/>
    <n v="25000"/>
    <x v="4"/>
    <n v="45000"/>
    <n v="5605.54"/>
    <x v="1"/>
    <x v="1"/>
    <x v="3"/>
    <x v="0"/>
    <x v="6"/>
    <s v="Feb"/>
    <s v="Q1"/>
    <x v="7"/>
    <n v="5"/>
    <n v="12.46"/>
  </r>
  <r>
    <s v="ORD00595"/>
    <d v="2025-04-20T00:00:00"/>
    <d v="2025-04-21T00:00:00"/>
    <s v="C0260"/>
    <x v="190"/>
    <s v="Consumer"/>
    <x v="0"/>
    <x v="10"/>
    <s v="P004"/>
    <x v="7"/>
    <x v="2"/>
    <n v="3"/>
    <n v="8000"/>
    <x v="1"/>
    <n v="20400"/>
    <n v="5100"/>
    <x v="4"/>
    <x v="0"/>
    <x v="3"/>
    <x v="0"/>
    <x v="5"/>
    <s v="Apr"/>
    <s v="Q2"/>
    <x v="13"/>
    <n v="1"/>
    <n v="25"/>
  </r>
  <r>
    <s v="ORD01032"/>
    <d v="2025-10-10T00:00:00"/>
    <d v="2025-10-17T00:00:00"/>
    <s v="C0279"/>
    <x v="202"/>
    <s v="Corporate"/>
    <x v="0"/>
    <x v="10"/>
    <s v="P002"/>
    <x v="3"/>
    <x v="2"/>
    <n v="2"/>
    <n v="25000"/>
    <x v="0"/>
    <n v="50000"/>
    <n v="7253.13"/>
    <x v="4"/>
    <x v="0"/>
    <x v="0"/>
    <x v="0"/>
    <x v="1"/>
    <s v="Oct"/>
    <s v="Q4"/>
    <x v="14"/>
    <n v="7"/>
    <n v="14.51"/>
  </r>
  <r>
    <s v="ORD01268"/>
    <d v="2025-09-22T00:00:00"/>
    <d v="2025-09-23T00:00:00"/>
    <s v="C0134"/>
    <x v="178"/>
    <s v="Small Business"/>
    <x v="1"/>
    <x v="16"/>
    <s v="P005"/>
    <x v="0"/>
    <x v="0"/>
    <n v="2"/>
    <n v="7000"/>
    <x v="2"/>
    <n v="11200"/>
    <n v="2507.09"/>
    <x v="3"/>
    <x v="2"/>
    <x v="0"/>
    <x v="0"/>
    <x v="9"/>
    <s v="Sep"/>
    <s v="Q3"/>
    <x v="11"/>
    <n v="1"/>
    <n v="22.38"/>
  </r>
  <r>
    <s v="ORD00918"/>
    <d v="2025-10-29T00:00:00"/>
    <d v="2025-11-01T00:00:00"/>
    <s v="C0276"/>
    <x v="181"/>
    <s v="Consumer"/>
    <x v="1"/>
    <x v="13"/>
    <s v="P012"/>
    <x v="4"/>
    <x v="3"/>
    <n v="3"/>
    <n v="3500"/>
    <x v="1"/>
    <n v="8925"/>
    <n v="3024.62"/>
    <x v="1"/>
    <x v="2"/>
    <x v="2"/>
    <x v="0"/>
    <x v="1"/>
    <s v="Oct"/>
    <s v="Q4"/>
    <x v="14"/>
    <n v="3"/>
    <n v="33.89"/>
  </r>
  <r>
    <s v="ORD01239"/>
    <d v="2025-08-05T00:00:00"/>
    <d v="2025-08-10T00:00:00"/>
    <s v="C0080"/>
    <x v="173"/>
    <s v="Corporate"/>
    <x v="2"/>
    <x v="9"/>
    <s v="P009"/>
    <x v="2"/>
    <x v="1"/>
    <n v="1"/>
    <n v="180"/>
    <x v="1"/>
    <n v="153"/>
    <n v="60.14"/>
    <x v="6"/>
    <x v="1"/>
    <x v="1"/>
    <x v="0"/>
    <x v="7"/>
    <s v="Aug"/>
    <s v="Q3"/>
    <x v="22"/>
    <n v="5"/>
    <n v="39.31"/>
  </r>
  <r>
    <s v="ORD00416"/>
    <d v="2025-01-15T00:00:00"/>
    <d v="2025-01-20T00:00:00"/>
    <s v="C0022"/>
    <x v="167"/>
    <s v="Corporate"/>
    <x v="1"/>
    <x v="16"/>
    <s v="P008"/>
    <x v="11"/>
    <x v="1"/>
    <n v="2"/>
    <n v="250"/>
    <x v="3"/>
    <n v="475"/>
    <n v="201.26"/>
    <x v="0"/>
    <x v="0"/>
    <x v="1"/>
    <x v="0"/>
    <x v="11"/>
    <s v="Jan"/>
    <s v="Q1"/>
    <x v="17"/>
    <n v="5"/>
    <n v="42.37"/>
  </r>
  <r>
    <s v="ORD01905"/>
    <d v="2025-02-10T00:00:00"/>
    <d v="2025-02-14T00:00:00"/>
    <s v="C0028"/>
    <x v="211"/>
    <s v="Corporate"/>
    <x v="2"/>
    <x v="3"/>
    <s v="P002"/>
    <x v="3"/>
    <x v="2"/>
    <n v="2"/>
    <n v="25000"/>
    <x v="4"/>
    <n v="45000"/>
    <n v="6367.25"/>
    <x v="2"/>
    <x v="0"/>
    <x v="0"/>
    <x v="0"/>
    <x v="6"/>
    <s v="Feb"/>
    <s v="Q1"/>
    <x v="7"/>
    <n v="4"/>
    <n v="14.15"/>
  </r>
  <r>
    <s v="ORD01019"/>
    <d v="2025-01-05T00:00:00"/>
    <d v="2025-01-09T00:00:00"/>
    <s v="C0195"/>
    <x v="220"/>
    <s v="Corporate"/>
    <x v="1"/>
    <x v="5"/>
    <s v="P001"/>
    <x v="8"/>
    <x v="2"/>
    <n v="3"/>
    <n v="55000"/>
    <x v="3"/>
    <n v="156750"/>
    <n v="22159.17"/>
    <x v="2"/>
    <x v="2"/>
    <x v="0"/>
    <x v="0"/>
    <x v="11"/>
    <s v="Jan"/>
    <s v="Q1"/>
    <x v="17"/>
    <n v="4"/>
    <n v="14.14"/>
  </r>
  <r>
    <s v="ORD00887"/>
    <d v="2024-09-29T00:00:00"/>
    <d v="2024-09-30T00:00:00"/>
    <s v="C0005"/>
    <x v="86"/>
    <s v="Consumer"/>
    <x v="0"/>
    <x v="0"/>
    <s v="P001"/>
    <x v="8"/>
    <x v="2"/>
    <n v="3"/>
    <n v="55000"/>
    <x v="0"/>
    <n v="165000"/>
    <n v="28694.03"/>
    <x v="2"/>
    <x v="0"/>
    <x v="1"/>
    <x v="1"/>
    <x v="9"/>
    <s v="Sep"/>
    <s v="Q3"/>
    <x v="20"/>
    <n v="1"/>
    <n v="17.39"/>
  </r>
  <r>
    <s v="ORD01256"/>
    <d v="2025-04-21T00:00:00"/>
    <d v="2025-04-23T00:00:00"/>
    <s v="C0265"/>
    <x v="109"/>
    <s v="Consumer"/>
    <x v="1"/>
    <x v="1"/>
    <s v="P002"/>
    <x v="3"/>
    <x v="2"/>
    <n v="4"/>
    <n v="25000"/>
    <x v="0"/>
    <n v="100000"/>
    <n v="14616.39"/>
    <x v="5"/>
    <x v="1"/>
    <x v="3"/>
    <x v="0"/>
    <x v="5"/>
    <s v="Apr"/>
    <s v="Q2"/>
    <x v="13"/>
    <n v="2"/>
    <n v="14.62"/>
  </r>
  <r>
    <s v="ORD01766"/>
    <d v="2025-10-13T00:00:00"/>
    <d v="2025-10-14T00:00:00"/>
    <s v="C0279"/>
    <x v="202"/>
    <s v="Corporate"/>
    <x v="0"/>
    <x v="10"/>
    <s v="P012"/>
    <x v="4"/>
    <x v="3"/>
    <n v="3"/>
    <n v="3500"/>
    <x v="0"/>
    <n v="10500"/>
    <n v="2961.6"/>
    <x v="0"/>
    <x v="1"/>
    <x v="2"/>
    <x v="0"/>
    <x v="1"/>
    <s v="Oct"/>
    <s v="Q4"/>
    <x v="14"/>
    <n v="1"/>
    <n v="28.21"/>
  </r>
  <r>
    <s v="ORD00018"/>
    <d v="2024-07-24T00:00:00"/>
    <d v="2024-07-30T00:00:00"/>
    <s v="C0213"/>
    <x v="116"/>
    <s v="Corporate"/>
    <x v="3"/>
    <x v="7"/>
    <s v="P003"/>
    <x v="5"/>
    <x v="2"/>
    <n v="1"/>
    <n v="3000"/>
    <x v="4"/>
    <n v="2700"/>
    <n v="810"/>
    <x v="1"/>
    <x v="2"/>
    <x v="4"/>
    <x v="1"/>
    <x v="3"/>
    <s v="Jul"/>
    <s v="Q3"/>
    <x v="4"/>
    <n v="6"/>
    <n v="30"/>
  </r>
  <r>
    <s v="ORD00501"/>
    <d v="2025-07-04T00:00:00"/>
    <d v="2025-07-11T00:00:00"/>
    <s v="C0126"/>
    <x v="110"/>
    <s v="Consumer"/>
    <x v="0"/>
    <x v="15"/>
    <s v="P009"/>
    <x v="2"/>
    <x v="1"/>
    <n v="1"/>
    <n v="180"/>
    <x v="1"/>
    <n v="153"/>
    <n v="49.28"/>
    <x v="1"/>
    <x v="2"/>
    <x v="3"/>
    <x v="0"/>
    <x v="3"/>
    <s v="Jul"/>
    <s v="Q3"/>
    <x v="15"/>
    <n v="7"/>
    <n v="32.21"/>
  </r>
  <r>
    <s v="ORD01519"/>
    <d v="2024-05-27T00:00:00"/>
    <d v="2024-05-31T00:00:00"/>
    <s v="C0056"/>
    <x v="26"/>
    <s v="Small Business"/>
    <x v="3"/>
    <x v="12"/>
    <s v="P008"/>
    <x v="11"/>
    <x v="1"/>
    <n v="5"/>
    <n v="250"/>
    <x v="1"/>
    <n v="1062.5"/>
    <n v="459.02"/>
    <x v="0"/>
    <x v="1"/>
    <x v="2"/>
    <x v="1"/>
    <x v="4"/>
    <s v="May"/>
    <s v="Q2"/>
    <x v="8"/>
    <n v="4"/>
    <n v="43.2"/>
  </r>
  <r>
    <s v="ORD01597"/>
    <d v="2025-01-16T00:00:00"/>
    <d v="2025-01-22T00:00:00"/>
    <s v="C0176"/>
    <x v="230"/>
    <s v="Small Business"/>
    <x v="2"/>
    <x v="9"/>
    <s v="P010"/>
    <x v="6"/>
    <x v="4"/>
    <n v="4"/>
    <n v="1800"/>
    <x v="0"/>
    <n v="7200"/>
    <n v="2345.66"/>
    <x v="5"/>
    <x v="2"/>
    <x v="4"/>
    <x v="0"/>
    <x v="11"/>
    <s v="Jan"/>
    <s v="Q1"/>
    <x v="17"/>
    <n v="6"/>
    <n v="32.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C7834F-9D45-4BEC-92DA-AA37EE26BAE0}" name="PivotTable5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6:Q22" firstHeaderRow="0" firstDataRow="1" firstDataCol="1"/>
  <pivotFields count="26">
    <pivotField dataField="1" showAll="0"/>
    <pivotField numFmtId="14" showAll="0"/>
    <pivotField showAll="0"/>
    <pivotField showAll="0"/>
    <pivotField showAll="0"/>
    <pivotField showAll="0"/>
    <pivotField showAll="0">
      <items count="5">
        <item x="3"/>
        <item x="2"/>
        <item x="0"/>
        <item x="1"/>
        <item t="default"/>
      </items>
    </pivotField>
    <pivotField showAll="0"/>
    <pivotField showAll="0"/>
    <pivotField showAll="0"/>
    <pivotField showAll="0">
      <items count="6">
        <item x="4"/>
        <item x="2"/>
        <item x="3"/>
        <item x="0"/>
        <item x="1"/>
        <item t="default"/>
      </items>
    </pivotField>
    <pivotField showAll="0"/>
    <pivotField showAll="0"/>
    <pivotField axis="axisRow" showAll="0">
      <items count="6">
        <item x="0"/>
        <item x="3"/>
        <item x="4"/>
        <item x="1"/>
        <item x="2"/>
        <item t="default"/>
      </items>
    </pivotField>
    <pivotField dataField="1"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s>
  <rowFields count="1">
    <field x="13"/>
  </rowFields>
  <rowItems count="6">
    <i>
      <x/>
    </i>
    <i>
      <x v="1"/>
    </i>
    <i>
      <x v="2"/>
    </i>
    <i>
      <x v="3"/>
    </i>
    <i>
      <x v="4"/>
    </i>
    <i t="grand">
      <x/>
    </i>
  </rowItems>
  <colFields count="1">
    <field x="-2"/>
  </colFields>
  <colItems count="3">
    <i>
      <x/>
    </i>
    <i i="1">
      <x v="1"/>
    </i>
    <i i="2">
      <x v="2"/>
    </i>
  </colItems>
  <dataFields count="3">
    <dataField name="Count of order_id" fld="0" subtotal="count" baseField="0" baseItem="0"/>
    <dataField name="Sum of sales_fix" fld="14" baseField="0" baseItem="0"/>
    <dataField name="Average of profit" fld="15" subtotal="average"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4AE218-6978-4F60-B16D-E229E1F6E94A}" name="PivotTable5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6:K29" firstHeaderRow="1" firstDataRow="1" firstDataCol="1"/>
  <pivotFields count="26">
    <pivotField showAll="0"/>
    <pivotField numFmtId="14" showAll="0"/>
    <pivotField showAll="0"/>
    <pivotField showAll="0"/>
    <pivotField showAll="0"/>
    <pivotField showAll="0"/>
    <pivotField showAll="0">
      <items count="5">
        <item x="3"/>
        <item x="2"/>
        <item x="0"/>
        <item x="1"/>
        <item t="default"/>
      </items>
    </pivotField>
    <pivotField showAll="0"/>
    <pivotField showAll="0"/>
    <pivotField axis="axisRow" showAll="0">
      <items count="13">
        <item x="6"/>
        <item x="10"/>
        <item x="5"/>
        <item x="8"/>
        <item x="11"/>
        <item x="0"/>
        <item x="2"/>
        <item x="4"/>
        <item x="7"/>
        <item x="3"/>
        <item x="1"/>
        <item x="9"/>
        <item t="default"/>
      </items>
    </pivotField>
    <pivotField showAll="0">
      <items count="6">
        <item x="4"/>
        <item x="2"/>
        <item x="3"/>
        <item x="0"/>
        <item x="1"/>
        <item t="default"/>
      </items>
    </pivotField>
    <pivotField showAll="0"/>
    <pivotField showAll="0"/>
    <pivotField showAll="0"/>
    <pivotField dataField="1"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sales_fix" fld="14" baseField="0" baseItem="0"/>
  </dataFields>
  <chartFormats count="15">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9" count="1" selected="0">
            <x v="0"/>
          </reference>
        </references>
      </pivotArea>
    </chartFormat>
    <chartFormat chart="11" format="16">
      <pivotArea type="data" outline="0" fieldPosition="0">
        <references count="2">
          <reference field="4294967294" count="1" selected="0">
            <x v="0"/>
          </reference>
          <reference field="9" count="1" selected="0">
            <x v="1"/>
          </reference>
        </references>
      </pivotArea>
    </chartFormat>
    <chartFormat chart="11" format="17">
      <pivotArea type="data" outline="0" fieldPosition="0">
        <references count="2">
          <reference field="4294967294" count="1" selected="0">
            <x v="0"/>
          </reference>
          <reference field="9" count="1" selected="0">
            <x v="2"/>
          </reference>
        </references>
      </pivotArea>
    </chartFormat>
    <chartFormat chart="11" format="18">
      <pivotArea type="data" outline="0" fieldPosition="0">
        <references count="2">
          <reference field="4294967294" count="1" selected="0">
            <x v="0"/>
          </reference>
          <reference field="9" count="1" selected="0">
            <x v="3"/>
          </reference>
        </references>
      </pivotArea>
    </chartFormat>
    <chartFormat chart="11" format="19">
      <pivotArea type="data" outline="0" fieldPosition="0">
        <references count="2">
          <reference field="4294967294" count="1" selected="0">
            <x v="0"/>
          </reference>
          <reference field="9" count="1" selected="0">
            <x v="4"/>
          </reference>
        </references>
      </pivotArea>
    </chartFormat>
    <chartFormat chart="11" format="20">
      <pivotArea type="data" outline="0" fieldPosition="0">
        <references count="2">
          <reference field="4294967294" count="1" selected="0">
            <x v="0"/>
          </reference>
          <reference field="9" count="1" selected="0">
            <x v="5"/>
          </reference>
        </references>
      </pivotArea>
    </chartFormat>
    <chartFormat chart="11" format="21">
      <pivotArea type="data" outline="0" fieldPosition="0">
        <references count="2">
          <reference field="4294967294" count="1" selected="0">
            <x v="0"/>
          </reference>
          <reference field="9" count="1" selected="0">
            <x v="6"/>
          </reference>
        </references>
      </pivotArea>
    </chartFormat>
    <chartFormat chart="11" format="22">
      <pivotArea type="data" outline="0" fieldPosition="0">
        <references count="2">
          <reference field="4294967294" count="1" selected="0">
            <x v="0"/>
          </reference>
          <reference field="9" count="1" selected="0">
            <x v="7"/>
          </reference>
        </references>
      </pivotArea>
    </chartFormat>
    <chartFormat chart="11" format="23">
      <pivotArea type="data" outline="0" fieldPosition="0">
        <references count="2">
          <reference field="4294967294" count="1" selected="0">
            <x v="0"/>
          </reference>
          <reference field="9" count="1" selected="0">
            <x v="8"/>
          </reference>
        </references>
      </pivotArea>
    </chartFormat>
    <chartFormat chart="11" format="24">
      <pivotArea type="data" outline="0" fieldPosition="0">
        <references count="2">
          <reference field="4294967294" count="1" selected="0">
            <x v="0"/>
          </reference>
          <reference field="9" count="1" selected="0">
            <x v="9"/>
          </reference>
        </references>
      </pivotArea>
    </chartFormat>
    <chartFormat chart="11" format="25">
      <pivotArea type="data" outline="0" fieldPosition="0">
        <references count="2">
          <reference field="4294967294" count="1" selected="0">
            <x v="0"/>
          </reference>
          <reference field="9" count="1" selected="0">
            <x v="10"/>
          </reference>
        </references>
      </pivotArea>
    </chartFormat>
    <chartFormat chart="11" format="26">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698D41-B507-4107-99AE-2E9B06452EBE}" name="PivotTable5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71:H75" firstHeaderRow="1" firstDataRow="1" firstDataCol="1"/>
  <pivotFields count="26">
    <pivotField dataField="1" showAll="0"/>
    <pivotField numFmtId="14" showAll="0"/>
    <pivotField showAll="0"/>
    <pivotField showAll="0"/>
    <pivotField showAll="0"/>
    <pivotField showAll="0"/>
    <pivotField showAll="0">
      <items count="5">
        <item x="3"/>
        <item x="2"/>
        <item x="0"/>
        <item x="1"/>
        <item t="default"/>
      </items>
    </pivotField>
    <pivotField showAll="0"/>
    <pivotField showAll="0"/>
    <pivotField showAll="0"/>
    <pivotField showAll="0">
      <items count="6">
        <item x="4"/>
        <item x="2"/>
        <item x="3"/>
        <item x="0"/>
        <item x="1"/>
        <item t="default"/>
      </items>
    </pivotField>
    <pivotField showAll="0"/>
    <pivotField showAll="0"/>
    <pivotField showAll="0"/>
    <pivotField showAll="0"/>
    <pivotField showAll="0"/>
    <pivotField showAll="0"/>
    <pivotField axis="axisRow" showAll="0">
      <items count="4">
        <item x="2"/>
        <item x="0"/>
        <item x="1"/>
        <item t="default"/>
      </items>
    </pivotField>
    <pivotField showAll="0">
      <items count="6">
        <item x="0"/>
        <item x="2"/>
        <item x="4"/>
        <item x="1"/>
        <item x="3"/>
        <item t="default"/>
      </items>
    </pivotField>
    <pivotField showAll="0">
      <items count="3">
        <item x="1"/>
        <item x="0"/>
        <item t="default"/>
      </items>
    </pivotField>
    <pivotField showAll="0"/>
    <pivotField showAll="0"/>
    <pivotField showAll="0"/>
    <pivotField showAll="0"/>
    <pivotField showAll="0"/>
    <pivotField showAll="0"/>
  </pivotFields>
  <rowFields count="1">
    <field x="17"/>
  </rowFields>
  <rowItems count="4">
    <i>
      <x/>
    </i>
    <i>
      <x v="1"/>
    </i>
    <i>
      <x v="2"/>
    </i>
    <i t="grand">
      <x/>
    </i>
  </rowItems>
  <colItems count="1">
    <i/>
  </colItems>
  <dataFields count="1">
    <dataField name="Count of order_id" fld="0" subtotal="count" baseField="0" baseItem="0"/>
  </dataFields>
  <chartFormats count="3">
    <chartFormat chart="4" format="4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F87D41-FC37-4A46-AC1B-08B47519762F}" name="PivotTable5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71:E80" firstHeaderRow="1" firstDataRow="1" firstDataCol="1"/>
  <pivotFields count="26">
    <pivotField showAll="0"/>
    <pivotField numFmtId="14" showAll="0"/>
    <pivotField showAll="0"/>
    <pivotField showAll="0"/>
    <pivotField showAll="0"/>
    <pivotField showAll="0"/>
    <pivotField showAll="0">
      <items count="5">
        <item x="3"/>
        <item x="2"/>
        <item x="0"/>
        <item x="1"/>
        <item t="default"/>
      </items>
    </pivotField>
    <pivotField showAll="0"/>
    <pivotField showAll="0"/>
    <pivotField showAll="0"/>
    <pivotField showAll="0">
      <items count="6">
        <item x="4"/>
        <item x="2"/>
        <item x="3"/>
        <item x="0"/>
        <item x="1"/>
        <item t="default"/>
      </items>
    </pivotField>
    <pivotField showAll="0"/>
    <pivotField showAll="0"/>
    <pivotField showAll="0"/>
    <pivotField dataField="1" showAll="0"/>
    <pivotField showAll="0"/>
    <pivotField axis="axisRow" showAll="0">
      <items count="9">
        <item x="4"/>
        <item x="1"/>
        <item x="0"/>
        <item x="5"/>
        <item x="2"/>
        <item x="3"/>
        <item x="6"/>
        <item x="7"/>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s>
  <rowFields count="1">
    <field x="16"/>
  </rowFields>
  <rowItems count="9">
    <i>
      <x/>
    </i>
    <i>
      <x v="1"/>
    </i>
    <i>
      <x v="2"/>
    </i>
    <i>
      <x v="3"/>
    </i>
    <i>
      <x v="4"/>
    </i>
    <i>
      <x v="5"/>
    </i>
    <i>
      <x v="6"/>
    </i>
    <i>
      <x v="7"/>
    </i>
    <i t="grand">
      <x/>
    </i>
  </rowItems>
  <colItems count="1">
    <i/>
  </colItems>
  <dataFields count="1">
    <dataField name="Sum of sales_fix" fld="14"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B6BAC0-A076-4395-99AD-E6FFBAB3B393}" name="PivotTable5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1:B82" firstHeaderRow="1" firstDataRow="1" firstDataCol="1"/>
  <pivotFields count="26">
    <pivotField showAll="0"/>
    <pivotField numFmtId="14" showAll="0"/>
    <pivotField showAll="0"/>
    <pivotField showAll="0"/>
    <pivotField axis="axisRow" showAll="0" measureFilter="1">
      <items count="301">
        <item x="250"/>
        <item x="185"/>
        <item x="270"/>
        <item x="276"/>
        <item x="205"/>
        <item x="274"/>
        <item x="225"/>
        <item x="126"/>
        <item x="192"/>
        <item x="6"/>
        <item x="145"/>
        <item x="136"/>
        <item x="216"/>
        <item x="204"/>
        <item x="74"/>
        <item x="72"/>
        <item x="195"/>
        <item x="98"/>
        <item x="237"/>
        <item x="131"/>
        <item x="77"/>
        <item x="227"/>
        <item x="238"/>
        <item x="160"/>
        <item x="4"/>
        <item x="207"/>
        <item x="44"/>
        <item x="251"/>
        <item x="10"/>
        <item x="120"/>
        <item x="110"/>
        <item x="248"/>
        <item x="91"/>
        <item x="259"/>
        <item x="212"/>
        <item x="261"/>
        <item x="156"/>
        <item x="203"/>
        <item x="97"/>
        <item x="178"/>
        <item x="103"/>
        <item x="90"/>
        <item x="241"/>
        <item x="38"/>
        <item x="177"/>
        <item x="161"/>
        <item x="140"/>
        <item x="262"/>
        <item x="272"/>
        <item x="282"/>
        <item x="213"/>
        <item x="16"/>
        <item x="199"/>
        <item x="219"/>
        <item x="57"/>
        <item x="114"/>
        <item x="11"/>
        <item x="228"/>
        <item x="198"/>
        <item x="27"/>
        <item x="193"/>
        <item x="23"/>
        <item x="41"/>
        <item x="155"/>
        <item x="240"/>
        <item x="151"/>
        <item x="146"/>
        <item x="83"/>
        <item x="183"/>
        <item x="62"/>
        <item x="96"/>
        <item x="231"/>
        <item x="67"/>
        <item x="42"/>
        <item x="288"/>
        <item x="188"/>
        <item x="256"/>
        <item x="196"/>
        <item x="242"/>
        <item x="266"/>
        <item x="257"/>
        <item x="226"/>
        <item x="184"/>
        <item x="100"/>
        <item x="271"/>
        <item x="230"/>
        <item x="121"/>
        <item x="174"/>
        <item x="298"/>
        <item x="291"/>
        <item x="89"/>
        <item x="134"/>
        <item x="264"/>
        <item x="244"/>
        <item x="115"/>
        <item x="12"/>
        <item x="294"/>
        <item x="208"/>
        <item x="209"/>
        <item x="258"/>
        <item x="48"/>
        <item x="55"/>
        <item x="210"/>
        <item x="214"/>
        <item x="243"/>
        <item x="139"/>
        <item x="220"/>
        <item x="22"/>
        <item x="176"/>
        <item x="61"/>
        <item x="70"/>
        <item x="157"/>
        <item x="47"/>
        <item x="245"/>
        <item x="150"/>
        <item x="222"/>
        <item x="179"/>
        <item x="137"/>
        <item x="280"/>
        <item x="52"/>
        <item x="152"/>
        <item x="218"/>
        <item x="79"/>
        <item x="75"/>
        <item x="29"/>
        <item x="166"/>
        <item x="50"/>
        <item x="116"/>
        <item x="65"/>
        <item x="252"/>
        <item x="154"/>
        <item x="246"/>
        <item x="105"/>
        <item x="60"/>
        <item x="167"/>
        <item x="289"/>
        <item x="128"/>
        <item x="143"/>
        <item x="34"/>
        <item x="292"/>
        <item x="56"/>
        <item x="25"/>
        <item x="187"/>
        <item x="122"/>
        <item x="206"/>
        <item x="132"/>
        <item x="129"/>
        <item x="32"/>
        <item x="78"/>
        <item x="30"/>
        <item x="113"/>
        <item x="111"/>
        <item x="130"/>
        <item x="296"/>
        <item x="88"/>
        <item x="278"/>
        <item x="286"/>
        <item x="170"/>
        <item x="63"/>
        <item x="254"/>
        <item x="24"/>
        <item x="14"/>
        <item x="118"/>
        <item x="8"/>
        <item x="277"/>
        <item x="1"/>
        <item x="148"/>
        <item x="37"/>
        <item x="43"/>
        <item x="159"/>
        <item x="7"/>
        <item x="200"/>
        <item x="287"/>
        <item x="142"/>
        <item x="112"/>
        <item x="64"/>
        <item x="45"/>
        <item x="299"/>
        <item x="239"/>
        <item x="190"/>
        <item x="180"/>
        <item x="175"/>
        <item x="54"/>
        <item x="297"/>
        <item x="109"/>
        <item x="201"/>
        <item x="93"/>
        <item x="236"/>
        <item x="102"/>
        <item x="191"/>
        <item x="253"/>
        <item x="197"/>
        <item x="153"/>
        <item x="46"/>
        <item x="9"/>
        <item x="281"/>
        <item x="181"/>
        <item x="249"/>
        <item x="51"/>
        <item x="202"/>
        <item x="211"/>
        <item x="13"/>
        <item x="19"/>
        <item x="284"/>
        <item x="59"/>
        <item x="73"/>
        <item x="171"/>
        <item x="39"/>
        <item x="2"/>
        <item x="163"/>
        <item x="221"/>
        <item x="133"/>
        <item x="71"/>
        <item x="87"/>
        <item x="66"/>
        <item x="53"/>
        <item x="290"/>
        <item x="107"/>
        <item x="81"/>
        <item x="265"/>
        <item x="182"/>
        <item x="263"/>
        <item x="108"/>
        <item x="104"/>
        <item x="235"/>
        <item x="84"/>
        <item x="232"/>
        <item x="255"/>
        <item x="17"/>
        <item x="33"/>
        <item x="217"/>
        <item x="18"/>
        <item x="82"/>
        <item x="68"/>
        <item x="119"/>
        <item x="285"/>
        <item x="3"/>
        <item x="117"/>
        <item x="279"/>
        <item x="123"/>
        <item x="49"/>
        <item x="269"/>
        <item x="215"/>
        <item x="124"/>
        <item x="194"/>
        <item x="86"/>
        <item x="35"/>
        <item x="106"/>
        <item x="189"/>
        <item x="234"/>
        <item x="169"/>
        <item x="28"/>
        <item x="26"/>
        <item x="268"/>
        <item x="144"/>
        <item x="283"/>
        <item x="138"/>
        <item x="125"/>
        <item x="85"/>
        <item x="92"/>
        <item x="275"/>
        <item x="5"/>
        <item x="164"/>
        <item x="20"/>
        <item x="135"/>
        <item x="247"/>
        <item x="101"/>
        <item x="168"/>
        <item x="31"/>
        <item x="162"/>
        <item x="80"/>
        <item x="147"/>
        <item x="141"/>
        <item x="293"/>
        <item x="224"/>
        <item x="260"/>
        <item x="273"/>
        <item x="267"/>
        <item x="69"/>
        <item x="173"/>
        <item x="149"/>
        <item x="223"/>
        <item x="165"/>
        <item x="95"/>
        <item x="229"/>
        <item x="158"/>
        <item x="94"/>
        <item x="186"/>
        <item x="99"/>
        <item x="233"/>
        <item x="58"/>
        <item x="21"/>
        <item x="40"/>
        <item x="127"/>
        <item x="76"/>
        <item x="15"/>
        <item x="172"/>
        <item x="295"/>
        <item x="0"/>
        <item x="36"/>
        <item t="default"/>
      </items>
    </pivotField>
    <pivotField showAll="0"/>
    <pivotField showAll="0">
      <items count="5">
        <item x="3"/>
        <item x="2"/>
        <item x="0"/>
        <item x="1"/>
        <item t="default"/>
      </items>
    </pivotField>
    <pivotField showAll="0"/>
    <pivotField showAll="0"/>
    <pivotField showAll="0"/>
    <pivotField showAll="0">
      <items count="6">
        <item x="4"/>
        <item x="2"/>
        <item x="3"/>
        <item x="0"/>
        <item x="1"/>
        <item t="default"/>
      </items>
    </pivotField>
    <pivotField showAll="0"/>
    <pivotField showAll="0"/>
    <pivotField showAll="0"/>
    <pivotField dataField="1"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s>
  <rowFields count="1">
    <field x="4"/>
  </rowFields>
  <rowItems count="11">
    <i>
      <x v="10"/>
    </i>
    <i>
      <x v="28"/>
    </i>
    <i>
      <x v="117"/>
    </i>
    <i>
      <x v="122"/>
    </i>
    <i>
      <x v="136"/>
    </i>
    <i>
      <x v="194"/>
    </i>
    <i>
      <x v="198"/>
    </i>
    <i>
      <x v="201"/>
    </i>
    <i>
      <x v="215"/>
    </i>
    <i>
      <x v="228"/>
    </i>
    <i t="grand">
      <x/>
    </i>
  </rowItems>
  <colItems count="1">
    <i/>
  </colItems>
  <dataFields count="1">
    <dataField name="Sum of sales_fix" fld="1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7E3F1A-4355-4074-B691-7A7D89C5545C}" name="PivotTable4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7:G65" firstHeaderRow="0" firstDataRow="1" firstDataCol="1"/>
  <pivotFields count="26">
    <pivotField showAll="0"/>
    <pivotField numFmtId="14" showAll="0"/>
    <pivotField showAll="0"/>
    <pivotField showAll="0"/>
    <pivotField showAll="0"/>
    <pivotField showAll="0"/>
    <pivotField showAll="0">
      <items count="5">
        <item x="3"/>
        <item x="2"/>
        <item x="0"/>
        <item x="1"/>
        <item t="default"/>
      </items>
    </pivotField>
    <pivotField axis="axisRow" showAll="0">
      <items count="18">
        <item x="13"/>
        <item x="2"/>
        <item x="12"/>
        <item x="9"/>
        <item x="10"/>
        <item x="3"/>
        <item x="6"/>
        <item x="0"/>
        <item x="14"/>
        <item x="11"/>
        <item x="7"/>
        <item x="4"/>
        <item x="5"/>
        <item x="8"/>
        <item x="16"/>
        <item x="1"/>
        <item x="15"/>
        <item t="default"/>
      </items>
    </pivotField>
    <pivotField showAll="0"/>
    <pivotField showAll="0"/>
    <pivotField showAll="0">
      <items count="6">
        <item x="4"/>
        <item x="2"/>
        <item x="3"/>
        <item x="0"/>
        <item x="1"/>
        <item t="default"/>
      </items>
    </pivotField>
    <pivotField showAll="0"/>
    <pivotField showAll="0"/>
    <pivotField showAll="0"/>
    <pivotField dataField="1"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_fix" fld="14" baseField="0" baseItem="0"/>
    <dataField name="Sum of profit"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CC4D14-CF6A-41F4-8A5C-091CD46A0681}" name="PivotTable4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6:H30" firstHeaderRow="1" firstDataRow="2" firstDataCol="1"/>
  <pivotFields count="26">
    <pivotField showAll="0"/>
    <pivotField numFmtId="14" showAll="0"/>
    <pivotField showAll="0"/>
    <pivotField showAll="0"/>
    <pivotField showAll="0"/>
    <pivotField showAll="0"/>
    <pivotField showAll="0">
      <items count="5">
        <item x="3"/>
        <item x="2"/>
        <item x="0"/>
        <item x="1"/>
        <item t="default"/>
      </items>
    </pivotField>
    <pivotField showAll="0"/>
    <pivotField showAll="0"/>
    <pivotField showAll="0"/>
    <pivotField showAll="0">
      <items count="6">
        <item x="4"/>
        <item x="2"/>
        <item x="3"/>
        <item x="0"/>
        <item x="1"/>
        <item t="default"/>
      </items>
    </pivotField>
    <pivotField showAll="0"/>
    <pivotField showAll="0"/>
    <pivotField showAll="0"/>
    <pivotField dataField="1" showAll="0"/>
    <pivotField showAll="0"/>
    <pivotField showAll="0"/>
    <pivotField showAll="0"/>
    <pivotField showAll="0"/>
    <pivotField axis="axisCol" showAll="0">
      <items count="3">
        <item x="1"/>
        <item x="0"/>
        <item t="default"/>
      </items>
    </pivotField>
    <pivotField axis="axisRow" showAll="0">
      <items count="13">
        <item x="11"/>
        <item x="6"/>
        <item x="0"/>
        <item x="5"/>
        <item x="4"/>
        <item x="8"/>
        <item x="3"/>
        <item x="7"/>
        <item x="9"/>
        <item x="1"/>
        <item x="2"/>
        <item x="10"/>
        <item t="default"/>
      </items>
    </pivotField>
    <pivotField showAll="0"/>
    <pivotField showAll="0"/>
    <pivotField showAll="0"/>
    <pivotField showAll="0"/>
    <pivotField showAll="0"/>
  </pivotFields>
  <rowFields count="1">
    <field x="20"/>
  </rowFields>
  <rowItems count="13">
    <i>
      <x/>
    </i>
    <i>
      <x v="1"/>
    </i>
    <i>
      <x v="2"/>
    </i>
    <i>
      <x v="3"/>
    </i>
    <i>
      <x v="4"/>
    </i>
    <i>
      <x v="5"/>
    </i>
    <i>
      <x v="6"/>
    </i>
    <i>
      <x v="7"/>
    </i>
    <i>
      <x v="8"/>
    </i>
    <i>
      <x v="9"/>
    </i>
    <i>
      <x v="10"/>
    </i>
    <i>
      <x v="11"/>
    </i>
    <i t="grand">
      <x/>
    </i>
  </rowItems>
  <colFields count="1">
    <field x="19"/>
  </colFields>
  <colItems count="3">
    <i>
      <x/>
    </i>
    <i>
      <x v="1"/>
    </i>
    <i t="grand">
      <x/>
    </i>
  </colItems>
  <dataFields count="1">
    <dataField name="Sum of sales_fix" fld="14" baseField="0" baseItem="0"/>
  </dataFields>
  <chartFormats count="4">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4" format="4" series="1">
      <pivotArea type="data" outline="0" fieldPosition="0">
        <references count="2">
          <reference field="4294967294" count="1" selected="0">
            <x v="0"/>
          </reference>
          <reference field="19" count="1" selected="0">
            <x v="0"/>
          </reference>
        </references>
      </pivotArea>
    </chartFormat>
    <chartFormat chart="4" format="5"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EC0DCD-7178-4894-9B0B-21A5102DB27E}" name="PivotTable1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7:B52" firstHeaderRow="1" firstDataRow="1" firstDataCol="1"/>
  <pivotFields count="26">
    <pivotField showAll="0"/>
    <pivotField numFmtId="14" showAll="0"/>
    <pivotField showAll="0"/>
    <pivotField showAll="0"/>
    <pivotField showAll="0"/>
    <pivotField showAll="0"/>
    <pivotField axis="axisRow" showAll="0">
      <items count="5">
        <item x="3"/>
        <item x="2"/>
        <item x="0"/>
        <item x="1"/>
        <item t="default"/>
      </items>
    </pivotField>
    <pivotField showAll="0"/>
    <pivotField showAll="0"/>
    <pivotField showAll="0"/>
    <pivotField showAll="0">
      <items count="6">
        <item x="4"/>
        <item x="2"/>
        <item x="3"/>
        <item x="0"/>
        <item x="1"/>
        <item t="default"/>
      </items>
    </pivotField>
    <pivotField showAll="0"/>
    <pivotField showAll="0"/>
    <pivotField showAll="0"/>
    <pivotField dataField="1"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Sum of sales_fix" fld="14"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5E72BD-70F0-44D8-A4FC-B79872FE3DDA}" name="PivotTable7"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C41" firstHeaderRow="0" firstDataRow="1" firstDataCol="1"/>
  <pivotFields count="26">
    <pivotField showAll="0"/>
    <pivotField numFmtId="14" showAll="0"/>
    <pivotField showAll="0"/>
    <pivotField showAll="0"/>
    <pivotField showAll="0"/>
    <pivotField showAll="0"/>
    <pivotField showAll="0">
      <items count="5">
        <item x="3"/>
        <item x="2"/>
        <item x="0"/>
        <item x="1"/>
        <item t="default"/>
      </items>
    </pivotField>
    <pivotField showAll="0"/>
    <pivotField showAll="0"/>
    <pivotField showAll="0"/>
    <pivotField showAll="0">
      <items count="6">
        <item x="4"/>
        <item x="2"/>
        <item x="3"/>
        <item x="0"/>
        <item x="1"/>
        <item t="default"/>
      </items>
    </pivotField>
    <pivotField showAll="0"/>
    <pivotField showAll="0"/>
    <pivotField showAll="0"/>
    <pivotField dataField="1" showAll="0"/>
    <pivotField dataField="1" showAll="0"/>
    <pivotField showAll="0"/>
    <pivotField showAll="0"/>
    <pivotField showAll="0"/>
    <pivotField showAll="0">
      <items count="3">
        <item x="1"/>
        <item x="0"/>
        <item t="default"/>
      </items>
    </pivotField>
    <pivotField showAll="0"/>
    <pivotField showAll="0"/>
    <pivotField showAll="0"/>
    <pivotField axis="axisRow" showAll="0">
      <items count="25">
        <item x="21"/>
        <item x="18"/>
        <item x="2"/>
        <item x="6"/>
        <item x="8"/>
        <item x="12"/>
        <item x="4"/>
        <item x="9"/>
        <item x="20"/>
        <item x="1"/>
        <item x="3"/>
        <item x="16"/>
        <item x="17"/>
        <item x="7"/>
        <item x="0"/>
        <item x="13"/>
        <item x="5"/>
        <item x="10"/>
        <item x="15"/>
        <item x="22"/>
        <item x="11"/>
        <item x="14"/>
        <item x="23"/>
        <item x="19"/>
        <item t="default"/>
      </items>
    </pivotField>
    <pivotField showAll="0"/>
    <pivotField showAll="0"/>
  </pivotFields>
  <rowFields count="1">
    <field x="2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sales_fix" fld="14" baseField="0" baseItem="0"/>
    <dataField name="Sum of profit" fld="15"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A93ABC-48C0-43B7-B0C0-B7E1621EEC13}"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C11" firstHeaderRow="0" firstDataRow="1" firstDataCol="1"/>
  <pivotFields count="26">
    <pivotField showAll="0"/>
    <pivotField numFmtId="14" showAll="0"/>
    <pivotField showAll="0"/>
    <pivotField showAll="0"/>
    <pivotField showAll="0"/>
    <pivotField showAll="0"/>
    <pivotField showAll="0">
      <items count="5">
        <item x="3"/>
        <item x="2"/>
        <item x="0"/>
        <item x="1"/>
        <item t="default"/>
      </items>
    </pivotField>
    <pivotField showAll="0"/>
    <pivotField showAll="0"/>
    <pivotField showAll="0"/>
    <pivotField axis="axisRow" showAll="0">
      <items count="6">
        <item x="4"/>
        <item x="2"/>
        <item x="3"/>
        <item x="0"/>
        <item x="1"/>
        <item t="default"/>
      </items>
    </pivotField>
    <pivotField showAll="0"/>
    <pivotField showAll="0"/>
    <pivotField showAll="0"/>
    <pivotField dataField="1"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s>
  <rowFields count="1">
    <field x="10"/>
  </rowFields>
  <rowItems count="6">
    <i>
      <x/>
    </i>
    <i>
      <x v="1"/>
    </i>
    <i>
      <x v="2"/>
    </i>
    <i>
      <x v="3"/>
    </i>
    <i>
      <x v="4"/>
    </i>
    <i t="grand">
      <x/>
    </i>
  </rowItems>
  <colFields count="1">
    <field x="-2"/>
  </colFields>
  <colItems count="2">
    <i>
      <x/>
    </i>
    <i i="1">
      <x v="1"/>
    </i>
  </colItems>
  <dataFields count="2">
    <dataField name="Sum of sales_fix" fld="14" baseField="0" baseItem="0"/>
    <dataField name="Sum of profit" fld="15" baseField="0" baseItem="0"/>
  </dataFields>
  <chartFormats count="2">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975B5E0F-43DE-4570-80BB-04A9A6817803}"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954C707-2176-43B0-9A67-0113ECBDA83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unit_price" tableColumnId="4"/>
      <queryTableField id="5" name="margin_pc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E1DDCFE0-9597-4FD4-8524-66F3585D320E}" autoFormatId="16" applyNumberFormats="0" applyBorderFormats="0" applyFontFormats="0" applyPatternFormats="0" applyAlignmentFormats="0" applyWidthHeightFormats="0">
  <queryTableRefresh nextId="38" unboundColumnsRight="7">
    <queryTableFields count="26">
      <queryTableField id="1" name="order_id" tableColumnId="1"/>
      <queryTableField id="2" name="order_date" tableColumnId="2"/>
      <queryTableField id="3" name="ship_date" tableColumnId="3"/>
      <queryTableField id="4" name="customer_id" tableColumnId="4"/>
      <queryTableField id="5" name="customer_name" tableColumnId="5"/>
      <queryTableField id="6" name="segment" tableColumnId="6"/>
      <queryTableField id="7" name="region" tableColumnId="7"/>
      <queryTableField id="8" name="city" tableColumnId="8"/>
      <queryTableField id="9" name="product_id" tableColumnId="9"/>
      <queryTableField id="10" name="product_name" tableColumnId="10"/>
      <queryTableField id="11" name="category" tableColumnId="11"/>
      <queryTableField id="12" name="quantity" tableColumnId="12"/>
      <queryTableField id="13" name="unit_price" tableColumnId="13"/>
      <queryTableField id="14" name="discount_pct" tableColumnId="14"/>
      <queryTableField id="15" name="sales" tableColumnId="15"/>
      <queryTableField id="16" name="profit" tableColumnId="16"/>
      <queryTableField id="17" name="sales_rep" tableColumnId="17"/>
      <queryTableField id="18" name="channel" tableColumnId="18"/>
      <queryTableField id="19" name="payment_method" tableColumnId="19"/>
      <queryTableField id="26" dataBound="0" tableColumnId="20"/>
      <queryTableField id="27" dataBound="0" tableColumnId="21"/>
      <queryTableField id="28" dataBound="0" tableColumnId="22"/>
      <queryTableField id="29" dataBound="0" tableColumnId="23"/>
      <queryTableField id="30" dataBound="0" tableColumnId="24"/>
      <queryTableField id="31" dataBound="0" tableColumnId="25"/>
      <queryTableField id="32"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FA6F5B-6808-4CEE-955B-61C9D7D580FE}" sourceName="region">
  <pivotTables>
    <pivotTable tabId="5" name="PivotTable7"/>
    <pivotTable tabId="5" name="PivotTable1"/>
    <pivotTable tabId="5" name="PivotTable18"/>
    <pivotTable tabId="5" name="PivotTable44"/>
    <pivotTable tabId="5" name="PivotTable48"/>
    <pivotTable tabId="5" name="PivotTable50"/>
    <pivotTable tabId="5" name="PivotTable51"/>
    <pivotTable tabId="5" name="PivotTable52"/>
    <pivotTable tabId="5" name="PivotTable53"/>
    <pivotTable tabId="5" name="PivotTable55"/>
  </pivotTables>
  <data>
    <tabular pivotCacheId="203995037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44C0DA-1C63-4D7F-B757-692256157228}" sourceName="category">
  <pivotTables>
    <pivotTable tabId="5" name="PivotTable7"/>
    <pivotTable tabId="5" name="PivotTable1"/>
    <pivotTable tabId="5" name="PivotTable18"/>
    <pivotTable tabId="5" name="PivotTable44"/>
    <pivotTable tabId="5" name="PivotTable51"/>
    <pivotTable tabId="5" name="PivotTable52"/>
    <pivotTable tabId="5" name="PivotTable53"/>
    <pivotTable tabId="5" name="PivotTable55"/>
    <pivotTable tabId="5" name="PivotTable48"/>
    <pivotTable tabId="5" name="PivotTable50"/>
  </pivotTables>
  <data>
    <tabular pivotCacheId="2039950374">
      <items count="5">
        <i x="4" s="1"/>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D1C4F6E-F713-43BB-8FB6-35CD12FF0B90}" sourceName="year">
  <pivotTables>
    <pivotTable tabId="5" name="PivotTable7"/>
    <pivotTable tabId="5" name="PivotTable1"/>
    <pivotTable tabId="5" name="PivotTable18"/>
    <pivotTable tabId="5" name="PivotTable44"/>
    <pivotTable tabId="5" name="PivotTable48"/>
    <pivotTable tabId="5" name="PivotTable50"/>
    <pivotTable tabId="5" name="PivotTable51"/>
    <pivotTable tabId="5" name="PivotTable52"/>
    <pivotTable tabId="5" name="PivotTable53"/>
    <pivotTable tabId="5" name="PivotTable55"/>
  </pivotTables>
  <data>
    <tabular pivotCacheId="203995037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D9B845C-51A2-454A-AC2F-94B1ABFA45DE}" cache="Slicer_region" caption="region" rowHeight="247650"/>
  <slicer name="category" xr10:uid="{9399792A-061C-43CF-9930-09D1EC2EA54F}" cache="Slicer_category" caption="category" rowHeight="247650"/>
  <slicer name="year" xr10:uid="{086D79B8-7E6B-447B-9068-F4351B07A386}" cache="Slicer_year" caption="yea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3D7C05-38A2-47E1-AD24-E2761BDF4C56}" name="customers" displayName="customers" ref="A1:E302" tableType="queryTable" totalsRowShown="0">
  <autoFilter ref="A1:E302" xr:uid="{A23D7C05-38A2-47E1-AD24-E2761BDF4C56}"/>
  <tableColumns count="5">
    <tableColumn id="1" xr3:uid="{0769C731-9F86-4F89-A2C4-F0026CE82DCF}" uniqueName="1" name="Column1" queryTableFieldId="1" dataDxfId="10"/>
    <tableColumn id="2" xr3:uid="{141F2F89-CD19-4B6D-8FE3-DE277E5AAF53}" uniqueName="2" name="Column2" queryTableFieldId="2" dataDxfId="9"/>
    <tableColumn id="3" xr3:uid="{D08071E1-799F-4290-9D83-C6B8ADA44DDC}" uniqueName="3" name="Column3" queryTableFieldId="3" dataDxfId="8"/>
    <tableColumn id="4" xr3:uid="{57278765-4E36-4000-A06F-EDB3A51E3AD0}" uniqueName="4" name="Column4" queryTableFieldId="4" dataDxfId="7"/>
    <tableColumn id="5" xr3:uid="{20D21E13-D289-446A-B2F7-AA5DD96D4DB6}" uniqueName="5" name="Column5" queryTableFieldId="5"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4EC399-718E-4E0D-BA4E-F2BD2EC67478}" name="products" displayName="products" ref="A1:E13" tableType="queryTable" totalsRowShown="0">
  <autoFilter ref="A1:E13" xr:uid="{404EC399-718E-4E0D-BA4E-F2BD2EC67478}"/>
  <tableColumns count="5">
    <tableColumn id="1" xr3:uid="{7ACF52E7-730C-46D2-A8AA-2B657678C9CD}" uniqueName="1" name="product_id" queryTableFieldId="1" dataDxfId="5"/>
    <tableColumn id="2" xr3:uid="{67845606-7CAE-433D-B8BD-428EB8836B73}" uniqueName="2" name="product_name" queryTableFieldId="2" dataDxfId="4"/>
    <tableColumn id="3" xr3:uid="{1DF3D264-A15B-48B0-8914-336A21034DE6}" uniqueName="3" name="category" queryTableFieldId="3" dataDxfId="3"/>
    <tableColumn id="4" xr3:uid="{C6742916-0882-4213-8B4A-153D55273412}" uniqueName="4" name="unit_price" queryTableFieldId="4"/>
    <tableColumn id="5" xr3:uid="{F3375123-1CAA-4BB5-9AD1-837FBD7B33B6}" uniqueName="5" name="margin_pct" queryTableField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D2F88C-E3EB-4C4B-9CE1-04A71D10B8CF}" name="Table1_1" displayName="Table1_1" ref="A1:Z2001" tableType="queryTable" totalsRowShown="0">
  <autoFilter ref="A1:Z2001" xr:uid="{72D2F88C-E3EB-4C4B-9CE1-04A71D10B8CF}"/>
  <sortState xmlns:xlrd2="http://schemas.microsoft.com/office/spreadsheetml/2017/richdata2" ref="A2:Z2001">
    <sortCondition ref="A2:A2001"/>
  </sortState>
  <tableColumns count="26">
    <tableColumn id="1" xr3:uid="{69A9BB8A-31E0-4ACB-AC5F-DF9E9BB16540}" uniqueName="1" name="order_id" queryTableFieldId="1" dataDxfId="31"/>
    <tableColumn id="2" xr3:uid="{AB901DCC-DE5E-4162-9AF9-7B12D788357E}" uniqueName="2" name="order_date" queryTableFieldId="2" dataDxfId="30"/>
    <tableColumn id="3" xr3:uid="{B2F9E49F-21FC-4F56-8B66-E78804A56337}" uniqueName="3" name="ship_date" queryTableFieldId="3" dataDxfId="29"/>
    <tableColumn id="4" xr3:uid="{B02EDD36-2D36-462B-A4B2-22A32A7F9A03}" uniqueName="4" name="customer_id" queryTableFieldId="4" dataDxfId="28"/>
    <tableColumn id="5" xr3:uid="{DBFA8AE3-57D9-470A-B7EF-AFE0769F8B77}" uniqueName="5" name="customer_name" queryTableFieldId="5" dataDxfId="27"/>
    <tableColumn id="6" xr3:uid="{D21D5A7D-2606-43E3-BB52-299BA6A9361B}" uniqueName="6" name="segment" queryTableFieldId="6" dataDxfId="26"/>
    <tableColumn id="7" xr3:uid="{C03C0F6A-43F4-4C35-84D1-DF27723BD3AB}" uniqueName="7" name="region" queryTableFieldId="7" dataDxfId="25"/>
    <tableColumn id="8" xr3:uid="{5BAED2C7-2EC2-4861-8581-14B973339E2C}" uniqueName="8" name="city" queryTableFieldId="8" dataDxfId="24"/>
    <tableColumn id="9" xr3:uid="{373B973A-8953-4781-9189-EF6CB4CF0073}" uniqueName="9" name="product_id" queryTableFieldId="9" dataDxfId="23"/>
    <tableColumn id="10" xr3:uid="{F1BBB57D-9CCC-4AE0-B948-76C830253578}" uniqueName="10" name="product_name" queryTableFieldId="10" dataDxfId="22"/>
    <tableColumn id="11" xr3:uid="{074FC6CC-CF92-4294-910C-55D0A7DEDA2D}" uniqueName="11" name="category" queryTableFieldId="11" dataDxfId="21"/>
    <tableColumn id="12" xr3:uid="{5DDA5169-A5B1-4641-9D9A-3D7B4DF57C84}" uniqueName="12" name="quantity" queryTableFieldId="12"/>
    <tableColumn id="13" xr3:uid="{4A8AD8FA-2AB8-4E8A-A69F-973E7AD45637}" uniqueName="13" name="unit_price" queryTableFieldId="13"/>
    <tableColumn id="14" xr3:uid="{B8D668CA-2BE0-4BFC-B783-820779F9A22C}" uniqueName="14" name="discount_pct" queryTableFieldId="14"/>
    <tableColumn id="15" xr3:uid="{42FA3F9B-DCAE-42DF-A83D-2342EFCBBAE4}" uniqueName="15" name="sales_fix" queryTableFieldId="15"/>
    <tableColumn id="16" xr3:uid="{277DBA9E-15BA-4BC9-9018-77BC2155EA52}" uniqueName="16" name="profit" queryTableFieldId="16"/>
    <tableColumn id="17" xr3:uid="{DC3C2C0E-54E3-4998-B5C9-C5A68794B48C}" uniqueName="17" name="sales_rep" queryTableFieldId="17" dataDxfId="20"/>
    <tableColumn id="18" xr3:uid="{44AE9D0B-3B72-4ED3-B646-388C13CD2065}" uniqueName="18" name="channel" queryTableFieldId="18" dataDxfId="19"/>
    <tableColumn id="19" xr3:uid="{32EAF920-5E93-4C48-85C9-5CEFCE1E4EB9}" uniqueName="19" name="payment_method" queryTableFieldId="19" dataDxfId="18"/>
    <tableColumn id="20" xr3:uid="{15C3EA2A-5AB7-4E20-B286-56663A44293B}" uniqueName="20" name="year" queryTableFieldId="26" dataDxfId="17">
      <calculatedColumnFormula>YEAR(Table1_1[[#This Row],[order_date]])</calculatedColumnFormula>
    </tableColumn>
    <tableColumn id="21" xr3:uid="{A1D226BA-2E09-4F03-BB8A-D1339DC61E3D}" uniqueName="21" name="month_num" queryTableFieldId="27" dataDxfId="16">
      <calculatedColumnFormula>MONTH(Table1_1[[#This Row],[order_date]])</calculatedColumnFormula>
    </tableColumn>
    <tableColumn id="22" xr3:uid="{50B117C8-E98B-4012-8E62-7CA3BD3B5D53}" uniqueName="22" name="month" queryTableFieldId="28" dataDxfId="15">
      <calculatedColumnFormula>TEXT(Table1_1[[#This Row],[order_date]],"mmm")</calculatedColumnFormula>
    </tableColumn>
    <tableColumn id="23" xr3:uid="{ED560B29-33C0-4BB3-BB36-750DB4A4B2B8}" uniqueName="23" name="quarter" queryTableFieldId="29" dataDxfId="14">
      <calculatedColumnFormula>"Q"&amp;ROUNDUP(MONTH(Table1_1[[#This Row],[order_date]])/3,0)</calculatedColumnFormula>
    </tableColumn>
    <tableColumn id="24" xr3:uid="{B4C853F2-B382-4B1C-A35E-563A392A051C}" uniqueName="24" name="year_month" queryTableFieldId="30" dataDxfId="13">
      <calculatedColumnFormula>TEXT(Table1_1[[#This Row],[order_date]],"yyyy-mm")</calculatedColumnFormula>
    </tableColumn>
    <tableColumn id="25" xr3:uid="{D3469272-021B-45BE-A136-EA6AA0D7BCB2}" uniqueName="25" name="delivery_days" queryTableFieldId="31" dataDxfId="12">
      <calculatedColumnFormula>IF(Table1_1[[#This Row],[ship_date]]="","",Table1_1[[#This Row],[ship_date]]-Table1_1[[#This Row],[order_date]])</calculatedColumnFormula>
    </tableColumn>
    <tableColumn id="26" xr3:uid="{448B021E-F7FA-4387-A55D-8CC08FC1BA90}" uniqueName="26" name="profit_margin_pct" queryTableFieldId="32" dataDxfId="11">
      <calculatedColumnFormula>ROUND(Table1_1[[#This Row],[profit]]/Table1_1[[#This Row],[sales_fix]]*100,2)</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3D180F-6FF6-41FC-BDE6-F838046A6482}" name="Table1" displayName="Table1" ref="A1:S2001" totalsRowShown="0">
  <autoFilter ref="A1:S2001" xr:uid="{203D180F-6FF6-41FC-BDE6-F838046A6482}"/>
  <tableColumns count="19">
    <tableColumn id="1" xr3:uid="{50630F2C-B5D0-4873-B39F-015A49710EF5}" name="order_id"/>
    <tableColumn id="2" xr3:uid="{AEAED527-499B-460C-AA29-F4A96AA1CFAA}" name="order_date" dataDxfId="2"/>
    <tableColumn id="3" xr3:uid="{5CE38ABA-E57E-45EB-9B88-492ADB1BBC62}" name="ship_date" dataDxfId="1"/>
    <tableColumn id="4" xr3:uid="{8A32278E-CF2B-458A-9427-59A3C77E19B5}" name="customer_id"/>
    <tableColumn id="5" xr3:uid="{507A27F5-203E-4CAE-AE79-F72AB4C4AF3D}" name="customer_name"/>
    <tableColumn id="6" xr3:uid="{DCF21936-5A7F-4BA7-B2FC-1FBFDB6ECD75}" name="segment"/>
    <tableColumn id="7" xr3:uid="{2AE35CAF-AA05-4F6E-9C9C-EF5DEEEA0617}" name="region"/>
    <tableColumn id="8" xr3:uid="{350EFE89-4A30-485A-B915-263AE3540C70}" name="city"/>
    <tableColumn id="9" xr3:uid="{738C18ED-3323-486C-ACD9-251F1E1EAB94}" name="product_id"/>
    <tableColumn id="10" xr3:uid="{1F44BA25-970A-4E53-9C29-335B1ACB6B4D}" name="product_name"/>
    <tableColumn id="11" xr3:uid="{C08306A7-5DCF-4117-8805-1E8ED19556F7}" name="category"/>
    <tableColumn id="12" xr3:uid="{654A3133-095C-42B2-9001-2D00B411A197}" name="quantity"/>
    <tableColumn id="13" xr3:uid="{81429191-F6F0-42DF-B80D-7D3FCBF9A776}" name="unit_price"/>
    <tableColumn id="14" xr3:uid="{03CA64B3-5A53-407B-B8FF-C7204AF61B78}" name="discount_pct" dataDxfId="0"/>
    <tableColumn id="15" xr3:uid="{09B7F6A9-6D90-45B7-966B-AC7ED9E9B5D3}" name="sales"/>
    <tableColumn id="16" xr3:uid="{3B06B24E-1B0D-4898-85DB-A546931D261D}" name="profit"/>
    <tableColumn id="17" xr3:uid="{519D7F75-60CE-42CC-ABBD-C6D86DFA2E77}" name="sales_rep"/>
    <tableColumn id="18" xr3:uid="{F28771EE-39EE-4D3D-B99B-CA2CDE015C6E}" name="channel"/>
    <tableColumn id="19" xr3:uid="{60C5A524-73C2-42F7-BD04-2F88A0A6486C}" name="payment_metho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0862-B368-4935-93B9-D79873FAB2D0}">
  <dimension ref="A1:E302"/>
  <sheetViews>
    <sheetView workbookViewId="0">
      <selection activeCell="A2" sqref="A2"/>
    </sheetView>
  </sheetViews>
  <sheetFormatPr defaultRowHeight="14.4" x14ac:dyDescent="0.3"/>
  <cols>
    <col min="1" max="1" width="10.88671875" bestFit="1" customWidth="1"/>
    <col min="2" max="2" width="14.109375" bestFit="1" customWidth="1"/>
    <col min="3" max="3" width="13.109375" bestFit="1" customWidth="1"/>
    <col min="4" max="4" width="10.6640625" bestFit="1" customWidth="1"/>
    <col min="5" max="5" width="12" bestFit="1" customWidth="1"/>
  </cols>
  <sheetData>
    <row r="1" spans="1:5" x14ac:dyDescent="0.3">
      <c r="A1" t="s">
        <v>3099</v>
      </c>
      <c r="B1" t="s">
        <v>3100</v>
      </c>
      <c r="C1" t="s">
        <v>3101</v>
      </c>
      <c r="D1" t="s">
        <v>3102</v>
      </c>
      <c r="E1" t="s">
        <v>3103</v>
      </c>
    </row>
    <row r="2" spans="1:5" x14ac:dyDescent="0.3">
      <c r="A2" t="s">
        <v>3</v>
      </c>
      <c r="B2" t="s">
        <v>4</v>
      </c>
      <c r="C2" t="s">
        <v>5</v>
      </c>
      <c r="D2" t="s">
        <v>6</v>
      </c>
      <c r="E2" t="s">
        <v>7</v>
      </c>
    </row>
    <row r="3" spans="1:5" x14ac:dyDescent="0.3">
      <c r="A3" t="s">
        <v>1356</v>
      </c>
      <c r="B3" t="s">
        <v>1357</v>
      </c>
      <c r="C3" t="s">
        <v>55</v>
      </c>
      <c r="D3" t="s">
        <v>44</v>
      </c>
      <c r="E3" t="s">
        <v>24</v>
      </c>
    </row>
    <row r="4" spans="1:5" x14ac:dyDescent="0.3">
      <c r="A4" t="s">
        <v>721</v>
      </c>
      <c r="B4" t="s">
        <v>722</v>
      </c>
      <c r="C4" t="s">
        <v>34</v>
      </c>
      <c r="D4" t="s">
        <v>35</v>
      </c>
      <c r="E4" t="s">
        <v>258</v>
      </c>
    </row>
    <row r="5" spans="1:5" x14ac:dyDescent="0.3">
      <c r="A5" t="s">
        <v>483</v>
      </c>
      <c r="B5" t="s">
        <v>484</v>
      </c>
      <c r="C5" t="s">
        <v>55</v>
      </c>
      <c r="D5" t="s">
        <v>61</v>
      </c>
      <c r="E5" t="s">
        <v>62</v>
      </c>
    </row>
    <row r="6" spans="1:5" x14ac:dyDescent="0.3">
      <c r="A6" t="s">
        <v>531</v>
      </c>
      <c r="B6" t="s">
        <v>532</v>
      </c>
      <c r="C6" t="s">
        <v>23</v>
      </c>
      <c r="D6" t="s">
        <v>44</v>
      </c>
      <c r="E6" t="s">
        <v>161</v>
      </c>
    </row>
    <row r="7" spans="1:5" x14ac:dyDescent="0.3">
      <c r="A7" t="s">
        <v>400</v>
      </c>
      <c r="B7" t="s">
        <v>401</v>
      </c>
      <c r="C7" t="s">
        <v>34</v>
      </c>
      <c r="D7" t="s">
        <v>44</v>
      </c>
      <c r="E7" t="s">
        <v>24</v>
      </c>
    </row>
    <row r="8" spans="1:5" x14ac:dyDescent="0.3">
      <c r="A8" t="s">
        <v>613</v>
      </c>
      <c r="B8" t="s">
        <v>614</v>
      </c>
      <c r="C8" t="s">
        <v>55</v>
      </c>
      <c r="D8" t="s">
        <v>61</v>
      </c>
      <c r="E8" t="s">
        <v>211</v>
      </c>
    </row>
    <row r="9" spans="1:5" x14ac:dyDescent="0.3">
      <c r="A9" t="s">
        <v>770</v>
      </c>
      <c r="B9" t="s">
        <v>771</v>
      </c>
      <c r="C9" t="s">
        <v>34</v>
      </c>
      <c r="D9" t="s">
        <v>44</v>
      </c>
      <c r="E9" t="s">
        <v>161</v>
      </c>
    </row>
    <row r="10" spans="1:5" x14ac:dyDescent="0.3">
      <c r="A10" t="s">
        <v>332</v>
      </c>
      <c r="B10" t="s">
        <v>333</v>
      </c>
      <c r="C10" t="s">
        <v>23</v>
      </c>
      <c r="D10" t="s">
        <v>91</v>
      </c>
      <c r="E10" t="s">
        <v>177</v>
      </c>
    </row>
    <row r="11" spans="1:5" x14ac:dyDescent="0.3">
      <c r="A11" t="s">
        <v>1171</v>
      </c>
      <c r="B11" t="s">
        <v>1172</v>
      </c>
      <c r="C11" t="s">
        <v>34</v>
      </c>
      <c r="D11" t="s">
        <v>35</v>
      </c>
      <c r="E11" t="s">
        <v>85</v>
      </c>
    </row>
    <row r="12" spans="1:5" x14ac:dyDescent="0.3">
      <c r="A12" t="s">
        <v>842</v>
      </c>
      <c r="B12" t="s">
        <v>843</v>
      </c>
      <c r="C12" t="s">
        <v>23</v>
      </c>
      <c r="D12" t="s">
        <v>91</v>
      </c>
      <c r="E12" t="s">
        <v>120</v>
      </c>
    </row>
    <row r="13" spans="1:5" x14ac:dyDescent="0.3">
      <c r="A13" t="s">
        <v>1036</v>
      </c>
      <c r="B13" t="s">
        <v>1037</v>
      </c>
      <c r="C13" t="s">
        <v>23</v>
      </c>
      <c r="D13" t="s">
        <v>61</v>
      </c>
      <c r="E13" t="s">
        <v>211</v>
      </c>
    </row>
    <row r="14" spans="1:5" x14ac:dyDescent="0.3">
      <c r="A14" t="s">
        <v>735</v>
      </c>
      <c r="B14" t="s">
        <v>736</v>
      </c>
      <c r="C14" t="s">
        <v>23</v>
      </c>
      <c r="D14" t="s">
        <v>44</v>
      </c>
      <c r="E14" t="s">
        <v>24</v>
      </c>
    </row>
    <row r="15" spans="1:5" x14ac:dyDescent="0.3">
      <c r="A15" t="s">
        <v>1015</v>
      </c>
      <c r="B15" t="s">
        <v>1016</v>
      </c>
      <c r="C15" t="s">
        <v>23</v>
      </c>
      <c r="D15" t="s">
        <v>44</v>
      </c>
      <c r="E15" t="s">
        <v>45</v>
      </c>
    </row>
    <row r="16" spans="1:5" x14ac:dyDescent="0.3">
      <c r="A16" t="s">
        <v>740</v>
      </c>
      <c r="B16" t="s">
        <v>741</v>
      </c>
      <c r="C16" t="s">
        <v>55</v>
      </c>
      <c r="D16" t="s">
        <v>35</v>
      </c>
      <c r="E16" t="s">
        <v>85</v>
      </c>
    </row>
    <row r="17" spans="1:5" x14ac:dyDescent="0.3">
      <c r="A17" t="s">
        <v>107</v>
      </c>
      <c r="B17" t="s">
        <v>108</v>
      </c>
      <c r="C17" t="s">
        <v>23</v>
      </c>
      <c r="D17" t="s">
        <v>91</v>
      </c>
      <c r="E17" t="s">
        <v>109</v>
      </c>
    </row>
    <row r="18" spans="1:5" x14ac:dyDescent="0.3">
      <c r="A18" t="s">
        <v>388</v>
      </c>
      <c r="B18" t="s">
        <v>389</v>
      </c>
      <c r="C18" t="s">
        <v>23</v>
      </c>
      <c r="D18" t="s">
        <v>44</v>
      </c>
      <c r="E18" t="s">
        <v>161</v>
      </c>
    </row>
    <row r="19" spans="1:5" x14ac:dyDescent="0.3">
      <c r="A19" t="s">
        <v>1250</v>
      </c>
      <c r="B19" t="s">
        <v>1251</v>
      </c>
      <c r="C19" t="s">
        <v>55</v>
      </c>
      <c r="D19" t="s">
        <v>35</v>
      </c>
      <c r="E19" t="s">
        <v>258</v>
      </c>
    </row>
    <row r="20" spans="1:5" x14ac:dyDescent="0.3">
      <c r="A20" t="s">
        <v>2178</v>
      </c>
      <c r="B20" t="s">
        <v>2179</v>
      </c>
      <c r="C20" t="s">
        <v>55</v>
      </c>
      <c r="D20" t="s">
        <v>44</v>
      </c>
      <c r="E20" t="s">
        <v>24</v>
      </c>
    </row>
    <row r="21" spans="1:5" x14ac:dyDescent="0.3">
      <c r="A21" t="s">
        <v>247</v>
      </c>
      <c r="B21" t="s">
        <v>248</v>
      </c>
      <c r="C21" t="s">
        <v>34</v>
      </c>
      <c r="D21" t="s">
        <v>61</v>
      </c>
      <c r="E21" t="s">
        <v>78</v>
      </c>
    </row>
    <row r="22" spans="1:5" x14ac:dyDescent="0.3">
      <c r="A22" t="s">
        <v>244</v>
      </c>
      <c r="B22" t="s">
        <v>245</v>
      </c>
      <c r="C22" t="s">
        <v>23</v>
      </c>
      <c r="D22" t="s">
        <v>61</v>
      </c>
      <c r="E22" t="s">
        <v>62</v>
      </c>
    </row>
    <row r="23" spans="1:5" x14ac:dyDescent="0.3">
      <c r="A23" t="s">
        <v>352</v>
      </c>
      <c r="B23" t="s">
        <v>353</v>
      </c>
      <c r="C23" t="s">
        <v>55</v>
      </c>
      <c r="D23" t="s">
        <v>35</v>
      </c>
      <c r="E23" t="s">
        <v>36</v>
      </c>
    </row>
    <row r="24" spans="1:5" x14ac:dyDescent="0.3">
      <c r="A24" t="s">
        <v>767</v>
      </c>
      <c r="B24" t="s">
        <v>768</v>
      </c>
      <c r="C24" t="s">
        <v>23</v>
      </c>
      <c r="D24" t="s">
        <v>35</v>
      </c>
      <c r="E24" t="s">
        <v>258</v>
      </c>
    </row>
    <row r="25" spans="1:5" x14ac:dyDescent="0.3">
      <c r="A25" t="s">
        <v>592</v>
      </c>
      <c r="B25" t="s">
        <v>593</v>
      </c>
      <c r="C25" t="s">
        <v>55</v>
      </c>
      <c r="D25" t="s">
        <v>35</v>
      </c>
      <c r="E25" t="s">
        <v>258</v>
      </c>
    </row>
    <row r="26" spans="1:5" x14ac:dyDescent="0.3">
      <c r="A26" t="s">
        <v>1950</v>
      </c>
      <c r="B26" t="s">
        <v>1951</v>
      </c>
      <c r="C26" t="s">
        <v>55</v>
      </c>
      <c r="D26" t="s">
        <v>35</v>
      </c>
      <c r="E26" t="s">
        <v>85</v>
      </c>
    </row>
    <row r="27" spans="1:5" x14ac:dyDescent="0.3">
      <c r="A27" t="s">
        <v>209</v>
      </c>
      <c r="B27" t="s">
        <v>210</v>
      </c>
      <c r="C27" t="s">
        <v>34</v>
      </c>
      <c r="D27" t="s">
        <v>61</v>
      </c>
      <c r="E27" t="s">
        <v>211</v>
      </c>
    </row>
    <row r="28" spans="1:5" x14ac:dyDescent="0.3">
      <c r="A28" t="s">
        <v>1209</v>
      </c>
      <c r="B28" t="s">
        <v>1210</v>
      </c>
      <c r="C28" t="s">
        <v>23</v>
      </c>
      <c r="D28" t="s">
        <v>91</v>
      </c>
      <c r="E28" t="s">
        <v>92</v>
      </c>
    </row>
    <row r="29" spans="1:5" x14ac:dyDescent="0.3">
      <c r="A29" t="s">
        <v>871</v>
      </c>
      <c r="B29" t="s">
        <v>872</v>
      </c>
      <c r="C29" t="s">
        <v>34</v>
      </c>
      <c r="D29" t="s">
        <v>61</v>
      </c>
      <c r="E29" t="s">
        <v>78</v>
      </c>
    </row>
    <row r="30" spans="1:5" x14ac:dyDescent="0.3">
      <c r="A30" t="s">
        <v>1009</v>
      </c>
      <c r="B30" t="s">
        <v>1010</v>
      </c>
      <c r="C30" t="s">
        <v>23</v>
      </c>
      <c r="D30" t="s">
        <v>61</v>
      </c>
      <c r="E30" t="s">
        <v>62</v>
      </c>
    </row>
    <row r="31" spans="1:5" x14ac:dyDescent="0.3">
      <c r="A31" t="s">
        <v>596</v>
      </c>
      <c r="B31" t="s">
        <v>597</v>
      </c>
      <c r="C31" t="s">
        <v>34</v>
      </c>
      <c r="D31" t="s">
        <v>91</v>
      </c>
      <c r="E31" t="s">
        <v>120</v>
      </c>
    </row>
    <row r="32" spans="1:5" x14ac:dyDescent="0.3">
      <c r="A32" t="s">
        <v>466</v>
      </c>
      <c r="B32" t="s">
        <v>467</v>
      </c>
      <c r="C32" t="s">
        <v>34</v>
      </c>
      <c r="D32" t="s">
        <v>61</v>
      </c>
      <c r="E32" t="s">
        <v>78</v>
      </c>
    </row>
    <row r="33" spans="1:5" x14ac:dyDescent="0.3">
      <c r="A33" t="s">
        <v>392</v>
      </c>
      <c r="B33" t="s">
        <v>393</v>
      </c>
      <c r="C33" t="s">
        <v>55</v>
      </c>
      <c r="D33" t="s">
        <v>91</v>
      </c>
      <c r="E33" t="s">
        <v>92</v>
      </c>
    </row>
    <row r="34" spans="1:5" x14ac:dyDescent="0.3">
      <c r="A34" t="s">
        <v>1168</v>
      </c>
      <c r="B34" t="s">
        <v>1169</v>
      </c>
      <c r="C34" t="s">
        <v>23</v>
      </c>
      <c r="D34" t="s">
        <v>91</v>
      </c>
      <c r="E34" t="s">
        <v>177</v>
      </c>
    </row>
    <row r="35" spans="1:5" x14ac:dyDescent="0.3">
      <c r="A35" t="s">
        <v>1394</v>
      </c>
      <c r="B35" t="s">
        <v>1395</v>
      </c>
      <c r="C35" t="s">
        <v>55</v>
      </c>
      <c r="D35" t="s">
        <v>61</v>
      </c>
      <c r="E35" t="s">
        <v>211</v>
      </c>
    </row>
    <row r="36" spans="1:5" x14ac:dyDescent="0.3">
      <c r="A36" t="s">
        <v>138</v>
      </c>
      <c r="B36" t="s">
        <v>139</v>
      </c>
      <c r="C36" t="s">
        <v>55</v>
      </c>
      <c r="D36" t="s">
        <v>35</v>
      </c>
      <c r="E36" t="s">
        <v>36</v>
      </c>
    </row>
    <row r="37" spans="1:5" x14ac:dyDescent="0.3">
      <c r="A37" t="s">
        <v>196</v>
      </c>
      <c r="B37" t="s">
        <v>197</v>
      </c>
      <c r="C37" t="s">
        <v>34</v>
      </c>
      <c r="D37" t="s">
        <v>91</v>
      </c>
      <c r="E37" t="s">
        <v>120</v>
      </c>
    </row>
    <row r="38" spans="1:5" x14ac:dyDescent="0.3">
      <c r="A38" t="s">
        <v>1048</v>
      </c>
      <c r="B38" t="s">
        <v>1049</v>
      </c>
      <c r="C38" t="s">
        <v>34</v>
      </c>
      <c r="D38" t="s">
        <v>61</v>
      </c>
      <c r="E38" t="s">
        <v>125</v>
      </c>
    </row>
    <row r="39" spans="1:5" x14ac:dyDescent="0.3">
      <c r="A39" t="s">
        <v>142</v>
      </c>
      <c r="B39" t="s">
        <v>143</v>
      </c>
      <c r="C39" t="s">
        <v>34</v>
      </c>
      <c r="D39" t="s">
        <v>44</v>
      </c>
      <c r="E39" t="s">
        <v>24</v>
      </c>
    </row>
    <row r="40" spans="1:5" x14ac:dyDescent="0.3">
      <c r="A40" t="s">
        <v>384</v>
      </c>
      <c r="B40" t="s">
        <v>385</v>
      </c>
      <c r="C40" t="s">
        <v>55</v>
      </c>
      <c r="D40" t="s">
        <v>61</v>
      </c>
      <c r="E40" t="s">
        <v>125</v>
      </c>
    </row>
    <row r="41" spans="1:5" x14ac:dyDescent="0.3">
      <c r="A41" t="s">
        <v>328</v>
      </c>
      <c r="B41" t="s">
        <v>329</v>
      </c>
      <c r="C41" t="s">
        <v>23</v>
      </c>
      <c r="D41" t="s">
        <v>44</v>
      </c>
      <c r="E41" t="s">
        <v>330</v>
      </c>
    </row>
    <row r="42" spans="1:5" x14ac:dyDescent="0.3">
      <c r="A42" t="s">
        <v>1889</v>
      </c>
      <c r="B42" t="s">
        <v>1890</v>
      </c>
      <c r="C42" t="s">
        <v>55</v>
      </c>
      <c r="D42" t="s">
        <v>91</v>
      </c>
      <c r="E42" t="s">
        <v>120</v>
      </c>
    </row>
    <row r="43" spans="1:5" x14ac:dyDescent="0.3">
      <c r="A43" t="s">
        <v>53</v>
      </c>
      <c r="B43" t="s">
        <v>54</v>
      </c>
      <c r="C43" t="s">
        <v>55</v>
      </c>
      <c r="D43" t="s">
        <v>44</v>
      </c>
      <c r="E43" t="s">
        <v>24</v>
      </c>
    </row>
    <row r="44" spans="1:5" x14ac:dyDescent="0.3">
      <c r="A44" t="s">
        <v>524</v>
      </c>
      <c r="B44" t="s">
        <v>525</v>
      </c>
      <c r="C44" t="s">
        <v>34</v>
      </c>
      <c r="D44" t="s">
        <v>35</v>
      </c>
      <c r="E44" t="s">
        <v>187</v>
      </c>
    </row>
    <row r="45" spans="1:5" x14ac:dyDescent="0.3">
      <c r="A45" t="s">
        <v>1736</v>
      </c>
      <c r="B45" t="s">
        <v>1737</v>
      </c>
      <c r="C45" t="s">
        <v>34</v>
      </c>
      <c r="D45" t="s">
        <v>35</v>
      </c>
      <c r="E45" t="s">
        <v>36</v>
      </c>
    </row>
    <row r="46" spans="1:5" x14ac:dyDescent="0.3">
      <c r="A46" t="s">
        <v>550</v>
      </c>
      <c r="B46" t="s">
        <v>551</v>
      </c>
      <c r="C46" t="s">
        <v>55</v>
      </c>
      <c r="D46" t="s">
        <v>91</v>
      </c>
      <c r="E46" t="s">
        <v>109</v>
      </c>
    </row>
    <row r="47" spans="1:5" x14ac:dyDescent="0.3">
      <c r="A47" t="s">
        <v>256</v>
      </c>
      <c r="B47" t="s">
        <v>257</v>
      </c>
      <c r="C47" t="s">
        <v>55</v>
      </c>
      <c r="D47" t="s">
        <v>35</v>
      </c>
      <c r="E47" t="s">
        <v>258</v>
      </c>
    </row>
    <row r="48" spans="1:5" x14ac:dyDescent="0.3">
      <c r="A48" t="s">
        <v>1579</v>
      </c>
      <c r="B48" t="s">
        <v>1580</v>
      </c>
      <c r="C48" t="s">
        <v>55</v>
      </c>
      <c r="D48" t="s">
        <v>44</v>
      </c>
      <c r="E48" t="s">
        <v>45</v>
      </c>
    </row>
    <row r="49" spans="1:5" x14ac:dyDescent="0.3">
      <c r="A49" t="s">
        <v>1031</v>
      </c>
      <c r="B49" t="s">
        <v>1032</v>
      </c>
      <c r="C49" t="s">
        <v>23</v>
      </c>
      <c r="D49" t="s">
        <v>61</v>
      </c>
      <c r="E49" t="s">
        <v>211</v>
      </c>
    </row>
    <row r="50" spans="1:5" x14ac:dyDescent="0.3">
      <c r="A50" t="s">
        <v>554</v>
      </c>
      <c r="B50" t="s">
        <v>555</v>
      </c>
      <c r="C50" t="s">
        <v>55</v>
      </c>
      <c r="D50" t="s">
        <v>61</v>
      </c>
      <c r="E50" t="s">
        <v>62</v>
      </c>
    </row>
    <row r="51" spans="1:5" x14ac:dyDescent="0.3">
      <c r="A51" t="s">
        <v>890</v>
      </c>
      <c r="B51" t="s">
        <v>891</v>
      </c>
      <c r="C51" t="s">
        <v>34</v>
      </c>
      <c r="D51" t="s">
        <v>35</v>
      </c>
      <c r="E51" t="s">
        <v>36</v>
      </c>
    </row>
    <row r="52" spans="1:5" x14ac:dyDescent="0.3">
      <c r="A52" t="s">
        <v>203</v>
      </c>
      <c r="B52" t="s">
        <v>204</v>
      </c>
      <c r="C52" t="s">
        <v>23</v>
      </c>
      <c r="D52" t="s">
        <v>44</v>
      </c>
      <c r="E52" t="s">
        <v>45</v>
      </c>
    </row>
    <row r="53" spans="1:5" x14ac:dyDescent="0.3">
      <c r="A53" t="s">
        <v>473</v>
      </c>
      <c r="B53" t="s">
        <v>474</v>
      </c>
      <c r="C53" t="s">
        <v>34</v>
      </c>
      <c r="D53" t="s">
        <v>61</v>
      </c>
      <c r="E53" t="s">
        <v>62</v>
      </c>
    </row>
    <row r="54" spans="1:5" x14ac:dyDescent="0.3">
      <c r="A54" t="s">
        <v>861</v>
      </c>
      <c r="B54" t="s">
        <v>862</v>
      </c>
      <c r="C54" t="s">
        <v>55</v>
      </c>
      <c r="D54" t="s">
        <v>44</v>
      </c>
      <c r="E54" t="s">
        <v>24</v>
      </c>
    </row>
    <row r="55" spans="1:5" x14ac:dyDescent="0.3">
      <c r="A55" t="s">
        <v>1184</v>
      </c>
      <c r="B55" t="s">
        <v>1185</v>
      </c>
      <c r="C55" t="s">
        <v>55</v>
      </c>
      <c r="D55" t="s">
        <v>91</v>
      </c>
      <c r="E55" t="s">
        <v>109</v>
      </c>
    </row>
    <row r="56" spans="1:5" x14ac:dyDescent="0.3">
      <c r="A56" t="s">
        <v>774</v>
      </c>
      <c r="B56" t="s">
        <v>775</v>
      </c>
      <c r="C56" t="s">
        <v>55</v>
      </c>
      <c r="D56" t="s">
        <v>61</v>
      </c>
      <c r="E56" t="s">
        <v>211</v>
      </c>
    </row>
    <row r="57" spans="1:5" x14ac:dyDescent="0.3">
      <c r="A57" t="s">
        <v>179</v>
      </c>
      <c r="B57" t="s">
        <v>180</v>
      </c>
      <c r="C57" t="s">
        <v>23</v>
      </c>
      <c r="D57" t="s">
        <v>91</v>
      </c>
      <c r="E57" t="s">
        <v>177</v>
      </c>
    </row>
    <row r="58" spans="1:5" x14ac:dyDescent="0.3">
      <c r="A58" t="s">
        <v>172</v>
      </c>
      <c r="B58" t="s">
        <v>173</v>
      </c>
      <c r="C58" t="s">
        <v>55</v>
      </c>
      <c r="D58" t="s">
        <v>91</v>
      </c>
      <c r="E58" t="s">
        <v>177</v>
      </c>
    </row>
    <row r="59" spans="1:5" x14ac:dyDescent="0.3">
      <c r="A59" t="s">
        <v>1540</v>
      </c>
      <c r="B59" t="s">
        <v>1541</v>
      </c>
      <c r="C59" t="s">
        <v>23</v>
      </c>
      <c r="D59" t="s">
        <v>61</v>
      </c>
      <c r="E59" t="s">
        <v>78</v>
      </c>
    </row>
    <row r="60" spans="1:5" x14ac:dyDescent="0.3">
      <c r="A60" t="s">
        <v>639</v>
      </c>
      <c r="B60" t="s">
        <v>640</v>
      </c>
      <c r="C60" t="s">
        <v>55</v>
      </c>
      <c r="D60" t="s">
        <v>35</v>
      </c>
      <c r="E60" t="s">
        <v>36</v>
      </c>
    </row>
    <row r="61" spans="1:5" x14ac:dyDescent="0.3">
      <c r="A61" t="s">
        <v>1875</v>
      </c>
      <c r="B61" t="s">
        <v>1876</v>
      </c>
      <c r="C61" t="s">
        <v>34</v>
      </c>
      <c r="D61" t="s">
        <v>91</v>
      </c>
      <c r="E61" t="s">
        <v>109</v>
      </c>
    </row>
    <row r="62" spans="1:5" x14ac:dyDescent="0.3">
      <c r="A62" t="s">
        <v>557</v>
      </c>
      <c r="B62" t="s">
        <v>558</v>
      </c>
      <c r="C62" t="s">
        <v>23</v>
      </c>
      <c r="D62" t="s">
        <v>61</v>
      </c>
      <c r="E62" t="s">
        <v>62</v>
      </c>
    </row>
    <row r="63" spans="1:5" x14ac:dyDescent="0.3">
      <c r="A63" t="s">
        <v>395</v>
      </c>
      <c r="B63" t="s">
        <v>396</v>
      </c>
      <c r="C63" t="s">
        <v>55</v>
      </c>
      <c r="D63" t="s">
        <v>44</v>
      </c>
      <c r="E63" t="s">
        <v>161</v>
      </c>
    </row>
    <row r="64" spans="1:5" x14ac:dyDescent="0.3">
      <c r="A64" t="s">
        <v>421</v>
      </c>
      <c r="B64" t="s">
        <v>422</v>
      </c>
      <c r="C64" t="s">
        <v>34</v>
      </c>
      <c r="D64" t="s">
        <v>61</v>
      </c>
      <c r="E64" t="s">
        <v>211</v>
      </c>
    </row>
    <row r="65" spans="1:5" x14ac:dyDescent="0.3">
      <c r="A65" t="s">
        <v>1659</v>
      </c>
      <c r="B65" t="s">
        <v>1660</v>
      </c>
      <c r="C65" t="s">
        <v>34</v>
      </c>
      <c r="D65" t="s">
        <v>44</v>
      </c>
      <c r="E65" t="s">
        <v>24</v>
      </c>
    </row>
    <row r="66" spans="1:5" x14ac:dyDescent="0.3">
      <c r="A66" t="s">
        <v>69</v>
      </c>
      <c r="B66" t="s">
        <v>70</v>
      </c>
      <c r="C66" t="s">
        <v>23</v>
      </c>
      <c r="D66" t="s">
        <v>44</v>
      </c>
      <c r="E66" t="s">
        <v>24</v>
      </c>
    </row>
    <row r="67" spans="1:5" x14ac:dyDescent="0.3">
      <c r="A67" t="s">
        <v>755</v>
      </c>
      <c r="B67" t="s">
        <v>756</v>
      </c>
      <c r="C67" t="s">
        <v>34</v>
      </c>
      <c r="D67" t="s">
        <v>44</v>
      </c>
      <c r="E67" t="s">
        <v>161</v>
      </c>
    </row>
    <row r="68" spans="1:5" x14ac:dyDescent="0.3">
      <c r="A68" t="s">
        <v>150</v>
      </c>
      <c r="B68" t="s">
        <v>151</v>
      </c>
      <c r="C68" t="s">
        <v>34</v>
      </c>
      <c r="D68" t="s">
        <v>35</v>
      </c>
      <c r="E68" t="s">
        <v>36</v>
      </c>
    </row>
    <row r="69" spans="1:5" x14ac:dyDescent="0.3">
      <c r="A69" t="s">
        <v>602</v>
      </c>
      <c r="B69" t="s">
        <v>603</v>
      </c>
      <c r="C69" t="s">
        <v>34</v>
      </c>
      <c r="D69" t="s">
        <v>61</v>
      </c>
      <c r="E69" t="s">
        <v>125</v>
      </c>
    </row>
    <row r="70" spans="1:5" x14ac:dyDescent="0.3">
      <c r="A70" t="s">
        <v>1315</v>
      </c>
      <c r="B70" t="s">
        <v>1316</v>
      </c>
      <c r="C70" t="s">
        <v>34</v>
      </c>
      <c r="D70" t="s">
        <v>91</v>
      </c>
      <c r="E70" t="s">
        <v>92</v>
      </c>
    </row>
    <row r="71" spans="1:5" x14ac:dyDescent="0.3">
      <c r="A71" t="s">
        <v>457</v>
      </c>
      <c r="B71" t="s">
        <v>458</v>
      </c>
      <c r="C71" t="s">
        <v>55</v>
      </c>
      <c r="D71" t="s">
        <v>44</v>
      </c>
      <c r="E71" t="s">
        <v>24</v>
      </c>
    </row>
    <row r="72" spans="1:5" x14ac:dyDescent="0.3">
      <c r="A72" t="s">
        <v>189</v>
      </c>
      <c r="B72" t="s">
        <v>190</v>
      </c>
      <c r="C72" t="s">
        <v>23</v>
      </c>
      <c r="D72" t="s">
        <v>91</v>
      </c>
      <c r="E72" t="s">
        <v>120</v>
      </c>
    </row>
    <row r="73" spans="1:5" x14ac:dyDescent="0.3">
      <c r="A73" t="s">
        <v>748</v>
      </c>
      <c r="B73" t="s">
        <v>749</v>
      </c>
      <c r="C73" t="s">
        <v>55</v>
      </c>
      <c r="D73" t="s">
        <v>91</v>
      </c>
      <c r="E73" t="s">
        <v>92</v>
      </c>
    </row>
    <row r="74" spans="1:5" x14ac:dyDescent="0.3">
      <c r="A74" t="s">
        <v>378</v>
      </c>
      <c r="B74" t="s">
        <v>379</v>
      </c>
      <c r="C74" t="s">
        <v>34</v>
      </c>
      <c r="D74" t="s">
        <v>44</v>
      </c>
      <c r="E74" t="s">
        <v>24</v>
      </c>
    </row>
    <row r="75" spans="1:5" x14ac:dyDescent="0.3">
      <c r="A75" t="s">
        <v>657</v>
      </c>
      <c r="B75" t="s">
        <v>658</v>
      </c>
      <c r="C75" t="s">
        <v>34</v>
      </c>
      <c r="D75" t="s">
        <v>91</v>
      </c>
      <c r="E75" t="s">
        <v>120</v>
      </c>
    </row>
    <row r="76" spans="1:5" x14ac:dyDescent="0.3">
      <c r="A76" t="s">
        <v>625</v>
      </c>
      <c r="B76" t="s">
        <v>626</v>
      </c>
      <c r="C76" t="s">
        <v>34</v>
      </c>
      <c r="D76" t="s">
        <v>61</v>
      </c>
      <c r="E76" t="s">
        <v>211</v>
      </c>
    </row>
    <row r="77" spans="1:5" x14ac:dyDescent="0.3">
      <c r="A77" t="s">
        <v>2323</v>
      </c>
      <c r="B77" t="s">
        <v>2324</v>
      </c>
      <c r="C77" t="s">
        <v>23</v>
      </c>
      <c r="D77" t="s">
        <v>91</v>
      </c>
      <c r="E77" t="s">
        <v>177</v>
      </c>
    </row>
    <row r="78" spans="1:5" x14ac:dyDescent="0.3">
      <c r="A78" t="s">
        <v>1090</v>
      </c>
      <c r="B78" t="s">
        <v>1091</v>
      </c>
      <c r="C78" t="s">
        <v>23</v>
      </c>
      <c r="D78" t="s">
        <v>61</v>
      </c>
      <c r="E78" t="s">
        <v>78</v>
      </c>
    </row>
    <row r="79" spans="1:5" x14ac:dyDescent="0.3">
      <c r="A79" t="s">
        <v>1426</v>
      </c>
      <c r="B79" t="s">
        <v>1427</v>
      </c>
      <c r="C79" t="s">
        <v>23</v>
      </c>
      <c r="D79" t="s">
        <v>61</v>
      </c>
      <c r="E79" t="s">
        <v>62</v>
      </c>
    </row>
    <row r="80" spans="1:5" x14ac:dyDescent="0.3">
      <c r="A80" t="s">
        <v>1609</v>
      </c>
      <c r="B80" t="s">
        <v>1610</v>
      </c>
      <c r="C80" t="s">
        <v>55</v>
      </c>
      <c r="D80" t="s">
        <v>44</v>
      </c>
      <c r="E80" t="s">
        <v>24</v>
      </c>
    </row>
    <row r="81" spans="1:5" x14ac:dyDescent="0.3">
      <c r="A81" t="s">
        <v>1532</v>
      </c>
      <c r="B81" t="s">
        <v>1533</v>
      </c>
      <c r="C81" t="s">
        <v>34</v>
      </c>
      <c r="D81" t="s">
        <v>44</v>
      </c>
      <c r="E81" t="s">
        <v>24</v>
      </c>
    </row>
    <row r="82" spans="1:5" x14ac:dyDescent="0.3">
      <c r="A82" t="s">
        <v>790</v>
      </c>
      <c r="B82" t="s">
        <v>791</v>
      </c>
      <c r="C82" t="s">
        <v>23</v>
      </c>
      <c r="D82" t="s">
        <v>61</v>
      </c>
      <c r="E82" t="s">
        <v>125</v>
      </c>
    </row>
    <row r="83" spans="1:5" x14ac:dyDescent="0.3">
      <c r="A83" t="s">
        <v>670</v>
      </c>
      <c r="B83" t="s">
        <v>1308</v>
      </c>
      <c r="C83" t="s">
        <v>23</v>
      </c>
      <c r="D83" t="s">
        <v>91</v>
      </c>
      <c r="E83" t="s">
        <v>177</v>
      </c>
    </row>
    <row r="84" spans="1:5" x14ac:dyDescent="0.3">
      <c r="A84" t="s">
        <v>1079</v>
      </c>
      <c r="B84" t="s">
        <v>1080</v>
      </c>
      <c r="C84" t="s">
        <v>23</v>
      </c>
      <c r="D84" t="s">
        <v>44</v>
      </c>
      <c r="E84" t="s">
        <v>155</v>
      </c>
    </row>
    <row r="85" spans="1:5" x14ac:dyDescent="0.3">
      <c r="A85" t="s">
        <v>761</v>
      </c>
      <c r="B85" t="s">
        <v>762</v>
      </c>
      <c r="C85" t="s">
        <v>23</v>
      </c>
      <c r="D85" t="s">
        <v>44</v>
      </c>
      <c r="E85" t="s">
        <v>330</v>
      </c>
    </row>
    <row r="86" spans="1:5" x14ac:dyDescent="0.3">
      <c r="A86" t="s">
        <v>431</v>
      </c>
      <c r="B86" t="s">
        <v>432</v>
      </c>
      <c r="C86" t="s">
        <v>23</v>
      </c>
      <c r="D86" t="s">
        <v>91</v>
      </c>
      <c r="E86" t="s">
        <v>120</v>
      </c>
    </row>
    <row r="87" spans="1:5" x14ac:dyDescent="0.3">
      <c r="A87" t="s">
        <v>1132</v>
      </c>
      <c r="B87" t="s">
        <v>1133</v>
      </c>
      <c r="C87" t="s">
        <v>34</v>
      </c>
      <c r="D87" t="s">
        <v>91</v>
      </c>
      <c r="E87" t="s">
        <v>177</v>
      </c>
    </row>
    <row r="88" spans="1:5" x14ac:dyDescent="0.3">
      <c r="A88" t="s">
        <v>726</v>
      </c>
      <c r="B88" t="s">
        <v>727</v>
      </c>
      <c r="C88" t="s">
        <v>34</v>
      </c>
      <c r="D88" t="s">
        <v>35</v>
      </c>
      <c r="E88" t="s">
        <v>258</v>
      </c>
    </row>
    <row r="89" spans="1:5" x14ac:dyDescent="0.3">
      <c r="A89" t="s">
        <v>428</v>
      </c>
      <c r="B89" t="s">
        <v>429</v>
      </c>
      <c r="C89" t="s">
        <v>34</v>
      </c>
      <c r="D89" t="s">
        <v>44</v>
      </c>
      <c r="E89" t="s">
        <v>45</v>
      </c>
    </row>
    <row r="90" spans="1:5" x14ac:dyDescent="0.3">
      <c r="A90" t="s">
        <v>847</v>
      </c>
      <c r="B90" t="s">
        <v>848</v>
      </c>
      <c r="C90" t="s">
        <v>23</v>
      </c>
      <c r="D90" t="s">
        <v>44</v>
      </c>
      <c r="E90" t="s">
        <v>161</v>
      </c>
    </row>
    <row r="91" spans="1:5" x14ac:dyDescent="0.3">
      <c r="A91" t="s">
        <v>450</v>
      </c>
      <c r="B91" t="s">
        <v>451</v>
      </c>
      <c r="C91" t="s">
        <v>55</v>
      </c>
      <c r="D91" t="s">
        <v>61</v>
      </c>
      <c r="E91" t="s">
        <v>62</v>
      </c>
    </row>
    <row r="92" spans="1:5" x14ac:dyDescent="0.3">
      <c r="A92" t="s">
        <v>288</v>
      </c>
      <c r="B92" t="s">
        <v>289</v>
      </c>
      <c r="C92" t="s">
        <v>34</v>
      </c>
      <c r="D92" t="s">
        <v>44</v>
      </c>
      <c r="E92" t="s">
        <v>155</v>
      </c>
    </row>
    <row r="93" spans="1:5" x14ac:dyDescent="0.3">
      <c r="A93" t="s">
        <v>153</v>
      </c>
      <c r="B93" t="s">
        <v>154</v>
      </c>
      <c r="C93" t="s">
        <v>23</v>
      </c>
      <c r="D93" t="s">
        <v>44</v>
      </c>
      <c r="E93" t="s">
        <v>155</v>
      </c>
    </row>
    <row r="94" spans="1:5" x14ac:dyDescent="0.3">
      <c r="A94" t="s">
        <v>220</v>
      </c>
      <c r="B94" t="s">
        <v>221</v>
      </c>
      <c r="C94" t="s">
        <v>34</v>
      </c>
      <c r="D94" t="s">
        <v>44</v>
      </c>
      <c r="E94" t="s">
        <v>161</v>
      </c>
    </row>
    <row r="95" spans="1:5" x14ac:dyDescent="0.3">
      <c r="A95" t="s">
        <v>570</v>
      </c>
      <c r="B95" t="s">
        <v>571</v>
      </c>
      <c r="C95" t="s">
        <v>34</v>
      </c>
      <c r="D95" t="s">
        <v>44</v>
      </c>
      <c r="E95" t="s">
        <v>161</v>
      </c>
    </row>
    <row r="96" spans="1:5" x14ac:dyDescent="0.3">
      <c r="A96" t="s">
        <v>356</v>
      </c>
      <c r="B96" t="s">
        <v>357</v>
      </c>
      <c r="C96" t="s">
        <v>23</v>
      </c>
      <c r="D96" t="s">
        <v>91</v>
      </c>
      <c r="E96" t="s">
        <v>120</v>
      </c>
    </row>
    <row r="97" spans="1:5" x14ac:dyDescent="0.3">
      <c r="A97" t="s">
        <v>129</v>
      </c>
      <c r="B97" t="s">
        <v>130</v>
      </c>
      <c r="C97" t="s">
        <v>34</v>
      </c>
      <c r="D97" t="s">
        <v>61</v>
      </c>
      <c r="E97" t="s">
        <v>78</v>
      </c>
    </row>
    <row r="98" spans="1:5" x14ac:dyDescent="0.3">
      <c r="A98" t="s">
        <v>787</v>
      </c>
      <c r="B98" t="s">
        <v>788</v>
      </c>
      <c r="C98" t="s">
        <v>34</v>
      </c>
      <c r="D98" t="s">
        <v>35</v>
      </c>
      <c r="E98" t="s">
        <v>36</v>
      </c>
    </row>
    <row r="99" spans="1:5" x14ac:dyDescent="0.3">
      <c r="A99" t="s">
        <v>2374</v>
      </c>
      <c r="B99" t="s">
        <v>2375</v>
      </c>
      <c r="C99" t="s">
        <v>23</v>
      </c>
      <c r="D99" t="s">
        <v>35</v>
      </c>
      <c r="E99" t="s">
        <v>36</v>
      </c>
    </row>
    <row r="100" spans="1:5" x14ac:dyDescent="0.3">
      <c r="A100" t="s">
        <v>21</v>
      </c>
      <c r="B100" t="s">
        <v>22</v>
      </c>
      <c r="C100" t="s">
        <v>23</v>
      </c>
      <c r="D100" t="s">
        <v>44</v>
      </c>
      <c r="E100" t="s">
        <v>24</v>
      </c>
    </row>
    <row r="101" spans="1:5" x14ac:dyDescent="0.3">
      <c r="A101" t="s">
        <v>206</v>
      </c>
      <c r="B101" t="s">
        <v>207</v>
      </c>
      <c r="C101" t="s">
        <v>55</v>
      </c>
      <c r="D101" t="s">
        <v>44</v>
      </c>
      <c r="E101" t="s">
        <v>24</v>
      </c>
    </row>
    <row r="102" spans="1:5" x14ac:dyDescent="0.3">
      <c r="A102" t="s">
        <v>1588</v>
      </c>
      <c r="B102" t="s">
        <v>1589</v>
      </c>
      <c r="C102" t="s">
        <v>34</v>
      </c>
      <c r="D102" t="s">
        <v>61</v>
      </c>
      <c r="E102" t="s">
        <v>78</v>
      </c>
    </row>
    <row r="103" spans="1:5" x14ac:dyDescent="0.3">
      <c r="A103" t="s">
        <v>1695</v>
      </c>
      <c r="B103" t="s">
        <v>1696</v>
      </c>
      <c r="C103" t="s">
        <v>34</v>
      </c>
      <c r="D103" t="s">
        <v>35</v>
      </c>
      <c r="E103" t="s">
        <v>85</v>
      </c>
    </row>
    <row r="104" spans="1:5" x14ac:dyDescent="0.3">
      <c r="A104" t="s">
        <v>959</v>
      </c>
      <c r="B104" t="s">
        <v>960</v>
      </c>
      <c r="C104" t="s">
        <v>34</v>
      </c>
      <c r="D104" t="s">
        <v>35</v>
      </c>
      <c r="E104" t="s">
        <v>187</v>
      </c>
    </row>
    <row r="105" spans="1:5" x14ac:dyDescent="0.3">
      <c r="A105" t="s">
        <v>1643</v>
      </c>
      <c r="B105" t="s">
        <v>1644</v>
      </c>
      <c r="C105" t="s">
        <v>55</v>
      </c>
      <c r="D105" t="s">
        <v>91</v>
      </c>
      <c r="E105" t="s">
        <v>120</v>
      </c>
    </row>
    <row r="106" spans="1:5" x14ac:dyDescent="0.3">
      <c r="A106" t="s">
        <v>1100</v>
      </c>
      <c r="B106" t="s">
        <v>1101</v>
      </c>
      <c r="C106" t="s">
        <v>23</v>
      </c>
      <c r="D106" t="s">
        <v>44</v>
      </c>
      <c r="E106" t="s">
        <v>161</v>
      </c>
    </row>
    <row r="107" spans="1:5" x14ac:dyDescent="0.3">
      <c r="A107" t="s">
        <v>561</v>
      </c>
      <c r="B107" t="s">
        <v>562</v>
      </c>
      <c r="C107" t="s">
        <v>23</v>
      </c>
      <c r="D107" t="s">
        <v>44</v>
      </c>
      <c r="E107" t="s">
        <v>155</v>
      </c>
    </row>
    <row r="108" spans="1:5" x14ac:dyDescent="0.3">
      <c r="A108" t="s">
        <v>882</v>
      </c>
      <c r="B108" t="s">
        <v>1545</v>
      </c>
      <c r="C108" t="s">
        <v>55</v>
      </c>
      <c r="D108" t="s">
        <v>44</v>
      </c>
      <c r="E108" t="s">
        <v>24</v>
      </c>
    </row>
    <row r="109" spans="1:5" x14ac:dyDescent="0.3">
      <c r="A109" t="s">
        <v>76</v>
      </c>
      <c r="B109" t="s">
        <v>666</v>
      </c>
      <c r="C109" t="s">
        <v>23</v>
      </c>
      <c r="D109" t="s">
        <v>61</v>
      </c>
      <c r="E109" t="s">
        <v>78</v>
      </c>
    </row>
    <row r="110" spans="1:5" x14ac:dyDescent="0.3">
      <c r="A110" t="s">
        <v>643</v>
      </c>
      <c r="B110" t="s">
        <v>644</v>
      </c>
      <c r="C110" t="s">
        <v>34</v>
      </c>
      <c r="D110" t="s">
        <v>61</v>
      </c>
      <c r="E110" t="s">
        <v>78</v>
      </c>
    </row>
    <row r="111" spans="1:5" x14ac:dyDescent="0.3">
      <c r="A111" t="s">
        <v>606</v>
      </c>
      <c r="B111" t="s">
        <v>607</v>
      </c>
      <c r="C111" t="s">
        <v>23</v>
      </c>
      <c r="D111" t="s">
        <v>35</v>
      </c>
      <c r="E111" t="s">
        <v>36</v>
      </c>
    </row>
    <row r="112" spans="1:5" x14ac:dyDescent="0.3">
      <c r="A112" t="s">
        <v>956</v>
      </c>
      <c r="B112" t="s">
        <v>1086</v>
      </c>
      <c r="C112" t="s">
        <v>55</v>
      </c>
      <c r="D112" t="s">
        <v>44</v>
      </c>
      <c r="E112" t="s">
        <v>24</v>
      </c>
    </row>
    <row r="113" spans="1:5" x14ac:dyDescent="0.3">
      <c r="A113" t="s">
        <v>349</v>
      </c>
      <c r="B113" t="s">
        <v>350</v>
      </c>
      <c r="C113" t="s">
        <v>34</v>
      </c>
      <c r="D113" t="s">
        <v>91</v>
      </c>
      <c r="E113" t="s">
        <v>120</v>
      </c>
    </row>
    <row r="114" spans="1:5" x14ac:dyDescent="0.3">
      <c r="A114" t="s">
        <v>343</v>
      </c>
      <c r="B114" t="s">
        <v>369</v>
      </c>
      <c r="C114" t="s">
        <v>34</v>
      </c>
      <c r="D114" t="s">
        <v>44</v>
      </c>
      <c r="E114" t="s">
        <v>45</v>
      </c>
    </row>
    <row r="115" spans="1:5" x14ac:dyDescent="0.3">
      <c r="A115" t="s">
        <v>896</v>
      </c>
      <c r="B115" t="s">
        <v>897</v>
      </c>
      <c r="C115" t="s">
        <v>55</v>
      </c>
      <c r="D115" t="s">
        <v>35</v>
      </c>
      <c r="E115" t="s">
        <v>258</v>
      </c>
    </row>
    <row r="116" spans="1:5" x14ac:dyDescent="0.3">
      <c r="A116" t="s">
        <v>444</v>
      </c>
      <c r="B116" t="s">
        <v>445</v>
      </c>
      <c r="C116" t="s">
        <v>55</v>
      </c>
      <c r="D116" t="s">
        <v>91</v>
      </c>
      <c r="E116" t="s">
        <v>92</v>
      </c>
    </row>
    <row r="117" spans="1:5" x14ac:dyDescent="0.3">
      <c r="A117" t="s">
        <v>1202</v>
      </c>
      <c r="B117" t="s">
        <v>1203</v>
      </c>
      <c r="C117" t="s">
        <v>34</v>
      </c>
      <c r="D117" t="s">
        <v>44</v>
      </c>
      <c r="E117" t="s">
        <v>24</v>
      </c>
    </row>
    <row r="118" spans="1:5" x14ac:dyDescent="0.3">
      <c r="A118" t="s">
        <v>588</v>
      </c>
      <c r="B118" t="s">
        <v>589</v>
      </c>
      <c r="C118" t="s">
        <v>23</v>
      </c>
      <c r="D118" t="s">
        <v>61</v>
      </c>
      <c r="E118" t="s">
        <v>62</v>
      </c>
    </row>
    <row r="119" spans="1:5" x14ac:dyDescent="0.3">
      <c r="A119" t="s">
        <v>359</v>
      </c>
      <c r="B119" t="s">
        <v>360</v>
      </c>
      <c r="C119" t="s">
        <v>34</v>
      </c>
      <c r="D119" t="s">
        <v>61</v>
      </c>
      <c r="E119" t="s">
        <v>125</v>
      </c>
    </row>
    <row r="120" spans="1:5" x14ac:dyDescent="0.3">
      <c r="A120" t="s">
        <v>1115</v>
      </c>
      <c r="B120" t="s">
        <v>1116</v>
      </c>
      <c r="C120" t="s">
        <v>23</v>
      </c>
      <c r="D120" t="s">
        <v>44</v>
      </c>
      <c r="E120" t="s">
        <v>45</v>
      </c>
    </row>
    <row r="121" spans="1:5" x14ac:dyDescent="0.3">
      <c r="A121" t="s">
        <v>1205</v>
      </c>
      <c r="B121" t="s">
        <v>1206</v>
      </c>
      <c r="C121" t="s">
        <v>34</v>
      </c>
      <c r="D121" t="s">
        <v>44</v>
      </c>
      <c r="E121" t="s">
        <v>45</v>
      </c>
    </row>
    <row r="122" spans="1:5" x14ac:dyDescent="0.3">
      <c r="A122" t="s">
        <v>59</v>
      </c>
      <c r="B122" t="s">
        <v>60</v>
      </c>
      <c r="C122" t="s">
        <v>23</v>
      </c>
      <c r="D122" t="s">
        <v>61</v>
      </c>
      <c r="E122" t="s">
        <v>62</v>
      </c>
    </row>
    <row r="123" spans="1:5" x14ac:dyDescent="0.3">
      <c r="A123" t="s">
        <v>973</v>
      </c>
      <c r="B123" t="s">
        <v>974</v>
      </c>
      <c r="C123" t="s">
        <v>34</v>
      </c>
      <c r="D123" t="s">
        <v>91</v>
      </c>
      <c r="E123" t="s">
        <v>177</v>
      </c>
    </row>
    <row r="124" spans="1:5" x14ac:dyDescent="0.3">
      <c r="A124" t="s">
        <v>233</v>
      </c>
      <c r="B124" t="s">
        <v>234</v>
      </c>
      <c r="C124" t="s">
        <v>23</v>
      </c>
      <c r="D124" t="s">
        <v>61</v>
      </c>
      <c r="E124" t="s">
        <v>211</v>
      </c>
    </row>
    <row r="125" spans="1:5" x14ac:dyDescent="0.3">
      <c r="A125" t="s">
        <v>1369</v>
      </c>
      <c r="B125" t="s">
        <v>1370</v>
      </c>
      <c r="C125" t="s">
        <v>55</v>
      </c>
      <c r="D125" t="s">
        <v>44</v>
      </c>
      <c r="E125" t="s">
        <v>155</v>
      </c>
    </row>
    <row r="126" spans="1:5" x14ac:dyDescent="0.3">
      <c r="A126" t="s">
        <v>101</v>
      </c>
      <c r="B126" t="s">
        <v>102</v>
      </c>
      <c r="C126" t="s">
        <v>55</v>
      </c>
      <c r="D126" t="s">
        <v>35</v>
      </c>
      <c r="E126" t="s">
        <v>36</v>
      </c>
    </row>
    <row r="127" spans="1:5" x14ac:dyDescent="0.3">
      <c r="A127" t="s">
        <v>534</v>
      </c>
      <c r="B127" t="s">
        <v>535</v>
      </c>
      <c r="C127" t="s">
        <v>34</v>
      </c>
      <c r="D127" t="s">
        <v>61</v>
      </c>
      <c r="E127" t="s">
        <v>78</v>
      </c>
    </row>
    <row r="128" spans="1:5" x14ac:dyDescent="0.3">
      <c r="A128" t="s">
        <v>491</v>
      </c>
      <c r="B128" t="s">
        <v>492</v>
      </c>
      <c r="C128" t="s">
        <v>34</v>
      </c>
      <c r="D128" t="s">
        <v>44</v>
      </c>
      <c r="E128" t="s">
        <v>330</v>
      </c>
    </row>
    <row r="129" spans="1:5" x14ac:dyDescent="0.3">
      <c r="A129" t="s">
        <v>1343</v>
      </c>
      <c r="B129" t="s">
        <v>1344</v>
      </c>
      <c r="C129" t="s">
        <v>34</v>
      </c>
      <c r="D129" t="s">
        <v>91</v>
      </c>
      <c r="E129" t="s">
        <v>177</v>
      </c>
    </row>
    <row r="130" spans="1:5" x14ac:dyDescent="0.3">
      <c r="A130" t="s">
        <v>418</v>
      </c>
      <c r="B130" t="s">
        <v>419</v>
      </c>
      <c r="C130" t="s">
        <v>23</v>
      </c>
      <c r="D130" t="s">
        <v>91</v>
      </c>
      <c r="E130" t="s">
        <v>120</v>
      </c>
    </row>
    <row r="131" spans="1:5" x14ac:dyDescent="0.3">
      <c r="A131" t="s">
        <v>1418</v>
      </c>
      <c r="B131" t="s">
        <v>1419</v>
      </c>
      <c r="C131" t="s">
        <v>34</v>
      </c>
      <c r="D131" t="s">
        <v>61</v>
      </c>
      <c r="E131" t="s">
        <v>211</v>
      </c>
    </row>
    <row r="132" spans="1:5" x14ac:dyDescent="0.3">
      <c r="A132" t="s">
        <v>1442</v>
      </c>
      <c r="B132" t="s">
        <v>1443</v>
      </c>
      <c r="C132" t="s">
        <v>23</v>
      </c>
      <c r="D132" t="s">
        <v>61</v>
      </c>
      <c r="E132" t="s">
        <v>125</v>
      </c>
    </row>
    <row r="133" spans="1:5" x14ac:dyDescent="0.3">
      <c r="A133" t="s">
        <v>716</v>
      </c>
      <c r="B133" t="s">
        <v>717</v>
      </c>
      <c r="C133" t="s">
        <v>23</v>
      </c>
      <c r="D133" t="s">
        <v>35</v>
      </c>
      <c r="E133" t="s">
        <v>85</v>
      </c>
    </row>
    <row r="134" spans="1:5" x14ac:dyDescent="0.3">
      <c r="A134" t="s">
        <v>947</v>
      </c>
      <c r="B134" t="s">
        <v>948</v>
      </c>
      <c r="C134" t="s">
        <v>55</v>
      </c>
      <c r="D134" t="s">
        <v>35</v>
      </c>
      <c r="E134" t="s">
        <v>36</v>
      </c>
    </row>
    <row r="135" spans="1:5" x14ac:dyDescent="0.3">
      <c r="A135" t="s">
        <v>438</v>
      </c>
      <c r="B135" t="s">
        <v>439</v>
      </c>
      <c r="C135" t="s">
        <v>34</v>
      </c>
      <c r="D135" t="s">
        <v>35</v>
      </c>
      <c r="E135" t="s">
        <v>85</v>
      </c>
    </row>
    <row r="136" spans="1:5" x14ac:dyDescent="0.3">
      <c r="A136" t="s">
        <v>808</v>
      </c>
      <c r="B136" t="s">
        <v>809</v>
      </c>
      <c r="C136" t="s">
        <v>55</v>
      </c>
      <c r="D136" t="s">
        <v>35</v>
      </c>
      <c r="E136" t="s">
        <v>258</v>
      </c>
    </row>
    <row r="137" spans="1:5" x14ac:dyDescent="0.3">
      <c r="A137" t="s">
        <v>463</v>
      </c>
      <c r="B137" t="s">
        <v>464</v>
      </c>
      <c r="C137" t="s">
        <v>34</v>
      </c>
      <c r="D137" t="s">
        <v>35</v>
      </c>
      <c r="E137" t="s">
        <v>85</v>
      </c>
    </row>
    <row r="138" spans="1:5" x14ac:dyDescent="0.3">
      <c r="A138" t="s">
        <v>413</v>
      </c>
      <c r="B138" t="s">
        <v>414</v>
      </c>
      <c r="C138" t="s">
        <v>55</v>
      </c>
      <c r="D138" t="s">
        <v>91</v>
      </c>
      <c r="E138" t="s">
        <v>120</v>
      </c>
    </row>
    <row r="139" spans="1:5" x14ac:dyDescent="0.3">
      <c r="A139" t="s">
        <v>1221</v>
      </c>
      <c r="B139" t="s">
        <v>1222</v>
      </c>
      <c r="C139" t="s">
        <v>55</v>
      </c>
      <c r="D139" t="s">
        <v>35</v>
      </c>
      <c r="E139" t="s">
        <v>36</v>
      </c>
    </row>
    <row r="140" spans="1:5" x14ac:dyDescent="0.3">
      <c r="A140" t="s">
        <v>214</v>
      </c>
      <c r="B140" t="s">
        <v>215</v>
      </c>
      <c r="C140" t="s">
        <v>55</v>
      </c>
      <c r="D140" t="s">
        <v>44</v>
      </c>
      <c r="E140" t="s">
        <v>330</v>
      </c>
    </row>
    <row r="141" spans="1:5" x14ac:dyDescent="0.3">
      <c r="A141" t="s">
        <v>805</v>
      </c>
      <c r="B141" t="s">
        <v>806</v>
      </c>
      <c r="C141" t="s">
        <v>34</v>
      </c>
      <c r="D141" t="s">
        <v>61</v>
      </c>
      <c r="E141" t="s">
        <v>78</v>
      </c>
    </row>
    <row r="142" spans="1:5" x14ac:dyDescent="0.3">
      <c r="A142" t="s">
        <v>621</v>
      </c>
      <c r="B142" t="s">
        <v>622</v>
      </c>
      <c r="C142" t="s">
        <v>55</v>
      </c>
      <c r="D142" t="s">
        <v>91</v>
      </c>
      <c r="E142" t="s">
        <v>109</v>
      </c>
    </row>
    <row r="143" spans="1:5" x14ac:dyDescent="0.3">
      <c r="A143" t="s">
        <v>1450</v>
      </c>
      <c r="B143" t="s">
        <v>1451</v>
      </c>
      <c r="C143" t="s">
        <v>23</v>
      </c>
      <c r="D143" t="s">
        <v>61</v>
      </c>
      <c r="E143" t="s">
        <v>78</v>
      </c>
    </row>
    <row r="144" spans="1:5" x14ac:dyDescent="0.3">
      <c r="A144" t="s">
        <v>1604</v>
      </c>
      <c r="B144" t="s">
        <v>1605</v>
      </c>
      <c r="C144" t="s">
        <v>55</v>
      </c>
      <c r="D144" t="s">
        <v>44</v>
      </c>
      <c r="E144" t="s">
        <v>45</v>
      </c>
    </row>
    <row r="145" spans="1:5" x14ac:dyDescent="0.3">
      <c r="A145" t="s">
        <v>1855</v>
      </c>
      <c r="B145" t="s">
        <v>1856</v>
      </c>
      <c r="C145" t="s">
        <v>55</v>
      </c>
      <c r="D145" t="s">
        <v>35</v>
      </c>
      <c r="E145" t="s">
        <v>85</v>
      </c>
    </row>
    <row r="146" spans="1:5" x14ac:dyDescent="0.3">
      <c r="A146" t="s">
        <v>1019</v>
      </c>
      <c r="B146" t="s">
        <v>1020</v>
      </c>
      <c r="C146" t="s">
        <v>55</v>
      </c>
      <c r="D146" t="s">
        <v>35</v>
      </c>
      <c r="E146" t="s">
        <v>187</v>
      </c>
    </row>
    <row r="147" spans="1:5" x14ac:dyDescent="0.3">
      <c r="A147" t="s">
        <v>132</v>
      </c>
      <c r="B147" t="s">
        <v>133</v>
      </c>
      <c r="C147" t="s">
        <v>23</v>
      </c>
      <c r="D147" t="s">
        <v>91</v>
      </c>
      <c r="E147" t="s">
        <v>120</v>
      </c>
    </row>
    <row r="148" spans="1:5" x14ac:dyDescent="0.3">
      <c r="A148" t="s">
        <v>924</v>
      </c>
      <c r="B148" t="s">
        <v>925</v>
      </c>
      <c r="C148" t="s">
        <v>34</v>
      </c>
      <c r="D148" t="s">
        <v>35</v>
      </c>
      <c r="E148" t="s">
        <v>258</v>
      </c>
    </row>
    <row r="149" spans="1:5" x14ac:dyDescent="0.3">
      <c r="A149" t="s">
        <v>1058</v>
      </c>
      <c r="B149" t="s">
        <v>1059</v>
      </c>
      <c r="C149" t="s">
        <v>55</v>
      </c>
      <c r="D149" t="s">
        <v>91</v>
      </c>
      <c r="E149" t="s">
        <v>92</v>
      </c>
    </row>
    <row r="150" spans="1:5" x14ac:dyDescent="0.3">
      <c r="A150" t="s">
        <v>285</v>
      </c>
      <c r="B150" t="s">
        <v>286</v>
      </c>
      <c r="C150" t="s">
        <v>23</v>
      </c>
      <c r="D150" t="s">
        <v>61</v>
      </c>
      <c r="E150" t="s">
        <v>78</v>
      </c>
    </row>
    <row r="151" spans="1:5" x14ac:dyDescent="0.3">
      <c r="A151" t="s">
        <v>514</v>
      </c>
      <c r="B151" t="s">
        <v>515</v>
      </c>
      <c r="C151" t="s">
        <v>23</v>
      </c>
      <c r="D151" t="s">
        <v>44</v>
      </c>
      <c r="E151" t="s">
        <v>45</v>
      </c>
    </row>
    <row r="152" spans="1:5" x14ac:dyDescent="0.3">
      <c r="A152" t="s">
        <v>1125</v>
      </c>
      <c r="B152" t="s">
        <v>1126</v>
      </c>
      <c r="C152" t="s">
        <v>55</v>
      </c>
      <c r="D152" t="s">
        <v>61</v>
      </c>
      <c r="E152" t="s">
        <v>125</v>
      </c>
    </row>
    <row r="153" spans="1:5" x14ac:dyDescent="0.3">
      <c r="A153" t="s">
        <v>919</v>
      </c>
      <c r="B153" t="s">
        <v>920</v>
      </c>
      <c r="C153" t="s">
        <v>23</v>
      </c>
      <c r="D153" t="s">
        <v>35</v>
      </c>
      <c r="E153" t="s">
        <v>36</v>
      </c>
    </row>
    <row r="154" spans="1:5" x14ac:dyDescent="0.3">
      <c r="A154" t="s">
        <v>175</v>
      </c>
      <c r="B154" t="s">
        <v>1984</v>
      </c>
      <c r="C154" t="s">
        <v>55</v>
      </c>
      <c r="D154" t="s">
        <v>91</v>
      </c>
      <c r="E154" t="s">
        <v>177</v>
      </c>
    </row>
    <row r="155" spans="1:5" x14ac:dyDescent="0.3">
      <c r="A155" t="s">
        <v>886</v>
      </c>
      <c r="B155" t="s">
        <v>887</v>
      </c>
      <c r="C155" t="s">
        <v>55</v>
      </c>
      <c r="D155" t="s">
        <v>91</v>
      </c>
      <c r="E155" t="s">
        <v>177</v>
      </c>
    </row>
    <row r="156" spans="1:5" x14ac:dyDescent="0.3">
      <c r="A156" t="s">
        <v>163</v>
      </c>
      <c r="B156" t="s">
        <v>164</v>
      </c>
      <c r="C156" t="s">
        <v>55</v>
      </c>
      <c r="D156" t="s">
        <v>44</v>
      </c>
      <c r="E156" t="s">
        <v>45</v>
      </c>
    </row>
    <row r="157" spans="1:5" x14ac:dyDescent="0.3">
      <c r="A157" t="s">
        <v>223</v>
      </c>
      <c r="B157" t="s">
        <v>224</v>
      </c>
      <c r="C157" t="s">
        <v>34</v>
      </c>
      <c r="D157" t="s">
        <v>35</v>
      </c>
      <c r="E157" t="s">
        <v>85</v>
      </c>
    </row>
    <row r="158" spans="1:5" x14ac:dyDescent="0.3">
      <c r="A158" t="s">
        <v>713</v>
      </c>
      <c r="B158" t="s">
        <v>714</v>
      </c>
      <c r="C158" t="s">
        <v>34</v>
      </c>
      <c r="D158" t="s">
        <v>35</v>
      </c>
      <c r="E158" t="s">
        <v>258</v>
      </c>
    </row>
    <row r="159" spans="1:5" x14ac:dyDescent="0.3">
      <c r="A159" t="s">
        <v>1218</v>
      </c>
      <c r="B159" t="s">
        <v>1219</v>
      </c>
      <c r="C159" t="s">
        <v>34</v>
      </c>
      <c r="D159" t="s">
        <v>61</v>
      </c>
      <c r="E159" t="s">
        <v>62</v>
      </c>
    </row>
    <row r="160" spans="1:5" x14ac:dyDescent="0.3">
      <c r="A160" t="s">
        <v>682</v>
      </c>
      <c r="B160" t="s">
        <v>683</v>
      </c>
      <c r="C160" t="s">
        <v>55</v>
      </c>
      <c r="D160" t="s">
        <v>61</v>
      </c>
      <c r="E160" t="s">
        <v>125</v>
      </c>
    </row>
    <row r="161" spans="1:5" x14ac:dyDescent="0.3">
      <c r="A161" t="s">
        <v>653</v>
      </c>
      <c r="B161" t="s">
        <v>654</v>
      </c>
      <c r="C161" t="s">
        <v>23</v>
      </c>
      <c r="D161" t="s">
        <v>44</v>
      </c>
      <c r="E161" t="s">
        <v>330</v>
      </c>
    </row>
    <row r="162" spans="1:5" x14ac:dyDescent="0.3">
      <c r="A162" t="s">
        <v>830</v>
      </c>
      <c r="B162" t="s">
        <v>831</v>
      </c>
      <c r="C162" t="s">
        <v>23</v>
      </c>
      <c r="D162" t="s">
        <v>61</v>
      </c>
      <c r="E162" t="s">
        <v>125</v>
      </c>
    </row>
    <row r="163" spans="1:5" x14ac:dyDescent="0.3">
      <c r="A163" t="s">
        <v>308</v>
      </c>
      <c r="B163" t="s">
        <v>309</v>
      </c>
      <c r="C163" t="s">
        <v>34</v>
      </c>
      <c r="D163" t="s">
        <v>91</v>
      </c>
      <c r="E163" t="s">
        <v>177</v>
      </c>
    </row>
    <row r="164" spans="1:5" x14ac:dyDescent="0.3">
      <c r="A164" t="s">
        <v>435</v>
      </c>
      <c r="B164" t="s">
        <v>436</v>
      </c>
      <c r="C164" t="s">
        <v>23</v>
      </c>
      <c r="D164" t="s">
        <v>44</v>
      </c>
      <c r="E164" t="s">
        <v>24</v>
      </c>
    </row>
    <row r="165" spans="1:5" x14ac:dyDescent="0.3">
      <c r="A165" t="s">
        <v>1152</v>
      </c>
      <c r="B165" t="s">
        <v>1153</v>
      </c>
      <c r="C165" t="s">
        <v>55</v>
      </c>
      <c r="D165" t="s">
        <v>61</v>
      </c>
      <c r="E165" t="s">
        <v>211</v>
      </c>
    </row>
    <row r="166" spans="1:5" x14ac:dyDescent="0.3">
      <c r="A166" t="s">
        <v>324</v>
      </c>
      <c r="B166" t="s">
        <v>325</v>
      </c>
      <c r="C166" t="s">
        <v>55</v>
      </c>
      <c r="D166" t="s">
        <v>91</v>
      </c>
      <c r="E166" t="s">
        <v>109</v>
      </c>
    </row>
    <row r="167" spans="1:5" x14ac:dyDescent="0.3">
      <c r="A167" t="s">
        <v>227</v>
      </c>
      <c r="B167" t="s">
        <v>228</v>
      </c>
      <c r="C167" t="s">
        <v>23</v>
      </c>
      <c r="D167" t="s">
        <v>61</v>
      </c>
      <c r="E167" t="s">
        <v>62</v>
      </c>
    </row>
    <row r="168" spans="1:5" x14ac:dyDescent="0.3">
      <c r="A168" t="s">
        <v>2043</v>
      </c>
      <c r="B168" t="s">
        <v>2044</v>
      </c>
      <c r="C168" t="s">
        <v>55</v>
      </c>
      <c r="D168" t="s">
        <v>61</v>
      </c>
      <c r="E168" t="s">
        <v>125</v>
      </c>
    </row>
    <row r="169" spans="1:5" x14ac:dyDescent="0.3">
      <c r="A169" t="s">
        <v>856</v>
      </c>
      <c r="B169" t="s">
        <v>857</v>
      </c>
      <c r="C169" t="s">
        <v>55</v>
      </c>
      <c r="D169" t="s">
        <v>35</v>
      </c>
      <c r="E169" t="s">
        <v>36</v>
      </c>
    </row>
    <row r="170" spans="1:5" x14ac:dyDescent="0.3">
      <c r="A170" t="s">
        <v>1398</v>
      </c>
      <c r="B170" t="s">
        <v>1399</v>
      </c>
      <c r="C170" t="s">
        <v>34</v>
      </c>
      <c r="D170" t="s">
        <v>91</v>
      </c>
      <c r="E170" t="s">
        <v>92</v>
      </c>
    </row>
    <row r="171" spans="1:5" x14ac:dyDescent="0.3">
      <c r="A171" t="s">
        <v>904</v>
      </c>
      <c r="B171" t="s">
        <v>905</v>
      </c>
      <c r="C171" t="s">
        <v>23</v>
      </c>
      <c r="D171" t="s">
        <v>91</v>
      </c>
      <c r="E171" t="s">
        <v>92</v>
      </c>
    </row>
    <row r="172" spans="1:5" x14ac:dyDescent="0.3">
      <c r="A172" t="s">
        <v>1506</v>
      </c>
      <c r="B172" t="s">
        <v>1507</v>
      </c>
      <c r="C172" t="s">
        <v>55</v>
      </c>
      <c r="D172" t="s">
        <v>61</v>
      </c>
      <c r="E172" t="s">
        <v>78</v>
      </c>
    </row>
    <row r="173" spans="1:5" x14ac:dyDescent="0.3">
      <c r="A173" t="s">
        <v>1402</v>
      </c>
      <c r="B173" t="s">
        <v>1403</v>
      </c>
      <c r="C173" t="s">
        <v>23</v>
      </c>
      <c r="D173" t="s">
        <v>91</v>
      </c>
      <c r="E173" t="s">
        <v>177</v>
      </c>
    </row>
    <row r="174" spans="1:5" x14ac:dyDescent="0.3">
      <c r="A174" t="s">
        <v>1107</v>
      </c>
      <c r="B174" t="s">
        <v>1108</v>
      </c>
      <c r="C174" t="s">
        <v>55</v>
      </c>
      <c r="D174" t="s">
        <v>91</v>
      </c>
      <c r="E174" t="s">
        <v>109</v>
      </c>
    </row>
    <row r="175" spans="1:5" x14ac:dyDescent="0.3">
      <c r="A175" t="s">
        <v>838</v>
      </c>
      <c r="B175" t="s">
        <v>839</v>
      </c>
      <c r="C175" t="s">
        <v>23</v>
      </c>
      <c r="D175" t="s">
        <v>35</v>
      </c>
      <c r="E175" t="s">
        <v>258</v>
      </c>
    </row>
    <row r="176" spans="1:5" x14ac:dyDescent="0.3">
      <c r="A176" t="s">
        <v>453</v>
      </c>
      <c r="B176" t="s">
        <v>454</v>
      </c>
      <c r="C176" t="s">
        <v>55</v>
      </c>
      <c r="D176" t="s">
        <v>35</v>
      </c>
      <c r="E176" t="s">
        <v>187</v>
      </c>
    </row>
    <row r="177" spans="1:5" x14ac:dyDescent="0.3">
      <c r="A177" t="s">
        <v>1592</v>
      </c>
      <c r="B177" t="s">
        <v>1593</v>
      </c>
      <c r="C177" t="s">
        <v>34</v>
      </c>
      <c r="D177" t="s">
        <v>44</v>
      </c>
      <c r="E177" t="s">
        <v>155</v>
      </c>
    </row>
    <row r="178" spans="1:5" x14ac:dyDescent="0.3">
      <c r="A178" t="s">
        <v>1135</v>
      </c>
      <c r="B178" t="s">
        <v>1136</v>
      </c>
      <c r="C178" t="s">
        <v>55</v>
      </c>
      <c r="D178" t="s">
        <v>61</v>
      </c>
      <c r="E178" t="s">
        <v>125</v>
      </c>
    </row>
    <row r="179" spans="1:5" x14ac:dyDescent="0.3">
      <c r="A179" t="s">
        <v>539</v>
      </c>
      <c r="B179" t="s">
        <v>540</v>
      </c>
      <c r="C179" t="s">
        <v>34</v>
      </c>
      <c r="D179" t="s">
        <v>61</v>
      </c>
      <c r="E179" t="s">
        <v>211</v>
      </c>
    </row>
    <row r="180" spans="1:5" x14ac:dyDescent="0.3">
      <c r="A180" t="s">
        <v>793</v>
      </c>
      <c r="B180" t="s">
        <v>794</v>
      </c>
      <c r="C180" t="s">
        <v>23</v>
      </c>
      <c r="D180" t="s">
        <v>91</v>
      </c>
      <c r="E180" t="s">
        <v>92</v>
      </c>
    </row>
    <row r="181" spans="1:5" x14ac:dyDescent="0.3">
      <c r="A181" t="s">
        <v>2451</v>
      </c>
      <c r="B181" t="s">
        <v>2452</v>
      </c>
      <c r="C181" t="s">
        <v>34</v>
      </c>
      <c r="D181" t="s">
        <v>91</v>
      </c>
      <c r="E181" t="s">
        <v>92</v>
      </c>
    </row>
    <row r="182" spans="1:5" x14ac:dyDescent="0.3">
      <c r="A182" t="s">
        <v>409</v>
      </c>
      <c r="B182" t="s">
        <v>410</v>
      </c>
      <c r="C182" t="s">
        <v>23</v>
      </c>
      <c r="D182" t="s">
        <v>61</v>
      </c>
      <c r="E182" t="s">
        <v>125</v>
      </c>
    </row>
    <row r="183" spans="1:5" x14ac:dyDescent="0.3">
      <c r="A183" t="s">
        <v>599</v>
      </c>
      <c r="B183" t="s">
        <v>600</v>
      </c>
      <c r="C183" t="s">
        <v>23</v>
      </c>
      <c r="D183" t="s">
        <v>44</v>
      </c>
      <c r="E183" t="s">
        <v>161</v>
      </c>
    </row>
    <row r="184" spans="1:5" x14ac:dyDescent="0.3">
      <c r="A184" t="s">
        <v>1464</v>
      </c>
      <c r="B184" t="s">
        <v>1465</v>
      </c>
      <c r="C184" t="s">
        <v>23</v>
      </c>
      <c r="D184" t="s">
        <v>91</v>
      </c>
      <c r="E184" t="s">
        <v>109</v>
      </c>
    </row>
    <row r="185" spans="1:5" x14ac:dyDescent="0.3">
      <c r="A185" t="s">
        <v>1265</v>
      </c>
      <c r="B185" t="s">
        <v>1266</v>
      </c>
      <c r="C185" t="s">
        <v>23</v>
      </c>
      <c r="D185" t="s">
        <v>35</v>
      </c>
      <c r="E185" t="s">
        <v>36</v>
      </c>
    </row>
    <row r="186" spans="1:5" x14ac:dyDescent="0.3">
      <c r="A186" t="s">
        <v>517</v>
      </c>
      <c r="B186" t="s">
        <v>518</v>
      </c>
      <c r="C186" t="s">
        <v>34</v>
      </c>
      <c r="D186" t="s">
        <v>61</v>
      </c>
      <c r="E186" t="s">
        <v>125</v>
      </c>
    </row>
    <row r="187" spans="1:5" x14ac:dyDescent="0.3">
      <c r="A187" t="s">
        <v>112</v>
      </c>
      <c r="B187" t="s">
        <v>113</v>
      </c>
      <c r="C187" t="s">
        <v>23</v>
      </c>
      <c r="D187" t="s">
        <v>35</v>
      </c>
      <c r="E187" t="s">
        <v>36</v>
      </c>
    </row>
    <row r="188" spans="1:5" x14ac:dyDescent="0.3">
      <c r="A188" t="s">
        <v>2360</v>
      </c>
      <c r="B188" t="s">
        <v>2361</v>
      </c>
      <c r="C188" t="s">
        <v>23</v>
      </c>
      <c r="D188" t="s">
        <v>44</v>
      </c>
      <c r="E188" t="s">
        <v>330</v>
      </c>
    </row>
    <row r="189" spans="1:5" x14ac:dyDescent="0.3">
      <c r="A189" t="s">
        <v>981</v>
      </c>
      <c r="B189" t="s">
        <v>982</v>
      </c>
      <c r="C189" t="s">
        <v>23</v>
      </c>
      <c r="D189" t="s">
        <v>91</v>
      </c>
      <c r="E189" t="s">
        <v>177</v>
      </c>
    </row>
    <row r="190" spans="1:5" x14ac:dyDescent="0.3">
      <c r="A190" t="s">
        <v>990</v>
      </c>
      <c r="B190" t="s">
        <v>991</v>
      </c>
      <c r="C190" t="s">
        <v>23</v>
      </c>
      <c r="D190" t="s">
        <v>61</v>
      </c>
      <c r="E190" t="s">
        <v>62</v>
      </c>
    </row>
    <row r="191" spans="1:5" x14ac:dyDescent="0.3">
      <c r="A191" t="s">
        <v>1414</v>
      </c>
      <c r="B191" t="s">
        <v>1415</v>
      </c>
      <c r="C191" t="s">
        <v>55</v>
      </c>
      <c r="D191" t="s">
        <v>44</v>
      </c>
      <c r="E191" t="s">
        <v>24</v>
      </c>
    </row>
    <row r="192" spans="1:5" x14ac:dyDescent="0.3">
      <c r="A192" t="s">
        <v>278</v>
      </c>
      <c r="B192" t="s">
        <v>279</v>
      </c>
      <c r="C192" t="s">
        <v>23</v>
      </c>
      <c r="D192" t="s">
        <v>91</v>
      </c>
      <c r="E192" t="s">
        <v>177</v>
      </c>
    </row>
    <row r="193" spans="1:5" x14ac:dyDescent="0.3">
      <c r="A193" t="s">
        <v>1003</v>
      </c>
      <c r="B193" t="s">
        <v>1004</v>
      </c>
      <c r="C193" t="s">
        <v>23</v>
      </c>
      <c r="D193" t="s">
        <v>61</v>
      </c>
      <c r="E193" t="s">
        <v>62</v>
      </c>
    </row>
    <row r="194" spans="1:5" x14ac:dyDescent="0.3">
      <c r="A194" t="s">
        <v>1028</v>
      </c>
      <c r="B194" t="s">
        <v>1029</v>
      </c>
      <c r="C194" t="s">
        <v>34</v>
      </c>
      <c r="D194" t="s">
        <v>91</v>
      </c>
      <c r="E194" t="s">
        <v>120</v>
      </c>
    </row>
    <row r="195" spans="1:5" x14ac:dyDescent="0.3">
      <c r="A195" t="s">
        <v>1262</v>
      </c>
      <c r="B195" t="s">
        <v>1263</v>
      </c>
      <c r="C195" t="s">
        <v>23</v>
      </c>
      <c r="D195" t="s">
        <v>91</v>
      </c>
      <c r="E195" t="s">
        <v>120</v>
      </c>
    </row>
    <row r="196" spans="1:5" x14ac:dyDescent="0.3">
      <c r="A196" t="s">
        <v>617</v>
      </c>
      <c r="B196" t="s">
        <v>618</v>
      </c>
      <c r="C196" t="s">
        <v>23</v>
      </c>
      <c r="D196" t="s">
        <v>91</v>
      </c>
      <c r="E196" t="s">
        <v>120</v>
      </c>
    </row>
    <row r="197" spans="1:5" x14ac:dyDescent="0.3">
      <c r="A197" t="s">
        <v>1067</v>
      </c>
      <c r="B197" t="s">
        <v>1068</v>
      </c>
      <c r="C197" t="s">
        <v>23</v>
      </c>
      <c r="D197" t="s">
        <v>35</v>
      </c>
      <c r="E197" t="s">
        <v>85</v>
      </c>
    </row>
    <row r="198" spans="1:5" x14ac:dyDescent="0.3">
      <c r="A198" t="s">
        <v>159</v>
      </c>
      <c r="B198" t="s">
        <v>160</v>
      </c>
      <c r="C198" t="s">
        <v>34</v>
      </c>
      <c r="D198" t="s">
        <v>44</v>
      </c>
      <c r="E198" t="s">
        <v>161</v>
      </c>
    </row>
    <row r="199" spans="1:5" x14ac:dyDescent="0.3">
      <c r="A199" t="s">
        <v>802</v>
      </c>
      <c r="B199" t="s">
        <v>803</v>
      </c>
      <c r="C199" t="s">
        <v>55</v>
      </c>
      <c r="D199" t="s">
        <v>35</v>
      </c>
      <c r="E199" t="s">
        <v>258</v>
      </c>
    </row>
    <row r="200" spans="1:5" x14ac:dyDescent="0.3">
      <c r="A200" t="s">
        <v>301</v>
      </c>
      <c r="B200" t="s">
        <v>302</v>
      </c>
      <c r="C200" t="s">
        <v>34</v>
      </c>
      <c r="D200" t="s">
        <v>44</v>
      </c>
      <c r="E200" t="s">
        <v>24</v>
      </c>
    </row>
    <row r="201" spans="1:5" x14ac:dyDescent="0.3">
      <c r="A201" t="s">
        <v>336</v>
      </c>
      <c r="B201" t="s">
        <v>337</v>
      </c>
      <c r="C201" t="s">
        <v>34</v>
      </c>
      <c r="D201" t="s">
        <v>61</v>
      </c>
      <c r="E201" t="s">
        <v>211</v>
      </c>
    </row>
    <row r="202" spans="1:5" x14ac:dyDescent="0.3">
      <c r="A202" t="s">
        <v>1293</v>
      </c>
      <c r="B202" t="s">
        <v>1294</v>
      </c>
      <c r="C202" t="s">
        <v>34</v>
      </c>
      <c r="D202" t="s">
        <v>61</v>
      </c>
      <c r="E202" t="s">
        <v>211</v>
      </c>
    </row>
    <row r="203" spans="1:5" x14ac:dyDescent="0.3">
      <c r="A203" t="s">
        <v>674</v>
      </c>
      <c r="B203" t="s">
        <v>675</v>
      </c>
      <c r="C203" t="s">
        <v>55</v>
      </c>
      <c r="D203" t="s">
        <v>91</v>
      </c>
      <c r="E203" t="s">
        <v>109</v>
      </c>
    </row>
    <row r="204" spans="1:5" x14ac:dyDescent="0.3">
      <c r="A204" t="s">
        <v>1075</v>
      </c>
      <c r="B204" t="s">
        <v>1076</v>
      </c>
      <c r="C204" t="s">
        <v>55</v>
      </c>
      <c r="D204" t="s">
        <v>61</v>
      </c>
      <c r="E204" t="s">
        <v>125</v>
      </c>
    </row>
    <row r="205" spans="1:5" x14ac:dyDescent="0.3">
      <c r="A205" t="s">
        <v>813</v>
      </c>
      <c r="B205" t="s">
        <v>814</v>
      </c>
      <c r="C205" t="s">
        <v>34</v>
      </c>
      <c r="D205" t="s">
        <v>35</v>
      </c>
      <c r="E205" t="s">
        <v>187</v>
      </c>
    </row>
    <row r="206" spans="1:5" x14ac:dyDescent="0.3">
      <c r="A206" t="s">
        <v>609</v>
      </c>
      <c r="B206" t="s">
        <v>610</v>
      </c>
      <c r="C206" t="s">
        <v>23</v>
      </c>
      <c r="D206" t="s">
        <v>44</v>
      </c>
      <c r="E206" t="s">
        <v>155</v>
      </c>
    </row>
    <row r="207" spans="1:5" x14ac:dyDescent="0.3">
      <c r="A207" t="s">
        <v>1751</v>
      </c>
      <c r="B207" t="s">
        <v>1752</v>
      </c>
      <c r="C207" t="s">
        <v>34</v>
      </c>
      <c r="D207" t="s">
        <v>44</v>
      </c>
      <c r="E207" t="s">
        <v>161</v>
      </c>
    </row>
    <row r="208" spans="1:5" x14ac:dyDescent="0.3">
      <c r="A208" t="s">
        <v>269</v>
      </c>
      <c r="B208" t="s">
        <v>270</v>
      </c>
      <c r="C208" t="s">
        <v>23</v>
      </c>
      <c r="D208" t="s">
        <v>35</v>
      </c>
      <c r="E208" t="s">
        <v>36</v>
      </c>
    </row>
    <row r="209" spans="1:5" x14ac:dyDescent="0.3">
      <c r="A209" t="s">
        <v>689</v>
      </c>
      <c r="B209" t="s">
        <v>690</v>
      </c>
      <c r="C209" t="s">
        <v>55</v>
      </c>
      <c r="D209" t="s">
        <v>61</v>
      </c>
      <c r="E209" t="s">
        <v>62</v>
      </c>
    </row>
    <row r="210" spans="1:5" x14ac:dyDescent="0.3">
      <c r="A210" t="s">
        <v>1055</v>
      </c>
      <c r="B210" t="s">
        <v>1056</v>
      </c>
      <c r="C210" t="s">
        <v>55</v>
      </c>
      <c r="D210" t="s">
        <v>61</v>
      </c>
      <c r="E210" t="s">
        <v>62</v>
      </c>
    </row>
    <row r="211" spans="1:5" x14ac:dyDescent="0.3">
      <c r="A211" t="s">
        <v>373</v>
      </c>
      <c r="B211" t="s">
        <v>374</v>
      </c>
      <c r="C211" t="s">
        <v>55</v>
      </c>
      <c r="D211" t="s">
        <v>35</v>
      </c>
      <c r="E211" t="s">
        <v>85</v>
      </c>
    </row>
    <row r="212" spans="1:5" x14ac:dyDescent="0.3">
      <c r="A212" t="s">
        <v>182</v>
      </c>
      <c r="B212" t="s">
        <v>183</v>
      </c>
      <c r="C212" t="s">
        <v>55</v>
      </c>
      <c r="D212" t="s">
        <v>44</v>
      </c>
      <c r="E212" t="s">
        <v>45</v>
      </c>
    </row>
    <row r="213" spans="1:5" x14ac:dyDescent="0.3">
      <c r="A213" t="s">
        <v>764</v>
      </c>
      <c r="B213" t="s">
        <v>765</v>
      </c>
      <c r="C213" t="s">
        <v>34</v>
      </c>
      <c r="D213" t="s">
        <v>91</v>
      </c>
      <c r="E213" t="s">
        <v>120</v>
      </c>
    </row>
    <row r="214" spans="1:5" x14ac:dyDescent="0.3">
      <c r="A214" t="s">
        <v>261</v>
      </c>
      <c r="B214" t="s">
        <v>262</v>
      </c>
      <c r="C214" t="s">
        <v>23</v>
      </c>
      <c r="D214" t="s">
        <v>35</v>
      </c>
      <c r="E214" t="s">
        <v>85</v>
      </c>
    </row>
    <row r="215" spans="1:5" x14ac:dyDescent="0.3">
      <c r="A215" t="s">
        <v>520</v>
      </c>
      <c r="B215" t="s">
        <v>521</v>
      </c>
      <c r="C215" t="s">
        <v>23</v>
      </c>
      <c r="D215" t="s">
        <v>91</v>
      </c>
      <c r="E215" t="s">
        <v>109</v>
      </c>
    </row>
    <row r="216" spans="1:5" x14ac:dyDescent="0.3">
      <c r="A216" t="s">
        <v>318</v>
      </c>
      <c r="B216" t="s">
        <v>319</v>
      </c>
      <c r="C216" t="s">
        <v>55</v>
      </c>
      <c r="D216" t="s">
        <v>35</v>
      </c>
      <c r="E216" t="s">
        <v>36</v>
      </c>
    </row>
    <row r="217" spans="1:5" x14ac:dyDescent="0.3">
      <c r="A217" t="s">
        <v>1376</v>
      </c>
      <c r="B217" t="s">
        <v>1377</v>
      </c>
      <c r="C217" t="s">
        <v>34</v>
      </c>
      <c r="D217" t="s">
        <v>61</v>
      </c>
      <c r="E217" t="s">
        <v>125</v>
      </c>
    </row>
    <row r="218" spans="1:5" x14ac:dyDescent="0.3">
      <c r="A218" t="s">
        <v>699</v>
      </c>
      <c r="B218" t="s">
        <v>700</v>
      </c>
      <c r="C218" t="s">
        <v>23</v>
      </c>
      <c r="D218" t="s">
        <v>35</v>
      </c>
      <c r="E218" t="s">
        <v>36</v>
      </c>
    </row>
    <row r="219" spans="1:5" x14ac:dyDescent="0.3">
      <c r="A219" t="s">
        <v>1301</v>
      </c>
      <c r="B219" t="s">
        <v>1302</v>
      </c>
      <c r="C219" t="s">
        <v>23</v>
      </c>
      <c r="D219" t="s">
        <v>91</v>
      </c>
      <c r="E219" t="s">
        <v>120</v>
      </c>
    </row>
    <row r="220" spans="1:5" x14ac:dyDescent="0.3">
      <c r="A220" t="s">
        <v>470</v>
      </c>
      <c r="B220" t="s">
        <v>471</v>
      </c>
      <c r="C220" t="s">
        <v>23</v>
      </c>
      <c r="D220" t="s">
        <v>61</v>
      </c>
      <c r="E220" t="s">
        <v>62</v>
      </c>
    </row>
    <row r="221" spans="1:5" x14ac:dyDescent="0.3">
      <c r="A221" t="s">
        <v>297</v>
      </c>
      <c r="B221" t="s">
        <v>1110</v>
      </c>
      <c r="C221" t="s">
        <v>23</v>
      </c>
      <c r="D221" t="s">
        <v>91</v>
      </c>
      <c r="E221" t="s">
        <v>177</v>
      </c>
    </row>
    <row r="222" spans="1:5" x14ac:dyDescent="0.3">
      <c r="A222" t="s">
        <v>2080</v>
      </c>
      <c r="B222" t="s">
        <v>2081</v>
      </c>
      <c r="C222" t="s">
        <v>34</v>
      </c>
      <c r="D222" t="s">
        <v>91</v>
      </c>
      <c r="E222" t="s">
        <v>120</v>
      </c>
    </row>
    <row r="223" spans="1:5" x14ac:dyDescent="0.3">
      <c r="A223" t="s">
        <v>575</v>
      </c>
      <c r="B223" t="s">
        <v>836</v>
      </c>
      <c r="C223" t="s">
        <v>34</v>
      </c>
      <c r="D223" t="s">
        <v>91</v>
      </c>
      <c r="E223" t="s">
        <v>120</v>
      </c>
    </row>
    <row r="224" spans="1:5" x14ac:dyDescent="0.3">
      <c r="A224" t="s">
        <v>634</v>
      </c>
      <c r="B224" t="s">
        <v>635</v>
      </c>
      <c r="C224" t="s">
        <v>23</v>
      </c>
      <c r="D224" t="s">
        <v>91</v>
      </c>
      <c r="E224" t="s">
        <v>177</v>
      </c>
    </row>
    <row r="225" spans="1:5" x14ac:dyDescent="0.3">
      <c r="A225" t="s">
        <v>200</v>
      </c>
      <c r="B225" t="s">
        <v>201</v>
      </c>
      <c r="C225" t="s">
        <v>23</v>
      </c>
      <c r="D225" t="s">
        <v>35</v>
      </c>
      <c r="E225" t="s">
        <v>187</v>
      </c>
    </row>
    <row r="226" spans="1:5" x14ac:dyDescent="0.3">
      <c r="A226" t="s">
        <v>2290</v>
      </c>
      <c r="B226" t="s">
        <v>2291</v>
      </c>
      <c r="C226" t="s">
        <v>55</v>
      </c>
      <c r="D226" t="s">
        <v>35</v>
      </c>
      <c r="E226" t="s">
        <v>85</v>
      </c>
    </row>
    <row r="227" spans="1:5" x14ac:dyDescent="0.3">
      <c r="A227" t="s">
        <v>281</v>
      </c>
      <c r="B227" t="s">
        <v>282</v>
      </c>
      <c r="C227" t="s">
        <v>34</v>
      </c>
      <c r="D227" t="s">
        <v>61</v>
      </c>
      <c r="E227" t="s">
        <v>62</v>
      </c>
    </row>
    <row r="228" spans="1:5" x14ac:dyDescent="0.3">
      <c r="A228" t="s">
        <v>169</v>
      </c>
      <c r="B228" t="s">
        <v>170</v>
      </c>
      <c r="C228" t="s">
        <v>55</v>
      </c>
      <c r="D228" t="s">
        <v>91</v>
      </c>
      <c r="E228" t="s">
        <v>92</v>
      </c>
    </row>
    <row r="229" spans="1:5" x14ac:dyDescent="0.3">
      <c r="A229" t="s">
        <v>853</v>
      </c>
      <c r="B229" t="s">
        <v>854</v>
      </c>
      <c r="C229" t="s">
        <v>55</v>
      </c>
      <c r="D229" t="s">
        <v>61</v>
      </c>
      <c r="E229" t="s">
        <v>125</v>
      </c>
    </row>
    <row r="230" spans="1:5" x14ac:dyDescent="0.3">
      <c r="A230" t="s">
        <v>546</v>
      </c>
      <c r="B230" t="s">
        <v>547</v>
      </c>
      <c r="C230" t="s">
        <v>34</v>
      </c>
      <c r="D230" t="s">
        <v>91</v>
      </c>
      <c r="E230" t="s">
        <v>92</v>
      </c>
    </row>
    <row r="231" spans="1:5" x14ac:dyDescent="0.3">
      <c r="A231" t="s">
        <v>965</v>
      </c>
      <c r="B231" t="s">
        <v>966</v>
      </c>
      <c r="C231" t="s">
        <v>34</v>
      </c>
      <c r="D231" t="s">
        <v>44</v>
      </c>
      <c r="E231" t="s">
        <v>45</v>
      </c>
    </row>
    <row r="232" spans="1:5" x14ac:dyDescent="0.3">
      <c r="A232" t="s">
        <v>578</v>
      </c>
      <c r="B232" t="s">
        <v>579</v>
      </c>
      <c r="C232" t="s">
        <v>23</v>
      </c>
      <c r="D232" t="s">
        <v>91</v>
      </c>
      <c r="E232" t="s">
        <v>177</v>
      </c>
    </row>
    <row r="233" spans="1:5" x14ac:dyDescent="0.3">
      <c r="A233" t="s">
        <v>192</v>
      </c>
      <c r="B233" t="s">
        <v>193</v>
      </c>
      <c r="C233" t="s">
        <v>55</v>
      </c>
      <c r="D233" t="s">
        <v>35</v>
      </c>
      <c r="E233" t="s">
        <v>36</v>
      </c>
    </row>
    <row r="234" spans="1:5" x14ac:dyDescent="0.3">
      <c r="A234" t="s">
        <v>362</v>
      </c>
      <c r="B234" t="s">
        <v>363</v>
      </c>
      <c r="C234" t="s">
        <v>55</v>
      </c>
      <c r="D234" t="s">
        <v>35</v>
      </c>
      <c r="E234" t="s">
        <v>36</v>
      </c>
    </row>
    <row r="235" spans="1:5" x14ac:dyDescent="0.3">
      <c r="A235" t="s">
        <v>185</v>
      </c>
      <c r="B235" t="s">
        <v>186</v>
      </c>
      <c r="C235" t="s">
        <v>55</v>
      </c>
      <c r="D235" t="s">
        <v>35</v>
      </c>
      <c r="E235" t="s">
        <v>187</v>
      </c>
    </row>
    <row r="236" spans="1:5" x14ac:dyDescent="0.3">
      <c r="A236" t="s">
        <v>509</v>
      </c>
      <c r="B236" t="s">
        <v>510</v>
      </c>
      <c r="C236" t="s">
        <v>23</v>
      </c>
      <c r="D236" t="s">
        <v>91</v>
      </c>
      <c r="E236" t="s">
        <v>120</v>
      </c>
    </row>
    <row r="237" spans="1:5" x14ac:dyDescent="0.3">
      <c r="A237" t="s">
        <v>494</v>
      </c>
      <c r="B237" t="s">
        <v>495</v>
      </c>
      <c r="C237" t="s">
        <v>34</v>
      </c>
      <c r="D237" t="s">
        <v>35</v>
      </c>
      <c r="E237" t="s">
        <v>258</v>
      </c>
    </row>
    <row r="238" spans="1:5" x14ac:dyDescent="0.3">
      <c r="A238" t="s">
        <v>582</v>
      </c>
      <c r="B238" t="s">
        <v>583</v>
      </c>
      <c r="C238" t="s">
        <v>34</v>
      </c>
      <c r="D238" t="s">
        <v>61</v>
      </c>
      <c r="E238" t="s">
        <v>78</v>
      </c>
    </row>
    <row r="239" spans="1:5" x14ac:dyDescent="0.3">
      <c r="A239" t="s">
        <v>2379</v>
      </c>
      <c r="B239" t="s">
        <v>2380</v>
      </c>
      <c r="C239" t="s">
        <v>34</v>
      </c>
      <c r="D239" t="s">
        <v>61</v>
      </c>
      <c r="E239" t="s">
        <v>211</v>
      </c>
    </row>
    <row r="240" spans="1:5" x14ac:dyDescent="0.3">
      <c r="A240" t="s">
        <v>406</v>
      </c>
      <c r="B240" t="s">
        <v>407</v>
      </c>
      <c r="C240" t="s">
        <v>55</v>
      </c>
      <c r="D240" t="s">
        <v>91</v>
      </c>
      <c r="E240" t="s">
        <v>120</v>
      </c>
    </row>
    <row r="241" spans="1:5" x14ac:dyDescent="0.3">
      <c r="A241" t="s">
        <v>1732</v>
      </c>
      <c r="B241" t="s">
        <v>1733</v>
      </c>
      <c r="C241" t="s">
        <v>34</v>
      </c>
      <c r="D241" t="s">
        <v>35</v>
      </c>
      <c r="E241" t="s">
        <v>85</v>
      </c>
    </row>
    <row r="242" spans="1:5" x14ac:dyDescent="0.3">
      <c r="A242" t="s">
        <v>779</v>
      </c>
      <c r="B242" t="s">
        <v>780</v>
      </c>
      <c r="C242" t="s">
        <v>23</v>
      </c>
      <c r="D242" t="s">
        <v>35</v>
      </c>
      <c r="E242" t="s">
        <v>258</v>
      </c>
    </row>
    <row r="243" spans="1:5" x14ac:dyDescent="0.3">
      <c r="A243" t="s">
        <v>311</v>
      </c>
      <c r="B243" t="s">
        <v>312</v>
      </c>
      <c r="C243" t="s">
        <v>34</v>
      </c>
      <c r="D243" t="s">
        <v>61</v>
      </c>
      <c r="E243" t="s">
        <v>78</v>
      </c>
    </row>
    <row r="244" spans="1:5" x14ac:dyDescent="0.3">
      <c r="A244" t="s">
        <v>1388</v>
      </c>
      <c r="B244" t="s">
        <v>1389</v>
      </c>
      <c r="C244" t="s">
        <v>34</v>
      </c>
      <c r="D244" t="s">
        <v>61</v>
      </c>
      <c r="E244" t="s">
        <v>78</v>
      </c>
    </row>
    <row r="245" spans="1:5" x14ac:dyDescent="0.3">
      <c r="A245" t="s">
        <v>166</v>
      </c>
      <c r="B245" t="s">
        <v>167</v>
      </c>
      <c r="C245" t="s">
        <v>23</v>
      </c>
      <c r="D245" t="s">
        <v>44</v>
      </c>
      <c r="E245" t="s">
        <v>161</v>
      </c>
    </row>
    <row r="246" spans="1:5" x14ac:dyDescent="0.3">
      <c r="A246" t="s">
        <v>123</v>
      </c>
      <c r="B246" t="s">
        <v>124</v>
      </c>
      <c r="C246" t="s">
        <v>34</v>
      </c>
      <c r="D246" t="s">
        <v>61</v>
      </c>
      <c r="E246" t="s">
        <v>125</v>
      </c>
    </row>
    <row r="247" spans="1:5" x14ac:dyDescent="0.3">
      <c r="A247" t="s">
        <v>527</v>
      </c>
      <c r="B247" t="s">
        <v>528</v>
      </c>
      <c r="C247" t="s">
        <v>23</v>
      </c>
      <c r="D247" t="s">
        <v>44</v>
      </c>
      <c r="E247" t="s">
        <v>161</v>
      </c>
    </row>
    <row r="248" spans="1:5" x14ac:dyDescent="0.3">
      <c r="A248" t="s">
        <v>89</v>
      </c>
      <c r="B248" t="s">
        <v>90</v>
      </c>
      <c r="C248" t="s">
        <v>23</v>
      </c>
      <c r="D248" t="s">
        <v>91</v>
      </c>
      <c r="E248" t="s">
        <v>92</v>
      </c>
    </row>
    <row r="249" spans="1:5" x14ac:dyDescent="0.3">
      <c r="A249" t="s">
        <v>1729</v>
      </c>
      <c r="B249" t="s">
        <v>1730</v>
      </c>
      <c r="C249" t="s">
        <v>34</v>
      </c>
      <c r="D249" t="s">
        <v>35</v>
      </c>
      <c r="E249" t="s">
        <v>258</v>
      </c>
    </row>
    <row r="250" spans="1:5" x14ac:dyDescent="0.3">
      <c r="A250" t="s">
        <v>32</v>
      </c>
      <c r="B250" t="s">
        <v>33</v>
      </c>
      <c r="C250" t="s">
        <v>34</v>
      </c>
      <c r="D250" t="s">
        <v>35</v>
      </c>
      <c r="E250" t="s">
        <v>36</v>
      </c>
    </row>
    <row r="251" spans="1:5" x14ac:dyDescent="0.3">
      <c r="A251" t="s">
        <v>660</v>
      </c>
      <c r="B251" t="s">
        <v>661</v>
      </c>
      <c r="C251" t="s">
        <v>23</v>
      </c>
      <c r="D251" t="s">
        <v>44</v>
      </c>
      <c r="E251" t="s">
        <v>330</v>
      </c>
    </row>
    <row r="252" spans="1:5" x14ac:dyDescent="0.3">
      <c r="A252" t="s">
        <v>230</v>
      </c>
      <c r="B252" t="s">
        <v>231</v>
      </c>
      <c r="C252" t="s">
        <v>55</v>
      </c>
      <c r="D252" t="s">
        <v>44</v>
      </c>
      <c r="E252" t="s">
        <v>161</v>
      </c>
    </row>
    <row r="253" spans="1:5" x14ac:dyDescent="0.3">
      <c r="A253" t="s">
        <v>731</v>
      </c>
      <c r="B253" t="s">
        <v>732</v>
      </c>
      <c r="C253" t="s">
        <v>34</v>
      </c>
      <c r="D253" t="s">
        <v>44</v>
      </c>
      <c r="E253" t="s">
        <v>155</v>
      </c>
    </row>
    <row r="254" spans="1:5" x14ac:dyDescent="0.3">
      <c r="A254" t="s">
        <v>83</v>
      </c>
      <c r="B254" t="s">
        <v>84</v>
      </c>
      <c r="C254" t="s">
        <v>34</v>
      </c>
      <c r="D254" t="s">
        <v>35</v>
      </c>
      <c r="E254" t="s">
        <v>85</v>
      </c>
    </row>
    <row r="255" spans="1:5" x14ac:dyDescent="0.3">
      <c r="A255" t="s">
        <v>936</v>
      </c>
      <c r="B255" t="s">
        <v>937</v>
      </c>
      <c r="C255" t="s">
        <v>23</v>
      </c>
      <c r="D255" t="s">
        <v>44</v>
      </c>
      <c r="E255" t="s">
        <v>161</v>
      </c>
    </row>
    <row r="256" spans="1:5" x14ac:dyDescent="0.3">
      <c r="A256" t="s">
        <v>1965</v>
      </c>
      <c r="B256" t="s">
        <v>1966</v>
      </c>
      <c r="C256" t="s">
        <v>23</v>
      </c>
      <c r="D256" t="s">
        <v>61</v>
      </c>
      <c r="E256" t="s">
        <v>125</v>
      </c>
    </row>
    <row r="257" spans="1:5" x14ac:dyDescent="0.3">
      <c r="A257" t="s">
        <v>628</v>
      </c>
      <c r="B257" t="s">
        <v>629</v>
      </c>
      <c r="C257" t="s">
        <v>55</v>
      </c>
      <c r="D257" t="s">
        <v>91</v>
      </c>
      <c r="E257" t="s">
        <v>120</v>
      </c>
    </row>
    <row r="258" spans="1:5" x14ac:dyDescent="0.3">
      <c r="A258" t="s">
        <v>498</v>
      </c>
      <c r="B258" t="s">
        <v>499</v>
      </c>
      <c r="C258" t="s">
        <v>55</v>
      </c>
      <c r="D258" t="s">
        <v>91</v>
      </c>
      <c r="E258" t="s">
        <v>120</v>
      </c>
    </row>
    <row r="259" spans="1:5" x14ac:dyDescent="0.3">
      <c r="A259" t="s">
        <v>314</v>
      </c>
      <c r="B259" t="s">
        <v>315</v>
      </c>
      <c r="C259" t="s">
        <v>55</v>
      </c>
      <c r="D259" t="s">
        <v>44</v>
      </c>
      <c r="E259" t="s">
        <v>161</v>
      </c>
    </row>
    <row r="260" spans="1:5" x14ac:dyDescent="0.3">
      <c r="A260" t="s">
        <v>237</v>
      </c>
      <c r="B260" t="s">
        <v>238</v>
      </c>
      <c r="C260" t="s">
        <v>55</v>
      </c>
      <c r="D260" t="s">
        <v>44</v>
      </c>
      <c r="E260" t="s">
        <v>155</v>
      </c>
    </row>
    <row r="261" spans="1:5" x14ac:dyDescent="0.3">
      <c r="A261" t="s">
        <v>2650</v>
      </c>
      <c r="B261" t="s">
        <v>2651</v>
      </c>
      <c r="C261" t="s">
        <v>55</v>
      </c>
      <c r="D261" t="s">
        <v>61</v>
      </c>
      <c r="E261" t="s">
        <v>78</v>
      </c>
    </row>
    <row r="262" spans="1:5" x14ac:dyDescent="0.3">
      <c r="A262" t="s">
        <v>864</v>
      </c>
      <c r="B262" t="s">
        <v>865</v>
      </c>
      <c r="C262" t="s">
        <v>34</v>
      </c>
      <c r="D262" t="s">
        <v>44</v>
      </c>
      <c r="E262" t="s">
        <v>155</v>
      </c>
    </row>
    <row r="263" spans="1:5" x14ac:dyDescent="0.3">
      <c r="A263" t="s">
        <v>819</v>
      </c>
      <c r="B263" t="s">
        <v>820</v>
      </c>
      <c r="C263" t="s">
        <v>34</v>
      </c>
      <c r="D263" t="s">
        <v>61</v>
      </c>
      <c r="E263" t="s">
        <v>62</v>
      </c>
    </row>
    <row r="264" spans="1:5" x14ac:dyDescent="0.3">
      <c r="A264" t="s">
        <v>798</v>
      </c>
      <c r="B264" t="s">
        <v>799</v>
      </c>
      <c r="C264" t="s">
        <v>23</v>
      </c>
      <c r="D264" t="s">
        <v>44</v>
      </c>
      <c r="E264" t="s">
        <v>330</v>
      </c>
    </row>
    <row r="265" spans="1:5" x14ac:dyDescent="0.3">
      <c r="A265" t="s">
        <v>275</v>
      </c>
      <c r="B265" t="s">
        <v>276</v>
      </c>
      <c r="C265" t="s">
        <v>34</v>
      </c>
      <c r="D265" t="s">
        <v>91</v>
      </c>
      <c r="E265" t="s">
        <v>120</v>
      </c>
    </row>
    <row r="266" spans="1:5" x14ac:dyDescent="0.3">
      <c r="A266" t="s">
        <v>2405</v>
      </c>
      <c r="B266" t="s">
        <v>2406</v>
      </c>
      <c r="C266" t="s">
        <v>55</v>
      </c>
      <c r="D266" t="s">
        <v>61</v>
      </c>
      <c r="E266" t="s">
        <v>78</v>
      </c>
    </row>
    <row r="267" spans="1:5" x14ac:dyDescent="0.3">
      <c r="A267" t="s">
        <v>488</v>
      </c>
      <c r="B267" t="s">
        <v>489</v>
      </c>
      <c r="C267" t="s">
        <v>34</v>
      </c>
      <c r="D267" t="s">
        <v>35</v>
      </c>
      <c r="E267" t="s">
        <v>36</v>
      </c>
    </row>
    <row r="268" spans="1:5" x14ac:dyDescent="0.3">
      <c r="A268" t="s">
        <v>939</v>
      </c>
      <c r="B268" t="s">
        <v>940</v>
      </c>
      <c r="C268" t="s">
        <v>55</v>
      </c>
      <c r="D268" t="s">
        <v>61</v>
      </c>
      <c r="E268" t="s">
        <v>78</v>
      </c>
    </row>
    <row r="269" spans="1:5" x14ac:dyDescent="0.3">
      <c r="A269" t="s">
        <v>425</v>
      </c>
      <c r="B269" t="s">
        <v>426</v>
      </c>
      <c r="C269" t="s">
        <v>34</v>
      </c>
      <c r="D269" t="s">
        <v>61</v>
      </c>
      <c r="E269" t="s">
        <v>125</v>
      </c>
    </row>
    <row r="270" spans="1:5" x14ac:dyDescent="0.3">
      <c r="A270" t="s">
        <v>1191</v>
      </c>
      <c r="B270" t="s">
        <v>1192</v>
      </c>
      <c r="C270" t="s">
        <v>23</v>
      </c>
      <c r="D270" t="s">
        <v>61</v>
      </c>
      <c r="E270" t="s">
        <v>211</v>
      </c>
    </row>
    <row r="271" spans="1:5" x14ac:dyDescent="0.3">
      <c r="A271" t="s">
        <v>460</v>
      </c>
      <c r="B271" t="s">
        <v>461</v>
      </c>
      <c r="C271" t="s">
        <v>34</v>
      </c>
      <c r="D271" t="s">
        <v>61</v>
      </c>
      <c r="E271" t="s">
        <v>62</v>
      </c>
    </row>
    <row r="272" spans="1:5" x14ac:dyDescent="0.3">
      <c r="A272" t="s">
        <v>1380</v>
      </c>
      <c r="B272" t="s">
        <v>1381</v>
      </c>
      <c r="C272" t="s">
        <v>55</v>
      </c>
      <c r="D272" t="s">
        <v>61</v>
      </c>
      <c r="E272" t="s">
        <v>78</v>
      </c>
    </row>
    <row r="273" spans="1:5" x14ac:dyDescent="0.3">
      <c r="A273" t="s">
        <v>910</v>
      </c>
      <c r="B273" t="s">
        <v>911</v>
      </c>
      <c r="C273" t="s">
        <v>34</v>
      </c>
      <c r="D273" t="s">
        <v>35</v>
      </c>
      <c r="E273" t="s">
        <v>36</v>
      </c>
    </row>
    <row r="274" spans="1:5" x14ac:dyDescent="0.3">
      <c r="A274" t="s">
        <v>692</v>
      </c>
      <c r="B274" t="s">
        <v>2006</v>
      </c>
      <c r="C274" t="s">
        <v>55</v>
      </c>
      <c r="D274" t="s">
        <v>91</v>
      </c>
      <c r="E274" t="s">
        <v>120</v>
      </c>
    </row>
    <row r="275" spans="1:5" x14ac:dyDescent="0.3">
      <c r="A275" t="s">
        <v>241</v>
      </c>
      <c r="B275" t="s">
        <v>242</v>
      </c>
      <c r="C275" t="s">
        <v>55</v>
      </c>
      <c r="D275" t="s">
        <v>91</v>
      </c>
      <c r="E275" t="s">
        <v>120</v>
      </c>
    </row>
    <row r="276" spans="1:5" x14ac:dyDescent="0.3">
      <c r="A276" t="s">
        <v>98</v>
      </c>
      <c r="B276" t="s">
        <v>99</v>
      </c>
      <c r="C276" t="s">
        <v>34</v>
      </c>
      <c r="D276" t="s">
        <v>91</v>
      </c>
      <c r="E276" t="s">
        <v>92</v>
      </c>
    </row>
    <row r="277" spans="1:5" x14ac:dyDescent="0.3">
      <c r="A277" t="s">
        <v>1796</v>
      </c>
      <c r="B277" t="s">
        <v>1797</v>
      </c>
      <c r="C277" t="s">
        <v>55</v>
      </c>
      <c r="D277" t="s">
        <v>44</v>
      </c>
      <c r="E277" t="s">
        <v>330</v>
      </c>
    </row>
    <row r="278" spans="1:5" x14ac:dyDescent="0.3">
      <c r="A278" t="s">
        <v>822</v>
      </c>
      <c r="B278" t="s">
        <v>823</v>
      </c>
      <c r="C278" t="s">
        <v>34</v>
      </c>
      <c r="D278" t="s">
        <v>35</v>
      </c>
      <c r="E278" t="s">
        <v>187</v>
      </c>
    </row>
    <row r="279" spans="1:5" x14ac:dyDescent="0.3">
      <c r="A279" t="s">
        <v>1346</v>
      </c>
      <c r="B279" t="s">
        <v>1347</v>
      </c>
      <c r="C279" t="s">
        <v>55</v>
      </c>
      <c r="D279" t="s">
        <v>44</v>
      </c>
      <c r="E279" t="s">
        <v>155</v>
      </c>
    </row>
    <row r="280" spans="1:5" x14ac:dyDescent="0.3">
      <c r="A280" t="s">
        <v>265</v>
      </c>
      <c r="B280" t="s">
        <v>266</v>
      </c>
      <c r="C280" t="s">
        <v>55</v>
      </c>
      <c r="D280" t="s">
        <v>44</v>
      </c>
      <c r="E280" t="s">
        <v>45</v>
      </c>
    </row>
    <row r="281" spans="1:5" x14ac:dyDescent="0.3">
      <c r="A281" t="s">
        <v>942</v>
      </c>
      <c r="B281" t="s">
        <v>943</v>
      </c>
      <c r="C281" t="s">
        <v>23</v>
      </c>
      <c r="D281" t="s">
        <v>44</v>
      </c>
      <c r="E281" t="s">
        <v>155</v>
      </c>
    </row>
    <row r="282" spans="1:5" x14ac:dyDescent="0.3">
      <c r="A282" t="s">
        <v>118</v>
      </c>
      <c r="B282" t="s">
        <v>119</v>
      </c>
      <c r="C282" t="s">
        <v>34</v>
      </c>
      <c r="D282" t="s">
        <v>91</v>
      </c>
      <c r="E282" t="s">
        <v>120</v>
      </c>
    </row>
    <row r="283" spans="1:5" x14ac:dyDescent="0.3">
      <c r="A283" t="s">
        <v>145</v>
      </c>
      <c r="B283" t="s">
        <v>146</v>
      </c>
      <c r="C283" t="s">
        <v>34</v>
      </c>
      <c r="D283" t="s">
        <v>91</v>
      </c>
      <c r="E283" t="s">
        <v>92</v>
      </c>
    </row>
    <row r="284" spans="1:5" x14ac:dyDescent="0.3">
      <c r="A284" t="s">
        <v>1886</v>
      </c>
      <c r="B284" t="s">
        <v>1887</v>
      </c>
      <c r="C284" t="s">
        <v>23</v>
      </c>
      <c r="D284" t="s">
        <v>91</v>
      </c>
      <c r="E284" t="s">
        <v>120</v>
      </c>
    </row>
    <row r="285" spans="1:5" x14ac:dyDescent="0.3">
      <c r="A285" t="s">
        <v>291</v>
      </c>
      <c r="B285" t="s">
        <v>292</v>
      </c>
      <c r="C285" t="s">
        <v>55</v>
      </c>
      <c r="D285" t="s">
        <v>35</v>
      </c>
      <c r="E285" t="s">
        <v>187</v>
      </c>
    </row>
    <row r="286" spans="1:5" x14ac:dyDescent="0.3">
      <c r="A286" t="s">
        <v>346</v>
      </c>
      <c r="B286" t="s">
        <v>347</v>
      </c>
      <c r="C286" t="s">
        <v>23</v>
      </c>
      <c r="D286" t="s">
        <v>44</v>
      </c>
      <c r="E286" t="s">
        <v>155</v>
      </c>
    </row>
    <row r="287" spans="1:5" x14ac:dyDescent="0.3">
      <c r="A287" t="s">
        <v>784</v>
      </c>
      <c r="B287" t="s">
        <v>785</v>
      </c>
      <c r="C287" t="s">
        <v>23</v>
      </c>
      <c r="D287" t="s">
        <v>91</v>
      </c>
      <c r="E287" t="s">
        <v>92</v>
      </c>
    </row>
    <row r="288" spans="1:5" x14ac:dyDescent="0.3">
      <c r="A288" t="s">
        <v>217</v>
      </c>
      <c r="B288" t="s">
        <v>218</v>
      </c>
      <c r="C288" t="s">
        <v>23</v>
      </c>
      <c r="D288" t="s">
        <v>91</v>
      </c>
      <c r="E288" t="s">
        <v>109</v>
      </c>
    </row>
    <row r="289" spans="1:5" x14ac:dyDescent="0.3">
      <c r="A289" t="s">
        <v>42</v>
      </c>
      <c r="B289" t="s">
        <v>43</v>
      </c>
      <c r="C289" t="s">
        <v>23</v>
      </c>
      <c r="D289" t="s">
        <v>44</v>
      </c>
      <c r="E289" t="s">
        <v>45</v>
      </c>
    </row>
    <row r="290" spans="1:5" x14ac:dyDescent="0.3">
      <c r="A290" t="s">
        <v>751</v>
      </c>
      <c r="B290" t="s">
        <v>752</v>
      </c>
      <c r="C290" t="s">
        <v>23</v>
      </c>
      <c r="D290" t="s">
        <v>35</v>
      </c>
      <c r="E290" t="s">
        <v>85</v>
      </c>
    </row>
    <row r="291" spans="1:5" x14ac:dyDescent="0.3">
      <c r="A291" t="s">
        <v>1072</v>
      </c>
      <c r="B291" t="s">
        <v>1073</v>
      </c>
      <c r="C291" t="s">
        <v>23</v>
      </c>
      <c r="D291" t="s">
        <v>44</v>
      </c>
      <c r="E291" t="s">
        <v>161</v>
      </c>
    </row>
    <row r="292" spans="1:5" x14ac:dyDescent="0.3">
      <c r="A292" t="s">
        <v>340</v>
      </c>
      <c r="B292" t="s">
        <v>341</v>
      </c>
      <c r="C292" t="s">
        <v>34</v>
      </c>
      <c r="D292" t="s">
        <v>91</v>
      </c>
      <c r="E292" t="s">
        <v>109</v>
      </c>
    </row>
    <row r="293" spans="1:5" x14ac:dyDescent="0.3">
      <c r="A293" t="s">
        <v>403</v>
      </c>
      <c r="B293" t="s">
        <v>404</v>
      </c>
      <c r="C293" t="s">
        <v>55</v>
      </c>
      <c r="D293" t="s">
        <v>35</v>
      </c>
      <c r="E293" t="s">
        <v>36</v>
      </c>
    </row>
    <row r="294" spans="1:5" x14ac:dyDescent="0.3">
      <c r="A294" t="s">
        <v>321</v>
      </c>
      <c r="B294" t="s">
        <v>322</v>
      </c>
      <c r="C294" t="s">
        <v>34</v>
      </c>
      <c r="D294" t="s">
        <v>91</v>
      </c>
      <c r="E294" t="s">
        <v>109</v>
      </c>
    </row>
    <row r="295" spans="1:5" x14ac:dyDescent="0.3">
      <c r="A295" t="s">
        <v>272</v>
      </c>
      <c r="B295" t="s">
        <v>273</v>
      </c>
      <c r="C295" t="s">
        <v>23</v>
      </c>
      <c r="D295" t="s">
        <v>35</v>
      </c>
      <c r="E295" t="s">
        <v>258</v>
      </c>
    </row>
    <row r="296" spans="1:5" x14ac:dyDescent="0.3">
      <c r="A296" t="s">
        <v>2104</v>
      </c>
      <c r="B296" t="s">
        <v>2105</v>
      </c>
      <c r="C296" t="s">
        <v>34</v>
      </c>
      <c r="D296" t="s">
        <v>91</v>
      </c>
      <c r="E296" t="s">
        <v>92</v>
      </c>
    </row>
    <row r="297" spans="1:5" x14ac:dyDescent="0.3">
      <c r="A297" t="s">
        <v>477</v>
      </c>
      <c r="B297" t="s">
        <v>478</v>
      </c>
      <c r="C297" t="s">
        <v>34</v>
      </c>
      <c r="D297" t="s">
        <v>44</v>
      </c>
      <c r="E297" t="s">
        <v>161</v>
      </c>
    </row>
    <row r="298" spans="1:5" x14ac:dyDescent="0.3">
      <c r="A298" t="s">
        <v>381</v>
      </c>
      <c r="B298" t="s">
        <v>382</v>
      </c>
      <c r="C298" t="s">
        <v>55</v>
      </c>
      <c r="D298" t="s">
        <v>61</v>
      </c>
      <c r="E298" t="s">
        <v>78</v>
      </c>
    </row>
    <row r="299" spans="1:5" x14ac:dyDescent="0.3">
      <c r="A299" t="s">
        <v>1482</v>
      </c>
      <c r="B299" t="s">
        <v>1483</v>
      </c>
      <c r="C299" t="s">
        <v>23</v>
      </c>
      <c r="D299" t="s">
        <v>44</v>
      </c>
      <c r="E299" t="s">
        <v>161</v>
      </c>
    </row>
    <row r="300" spans="1:5" x14ac:dyDescent="0.3">
      <c r="A300" t="s">
        <v>827</v>
      </c>
      <c r="B300" t="s">
        <v>828</v>
      </c>
      <c r="C300" t="s">
        <v>34</v>
      </c>
      <c r="D300" t="s">
        <v>44</v>
      </c>
      <c r="E300" t="s">
        <v>155</v>
      </c>
    </row>
    <row r="301" spans="1:5" x14ac:dyDescent="0.3">
      <c r="A301" t="s">
        <v>1461</v>
      </c>
      <c r="B301" t="s">
        <v>1462</v>
      </c>
      <c r="C301" t="s">
        <v>55</v>
      </c>
      <c r="D301" t="s">
        <v>91</v>
      </c>
      <c r="E301" t="s">
        <v>109</v>
      </c>
    </row>
    <row r="302" spans="1:5" x14ac:dyDescent="0.3">
      <c r="A302" t="s">
        <v>1188</v>
      </c>
      <c r="B302" t="s">
        <v>1189</v>
      </c>
      <c r="C302" t="s">
        <v>55</v>
      </c>
      <c r="D302" t="s">
        <v>61</v>
      </c>
      <c r="E302" t="s">
        <v>125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5A79E-42C1-4A4D-90B8-B9CF75EFB145}">
  <dimension ref="A1:E13"/>
  <sheetViews>
    <sheetView workbookViewId="0">
      <selection activeCell="G20" sqref="G20"/>
    </sheetView>
  </sheetViews>
  <sheetFormatPr defaultRowHeight="14.4" x14ac:dyDescent="0.3"/>
  <cols>
    <col min="1" max="1" width="12.21875" bestFit="1" customWidth="1"/>
    <col min="2" max="2" width="15.33203125" bestFit="1" customWidth="1"/>
    <col min="3" max="3" width="10.88671875" bestFit="1" customWidth="1"/>
    <col min="4" max="4" width="11.5546875" bestFit="1" customWidth="1"/>
    <col min="5" max="5" width="12.5546875" bestFit="1" customWidth="1"/>
  </cols>
  <sheetData>
    <row r="1" spans="1:5" x14ac:dyDescent="0.3">
      <c r="A1" t="s">
        <v>8</v>
      </c>
      <c r="B1" t="s">
        <v>9</v>
      </c>
      <c r="C1" t="s">
        <v>10</v>
      </c>
      <c r="D1" t="s">
        <v>12</v>
      </c>
      <c r="E1" t="s">
        <v>3104</v>
      </c>
    </row>
    <row r="2" spans="1:5" x14ac:dyDescent="0.3">
      <c r="A2" t="s">
        <v>114</v>
      </c>
      <c r="B2" t="s">
        <v>115</v>
      </c>
      <c r="C2" t="s">
        <v>65</v>
      </c>
      <c r="D2">
        <v>55000</v>
      </c>
      <c r="E2">
        <v>0.18</v>
      </c>
    </row>
    <row r="3" spans="1:5" x14ac:dyDescent="0.3">
      <c r="A3" t="s">
        <v>63</v>
      </c>
      <c r="B3" t="s">
        <v>64</v>
      </c>
      <c r="C3" t="s">
        <v>65</v>
      </c>
      <c r="D3">
        <v>25000</v>
      </c>
      <c r="E3">
        <v>0.15</v>
      </c>
    </row>
    <row r="4" spans="1:5" x14ac:dyDescent="0.3">
      <c r="A4" t="s">
        <v>79</v>
      </c>
      <c r="B4" t="s">
        <v>80</v>
      </c>
      <c r="C4" t="s">
        <v>65</v>
      </c>
      <c r="D4">
        <v>3000</v>
      </c>
      <c r="E4">
        <v>0.3</v>
      </c>
    </row>
    <row r="5" spans="1:5" x14ac:dyDescent="0.3">
      <c r="A5" t="s">
        <v>103</v>
      </c>
      <c r="B5" t="s">
        <v>104</v>
      </c>
      <c r="C5" t="s">
        <v>65</v>
      </c>
      <c r="D5">
        <v>8000</v>
      </c>
      <c r="E5">
        <v>0.25</v>
      </c>
    </row>
    <row r="6" spans="1:5" x14ac:dyDescent="0.3">
      <c r="A6" t="s">
        <v>25</v>
      </c>
      <c r="B6" t="s">
        <v>26</v>
      </c>
      <c r="C6" t="s">
        <v>27</v>
      </c>
      <c r="D6">
        <v>7000</v>
      </c>
      <c r="E6">
        <v>0.22</v>
      </c>
    </row>
    <row r="7" spans="1:5" x14ac:dyDescent="0.3">
      <c r="A7" t="s">
        <v>37</v>
      </c>
      <c r="B7" t="s">
        <v>38</v>
      </c>
      <c r="C7" t="s">
        <v>27</v>
      </c>
      <c r="D7">
        <v>9500</v>
      </c>
      <c r="E7">
        <v>0.2</v>
      </c>
    </row>
    <row r="8" spans="1:5" x14ac:dyDescent="0.3">
      <c r="A8" t="s">
        <v>134</v>
      </c>
      <c r="B8" t="s">
        <v>135</v>
      </c>
      <c r="C8" t="s">
        <v>27</v>
      </c>
      <c r="D8">
        <v>6000</v>
      </c>
      <c r="E8">
        <v>0.24</v>
      </c>
    </row>
    <row r="9" spans="1:5" x14ac:dyDescent="0.3">
      <c r="A9" t="s">
        <v>147</v>
      </c>
      <c r="B9" t="s">
        <v>148</v>
      </c>
      <c r="C9" t="s">
        <v>48</v>
      </c>
      <c r="D9">
        <v>250</v>
      </c>
      <c r="E9">
        <v>0.4</v>
      </c>
    </row>
    <row r="10" spans="1:5" x14ac:dyDescent="0.3">
      <c r="A10" t="s">
        <v>46</v>
      </c>
      <c r="B10" t="s">
        <v>47</v>
      </c>
      <c r="C10" t="s">
        <v>48</v>
      </c>
      <c r="D10">
        <v>180</v>
      </c>
      <c r="E10">
        <v>0.45</v>
      </c>
    </row>
    <row r="11" spans="1:5" x14ac:dyDescent="0.3">
      <c r="A11" t="s">
        <v>93</v>
      </c>
      <c r="B11" t="s">
        <v>94</v>
      </c>
      <c r="C11" t="s">
        <v>95</v>
      </c>
      <c r="D11">
        <v>1800</v>
      </c>
      <c r="E11">
        <v>0.35</v>
      </c>
    </row>
    <row r="12" spans="1:5" x14ac:dyDescent="0.3">
      <c r="A12" t="s">
        <v>126</v>
      </c>
      <c r="B12" t="s">
        <v>127</v>
      </c>
      <c r="C12" t="s">
        <v>95</v>
      </c>
      <c r="D12">
        <v>600</v>
      </c>
      <c r="E12">
        <v>0.38</v>
      </c>
    </row>
    <row r="13" spans="1:5" x14ac:dyDescent="0.3">
      <c r="A13" t="s">
        <v>71</v>
      </c>
      <c r="B13" t="s">
        <v>72</v>
      </c>
      <c r="C13" t="s">
        <v>73</v>
      </c>
      <c r="D13">
        <v>3500</v>
      </c>
      <c r="E13">
        <v>0.32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B9C0-954B-4216-87E4-9F828754C77C}">
  <sheetPr>
    <pageSetUpPr autoPageBreaks="0"/>
  </sheetPr>
  <dimension ref="A1:R5"/>
  <sheetViews>
    <sheetView showGridLines="0" tabSelected="1" zoomScale="86" zoomScaleNormal="98" workbookViewId="0">
      <selection activeCell="P22" sqref="P22"/>
    </sheetView>
  </sheetViews>
  <sheetFormatPr defaultRowHeight="14.4" x14ac:dyDescent="0.3"/>
  <cols>
    <col min="1" max="26" width="11.77734375" customWidth="1"/>
  </cols>
  <sheetData>
    <row r="1" spans="1:18" ht="14.4" customHeight="1" x14ac:dyDescent="0.3">
      <c r="A1" s="13" t="s">
        <v>3161</v>
      </c>
      <c r="B1" s="13"/>
      <c r="C1" s="13"/>
      <c r="D1" s="13"/>
      <c r="E1" s="13"/>
      <c r="F1" s="13"/>
      <c r="G1" s="13"/>
      <c r="H1" s="13"/>
      <c r="I1" s="13"/>
      <c r="J1" s="13"/>
      <c r="K1" s="13"/>
      <c r="L1" s="13"/>
      <c r="M1" s="13"/>
      <c r="N1" s="13"/>
      <c r="O1" s="13"/>
      <c r="P1" s="13"/>
      <c r="Q1" s="13"/>
      <c r="R1" s="13"/>
    </row>
    <row r="2" spans="1:18" ht="14.4" customHeight="1" x14ac:dyDescent="0.3">
      <c r="A2" s="13"/>
      <c r="B2" s="13"/>
      <c r="C2" s="13"/>
      <c r="D2" s="13"/>
      <c r="E2" s="13"/>
      <c r="F2" s="13"/>
      <c r="G2" s="13"/>
      <c r="H2" s="13"/>
      <c r="I2" s="13"/>
      <c r="J2" s="13"/>
      <c r="K2" s="13"/>
      <c r="L2" s="13"/>
      <c r="M2" s="13"/>
      <c r="N2" s="13"/>
      <c r="O2" s="13"/>
      <c r="P2" s="13"/>
      <c r="Q2" s="13"/>
      <c r="R2" s="13"/>
    </row>
    <row r="3" spans="1:18" x14ac:dyDescent="0.3">
      <c r="O3" s="8"/>
    </row>
    <row r="4" spans="1:18" ht="15.6" x14ac:dyDescent="0.3">
      <c r="B4" s="9" t="s">
        <v>3146</v>
      </c>
      <c r="C4" s="11"/>
      <c r="E4" s="14" t="s">
        <v>3147</v>
      </c>
      <c r="F4" s="14"/>
      <c r="H4" s="14" t="s">
        <v>3148</v>
      </c>
      <c r="I4" s="14"/>
      <c r="K4" s="14" t="s">
        <v>3149</v>
      </c>
      <c r="L4" s="14"/>
      <c r="N4" s="7" t="s">
        <v>3150</v>
      </c>
      <c r="O4" s="7"/>
    </row>
    <row r="5" spans="1:18" ht="25.8" x14ac:dyDescent="0.5">
      <c r="B5" s="10">
        <f>SUM(Table1!O:O)/10000000</f>
        <v>4.6048975499999996</v>
      </c>
      <c r="C5" s="12"/>
      <c r="E5" s="15">
        <f>SUM(Table1!P:P)/100000</f>
        <v>81.683067900000069</v>
      </c>
      <c r="F5" s="15"/>
      <c r="H5" s="16">
        <f>COUNTA(Table1[order_id])</f>
        <v>2000</v>
      </c>
      <c r="I5" s="16"/>
      <c r="K5" s="17">
        <f>SUM(Table1!O:O)/H5</f>
        <v>23024.48775</v>
      </c>
      <c r="L5" s="17"/>
      <c r="N5" s="18">
        <f>SUM(Table1!P:P)/SUM(Table1!O:O)</f>
        <v>0.17738302972668754</v>
      </c>
      <c r="O5" s="18"/>
    </row>
  </sheetData>
  <mergeCells count="11">
    <mergeCell ref="K4:L4"/>
    <mergeCell ref="K5:L5"/>
    <mergeCell ref="N4:O4"/>
    <mergeCell ref="N5:O5"/>
    <mergeCell ref="A1:R2"/>
    <mergeCell ref="B4:C4"/>
    <mergeCell ref="B5:C5"/>
    <mergeCell ref="E4:F4"/>
    <mergeCell ref="E5:F5"/>
    <mergeCell ref="H4:I4"/>
    <mergeCell ref="H5:I5"/>
  </mergeCells>
  <pageMargins left="0.7" right="0.7" top="0.75" bottom="0.75" header="0.3" footer="0.3"/>
  <pageSetup fitToWidth="0" fitToHeight="0"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12676-89B0-42C1-B19D-69E1ED867B84}">
  <dimension ref="A3:Q82"/>
  <sheetViews>
    <sheetView topLeftCell="A49" zoomScale="66" workbookViewId="0">
      <selection activeCell="A77" sqref="A77"/>
    </sheetView>
  </sheetViews>
  <sheetFormatPr defaultRowHeight="14.4" x14ac:dyDescent="0.3"/>
  <cols>
    <col min="1" max="1" width="13.88671875" bestFit="1" customWidth="1"/>
    <col min="2" max="2" width="14.77734375" bestFit="1" customWidth="1"/>
    <col min="3" max="3" width="11.77734375" bestFit="1" customWidth="1"/>
    <col min="4" max="4" width="13.88671875" bestFit="1" customWidth="1"/>
    <col min="5" max="6" width="14.77734375" bestFit="1" customWidth="1"/>
    <col min="7" max="7" width="13.88671875" bestFit="1" customWidth="1"/>
    <col min="8" max="8" width="15.44140625" bestFit="1" customWidth="1"/>
    <col min="9" max="9" width="12" bestFit="1" customWidth="1"/>
    <col min="10" max="10" width="13.88671875" bestFit="1" customWidth="1"/>
    <col min="11" max="11" width="14.77734375" bestFit="1" customWidth="1"/>
    <col min="12" max="12" width="14.44140625" bestFit="1" customWidth="1"/>
    <col min="13" max="13" width="13.21875" bestFit="1" customWidth="1"/>
    <col min="14" max="14" width="13.88671875" bestFit="1" customWidth="1"/>
    <col min="15" max="15" width="15.44140625" bestFit="1" customWidth="1"/>
    <col min="16" max="16" width="14.77734375" bestFit="1" customWidth="1"/>
    <col min="17" max="17" width="14.88671875" bestFit="1" customWidth="1"/>
  </cols>
  <sheetData>
    <row r="3" spans="1:17" x14ac:dyDescent="0.3">
      <c r="B3" s="6" t="s">
        <v>3151</v>
      </c>
      <c r="C3" s="6"/>
    </row>
    <row r="5" spans="1:17" x14ac:dyDescent="0.3">
      <c r="A5" s="3" t="s">
        <v>3114</v>
      </c>
      <c r="B5" t="s">
        <v>3116</v>
      </c>
      <c r="C5" t="s">
        <v>3117</v>
      </c>
    </row>
    <row r="6" spans="1:17" x14ac:dyDescent="0.3">
      <c r="A6" s="4" t="s">
        <v>95</v>
      </c>
      <c r="B6" s="5">
        <v>882390</v>
      </c>
      <c r="C6" s="5">
        <v>281200.43000000005</v>
      </c>
    </row>
    <row r="7" spans="1:17" x14ac:dyDescent="0.3">
      <c r="A7" s="4" t="s">
        <v>65</v>
      </c>
      <c r="B7" s="5">
        <v>34721200</v>
      </c>
      <c r="C7" s="5">
        <v>5667072.2200000044</v>
      </c>
    </row>
    <row r="8" spans="1:17" x14ac:dyDescent="0.3">
      <c r="A8" s="4" t="s">
        <v>73</v>
      </c>
      <c r="B8" s="5">
        <v>1461250</v>
      </c>
      <c r="C8" s="5">
        <v>429437.18999999989</v>
      </c>
    </row>
    <row r="9" spans="1:17" x14ac:dyDescent="0.3">
      <c r="A9" s="4" t="s">
        <v>27</v>
      </c>
      <c r="B9" s="5">
        <v>8821025</v>
      </c>
      <c r="C9" s="5">
        <v>2238590.5499999984</v>
      </c>
    </row>
    <row r="10" spans="1:17" x14ac:dyDescent="0.3">
      <c r="A10" s="4" t="s">
        <v>48</v>
      </c>
      <c r="B10" s="5">
        <v>163110.5</v>
      </c>
      <c r="C10" s="5">
        <v>62516.400000000023</v>
      </c>
    </row>
    <row r="11" spans="1:17" x14ac:dyDescent="0.3">
      <c r="A11" s="4" t="s">
        <v>3115</v>
      </c>
      <c r="B11" s="5">
        <v>46048975.5</v>
      </c>
      <c r="C11" s="5">
        <v>8678816.7900000028</v>
      </c>
    </row>
    <row r="14" spans="1:17" x14ac:dyDescent="0.3">
      <c r="A14" s="6" t="s">
        <v>3152</v>
      </c>
      <c r="B14" s="6"/>
      <c r="C14" s="6"/>
      <c r="F14" s="6" t="s">
        <v>3153</v>
      </c>
      <c r="G14" s="6"/>
      <c r="J14" s="6" t="s">
        <v>3154</v>
      </c>
      <c r="K14" s="6"/>
      <c r="L14" s="6"/>
      <c r="N14" s="6" t="s">
        <v>3158</v>
      </c>
      <c r="O14" s="6"/>
      <c r="P14" s="6"/>
    </row>
    <row r="16" spans="1:17" x14ac:dyDescent="0.3">
      <c r="A16" s="3" t="s">
        <v>3114</v>
      </c>
      <c r="B16" t="s">
        <v>3116</v>
      </c>
      <c r="C16" t="s">
        <v>3117</v>
      </c>
      <c r="E16" s="3" t="s">
        <v>3116</v>
      </c>
      <c r="F16" s="3" t="s">
        <v>3145</v>
      </c>
      <c r="J16" s="3" t="s">
        <v>3114</v>
      </c>
      <c r="K16" t="s">
        <v>3116</v>
      </c>
      <c r="N16" s="3" t="s">
        <v>3114</v>
      </c>
      <c r="O16" t="s">
        <v>3118</v>
      </c>
      <c r="P16" t="s">
        <v>3116</v>
      </c>
      <c r="Q16" t="s">
        <v>3143</v>
      </c>
    </row>
    <row r="17" spans="1:17" x14ac:dyDescent="0.3">
      <c r="A17" s="4" t="s">
        <v>3119</v>
      </c>
      <c r="B17" s="5">
        <v>2831418.5</v>
      </c>
      <c r="C17" s="5">
        <v>516674.9099999998</v>
      </c>
      <c r="E17" s="3" t="s">
        <v>3114</v>
      </c>
      <c r="F17">
        <v>2024</v>
      </c>
      <c r="G17">
        <v>2025</v>
      </c>
      <c r="H17" t="s">
        <v>3115</v>
      </c>
      <c r="J17" s="4" t="s">
        <v>94</v>
      </c>
      <c r="K17" s="5">
        <v>650250</v>
      </c>
      <c r="N17" s="4">
        <v>0</v>
      </c>
      <c r="O17" s="5">
        <v>831</v>
      </c>
      <c r="P17" s="5">
        <v>20544830</v>
      </c>
      <c r="Q17" s="5">
        <v>4386.3929723225037</v>
      </c>
    </row>
    <row r="18" spans="1:17" x14ac:dyDescent="0.3">
      <c r="A18" s="4" t="s">
        <v>3120</v>
      </c>
      <c r="B18" s="5">
        <v>3434951.5</v>
      </c>
      <c r="C18" s="5">
        <v>1075707.6299999999</v>
      </c>
      <c r="E18" s="4">
        <v>1</v>
      </c>
      <c r="F18" s="5">
        <v>2831418.5</v>
      </c>
      <c r="G18" s="5">
        <v>1939869</v>
      </c>
      <c r="H18" s="5">
        <v>4771287.5</v>
      </c>
      <c r="J18" s="4" t="s">
        <v>135</v>
      </c>
      <c r="K18" s="5">
        <v>2612700</v>
      </c>
      <c r="N18" s="4">
        <v>5</v>
      </c>
      <c r="O18" s="5">
        <v>296</v>
      </c>
      <c r="P18" s="5">
        <v>7281512.5</v>
      </c>
      <c r="Q18" s="5">
        <v>4334.5033108108109</v>
      </c>
    </row>
    <row r="19" spans="1:17" x14ac:dyDescent="0.3">
      <c r="A19" s="4" t="s">
        <v>3121</v>
      </c>
      <c r="B19" s="5">
        <v>1553084</v>
      </c>
      <c r="C19" s="5">
        <v>276005.89000000007</v>
      </c>
      <c r="E19" s="4">
        <v>2</v>
      </c>
      <c r="F19" s="5">
        <v>3434951.5</v>
      </c>
      <c r="G19" s="5">
        <v>1591870.5</v>
      </c>
      <c r="H19" s="5">
        <v>5026822</v>
      </c>
      <c r="J19" s="4" t="s">
        <v>80</v>
      </c>
      <c r="K19" s="5">
        <v>1405950</v>
      </c>
      <c r="N19" s="4">
        <v>10</v>
      </c>
      <c r="O19" s="5">
        <v>271</v>
      </c>
      <c r="P19" s="5">
        <v>5637303</v>
      </c>
      <c r="Q19" s="5">
        <v>3618.6953505535057</v>
      </c>
    </row>
    <row r="20" spans="1:17" x14ac:dyDescent="0.3">
      <c r="A20" s="4" t="s">
        <v>3122</v>
      </c>
      <c r="B20" s="5">
        <v>2424439.5</v>
      </c>
      <c r="C20" s="5">
        <v>430056.7899999998</v>
      </c>
      <c r="E20" s="4">
        <v>3</v>
      </c>
      <c r="F20" s="5">
        <v>1553084</v>
      </c>
      <c r="G20" s="5">
        <v>1451017.5</v>
      </c>
      <c r="H20" s="5">
        <v>3004101.5</v>
      </c>
      <c r="J20" s="4" t="s">
        <v>115</v>
      </c>
      <c r="K20" s="5">
        <v>22151250</v>
      </c>
      <c r="N20" s="4">
        <v>15</v>
      </c>
      <c r="O20" s="5">
        <v>308</v>
      </c>
      <c r="P20" s="5">
        <v>7342538</v>
      </c>
      <c r="Q20" s="5">
        <v>5876.1992532467548</v>
      </c>
    </row>
    <row r="21" spans="1:17" x14ac:dyDescent="0.3">
      <c r="A21" s="4" t="s">
        <v>3123</v>
      </c>
      <c r="B21" s="5">
        <v>3416058.5</v>
      </c>
      <c r="C21" s="5">
        <v>574905.87000000023</v>
      </c>
      <c r="E21" s="4">
        <v>4</v>
      </c>
      <c r="F21" s="5">
        <v>2424439.5</v>
      </c>
      <c r="G21" s="5">
        <v>1665887</v>
      </c>
      <c r="H21" s="5">
        <v>4090326.5</v>
      </c>
      <c r="J21" s="4" t="s">
        <v>148</v>
      </c>
      <c r="K21" s="5">
        <v>102612.5</v>
      </c>
      <c r="N21" s="4">
        <v>20</v>
      </c>
      <c r="O21" s="5">
        <v>294</v>
      </c>
      <c r="P21" s="5">
        <v>5242792</v>
      </c>
      <c r="Q21" s="5">
        <v>3265.9028571428598</v>
      </c>
    </row>
    <row r="22" spans="1:17" x14ac:dyDescent="0.3">
      <c r="A22" s="4" t="s">
        <v>3124</v>
      </c>
      <c r="B22" s="5">
        <v>976869</v>
      </c>
      <c r="C22" s="5">
        <v>191507.15999999992</v>
      </c>
      <c r="E22" s="4">
        <v>5</v>
      </c>
      <c r="F22" s="5">
        <v>3416058.5</v>
      </c>
      <c r="G22" s="5">
        <v>1638608.5</v>
      </c>
      <c r="H22" s="5">
        <v>5054667</v>
      </c>
      <c r="J22" s="4" t="s">
        <v>26</v>
      </c>
      <c r="K22" s="5">
        <v>3034850</v>
      </c>
      <c r="N22" s="4" t="s">
        <v>3115</v>
      </c>
      <c r="O22" s="5">
        <v>2000</v>
      </c>
      <c r="P22" s="5">
        <v>46048975.5</v>
      </c>
      <c r="Q22" s="5">
        <v>4339.4083950000022</v>
      </c>
    </row>
    <row r="23" spans="1:17" x14ac:dyDescent="0.3">
      <c r="A23" s="4" t="s">
        <v>3125</v>
      </c>
      <c r="B23" s="5">
        <v>1935636</v>
      </c>
      <c r="C23" s="5">
        <v>344473.94000000012</v>
      </c>
      <c r="E23" s="4">
        <v>6</v>
      </c>
      <c r="F23" s="5">
        <v>976869</v>
      </c>
      <c r="G23" s="5">
        <v>1199118.5</v>
      </c>
      <c r="H23" s="5">
        <v>2175987.5</v>
      </c>
      <c r="J23" s="4" t="s">
        <v>47</v>
      </c>
      <c r="K23" s="5">
        <v>60498</v>
      </c>
    </row>
    <row r="24" spans="1:17" x14ac:dyDescent="0.3">
      <c r="A24" s="4" t="s">
        <v>3126</v>
      </c>
      <c r="B24" s="5">
        <v>1962271</v>
      </c>
      <c r="C24" s="5">
        <v>337224.63000000006</v>
      </c>
      <c r="E24" s="4">
        <v>7</v>
      </c>
      <c r="F24" s="5">
        <v>1935636</v>
      </c>
      <c r="G24" s="5">
        <v>1483934</v>
      </c>
      <c r="H24" s="5">
        <v>3419570</v>
      </c>
      <c r="J24" s="4" t="s">
        <v>72</v>
      </c>
      <c r="K24" s="5">
        <v>1461250</v>
      </c>
    </row>
    <row r="25" spans="1:17" x14ac:dyDescent="0.3">
      <c r="A25" s="4" t="s">
        <v>3127</v>
      </c>
      <c r="B25" s="5">
        <v>1742592.5</v>
      </c>
      <c r="C25" s="5">
        <v>314271.05000000005</v>
      </c>
      <c r="E25" s="4">
        <v>8</v>
      </c>
      <c r="F25" s="5">
        <v>1962271</v>
      </c>
      <c r="G25" s="5">
        <v>1219549</v>
      </c>
      <c r="H25" s="5">
        <v>3181820</v>
      </c>
      <c r="J25" s="4" t="s">
        <v>104</v>
      </c>
      <c r="K25" s="5">
        <v>2574000</v>
      </c>
    </row>
    <row r="26" spans="1:17" x14ac:dyDescent="0.3">
      <c r="A26" s="4" t="s">
        <v>3128</v>
      </c>
      <c r="B26" s="5">
        <v>1984059.5</v>
      </c>
      <c r="C26" s="5">
        <v>344023.23000000016</v>
      </c>
      <c r="E26" s="4">
        <v>9</v>
      </c>
      <c r="F26" s="5">
        <v>1742592.5</v>
      </c>
      <c r="G26" s="5">
        <v>2391817.5</v>
      </c>
      <c r="H26" s="5">
        <v>4134410</v>
      </c>
      <c r="J26" s="4" t="s">
        <v>64</v>
      </c>
      <c r="K26" s="5">
        <v>8590000</v>
      </c>
    </row>
    <row r="27" spans="1:17" x14ac:dyDescent="0.3">
      <c r="A27" s="4" t="s">
        <v>3129</v>
      </c>
      <c r="B27" s="5">
        <v>1541780.5</v>
      </c>
      <c r="C27" s="5">
        <v>284195.50999999995</v>
      </c>
      <c r="E27" s="4">
        <v>10</v>
      </c>
      <c r="F27" s="5">
        <v>1984059.5</v>
      </c>
      <c r="G27" s="5">
        <v>1712065.5</v>
      </c>
      <c r="H27" s="5">
        <v>3696125</v>
      </c>
      <c r="J27" s="4" t="s">
        <v>38</v>
      </c>
      <c r="K27" s="5">
        <v>3173475</v>
      </c>
    </row>
    <row r="28" spans="1:17" x14ac:dyDescent="0.3">
      <c r="A28" s="4" t="s">
        <v>3130</v>
      </c>
      <c r="B28" s="5">
        <v>1868363</v>
      </c>
      <c r="C28" s="5">
        <v>325526.43000000005</v>
      </c>
      <c r="E28" s="4">
        <v>11</v>
      </c>
      <c r="F28" s="5">
        <v>1541780.5</v>
      </c>
      <c r="G28" s="5">
        <v>1923832</v>
      </c>
      <c r="H28" s="5">
        <v>3465612.5</v>
      </c>
      <c r="J28" s="4" t="s">
        <v>127</v>
      </c>
      <c r="K28" s="5">
        <v>232140</v>
      </c>
    </row>
    <row r="29" spans="1:17" x14ac:dyDescent="0.3">
      <c r="A29" s="4" t="s">
        <v>3131</v>
      </c>
      <c r="B29" s="5">
        <v>1939869</v>
      </c>
      <c r="C29" s="5">
        <v>347192.17999999988</v>
      </c>
      <c r="E29" s="4">
        <v>12</v>
      </c>
      <c r="F29" s="5">
        <v>1868363</v>
      </c>
      <c r="G29" s="5">
        <v>2159883</v>
      </c>
      <c r="H29" s="5">
        <v>4028246</v>
      </c>
      <c r="J29" s="4" t="s">
        <v>3115</v>
      </c>
      <c r="K29" s="5">
        <v>46048975.5</v>
      </c>
    </row>
    <row r="30" spans="1:17" x14ac:dyDescent="0.3">
      <c r="A30" s="4" t="s">
        <v>3132</v>
      </c>
      <c r="B30" s="5">
        <v>1591870.5</v>
      </c>
      <c r="C30" s="5">
        <v>281641.53000000009</v>
      </c>
      <c r="E30" s="4" t="s">
        <v>3115</v>
      </c>
      <c r="F30" s="5">
        <v>25671523.5</v>
      </c>
      <c r="G30" s="5">
        <v>20377452</v>
      </c>
      <c r="H30" s="5">
        <v>46048975.5</v>
      </c>
    </row>
    <row r="31" spans="1:17" x14ac:dyDescent="0.3">
      <c r="A31" s="4" t="s">
        <v>3133</v>
      </c>
      <c r="B31" s="5">
        <v>1451017.5</v>
      </c>
      <c r="C31" s="5">
        <v>281432.61000000004</v>
      </c>
    </row>
    <row r="32" spans="1:17" x14ac:dyDescent="0.3">
      <c r="A32" s="4" t="s">
        <v>3134</v>
      </c>
      <c r="B32" s="5">
        <v>1665887</v>
      </c>
      <c r="C32" s="5">
        <v>305261.46000000008</v>
      </c>
    </row>
    <row r="33" spans="1:7" x14ac:dyDescent="0.3">
      <c r="A33" s="4" t="s">
        <v>3135</v>
      </c>
      <c r="B33" s="5">
        <v>1638608.5</v>
      </c>
      <c r="C33" s="5">
        <v>304054.25</v>
      </c>
    </row>
    <row r="34" spans="1:7" x14ac:dyDescent="0.3">
      <c r="A34" s="4" t="s">
        <v>3136</v>
      </c>
      <c r="B34" s="5">
        <v>1199118.5</v>
      </c>
      <c r="C34" s="5">
        <v>225238.27999999991</v>
      </c>
    </row>
    <row r="35" spans="1:7" x14ac:dyDescent="0.3">
      <c r="A35" s="4" t="s">
        <v>3137</v>
      </c>
      <c r="B35" s="5">
        <v>1483934</v>
      </c>
      <c r="C35" s="5">
        <v>274170.02</v>
      </c>
    </row>
    <row r="36" spans="1:7" x14ac:dyDescent="0.3">
      <c r="A36" s="4" t="s">
        <v>3138</v>
      </c>
      <c r="B36" s="5">
        <v>1219549</v>
      </c>
      <c r="C36" s="5">
        <v>224491.58000000002</v>
      </c>
    </row>
    <row r="37" spans="1:7" x14ac:dyDescent="0.3">
      <c r="A37" s="4" t="s">
        <v>3139</v>
      </c>
      <c r="B37" s="5">
        <v>2391817.5</v>
      </c>
      <c r="C37" s="5">
        <v>407085.92</v>
      </c>
    </row>
    <row r="38" spans="1:7" x14ac:dyDescent="0.3">
      <c r="A38" s="4" t="s">
        <v>3140</v>
      </c>
      <c r="B38" s="5">
        <v>1712065.5</v>
      </c>
      <c r="C38" s="5">
        <v>307953.08999999991</v>
      </c>
    </row>
    <row r="39" spans="1:7" x14ac:dyDescent="0.3">
      <c r="A39" s="4" t="s">
        <v>3141</v>
      </c>
      <c r="B39" s="5">
        <v>1923832</v>
      </c>
      <c r="C39" s="5">
        <v>343228.43</v>
      </c>
    </row>
    <row r="40" spans="1:7" x14ac:dyDescent="0.3">
      <c r="A40" s="4" t="s">
        <v>3142</v>
      </c>
      <c r="B40" s="5">
        <v>2159883</v>
      </c>
      <c r="C40" s="5">
        <v>362494.4</v>
      </c>
    </row>
    <row r="41" spans="1:7" x14ac:dyDescent="0.3">
      <c r="A41" s="4" t="s">
        <v>3115</v>
      </c>
      <c r="B41" s="5">
        <v>46048975.5</v>
      </c>
      <c r="C41" s="5">
        <v>8678816.790000001</v>
      </c>
    </row>
    <row r="45" spans="1:7" x14ac:dyDescent="0.3">
      <c r="A45" s="6" t="s">
        <v>3159</v>
      </c>
      <c r="B45" s="6"/>
      <c r="C45" s="6"/>
      <c r="E45" s="6" t="s">
        <v>3160</v>
      </c>
      <c r="F45" s="6"/>
      <c r="G45" s="6"/>
    </row>
    <row r="46" spans="1:7" x14ac:dyDescent="0.3">
      <c r="A46" s="6"/>
      <c r="B46" s="6"/>
      <c r="C46" s="6"/>
    </row>
    <row r="47" spans="1:7" x14ac:dyDescent="0.3">
      <c r="A47" s="3" t="s">
        <v>3114</v>
      </c>
      <c r="B47" t="s">
        <v>3116</v>
      </c>
      <c r="E47" s="3" t="s">
        <v>3114</v>
      </c>
      <c r="F47" t="s">
        <v>3116</v>
      </c>
      <c r="G47" t="s">
        <v>3117</v>
      </c>
    </row>
    <row r="48" spans="1:7" x14ac:dyDescent="0.3">
      <c r="A48" s="4" t="s">
        <v>91</v>
      </c>
      <c r="B48" s="5">
        <v>12630099</v>
      </c>
      <c r="E48" s="4" t="s">
        <v>187</v>
      </c>
      <c r="F48" s="5">
        <v>1420228</v>
      </c>
      <c r="G48" s="5">
        <v>766195.98999999976</v>
      </c>
    </row>
    <row r="49" spans="1:7" x14ac:dyDescent="0.3">
      <c r="A49" s="4" t="s">
        <v>61</v>
      </c>
      <c r="B49" s="5">
        <v>9791984.5</v>
      </c>
      <c r="E49" s="4" t="s">
        <v>45</v>
      </c>
      <c r="F49" s="5">
        <v>2422936.5</v>
      </c>
      <c r="G49" s="5">
        <v>449660.38</v>
      </c>
    </row>
    <row r="50" spans="1:7" x14ac:dyDescent="0.3">
      <c r="A50" s="4" t="s">
        <v>44</v>
      </c>
      <c r="B50" s="5">
        <v>11388375</v>
      </c>
      <c r="E50" s="4" t="s">
        <v>177</v>
      </c>
      <c r="F50" s="5">
        <v>2114175.5</v>
      </c>
      <c r="G50" s="5">
        <v>381923.58000000007</v>
      </c>
    </row>
    <row r="51" spans="1:7" x14ac:dyDescent="0.3">
      <c r="A51" s="4" t="s">
        <v>35</v>
      </c>
      <c r="B51" s="5">
        <v>12238517</v>
      </c>
      <c r="E51" s="4" t="s">
        <v>125</v>
      </c>
      <c r="F51" s="5">
        <v>1929640</v>
      </c>
      <c r="G51" s="5">
        <v>348404.62000000017</v>
      </c>
    </row>
    <row r="52" spans="1:7" x14ac:dyDescent="0.3">
      <c r="A52" s="4" t="s">
        <v>3115</v>
      </c>
      <c r="B52" s="5">
        <v>46048975.5</v>
      </c>
      <c r="E52" s="4" t="s">
        <v>155</v>
      </c>
      <c r="F52" s="5">
        <v>2164839.5</v>
      </c>
      <c r="G52" s="5">
        <v>367773.07999999996</v>
      </c>
    </row>
    <row r="53" spans="1:7" x14ac:dyDescent="0.3">
      <c r="E53" s="4" t="s">
        <v>62</v>
      </c>
      <c r="F53" s="5">
        <v>2818796</v>
      </c>
      <c r="G53" s="5">
        <v>506099.48000000016</v>
      </c>
    </row>
    <row r="54" spans="1:7" x14ac:dyDescent="0.3">
      <c r="E54" s="4" t="s">
        <v>92</v>
      </c>
      <c r="F54" s="5">
        <v>2901370.5</v>
      </c>
      <c r="G54" s="5">
        <v>501227.97000000003</v>
      </c>
    </row>
    <row r="55" spans="1:7" x14ac:dyDescent="0.3">
      <c r="E55" s="4" t="s">
        <v>24</v>
      </c>
      <c r="F55" s="5">
        <v>2695966</v>
      </c>
      <c r="G55" s="5">
        <v>496233.88</v>
      </c>
    </row>
    <row r="56" spans="1:7" x14ac:dyDescent="0.3">
      <c r="E56" s="4" t="s">
        <v>211</v>
      </c>
      <c r="F56" s="5">
        <v>2320743.5</v>
      </c>
      <c r="G56" s="5">
        <v>429876.98999999976</v>
      </c>
    </row>
    <row r="57" spans="1:7" x14ac:dyDescent="0.3">
      <c r="E57" s="4" t="s">
        <v>161</v>
      </c>
      <c r="F57" s="5">
        <v>2992195</v>
      </c>
      <c r="G57" s="5">
        <v>538375.66999999981</v>
      </c>
    </row>
    <row r="58" spans="1:7" x14ac:dyDescent="0.3">
      <c r="E58" s="4" t="s">
        <v>109</v>
      </c>
      <c r="F58" s="5">
        <v>2278604.5</v>
      </c>
      <c r="G58" s="5">
        <v>397734.27000000008</v>
      </c>
    </row>
    <row r="59" spans="1:7" x14ac:dyDescent="0.3">
      <c r="E59" s="4" t="s">
        <v>78</v>
      </c>
      <c r="F59" s="5">
        <v>2722805</v>
      </c>
      <c r="G59" s="5">
        <v>490612.65000000014</v>
      </c>
    </row>
    <row r="60" spans="1:7" x14ac:dyDescent="0.3">
      <c r="E60" s="4" t="s">
        <v>85</v>
      </c>
      <c r="F60" s="5">
        <v>2437950.5</v>
      </c>
      <c r="G60" s="5">
        <v>406138.05999999994</v>
      </c>
    </row>
    <row r="61" spans="1:7" x14ac:dyDescent="0.3">
      <c r="E61" s="4" t="s">
        <v>120</v>
      </c>
      <c r="F61" s="5">
        <v>5335948.5</v>
      </c>
      <c r="G61" s="5">
        <v>953205.75000000023</v>
      </c>
    </row>
    <row r="62" spans="1:7" x14ac:dyDescent="0.3">
      <c r="E62" s="4" t="s">
        <v>258</v>
      </c>
      <c r="F62" s="5">
        <v>3259752.5</v>
      </c>
      <c r="G62" s="5">
        <v>545446.14</v>
      </c>
    </row>
    <row r="63" spans="1:7" x14ac:dyDescent="0.3">
      <c r="E63" s="4" t="s">
        <v>36</v>
      </c>
      <c r="F63" s="5">
        <v>5120586</v>
      </c>
      <c r="G63" s="5">
        <v>897329.09000000043</v>
      </c>
    </row>
    <row r="64" spans="1:7" x14ac:dyDescent="0.3">
      <c r="E64" s="4" t="s">
        <v>330</v>
      </c>
      <c r="F64" s="5">
        <v>1112438</v>
      </c>
      <c r="G64" s="5">
        <v>202579.18999999997</v>
      </c>
    </row>
    <row r="65" spans="1:12" x14ac:dyDescent="0.3">
      <c r="E65" s="4" t="s">
        <v>3115</v>
      </c>
      <c r="F65" s="5">
        <v>46048975.5</v>
      </c>
      <c r="G65" s="5">
        <v>8678816.7899999991</v>
      </c>
    </row>
    <row r="66" spans="1:12" x14ac:dyDescent="0.3">
      <c r="E66" s="4"/>
      <c r="F66" s="5"/>
      <c r="G66" s="5"/>
    </row>
    <row r="67" spans="1:12" x14ac:dyDescent="0.3">
      <c r="E67" s="4"/>
      <c r="F67" s="5"/>
      <c r="G67" s="5"/>
    </row>
    <row r="68" spans="1:12" x14ac:dyDescent="0.3">
      <c r="E68" s="4"/>
      <c r="F68" s="5"/>
      <c r="G68" s="5"/>
    </row>
    <row r="69" spans="1:12" x14ac:dyDescent="0.3">
      <c r="A69" s="6" t="s">
        <v>3155</v>
      </c>
      <c r="B69" s="6"/>
      <c r="D69" s="6" t="s">
        <v>3156</v>
      </c>
      <c r="E69" s="6"/>
      <c r="F69" s="5"/>
      <c r="G69" s="6" t="s">
        <v>3157</v>
      </c>
      <c r="H69" s="6"/>
      <c r="I69" s="19"/>
      <c r="J69" s="19"/>
      <c r="K69" s="19"/>
      <c r="L69" s="19"/>
    </row>
    <row r="71" spans="1:12" x14ac:dyDescent="0.3">
      <c r="A71" s="3" t="s">
        <v>3114</v>
      </c>
      <c r="B71" t="s">
        <v>3116</v>
      </c>
      <c r="D71" s="3" t="s">
        <v>3114</v>
      </c>
      <c r="E71" t="s">
        <v>3116</v>
      </c>
      <c r="G71" s="3" t="s">
        <v>3114</v>
      </c>
      <c r="H71" t="s">
        <v>3118</v>
      </c>
    </row>
    <row r="72" spans="1:12" x14ac:dyDescent="0.3">
      <c r="A72" s="4" t="s">
        <v>644</v>
      </c>
      <c r="B72" s="5">
        <v>583350</v>
      </c>
      <c r="D72" s="4" t="s">
        <v>121</v>
      </c>
      <c r="E72" s="5">
        <v>6732239</v>
      </c>
      <c r="G72" s="4" t="s">
        <v>56</v>
      </c>
      <c r="H72" s="5">
        <v>668</v>
      </c>
    </row>
    <row r="73" spans="1:12" x14ac:dyDescent="0.3">
      <c r="A73" s="4" t="s">
        <v>102</v>
      </c>
      <c r="B73" s="5">
        <v>660394</v>
      </c>
      <c r="D73" s="4" t="s">
        <v>39</v>
      </c>
      <c r="E73" s="5">
        <v>6277412.5</v>
      </c>
      <c r="G73" s="4" t="s">
        <v>29</v>
      </c>
      <c r="H73" s="5">
        <v>640</v>
      </c>
    </row>
    <row r="74" spans="1:12" x14ac:dyDescent="0.3">
      <c r="A74" s="4" t="s">
        <v>610</v>
      </c>
      <c r="B74" s="5">
        <v>537397</v>
      </c>
      <c r="D74" s="4" t="s">
        <v>28</v>
      </c>
      <c r="E74" s="5">
        <v>7754265</v>
      </c>
      <c r="G74" s="4" t="s">
        <v>49</v>
      </c>
      <c r="H74" s="5">
        <v>692</v>
      </c>
    </row>
    <row r="75" spans="1:12" x14ac:dyDescent="0.3">
      <c r="A75" s="4" t="s">
        <v>374</v>
      </c>
      <c r="B75" s="5">
        <v>728175</v>
      </c>
      <c r="D75" s="4" t="s">
        <v>156</v>
      </c>
      <c r="E75" s="5">
        <v>6570915</v>
      </c>
      <c r="G75" s="4" t="s">
        <v>3115</v>
      </c>
      <c r="H75" s="5">
        <v>2000</v>
      </c>
    </row>
    <row r="76" spans="1:12" x14ac:dyDescent="0.3">
      <c r="A76" s="4" t="s">
        <v>836</v>
      </c>
      <c r="B76" s="5">
        <v>612612</v>
      </c>
      <c r="D76" s="4" t="s">
        <v>66</v>
      </c>
      <c r="E76" s="5">
        <v>8644975.5</v>
      </c>
    </row>
    <row r="77" spans="1:12" x14ac:dyDescent="0.3">
      <c r="A77" s="4" t="s">
        <v>99</v>
      </c>
      <c r="B77" s="5">
        <v>1001510</v>
      </c>
      <c r="D77" s="4" t="s">
        <v>74</v>
      </c>
      <c r="E77" s="5">
        <v>8905509</v>
      </c>
    </row>
    <row r="78" spans="1:12" x14ac:dyDescent="0.3">
      <c r="A78" s="4" t="s">
        <v>266</v>
      </c>
      <c r="B78" s="5">
        <v>527825</v>
      </c>
      <c r="D78" s="4" t="s">
        <v>3113</v>
      </c>
      <c r="E78" s="5">
        <v>1113659.5</v>
      </c>
    </row>
    <row r="79" spans="1:12" x14ac:dyDescent="0.3">
      <c r="A79" s="4" t="s">
        <v>119</v>
      </c>
      <c r="B79" s="5">
        <v>598075</v>
      </c>
      <c r="D79" s="4" t="s">
        <v>3144</v>
      </c>
      <c r="E79" s="5">
        <v>50000</v>
      </c>
    </row>
    <row r="80" spans="1:12" x14ac:dyDescent="0.3">
      <c r="A80" s="4" t="s">
        <v>273</v>
      </c>
      <c r="B80" s="5">
        <v>536950</v>
      </c>
      <c r="D80" s="4" t="s">
        <v>3115</v>
      </c>
      <c r="E80" s="5">
        <v>46048975.5</v>
      </c>
    </row>
    <row r="81" spans="1:2" x14ac:dyDescent="0.3">
      <c r="A81" s="4" t="s">
        <v>139</v>
      </c>
      <c r="B81" s="5">
        <v>799198.5</v>
      </c>
    </row>
    <row r="82" spans="1:2" x14ac:dyDescent="0.3">
      <c r="A82" s="4" t="s">
        <v>3115</v>
      </c>
      <c r="B82" s="5">
        <v>6585486.5</v>
      </c>
    </row>
  </sheetData>
  <mergeCells count="11">
    <mergeCell ref="A69:B69"/>
    <mergeCell ref="D69:E69"/>
    <mergeCell ref="G69:H69"/>
    <mergeCell ref="B3:C3"/>
    <mergeCell ref="A14:C14"/>
    <mergeCell ref="F14:G14"/>
    <mergeCell ref="J14:L14"/>
    <mergeCell ref="N14:P14"/>
    <mergeCell ref="A46:C46"/>
    <mergeCell ref="A45:C45"/>
    <mergeCell ref="E45:G4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3F1FF-C4C5-4C3B-BC7A-91231A94A9E2}">
  <dimension ref="A1:Z2001"/>
  <sheetViews>
    <sheetView topLeftCell="H2" workbookViewId="0">
      <selection activeCell="O1" sqref="O1:O2001"/>
    </sheetView>
  </sheetViews>
  <sheetFormatPr defaultRowHeight="14.4" x14ac:dyDescent="0.3"/>
  <cols>
    <col min="1" max="1" width="10.109375" bestFit="1" customWidth="1"/>
    <col min="2" max="2" width="12.21875" bestFit="1" customWidth="1"/>
    <col min="3" max="3" width="12.21875" customWidth="1"/>
    <col min="4" max="4" width="11.33203125" bestFit="1" customWidth="1"/>
    <col min="5" max="5" width="13.5546875" bestFit="1" customWidth="1"/>
    <col min="6" max="6" width="16.6640625" bestFit="1" customWidth="1"/>
    <col min="7" max="7" width="13.109375" bestFit="1" customWidth="1"/>
    <col min="8" max="8" width="8.33203125" bestFit="1" customWidth="1"/>
    <col min="9" max="9" width="12" bestFit="1" customWidth="1"/>
    <col min="10" max="10" width="12.21875" bestFit="1" customWidth="1"/>
    <col min="11" max="11" width="15.33203125" bestFit="1" customWidth="1"/>
    <col min="12" max="12" width="12.44140625" bestFit="1" customWidth="1"/>
    <col min="13" max="13" width="10.109375" bestFit="1" customWidth="1"/>
    <col min="14" max="14" width="11.5546875" bestFit="1" customWidth="1"/>
    <col min="15" max="15" width="14" bestFit="1" customWidth="1"/>
    <col min="16" max="16" width="13.44140625" customWidth="1"/>
    <col min="17" max="17" width="10" bestFit="1" customWidth="1"/>
    <col min="18" max="18" width="11.77734375" bestFit="1" customWidth="1"/>
    <col min="19" max="19" width="10.109375" bestFit="1" customWidth="1"/>
    <col min="20" max="20" width="17.88671875" bestFit="1" customWidth="1"/>
    <col min="22" max="22" width="12.6640625" bestFit="1" customWidth="1"/>
    <col min="25" max="25" width="12.5546875" bestFit="1" customWidth="1"/>
    <col min="26" max="26" width="13.77734375" bestFit="1" customWidth="1"/>
    <col min="27" max="27" width="17.218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3105</v>
      </c>
      <c r="P1" t="s">
        <v>15</v>
      </c>
      <c r="Q1" t="s">
        <v>16</v>
      </c>
      <c r="R1" t="s">
        <v>17</v>
      </c>
      <c r="S1" t="s">
        <v>18</v>
      </c>
      <c r="T1" t="s">
        <v>3106</v>
      </c>
      <c r="U1" t="s">
        <v>3107</v>
      </c>
      <c r="V1" t="s">
        <v>3108</v>
      </c>
      <c r="W1" t="s">
        <v>3109</v>
      </c>
      <c r="X1" t="s">
        <v>3110</v>
      </c>
      <c r="Y1" t="s">
        <v>3111</v>
      </c>
      <c r="Z1" t="s">
        <v>3112</v>
      </c>
    </row>
    <row r="2" spans="1:26" x14ac:dyDescent="0.3">
      <c r="A2" t="s">
        <v>1124</v>
      </c>
      <c r="B2" s="1">
        <v>46014</v>
      </c>
      <c r="C2" s="1">
        <v>46017</v>
      </c>
      <c r="D2" t="s">
        <v>1125</v>
      </c>
      <c r="E2" t="s">
        <v>1126</v>
      </c>
      <c r="F2" t="s">
        <v>55</v>
      </c>
      <c r="G2" t="s">
        <v>61</v>
      </c>
      <c r="H2" t="s">
        <v>125</v>
      </c>
      <c r="I2" t="s">
        <v>46</v>
      </c>
      <c r="J2" t="s">
        <v>47</v>
      </c>
      <c r="K2" t="s">
        <v>48</v>
      </c>
      <c r="L2">
        <v>4</v>
      </c>
      <c r="M2">
        <v>180</v>
      </c>
      <c r="N2">
        <v>5</v>
      </c>
      <c r="O2">
        <v>684</v>
      </c>
      <c r="P2">
        <v>245.47</v>
      </c>
      <c r="Q2" t="s">
        <v>28</v>
      </c>
      <c r="R2" t="s">
        <v>29</v>
      </c>
      <c r="S2" t="s">
        <v>40</v>
      </c>
      <c r="T2">
        <f>YEAR(Table1_1[[#This Row],[order_date]])</f>
        <v>2025</v>
      </c>
      <c r="U2">
        <f>MONTH(Table1_1[[#This Row],[order_date]])</f>
        <v>12</v>
      </c>
      <c r="V2" t="str">
        <f>TEXT(Table1_1[[#This Row],[order_date]],"mmm")</f>
        <v>Dec</v>
      </c>
      <c r="W2" t="str">
        <f>"Q"&amp;ROUNDUP(MONTH(Table1_1[[#This Row],[order_date]])/3,0)</f>
        <v>Q4</v>
      </c>
      <c r="X2" t="str">
        <f>TEXT(Table1_1[[#This Row],[order_date]],"yyyy-mm")</f>
        <v>2025-12</v>
      </c>
      <c r="Y2">
        <f>IF(Table1_1[[#This Row],[ship_date]]="","",Table1_1[[#This Row],[ship_date]]-Table1_1[[#This Row],[order_date]])</f>
        <v>3</v>
      </c>
      <c r="Z2">
        <f>ROUND(Table1_1[[#This Row],[profit]]/Table1_1[[#This Row],[sales_fix]]*100,2)</f>
        <v>35.89</v>
      </c>
    </row>
    <row r="3" spans="1:26" x14ac:dyDescent="0.3">
      <c r="A3" t="s">
        <v>2971</v>
      </c>
      <c r="B3" s="1">
        <v>45431</v>
      </c>
      <c r="C3" s="1">
        <v>45438</v>
      </c>
      <c r="D3" t="s">
        <v>819</v>
      </c>
      <c r="E3" t="s">
        <v>820</v>
      </c>
      <c r="F3" t="s">
        <v>34</v>
      </c>
      <c r="G3" t="s">
        <v>61</v>
      </c>
      <c r="H3" t="s">
        <v>62</v>
      </c>
      <c r="I3" t="s">
        <v>71</v>
      </c>
      <c r="J3" t="s">
        <v>72</v>
      </c>
      <c r="K3" t="s">
        <v>73</v>
      </c>
      <c r="L3">
        <v>4</v>
      </c>
      <c r="M3">
        <v>3500</v>
      </c>
      <c r="N3">
        <v>0</v>
      </c>
      <c r="O3">
        <v>14000</v>
      </c>
      <c r="P3">
        <v>4520.63</v>
      </c>
      <c r="Q3" t="s">
        <v>74</v>
      </c>
      <c r="R3" t="s">
        <v>56</v>
      </c>
      <c r="S3" t="s">
        <v>110</v>
      </c>
      <c r="T3">
        <f>YEAR(Table1_1[[#This Row],[order_date]])</f>
        <v>2024</v>
      </c>
      <c r="U3">
        <f>MONTH(Table1_1[[#This Row],[order_date]])</f>
        <v>5</v>
      </c>
      <c r="V3" t="str">
        <f>TEXT(Table1_1[[#This Row],[order_date]],"mmm")</f>
        <v>May</v>
      </c>
      <c r="W3" t="str">
        <f>"Q"&amp;ROUNDUP(MONTH(Table1_1[[#This Row],[order_date]])/3,0)</f>
        <v>Q2</v>
      </c>
      <c r="X3" t="str">
        <f>TEXT(Table1_1[[#This Row],[order_date]],"yyyy-mm")</f>
        <v>2024-05</v>
      </c>
      <c r="Y3">
        <f>IF(Table1_1[[#This Row],[ship_date]]="","",Table1_1[[#This Row],[ship_date]]-Table1_1[[#This Row],[order_date]])</f>
        <v>7</v>
      </c>
      <c r="Z3">
        <f>ROUND(Table1_1[[#This Row],[profit]]/Table1_1[[#This Row],[sales_fix]]*100,2)</f>
        <v>32.29</v>
      </c>
    </row>
    <row r="4" spans="1:26" x14ac:dyDescent="0.3">
      <c r="A4" t="s">
        <v>2254</v>
      </c>
      <c r="B4" s="1">
        <v>45597</v>
      </c>
      <c r="C4" s="1">
        <v>45600</v>
      </c>
      <c r="D4" t="s">
        <v>721</v>
      </c>
      <c r="E4" t="s">
        <v>722</v>
      </c>
      <c r="F4" t="s">
        <v>34</v>
      </c>
      <c r="G4" t="s">
        <v>35</v>
      </c>
      <c r="H4" t="s">
        <v>258</v>
      </c>
      <c r="I4" t="s">
        <v>25</v>
      </c>
      <c r="J4" t="s">
        <v>26</v>
      </c>
      <c r="K4" t="s">
        <v>27</v>
      </c>
      <c r="L4">
        <v>2</v>
      </c>
      <c r="M4">
        <v>7000</v>
      </c>
      <c r="N4">
        <v>15</v>
      </c>
      <c r="O4">
        <v>11900</v>
      </c>
      <c r="P4">
        <v>2618</v>
      </c>
      <c r="Q4" t="s">
        <v>28</v>
      </c>
      <c r="R4" t="s">
        <v>56</v>
      </c>
      <c r="S4" t="s">
        <v>30</v>
      </c>
      <c r="T4">
        <f>YEAR(Table1_1[[#This Row],[order_date]])</f>
        <v>2024</v>
      </c>
      <c r="U4">
        <f>MONTH(Table1_1[[#This Row],[order_date]])</f>
        <v>11</v>
      </c>
      <c r="V4" t="str">
        <f>TEXT(Table1_1[[#This Row],[order_date]],"mmm")</f>
        <v>Nov</v>
      </c>
      <c r="W4" t="str">
        <f>"Q"&amp;ROUNDUP(MONTH(Table1_1[[#This Row],[order_date]])/3,0)</f>
        <v>Q4</v>
      </c>
      <c r="X4" t="str">
        <f>TEXT(Table1_1[[#This Row],[order_date]],"yyyy-mm")</f>
        <v>2024-11</v>
      </c>
      <c r="Y4">
        <f>IF(Table1_1[[#This Row],[ship_date]]="","",Table1_1[[#This Row],[ship_date]]-Table1_1[[#This Row],[order_date]])</f>
        <v>3</v>
      </c>
      <c r="Z4">
        <f>ROUND(Table1_1[[#This Row],[profit]]/Table1_1[[#This Row],[sales_fix]]*100,2)</f>
        <v>22</v>
      </c>
    </row>
    <row r="5" spans="1:26" x14ac:dyDescent="0.3">
      <c r="A5" t="s">
        <v>537</v>
      </c>
      <c r="B5" s="1">
        <v>45857</v>
      </c>
      <c r="C5" s="1">
        <v>45863</v>
      </c>
      <c r="D5" t="s">
        <v>539</v>
      </c>
      <c r="E5" t="s">
        <v>540</v>
      </c>
      <c r="F5" t="s">
        <v>34</v>
      </c>
      <c r="G5" t="s">
        <v>61</v>
      </c>
      <c r="H5" t="s">
        <v>211</v>
      </c>
      <c r="I5" t="s">
        <v>37</v>
      </c>
      <c r="J5" t="s">
        <v>38</v>
      </c>
      <c r="K5" t="s">
        <v>27</v>
      </c>
      <c r="L5">
        <v>3</v>
      </c>
      <c r="M5">
        <v>9500</v>
      </c>
      <c r="N5">
        <v>5</v>
      </c>
      <c r="O5">
        <v>27075</v>
      </c>
      <c r="P5">
        <v>4776.78</v>
      </c>
      <c r="Q5" t="s">
        <v>121</v>
      </c>
      <c r="R5" t="s">
        <v>56</v>
      </c>
      <c r="S5" t="s">
        <v>50</v>
      </c>
      <c r="T5">
        <f>YEAR(Table1_1[[#This Row],[order_date]])</f>
        <v>2025</v>
      </c>
      <c r="U5">
        <f>MONTH(Table1_1[[#This Row],[order_date]])</f>
        <v>7</v>
      </c>
      <c r="V5" t="str">
        <f>TEXT(Table1_1[[#This Row],[order_date]],"mmm")</f>
        <v>Jul</v>
      </c>
      <c r="W5" t="str">
        <f>"Q"&amp;ROUNDUP(MONTH(Table1_1[[#This Row],[order_date]])/3,0)</f>
        <v>Q3</v>
      </c>
      <c r="X5" t="str">
        <f>TEXT(Table1_1[[#This Row],[order_date]],"yyyy-mm")</f>
        <v>2025-07</v>
      </c>
      <c r="Y5">
        <f>IF(Table1_1[[#This Row],[ship_date]]="","",Table1_1[[#This Row],[ship_date]]-Table1_1[[#This Row],[order_date]])</f>
        <v>6</v>
      </c>
      <c r="Z5">
        <f>ROUND(Table1_1[[#This Row],[profit]]/Table1_1[[#This Row],[sales_fix]]*100,2)</f>
        <v>17.64</v>
      </c>
    </row>
    <row r="6" spans="1:26" x14ac:dyDescent="0.3">
      <c r="A6" t="s">
        <v>271</v>
      </c>
      <c r="B6" s="1">
        <v>45531</v>
      </c>
      <c r="C6" s="1">
        <v>45539</v>
      </c>
      <c r="D6" t="s">
        <v>272</v>
      </c>
      <c r="E6" t="s">
        <v>273</v>
      </c>
      <c r="F6" t="s">
        <v>23</v>
      </c>
      <c r="G6" t="s">
        <v>35</v>
      </c>
      <c r="H6" t="s">
        <v>258</v>
      </c>
      <c r="I6" t="s">
        <v>134</v>
      </c>
      <c r="J6" t="s">
        <v>135</v>
      </c>
      <c r="K6" t="s">
        <v>27</v>
      </c>
      <c r="L6">
        <v>4</v>
      </c>
      <c r="M6">
        <v>6000</v>
      </c>
      <c r="N6">
        <v>5</v>
      </c>
      <c r="O6">
        <v>22800</v>
      </c>
      <c r="P6">
        <v>3925.94</v>
      </c>
      <c r="Q6" t="s">
        <v>156</v>
      </c>
      <c r="R6" t="s">
        <v>49</v>
      </c>
      <c r="S6" t="s">
        <v>30</v>
      </c>
      <c r="T6">
        <f>YEAR(Table1_1[[#This Row],[order_date]])</f>
        <v>2024</v>
      </c>
      <c r="U6">
        <f>MONTH(Table1_1[[#This Row],[order_date]])</f>
        <v>8</v>
      </c>
      <c r="V6" t="str">
        <f>TEXT(Table1_1[[#This Row],[order_date]],"mmm")</f>
        <v>Aug</v>
      </c>
      <c r="W6" t="str">
        <f>"Q"&amp;ROUNDUP(MONTH(Table1_1[[#This Row],[order_date]])/3,0)</f>
        <v>Q3</v>
      </c>
      <c r="X6" t="str">
        <f>TEXT(Table1_1[[#This Row],[order_date]],"yyyy-mm")</f>
        <v>2024-08</v>
      </c>
      <c r="Y6">
        <f>IF(Table1_1[[#This Row],[ship_date]]="","",Table1_1[[#This Row],[ship_date]]-Table1_1[[#This Row],[order_date]])</f>
        <v>8</v>
      </c>
      <c r="Z6">
        <f>ROUND(Table1_1[[#This Row],[profit]]/Table1_1[[#This Row],[sales_fix]]*100,2)</f>
        <v>17.22</v>
      </c>
    </row>
    <row r="7" spans="1:26" x14ac:dyDescent="0.3">
      <c r="A7" t="s">
        <v>2167</v>
      </c>
      <c r="B7" s="1">
        <v>45329</v>
      </c>
      <c r="C7" s="1">
        <v>45331</v>
      </c>
      <c r="D7" t="s">
        <v>1609</v>
      </c>
      <c r="E7" t="s">
        <v>1610</v>
      </c>
      <c r="F7" t="s">
        <v>55</v>
      </c>
      <c r="G7" t="s">
        <v>44</v>
      </c>
      <c r="H7" t="s">
        <v>24</v>
      </c>
      <c r="I7" t="s">
        <v>147</v>
      </c>
      <c r="J7" t="s">
        <v>148</v>
      </c>
      <c r="K7" t="s">
        <v>48</v>
      </c>
      <c r="L7">
        <v>1</v>
      </c>
      <c r="M7">
        <v>250</v>
      </c>
      <c r="N7">
        <v>10</v>
      </c>
      <c r="O7">
        <v>225</v>
      </c>
      <c r="P7">
        <v>74.95</v>
      </c>
      <c r="Q7" t="s">
        <v>28</v>
      </c>
      <c r="R7" t="s">
        <v>29</v>
      </c>
      <c r="S7" t="s">
        <v>194</v>
      </c>
      <c r="T7">
        <f>YEAR(Table1_1[[#This Row],[order_date]])</f>
        <v>2024</v>
      </c>
      <c r="U7">
        <f>MONTH(Table1_1[[#This Row],[order_date]])</f>
        <v>2</v>
      </c>
      <c r="V7" t="str">
        <f>TEXT(Table1_1[[#This Row],[order_date]],"mmm")</f>
        <v>Feb</v>
      </c>
      <c r="W7" t="str">
        <f>"Q"&amp;ROUNDUP(MONTH(Table1_1[[#This Row],[order_date]])/3,0)</f>
        <v>Q1</v>
      </c>
      <c r="X7" t="str">
        <f>TEXT(Table1_1[[#This Row],[order_date]],"yyyy-mm")</f>
        <v>2024-02</v>
      </c>
      <c r="Y7">
        <f>IF(Table1_1[[#This Row],[ship_date]]="","",Table1_1[[#This Row],[ship_date]]-Table1_1[[#This Row],[order_date]])</f>
        <v>2</v>
      </c>
      <c r="Z7">
        <f>ROUND(Table1_1[[#This Row],[profit]]/Table1_1[[#This Row],[sales_fix]]*100,2)</f>
        <v>33.31</v>
      </c>
    </row>
    <row r="8" spans="1:26" x14ac:dyDescent="0.3">
      <c r="A8" t="s">
        <v>1972</v>
      </c>
      <c r="B8" s="1">
        <v>45439</v>
      </c>
      <c r="C8" s="1">
        <v>45441</v>
      </c>
      <c r="D8" t="s">
        <v>509</v>
      </c>
      <c r="E8" t="s">
        <v>510</v>
      </c>
      <c r="F8" t="s">
        <v>23</v>
      </c>
      <c r="G8" t="s">
        <v>91</v>
      </c>
      <c r="H8" t="s">
        <v>120</v>
      </c>
      <c r="I8" t="s">
        <v>114</v>
      </c>
      <c r="J8" t="s">
        <v>115</v>
      </c>
      <c r="K8" t="s">
        <v>65</v>
      </c>
      <c r="L8">
        <v>2</v>
      </c>
      <c r="M8">
        <v>55000</v>
      </c>
      <c r="N8">
        <v>15</v>
      </c>
      <c r="O8">
        <v>93500</v>
      </c>
      <c r="P8">
        <v>18310.75</v>
      </c>
      <c r="Q8" t="s">
        <v>28</v>
      </c>
      <c r="R8" t="s">
        <v>49</v>
      </c>
      <c r="S8" t="s">
        <v>110</v>
      </c>
      <c r="T8">
        <f>YEAR(Table1_1[[#This Row],[order_date]])</f>
        <v>2024</v>
      </c>
      <c r="U8">
        <f>MONTH(Table1_1[[#This Row],[order_date]])</f>
        <v>5</v>
      </c>
      <c r="V8" t="str">
        <f>TEXT(Table1_1[[#This Row],[order_date]],"mmm")</f>
        <v>May</v>
      </c>
      <c r="W8" t="str">
        <f>"Q"&amp;ROUNDUP(MONTH(Table1_1[[#This Row],[order_date]])/3,0)</f>
        <v>Q2</v>
      </c>
      <c r="X8" t="str">
        <f>TEXT(Table1_1[[#This Row],[order_date]],"yyyy-mm")</f>
        <v>2024-05</v>
      </c>
      <c r="Y8">
        <f>IF(Table1_1[[#This Row],[ship_date]]="","",Table1_1[[#This Row],[ship_date]]-Table1_1[[#This Row],[order_date]])</f>
        <v>2</v>
      </c>
      <c r="Z8">
        <f>ROUND(Table1_1[[#This Row],[profit]]/Table1_1[[#This Row],[sales_fix]]*100,2)</f>
        <v>19.579999999999998</v>
      </c>
    </row>
    <row r="9" spans="1:26" x14ac:dyDescent="0.3">
      <c r="A9" t="s">
        <v>1473</v>
      </c>
      <c r="B9" s="1">
        <v>45374</v>
      </c>
      <c r="C9" s="1">
        <v>45381</v>
      </c>
      <c r="D9" t="s">
        <v>609</v>
      </c>
      <c r="E9" t="s">
        <v>610</v>
      </c>
      <c r="F9" t="s">
        <v>23</v>
      </c>
      <c r="G9" t="s">
        <v>44</v>
      </c>
      <c r="H9" t="s">
        <v>155</v>
      </c>
      <c r="I9" t="s">
        <v>126</v>
      </c>
      <c r="J9" t="s">
        <v>127</v>
      </c>
      <c r="K9" t="s">
        <v>95</v>
      </c>
      <c r="L9">
        <v>4</v>
      </c>
      <c r="M9">
        <v>600</v>
      </c>
      <c r="N9">
        <v>20</v>
      </c>
      <c r="O9">
        <v>1920</v>
      </c>
      <c r="P9">
        <v>707.52</v>
      </c>
      <c r="Q9" t="s">
        <v>74</v>
      </c>
      <c r="R9" t="s">
        <v>441</v>
      </c>
      <c r="S9" t="s">
        <v>30</v>
      </c>
      <c r="T9">
        <f>YEAR(Table1_1[[#This Row],[order_date]])</f>
        <v>2024</v>
      </c>
      <c r="U9">
        <f>MONTH(Table1_1[[#This Row],[order_date]])</f>
        <v>3</v>
      </c>
      <c r="V9" t="str">
        <f>TEXT(Table1_1[[#This Row],[order_date]],"mmm")</f>
        <v>Mar</v>
      </c>
      <c r="W9" t="str">
        <f>"Q"&amp;ROUNDUP(MONTH(Table1_1[[#This Row],[order_date]])/3,0)</f>
        <v>Q1</v>
      </c>
      <c r="X9" t="str">
        <f>TEXT(Table1_1[[#This Row],[order_date]],"yyyy-mm")</f>
        <v>2024-03</v>
      </c>
      <c r="Y9">
        <f>IF(Table1_1[[#This Row],[ship_date]]="","",Table1_1[[#This Row],[ship_date]]-Table1_1[[#This Row],[order_date]])</f>
        <v>7</v>
      </c>
      <c r="Z9">
        <f>ROUND(Table1_1[[#This Row],[profit]]/Table1_1[[#This Row],[sales_fix]]*100,2)</f>
        <v>36.85</v>
      </c>
    </row>
    <row r="10" spans="1:26" x14ac:dyDescent="0.3">
      <c r="A10" t="s">
        <v>2883</v>
      </c>
      <c r="B10" s="1">
        <v>45924</v>
      </c>
      <c r="C10" s="1">
        <v>45929</v>
      </c>
      <c r="D10" t="s">
        <v>265</v>
      </c>
      <c r="E10" t="s">
        <v>266</v>
      </c>
      <c r="F10" t="s">
        <v>55</v>
      </c>
      <c r="G10" t="s">
        <v>44</v>
      </c>
      <c r="H10" t="s">
        <v>45</v>
      </c>
      <c r="I10" t="s">
        <v>114</v>
      </c>
      <c r="J10" t="s">
        <v>115</v>
      </c>
      <c r="K10" t="s">
        <v>65</v>
      </c>
      <c r="L10">
        <v>1</v>
      </c>
      <c r="M10">
        <v>55000</v>
      </c>
      <c r="N10">
        <v>15</v>
      </c>
      <c r="O10">
        <v>46750</v>
      </c>
      <c r="P10">
        <v>8194.19</v>
      </c>
      <c r="Q10" t="s">
        <v>3113</v>
      </c>
      <c r="R10" t="s">
        <v>56</v>
      </c>
      <c r="S10" t="s">
        <v>86</v>
      </c>
      <c r="T10">
        <f>YEAR(Table1_1[[#This Row],[order_date]])</f>
        <v>2025</v>
      </c>
      <c r="U10">
        <f>MONTH(Table1_1[[#This Row],[order_date]])</f>
        <v>9</v>
      </c>
      <c r="V10" t="str">
        <f>TEXT(Table1_1[[#This Row],[order_date]],"mmm")</f>
        <v>Sep</v>
      </c>
      <c r="W10" t="str">
        <f>"Q"&amp;ROUNDUP(MONTH(Table1_1[[#This Row],[order_date]])/3,0)</f>
        <v>Q3</v>
      </c>
      <c r="X10" t="str">
        <f>TEXT(Table1_1[[#This Row],[order_date]],"yyyy-mm")</f>
        <v>2025-09</v>
      </c>
      <c r="Y10">
        <f>IF(Table1_1[[#This Row],[ship_date]]="","",Table1_1[[#This Row],[ship_date]]-Table1_1[[#This Row],[order_date]])</f>
        <v>5</v>
      </c>
      <c r="Z10">
        <f>ROUND(Table1_1[[#This Row],[profit]]/Table1_1[[#This Row],[sales_fix]]*100,2)</f>
        <v>17.53</v>
      </c>
    </row>
    <row r="11" spans="1:26" x14ac:dyDescent="0.3">
      <c r="A11" t="s">
        <v>2679</v>
      </c>
      <c r="B11" s="1">
        <v>45940</v>
      </c>
      <c r="C11" s="1">
        <v>45941</v>
      </c>
      <c r="D11" t="s">
        <v>200</v>
      </c>
      <c r="E11" t="s">
        <v>201</v>
      </c>
      <c r="F11" t="s">
        <v>23</v>
      </c>
      <c r="G11" t="s">
        <v>35</v>
      </c>
      <c r="H11" t="s">
        <v>187</v>
      </c>
      <c r="I11" t="s">
        <v>63</v>
      </c>
      <c r="J11" t="s">
        <v>64</v>
      </c>
      <c r="K11" t="s">
        <v>65</v>
      </c>
      <c r="L11">
        <v>1</v>
      </c>
      <c r="M11">
        <v>25000</v>
      </c>
      <c r="N11">
        <v>0</v>
      </c>
      <c r="O11">
        <v>25000</v>
      </c>
      <c r="P11">
        <v>3666</v>
      </c>
      <c r="Q11" t="s">
        <v>3113</v>
      </c>
      <c r="R11" t="s">
        <v>49</v>
      </c>
      <c r="S11" t="s">
        <v>86</v>
      </c>
      <c r="T11">
        <f>YEAR(Table1_1[[#This Row],[order_date]])</f>
        <v>2025</v>
      </c>
      <c r="U11">
        <f>MONTH(Table1_1[[#This Row],[order_date]])</f>
        <v>10</v>
      </c>
      <c r="V11" t="str">
        <f>TEXT(Table1_1[[#This Row],[order_date]],"mmm")</f>
        <v>Oct</v>
      </c>
      <c r="W11" t="str">
        <f>"Q"&amp;ROUNDUP(MONTH(Table1_1[[#This Row],[order_date]])/3,0)</f>
        <v>Q4</v>
      </c>
      <c r="X11" t="str">
        <f>TEXT(Table1_1[[#This Row],[order_date]],"yyyy-mm")</f>
        <v>2025-10</v>
      </c>
      <c r="Y11">
        <f>IF(Table1_1[[#This Row],[ship_date]]="","",Table1_1[[#This Row],[ship_date]]-Table1_1[[#This Row],[order_date]])</f>
        <v>1</v>
      </c>
      <c r="Z11">
        <f>ROUND(Table1_1[[#This Row],[profit]]/Table1_1[[#This Row],[sales_fix]]*100,2)</f>
        <v>14.66</v>
      </c>
    </row>
    <row r="12" spans="1:26" x14ac:dyDescent="0.3">
      <c r="A12" t="s">
        <v>1104</v>
      </c>
      <c r="B12" s="1">
        <v>45675</v>
      </c>
      <c r="C12" s="1">
        <v>45678</v>
      </c>
      <c r="D12" t="s">
        <v>919</v>
      </c>
      <c r="E12" t="s">
        <v>920</v>
      </c>
      <c r="F12" t="s">
        <v>23</v>
      </c>
      <c r="G12" t="s">
        <v>35</v>
      </c>
      <c r="H12" t="s">
        <v>36</v>
      </c>
      <c r="I12" t="s">
        <v>37</v>
      </c>
      <c r="J12" t="s">
        <v>38</v>
      </c>
      <c r="K12" t="s">
        <v>27</v>
      </c>
      <c r="L12">
        <v>2</v>
      </c>
      <c r="M12">
        <v>9500</v>
      </c>
      <c r="N12">
        <v>0</v>
      </c>
      <c r="O12">
        <v>19000</v>
      </c>
      <c r="P12">
        <v>3467.37</v>
      </c>
      <c r="Q12" t="s">
        <v>121</v>
      </c>
      <c r="R12" t="s">
        <v>29</v>
      </c>
      <c r="S12" t="s">
        <v>86</v>
      </c>
      <c r="T12">
        <f>YEAR(Table1_1[[#This Row],[order_date]])</f>
        <v>2025</v>
      </c>
      <c r="U12">
        <f>MONTH(Table1_1[[#This Row],[order_date]])</f>
        <v>1</v>
      </c>
      <c r="V12" t="str">
        <f>TEXT(Table1_1[[#This Row],[order_date]],"mmm")</f>
        <v>Jan</v>
      </c>
      <c r="W12" t="str">
        <f>"Q"&amp;ROUNDUP(MONTH(Table1_1[[#This Row],[order_date]])/3,0)</f>
        <v>Q1</v>
      </c>
      <c r="X12" t="str">
        <f>TEXT(Table1_1[[#This Row],[order_date]],"yyyy-mm")</f>
        <v>2025-01</v>
      </c>
      <c r="Y12">
        <f>IF(Table1_1[[#This Row],[ship_date]]="","",Table1_1[[#This Row],[ship_date]]-Table1_1[[#This Row],[order_date]])</f>
        <v>3</v>
      </c>
      <c r="Z12">
        <f>ROUND(Table1_1[[#This Row],[profit]]/Table1_1[[#This Row],[sales_fix]]*100,2)</f>
        <v>18.25</v>
      </c>
    </row>
    <row r="13" spans="1:26" x14ac:dyDescent="0.3">
      <c r="A13" t="s">
        <v>1527</v>
      </c>
      <c r="B13" s="1">
        <v>45991</v>
      </c>
      <c r="C13" s="1">
        <v>45996</v>
      </c>
      <c r="D13" t="s">
        <v>159</v>
      </c>
      <c r="E13" t="s">
        <v>160</v>
      </c>
      <c r="F13" t="s">
        <v>34</v>
      </c>
      <c r="G13" t="s">
        <v>44</v>
      </c>
      <c r="H13" t="s">
        <v>161</v>
      </c>
      <c r="I13" t="s">
        <v>93</v>
      </c>
      <c r="J13" t="s">
        <v>94</v>
      </c>
      <c r="K13" t="s">
        <v>95</v>
      </c>
      <c r="L13">
        <v>5</v>
      </c>
      <c r="M13">
        <v>1800</v>
      </c>
      <c r="N13">
        <v>0</v>
      </c>
      <c r="O13">
        <v>9000</v>
      </c>
      <c r="P13">
        <v>2497.56</v>
      </c>
      <c r="Q13" t="s">
        <v>28</v>
      </c>
      <c r="R13" t="s">
        <v>49</v>
      </c>
      <c r="S13" t="s">
        <v>86</v>
      </c>
      <c r="T13">
        <f>YEAR(Table1_1[[#This Row],[order_date]])</f>
        <v>2025</v>
      </c>
      <c r="U13">
        <f>MONTH(Table1_1[[#This Row],[order_date]])</f>
        <v>11</v>
      </c>
      <c r="V13" t="str">
        <f>TEXT(Table1_1[[#This Row],[order_date]],"mmm")</f>
        <v>Nov</v>
      </c>
      <c r="W13" t="str">
        <f>"Q"&amp;ROUNDUP(MONTH(Table1_1[[#This Row],[order_date]])/3,0)</f>
        <v>Q4</v>
      </c>
      <c r="X13" t="str">
        <f>TEXT(Table1_1[[#This Row],[order_date]],"yyyy-mm")</f>
        <v>2025-11</v>
      </c>
      <c r="Y13">
        <f>IF(Table1_1[[#This Row],[ship_date]]="","",Table1_1[[#This Row],[ship_date]]-Table1_1[[#This Row],[order_date]])</f>
        <v>5</v>
      </c>
      <c r="Z13">
        <f>ROUND(Table1_1[[#This Row],[profit]]/Table1_1[[#This Row],[sales_fix]]*100,2)</f>
        <v>27.75</v>
      </c>
    </row>
    <row r="14" spans="1:26" x14ac:dyDescent="0.3">
      <c r="A14" t="s">
        <v>2235</v>
      </c>
      <c r="B14" s="1">
        <v>45985</v>
      </c>
      <c r="C14" s="1">
        <v>45990</v>
      </c>
      <c r="D14" t="s">
        <v>1732</v>
      </c>
      <c r="E14" t="s">
        <v>1733</v>
      </c>
      <c r="F14" t="s">
        <v>34</v>
      </c>
      <c r="G14" t="s">
        <v>35</v>
      </c>
      <c r="H14" t="s">
        <v>85</v>
      </c>
      <c r="I14" t="s">
        <v>25</v>
      </c>
      <c r="J14" t="s">
        <v>26</v>
      </c>
      <c r="K14" t="s">
        <v>27</v>
      </c>
      <c r="L14">
        <v>1</v>
      </c>
      <c r="M14">
        <v>7000</v>
      </c>
      <c r="N14">
        <v>0</v>
      </c>
      <c r="O14">
        <v>7000</v>
      </c>
      <c r="P14">
        <v>1686.39</v>
      </c>
      <c r="Q14" t="s">
        <v>156</v>
      </c>
      <c r="R14" t="s">
        <v>49</v>
      </c>
      <c r="S14" t="s">
        <v>110</v>
      </c>
      <c r="T14">
        <f>YEAR(Table1_1[[#This Row],[order_date]])</f>
        <v>2025</v>
      </c>
      <c r="U14">
        <f>MONTH(Table1_1[[#This Row],[order_date]])</f>
        <v>11</v>
      </c>
      <c r="V14" t="str">
        <f>TEXT(Table1_1[[#This Row],[order_date]],"mmm")</f>
        <v>Nov</v>
      </c>
      <c r="W14" t="str">
        <f>"Q"&amp;ROUNDUP(MONTH(Table1_1[[#This Row],[order_date]])/3,0)</f>
        <v>Q4</v>
      </c>
      <c r="X14" t="str">
        <f>TEXT(Table1_1[[#This Row],[order_date]],"yyyy-mm")</f>
        <v>2025-11</v>
      </c>
      <c r="Y14">
        <f>IF(Table1_1[[#This Row],[ship_date]]="","",Table1_1[[#This Row],[ship_date]]-Table1_1[[#This Row],[order_date]])</f>
        <v>5</v>
      </c>
      <c r="Z14">
        <f>ROUND(Table1_1[[#This Row],[profit]]/Table1_1[[#This Row],[sales_fix]]*100,2)</f>
        <v>24.09</v>
      </c>
    </row>
    <row r="15" spans="1:26" x14ac:dyDescent="0.3">
      <c r="A15" t="s">
        <v>2099</v>
      </c>
      <c r="B15" s="1">
        <v>45495</v>
      </c>
      <c r="C15" s="1">
        <v>45499</v>
      </c>
      <c r="D15" t="s">
        <v>509</v>
      </c>
      <c r="E15" t="s">
        <v>510</v>
      </c>
      <c r="F15" t="s">
        <v>23</v>
      </c>
      <c r="G15" t="s">
        <v>91</v>
      </c>
      <c r="H15" t="s">
        <v>120</v>
      </c>
      <c r="I15" t="s">
        <v>25</v>
      </c>
      <c r="J15" t="s">
        <v>26</v>
      </c>
      <c r="K15" t="s">
        <v>27</v>
      </c>
      <c r="L15">
        <v>10</v>
      </c>
      <c r="M15">
        <v>7000</v>
      </c>
      <c r="N15">
        <v>20</v>
      </c>
      <c r="O15">
        <v>56000</v>
      </c>
      <c r="P15">
        <v>11005.25</v>
      </c>
      <c r="Q15" t="s">
        <v>3113</v>
      </c>
      <c r="R15" t="s">
        <v>56</v>
      </c>
      <c r="S15" t="s">
        <v>110</v>
      </c>
      <c r="T15">
        <f>YEAR(Table1_1[[#This Row],[order_date]])</f>
        <v>2024</v>
      </c>
      <c r="U15">
        <f>MONTH(Table1_1[[#This Row],[order_date]])</f>
        <v>7</v>
      </c>
      <c r="V15" t="str">
        <f>TEXT(Table1_1[[#This Row],[order_date]],"mmm")</f>
        <v>Jul</v>
      </c>
      <c r="W15" t="str">
        <f>"Q"&amp;ROUNDUP(MONTH(Table1_1[[#This Row],[order_date]])/3,0)</f>
        <v>Q3</v>
      </c>
      <c r="X15" t="str">
        <f>TEXT(Table1_1[[#This Row],[order_date]],"yyyy-mm")</f>
        <v>2024-07</v>
      </c>
      <c r="Y15">
        <f>IF(Table1_1[[#This Row],[ship_date]]="","",Table1_1[[#This Row],[ship_date]]-Table1_1[[#This Row],[order_date]])</f>
        <v>4</v>
      </c>
      <c r="Z15">
        <f>ROUND(Table1_1[[#This Row],[profit]]/Table1_1[[#This Row],[sales_fix]]*100,2)</f>
        <v>19.649999999999999</v>
      </c>
    </row>
    <row r="16" spans="1:26" x14ac:dyDescent="0.3">
      <c r="A16" t="s">
        <v>1499</v>
      </c>
      <c r="B16" s="1">
        <v>46008</v>
      </c>
      <c r="C16" s="1">
        <v>46009</v>
      </c>
      <c r="D16" t="s">
        <v>477</v>
      </c>
      <c r="E16" t="s">
        <v>478</v>
      </c>
      <c r="F16" t="s">
        <v>34</v>
      </c>
      <c r="G16" t="s">
        <v>44</v>
      </c>
      <c r="H16" t="s">
        <v>161</v>
      </c>
      <c r="I16" t="s">
        <v>25</v>
      </c>
      <c r="J16" t="s">
        <v>26</v>
      </c>
      <c r="K16" t="s">
        <v>27</v>
      </c>
      <c r="L16">
        <v>10</v>
      </c>
      <c r="M16">
        <v>7000</v>
      </c>
      <c r="N16">
        <v>15</v>
      </c>
      <c r="O16">
        <v>59500</v>
      </c>
      <c r="P16">
        <v>11235.44</v>
      </c>
      <c r="Q16" t="s">
        <v>39</v>
      </c>
      <c r="R16" t="s">
        <v>56</v>
      </c>
      <c r="S16" t="s">
        <v>86</v>
      </c>
      <c r="T16">
        <f>YEAR(Table1_1[[#This Row],[order_date]])</f>
        <v>2025</v>
      </c>
      <c r="U16">
        <f>MONTH(Table1_1[[#This Row],[order_date]])</f>
        <v>12</v>
      </c>
      <c r="V16" t="str">
        <f>TEXT(Table1_1[[#This Row],[order_date]],"mmm")</f>
        <v>Dec</v>
      </c>
      <c r="W16" t="str">
        <f>"Q"&amp;ROUNDUP(MONTH(Table1_1[[#This Row],[order_date]])/3,0)</f>
        <v>Q4</v>
      </c>
      <c r="X16" t="str">
        <f>TEXT(Table1_1[[#This Row],[order_date]],"yyyy-mm")</f>
        <v>2025-12</v>
      </c>
      <c r="Y16">
        <f>IF(Table1_1[[#This Row],[ship_date]]="","",Table1_1[[#This Row],[ship_date]]-Table1_1[[#This Row],[order_date]])</f>
        <v>1</v>
      </c>
      <c r="Z16">
        <f>ROUND(Table1_1[[#This Row],[profit]]/Table1_1[[#This Row],[sales_fix]]*100,2)</f>
        <v>18.88</v>
      </c>
    </row>
    <row r="17" spans="1:26" x14ac:dyDescent="0.3">
      <c r="A17" t="s">
        <v>627</v>
      </c>
      <c r="B17" s="1">
        <v>45527</v>
      </c>
      <c r="C17" s="1">
        <v>45531</v>
      </c>
      <c r="D17" t="s">
        <v>628</v>
      </c>
      <c r="E17" t="s">
        <v>629</v>
      </c>
      <c r="F17" t="s">
        <v>55</v>
      </c>
      <c r="G17" t="s">
        <v>91</v>
      </c>
      <c r="H17" t="s">
        <v>120</v>
      </c>
      <c r="I17" t="s">
        <v>25</v>
      </c>
      <c r="J17" t="s">
        <v>26</v>
      </c>
      <c r="K17" t="s">
        <v>27</v>
      </c>
      <c r="L17">
        <v>2</v>
      </c>
      <c r="M17">
        <v>7000</v>
      </c>
      <c r="N17">
        <v>0</v>
      </c>
      <c r="O17">
        <v>14000</v>
      </c>
      <c r="P17">
        <v>2425.81</v>
      </c>
      <c r="Q17" t="s">
        <v>3113</v>
      </c>
      <c r="R17" t="s">
        <v>49</v>
      </c>
      <c r="S17" t="s">
        <v>50</v>
      </c>
      <c r="T17">
        <f>YEAR(Table1_1[[#This Row],[order_date]])</f>
        <v>2024</v>
      </c>
      <c r="U17">
        <f>MONTH(Table1_1[[#This Row],[order_date]])</f>
        <v>8</v>
      </c>
      <c r="V17" t="str">
        <f>TEXT(Table1_1[[#This Row],[order_date]],"mmm")</f>
        <v>Aug</v>
      </c>
      <c r="W17" t="str">
        <f>"Q"&amp;ROUNDUP(MONTH(Table1_1[[#This Row],[order_date]])/3,0)</f>
        <v>Q3</v>
      </c>
      <c r="X17" t="str">
        <f>TEXT(Table1_1[[#This Row],[order_date]],"yyyy-mm")</f>
        <v>2024-08</v>
      </c>
      <c r="Y17">
        <f>IF(Table1_1[[#This Row],[ship_date]]="","",Table1_1[[#This Row],[ship_date]]-Table1_1[[#This Row],[order_date]])</f>
        <v>4</v>
      </c>
      <c r="Z17">
        <f>ROUND(Table1_1[[#This Row],[profit]]/Table1_1[[#This Row],[sales_fix]]*100,2)</f>
        <v>17.329999999999998</v>
      </c>
    </row>
    <row r="18" spans="1:26" x14ac:dyDescent="0.3">
      <c r="A18" t="s">
        <v>2631</v>
      </c>
      <c r="B18" s="1">
        <v>45953</v>
      </c>
      <c r="C18" s="1">
        <v>45956</v>
      </c>
      <c r="D18" t="s">
        <v>203</v>
      </c>
      <c r="E18" t="s">
        <v>204</v>
      </c>
      <c r="F18" t="s">
        <v>23</v>
      </c>
      <c r="G18" t="s">
        <v>44</v>
      </c>
      <c r="H18" t="s">
        <v>45</v>
      </c>
      <c r="I18" t="s">
        <v>126</v>
      </c>
      <c r="J18" t="s">
        <v>127</v>
      </c>
      <c r="K18" t="s">
        <v>95</v>
      </c>
      <c r="L18">
        <v>3</v>
      </c>
      <c r="M18">
        <v>600</v>
      </c>
      <c r="N18">
        <v>0</v>
      </c>
      <c r="O18">
        <v>1800</v>
      </c>
      <c r="P18">
        <v>684</v>
      </c>
      <c r="Q18" t="s">
        <v>66</v>
      </c>
      <c r="R18" t="s">
        <v>49</v>
      </c>
      <c r="S18" t="s">
        <v>110</v>
      </c>
      <c r="T18">
        <f>YEAR(Table1_1[[#This Row],[order_date]])</f>
        <v>2025</v>
      </c>
      <c r="U18">
        <f>MONTH(Table1_1[[#This Row],[order_date]])</f>
        <v>10</v>
      </c>
      <c r="V18" t="str">
        <f>TEXT(Table1_1[[#This Row],[order_date]],"mmm")</f>
        <v>Oct</v>
      </c>
      <c r="W18" t="str">
        <f>"Q"&amp;ROUNDUP(MONTH(Table1_1[[#This Row],[order_date]])/3,0)</f>
        <v>Q4</v>
      </c>
      <c r="X18" t="str">
        <f>TEXT(Table1_1[[#This Row],[order_date]],"yyyy-mm")</f>
        <v>2025-10</v>
      </c>
      <c r="Y18">
        <f>IF(Table1_1[[#This Row],[ship_date]]="","",Table1_1[[#This Row],[ship_date]]-Table1_1[[#This Row],[order_date]])</f>
        <v>3</v>
      </c>
      <c r="Z18">
        <f>ROUND(Table1_1[[#This Row],[profit]]/Table1_1[[#This Row],[sales_fix]]*100,2)</f>
        <v>38</v>
      </c>
    </row>
    <row r="19" spans="1:26" x14ac:dyDescent="0.3">
      <c r="A19" t="s">
        <v>3095</v>
      </c>
      <c r="B19" s="1">
        <v>45497</v>
      </c>
      <c r="C19" s="1">
        <v>45503</v>
      </c>
      <c r="D19" t="s">
        <v>520</v>
      </c>
      <c r="E19" t="s">
        <v>521</v>
      </c>
      <c r="F19" t="s">
        <v>23</v>
      </c>
      <c r="G19" t="s">
        <v>91</v>
      </c>
      <c r="H19" t="s">
        <v>109</v>
      </c>
      <c r="I19" t="s">
        <v>79</v>
      </c>
      <c r="J19" t="s">
        <v>80</v>
      </c>
      <c r="K19" t="s">
        <v>65</v>
      </c>
      <c r="L19">
        <v>1</v>
      </c>
      <c r="M19">
        <v>3000</v>
      </c>
      <c r="N19">
        <v>10</v>
      </c>
      <c r="O19">
        <v>2700</v>
      </c>
      <c r="P19">
        <v>810</v>
      </c>
      <c r="Q19" t="s">
        <v>39</v>
      </c>
      <c r="R19" t="s">
        <v>56</v>
      </c>
      <c r="S19" t="s">
        <v>110</v>
      </c>
      <c r="T19">
        <f>YEAR(Table1_1[[#This Row],[order_date]])</f>
        <v>2024</v>
      </c>
      <c r="U19">
        <f>MONTH(Table1_1[[#This Row],[order_date]])</f>
        <v>7</v>
      </c>
      <c r="V19" t="str">
        <f>TEXT(Table1_1[[#This Row],[order_date]],"mmm")</f>
        <v>Jul</v>
      </c>
      <c r="W19" t="str">
        <f>"Q"&amp;ROUNDUP(MONTH(Table1_1[[#This Row],[order_date]])/3,0)</f>
        <v>Q3</v>
      </c>
      <c r="X19" t="str">
        <f>TEXT(Table1_1[[#This Row],[order_date]],"yyyy-mm")</f>
        <v>2024-07</v>
      </c>
      <c r="Y19">
        <f>IF(Table1_1[[#This Row],[ship_date]]="","",Table1_1[[#This Row],[ship_date]]-Table1_1[[#This Row],[order_date]])</f>
        <v>6</v>
      </c>
      <c r="Z19">
        <f>ROUND(Table1_1[[#This Row],[profit]]/Table1_1[[#This Row],[sales_fix]]*100,2)</f>
        <v>30</v>
      </c>
    </row>
    <row r="20" spans="1:26" x14ac:dyDescent="0.3">
      <c r="A20" t="s">
        <v>2146</v>
      </c>
      <c r="B20" s="1">
        <v>45785</v>
      </c>
      <c r="C20" s="1">
        <v>45791</v>
      </c>
      <c r="D20" t="s">
        <v>1132</v>
      </c>
      <c r="E20" t="s">
        <v>1133</v>
      </c>
      <c r="F20" t="s">
        <v>34</v>
      </c>
      <c r="G20" t="s">
        <v>91</v>
      </c>
      <c r="H20" t="s">
        <v>177</v>
      </c>
      <c r="I20" t="s">
        <v>25</v>
      </c>
      <c r="J20" t="s">
        <v>26</v>
      </c>
      <c r="K20" t="s">
        <v>27</v>
      </c>
      <c r="L20">
        <v>10</v>
      </c>
      <c r="M20">
        <v>7000</v>
      </c>
      <c r="N20">
        <v>0</v>
      </c>
      <c r="O20">
        <v>70000</v>
      </c>
      <c r="P20">
        <v>15378.81</v>
      </c>
      <c r="Q20" t="s">
        <v>66</v>
      </c>
      <c r="R20" t="s">
        <v>49</v>
      </c>
      <c r="S20" t="s">
        <v>86</v>
      </c>
      <c r="T20">
        <f>YEAR(Table1_1[[#This Row],[order_date]])</f>
        <v>2025</v>
      </c>
      <c r="U20">
        <f>MONTH(Table1_1[[#This Row],[order_date]])</f>
        <v>5</v>
      </c>
      <c r="V20" t="str">
        <f>TEXT(Table1_1[[#This Row],[order_date]],"mmm")</f>
        <v>May</v>
      </c>
      <c r="W20" t="str">
        <f>"Q"&amp;ROUNDUP(MONTH(Table1_1[[#This Row],[order_date]])/3,0)</f>
        <v>Q2</v>
      </c>
      <c r="X20" t="str">
        <f>TEXT(Table1_1[[#This Row],[order_date]],"yyyy-mm")</f>
        <v>2025-05</v>
      </c>
      <c r="Y20">
        <f>IF(Table1_1[[#This Row],[ship_date]]="","",Table1_1[[#This Row],[ship_date]]-Table1_1[[#This Row],[order_date]])</f>
        <v>6</v>
      </c>
      <c r="Z20">
        <f>ROUND(Table1_1[[#This Row],[profit]]/Table1_1[[#This Row],[sales_fix]]*100,2)</f>
        <v>21.97</v>
      </c>
    </row>
    <row r="21" spans="1:26" x14ac:dyDescent="0.3">
      <c r="A21" t="s">
        <v>1247</v>
      </c>
      <c r="B21" s="1">
        <v>45984</v>
      </c>
      <c r="C21" s="1">
        <v>45990</v>
      </c>
      <c r="D21" t="s">
        <v>657</v>
      </c>
      <c r="E21" t="s">
        <v>658</v>
      </c>
      <c r="F21" t="s">
        <v>34</v>
      </c>
      <c r="G21" t="s">
        <v>91</v>
      </c>
      <c r="H21" t="s">
        <v>120</v>
      </c>
      <c r="I21" t="s">
        <v>103</v>
      </c>
      <c r="J21" t="s">
        <v>104</v>
      </c>
      <c r="K21" t="s">
        <v>65</v>
      </c>
      <c r="L21">
        <v>10</v>
      </c>
      <c r="M21">
        <v>8000</v>
      </c>
      <c r="N21">
        <v>20</v>
      </c>
      <c r="O21">
        <v>64000</v>
      </c>
      <c r="P21">
        <v>16349.36</v>
      </c>
      <c r="Q21" t="s">
        <v>66</v>
      </c>
      <c r="R21" t="s">
        <v>49</v>
      </c>
      <c r="S21" t="s">
        <v>86</v>
      </c>
      <c r="T21">
        <f>YEAR(Table1_1[[#This Row],[order_date]])</f>
        <v>2025</v>
      </c>
      <c r="U21">
        <f>MONTH(Table1_1[[#This Row],[order_date]])</f>
        <v>11</v>
      </c>
      <c r="V21" t="str">
        <f>TEXT(Table1_1[[#This Row],[order_date]],"mmm")</f>
        <v>Nov</v>
      </c>
      <c r="W21" t="str">
        <f>"Q"&amp;ROUNDUP(MONTH(Table1_1[[#This Row],[order_date]])/3,0)</f>
        <v>Q4</v>
      </c>
      <c r="X21" t="str">
        <f>TEXT(Table1_1[[#This Row],[order_date]],"yyyy-mm")</f>
        <v>2025-11</v>
      </c>
      <c r="Y21">
        <f>IF(Table1_1[[#This Row],[ship_date]]="","",Table1_1[[#This Row],[ship_date]]-Table1_1[[#This Row],[order_date]])</f>
        <v>6</v>
      </c>
      <c r="Z21">
        <f>ROUND(Table1_1[[#This Row],[profit]]/Table1_1[[#This Row],[sales_fix]]*100,2)</f>
        <v>25.55</v>
      </c>
    </row>
    <row r="22" spans="1:26" x14ac:dyDescent="0.3">
      <c r="A22" t="s">
        <v>1919</v>
      </c>
      <c r="B22" s="1">
        <v>45418</v>
      </c>
      <c r="C22" s="1">
        <v>45423</v>
      </c>
      <c r="D22" t="s">
        <v>413</v>
      </c>
      <c r="E22" t="s">
        <v>414</v>
      </c>
      <c r="F22" t="s">
        <v>55</v>
      </c>
      <c r="G22" t="s">
        <v>91</v>
      </c>
      <c r="H22" t="s">
        <v>120</v>
      </c>
      <c r="I22" t="s">
        <v>46</v>
      </c>
      <c r="J22" t="s">
        <v>47</v>
      </c>
      <c r="K22" t="s">
        <v>48</v>
      </c>
      <c r="L22">
        <v>2</v>
      </c>
      <c r="M22">
        <v>180</v>
      </c>
      <c r="N22">
        <v>15</v>
      </c>
      <c r="O22">
        <v>306</v>
      </c>
      <c r="P22">
        <v>137.65</v>
      </c>
      <c r="Q22" t="s">
        <v>39</v>
      </c>
      <c r="R22" t="s">
        <v>49</v>
      </c>
      <c r="S22" t="s">
        <v>110</v>
      </c>
      <c r="T22">
        <f>YEAR(Table1_1[[#This Row],[order_date]])</f>
        <v>2024</v>
      </c>
      <c r="U22">
        <f>MONTH(Table1_1[[#This Row],[order_date]])</f>
        <v>5</v>
      </c>
      <c r="V22" t="str">
        <f>TEXT(Table1_1[[#This Row],[order_date]],"mmm")</f>
        <v>May</v>
      </c>
      <c r="W22" t="str">
        <f>"Q"&amp;ROUNDUP(MONTH(Table1_1[[#This Row],[order_date]])/3,0)</f>
        <v>Q2</v>
      </c>
      <c r="X22" t="str">
        <f>TEXT(Table1_1[[#This Row],[order_date]],"yyyy-mm")</f>
        <v>2024-05</v>
      </c>
      <c r="Y22">
        <f>IF(Table1_1[[#This Row],[ship_date]]="","",Table1_1[[#This Row],[ship_date]]-Table1_1[[#This Row],[order_date]])</f>
        <v>5</v>
      </c>
      <c r="Z22">
        <f>ROUND(Table1_1[[#This Row],[profit]]/Table1_1[[#This Row],[sales_fix]]*100,2)</f>
        <v>44.98</v>
      </c>
    </row>
    <row r="23" spans="1:26" x14ac:dyDescent="0.3">
      <c r="A23" t="s">
        <v>2238</v>
      </c>
      <c r="B23" s="1">
        <v>45531</v>
      </c>
      <c r="C23" s="1">
        <v>45537</v>
      </c>
      <c r="D23" t="s">
        <v>172</v>
      </c>
      <c r="E23" t="s">
        <v>173</v>
      </c>
      <c r="F23" t="s">
        <v>55</v>
      </c>
      <c r="G23" t="s">
        <v>91</v>
      </c>
      <c r="H23" t="s">
        <v>177</v>
      </c>
      <c r="I23" t="s">
        <v>126</v>
      </c>
      <c r="J23" t="s">
        <v>127</v>
      </c>
      <c r="K23" t="s">
        <v>95</v>
      </c>
      <c r="L23">
        <v>2</v>
      </c>
      <c r="M23">
        <v>600</v>
      </c>
      <c r="N23">
        <v>10</v>
      </c>
      <c r="O23">
        <v>1080</v>
      </c>
      <c r="P23">
        <v>432.44</v>
      </c>
      <c r="Q23" t="s">
        <v>39</v>
      </c>
      <c r="R23" t="s">
        <v>29</v>
      </c>
      <c r="S23" t="s">
        <v>86</v>
      </c>
      <c r="T23">
        <f>YEAR(Table1_1[[#This Row],[order_date]])</f>
        <v>2024</v>
      </c>
      <c r="U23">
        <f>MONTH(Table1_1[[#This Row],[order_date]])</f>
        <v>8</v>
      </c>
      <c r="V23" t="str">
        <f>TEXT(Table1_1[[#This Row],[order_date]],"mmm")</f>
        <v>Aug</v>
      </c>
      <c r="W23" t="str">
        <f>"Q"&amp;ROUNDUP(MONTH(Table1_1[[#This Row],[order_date]])/3,0)</f>
        <v>Q3</v>
      </c>
      <c r="X23" t="str">
        <f>TEXT(Table1_1[[#This Row],[order_date]],"yyyy-mm")</f>
        <v>2024-08</v>
      </c>
      <c r="Y23">
        <f>IF(Table1_1[[#This Row],[ship_date]]="","",Table1_1[[#This Row],[ship_date]]-Table1_1[[#This Row],[order_date]])</f>
        <v>6</v>
      </c>
      <c r="Z23">
        <f>ROUND(Table1_1[[#This Row],[profit]]/Table1_1[[#This Row],[sales_fix]]*100,2)</f>
        <v>40.04</v>
      </c>
    </row>
    <row r="24" spans="1:26" x14ac:dyDescent="0.3">
      <c r="A24" t="s">
        <v>2998</v>
      </c>
      <c r="B24" s="1">
        <v>45601</v>
      </c>
      <c r="C24" s="1">
        <v>45606</v>
      </c>
      <c r="D24" t="s">
        <v>406</v>
      </c>
      <c r="E24" t="s">
        <v>407</v>
      </c>
      <c r="F24" t="s">
        <v>55</v>
      </c>
      <c r="G24" t="s">
        <v>91</v>
      </c>
      <c r="H24" t="s">
        <v>120</v>
      </c>
      <c r="I24" t="s">
        <v>71</v>
      </c>
      <c r="J24" t="s">
        <v>72</v>
      </c>
      <c r="K24" t="s">
        <v>73</v>
      </c>
      <c r="L24">
        <v>1</v>
      </c>
      <c r="M24">
        <v>3500</v>
      </c>
      <c r="N24">
        <v>0</v>
      </c>
      <c r="O24">
        <v>3500</v>
      </c>
      <c r="P24">
        <v>1207.93</v>
      </c>
      <c r="Q24" t="s">
        <v>28</v>
      </c>
      <c r="R24" t="s">
        <v>29</v>
      </c>
      <c r="S24" t="s">
        <v>86</v>
      </c>
      <c r="T24">
        <f>YEAR(Table1_1[[#This Row],[order_date]])</f>
        <v>2024</v>
      </c>
      <c r="U24">
        <f>MONTH(Table1_1[[#This Row],[order_date]])</f>
        <v>11</v>
      </c>
      <c r="V24" t="str">
        <f>TEXT(Table1_1[[#This Row],[order_date]],"mmm")</f>
        <v>Nov</v>
      </c>
      <c r="W24" t="str">
        <f>"Q"&amp;ROUNDUP(MONTH(Table1_1[[#This Row],[order_date]])/3,0)</f>
        <v>Q4</v>
      </c>
      <c r="X24" t="str">
        <f>TEXT(Table1_1[[#This Row],[order_date]],"yyyy-mm")</f>
        <v>2024-11</v>
      </c>
      <c r="Y24">
        <f>IF(Table1_1[[#This Row],[ship_date]]="","",Table1_1[[#This Row],[ship_date]]-Table1_1[[#This Row],[order_date]])</f>
        <v>5</v>
      </c>
      <c r="Z24">
        <f>ROUND(Table1_1[[#This Row],[profit]]/Table1_1[[#This Row],[sales_fix]]*100,2)</f>
        <v>34.51</v>
      </c>
    </row>
    <row r="25" spans="1:26" x14ac:dyDescent="0.3">
      <c r="A25" t="s">
        <v>1033</v>
      </c>
      <c r="B25" s="1">
        <v>45430</v>
      </c>
      <c r="C25" s="1">
        <v>45437</v>
      </c>
      <c r="D25" t="s">
        <v>973</v>
      </c>
      <c r="E25" t="s">
        <v>974</v>
      </c>
      <c r="F25" t="s">
        <v>34</v>
      </c>
      <c r="G25" t="s">
        <v>91</v>
      </c>
      <c r="H25" t="s">
        <v>177</v>
      </c>
      <c r="I25" t="s">
        <v>46</v>
      </c>
      <c r="J25" t="s">
        <v>47</v>
      </c>
      <c r="K25" t="s">
        <v>48</v>
      </c>
      <c r="L25">
        <v>1</v>
      </c>
      <c r="M25">
        <v>180</v>
      </c>
      <c r="N25">
        <v>0</v>
      </c>
      <c r="O25">
        <v>180</v>
      </c>
      <c r="P25">
        <v>78.42</v>
      </c>
      <c r="Q25" t="s">
        <v>39</v>
      </c>
      <c r="R25" t="s">
        <v>56</v>
      </c>
      <c r="S25" t="s">
        <v>50</v>
      </c>
      <c r="T25">
        <f>YEAR(Table1_1[[#This Row],[order_date]])</f>
        <v>2024</v>
      </c>
      <c r="U25">
        <f>MONTH(Table1_1[[#This Row],[order_date]])</f>
        <v>5</v>
      </c>
      <c r="V25" t="str">
        <f>TEXT(Table1_1[[#This Row],[order_date]],"mmm")</f>
        <v>May</v>
      </c>
      <c r="W25" t="str">
        <f>"Q"&amp;ROUNDUP(MONTH(Table1_1[[#This Row],[order_date]])/3,0)</f>
        <v>Q2</v>
      </c>
      <c r="X25" t="str">
        <f>TEXT(Table1_1[[#This Row],[order_date]],"yyyy-mm")</f>
        <v>2024-05</v>
      </c>
      <c r="Y25">
        <f>IF(Table1_1[[#This Row],[ship_date]]="","",Table1_1[[#This Row],[ship_date]]-Table1_1[[#This Row],[order_date]])</f>
        <v>7</v>
      </c>
      <c r="Z25">
        <f>ROUND(Table1_1[[#This Row],[profit]]/Table1_1[[#This Row],[sales_fix]]*100,2)</f>
        <v>43.57</v>
      </c>
    </row>
    <row r="26" spans="1:26" x14ac:dyDescent="0.3">
      <c r="A26" t="s">
        <v>898</v>
      </c>
      <c r="B26" s="1">
        <v>45393</v>
      </c>
      <c r="C26" s="1">
        <v>45398</v>
      </c>
      <c r="D26" t="s">
        <v>520</v>
      </c>
      <c r="E26" t="s">
        <v>521</v>
      </c>
      <c r="F26" t="s">
        <v>23</v>
      </c>
      <c r="G26" t="s">
        <v>91</v>
      </c>
      <c r="H26" t="s">
        <v>109</v>
      </c>
      <c r="I26" t="s">
        <v>126</v>
      </c>
      <c r="J26" t="s">
        <v>127</v>
      </c>
      <c r="K26" t="s">
        <v>95</v>
      </c>
      <c r="L26">
        <v>4</v>
      </c>
      <c r="M26">
        <v>600</v>
      </c>
      <c r="N26">
        <v>10</v>
      </c>
      <c r="O26">
        <v>2160</v>
      </c>
      <c r="P26">
        <v>708.55</v>
      </c>
      <c r="Q26" t="s">
        <v>66</v>
      </c>
      <c r="R26" t="s">
        <v>56</v>
      </c>
      <c r="S26" t="s">
        <v>110</v>
      </c>
      <c r="T26">
        <f>YEAR(Table1_1[[#This Row],[order_date]])</f>
        <v>2024</v>
      </c>
      <c r="U26">
        <f>MONTH(Table1_1[[#This Row],[order_date]])</f>
        <v>4</v>
      </c>
      <c r="V26" t="str">
        <f>TEXT(Table1_1[[#This Row],[order_date]],"mmm")</f>
        <v>Apr</v>
      </c>
      <c r="W26" t="str">
        <f>"Q"&amp;ROUNDUP(MONTH(Table1_1[[#This Row],[order_date]])/3,0)</f>
        <v>Q2</v>
      </c>
      <c r="X26" t="str">
        <f>TEXT(Table1_1[[#This Row],[order_date]],"yyyy-mm")</f>
        <v>2024-04</v>
      </c>
      <c r="Y26">
        <f>IF(Table1_1[[#This Row],[ship_date]]="","",Table1_1[[#This Row],[ship_date]]-Table1_1[[#This Row],[order_date]])</f>
        <v>5</v>
      </c>
      <c r="Z26">
        <f>ROUND(Table1_1[[#This Row],[profit]]/Table1_1[[#This Row],[sales_fix]]*100,2)</f>
        <v>32.799999999999997</v>
      </c>
    </row>
    <row r="27" spans="1:26" x14ac:dyDescent="0.3">
      <c r="A27" t="s">
        <v>2138</v>
      </c>
      <c r="B27" s="1">
        <v>45747</v>
      </c>
      <c r="C27" s="1">
        <v>45753</v>
      </c>
      <c r="D27" t="s">
        <v>343</v>
      </c>
      <c r="E27" t="s">
        <v>369</v>
      </c>
      <c r="F27" t="s">
        <v>34</v>
      </c>
      <c r="G27" t="s">
        <v>44</v>
      </c>
      <c r="H27" t="s">
        <v>45</v>
      </c>
      <c r="I27" t="s">
        <v>147</v>
      </c>
      <c r="J27" t="s">
        <v>148</v>
      </c>
      <c r="K27" t="s">
        <v>48</v>
      </c>
      <c r="L27">
        <v>5</v>
      </c>
      <c r="M27">
        <v>250</v>
      </c>
      <c r="N27">
        <v>20</v>
      </c>
      <c r="O27">
        <v>1000</v>
      </c>
      <c r="P27">
        <v>338.03</v>
      </c>
      <c r="Q27" t="s">
        <v>39</v>
      </c>
      <c r="R27" t="s">
        <v>56</v>
      </c>
      <c r="S27" t="s">
        <v>110</v>
      </c>
      <c r="T27">
        <f>YEAR(Table1_1[[#This Row],[order_date]])</f>
        <v>2025</v>
      </c>
      <c r="U27">
        <f>MONTH(Table1_1[[#This Row],[order_date]])</f>
        <v>3</v>
      </c>
      <c r="V27" t="str">
        <f>TEXT(Table1_1[[#This Row],[order_date]],"mmm")</f>
        <v>Mar</v>
      </c>
      <c r="W27" t="str">
        <f>"Q"&amp;ROUNDUP(MONTH(Table1_1[[#This Row],[order_date]])/3,0)</f>
        <v>Q1</v>
      </c>
      <c r="X27" t="str">
        <f>TEXT(Table1_1[[#This Row],[order_date]],"yyyy-mm")</f>
        <v>2025-03</v>
      </c>
      <c r="Y27">
        <f>IF(Table1_1[[#This Row],[ship_date]]="","",Table1_1[[#This Row],[ship_date]]-Table1_1[[#This Row],[order_date]])</f>
        <v>6</v>
      </c>
      <c r="Z27">
        <f>ROUND(Table1_1[[#This Row],[profit]]/Table1_1[[#This Row],[sales_fix]]*100,2)</f>
        <v>33.799999999999997</v>
      </c>
    </row>
    <row r="28" spans="1:26" x14ac:dyDescent="0.3">
      <c r="A28" t="s">
        <v>1167</v>
      </c>
      <c r="B28" s="1">
        <v>45574</v>
      </c>
      <c r="C28" s="1">
        <v>45576</v>
      </c>
      <c r="D28" t="s">
        <v>1168</v>
      </c>
      <c r="E28" t="s">
        <v>1169</v>
      </c>
      <c r="F28" t="s">
        <v>23</v>
      </c>
      <c r="G28" t="s">
        <v>91</v>
      </c>
      <c r="H28" t="s">
        <v>177</v>
      </c>
      <c r="I28" t="s">
        <v>134</v>
      </c>
      <c r="J28" t="s">
        <v>135</v>
      </c>
      <c r="K28" t="s">
        <v>27</v>
      </c>
      <c r="L28">
        <v>1</v>
      </c>
      <c r="M28">
        <v>6000</v>
      </c>
      <c r="N28">
        <v>20</v>
      </c>
      <c r="O28">
        <v>4800</v>
      </c>
      <c r="P28">
        <v>1186.19</v>
      </c>
      <c r="Q28" t="s">
        <v>156</v>
      </c>
      <c r="R28" t="s">
        <v>29</v>
      </c>
      <c r="S28" t="s">
        <v>40</v>
      </c>
      <c r="T28">
        <f>YEAR(Table1_1[[#This Row],[order_date]])</f>
        <v>2024</v>
      </c>
      <c r="U28">
        <f>MONTH(Table1_1[[#This Row],[order_date]])</f>
        <v>10</v>
      </c>
      <c r="V28" t="str">
        <f>TEXT(Table1_1[[#This Row],[order_date]],"mmm")</f>
        <v>Oct</v>
      </c>
      <c r="W28" t="str">
        <f>"Q"&amp;ROUNDUP(MONTH(Table1_1[[#This Row],[order_date]])/3,0)</f>
        <v>Q4</v>
      </c>
      <c r="X28" t="str">
        <f>TEXT(Table1_1[[#This Row],[order_date]],"yyyy-mm")</f>
        <v>2024-10</v>
      </c>
      <c r="Y28">
        <f>IF(Table1_1[[#This Row],[ship_date]]="","",Table1_1[[#This Row],[ship_date]]-Table1_1[[#This Row],[order_date]])</f>
        <v>2</v>
      </c>
      <c r="Z28">
        <f>ROUND(Table1_1[[#This Row],[profit]]/Table1_1[[#This Row],[sales_fix]]*100,2)</f>
        <v>24.71</v>
      </c>
    </row>
    <row r="29" spans="1:26" x14ac:dyDescent="0.3">
      <c r="A29" t="s">
        <v>2844</v>
      </c>
      <c r="B29" s="1">
        <v>45633</v>
      </c>
      <c r="C29" s="1">
        <v>45637</v>
      </c>
      <c r="D29" t="s">
        <v>1036</v>
      </c>
      <c r="E29" t="s">
        <v>1037</v>
      </c>
      <c r="F29" t="s">
        <v>23</v>
      </c>
      <c r="G29" t="s">
        <v>61</v>
      </c>
      <c r="H29" t="s">
        <v>211</v>
      </c>
      <c r="I29" t="s">
        <v>114</v>
      </c>
      <c r="J29" t="s">
        <v>115</v>
      </c>
      <c r="K29" t="s">
        <v>65</v>
      </c>
      <c r="L29">
        <v>1</v>
      </c>
      <c r="M29">
        <v>55000</v>
      </c>
      <c r="N29">
        <v>10</v>
      </c>
      <c r="O29">
        <v>49500</v>
      </c>
      <c r="P29">
        <v>6968.35</v>
      </c>
      <c r="Q29" t="s">
        <v>39</v>
      </c>
      <c r="R29" t="s">
        <v>29</v>
      </c>
      <c r="S29" t="s">
        <v>50</v>
      </c>
      <c r="T29">
        <f>YEAR(Table1_1[[#This Row],[order_date]])</f>
        <v>2024</v>
      </c>
      <c r="U29">
        <f>MONTH(Table1_1[[#This Row],[order_date]])</f>
        <v>12</v>
      </c>
      <c r="V29" t="str">
        <f>TEXT(Table1_1[[#This Row],[order_date]],"mmm")</f>
        <v>Dec</v>
      </c>
      <c r="W29" t="str">
        <f>"Q"&amp;ROUNDUP(MONTH(Table1_1[[#This Row],[order_date]])/3,0)</f>
        <v>Q4</v>
      </c>
      <c r="X29" t="str">
        <f>TEXT(Table1_1[[#This Row],[order_date]],"yyyy-mm")</f>
        <v>2024-12</v>
      </c>
      <c r="Y29">
        <f>IF(Table1_1[[#This Row],[ship_date]]="","",Table1_1[[#This Row],[ship_date]]-Table1_1[[#This Row],[order_date]])</f>
        <v>4</v>
      </c>
      <c r="Z29">
        <f>ROUND(Table1_1[[#This Row],[profit]]/Table1_1[[#This Row],[sales_fix]]*100,2)</f>
        <v>14.08</v>
      </c>
    </row>
    <row r="30" spans="1:26" x14ac:dyDescent="0.3">
      <c r="A30" t="s">
        <v>2436</v>
      </c>
      <c r="B30" s="1">
        <v>45902</v>
      </c>
      <c r="C30" s="1">
        <v>45905</v>
      </c>
      <c r="D30" t="s">
        <v>904</v>
      </c>
      <c r="E30" t="s">
        <v>905</v>
      </c>
      <c r="F30" t="s">
        <v>23</v>
      </c>
      <c r="G30" t="s">
        <v>91</v>
      </c>
      <c r="H30" t="s">
        <v>92</v>
      </c>
      <c r="I30" t="s">
        <v>79</v>
      </c>
      <c r="J30" t="s">
        <v>80</v>
      </c>
      <c r="K30" t="s">
        <v>65</v>
      </c>
      <c r="L30">
        <v>1</v>
      </c>
      <c r="M30">
        <v>3000</v>
      </c>
      <c r="N30">
        <v>20</v>
      </c>
      <c r="O30">
        <v>2400</v>
      </c>
      <c r="P30">
        <v>787.4</v>
      </c>
      <c r="Q30" t="s">
        <v>39</v>
      </c>
      <c r="R30" t="s">
        <v>49</v>
      </c>
      <c r="S30" t="s">
        <v>50</v>
      </c>
      <c r="T30">
        <f>YEAR(Table1_1[[#This Row],[order_date]])</f>
        <v>2025</v>
      </c>
      <c r="U30">
        <f>MONTH(Table1_1[[#This Row],[order_date]])</f>
        <v>9</v>
      </c>
      <c r="V30" t="str">
        <f>TEXT(Table1_1[[#This Row],[order_date]],"mmm")</f>
        <v>Sep</v>
      </c>
      <c r="W30" t="str">
        <f>"Q"&amp;ROUNDUP(MONTH(Table1_1[[#This Row],[order_date]])/3,0)</f>
        <v>Q3</v>
      </c>
      <c r="X30" t="str">
        <f>TEXT(Table1_1[[#This Row],[order_date]],"yyyy-mm")</f>
        <v>2025-09</v>
      </c>
      <c r="Y30">
        <f>IF(Table1_1[[#This Row],[ship_date]]="","",Table1_1[[#This Row],[ship_date]]-Table1_1[[#This Row],[order_date]])</f>
        <v>3</v>
      </c>
      <c r="Z30">
        <f>ROUND(Table1_1[[#This Row],[profit]]/Table1_1[[#This Row],[sales_fix]]*100,2)</f>
        <v>32.81</v>
      </c>
    </row>
    <row r="31" spans="1:26" x14ac:dyDescent="0.3">
      <c r="A31" t="s">
        <v>1538</v>
      </c>
      <c r="B31" s="1">
        <v>45318</v>
      </c>
      <c r="C31" s="1">
        <v>45322</v>
      </c>
      <c r="D31" t="s">
        <v>1540</v>
      </c>
      <c r="E31" t="s">
        <v>1541</v>
      </c>
      <c r="F31" t="s">
        <v>23</v>
      </c>
      <c r="G31" t="s">
        <v>61</v>
      </c>
      <c r="H31" t="s">
        <v>78</v>
      </c>
      <c r="I31" t="s">
        <v>126</v>
      </c>
      <c r="J31" t="s">
        <v>127</v>
      </c>
      <c r="K31" t="s">
        <v>95</v>
      </c>
      <c r="L31">
        <v>1</v>
      </c>
      <c r="M31">
        <v>600</v>
      </c>
      <c r="N31">
        <v>0</v>
      </c>
      <c r="O31">
        <v>600</v>
      </c>
      <c r="P31">
        <v>231.65</v>
      </c>
      <c r="Q31" t="s">
        <v>39</v>
      </c>
      <c r="R31" t="s">
        <v>49</v>
      </c>
      <c r="S31" t="s">
        <v>86</v>
      </c>
      <c r="T31">
        <f>YEAR(Table1_1[[#This Row],[order_date]])</f>
        <v>2024</v>
      </c>
      <c r="U31">
        <f>MONTH(Table1_1[[#This Row],[order_date]])</f>
        <v>1</v>
      </c>
      <c r="V31" t="str">
        <f>TEXT(Table1_1[[#This Row],[order_date]],"mmm")</f>
        <v>Jan</v>
      </c>
      <c r="W31" t="str">
        <f>"Q"&amp;ROUNDUP(MONTH(Table1_1[[#This Row],[order_date]])/3,0)</f>
        <v>Q1</v>
      </c>
      <c r="X31" t="str">
        <f>TEXT(Table1_1[[#This Row],[order_date]],"yyyy-mm")</f>
        <v>2024-01</v>
      </c>
      <c r="Y31">
        <f>IF(Table1_1[[#This Row],[ship_date]]="","",Table1_1[[#This Row],[ship_date]]-Table1_1[[#This Row],[order_date]])</f>
        <v>4</v>
      </c>
      <c r="Z31">
        <f>ROUND(Table1_1[[#This Row],[profit]]/Table1_1[[#This Row],[sales_fix]]*100,2)</f>
        <v>38.61</v>
      </c>
    </row>
    <row r="32" spans="1:26" x14ac:dyDescent="0.3">
      <c r="A32" t="s">
        <v>287</v>
      </c>
      <c r="B32" s="1">
        <v>45345</v>
      </c>
      <c r="C32" s="1">
        <v>45347</v>
      </c>
      <c r="D32" t="s">
        <v>288</v>
      </c>
      <c r="E32" t="s">
        <v>289</v>
      </c>
      <c r="F32" t="s">
        <v>34</v>
      </c>
      <c r="G32" t="s">
        <v>44</v>
      </c>
      <c r="H32" t="s">
        <v>155</v>
      </c>
      <c r="I32" t="s">
        <v>25</v>
      </c>
      <c r="J32" t="s">
        <v>26</v>
      </c>
      <c r="K32" t="s">
        <v>27</v>
      </c>
      <c r="L32">
        <v>1</v>
      </c>
      <c r="M32">
        <v>7000</v>
      </c>
      <c r="N32">
        <v>5</v>
      </c>
      <c r="O32">
        <v>6650</v>
      </c>
      <c r="P32">
        <v>1331.97</v>
      </c>
      <c r="Q32" t="s">
        <v>28</v>
      </c>
      <c r="R32" t="s">
        <v>49</v>
      </c>
      <c r="S32" t="s">
        <v>110</v>
      </c>
      <c r="T32">
        <f>YEAR(Table1_1[[#This Row],[order_date]])</f>
        <v>2024</v>
      </c>
      <c r="U32">
        <f>MONTH(Table1_1[[#This Row],[order_date]])</f>
        <v>2</v>
      </c>
      <c r="V32" t="str">
        <f>TEXT(Table1_1[[#This Row],[order_date]],"mmm")</f>
        <v>Feb</v>
      </c>
      <c r="W32" t="str">
        <f>"Q"&amp;ROUNDUP(MONTH(Table1_1[[#This Row],[order_date]])/3,0)</f>
        <v>Q1</v>
      </c>
      <c r="X32" t="str">
        <f>TEXT(Table1_1[[#This Row],[order_date]],"yyyy-mm")</f>
        <v>2024-02</v>
      </c>
      <c r="Y32">
        <f>IF(Table1_1[[#This Row],[ship_date]]="","",Table1_1[[#This Row],[ship_date]]-Table1_1[[#This Row],[order_date]])</f>
        <v>2</v>
      </c>
      <c r="Z32">
        <f>ROUND(Table1_1[[#This Row],[profit]]/Table1_1[[#This Row],[sales_fix]]*100,2)</f>
        <v>20.03</v>
      </c>
    </row>
    <row r="33" spans="1:26" x14ac:dyDescent="0.3">
      <c r="A33" t="s">
        <v>1480</v>
      </c>
      <c r="B33" s="1">
        <v>45403</v>
      </c>
      <c r="C33" s="1">
        <v>45404</v>
      </c>
      <c r="D33" t="s">
        <v>275</v>
      </c>
      <c r="E33" t="s">
        <v>276</v>
      </c>
      <c r="F33" t="s">
        <v>34</v>
      </c>
      <c r="G33" t="s">
        <v>91</v>
      </c>
      <c r="H33" t="s">
        <v>120</v>
      </c>
      <c r="I33" t="s">
        <v>93</v>
      </c>
      <c r="J33" t="s">
        <v>94</v>
      </c>
      <c r="K33" t="s">
        <v>95</v>
      </c>
      <c r="L33">
        <v>2</v>
      </c>
      <c r="M33">
        <v>1800</v>
      </c>
      <c r="N33">
        <v>0</v>
      </c>
      <c r="O33">
        <v>3600</v>
      </c>
      <c r="P33">
        <v>1358.49</v>
      </c>
      <c r="Q33" t="s">
        <v>156</v>
      </c>
      <c r="R33" t="s">
        <v>56</v>
      </c>
      <c r="S33" t="s">
        <v>40</v>
      </c>
      <c r="T33">
        <f>YEAR(Table1_1[[#This Row],[order_date]])</f>
        <v>2024</v>
      </c>
      <c r="U33">
        <f>MONTH(Table1_1[[#This Row],[order_date]])</f>
        <v>4</v>
      </c>
      <c r="V33" t="str">
        <f>TEXT(Table1_1[[#This Row],[order_date]],"mmm")</f>
        <v>Apr</v>
      </c>
      <c r="W33" t="str">
        <f>"Q"&amp;ROUNDUP(MONTH(Table1_1[[#This Row],[order_date]])/3,0)</f>
        <v>Q2</v>
      </c>
      <c r="X33" t="str">
        <f>TEXT(Table1_1[[#This Row],[order_date]],"yyyy-mm")</f>
        <v>2024-04</v>
      </c>
      <c r="Y33">
        <f>IF(Table1_1[[#This Row],[ship_date]]="","",Table1_1[[#This Row],[ship_date]]-Table1_1[[#This Row],[order_date]])</f>
        <v>1</v>
      </c>
      <c r="Z33">
        <f>ROUND(Table1_1[[#This Row],[profit]]/Table1_1[[#This Row],[sales_fix]]*100,2)</f>
        <v>37.74</v>
      </c>
    </row>
    <row r="34" spans="1:26" x14ac:dyDescent="0.3">
      <c r="A34" t="s">
        <v>2810</v>
      </c>
      <c r="B34" s="1">
        <v>45950</v>
      </c>
      <c r="C34" s="1">
        <v>45957</v>
      </c>
      <c r="D34" t="s">
        <v>223</v>
      </c>
      <c r="E34" t="s">
        <v>224</v>
      </c>
      <c r="F34" t="s">
        <v>34</v>
      </c>
      <c r="G34" t="s">
        <v>35</v>
      </c>
      <c r="H34" t="s">
        <v>85</v>
      </c>
      <c r="I34" t="s">
        <v>147</v>
      </c>
      <c r="J34" t="s">
        <v>148</v>
      </c>
      <c r="K34" t="s">
        <v>48</v>
      </c>
      <c r="L34">
        <v>1</v>
      </c>
      <c r="M34">
        <v>250</v>
      </c>
      <c r="N34">
        <v>5</v>
      </c>
      <c r="O34">
        <v>237.5</v>
      </c>
      <c r="P34">
        <v>98.7</v>
      </c>
      <c r="Q34" t="s">
        <v>156</v>
      </c>
      <c r="R34" t="s">
        <v>29</v>
      </c>
      <c r="S34" t="s">
        <v>30</v>
      </c>
      <c r="T34">
        <f>YEAR(Table1_1[[#This Row],[order_date]])</f>
        <v>2025</v>
      </c>
      <c r="U34">
        <f>MONTH(Table1_1[[#This Row],[order_date]])</f>
        <v>10</v>
      </c>
      <c r="V34" t="str">
        <f>TEXT(Table1_1[[#This Row],[order_date]],"mmm")</f>
        <v>Oct</v>
      </c>
      <c r="W34" t="str">
        <f>"Q"&amp;ROUNDUP(MONTH(Table1_1[[#This Row],[order_date]])/3,0)</f>
        <v>Q4</v>
      </c>
      <c r="X34" t="str">
        <f>TEXT(Table1_1[[#This Row],[order_date]],"yyyy-mm")</f>
        <v>2025-10</v>
      </c>
      <c r="Y34">
        <f>IF(Table1_1[[#This Row],[ship_date]]="","",Table1_1[[#This Row],[ship_date]]-Table1_1[[#This Row],[order_date]])</f>
        <v>7</v>
      </c>
      <c r="Z34">
        <f>ROUND(Table1_1[[#This Row],[profit]]/Table1_1[[#This Row],[sales_fix]]*100,2)</f>
        <v>41.56</v>
      </c>
    </row>
    <row r="35" spans="1:26" x14ac:dyDescent="0.3">
      <c r="A35" t="s">
        <v>544</v>
      </c>
      <c r="B35" s="1">
        <v>45374</v>
      </c>
      <c r="C35" s="1">
        <v>45379</v>
      </c>
      <c r="D35" t="s">
        <v>546</v>
      </c>
      <c r="E35" t="s">
        <v>547</v>
      </c>
      <c r="F35" t="s">
        <v>34</v>
      </c>
      <c r="G35" t="s">
        <v>91</v>
      </c>
      <c r="H35" t="s">
        <v>92</v>
      </c>
      <c r="I35" t="s">
        <v>63</v>
      </c>
      <c r="J35" t="s">
        <v>64</v>
      </c>
      <c r="K35" t="s">
        <v>65</v>
      </c>
      <c r="L35">
        <v>1</v>
      </c>
      <c r="M35">
        <v>25000</v>
      </c>
      <c r="N35">
        <v>0</v>
      </c>
      <c r="O35">
        <v>25000</v>
      </c>
      <c r="P35">
        <v>2723.52</v>
      </c>
      <c r="Q35" t="s">
        <v>39</v>
      </c>
      <c r="R35" t="s">
        <v>56</v>
      </c>
      <c r="S35" t="s">
        <v>40</v>
      </c>
      <c r="T35">
        <f>YEAR(Table1_1[[#This Row],[order_date]])</f>
        <v>2024</v>
      </c>
      <c r="U35">
        <f>MONTH(Table1_1[[#This Row],[order_date]])</f>
        <v>3</v>
      </c>
      <c r="V35" t="str">
        <f>TEXT(Table1_1[[#This Row],[order_date]],"mmm")</f>
        <v>Mar</v>
      </c>
      <c r="W35" t="str">
        <f>"Q"&amp;ROUNDUP(MONTH(Table1_1[[#This Row],[order_date]])/3,0)</f>
        <v>Q1</v>
      </c>
      <c r="X35" t="str">
        <f>TEXT(Table1_1[[#This Row],[order_date]],"yyyy-mm")</f>
        <v>2024-03</v>
      </c>
      <c r="Y35">
        <f>IF(Table1_1[[#This Row],[ship_date]]="","",Table1_1[[#This Row],[ship_date]]-Table1_1[[#This Row],[order_date]])</f>
        <v>5</v>
      </c>
      <c r="Z35">
        <f>ROUND(Table1_1[[#This Row],[profit]]/Table1_1[[#This Row],[sales_fix]]*100,2)</f>
        <v>10.89</v>
      </c>
    </row>
    <row r="36" spans="1:26" x14ac:dyDescent="0.3">
      <c r="A36" t="s">
        <v>2860</v>
      </c>
      <c r="B36" s="1">
        <v>45624</v>
      </c>
      <c r="C36" s="1">
        <v>45631</v>
      </c>
      <c r="D36" t="s">
        <v>145</v>
      </c>
      <c r="E36" t="s">
        <v>146</v>
      </c>
      <c r="F36" t="s">
        <v>34</v>
      </c>
      <c r="G36" t="s">
        <v>91</v>
      </c>
      <c r="H36" t="s">
        <v>92</v>
      </c>
      <c r="I36" t="s">
        <v>71</v>
      </c>
      <c r="J36" t="s">
        <v>72</v>
      </c>
      <c r="K36" t="s">
        <v>73</v>
      </c>
      <c r="L36">
        <v>2</v>
      </c>
      <c r="M36">
        <v>3500</v>
      </c>
      <c r="N36">
        <v>0</v>
      </c>
      <c r="O36">
        <v>7000</v>
      </c>
      <c r="P36">
        <v>1974.53</v>
      </c>
      <c r="Q36" t="s">
        <v>66</v>
      </c>
      <c r="R36" t="s">
        <v>56</v>
      </c>
      <c r="S36" t="s">
        <v>86</v>
      </c>
      <c r="T36">
        <f>YEAR(Table1_1[[#This Row],[order_date]])</f>
        <v>2024</v>
      </c>
      <c r="U36">
        <f>MONTH(Table1_1[[#This Row],[order_date]])</f>
        <v>11</v>
      </c>
      <c r="V36" t="str">
        <f>TEXT(Table1_1[[#This Row],[order_date]],"mmm")</f>
        <v>Nov</v>
      </c>
      <c r="W36" t="str">
        <f>"Q"&amp;ROUNDUP(MONTH(Table1_1[[#This Row],[order_date]])/3,0)</f>
        <v>Q4</v>
      </c>
      <c r="X36" t="str">
        <f>TEXT(Table1_1[[#This Row],[order_date]],"yyyy-mm")</f>
        <v>2024-11</v>
      </c>
      <c r="Y36">
        <f>IF(Table1_1[[#This Row],[ship_date]]="","",Table1_1[[#This Row],[ship_date]]-Table1_1[[#This Row],[order_date]])</f>
        <v>7</v>
      </c>
      <c r="Z36">
        <f>ROUND(Table1_1[[#This Row],[profit]]/Table1_1[[#This Row],[sales_fix]]*100,2)</f>
        <v>28.21</v>
      </c>
    </row>
    <row r="37" spans="1:26" x14ac:dyDescent="0.3">
      <c r="A37" t="s">
        <v>723</v>
      </c>
      <c r="B37" s="1">
        <v>45512</v>
      </c>
      <c r="C37" s="1">
        <v>45520</v>
      </c>
      <c r="D37" t="s">
        <v>291</v>
      </c>
      <c r="E37" t="s">
        <v>292</v>
      </c>
      <c r="F37" t="s">
        <v>55</v>
      </c>
      <c r="G37" t="s">
        <v>35</v>
      </c>
      <c r="H37" t="s">
        <v>187</v>
      </c>
      <c r="I37" t="s">
        <v>71</v>
      </c>
      <c r="J37" t="s">
        <v>72</v>
      </c>
      <c r="K37" t="s">
        <v>73</v>
      </c>
      <c r="L37">
        <v>2</v>
      </c>
      <c r="M37">
        <v>3500</v>
      </c>
      <c r="N37">
        <v>0</v>
      </c>
      <c r="O37">
        <v>7000</v>
      </c>
      <c r="P37">
        <v>1938.78</v>
      </c>
      <c r="Q37" t="s">
        <v>28</v>
      </c>
      <c r="R37" t="s">
        <v>49</v>
      </c>
      <c r="S37" t="s">
        <v>86</v>
      </c>
      <c r="T37">
        <f>YEAR(Table1_1[[#This Row],[order_date]])</f>
        <v>2024</v>
      </c>
      <c r="U37">
        <f>MONTH(Table1_1[[#This Row],[order_date]])</f>
        <v>8</v>
      </c>
      <c r="V37" t="str">
        <f>TEXT(Table1_1[[#This Row],[order_date]],"mmm")</f>
        <v>Aug</v>
      </c>
      <c r="W37" t="str">
        <f>"Q"&amp;ROUNDUP(MONTH(Table1_1[[#This Row],[order_date]])/3,0)</f>
        <v>Q3</v>
      </c>
      <c r="X37" t="str">
        <f>TEXT(Table1_1[[#This Row],[order_date]],"yyyy-mm")</f>
        <v>2024-08</v>
      </c>
      <c r="Y37">
        <f>IF(Table1_1[[#This Row],[ship_date]]="","",Table1_1[[#This Row],[ship_date]]-Table1_1[[#This Row],[order_date]])</f>
        <v>8</v>
      </c>
      <c r="Z37">
        <f>ROUND(Table1_1[[#This Row],[profit]]/Table1_1[[#This Row],[sales_fix]]*100,2)</f>
        <v>27.7</v>
      </c>
    </row>
    <row r="38" spans="1:26" x14ac:dyDescent="0.3">
      <c r="A38" t="s">
        <v>2854</v>
      </c>
      <c r="B38" s="1">
        <v>45612</v>
      </c>
      <c r="C38" s="1">
        <v>45620</v>
      </c>
      <c r="D38" t="s">
        <v>308</v>
      </c>
      <c r="E38" t="s">
        <v>309</v>
      </c>
      <c r="F38" t="s">
        <v>34</v>
      </c>
      <c r="G38" t="s">
        <v>91</v>
      </c>
      <c r="H38" t="s">
        <v>177</v>
      </c>
      <c r="I38" t="s">
        <v>134</v>
      </c>
      <c r="J38" t="s">
        <v>135</v>
      </c>
      <c r="K38" t="s">
        <v>27</v>
      </c>
      <c r="L38">
        <v>1</v>
      </c>
      <c r="M38">
        <v>6000</v>
      </c>
      <c r="N38">
        <v>0</v>
      </c>
      <c r="O38">
        <v>6000</v>
      </c>
      <c r="P38">
        <v>1403.61</v>
      </c>
      <c r="Q38" t="s">
        <v>66</v>
      </c>
      <c r="R38" t="s">
        <v>29</v>
      </c>
      <c r="S38" t="s">
        <v>86</v>
      </c>
      <c r="T38">
        <f>YEAR(Table1_1[[#This Row],[order_date]])</f>
        <v>2024</v>
      </c>
      <c r="U38">
        <f>MONTH(Table1_1[[#This Row],[order_date]])</f>
        <v>11</v>
      </c>
      <c r="V38" t="str">
        <f>TEXT(Table1_1[[#This Row],[order_date]],"mmm")</f>
        <v>Nov</v>
      </c>
      <c r="W38" t="str">
        <f>"Q"&amp;ROUNDUP(MONTH(Table1_1[[#This Row],[order_date]])/3,0)</f>
        <v>Q4</v>
      </c>
      <c r="X38" t="str">
        <f>TEXT(Table1_1[[#This Row],[order_date]],"yyyy-mm")</f>
        <v>2024-11</v>
      </c>
      <c r="Y38">
        <f>IF(Table1_1[[#This Row],[ship_date]]="","",Table1_1[[#This Row],[ship_date]]-Table1_1[[#This Row],[order_date]])</f>
        <v>8</v>
      </c>
      <c r="Z38">
        <f>ROUND(Table1_1[[#This Row],[profit]]/Table1_1[[#This Row],[sales_fix]]*100,2)</f>
        <v>23.39</v>
      </c>
    </row>
    <row r="39" spans="1:26" x14ac:dyDescent="0.3">
      <c r="A39" t="s">
        <v>1719</v>
      </c>
      <c r="B39" s="1">
        <v>45390</v>
      </c>
      <c r="C39" s="1">
        <v>45391</v>
      </c>
      <c r="D39" t="s">
        <v>554</v>
      </c>
      <c r="E39" t="s">
        <v>555</v>
      </c>
      <c r="F39" t="s">
        <v>55</v>
      </c>
      <c r="G39" t="s">
        <v>61</v>
      </c>
      <c r="H39" t="s">
        <v>62</v>
      </c>
      <c r="I39" t="s">
        <v>134</v>
      </c>
      <c r="J39" t="s">
        <v>135</v>
      </c>
      <c r="K39" t="s">
        <v>27</v>
      </c>
      <c r="L39">
        <v>3</v>
      </c>
      <c r="M39">
        <v>6000</v>
      </c>
      <c r="N39">
        <v>0</v>
      </c>
      <c r="O39">
        <v>18000</v>
      </c>
      <c r="P39">
        <v>4426.74</v>
      </c>
      <c r="Q39" t="s">
        <v>39</v>
      </c>
      <c r="R39" t="s">
        <v>56</v>
      </c>
      <c r="S39" t="s">
        <v>40</v>
      </c>
      <c r="T39">
        <f>YEAR(Table1_1[[#This Row],[order_date]])</f>
        <v>2024</v>
      </c>
      <c r="U39">
        <f>MONTH(Table1_1[[#This Row],[order_date]])</f>
        <v>4</v>
      </c>
      <c r="V39" t="str">
        <f>TEXT(Table1_1[[#This Row],[order_date]],"mmm")</f>
        <v>Apr</v>
      </c>
      <c r="W39" t="str">
        <f>"Q"&amp;ROUNDUP(MONTH(Table1_1[[#This Row],[order_date]])/3,0)</f>
        <v>Q2</v>
      </c>
      <c r="X39" t="str">
        <f>TEXT(Table1_1[[#This Row],[order_date]],"yyyy-mm")</f>
        <v>2024-04</v>
      </c>
      <c r="Y39">
        <f>IF(Table1_1[[#This Row],[ship_date]]="","",Table1_1[[#This Row],[ship_date]]-Table1_1[[#This Row],[order_date]])</f>
        <v>1</v>
      </c>
      <c r="Z39">
        <f>ROUND(Table1_1[[#This Row],[profit]]/Table1_1[[#This Row],[sales_fix]]*100,2)</f>
        <v>24.59</v>
      </c>
    </row>
    <row r="40" spans="1:26" x14ac:dyDescent="0.3">
      <c r="A40" t="s">
        <v>1632</v>
      </c>
      <c r="B40" s="1">
        <v>45417</v>
      </c>
      <c r="C40" s="1">
        <v>45424</v>
      </c>
      <c r="D40" t="s">
        <v>904</v>
      </c>
      <c r="E40" t="s">
        <v>905</v>
      </c>
      <c r="F40" t="s">
        <v>23</v>
      </c>
      <c r="G40" t="s">
        <v>91</v>
      </c>
      <c r="H40" t="s">
        <v>92</v>
      </c>
      <c r="I40" t="s">
        <v>126</v>
      </c>
      <c r="J40" t="s">
        <v>127</v>
      </c>
      <c r="K40" t="s">
        <v>95</v>
      </c>
      <c r="L40">
        <v>2</v>
      </c>
      <c r="M40">
        <v>600</v>
      </c>
      <c r="N40">
        <v>20</v>
      </c>
      <c r="O40">
        <v>960</v>
      </c>
      <c r="P40">
        <v>352.45</v>
      </c>
      <c r="Q40" t="s">
        <v>156</v>
      </c>
      <c r="R40" t="s">
        <v>29</v>
      </c>
      <c r="S40" t="s">
        <v>110</v>
      </c>
      <c r="T40">
        <f>YEAR(Table1_1[[#This Row],[order_date]])</f>
        <v>2024</v>
      </c>
      <c r="U40">
        <f>MONTH(Table1_1[[#This Row],[order_date]])</f>
        <v>5</v>
      </c>
      <c r="V40" t="str">
        <f>TEXT(Table1_1[[#This Row],[order_date]],"mmm")</f>
        <v>May</v>
      </c>
      <c r="W40" t="str">
        <f>"Q"&amp;ROUNDUP(MONTH(Table1_1[[#This Row],[order_date]])/3,0)</f>
        <v>Q2</v>
      </c>
      <c r="X40" t="str">
        <f>TEXT(Table1_1[[#This Row],[order_date]],"yyyy-mm")</f>
        <v>2024-05</v>
      </c>
      <c r="Y40">
        <f>IF(Table1_1[[#This Row],[ship_date]]="","",Table1_1[[#This Row],[ship_date]]-Table1_1[[#This Row],[order_date]])</f>
        <v>7</v>
      </c>
      <c r="Z40">
        <f>ROUND(Table1_1[[#This Row],[profit]]/Table1_1[[#This Row],[sales_fix]]*100,2)</f>
        <v>36.71</v>
      </c>
    </row>
    <row r="41" spans="1:26" x14ac:dyDescent="0.3">
      <c r="A41" t="s">
        <v>1433</v>
      </c>
      <c r="B41" s="1">
        <v>45398</v>
      </c>
      <c r="C41" s="1">
        <v>45406</v>
      </c>
      <c r="D41" t="s">
        <v>830</v>
      </c>
      <c r="E41" t="s">
        <v>831</v>
      </c>
      <c r="F41" t="s">
        <v>23</v>
      </c>
      <c r="G41" t="s">
        <v>61</v>
      </c>
      <c r="H41" t="s">
        <v>125</v>
      </c>
      <c r="I41" t="s">
        <v>37</v>
      </c>
      <c r="J41" t="s">
        <v>38</v>
      </c>
      <c r="K41" t="s">
        <v>27</v>
      </c>
      <c r="L41">
        <v>2</v>
      </c>
      <c r="M41">
        <v>9500</v>
      </c>
      <c r="N41">
        <v>0</v>
      </c>
      <c r="O41">
        <v>19000</v>
      </c>
      <c r="P41">
        <v>2895.19</v>
      </c>
      <c r="Q41" t="s">
        <v>121</v>
      </c>
      <c r="R41" t="s">
        <v>29</v>
      </c>
      <c r="S41" t="s">
        <v>110</v>
      </c>
      <c r="T41">
        <f>YEAR(Table1_1[[#This Row],[order_date]])</f>
        <v>2024</v>
      </c>
      <c r="U41">
        <f>MONTH(Table1_1[[#This Row],[order_date]])</f>
        <v>4</v>
      </c>
      <c r="V41" t="str">
        <f>TEXT(Table1_1[[#This Row],[order_date]],"mmm")</f>
        <v>Apr</v>
      </c>
      <c r="W41" t="str">
        <f>"Q"&amp;ROUNDUP(MONTH(Table1_1[[#This Row],[order_date]])/3,0)</f>
        <v>Q2</v>
      </c>
      <c r="X41" t="str">
        <f>TEXT(Table1_1[[#This Row],[order_date]],"yyyy-mm")</f>
        <v>2024-04</v>
      </c>
      <c r="Y41">
        <f>IF(Table1_1[[#This Row],[ship_date]]="","",Table1_1[[#This Row],[ship_date]]-Table1_1[[#This Row],[order_date]])</f>
        <v>8</v>
      </c>
      <c r="Z41">
        <f>ROUND(Table1_1[[#This Row],[profit]]/Table1_1[[#This Row],[sales_fix]]*100,2)</f>
        <v>15.24</v>
      </c>
    </row>
    <row r="42" spans="1:26" x14ac:dyDescent="0.3">
      <c r="A42" t="s">
        <v>2799</v>
      </c>
      <c r="B42" s="1">
        <v>45409</v>
      </c>
      <c r="C42" s="1">
        <v>45416</v>
      </c>
      <c r="D42" t="s">
        <v>784</v>
      </c>
      <c r="E42" t="s">
        <v>785</v>
      </c>
      <c r="F42" t="s">
        <v>23</v>
      </c>
      <c r="G42" t="s">
        <v>91</v>
      </c>
      <c r="H42" t="s">
        <v>92</v>
      </c>
      <c r="I42" t="s">
        <v>37</v>
      </c>
      <c r="J42" t="s">
        <v>38</v>
      </c>
      <c r="K42" t="s">
        <v>27</v>
      </c>
      <c r="L42">
        <v>3</v>
      </c>
      <c r="M42">
        <v>9500</v>
      </c>
      <c r="N42">
        <v>10</v>
      </c>
      <c r="O42">
        <v>25650</v>
      </c>
      <c r="P42">
        <v>4055.08</v>
      </c>
      <c r="Q42" t="s">
        <v>39</v>
      </c>
      <c r="R42" t="s">
        <v>56</v>
      </c>
      <c r="S42" t="s">
        <v>40</v>
      </c>
      <c r="T42">
        <f>YEAR(Table1_1[[#This Row],[order_date]])</f>
        <v>2024</v>
      </c>
      <c r="U42">
        <f>MONTH(Table1_1[[#This Row],[order_date]])</f>
        <v>4</v>
      </c>
      <c r="V42" t="str">
        <f>TEXT(Table1_1[[#This Row],[order_date]],"mmm")</f>
        <v>Apr</v>
      </c>
      <c r="W42" t="str">
        <f>"Q"&amp;ROUNDUP(MONTH(Table1_1[[#This Row],[order_date]])/3,0)</f>
        <v>Q2</v>
      </c>
      <c r="X42" t="str">
        <f>TEXT(Table1_1[[#This Row],[order_date]],"yyyy-mm")</f>
        <v>2024-04</v>
      </c>
      <c r="Y42">
        <f>IF(Table1_1[[#This Row],[ship_date]]="","",Table1_1[[#This Row],[ship_date]]-Table1_1[[#This Row],[order_date]])</f>
        <v>7</v>
      </c>
      <c r="Z42">
        <f>ROUND(Table1_1[[#This Row],[profit]]/Table1_1[[#This Row],[sales_fix]]*100,2)</f>
        <v>15.81</v>
      </c>
    </row>
    <row r="43" spans="1:26" x14ac:dyDescent="0.3">
      <c r="A43" t="s">
        <v>2425</v>
      </c>
      <c r="B43" s="1">
        <v>45915</v>
      </c>
      <c r="C43" s="1">
        <v>45916</v>
      </c>
      <c r="D43" t="s">
        <v>217</v>
      </c>
      <c r="E43" t="s">
        <v>218</v>
      </c>
      <c r="F43" t="s">
        <v>23</v>
      </c>
      <c r="G43" t="s">
        <v>91</v>
      </c>
      <c r="H43" t="s">
        <v>109</v>
      </c>
      <c r="I43" t="s">
        <v>114</v>
      </c>
      <c r="J43" t="s">
        <v>115</v>
      </c>
      <c r="K43" t="s">
        <v>65</v>
      </c>
      <c r="L43">
        <v>5</v>
      </c>
      <c r="M43">
        <v>55000</v>
      </c>
      <c r="N43">
        <v>20</v>
      </c>
      <c r="O43">
        <v>220000</v>
      </c>
      <c r="P43">
        <v>38704.58</v>
      </c>
      <c r="Q43" t="s">
        <v>121</v>
      </c>
      <c r="R43" t="s">
        <v>49</v>
      </c>
      <c r="S43" t="s">
        <v>110</v>
      </c>
      <c r="T43">
        <f>YEAR(Table1_1[[#This Row],[order_date]])</f>
        <v>2025</v>
      </c>
      <c r="U43">
        <f>MONTH(Table1_1[[#This Row],[order_date]])</f>
        <v>9</v>
      </c>
      <c r="V43" t="str">
        <f>TEXT(Table1_1[[#This Row],[order_date]],"mmm")</f>
        <v>Sep</v>
      </c>
      <c r="W43" t="str">
        <f>"Q"&amp;ROUNDUP(MONTH(Table1_1[[#This Row],[order_date]])/3,0)</f>
        <v>Q3</v>
      </c>
      <c r="X43" t="str">
        <f>TEXT(Table1_1[[#This Row],[order_date]],"yyyy-mm")</f>
        <v>2025-09</v>
      </c>
      <c r="Y43">
        <f>IF(Table1_1[[#This Row],[ship_date]]="","",Table1_1[[#This Row],[ship_date]]-Table1_1[[#This Row],[order_date]])</f>
        <v>1</v>
      </c>
      <c r="Z43">
        <f>ROUND(Table1_1[[#This Row],[profit]]/Table1_1[[#This Row],[sales_fix]]*100,2)</f>
        <v>17.59</v>
      </c>
    </row>
    <row r="44" spans="1:26" x14ac:dyDescent="0.3">
      <c r="A44" t="s">
        <v>1161</v>
      </c>
      <c r="B44" s="1">
        <v>45298</v>
      </c>
      <c r="C44" s="1">
        <v>45305</v>
      </c>
      <c r="D44" t="s">
        <v>453</v>
      </c>
      <c r="E44" t="s">
        <v>454</v>
      </c>
      <c r="F44" t="s">
        <v>55</v>
      </c>
      <c r="G44" t="s">
        <v>35</v>
      </c>
      <c r="H44" t="s">
        <v>187</v>
      </c>
      <c r="I44" t="s">
        <v>37</v>
      </c>
      <c r="J44" t="s">
        <v>38</v>
      </c>
      <c r="K44" t="s">
        <v>27</v>
      </c>
      <c r="L44">
        <v>1</v>
      </c>
      <c r="M44">
        <v>9500</v>
      </c>
      <c r="N44">
        <v>0</v>
      </c>
      <c r="O44">
        <v>9500</v>
      </c>
      <c r="P44">
        <v>1760.4</v>
      </c>
      <c r="Q44" t="s">
        <v>66</v>
      </c>
      <c r="R44" t="s">
        <v>29</v>
      </c>
      <c r="S44" t="s">
        <v>86</v>
      </c>
      <c r="T44">
        <f>YEAR(Table1_1[[#This Row],[order_date]])</f>
        <v>2024</v>
      </c>
      <c r="U44">
        <f>MONTH(Table1_1[[#This Row],[order_date]])</f>
        <v>1</v>
      </c>
      <c r="V44" t="str">
        <f>TEXT(Table1_1[[#This Row],[order_date]],"mmm")</f>
        <v>Jan</v>
      </c>
      <c r="W44" t="str">
        <f>"Q"&amp;ROUNDUP(MONTH(Table1_1[[#This Row],[order_date]])/3,0)</f>
        <v>Q1</v>
      </c>
      <c r="X44" t="str">
        <f>TEXT(Table1_1[[#This Row],[order_date]],"yyyy-mm")</f>
        <v>2024-01</v>
      </c>
      <c r="Y44">
        <f>IF(Table1_1[[#This Row],[ship_date]]="","",Table1_1[[#This Row],[ship_date]]-Table1_1[[#This Row],[order_date]])</f>
        <v>7</v>
      </c>
      <c r="Z44">
        <f>ROUND(Table1_1[[#This Row],[profit]]/Table1_1[[#This Row],[sales_fix]]*100,2)</f>
        <v>18.53</v>
      </c>
    </row>
    <row r="45" spans="1:26" x14ac:dyDescent="0.3">
      <c r="A45" t="s">
        <v>1166</v>
      </c>
      <c r="B45" s="1">
        <v>45835</v>
      </c>
      <c r="C45" s="1">
        <v>45838</v>
      </c>
      <c r="D45" t="s">
        <v>1031</v>
      </c>
      <c r="E45" t="s">
        <v>1032</v>
      </c>
      <c r="F45" t="s">
        <v>23</v>
      </c>
      <c r="G45" t="s">
        <v>61</v>
      </c>
      <c r="H45" t="s">
        <v>211</v>
      </c>
      <c r="I45" t="s">
        <v>71</v>
      </c>
      <c r="J45" t="s">
        <v>72</v>
      </c>
      <c r="K45" t="s">
        <v>73</v>
      </c>
      <c r="L45">
        <v>1</v>
      </c>
      <c r="M45">
        <v>3500</v>
      </c>
      <c r="N45">
        <v>5</v>
      </c>
      <c r="O45">
        <v>3325</v>
      </c>
      <c r="P45">
        <v>937.87</v>
      </c>
      <c r="Q45" t="s">
        <v>74</v>
      </c>
      <c r="R45" t="s">
        <v>49</v>
      </c>
      <c r="S45" t="s">
        <v>110</v>
      </c>
      <c r="T45">
        <f>YEAR(Table1_1[[#This Row],[order_date]])</f>
        <v>2025</v>
      </c>
      <c r="U45">
        <f>MONTH(Table1_1[[#This Row],[order_date]])</f>
        <v>6</v>
      </c>
      <c r="V45" t="str">
        <f>TEXT(Table1_1[[#This Row],[order_date]],"mmm")</f>
        <v>Jun</v>
      </c>
      <c r="W45" t="str">
        <f>"Q"&amp;ROUNDUP(MONTH(Table1_1[[#This Row],[order_date]])/3,0)</f>
        <v>Q2</v>
      </c>
      <c r="X45" t="str">
        <f>TEXT(Table1_1[[#This Row],[order_date]],"yyyy-mm")</f>
        <v>2025-06</v>
      </c>
      <c r="Y45">
        <f>IF(Table1_1[[#This Row],[ship_date]]="","",Table1_1[[#This Row],[ship_date]]-Table1_1[[#This Row],[order_date]])</f>
        <v>3</v>
      </c>
      <c r="Z45">
        <f>ROUND(Table1_1[[#This Row],[profit]]/Table1_1[[#This Row],[sales_fix]]*100,2)</f>
        <v>28.21</v>
      </c>
    </row>
    <row r="46" spans="1:26" x14ac:dyDescent="0.3">
      <c r="A46" t="s">
        <v>1978</v>
      </c>
      <c r="B46" s="1">
        <v>45378</v>
      </c>
      <c r="C46" s="1">
        <v>45379</v>
      </c>
      <c r="D46" t="s">
        <v>403</v>
      </c>
      <c r="E46" t="s">
        <v>404</v>
      </c>
      <c r="F46" t="s">
        <v>55</v>
      </c>
      <c r="G46" t="s">
        <v>35</v>
      </c>
      <c r="H46" t="s">
        <v>36</v>
      </c>
      <c r="I46" t="s">
        <v>93</v>
      </c>
      <c r="J46" t="s">
        <v>94</v>
      </c>
      <c r="K46" t="s">
        <v>95</v>
      </c>
      <c r="L46">
        <v>4</v>
      </c>
      <c r="M46">
        <v>1800</v>
      </c>
      <c r="N46">
        <v>0</v>
      </c>
      <c r="O46">
        <v>7200</v>
      </c>
      <c r="P46">
        <v>1922.67</v>
      </c>
      <c r="Q46" t="s">
        <v>156</v>
      </c>
      <c r="R46" t="s">
        <v>29</v>
      </c>
      <c r="S46" t="s">
        <v>110</v>
      </c>
      <c r="T46">
        <f>YEAR(Table1_1[[#This Row],[order_date]])</f>
        <v>2024</v>
      </c>
      <c r="U46">
        <f>MONTH(Table1_1[[#This Row],[order_date]])</f>
        <v>3</v>
      </c>
      <c r="V46" t="str">
        <f>TEXT(Table1_1[[#This Row],[order_date]],"mmm")</f>
        <v>Mar</v>
      </c>
      <c r="W46" t="str">
        <f>"Q"&amp;ROUNDUP(MONTH(Table1_1[[#This Row],[order_date]])/3,0)</f>
        <v>Q1</v>
      </c>
      <c r="X46" t="str">
        <f>TEXT(Table1_1[[#This Row],[order_date]],"yyyy-mm")</f>
        <v>2024-03</v>
      </c>
      <c r="Y46">
        <f>IF(Table1_1[[#This Row],[ship_date]]="","",Table1_1[[#This Row],[ship_date]]-Table1_1[[#This Row],[order_date]])</f>
        <v>1</v>
      </c>
      <c r="Z46">
        <f>ROUND(Table1_1[[#This Row],[profit]]/Table1_1[[#This Row],[sales_fix]]*100,2)</f>
        <v>26.7</v>
      </c>
    </row>
    <row r="47" spans="1:26" x14ac:dyDescent="0.3">
      <c r="A47" t="s">
        <v>1259</v>
      </c>
      <c r="B47" s="1">
        <v>45726</v>
      </c>
      <c r="C47" s="1">
        <v>45730</v>
      </c>
      <c r="D47" t="s">
        <v>853</v>
      </c>
      <c r="E47" t="s">
        <v>854</v>
      </c>
      <c r="F47" t="s">
        <v>55</v>
      </c>
      <c r="G47" t="s">
        <v>61</v>
      </c>
      <c r="H47" t="s">
        <v>125</v>
      </c>
      <c r="I47" t="s">
        <v>126</v>
      </c>
      <c r="J47" t="s">
        <v>127</v>
      </c>
      <c r="K47" t="s">
        <v>95</v>
      </c>
      <c r="L47">
        <v>2</v>
      </c>
      <c r="M47">
        <v>600</v>
      </c>
      <c r="N47">
        <v>5</v>
      </c>
      <c r="O47">
        <v>1140</v>
      </c>
      <c r="P47">
        <v>375.01</v>
      </c>
      <c r="Q47" t="s">
        <v>39</v>
      </c>
      <c r="R47" t="s">
        <v>29</v>
      </c>
      <c r="S47" t="s">
        <v>110</v>
      </c>
      <c r="T47">
        <f>YEAR(Table1_1[[#This Row],[order_date]])</f>
        <v>2025</v>
      </c>
      <c r="U47">
        <f>MONTH(Table1_1[[#This Row],[order_date]])</f>
        <v>3</v>
      </c>
      <c r="V47" t="str">
        <f>TEXT(Table1_1[[#This Row],[order_date]],"mmm")</f>
        <v>Mar</v>
      </c>
      <c r="W47" t="str">
        <f>"Q"&amp;ROUNDUP(MONTH(Table1_1[[#This Row],[order_date]])/3,0)</f>
        <v>Q1</v>
      </c>
      <c r="X47" t="str">
        <f>TEXT(Table1_1[[#This Row],[order_date]],"yyyy-mm")</f>
        <v>2025-03</v>
      </c>
      <c r="Y47">
        <f>IF(Table1_1[[#This Row],[ship_date]]="","",Table1_1[[#This Row],[ship_date]]-Table1_1[[#This Row],[order_date]])</f>
        <v>4</v>
      </c>
      <c r="Z47">
        <f>ROUND(Table1_1[[#This Row],[profit]]/Table1_1[[#This Row],[sales_fix]]*100,2)</f>
        <v>32.9</v>
      </c>
    </row>
    <row r="48" spans="1:26" x14ac:dyDescent="0.3">
      <c r="A48" t="s">
        <v>1717</v>
      </c>
      <c r="B48" s="1">
        <v>45582</v>
      </c>
      <c r="C48" s="1">
        <v>45583</v>
      </c>
      <c r="D48" t="s">
        <v>575</v>
      </c>
      <c r="E48" t="s">
        <v>836</v>
      </c>
      <c r="F48" t="s">
        <v>34</v>
      </c>
      <c r="G48" t="s">
        <v>91</v>
      </c>
      <c r="H48" t="s">
        <v>120</v>
      </c>
      <c r="I48" t="s">
        <v>63</v>
      </c>
      <c r="J48" t="s">
        <v>64</v>
      </c>
      <c r="K48" t="s">
        <v>65</v>
      </c>
      <c r="L48">
        <v>2</v>
      </c>
      <c r="M48">
        <v>25000</v>
      </c>
      <c r="N48">
        <v>10</v>
      </c>
      <c r="O48">
        <v>45000</v>
      </c>
      <c r="P48">
        <v>6526.26</v>
      </c>
      <c r="Q48" t="s">
        <v>121</v>
      </c>
      <c r="R48" t="s">
        <v>49</v>
      </c>
      <c r="S48" t="s">
        <v>194</v>
      </c>
      <c r="T48">
        <f>YEAR(Table1_1[[#This Row],[order_date]])</f>
        <v>2024</v>
      </c>
      <c r="U48">
        <f>MONTH(Table1_1[[#This Row],[order_date]])</f>
        <v>10</v>
      </c>
      <c r="V48" t="str">
        <f>TEXT(Table1_1[[#This Row],[order_date]],"mmm")</f>
        <v>Oct</v>
      </c>
      <c r="W48" t="str">
        <f>"Q"&amp;ROUNDUP(MONTH(Table1_1[[#This Row],[order_date]])/3,0)</f>
        <v>Q4</v>
      </c>
      <c r="X48" t="str">
        <f>TEXT(Table1_1[[#This Row],[order_date]],"yyyy-mm")</f>
        <v>2024-10</v>
      </c>
      <c r="Y48">
        <f>IF(Table1_1[[#This Row],[ship_date]]="","",Table1_1[[#This Row],[ship_date]]-Table1_1[[#This Row],[order_date]])</f>
        <v>1</v>
      </c>
      <c r="Z48">
        <f>ROUND(Table1_1[[#This Row],[profit]]/Table1_1[[#This Row],[sales_fix]]*100,2)</f>
        <v>14.5</v>
      </c>
    </row>
    <row r="49" spans="1:26" x14ac:dyDescent="0.3">
      <c r="A49" t="s">
        <v>2828</v>
      </c>
      <c r="B49" s="1">
        <v>45501</v>
      </c>
      <c r="C49" s="1">
        <v>45506</v>
      </c>
      <c r="D49" t="s">
        <v>596</v>
      </c>
      <c r="E49" t="s">
        <v>597</v>
      </c>
      <c r="F49" t="s">
        <v>34</v>
      </c>
      <c r="G49" t="s">
        <v>91</v>
      </c>
      <c r="H49" t="s">
        <v>120</v>
      </c>
      <c r="I49" t="s">
        <v>114</v>
      </c>
      <c r="J49" t="s">
        <v>115</v>
      </c>
      <c r="K49" t="s">
        <v>65</v>
      </c>
      <c r="L49">
        <v>1</v>
      </c>
      <c r="M49">
        <v>55000</v>
      </c>
      <c r="N49">
        <v>0</v>
      </c>
      <c r="O49">
        <v>55000</v>
      </c>
      <c r="P49">
        <v>9968.7000000000007</v>
      </c>
      <c r="Q49" t="s">
        <v>74</v>
      </c>
      <c r="R49" t="s">
        <v>49</v>
      </c>
      <c r="S49" t="s">
        <v>86</v>
      </c>
      <c r="T49">
        <f>YEAR(Table1_1[[#This Row],[order_date]])</f>
        <v>2024</v>
      </c>
      <c r="U49">
        <f>MONTH(Table1_1[[#This Row],[order_date]])</f>
        <v>7</v>
      </c>
      <c r="V49" t="str">
        <f>TEXT(Table1_1[[#This Row],[order_date]],"mmm")</f>
        <v>Jul</v>
      </c>
      <c r="W49" t="str">
        <f>"Q"&amp;ROUNDUP(MONTH(Table1_1[[#This Row],[order_date]])/3,0)</f>
        <v>Q3</v>
      </c>
      <c r="X49" t="str">
        <f>TEXT(Table1_1[[#This Row],[order_date]],"yyyy-mm")</f>
        <v>2024-07</v>
      </c>
      <c r="Y49">
        <f>IF(Table1_1[[#This Row],[ship_date]]="","",Table1_1[[#This Row],[ship_date]]-Table1_1[[#This Row],[order_date]])</f>
        <v>5</v>
      </c>
      <c r="Z49">
        <f>ROUND(Table1_1[[#This Row],[profit]]/Table1_1[[#This Row],[sales_fix]]*100,2)</f>
        <v>18.12</v>
      </c>
    </row>
    <row r="50" spans="1:26" x14ac:dyDescent="0.3">
      <c r="A50" t="s">
        <v>2653</v>
      </c>
      <c r="B50" s="1">
        <v>45732</v>
      </c>
      <c r="C50" s="1">
        <v>45736</v>
      </c>
      <c r="D50" t="s">
        <v>531</v>
      </c>
      <c r="E50" t="s">
        <v>532</v>
      </c>
      <c r="F50" t="s">
        <v>23</v>
      </c>
      <c r="G50" t="s">
        <v>44</v>
      </c>
      <c r="H50" t="s">
        <v>161</v>
      </c>
      <c r="I50" t="s">
        <v>147</v>
      </c>
      <c r="J50" t="s">
        <v>148</v>
      </c>
      <c r="K50" t="s">
        <v>48</v>
      </c>
      <c r="L50">
        <v>1</v>
      </c>
      <c r="M50">
        <v>250</v>
      </c>
      <c r="N50">
        <v>5</v>
      </c>
      <c r="O50">
        <v>237.5</v>
      </c>
      <c r="P50">
        <v>86.74</v>
      </c>
      <c r="Q50" t="s">
        <v>39</v>
      </c>
      <c r="R50" t="s">
        <v>56</v>
      </c>
      <c r="S50" t="s">
        <v>110</v>
      </c>
      <c r="T50">
        <f>YEAR(Table1_1[[#This Row],[order_date]])</f>
        <v>2025</v>
      </c>
      <c r="U50">
        <f>MONTH(Table1_1[[#This Row],[order_date]])</f>
        <v>3</v>
      </c>
      <c r="V50" t="str">
        <f>TEXT(Table1_1[[#This Row],[order_date]],"mmm")</f>
        <v>Mar</v>
      </c>
      <c r="W50" t="str">
        <f>"Q"&amp;ROUNDUP(MONTH(Table1_1[[#This Row],[order_date]])/3,0)</f>
        <v>Q1</v>
      </c>
      <c r="X50" t="str">
        <f>TEXT(Table1_1[[#This Row],[order_date]],"yyyy-mm")</f>
        <v>2025-03</v>
      </c>
      <c r="Y50">
        <f>IF(Table1_1[[#This Row],[ship_date]]="","",Table1_1[[#This Row],[ship_date]]-Table1_1[[#This Row],[order_date]])</f>
        <v>4</v>
      </c>
      <c r="Z50">
        <f>ROUND(Table1_1[[#This Row],[profit]]/Table1_1[[#This Row],[sales_fix]]*100,2)</f>
        <v>36.520000000000003</v>
      </c>
    </row>
    <row r="51" spans="1:26" x14ac:dyDescent="0.3">
      <c r="A51" t="s">
        <v>2336</v>
      </c>
      <c r="B51" s="1">
        <v>45335</v>
      </c>
      <c r="C51" s="1">
        <v>45341</v>
      </c>
      <c r="D51" t="s">
        <v>142</v>
      </c>
      <c r="E51" t="s">
        <v>143</v>
      </c>
      <c r="F51" t="s">
        <v>34</v>
      </c>
      <c r="G51" t="s">
        <v>44</v>
      </c>
      <c r="H51" t="s">
        <v>24</v>
      </c>
      <c r="I51" t="s">
        <v>134</v>
      </c>
      <c r="J51" t="s">
        <v>135</v>
      </c>
      <c r="K51" t="s">
        <v>27</v>
      </c>
      <c r="L51">
        <v>2</v>
      </c>
      <c r="M51">
        <v>6000</v>
      </c>
      <c r="N51">
        <v>5</v>
      </c>
      <c r="O51">
        <v>11400</v>
      </c>
      <c r="P51">
        <v>2923.32</v>
      </c>
      <c r="Q51" t="s">
        <v>39</v>
      </c>
      <c r="R51" t="s">
        <v>49</v>
      </c>
      <c r="S51" t="s">
        <v>40</v>
      </c>
      <c r="T51">
        <f>YEAR(Table1_1[[#This Row],[order_date]])</f>
        <v>2024</v>
      </c>
      <c r="U51">
        <f>MONTH(Table1_1[[#This Row],[order_date]])</f>
        <v>2</v>
      </c>
      <c r="V51" t="str">
        <f>TEXT(Table1_1[[#This Row],[order_date]],"mmm")</f>
        <v>Feb</v>
      </c>
      <c r="W51" t="str">
        <f>"Q"&amp;ROUNDUP(MONTH(Table1_1[[#This Row],[order_date]])/3,0)</f>
        <v>Q1</v>
      </c>
      <c r="X51" t="str">
        <f>TEXT(Table1_1[[#This Row],[order_date]],"yyyy-mm")</f>
        <v>2024-02</v>
      </c>
      <c r="Y51">
        <f>IF(Table1_1[[#This Row],[ship_date]]="","",Table1_1[[#This Row],[ship_date]]-Table1_1[[#This Row],[order_date]])</f>
        <v>6</v>
      </c>
      <c r="Z51">
        <f>ROUND(Table1_1[[#This Row],[profit]]/Table1_1[[#This Row],[sales_fix]]*100,2)</f>
        <v>25.64</v>
      </c>
    </row>
    <row r="52" spans="1:26" x14ac:dyDescent="0.3">
      <c r="A52" t="s">
        <v>3025</v>
      </c>
      <c r="B52" s="1">
        <v>45947</v>
      </c>
      <c r="C52" s="1">
        <v>45950</v>
      </c>
      <c r="D52" t="s">
        <v>1055</v>
      </c>
      <c r="E52" t="s">
        <v>1056</v>
      </c>
      <c r="F52" t="s">
        <v>55</v>
      </c>
      <c r="G52" t="s">
        <v>61</v>
      </c>
      <c r="H52" t="s">
        <v>62</v>
      </c>
      <c r="I52" t="s">
        <v>71</v>
      </c>
      <c r="J52" t="s">
        <v>72</v>
      </c>
      <c r="K52" t="s">
        <v>73</v>
      </c>
      <c r="L52">
        <v>1</v>
      </c>
      <c r="M52">
        <v>3500</v>
      </c>
      <c r="N52">
        <v>0</v>
      </c>
      <c r="O52">
        <v>3500</v>
      </c>
      <c r="P52">
        <v>1216.8599999999999</v>
      </c>
      <c r="Q52" t="s">
        <v>39</v>
      </c>
      <c r="R52" t="s">
        <v>49</v>
      </c>
      <c r="S52" t="s">
        <v>110</v>
      </c>
      <c r="T52">
        <f>YEAR(Table1_1[[#This Row],[order_date]])</f>
        <v>2025</v>
      </c>
      <c r="U52">
        <f>MONTH(Table1_1[[#This Row],[order_date]])</f>
        <v>10</v>
      </c>
      <c r="V52" t="str">
        <f>TEXT(Table1_1[[#This Row],[order_date]],"mmm")</f>
        <v>Oct</v>
      </c>
      <c r="W52" t="str">
        <f>"Q"&amp;ROUNDUP(MONTH(Table1_1[[#This Row],[order_date]])/3,0)</f>
        <v>Q4</v>
      </c>
      <c r="X52" t="str">
        <f>TEXT(Table1_1[[#This Row],[order_date]],"yyyy-mm")</f>
        <v>2025-10</v>
      </c>
      <c r="Y52">
        <f>IF(Table1_1[[#This Row],[ship_date]]="","",Table1_1[[#This Row],[ship_date]]-Table1_1[[#This Row],[order_date]])</f>
        <v>3</v>
      </c>
      <c r="Z52">
        <f>ROUND(Table1_1[[#This Row],[profit]]/Table1_1[[#This Row],[sales_fix]]*100,2)</f>
        <v>34.770000000000003</v>
      </c>
    </row>
    <row r="53" spans="1:26" x14ac:dyDescent="0.3">
      <c r="A53" t="s">
        <v>2943</v>
      </c>
      <c r="B53" s="1">
        <v>45400</v>
      </c>
      <c r="C53" s="1">
        <v>45402</v>
      </c>
      <c r="D53" t="s">
        <v>1579</v>
      </c>
      <c r="E53" t="s">
        <v>1580</v>
      </c>
      <c r="F53" t="s">
        <v>55</v>
      </c>
      <c r="G53" t="s">
        <v>44</v>
      </c>
      <c r="H53" t="s">
        <v>45</v>
      </c>
      <c r="I53" t="s">
        <v>134</v>
      </c>
      <c r="J53" t="s">
        <v>135</v>
      </c>
      <c r="K53" t="s">
        <v>27</v>
      </c>
      <c r="L53">
        <v>1</v>
      </c>
      <c r="M53">
        <v>6000</v>
      </c>
      <c r="N53">
        <v>10</v>
      </c>
      <c r="O53">
        <v>5400</v>
      </c>
      <c r="P53">
        <v>1114.79</v>
      </c>
      <c r="Q53" t="s">
        <v>28</v>
      </c>
      <c r="R53" t="s">
        <v>49</v>
      </c>
      <c r="S53" t="s">
        <v>110</v>
      </c>
      <c r="T53">
        <f>YEAR(Table1_1[[#This Row],[order_date]])</f>
        <v>2024</v>
      </c>
      <c r="U53">
        <f>MONTH(Table1_1[[#This Row],[order_date]])</f>
        <v>4</v>
      </c>
      <c r="V53" t="str">
        <f>TEXT(Table1_1[[#This Row],[order_date]],"mmm")</f>
        <v>Apr</v>
      </c>
      <c r="W53" t="str">
        <f>"Q"&amp;ROUNDUP(MONTH(Table1_1[[#This Row],[order_date]])/3,0)</f>
        <v>Q2</v>
      </c>
      <c r="X53" t="str">
        <f>TEXT(Table1_1[[#This Row],[order_date]],"yyyy-mm")</f>
        <v>2024-04</v>
      </c>
      <c r="Y53">
        <f>IF(Table1_1[[#This Row],[ship_date]]="","",Table1_1[[#This Row],[ship_date]]-Table1_1[[#This Row],[order_date]])</f>
        <v>2</v>
      </c>
      <c r="Z53">
        <f>ROUND(Table1_1[[#This Row],[profit]]/Table1_1[[#This Row],[sales_fix]]*100,2)</f>
        <v>20.64</v>
      </c>
    </row>
    <row r="54" spans="1:26" x14ac:dyDescent="0.3">
      <c r="A54" t="s">
        <v>1144</v>
      </c>
      <c r="B54" s="1">
        <v>45464</v>
      </c>
      <c r="C54" s="1">
        <v>45468</v>
      </c>
      <c r="D54" t="s">
        <v>444</v>
      </c>
      <c r="E54" t="s">
        <v>445</v>
      </c>
      <c r="F54" t="s">
        <v>55</v>
      </c>
      <c r="G54" t="s">
        <v>91</v>
      </c>
      <c r="H54" t="s">
        <v>92</v>
      </c>
      <c r="I54" t="s">
        <v>37</v>
      </c>
      <c r="J54" t="s">
        <v>38</v>
      </c>
      <c r="K54" t="s">
        <v>27</v>
      </c>
      <c r="L54">
        <v>1</v>
      </c>
      <c r="M54">
        <v>9500</v>
      </c>
      <c r="N54">
        <v>15</v>
      </c>
      <c r="O54">
        <v>8075</v>
      </c>
      <c r="P54">
        <v>1204.1600000000001</v>
      </c>
      <c r="Q54" t="s">
        <v>74</v>
      </c>
      <c r="R54" t="s">
        <v>49</v>
      </c>
      <c r="S54" t="s">
        <v>50</v>
      </c>
      <c r="T54">
        <f>YEAR(Table1_1[[#This Row],[order_date]])</f>
        <v>2024</v>
      </c>
      <c r="U54">
        <f>MONTH(Table1_1[[#This Row],[order_date]])</f>
        <v>6</v>
      </c>
      <c r="V54" t="str">
        <f>TEXT(Table1_1[[#This Row],[order_date]],"mmm")</f>
        <v>Jun</v>
      </c>
      <c r="W54" t="str">
        <f>"Q"&amp;ROUNDUP(MONTH(Table1_1[[#This Row],[order_date]])/3,0)</f>
        <v>Q2</v>
      </c>
      <c r="X54" t="str">
        <f>TEXT(Table1_1[[#This Row],[order_date]],"yyyy-mm")</f>
        <v>2024-06</v>
      </c>
      <c r="Y54">
        <f>IF(Table1_1[[#This Row],[ship_date]]="","",Table1_1[[#This Row],[ship_date]]-Table1_1[[#This Row],[order_date]])</f>
        <v>4</v>
      </c>
      <c r="Z54">
        <f>ROUND(Table1_1[[#This Row],[profit]]/Table1_1[[#This Row],[sales_fix]]*100,2)</f>
        <v>14.91</v>
      </c>
    </row>
    <row r="55" spans="1:26" x14ac:dyDescent="0.3">
      <c r="A55" t="s">
        <v>1606</v>
      </c>
      <c r="B55" s="1">
        <v>45441</v>
      </c>
      <c r="C55" s="1">
        <v>45443</v>
      </c>
      <c r="D55" t="s">
        <v>973</v>
      </c>
      <c r="E55" t="s">
        <v>974</v>
      </c>
      <c r="F55" t="s">
        <v>34</v>
      </c>
      <c r="G55" t="s">
        <v>91</v>
      </c>
      <c r="H55" t="s">
        <v>177</v>
      </c>
      <c r="I55" t="s">
        <v>63</v>
      </c>
      <c r="J55" t="s">
        <v>64</v>
      </c>
      <c r="K55" t="s">
        <v>65</v>
      </c>
      <c r="L55">
        <v>1</v>
      </c>
      <c r="M55">
        <v>25000</v>
      </c>
      <c r="N55">
        <v>0</v>
      </c>
      <c r="O55">
        <v>25000</v>
      </c>
      <c r="P55">
        <v>3528.6</v>
      </c>
      <c r="Q55" t="s">
        <v>121</v>
      </c>
      <c r="R55" t="s">
        <v>56</v>
      </c>
      <c r="S55" t="s">
        <v>30</v>
      </c>
      <c r="T55">
        <f>YEAR(Table1_1[[#This Row],[order_date]])</f>
        <v>2024</v>
      </c>
      <c r="U55">
        <f>MONTH(Table1_1[[#This Row],[order_date]])</f>
        <v>5</v>
      </c>
      <c r="V55" t="str">
        <f>TEXT(Table1_1[[#This Row],[order_date]],"mmm")</f>
        <v>May</v>
      </c>
      <c r="W55" t="str">
        <f>"Q"&amp;ROUNDUP(MONTH(Table1_1[[#This Row],[order_date]])/3,0)</f>
        <v>Q2</v>
      </c>
      <c r="X55" t="str">
        <f>TEXT(Table1_1[[#This Row],[order_date]],"yyyy-mm")</f>
        <v>2024-05</v>
      </c>
      <c r="Y55">
        <f>IF(Table1_1[[#This Row],[ship_date]]="","",Table1_1[[#This Row],[ship_date]]-Table1_1[[#This Row],[order_date]])</f>
        <v>2</v>
      </c>
      <c r="Z55">
        <f>ROUND(Table1_1[[#This Row],[profit]]/Table1_1[[#This Row],[sales_fix]]*100,2)</f>
        <v>14.11</v>
      </c>
    </row>
    <row r="56" spans="1:26" x14ac:dyDescent="0.3">
      <c r="A56" t="s">
        <v>1907</v>
      </c>
      <c r="B56" s="1">
        <v>45885</v>
      </c>
      <c r="C56" s="1">
        <v>45891</v>
      </c>
      <c r="D56" t="s">
        <v>406</v>
      </c>
      <c r="E56" t="s">
        <v>407</v>
      </c>
      <c r="F56" t="s">
        <v>55</v>
      </c>
      <c r="G56" t="s">
        <v>91</v>
      </c>
      <c r="H56" t="s">
        <v>120</v>
      </c>
      <c r="I56" t="s">
        <v>93</v>
      </c>
      <c r="J56" t="s">
        <v>94</v>
      </c>
      <c r="K56" t="s">
        <v>95</v>
      </c>
      <c r="L56">
        <v>2</v>
      </c>
      <c r="M56">
        <v>1800</v>
      </c>
      <c r="N56">
        <v>10</v>
      </c>
      <c r="O56">
        <v>3240</v>
      </c>
      <c r="P56">
        <v>1085.46</v>
      </c>
      <c r="Q56" t="s">
        <v>156</v>
      </c>
      <c r="R56" t="s">
        <v>49</v>
      </c>
      <c r="S56" t="s">
        <v>50</v>
      </c>
      <c r="T56">
        <f>YEAR(Table1_1[[#This Row],[order_date]])</f>
        <v>2025</v>
      </c>
      <c r="U56">
        <f>MONTH(Table1_1[[#This Row],[order_date]])</f>
        <v>8</v>
      </c>
      <c r="V56" t="str">
        <f>TEXT(Table1_1[[#This Row],[order_date]],"mmm")</f>
        <v>Aug</v>
      </c>
      <c r="W56" t="str">
        <f>"Q"&amp;ROUNDUP(MONTH(Table1_1[[#This Row],[order_date]])/3,0)</f>
        <v>Q3</v>
      </c>
      <c r="X56" t="str">
        <f>TEXT(Table1_1[[#This Row],[order_date]],"yyyy-mm")</f>
        <v>2025-08</v>
      </c>
      <c r="Y56">
        <f>IF(Table1_1[[#This Row],[ship_date]]="","",Table1_1[[#This Row],[ship_date]]-Table1_1[[#This Row],[order_date]])</f>
        <v>6</v>
      </c>
      <c r="Z56">
        <f>ROUND(Table1_1[[#This Row],[profit]]/Table1_1[[#This Row],[sales_fix]]*100,2)</f>
        <v>33.5</v>
      </c>
    </row>
    <row r="57" spans="1:26" x14ac:dyDescent="0.3">
      <c r="A57" t="s">
        <v>2261</v>
      </c>
      <c r="B57" s="1">
        <v>45772</v>
      </c>
      <c r="C57" s="1">
        <v>45773</v>
      </c>
      <c r="D57" t="s">
        <v>169</v>
      </c>
      <c r="E57" t="s">
        <v>170</v>
      </c>
      <c r="F57" t="s">
        <v>55</v>
      </c>
      <c r="G57" t="s">
        <v>91</v>
      </c>
      <c r="H57" t="s">
        <v>92</v>
      </c>
      <c r="I57" t="s">
        <v>63</v>
      </c>
      <c r="J57" t="s">
        <v>64</v>
      </c>
      <c r="K57" t="s">
        <v>65</v>
      </c>
      <c r="L57">
        <v>2</v>
      </c>
      <c r="M57">
        <v>25000</v>
      </c>
      <c r="N57">
        <v>0</v>
      </c>
      <c r="O57">
        <v>50000</v>
      </c>
      <c r="P57">
        <v>7638.99</v>
      </c>
      <c r="Q57" t="s">
        <v>74</v>
      </c>
      <c r="R57" t="s">
        <v>56</v>
      </c>
      <c r="S57" t="s">
        <v>86</v>
      </c>
      <c r="T57">
        <f>YEAR(Table1_1[[#This Row],[order_date]])</f>
        <v>2025</v>
      </c>
      <c r="U57">
        <f>MONTH(Table1_1[[#This Row],[order_date]])</f>
        <v>4</v>
      </c>
      <c r="V57" t="str">
        <f>TEXT(Table1_1[[#This Row],[order_date]],"mmm")</f>
        <v>Apr</v>
      </c>
      <c r="W57" t="str">
        <f>"Q"&amp;ROUNDUP(MONTH(Table1_1[[#This Row],[order_date]])/3,0)</f>
        <v>Q2</v>
      </c>
      <c r="X57" t="str">
        <f>TEXT(Table1_1[[#This Row],[order_date]],"yyyy-mm")</f>
        <v>2025-04</v>
      </c>
      <c r="Y57">
        <f>IF(Table1_1[[#This Row],[ship_date]]="","",Table1_1[[#This Row],[ship_date]]-Table1_1[[#This Row],[order_date]])</f>
        <v>1</v>
      </c>
      <c r="Z57">
        <f>ROUND(Table1_1[[#This Row],[profit]]/Table1_1[[#This Row],[sales_fix]]*100,2)</f>
        <v>15.28</v>
      </c>
    </row>
    <row r="58" spans="1:26" x14ac:dyDescent="0.3">
      <c r="A58" t="s">
        <v>2110</v>
      </c>
      <c r="B58" s="1">
        <v>45754</v>
      </c>
      <c r="C58" s="1">
        <v>45756</v>
      </c>
      <c r="D58" t="s">
        <v>653</v>
      </c>
      <c r="E58" t="s">
        <v>654</v>
      </c>
      <c r="F58" t="s">
        <v>23</v>
      </c>
      <c r="G58" t="s">
        <v>44</v>
      </c>
      <c r="H58" t="s">
        <v>330</v>
      </c>
      <c r="I58" t="s">
        <v>147</v>
      </c>
      <c r="J58" t="s">
        <v>148</v>
      </c>
      <c r="K58" t="s">
        <v>48</v>
      </c>
      <c r="L58">
        <v>1</v>
      </c>
      <c r="M58">
        <v>250</v>
      </c>
      <c r="N58">
        <v>0</v>
      </c>
      <c r="O58">
        <v>250</v>
      </c>
      <c r="P58">
        <v>103.27</v>
      </c>
      <c r="Q58" t="s">
        <v>156</v>
      </c>
      <c r="R58" t="s">
        <v>29</v>
      </c>
      <c r="S58" t="s">
        <v>40</v>
      </c>
      <c r="T58">
        <f>YEAR(Table1_1[[#This Row],[order_date]])</f>
        <v>2025</v>
      </c>
      <c r="U58">
        <f>MONTH(Table1_1[[#This Row],[order_date]])</f>
        <v>4</v>
      </c>
      <c r="V58" t="str">
        <f>TEXT(Table1_1[[#This Row],[order_date]],"mmm")</f>
        <v>Apr</v>
      </c>
      <c r="W58" t="str">
        <f>"Q"&amp;ROUNDUP(MONTH(Table1_1[[#This Row],[order_date]])/3,0)</f>
        <v>Q2</v>
      </c>
      <c r="X58" t="str">
        <f>TEXT(Table1_1[[#This Row],[order_date]],"yyyy-mm")</f>
        <v>2025-04</v>
      </c>
      <c r="Y58">
        <f>IF(Table1_1[[#This Row],[ship_date]]="","",Table1_1[[#This Row],[ship_date]]-Table1_1[[#This Row],[order_date]])</f>
        <v>2</v>
      </c>
      <c r="Z58">
        <f>ROUND(Table1_1[[#This Row],[profit]]/Table1_1[[#This Row],[sales_fix]]*100,2)</f>
        <v>41.31</v>
      </c>
    </row>
    <row r="59" spans="1:26" x14ac:dyDescent="0.3">
      <c r="A59" t="s">
        <v>1971</v>
      </c>
      <c r="B59" s="1">
        <v>45765</v>
      </c>
      <c r="C59" s="1">
        <v>45766</v>
      </c>
      <c r="D59" t="s">
        <v>864</v>
      </c>
      <c r="E59" t="s">
        <v>865</v>
      </c>
      <c r="F59" t="s">
        <v>34</v>
      </c>
      <c r="G59" t="s">
        <v>44</v>
      </c>
      <c r="H59" t="s">
        <v>155</v>
      </c>
      <c r="I59" t="s">
        <v>134</v>
      </c>
      <c r="J59" t="s">
        <v>135</v>
      </c>
      <c r="K59" t="s">
        <v>27</v>
      </c>
      <c r="L59">
        <v>2</v>
      </c>
      <c r="M59">
        <v>6000</v>
      </c>
      <c r="N59">
        <v>20</v>
      </c>
      <c r="O59">
        <v>9600</v>
      </c>
      <c r="P59">
        <v>2293.79</v>
      </c>
      <c r="Q59" t="s">
        <v>28</v>
      </c>
      <c r="R59" t="s">
        <v>56</v>
      </c>
      <c r="S59" t="s">
        <v>50</v>
      </c>
      <c r="T59">
        <f>YEAR(Table1_1[[#This Row],[order_date]])</f>
        <v>2025</v>
      </c>
      <c r="U59">
        <f>MONTH(Table1_1[[#This Row],[order_date]])</f>
        <v>4</v>
      </c>
      <c r="V59" t="str">
        <f>TEXT(Table1_1[[#This Row],[order_date]],"mmm")</f>
        <v>Apr</v>
      </c>
      <c r="W59" t="str">
        <f>"Q"&amp;ROUNDUP(MONTH(Table1_1[[#This Row],[order_date]])/3,0)</f>
        <v>Q2</v>
      </c>
      <c r="X59" t="str">
        <f>TEXT(Table1_1[[#This Row],[order_date]],"yyyy-mm")</f>
        <v>2025-04</v>
      </c>
      <c r="Y59">
        <f>IF(Table1_1[[#This Row],[ship_date]]="","",Table1_1[[#This Row],[ship_date]]-Table1_1[[#This Row],[order_date]])</f>
        <v>1</v>
      </c>
      <c r="Z59">
        <f>ROUND(Table1_1[[#This Row],[profit]]/Table1_1[[#This Row],[sales_fix]]*100,2)</f>
        <v>23.89</v>
      </c>
    </row>
    <row r="60" spans="1:26" x14ac:dyDescent="0.3">
      <c r="A60" t="s">
        <v>3062</v>
      </c>
      <c r="B60" s="1">
        <v>45779</v>
      </c>
      <c r="C60" s="1">
        <v>45785</v>
      </c>
      <c r="D60" t="s">
        <v>227</v>
      </c>
      <c r="E60" t="s">
        <v>228</v>
      </c>
      <c r="F60" t="s">
        <v>23</v>
      </c>
      <c r="G60" t="s">
        <v>61</v>
      </c>
      <c r="H60" t="s">
        <v>62</v>
      </c>
      <c r="I60" t="s">
        <v>93</v>
      </c>
      <c r="J60" t="s">
        <v>94</v>
      </c>
      <c r="K60" t="s">
        <v>95</v>
      </c>
      <c r="L60">
        <v>2</v>
      </c>
      <c r="M60">
        <v>1800</v>
      </c>
      <c r="N60">
        <v>0</v>
      </c>
      <c r="O60">
        <v>3600</v>
      </c>
      <c r="P60">
        <v>1109.06</v>
      </c>
      <c r="Q60" t="s">
        <v>156</v>
      </c>
      <c r="R60" t="s">
        <v>29</v>
      </c>
      <c r="S60" t="s">
        <v>40</v>
      </c>
      <c r="T60">
        <f>YEAR(Table1_1[[#This Row],[order_date]])</f>
        <v>2025</v>
      </c>
      <c r="U60">
        <f>MONTH(Table1_1[[#This Row],[order_date]])</f>
        <v>5</v>
      </c>
      <c r="V60" t="str">
        <f>TEXT(Table1_1[[#This Row],[order_date]],"mmm")</f>
        <v>May</v>
      </c>
      <c r="W60" t="str">
        <f>"Q"&amp;ROUNDUP(MONTH(Table1_1[[#This Row],[order_date]])/3,0)</f>
        <v>Q2</v>
      </c>
      <c r="X60" t="str">
        <f>TEXT(Table1_1[[#This Row],[order_date]],"yyyy-mm")</f>
        <v>2025-05</v>
      </c>
      <c r="Y60">
        <f>IF(Table1_1[[#This Row],[ship_date]]="","",Table1_1[[#This Row],[ship_date]]-Table1_1[[#This Row],[order_date]])</f>
        <v>6</v>
      </c>
      <c r="Z60">
        <f>ROUND(Table1_1[[#This Row],[profit]]/Table1_1[[#This Row],[sales_fix]]*100,2)</f>
        <v>30.81</v>
      </c>
    </row>
    <row r="61" spans="1:26" x14ac:dyDescent="0.3">
      <c r="A61" t="s">
        <v>2545</v>
      </c>
      <c r="B61" s="1">
        <v>45545</v>
      </c>
      <c r="C61" s="1">
        <v>45548</v>
      </c>
      <c r="D61" t="s">
        <v>450</v>
      </c>
      <c r="E61" t="s">
        <v>451</v>
      </c>
      <c r="F61" t="s">
        <v>55</v>
      </c>
      <c r="G61" t="s">
        <v>61</v>
      </c>
      <c r="H61" t="s">
        <v>62</v>
      </c>
      <c r="I61" t="s">
        <v>114</v>
      </c>
      <c r="J61" t="s">
        <v>115</v>
      </c>
      <c r="K61" t="s">
        <v>65</v>
      </c>
      <c r="L61">
        <v>3</v>
      </c>
      <c r="M61">
        <v>55000</v>
      </c>
      <c r="N61">
        <v>5</v>
      </c>
      <c r="O61">
        <v>156750</v>
      </c>
      <c r="P61">
        <v>25665.14</v>
      </c>
      <c r="Q61" t="s">
        <v>74</v>
      </c>
      <c r="R61" t="s">
        <v>49</v>
      </c>
      <c r="S61" t="s">
        <v>110</v>
      </c>
      <c r="T61">
        <f>YEAR(Table1_1[[#This Row],[order_date]])</f>
        <v>2024</v>
      </c>
      <c r="U61">
        <f>MONTH(Table1_1[[#This Row],[order_date]])</f>
        <v>9</v>
      </c>
      <c r="V61" t="str">
        <f>TEXT(Table1_1[[#This Row],[order_date]],"mmm")</f>
        <v>Sep</v>
      </c>
      <c r="W61" t="str">
        <f>"Q"&amp;ROUNDUP(MONTH(Table1_1[[#This Row],[order_date]])/3,0)</f>
        <v>Q3</v>
      </c>
      <c r="X61" t="str">
        <f>TEXT(Table1_1[[#This Row],[order_date]],"yyyy-mm")</f>
        <v>2024-09</v>
      </c>
      <c r="Y61">
        <f>IF(Table1_1[[#This Row],[ship_date]]="","",Table1_1[[#This Row],[ship_date]]-Table1_1[[#This Row],[order_date]])</f>
        <v>3</v>
      </c>
      <c r="Z61">
        <f>ROUND(Table1_1[[#This Row],[profit]]/Table1_1[[#This Row],[sales_fix]]*100,2)</f>
        <v>16.37</v>
      </c>
    </row>
    <row r="62" spans="1:26" x14ac:dyDescent="0.3">
      <c r="A62" t="s">
        <v>2931</v>
      </c>
      <c r="B62" s="1">
        <v>45638</v>
      </c>
      <c r="C62" s="1">
        <v>45640</v>
      </c>
      <c r="D62" t="s">
        <v>336</v>
      </c>
      <c r="E62" t="s">
        <v>337</v>
      </c>
      <c r="F62" t="s">
        <v>34</v>
      </c>
      <c r="G62" t="s">
        <v>61</v>
      </c>
      <c r="H62" t="s">
        <v>211</v>
      </c>
      <c r="I62" t="s">
        <v>134</v>
      </c>
      <c r="J62" t="s">
        <v>135</v>
      </c>
      <c r="K62" t="s">
        <v>27</v>
      </c>
      <c r="L62">
        <v>1</v>
      </c>
      <c r="M62">
        <v>6000</v>
      </c>
      <c r="N62">
        <v>15</v>
      </c>
      <c r="O62">
        <v>5100</v>
      </c>
      <c r="P62">
        <v>1173.72</v>
      </c>
      <c r="Q62" t="s">
        <v>74</v>
      </c>
      <c r="R62" t="s">
        <v>29</v>
      </c>
      <c r="S62" t="s">
        <v>40</v>
      </c>
      <c r="T62">
        <f>YEAR(Table1_1[[#This Row],[order_date]])</f>
        <v>2024</v>
      </c>
      <c r="U62">
        <f>MONTH(Table1_1[[#This Row],[order_date]])</f>
        <v>12</v>
      </c>
      <c r="V62" t="str">
        <f>TEXT(Table1_1[[#This Row],[order_date]],"mmm")</f>
        <v>Dec</v>
      </c>
      <c r="W62" t="str">
        <f>"Q"&amp;ROUNDUP(MONTH(Table1_1[[#This Row],[order_date]])/3,0)</f>
        <v>Q4</v>
      </c>
      <c r="X62" t="str">
        <f>TEXT(Table1_1[[#This Row],[order_date]],"yyyy-mm")</f>
        <v>2024-12</v>
      </c>
      <c r="Y62">
        <f>IF(Table1_1[[#This Row],[ship_date]]="","",Table1_1[[#This Row],[ship_date]]-Table1_1[[#This Row],[order_date]])</f>
        <v>2</v>
      </c>
      <c r="Z62">
        <f>ROUND(Table1_1[[#This Row],[profit]]/Table1_1[[#This Row],[sales_fix]]*100,2)</f>
        <v>23.01</v>
      </c>
    </row>
    <row r="63" spans="1:26" x14ac:dyDescent="0.3">
      <c r="A63" t="s">
        <v>737</v>
      </c>
      <c r="B63" s="1">
        <v>45550</v>
      </c>
      <c r="C63" s="1">
        <v>45553</v>
      </c>
      <c r="D63" t="s">
        <v>301</v>
      </c>
      <c r="E63" t="s">
        <v>302</v>
      </c>
      <c r="F63" t="s">
        <v>34</v>
      </c>
      <c r="G63" t="s">
        <v>44</v>
      </c>
      <c r="H63" t="s">
        <v>24</v>
      </c>
      <c r="I63" t="s">
        <v>25</v>
      </c>
      <c r="J63" t="s">
        <v>26</v>
      </c>
      <c r="K63" t="s">
        <v>27</v>
      </c>
      <c r="L63">
        <v>3</v>
      </c>
      <c r="M63">
        <v>7000</v>
      </c>
      <c r="N63">
        <v>15</v>
      </c>
      <c r="O63">
        <v>17850</v>
      </c>
      <c r="P63">
        <v>4263.8</v>
      </c>
      <c r="Q63" t="s">
        <v>74</v>
      </c>
      <c r="R63" t="s">
        <v>29</v>
      </c>
      <c r="S63" t="s">
        <v>40</v>
      </c>
      <c r="T63">
        <f>YEAR(Table1_1[[#This Row],[order_date]])</f>
        <v>2024</v>
      </c>
      <c r="U63">
        <f>MONTH(Table1_1[[#This Row],[order_date]])</f>
        <v>9</v>
      </c>
      <c r="V63" t="str">
        <f>TEXT(Table1_1[[#This Row],[order_date]],"mmm")</f>
        <v>Sep</v>
      </c>
      <c r="W63" t="str">
        <f>"Q"&amp;ROUNDUP(MONTH(Table1_1[[#This Row],[order_date]])/3,0)</f>
        <v>Q3</v>
      </c>
      <c r="X63" t="str">
        <f>TEXT(Table1_1[[#This Row],[order_date]],"yyyy-mm")</f>
        <v>2024-09</v>
      </c>
      <c r="Y63">
        <f>IF(Table1_1[[#This Row],[ship_date]]="","",Table1_1[[#This Row],[ship_date]]-Table1_1[[#This Row],[order_date]])</f>
        <v>3</v>
      </c>
      <c r="Z63">
        <f>ROUND(Table1_1[[#This Row],[profit]]/Table1_1[[#This Row],[sales_fix]]*100,2)</f>
        <v>23.89</v>
      </c>
    </row>
    <row r="64" spans="1:26" x14ac:dyDescent="0.3">
      <c r="A64" t="s">
        <v>1510</v>
      </c>
      <c r="B64" s="1">
        <v>45609</v>
      </c>
      <c r="C64" s="1">
        <v>45611</v>
      </c>
      <c r="D64" t="s">
        <v>657</v>
      </c>
      <c r="E64" t="s">
        <v>658</v>
      </c>
      <c r="F64" t="s">
        <v>34</v>
      </c>
      <c r="G64" t="s">
        <v>91</v>
      </c>
      <c r="H64" t="s">
        <v>120</v>
      </c>
      <c r="I64" t="s">
        <v>37</v>
      </c>
      <c r="J64" t="s">
        <v>38</v>
      </c>
      <c r="K64" t="s">
        <v>27</v>
      </c>
      <c r="L64">
        <v>3</v>
      </c>
      <c r="M64">
        <v>9500</v>
      </c>
      <c r="N64">
        <v>5</v>
      </c>
      <c r="O64">
        <v>27075</v>
      </c>
      <c r="P64">
        <v>4069.81</v>
      </c>
      <c r="Q64" t="s">
        <v>74</v>
      </c>
      <c r="R64" t="s">
        <v>56</v>
      </c>
      <c r="S64" t="s">
        <v>30</v>
      </c>
      <c r="T64">
        <f>YEAR(Table1_1[[#This Row],[order_date]])</f>
        <v>2024</v>
      </c>
      <c r="U64">
        <f>MONTH(Table1_1[[#This Row],[order_date]])</f>
        <v>11</v>
      </c>
      <c r="V64" t="str">
        <f>TEXT(Table1_1[[#This Row],[order_date]],"mmm")</f>
        <v>Nov</v>
      </c>
      <c r="W64" t="str">
        <f>"Q"&amp;ROUNDUP(MONTH(Table1_1[[#This Row],[order_date]])/3,0)</f>
        <v>Q4</v>
      </c>
      <c r="X64" t="str">
        <f>TEXT(Table1_1[[#This Row],[order_date]],"yyyy-mm")</f>
        <v>2024-11</v>
      </c>
      <c r="Y64">
        <f>IF(Table1_1[[#This Row],[ship_date]]="","",Table1_1[[#This Row],[ship_date]]-Table1_1[[#This Row],[order_date]])</f>
        <v>2</v>
      </c>
      <c r="Z64">
        <f>ROUND(Table1_1[[#This Row],[profit]]/Table1_1[[#This Row],[sales_fix]]*100,2)</f>
        <v>15.03</v>
      </c>
    </row>
    <row r="65" spans="1:26" x14ac:dyDescent="0.3">
      <c r="A65" t="s">
        <v>1256</v>
      </c>
      <c r="B65" s="1">
        <v>45978</v>
      </c>
      <c r="C65" s="1">
        <v>45980</v>
      </c>
      <c r="D65" t="s">
        <v>904</v>
      </c>
      <c r="E65" t="s">
        <v>905</v>
      </c>
      <c r="F65" t="s">
        <v>23</v>
      </c>
      <c r="G65" t="s">
        <v>91</v>
      </c>
      <c r="H65" t="s">
        <v>92</v>
      </c>
      <c r="I65" t="s">
        <v>79</v>
      </c>
      <c r="J65" t="s">
        <v>80</v>
      </c>
      <c r="K65" t="s">
        <v>65</v>
      </c>
      <c r="L65">
        <v>5</v>
      </c>
      <c r="M65">
        <v>3000</v>
      </c>
      <c r="N65">
        <v>15</v>
      </c>
      <c r="O65">
        <v>12750</v>
      </c>
      <c r="P65">
        <v>4073.55</v>
      </c>
      <c r="Q65" t="s">
        <v>156</v>
      </c>
      <c r="R65" t="s">
        <v>56</v>
      </c>
      <c r="S65" t="s">
        <v>30</v>
      </c>
      <c r="T65">
        <f>YEAR(Table1_1[[#This Row],[order_date]])</f>
        <v>2025</v>
      </c>
      <c r="U65">
        <f>MONTH(Table1_1[[#This Row],[order_date]])</f>
        <v>11</v>
      </c>
      <c r="V65" t="str">
        <f>TEXT(Table1_1[[#This Row],[order_date]],"mmm")</f>
        <v>Nov</v>
      </c>
      <c r="W65" t="str">
        <f>"Q"&amp;ROUNDUP(MONTH(Table1_1[[#This Row],[order_date]])/3,0)</f>
        <v>Q4</v>
      </c>
      <c r="X65" t="str">
        <f>TEXT(Table1_1[[#This Row],[order_date]],"yyyy-mm")</f>
        <v>2025-11</v>
      </c>
      <c r="Y65">
        <f>IF(Table1_1[[#This Row],[ship_date]]="","",Table1_1[[#This Row],[ship_date]]-Table1_1[[#This Row],[order_date]])</f>
        <v>2</v>
      </c>
      <c r="Z65">
        <f>ROUND(Table1_1[[#This Row],[profit]]/Table1_1[[#This Row],[sales_fix]]*100,2)</f>
        <v>31.95</v>
      </c>
    </row>
    <row r="66" spans="1:26" x14ac:dyDescent="0.3">
      <c r="A66" t="s">
        <v>2655</v>
      </c>
      <c r="B66" s="1">
        <v>45310</v>
      </c>
      <c r="C66" s="1">
        <v>45316</v>
      </c>
      <c r="D66" t="s">
        <v>819</v>
      </c>
      <c r="E66" t="s">
        <v>820</v>
      </c>
      <c r="F66" t="s">
        <v>34</v>
      </c>
      <c r="G66" t="s">
        <v>61</v>
      </c>
      <c r="H66" t="s">
        <v>62</v>
      </c>
      <c r="I66" t="s">
        <v>37</v>
      </c>
      <c r="J66" t="s">
        <v>38</v>
      </c>
      <c r="K66" t="s">
        <v>27</v>
      </c>
      <c r="L66">
        <v>1</v>
      </c>
      <c r="M66">
        <v>9500</v>
      </c>
      <c r="N66">
        <v>0</v>
      </c>
      <c r="O66">
        <v>9500</v>
      </c>
      <c r="P66">
        <v>2052.89</v>
      </c>
      <c r="Q66" t="s">
        <v>28</v>
      </c>
      <c r="R66" t="s">
        <v>29</v>
      </c>
      <c r="S66" t="s">
        <v>50</v>
      </c>
      <c r="T66">
        <f>YEAR(Table1_1[[#This Row],[order_date]])</f>
        <v>2024</v>
      </c>
      <c r="U66">
        <f>MONTH(Table1_1[[#This Row],[order_date]])</f>
        <v>1</v>
      </c>
      <c r="V66" t="str">
        <f>TEXT(Table1_1[[#This Row],[order_date]],"mmm")</f>
        <v>Jan</v>
      </c>
      <c r="W66" t="str">
        <f>"Q"&amp;ROUNDUP(MONTH(Table1_1[[#This Row],[order_date]])/3,0)</f>
        <v>Q1</v>
      </c>
      <c r="X66" t="str">
        <f>TEXT(Table1_1[[#This Row],[order_date]],"yyyy-mm")</f>
        <v>2024-01</v>
      </c>
      <c r="Y66">
        <f>IF(Table1_1[[#This Row],[ship_date]]="","",Table1_1[[#This Row],[ship_date]]-Table1_1[[#This Row],[order_date]])</f>
        <v>6</v>
      </c>
      <c r="Z66">
        <f>ROUND(Table1_1[[#This Row],[profit]]/Table1_1[[#This Row],[sales_fix]]*100,2)</f>
        <v>21.61</v>
      </c>
    </row>
    <row r="67" spans="1:26" x14ac:dyDescent="0.3">
      <c r="A67" t="s">
        <v>2641</v>
      </c>
      <c r="B67" s="1">
        <v>45371</v>
      </c>
      <c r="C67" s="1">
        <v>45372</v>
      </c>
      <c r="D67" t="s">
        <v>748</v>
      </c>
      <c r="E67" t="s">
        <v>749</v>
      </c>
      <c r="F67" t="s">
        <v>55</v>
      </c>
      <c r="G67" t="s">
        <v>91</v>
      </c>
      <c r="H67" t="s">
        <v>92</v>
      </c>
      <c r="I67" t="s">
        <v>79</v>
      </c>
      <c r="J67" t="s">
        <v>80</v>
      </c>
      <c r="K67" t="s">
        <v>65</v>
      </c>
      <c r="L67">
        <v>1</v>
      </c>
      <c r="M67">
        <v>3000</v>
      </c>
      <c r="N67">
        <v>20</v>
      </c>
      <c r="O67">
        <v>2400</v>
      </c>
      <c r="P67">
        <v>533.13</v>
      </c>
      <c r="Q67" t="s">
        <v>156</v>
      </c>
      <c r="R67" t="s">
        <v>49</v>
      </c>
      <c r="S67" t="s">
        <v>40</v>
      </c>
      <c r="T67">
        <f>YEAR(Table1_1[[#This Row],[order_date]])</f>
        <v>2024</v>
      </c>
      <c r="U67">
        <f>MONTH(Table1_1[[#This Row],[order_date]])</f>
        <v>3</v>
      </c>
      <c r="V67" t="str">
        <f>TEXT(Table1_1[[#This Row],[order_date]],"mmm")</f>
        <v>Mar</v>
      </c>
      <c r="W67" t="str">
        <f>"Q"&amp;ROUNDUP(MONTH(Table1_1[[#This Row],[order_date]])/3,0)</f>
        <v>Q1</v>
      </c>
      <c r="X67" t="str">
        <f>TEXT(Table1_1[[#This Row],[order_date]],"yyyy-mm")</f>
        <v>2024-03</v>
      </c>
      <c r="Y67">
        <f>IF(Table1_1[[#This Row],[ship_date]]="","",Table1_1[[#This Row],[ship_date]]-Table1_1[[#This Row],[order_date]])</f>
        <v>1</v>
      </c>
      <c r="Z67">
        <f>ROUND(Table1_1[[#This Row],[profit]]/Table1_1[[#This Row],[sales_fix]]*100,2)</f>
        <v>22.21</v>
      </c>
    </row>
    <row r="68" spans="1:26" x14ac:dyDescent="0.3">
      <c r="A68" t="s">
        <v>2410</v>
      </c>
      <c r="B68" s="1">
        <v>45677</v>
      </c>
      <c r="C68" s="1">
        <v>45680</v>
      </c>
      <c r="D68" t="s">
        <v>1315</v>
      </c>
      <c r="E68" t="s">
        <v>1316</v>
      </c>
      <c r="F68" t="s">
        <v>34</v>
      </c>
      <c r="G68" t="s">
        <v>91</v>
      </c>
      <c r="H68" t="s">
        <v>92</v>
      </c>
      <c r="I68" t="s">
        <v>93</v>
      </c>
      <c r="J68" t="s">
        <v>94</v>
      </c>
      <c r="K68" t="s">
        <v>95</v>
      </c>
      <c r="L68">
        <v>1</v>
      </c>
      <c r="M68">
        <v>1800</v>
      </c>
      <c r="N68">
        <v>0</v>
      </c>
      <c r="O68">
        <v>1800</v>
      </c>
      <c r="P68">
        <v>650.5</v>
      </c>
      <c r="Q68" t="s">
        <v>156</v>
      </c>
      <c r="R68" t="s">
        <v>49</v>
      </c>
      <c r="S68" t="s">
        <v>86</v>
      </c>
      <c r="T68">
        <f>YEAR(Table1_1[[#This Row],[order_date]])</f>
        <v>2025</v>
      </c>
      <c r="U68">
        <f>MONTH(Table1_1[[#This Row],[order_date]])</f>
        <v>1</v>
      </c>
      <c r="V68" t="str">
        <f>TEXT(Table1_1[[#This Row],[order_date]],"mmm")</f>
        <v>Jan</v>
      </c>
      <c r="W68" t="str">
        <f>"Q"&amp;ROUNDUP(MONTH(Table1_1[[#This Row],[order_date]])/3,0)</f>
        <v>Q1</v>
      </c>
      <c r="X68" t="str">
        <f>TEXT(Table1_1[[#This Row],[order_date]],"yyyy-mm")</f>
        <v>2025-01</v>
      </c>
      <c r="Y68">
        <f>IF(Table1_1[[#This Row],[ship_date]]="","",Table1_1[[#This Row],[ship_date]]-Table1_1[[#This Row],[order_date]])</f>
        <v>3</v>
      </c>
      <c r="Z68">
        <f>ROUND(Table1_1[[#This Row],[profit]]/Table1_1[[#This Row],[sales_fix]]*100,2)</f>
        <v>36.14</v>
      </c>
    </row>
    <row r="69" spans="1:26" x14ac:dyDescent="0.3">
      <c r="A69" t="s">
        <v>763</v>
      </c>
      <c r="B69" s="1">
        <v>45984</v>
      </c>
      <c r="C69" s="1">
        <v>45992</v>
      </c>
      <c r="D69" t="s">
        <v>764</v>
      </c>
      <c r="E69" t="s">
        <v>765</v>
      </c>
      <c r="F69" t="s">
        <v>34</v>
      </c>
      <c r="G69" t="s">
        <v>91</v>
      </c>
      <c r="H69" t="s">
        <v>120</v>
      </c>
      <c r="I69" t="s">
        <v>37</v>
      </c>
      <c r="J69" t="s">
        <v>38</v>
      </c>
      <c r="K69" t="s">
        <v>27</v>
      </c>
      <c r="L69">
        <v>10</v>
      </c>
      <c r="M69">
        <v>9500</v>
      </c>
      <c r="N69">
        <v>10</v>
      </c>
      <c r="O69">
        <v>85500</v>
      </c>
      <c r="P69">
        <v>13918.91</v>
      </c>
      <c r="Q69" t="s">
        <v>121</v>
      </c>
      <c r="R69" t="s">
        <v>56</v>
      </c>
      <c r="S69" t="s">
        <v>50</v>
      </c>
      <c r="T69">
        <f>YEAR(Table1_1[[#This Row],[order_date]])</f>
        <v>2025</v>
      </c>
      <c r="U69">
        <f>MONTH(Table1_1[[#This Row],[order_date]])</f>
        <v>11</v>
      </c>
      <c r="V69" t="str">
        <f>TEXT(Table1_1[[#This Row],[order_date]],"mmm")</f>
        <v>Nov</v>
      </c>
      <c r="W69" t="str">
        <f>"Q"&amp;ROUNDUP(MONTH(Table1_1[[#This Row],[order_date]])/3,0)</f>
        <v>Q4</v>
      </c>
      <c r="X69" t="str">
        <f>TEXT(Table1_1[[#This Row],[order_date]],"yyyy-mm")</f>
        <v>2025-11</v>
      </c>
      <c r="Y69">
        <f>IF(Table1_1[[#This Row],[ship_date]]="","",Table1_1[[#This Row],[ship_date]]-Table1_1[[#This Row],[order_date]])</f>
        <v>8</v>
      </c>
      <c r="Z69">
        <f>ROUND(Table1_1[[#This Row],[profit]]/Table1_1[[#This Row],[sales_fix]]*100,2)</f>
        <v>16.28</v>
      </c>
    </row>
    <row r="70" spans="1:26" x14ac:dyDescent="0.3">
      <c r="A70" t="s">
        <v>1652</v>
      </c>
      <c r="B70" s="1">
        <v>45490</v>
      </c>
      <c r="C70" s="1">
        <v>45498</v>
      </c>
      <c r="D70" t="s">
        <v>653</v>
      </c>
      <c r="E70" t="s">
        <v>654</v>
      </c>
      <c r="F70" t="s">
        <v>23</v>
      </c>
      <c r="G70" t="s">
        <v>44</v>
      </c>
      <c r="H70" t="s">
        <v>330</v>
      </c>
      <c r="I70" t="s">
        <v>147</v>
      </c>
      <c r="J70" t="s">
        <v>148</v>
      </c>
      <c r="K70" t="s">
        <v>48</v>
      </c>
      <c r="L70">
        <v>1</v>
      </c>
      <c r="M70">
        <v>250</v>
      </c>
      <c r="N70">
        <v>10</v>
      </c>
      <c r="O70">
        <v>225</v>
      </c>
      <c r="P70">
        <v>98.44</v>
      </c>
      <c r="Q70" t="s">
        <v>74</v>
      </c>
      <c r="R70" t="s">
        <v>49</v>
      </c>
      <c r="S70" t="s">
        <v>40</v>
      </c>
      <c r="T70">
        <f>YEAR(Table1_1[[#This Row],[order_date]])</f>
        <v>2024</v>
      </c>
      <c r="U70">
        <f>MONTH(Table1_1[[#This Row],[order_date]])</f>
        <v>7</v>
      </c>
      <c r="V70" t="str">
        <f>TEXT(Table1_1[[#This Row],[order_date]],"mmm")</f>
        <v>Jul</v>
      </c>
      <c r="W70" t="str">
        <f>"Q"&amp;ROUNDUP(MONTH(Table1_1[[#This Row],[order_date]])/3,0)</f>
        <v>Q3</v>
      </c>
      <c r="X70" t="str">
        <f>TEXT(Table1_1[[#This Row],[order_date]],"yyyy-mm")</f>
        <v>2024-07</v>
      </c>
      <c r="Y70">
        <f>IF(Table1_1[[#This Row],[ship_date]]="","",Table1_1[[#This Row],[ship_date]]-Table1_1[[#This Row],[order_date]])</f>
        <v>8</v>
      </c>
      <c r="Z70">
        <f>ROUND(Table1_1[[#This Row],[profit]]/Table1_1[[#This Row],[sales_fix]]*100,2)</f>
        <v>43.75</v>
      </c>
    </row>
    <row r="71" spans="1:26" x14ac:dyDescent="0.3">
      <c r="A71" t="s">
        <v>1239</v>
      </c>
      <c r="B71" s="1">
        <v>45457</v>
      </c>
      <c r="C71" s="1">
        <v>45462</v>
      </c>
      <c r="D71" t="s">
        <v>910</v>
      </c>
      <c r="E71" t="s">
        <v>911</v>
      </c>
      <c r="F71" t="s">
        <v>34</v>
      </c>
      <c r="G71" t="s">
        <v>35</v>
      </c>
      <c r="H71" t="s">
        <v>36</v>
      </c>
      <c r="I71" t="s">
        <v>134</v>
      </c>
      <c r="J71" t="s">
        <v>135</v>
      </c>
      <c r="K71" t="s">
        <v>27</v>
      </c>
      <c r="L71">
        <v>4</v>
      </c>
      <c r="M71">
        <v>6000</v>
      </c>
      <c r="N71">
        <v>20</v>
      </c>
      <c r="O71">
        <v>19200</v>
      </c>
      <c r="P71">
        <v>4340.12</v>
      </c>
      <c r="Q71" t="s">
        <v>66</v>
      </c>
      <c r="R71" t="s">
        <v>56</v>
      </c>
      <c r="S71" t="s">
        <v>30</v>
      </c>
      <c r="T71">
        <f>YEAR(Table1_1[[#This Row],[order_date]])</f>
        <v>2024</v>
      </c>
      <c r="U71">
        <f>MONTH(Table1_1[[#This Row],[order_date]])</f>
        <v>6</v>
      </c>
      <c r="V71" t="str">
        <f>TEXT(Table1_1[[#This Row],[order_date]],"mmm")</f>
        <v>Jun</v>
      </c>
      <c r="W71" t="str">
        <f>"Q"&amp;ROUNDUP(MONTH(Table1_1[[#This Row],[order_date]])/3,0)</f>
        <v>Q2</v>
      </c>
      <c r="X71" t="str">
        <f>TEXT(Table1_1[[#This Row],[order_date]],"yyyy-mm")</f>
        <v>2024-06</v>
      </c>
      <c r="Y71">
        <f>IF(Table1_1[[#This Row],[ship_date]]="","",Table1_1[[#This Row],[ship_date]]-Table1_1[[#This Row],[order_date]])</f>
        <v>5</v>
      </c>
      <c r="Z71">
        <f>ROUND(Table1_1[[#This Row],[profit]]/Table1_1[[#This Row],[sales_fix]]*100,2)</f>
        <v>22.6</v>
      </c>
    </row>
    <row r="72" spans="1:26" x14ac:dyDescent="0.3">
      <c r="A72" t="s">
        <v>2224</v>
      </c>
      <c r="B72" s="1">
        <v>45397</v>
      </c>
      <c r="C72" s="1">
        <v>45402</v>
      </c>
      <c r="D72" t="s">
        <v>1003</v>
      </c>
      <c r="E72" t="s">
        <v>1004</v>
      </c>
      <c r="F72" t="s">
        <v>23</v>
      </c>
      <c r="G72" t="s">
        <v>61</v>
      </c>
      <c r="H72" t="s">
        <v>62</v>
      </c>
      <c r="I72" t="s">
        <v>46</v>
      </c>
      <c r="J72" t="s">
        <v>47</v>
      </c>
      <c r="K72" t="s">
        <v>48</v>
      </c>
      <c r="L72">
        <v>3</v>
      </c>
      <c r="M72">
        <v>180</v>
      </c>
      <c r="N72">
        <v>10</v>
      </c>
      <c r="O72">
        <v>486</v>
      </c>
      <c r="P72">
        <v>227.55</v>
      </c>
      <c r="Q72" t="s">
        <v>66</v>
      </c>
      <c r="R72" t="s">
        <v>29</v>
      </c>
      <c r="S72" t="s">
        <v>110</v>
      </c>
      <c r="T72">
        <f>YEAR(Table1_1[[#This Row],[order_date]])</f>
        <v>2024</v>
      </c>
      <c r="U72">
        <f>MONTH(Table1_1[[#This Row],[order_date]])</f>
        <v>4</v>
      </c>
      <c r="V72" t="str">
        <f>TEXT(Table1_1[[#This Row],[order_date]],"mmm")</f>
        <v>Apr</v>
      </c>
      <c r="W72" t="str">
        <f>"Q"&amp;ROUNDUP(MONTH(Table1_1[[#This Row],[order_date]])/3,0)</f>
        <v>Q2</v>
      </c>
      <c r="X72" t="str">
        <f>TEXT(Table1_1[[#This Row],[order_date]],"yyyy-mm")</f>
        <v>2024-04</v>
      </c>
      <c r="Y72">
        <f>IF(Table1_1[[#This Row],[ship_date]]="","",Table1_1[[#This Row],[ship_date]]-Table1_1[[#This Row],[order_date]])</f>
        <v>5</v>
      </c>
      <c r="Z72">
        <f>ROUND(Table1_1[[#This Row],[profit]]/Table1_1[[#This Row],[sales_fix]]*100,2)</f>
        <v>46.82</v>
      </c>
    </row>
    <row r="73" spans="1:26" x14ac:dyDescent="0.3">
      <c r="A73" t="s">
        <v>1662</v>
      </c>
      <c r="B73" s="1">
        <v>45442</v>
      </c>
      <c r="C73" s="1">
        <v>45446</v>
      </c>
      <c r="D73" t="s">
        <v>192</v>
      </c>
      <c r="E73" t="s">
        <v>193</v>
      </c>
      <c r="F73" t="s">
        <v>55</v>
      </c>
      <c r="G73" t="s">
        <v>35</v>
      </c>
      <c r="H73" t="s">
        <v>36</v>
      </c>
      <c r="I73" t="s">
        <v>46</v>
      </c>
      <c r="J73" t="s">
        <v>47</v>
      </c>
      <c r="K73" t="s">
        <v>48</v>
      </c>
      <c r="L73">
        <v>4</v>
      </c>
      <c r="M73">
        <v>180</v>
      </c>
      <c r="N73">
        <v>0</v>
      </c>
      <c r="O73">
        <v>720</v>
      </c>
      <c r="P73">
        <v>349.46</v>
      </c>
      <c r="Q73" t="s">
        <v>28</v>
      </c>
      <c r="R73" t="s">
        <v>49</v>
      </c>
      <c r="S73" t="s">
        <v>86</v>
      </c>
      <c r="T73">
        <f>YEAR(Table1_1[[#This Row],[order_date]])</f>
        <v>2024</v>
      </c>
      <c r="U73">
        <f>MONTH(Table1_1[[#This Row],[order_date]])</f>
        <v>5</v>
      </c>
      <c r="V73" t="str">
        <f>TEXT(Table1_1[[#This Row],[order_date]],"mmm")</f>
        <v>May</v>
      </c>
      <c r="W73" t="str">
        <f>"Q"&amp;ROUNDUP(MONTH(Table1_1[[#This Row],[order_date]])/3,0)</f>
        <v>Q2</v>
      </c>
      <c r="X73" t="str">
        <f>TEXT(Table1_1[[#This Row],[order_date]],"yyyy-mm")</f>
        <v>2024-05</v>
      </c>
      <c r="Y73">
        <f>IF(Table1_1[[#This Row],[ship_date]]="","",Table1_1[[#This Row],[ship_date]]-Table1_1[[#This Row],[order_date]])</f>
        <v>4</v>
      </c>
      <c r="Z73">
        <f>ROUND(Table1_1[[#This Row],[profit]]/Table1_1[[#This Row],[sales_fix]]*100,2)</f>
        <v>48.54</v>
      </c>
    </row>
    <row r="74" spans="1:26" x14ac:dyDescent="0.3">
      <c r="A74" t="s">
        <v>1788</v>
      </c>
      <c r="B74" s="1">
        <v>45697</v>
      </c>
      <c r="C74" s="1">
        <v>45699</v>
      </c>
      <c r="D74" t="s">
        <v>520</v>
      </c>
      <c r="E74" t="s">
        <v>521</v>
      </c>
      <c r="F74" t="s">
        <v>23</v>
      </c>
      <c r="G74" t="s">
        <v>91</v>
      </c>
      <c r="H74" t="s">
        <v>109</v>
      </c>
      <c r="I74" t="s">
        <v>114</v>
      </c>
      <c r="J74" t="s">
        <v>115</v>
      </c>
      <c r="K74" t="s">
        <v>65</v>
      </c>
      <c r="L74">
        <v>2</v>
      </c>
      <c r="M74">
        <v>55000</v>
      </c>
      <c r="N74">
        <v>0</v>
      </c>
      <c r="O74">
        <v>110000</v>
      </c>
      <c r="P74">
        <v>16918.439999999999</v>
      </c>
      <c r="Q74" t="s">
        <v>74</v>
      </c>
      <c r="R74" t="s">
        <v>29</v>
      </c>
      <c r="S74" t="s">
        <v>86</v>
      </c>
      <c r="T74">
        <f>YEAR(Table1_1[[#This Row],[order_date]])</f>
        <v>2025</v>
      </c>
      <c r="U74">
        <f>MONTH(Table1_1[[#This Row],[order_date]])</f>
        <v>2</v>
      </c>
      <c r="V74" t="str">
        <f>TEXT(Table1_1[[#This Row],[order_date]],"mmm")</f>
        <v>Feb</v>
      </c>
      <c r="W74" t="str">
        <f>"Q"&amp;ROUNDUP(MONTH(Table1_1[[#This Row],[order_date]])/3,0)</f>
        <v>Q1</v>
      </c>
      <c r="X74" t="str">
        <f>TEXT(Table1_1[[#This Row],[order_date]],"yyyy-mm")</f>
        <v>2025-02</v>
      </c>
      <c r="Y74">
        <f>IF(Table1_1[[#This Row],[ship_date]]="","",Table1_1[[#This Row],[ship_date]]-Table1_1[[#This Row],[order_date]])</f>
        <v>2</v>
      </c>
      <c r="Z74">
        <f>ROUND(Table1_1[[#This Row],[profit]]/Table1_1[[#This Row],[sales_fix]]*100,2)</f>
        <v>15.38</v>
      </c>
    </row>
    <row r="75" spans="1:26" x14ac:dyDescent="0.3">
      <c r="A75" t="s">
        <v>2834</v>
      </c>
      <c r="B75" s="1">
        <v>45957</v>
      </c>
      <c r="C75" s="1">
        <v>45965</v>
      </c>
      <c r="D75" t="s">
        <v>324</v>
      </c>
      <c r="E75" t="s">
        <v>325</v>
      </c>
      <c r="F75" t="s">
        <v>55</v>
      </c>
      <c r="G75" t="s">
        <v>91</v>
      </c>
      <c r="H75" t="s">
        <v>109</v>
      </c>
      <c r="I75" t="s">
        <v>63</v>
      </c>
      <c r="J75" t="s">
        <v>64</v>
      </c>
      <c r="K75" t="s">
        <v>65</v>
      </c>
      <c r="L75">
        <v>1</v>
      </c>
      <c r="M75">
        <v>25000</v>
      </c>
      <c r="N75">
        <v>0</v>
      </c>
      <c r="O75">
        <v>25000</v>
      </c>
      <c r="P75">
        <v>3055.32</v>
      </c>
      <c r="Q75" t="s">
        <v>156</v>
      </c>
      <c r="R75" t="s">
        <v>29</v>
      </c>
      <c r="S75" t="s">
        <v>30</v>
      </c>
      <c r="T75">
        <f>YEAR(Table1_1[[#This Row],[order_date]])</f>
        <v>2025</v>
      </c>
      <c r="U75">
        <f>MONTH(Table1_1[[#This Row],[order_date]])</f>
        <v>10</v>
      </c>
      <c r="V75" t="str">
        <f>TEXT(Table1_1[[#This Row],[order_date]],"mmm")</f>
        <v>Oct</v>
      </c>
      <c r="W75" t="str">
        <f>"Q"&amp;ROUNDUP(MONTH(Table1_1[[#This Row],[order_date]])/3,0)</f>
        <v>Q4</v>
      </c>
      <c r="X75" t="str">
        <f>TEXT(Table1_1[[#This Row],[order_date]],"yyyy-mm")</f>
        <v>2025-10</v>
      </c>
      <c r="Y75">
        <f>IF(Table1_1[[#This Row],[ship_date]]="","",Table1_1[[#This Row],[ship_date]]-Table1_1[[#This Row],[order_date]])</f>
        <v>8</v>
      </c>
      <c r="Z75">
        <f>ROUND(Table1_1[[#This Row],[profit]]/Table1_1[[#This Row],[sales_fix]]*100,2)</f>
        <v>12.22</v>
      </c>
    </row>
    <row r="76" spans="1:26" x14ac:dyDescent="0.3">
      <c r="A76" t="s">
        <v>577</v>
      </c>
      <c r="B76" s="1">
        <v>45297</v>
      </c>
      <c r="C76" s="1">
        <v>45300</v>
      </c>
      <c r="D76" t="s">
        <v>578</v>
      </c>
      <c r="E76" t="s">
        <v>579</v>
      </c>
      <c r="F76" t="s">
        <v>23</v>
      </c>
      <c r="G76" t="s">
        <v>91</v>
      </c>
      <c r="H76" t="s">
        <v>177</v>
      </c>
      <c r="I76" t="s">
        <v>93</v>
      </c>
      <c r="J76" t="s">
        <v>94</v>
      </c>
      <c r="K76" t="s">
        <v>95</v>
      </c>
      <c r="L76">
        <v>5</v>
      </c>
      <c r="M76">
        <v>1800</v>
      </c>
      <c r="N76">
        <v>0</v>
      </c>
      <c r="O76">
        <v>9000</v>
      </c>
      <c r="P76">
        <v>2527.46</v>
      </c>
      <c r="Q76" t="s">
        <v>39</v>
      </c>
      <c r="R76" t="s">
        <v>56</v>
      </c>
      <c r="S76" t="s">
        <v>40</v>
      </c>
      <c r="T76">
        <f>YEAR(Table1_1[[#This Row],[order_date]])</f>
        <v>2024</v>
      </c>
      <c r="U76">
        <f>MONTH(Table1_1[[#This Row],[order_date]])</f>
        <v>1</v>
      </c>
      <c r="V76" t="str">
        <f>TEXT(Table1_1[[#This Row],[order_date]],"mmm")</f>
        <v>Jan</v>
      </c>
      <c r="W76" t="str">
        <f>"Q"&amp;ROUNDUP(MONTH(Table1_1[[#This Row],[order_date]])/3,0)</f>
        <v>Q1</v>
      </c>
      <c r="X76" t="str">
        <f>TEXT(Table1_1[[#This Row],[order_date]],"yyyy-mm")</f>
        <v>2024-01</v>
      </c>
      <c r="Y76">
        <f>IF(Table1_1[[#This Row],[ship_date]]="","",Table1_1[[#This Row],[ship_date]]-Table1_1[[#This Row],[order_date]])</f>
        <v>3</v>
      </c>
      <c r="Z76">
        <f>ROUND(Table1_1[[#This Row],[profit]]/Table1_1[[#This Row],[sales_fix]]*100,2)</f>
        <v>28.08</v>
      </c>
    </row>
    <row r="77" spans="1:26" x14ac:dyDescent="0.3">
      <c r="A77" t="s">
        <v>909</v>
      </c>
      <c r="B77" s="1">
        <v>45405</v>
      </c>
      <c r="C77" s="1">
        <v>45406</v>
      </c>
      <c r="D77" t="s">
        <v>910</v>
      </c>
      <c r="E77" t="s">
        <v>911</v>
      </c>
      <c r="F77" t="s">
        <v>34</v>
      </c>
      <c r="G77" t="s">
        <v>35</v>
      </c>
      <c r="H77" t="s">
        <v>36</v>
      </c>
      <c r="I77" t="s">
        <v>134</v>
      </c>
      <c r="J77" t="s">
        <v>135</v>
      </c>
      <c r="K77" t="s">
        <v>27</v>
      </c>
      <c r="L77">
        <v>3</v>
      </c>
      <c r="M77">
        <v>6000</v>
      </c>
      <c r="N77">
        <v>0</v>
      </c>
      <c r="O77">
        <v>18000</v>
      </c>
      <c r="P77">
        <v>3544.39</v>
      </c>
      <c r="Q77" t="s">
        <v>121</v>
      </c>
      <c r="R77" t="s">
        <v>49</v>
      </c>
      <c r="S77" t="s">
        <v>40</v>
      </c>
      <c r="T77">
        <f>YEAR(Table1_1[[#This Row],[order_date]])</f>
        <v>2024</v>
      </c>
      <c r="U77">
        <f>MONTH(Table1_1[[#This Row],[order_date]])</f>
        <v>4</v>
      </c>
      <c r="V77" t="str">
        <f>TEXT(Table1_1[[#This Row],[order_date]],"mmm")</f>
        <v>Apr</v>
      </c>
      <c r="W77" t="str">
        <f>"Q"&amp;ROUNDUP(MONTH(Table1_1[[#This Row],[order_date]])/3,0)</f>
        <v>Q2</v>
      </c>
      <c r="X77" t="str">
        <f>TEXT(Table1_1[[#This Row],[order_date]],"yyyy-mm")</f>
        <v>2024-04</v>
      </c>
      <c r="Y77">
        <f>IF(Table1_1[[#This Row],[ship_date]]="","",Table1_1[[#This Row],[ship_date]]-Table1_1[[#This Row],[order_date]])</f>
        <v>1</v>
      </c>
      <c r="Z77">
        <f>ROUND(Table1_1[[#This Row],[profit]]/Table1_1[[#This Row],[sales_fix]]*100,2)</f>
        <v>19.690000000000001</v>
      </c>
    </row>
    <row r="78" spans="1:26" x14ac:dyDescent="0.3">
      <c r="A78" t="s">
        <v>645</v>
      </c>
      <c r="B78" s="1">
        <v>45405</v>
      </c>
      <c r="C78" s="1">
        <v>45406</v>
      </c>
      <c r="D78" t="s">
        <v>494</v>
      </c>
      <c r="E78" t="s">
        <v>495</v>
      </c>
      <c r="F78" t="s">
        <v>34</v>
      </c>
      <c r="G78" t="s">
        <v>35</v>
      </c>
      <c r="H78" t="s">
        <v>258</v>
      </c>
      <c r="I78" t="s">
        <v>63</v>
      </c>
      <c r="J78" t="s">
        <v>64</v>
      </c>
      <c r="K78" t="s">
        <v>65</v>
      </c>
      <c r="L78">
        <v>4</v>
      </c>
      <c r="M78">
        <v>25000</v>
      </c>
      <c r="N78">
        <v>5</v>
      </c>
      <c r="O78">
        <v>95000</v>
      </c>
      <c r="P78">
        <v>13376.41</v>
      </c>
      <c r="Q78" t="s">
        <v>156</v>
      </c>
      <c r="R78" t="s">
        <v>56</v>
      </c>
      <c r="S78" t="s">
        <v>40</v>
      </c>
      <c r="T78">
        <f>YEAR(Table1_1[[#This Row],[order_date]])</f>
        <v>2024</v>
      </c>
      <c r="U78">
        <f>MONTH(Table1_1[[#This Row],[order_date]])</f>
        <v>4</v>
      </c>
      <c r="V78" t="str">
        <f>TEXT(Table1_1[[#This Row],[order_date]],"mmm")</f>
        <v>Apr</v>
      </c>
      <c r="W78" t="str">
        <f>"Q"&amp;ROUNDUP(MONTH(Table1_1[[#This Row],[order_date]])/3,0)</f>
        <v>Q2</v>
      </c>
      <c r="X78" t="str">
        <f>TEXT(Table1_1[[#This Row],[order_date]],"yyyy-mm")</f>
        <v>2024-04</v>
      </c>
      <c r="Y78">
        <f>IF(Table1_1[[#This Row],[ship_date]]="","",Table1_1[[#This Row],[ship_date]]-Table1_1[[#This Row],[order_date]])</f>
        <v>1</v>
      </c>
      <c r="Z78">
        <f>ROUND(Table1_1[[#This Row],[profit]]/Table1_1[[#This Row],[sales_fix]]*100,2)</f>
        <v>14.08</v>
      </c>
    </row>
    <row r="79" spans="1:26" x14ac:dyDescent="0.3">
      <c r="A79" t="s">
        <v>1416</v>
      </c>
      <c r="B79" s="1">
        <v>45439</v>
      </c>
      <c r="C79" s="1">
        <v>45443</v>
      </c>
      <c r="D79" t="s">
        <v>101</v>
      </c>
      <c r="E79" t="s">
        <v>102</v>
      </c>
      <c r="F79" t="s">
        <v>55</v>
      </c>
      <c r="G79" t="s">
        <v>35</v>
      </c>
      <c r="H79" t="s">
        <v>36</v>
      </c>
      <c r="I79" t="s">
        <v>71</v>
      </c>
      <c r="J79" t="s">
        <v>72</v>
      </c>
      <c r="K79" t="s">
        <v>73</v>
      </c>
      <c r="L79">
        <v>1</v>
      </c>
      <c r="M79">
        <v>3500</v>
      </c>
      <c r="N79">
        <v>0</v>
      </c>
      <c r="O79">
        <v>3500</v>
      </c>
      <c r="P79">
        <v>1059.43</v>
      </c>
      <c r="Q79" t="s">
        <v>39</v>
      </c>
      <c r="R79" t="s">
        <v>567</v>
      </c>
      <c r="S79" t="s">
        <v>50</v>
      </c>
      <c r="T79">
        <f>YEAR(Table1_1[[#This Row],[order_date]])</f>
        <v>2024</v>
      </c>
      <c r="U79">
        <f>MONTH(Table1_1[[#This Row],[order_date]])</f>
        <v>5</v>
      </c>
      <c r="V79" t="str">
        <f>TEXT(Table1_1[[#This Row],[order_date]],"mmm")</f>
        <v>May</v>
      </c>
      <c r="W79" t="str">
        <f>"Q"&amp;ROUNDUP(MONTH(Table1_1[[#This Row],[order_date]])/3,0)</f>
        <v>Q2</v>
      </c>
      <c r="X79" t="str">
        <f>TEXT(Table1_1[[#This Row],[order_date]],"yyyy-mm")</f>
        <v>2024-05</v>
      </c>
      <c r="Y79">
        <f>IF(Table1_1[[#This Row],[ship_date]]="","",Table1_1[[#This Row],[ship_date]]-Table1_1[[#This Row],[order_date]])</f>
        <v>4</v>
      </c>
      <c r="Z79">
        <f>ROUND(Table1_1[[#This Row],[profit]]/Table1_1[[#This Row],[sales_fix]]*100,2)</f>
        <v>30.27</v>
      </c>
    </row>
    <row r="80" spans="1:26" x14ac:dyDescent="0.3">
      <c r="A80" t="s">
        <v>2588</v>
      </c>
      <c r="B80" s="1">
        <v>45661</v>
      </c>
      <c r="C80" s="1">
        <v>45662</v>
      </c>
      <c r="D80" t="s">
        <v>550</v>
      </c>
      <c r="E80" t="s">
        <v>551</v>
      </c>
      <c r="F80" t="s">
        <v>55</v>
      </c>
      <c r="G80" t="s">
        <v>91</v>
      </c>
      <c r="H80" t="s">
        <v>109</v>
      </c>
      <c r="I80" t="s">
        <v>46</v>
      </c>
      <c r="J80" t="s">
        <v>47</v>
      </c>
      <c r="K80" t="s">
        <v>48</v>
      </c>
      <c r="L80">
        <v>1</v>
      </c>
      <c r="M80">
        <v>180</v>
      </c>
      <c r="N80">
        <v>10</v>
      </c>
      <c r="O80">
        <v>162</v>
      </c>
      <c r="P80">
        <v>66.900000000000006</v>
      </c>
      <c r="Q80" t="s">
        <v>28</v>
      </c>
      <c r="R80" t="s">
        <v>49</v>
      </c>
      <c r="S80" t="s">
        <v>86</v>
      </c>
      <c r="T80">
        <f>YEAR(Table1_1[[#This Row],[order_date]])</f>
        <v>2025</v>
      </c>
      <c r="U80">
        <f>MONTH(Table1_1[[#This Row],[order_date]])</f>
        <v>1</v>
      </c>
      <c r="V80" t="str">
        <f>TEXT(Table1_1[[#This Row],[order_date]],"mmm")</f>
        <v>Jan</v>
      </c>
      <c r="W80" t="str">
        <f>"Q"&amp;ROUNDUP(MONTH(Table1_1[[#This Row],[order_date]])/3,0)</f>
        <v>Q1</v>
      </c>
      <c r="X80" t="str">
        <f>TEXT(Table1_1[[#This Row],[order_date]],"yyyy-mm")</f>
        <v>2025-01</v>
      </c>
      <c r="Y80">
        <f>IF(Table1_1[[#This Row],[ship_date]]="","",Table1_1[[#This Row],[ship_date]]-Table1_1[[#This Row],[order_date]])</f>
        <v>1</v>
      </c>
      <c r="Z80">
        <f>ROUND(Table1_1[[#This Row],[profit]]/Table1_1[[#This Row],[sales_fix]]*100,2)</f>
        <v>41.3</v>
      </c>
    </row>
    <row r="81" spans="1:26" x14ac:dyDescent="0.3">
      <c r="A81" t="s">
        <v>334</v>
      </c>
      <c r="B81" s="1">
        <v>45551</v>
      </c>
      <c r="C81" s="1">
        <v>45557</v>
      </c>
      <c r="D81" t="s">
        <v>336</v>
      </c>
      <c r="E81" t="s">
        <v>337</v>
      </c>
      <c r="F81" t="s">
        <v>34</v>
      </c>
      <c r="G81" t="s">
        <v>61</v>
      </c>
      <c r="H81" t="s">
        <v>211</v>
      </c>
      <c r="I81" t="s">
        <v>37</v>
      </c>
      <c r="J81" t="s">
        <v>38</v>
      </c>
      <c r="K81" t="s">
        <v>27</v>
      </c>
      <c r="L81">
        <v>3</v>
      </c>
      <c r="M81">
        <v>9500</v>
      </c>
      <c r="N81">
        <v>0</v>
      </c>
      <c r="O81">
        <v>28500</v>
      </c>
      <c r="P81">
        <v>5787.83</v>
      </c>
      <c r="Q81" t="s">
        <v>121</v>
      </c>
      <c r="R81" t="s">
        <v>56</v>
      </c>
      <c r="S81" t="s">
        <v>86</v>
      </c>
      <c r="T81">
        <f>YEAR(Table1_1[[#This Row],[order_date]])</f>
        <v>2024</v>
      </c>
      <c r="U81">
        <f>MONTH(Table1_1[[#This Row],[order_date]])</f>
        <v>9</v>
      </c>
      <c r="V81" t="str">
        <f>TEXT(Table1_1[[#This Row],[order_date]],"mmm")</f>
        <v>Sep</v>
      </c>
      <c r="W81" t="str">
        <f>"Q"&amp;ROUNDUP(MONTH(Table1_1[[#This Row],[order_date]])/3,0)</f>
        <v>Q3</v>
      </c>
      <c r="X81" t="str">
        <f>TEXT(Table1_1[[#This Row],[order_date]],"yyyy-mm")</f>
        <v>2024-09</v>
      </c>
      <c r="Y81">
        <f>IF(Table1_1[[#This Row],[ship_date]]="","",Table1_1[[#This Row],[ship_date]]-Table1_1[[#This Row],[order_date]])</f>
        <v>6</v>
      </c>
      <c r="Z81">
        <f>ROUND(Table1_1[[#This Row],[profit]]/Table1_1[[#This Row],[sales_fix]]*100,2)</f>
        <v>20.309999999999999</v>
      </c>
    </row>
    <row r="82" spans="1:26" x14ac:dyDescent="0.3">
      <c r="A82" t="s">
        <v>2891</v>
      </c>
      <c r="B82" s="1">
        <v>45632</v>
      </c>
      <c r="C82" s="1">
        <v>45635</v>
      </c>
      <c r="D82" t="s">
        <v>827</v>
      </c>
      <c r="E82" t="s">
        <v>828</v>
      </c>
      <c r="F82" t="s">
        <v>34</v>
      </c>
      <c r="G82" t="s">
        <v>44</v>
      </c>
      <c r="H82" t="s">
        <v>155</v>
      </c>
      <c r="I82" t="s">
        <v>71</v>
      </c>
      <c r="J82" t="s">
        <v>72</v>
      </c>
      <c r="K82" t="s">
        <v>73</v>
      </c>
      <c r="L82">
        <v>1</v>
      </c>
      <c r="M82">
        <v>3500</v>
      </c>
      <c r="N82">
        <v>0</v>
      </c>
      <c r="O82">
        <v>3500</v>
      </c>
      <c r="P82">
        <v>1148.45</v>
      </c>
      <c r="Q82" t="s">
        <v>156</v>
      </c>
      <c r="R82" t="s">
        <v>49</v>
      </c>
      <c r="S82" t="s">
        <v>194</v>
      </c>
      <c r="T82">
        <f>YEAR(Table1_1[[#This Row],[order_date]])</f>
        <v>2024</v>
      </c>
      <c r="U82">
        <f>MONTH(Table1_1[[#This Row],[order_date]])</f>
        <v>12</v>
      </c>
      <c r="V82" t="str">
        <f>TEXT(Table1_1[[#This Row],[order_date]],"mmm")</f>
        <v>Dec</v>
      </c>
      <c r="W82" t="str">
        <f>"Q"&amp;ROUNDUP(MONTH(Table1_1[[#This Row],[order_date]])/3,0)</f>
        <v>Q4</v>
      </c>
      <c r="X82" t="str">
        <f>TEXT(Table1_1[[#This Row],[order_date]],"yyyy-mm")</f>
        <v>2024-12</v>
      </c>
      <c r="Y82">
        <f>IF(Table1_1[[#This Row],[ship_date]]="","",Table1_1[[#This Row],[ship_date]]-Table1_1[[#This Row],[order_date]])</f>
        <v>3</v>
      </c>
      <c r="Z82">
        <f>ROUND(Table1_1[[#This Row],[profit]]/Table1_1[[#This Row],[sales_fix]]*100,2)</f>
        <v>32.81</v>
      </c>
    </row>
    <row r="83" spans="1:26" x14ac:dyDescent="0.3">
      <c r="A83" t="s">
        <v>637</v>
      </c>
      <c r="B83" s="1">
        <v>45356</v>
      </c>
      <c r="C83" s="1">
        <v>45360</v>
      </c>
      <c r="D83" t="s">
        <v>356</v>
      </c>
      <c r="E83" t="s">
        <v>357</v>
      </c>
      <c r="F83" t="s">
        <v>23</v>
      </c>
      <c r="G83" t="s">
        <v>91</v>
      </c>
      <c r="H83" t="s">
        <v>120</v>
      </c>
      <c r="I83" t="s">
        <v>79</v>
      </c>
      <c r="J83" t="s">
        <v>80</v>
      </c>
      <c r="K83" t="s">
        <v>65</v>
      </c>
      <c r="L83">
        <v>3</v>
      </c>
      <c r="M83">
        <v>3000</v>
      </c>
      <c r="N83">
        <v>5</v>
      </c>
      <c r="O83">
        <v>8550</v>
      </c>
      <c r="P83">
        <v>1833.45</v>
      </c>
      <c r="Q83" t="s">
        <v>66</v>
      </c>
      <c r="R83" t="s">
        <v>29</v>
      </c>
      <c r="S83" t="s">
        <v>86</v>
      </c>
      <c r="T83">
        <f>YEAR(Table1_1[[#This Row],[order_date]])</f>
        <v>2024</v>
      </c>
      <c r="U83">
        <f>MONTH(Table1_1[[#This Row],[order_date]])</f>
        <v>3</v>
      </c>
      <c r="V83" t="str">
        <f>TEXT(Table1_1[[#This Row],[order_date]],"mmm")</f>
        <v>Mar</v>
      </c>
      <c r="W83" t="str">
        <f>"Q"&amp;ROUNDUP(MONTH(Table1_1[[#This Row],[order_date]])/3,0)</f>
        <v>Q1</v>
      </c>
      <c r="X83" t="str">
        <f>TEXT(Table1_1[[#This Row],[order_date]],"yyyy-mm")</f>
        <v>2024-03</v>
      </c>
      <c r="Y83">
        <f>IF(Table1_1[[#This Row],[ship_date]]="","",Table1_1[[#This Row],[ship_date]]-Table1_1[[#This Row],[order_date]])</f>
        <v>4</v>
      </c>
      <c r="Z83">
        <f>ROUND(Table1_1[[#This Row],[profit]]/Table1_1[[#This Row],[sales_fix]]*100,2)</f>
        <v>21.44</v>
      </c>
    </row>
    <row r="84" spans="1:26" x14ac:dyDescent="0.3">
      <c r="A84" t="s">
        <v>434</v>
      </c>
      <c r="B84" s="1">
        <v>45819</v>
      </c>
      <c r="C84" s="1">
        <v>45824</v>
      </c>
      <c r="D84" t="s">
        <v>435</v>
      </c>
      <c r="E84" t="s">
        <v>436</v>
      </c>
      <c r="F84" t="s">
        <v>23</v>
      </c>
      <c r="G84" t="s">
        <v>44</v>
      </c>
      <c r="H84" t="s">
        <v>24</v>
      </c>
      <c r="I84" t="s">
        <v>25</v>
      </c>
      <c r="J84" t="s">
        <v>26</v>
      </c>
      <c r="K84" t="s">
        <v>27</v>
      </c>
      <c r="L84">
        <v>1</v>
      </c>
      <c r="M84">
        <v>7000</v>
      </c>
      <c r="N84">
        <v>20</v>
      </c>
      <c r="O84">
        <v>5600</v>
      </c>
      <c r="P84">
        <v>1130.01</v>
      </c>
      <c r="Q84" t="s">
        <v>66</v>
      </c>
      <c r="R84" t="s">
        <v>56</v>
      </c>
      <c r="S84" t="s">
        <v>50</v>
      </c>
      <c r="T84">
        <f>YEAR(Table1_1[[#This Row],[order_date]])</f>
        <v>2025</v>
      </c>
      <c r="U84">
        <f>MONTH(Table1_1[[#This Row],[order_date]])</f>
        <v>6</v>
      </c>
      <c r="V84" t="str">
        <f>TEXT(Table1_1[[#This Row],[order_date]],"mmm")</f>
        <v>Jun</v>
      </c>
      <c r="W84" t="str">
        <f>"Q"&amp;ROUNDUP(MONTH(Table1_1[[#This Row],[order_date]])/3,0)</f>
        <v>Q2</v>
      </c>
      <c r="X84" t="str">
        <f>TEXT(Table1_1[[#This Row],[order_date]],"yyyy-mm")</f>
        <v>2025-06</v>
      </c>
      <c r="Y84">
        <f>IF(Table1_1[[#This Row],[ship_date]]="","",Table1_1[[#This Row],[ship_date]]-Table1_1[[#This Row],[order_date]])</f>
        <v>5</v>
      </c>
      <c r="Z84">
        <f>ROUND(Table1_1[[#This Row],[profit]]/Table1_1[[#This Row],[sales_fix]]*100,2)</f>
        <v>20.18</v>
      </c>
    </row>
    <row r="85" spans="1:26" x14ac:dyDescent="0.3">
      <c r="A85" t="s">
        <v>2504</v>
      </c>
      <c r="B85" s="1">
        <v>45340</v>
      </c>
      <c r="C85" s="1">
        <v>45346</v>
      </c>
      <c r="D85" t="s">
        <v>1058</v>
      </c>
      <c r="E85" t="s">
        <v>1059</v>
      </c>
      <c r="F85" t="s">
        <v>55</v>
      </c>
      <c r="G85" t="s">
        <v>91</v>
      </c>
      <c r="H85" t="s">
        <v>92</v>
      </c>
      <c r="I85" t="s">
        <v>37</v>
      </c>
      <c r="J85" t="s">
        <v>38</v>
      </c>
      <c r="K85" t="s">
        <v>27</v>
      </c>
      <c r="L85">
        <v>4</v>
      </c>
      <c r="M85">
        <v>9500</v>
      </c>
      <c r="N85">
        <v>0</v>
      </c>
      <c r="O85">
        <v>38000</v>
      </c>
      <c r="P85">
        <v>6150.58</v>
      </c>
      <c r="Q85" t="s">
        <v>28</v>
      </c>
      <c r="R85" t="s">
        <v>49</v>
      </c>
      <c r="S85" t="s">
        <v>30</v>
      </c>
      <c r="T85">
        <f>YEAR(Table1_1[[#This Row],[order_date]])</f>
        <v>2024</v>
      </c>
      <c r="U85">
        <f>MONTH(Table1_1[[#This Row],[order_date]])</f>
        <v>2</v>
      </c>
      <c r="V85" t="str">
        <f>TEXT(Table1_1[[#This Row],[order_date]],"mmm")</f>
        <v>Feb</v>
      </c>
      <c r="W85" t="str">
        <f>"Q"&amp;ROUNDUP(MONTH(Table1_1[[#This Row],[order_date]])/3,0)</f>
        <v>Q1</v>
      </c>
      <c r="X85" t="str">
        <f>TEXT(Table1_1[[#This Row],[order_date]],"yyyy-mm")</f>
        <v>2024-02</v>
      </c>
      <c r="Y85">
        <f>IF(Table1_1[[#This Row],[ship_date]]="","",Table1_1[[#This Row],[ship_date]]-Table1_1[[#This Row],[order_date]])</f>
        <v>6</v>
      </c>
      <c r="Z85">
        <f>ROUND(Table1_1[[#This Row],[profit]]/Table1_1[[#This Row],[sales_fix]]*100,2)</f>
        <v>16.190000000000001</v>
      </c>
    </row>
    <row r="86" spans="1:26" x14ac:dyDescent="0.3">
      <c r="A86" t="s">
        <v>299</v>
      </c>
      <c r="B86" s="1">
        <v>45483</v>
      </c>
      <c r="C86" s="1">
        <v>45488</v>
      </c>
      <c r="D86" t="s">
        <v>301</v>
      </c>
      <c r="E86" t="s">
        <v>302</v>
      </c>
      <c r="F86" t="s">
        <v>34</v>
      </c>
      <c r="G86" t="s">
        <v>44</v>
      </c>
      <c r="H86" t="s">
        <v>24</v>
      </c>
      <c r="I86" t="s">
        <v>37</v>
      </c>
      <c r="J86" t="s">
        <v>38</v>
      </c>
      <c r="K86" t="s">
        <v>27</v>
      </c>
      <c r="L86">
        <v>2</v>
      </c>
      <c r="M86">
        <v>9500</v>
      </c>
      <c r="N86">
        <v>5</v>
      </c>
      <c r="O86">
        <v>18050</v>
      </c>
      <c r="P86">
        <v>3057.45</v>
      </c>
      <c r="Q86" t="s">
        <v>66</v>
      </c>
      <c r="R86" t="s">
        <v>56</v>
      </c>
      <c r="S86" t="s">
        <v>30</v>
      </c>
      <c r="T86">
        <f>YEAR(Table1_1[[#This Row],[order_date]])</f>
        <v>2024</v>
      </c>
      <c r="U86">
        <f>MONTH(Table1_1[[#This Row],[order_date]])</f>
        <v>7</v>
      </c>
      <c r="V86" t="str">
        <f>TEXT(Table1_1[[#This Row],[order_date]],"mmm")</f>
        <v>Jul</v>
      </c>
      <c r="W86" t="str">
        <f>"Q"&amp;ROUNDUP(MONTH(Table1_1[[#This Row],[order_date]])/3,0)</f>
        <v>Q3</v>
      </c>
      <c r="X86" t="str">
        <f>TEXT(Table1_1[[#This Row],[order_date]],"yyyy-mm")</f>
        <v>2024-07</v>
      </c>
      <c r="Y86">
        <f>IF(Table1_1[[#This Row],[ship_date]]="","",Table1_1[[#This Row],[ship_date]]-Table1_1[[#This Row],[order_date]])</f>
        <v>5</v>
      </c>
      <c r="Z86">
        <f>ROUND(Table1_1[[#This Row],[profit]]/Table1_1[[#This Row],[sales_fix]]*100,2)</f>
        <v>16.940000000000001</v>
      </c>
    </row>
    <row r="87" spans="1:26" x14ac:dyDescent="0.3">
      <c r="A87" t="s">
        <v>2806</v>
      </c>
      <c r="B87" s="1">
        <v>45908</v>
      </c>
      <c r="C87" s="1">
        <v>45914</v>
      </c>
      <c r="D87" t="s">
        <v>53</v>
      </c>
      <c r="E87" t="s">
        <v>54</v>
      </c>
      <c r="F87" t="s">
        <v>55</v>
      </c>
      <c r="G87" t="s">
        <v>44</v>
      </c>
      <c r="H87" t="s">
        <v>24</v>
      </c>
      <c r="I87" t="s">
        <v>134</v>
      </c>
      <c r="J87" t="s">
        <v>135</v>
      </c>
      <c r="K87" t="s">
        <v>27</v>
      </c>
      <c r="L87">
        <v>10</v>
      </c>
      <c r="M87">
        <v>6000</v>
      </c>
      <c r="N87">
        <v>0</v>
      </c>
      <c r="O87">
        <v>60000</v>
      </c>
      <c r="P87">
        <v>13221.93</v>
      </c>
      <c r="Q87" t="s">
        <v>66</v>
      </c>
      <c r="R87" t="s">
        <v>29</v>
      </c>
      <c r="S87" t="s">
        <v>110</v>
      </c>
      <c r="T87">
        <f>YEAR(Table1_1[[#This Row],[order_date]])</f>
        <v>2025</v>
      </c>
      <c r="U87">
        <f>MONTH(Table1_1[[#This Row],[order_date]])</f>
        <v>9</v>
      </c>
      <c r="V87" t="str">
        <f>TEXT(Table1_1[[#This Row],[order_date]],"mmm")</f>
        <v>Sep</v>
      </c>
      <c r="W87" t="str">
        <f>"Q"&amp;ROUNDUP(MONTH(Table1_1[[#This Row],[order_date]])/3,0)</f>
        <v>Q3</v>
      </c>
      <c r="X87" t="str">
        <f>TEXT(Table1_1[[#This Row],[order_date]],"yyyy-mm")</f>
        <v>2025-09</v>
      </c>
      <c r="Y87">
        <f>IF(Table1_1[[#This Row],[ship_date]]="","",Table1_1[[#This Row],[ship_date]]-Table1_1[[#This Row],[order_date]])</f>
        <v>6</v>
      </c>
      <c r="Z87">
        <f>ROUND(Table1_1[[#This Row],[profit]]/Table1_1[[#This Row],[sales_fix]]*100,2)</f>
        <v>22.04</v>
      </c>
    </row>
    <row r="88" spans="1:26" x14ac:dyDescent="0.3">
      <c r="A88" t="s">
        <v>174</v>
      </c>
      <c r="B88" s="1">
        <v>45748</v>
      </c>
      <c r="C88" s="1">
        <v>45756</v>
      </c>
      <c r="D88" t="s">
        <v>175</v>
      </c>
      <c r="E88" t="s">
        <v>1984</v>
      </c>
      <c r="F88" t="s">
        <v>55</v>
      </c>
      <c r="G88" t="s">
        <v>91</v>
      </c>
      <c r="H88" t="s">
        <v>177</v>
      </c>
      <c r="I88" t="s">
        <v>25</v>
      </c>
      <c r="J88" t="s">
        <v>26</v>
      </c>
      <c r="K88" t="s">
        <v>27</v>
      </c>
      <c r="L88">
        <v>2</v>
      </c>
      <c r="M88">
        <v>7000</v>
      </c>
      <c r="N88">
        <v>5</v>
      </c>
      <c r="O88">
        <v>13300</v>
      </c>
      <c r="P88">
        <v>2243.2399999999998</v>
      </c>
      <c r="Q88" t="s">
        <v>74</v>
      </c>
      <c r="R88" t="s">
        <v>49</v>
      </c>
      <c r="S88" t="s">
        <v>86</v>
      </c>
      <c r="T88">
        <f>YEAR(Table1_1[[#This Row],[order_date]])</f>
        <v>2025</v>
      </c>
      <c r="U88">
        <f>MONTH(Table1_1[[#This Row],[order_date]])</f>
        <v>4</v>
      </c>
      <c r="V88" t="str">
        <f>TEXT(Table1_1[[#This Row],[order_date]],"mmm")</f>
        <v>Apr</v>
      </c>
      <c r="W88" t="str">
        <f>"Q"&amp;ROUNDUP(MONTH(Table1_1[[#This Row],[order_date]])/3,0)</f>
        <v>Q2</v>
      </c>
      <c r="X88" t="str">
        <f>TEXT(Table1_1[[#This Row],[order_date]],"yyyy-mm")</f>
        <v>2025-04</v>
      </c>
      <c r="Y88">
        <f>IF(Table1_1[[#This Row],[ship_date]]="","",Table1_1[[#This Row],[ship_date]]-Table1_1[[#This Row],[order_date]])</f>
        <v>8</v>
      </c>
      <c r="Z88">
        <f>ROUND(Table1_1[[#This Row],[profit]]/Table1_1[[#This Row],[sales_fix]]*100,2)</f>
        <v>16.87</v>
      </c>
    </row>
    <row r="89" spans="1:26" x14ac:dyDescent="0.3">
      <c r="A89" t="s">
        <v>2128</v>
      </c>
      <c r="B89" s="1">
        <v>45737</v>
      </c>
      <c r="C89" s="1">
        <v>45739</v>
      </c>
      <c r="D89" t="s">
        <v>599</v>
      </c>
      <c r="E89" t="s">
        <v>600</v>
      </c>
      <c r="F89" t="s">
        <v>23</v>
      </c>
      <c r="G89" t="s">
        <v>44</v>
      </c>
      <c r="H89" t="s">
        <v>161</v>
      </c>
      <c r="I89" t="s">
        <v>93</v>
      </c>
      <c r="J89" t="s">
        <v>94</v>
      </c>
      <c r="K89" t="s">
        <v>95</v>
      </c>
      <c r="L89">
        <v>1</v>
      </c>
      <c r="M89">
        <v>1800</v>
      </c>
      <c r="N89">
        <v>20</v>
      </c>
      <c r="O89">
        <v>1440</v>
      </c>
      <c r="P89">
        <v>543.9</v>
      </c>
      <c r="Q89" t="s">
        <v>156</v>
      </c>
      <c r="R89" t="s">
        <v>56</v>
      </c>
      <c r="S89" t="s">
        <v>30</v>
      </c>
      <c r="T89">
        <f>YEAR(Table1_1[[#This Row],[order_date]])</f>
        <v>2025</v>
      </c>
      <c r="U89">
        <f>MONTH(Table1_1[[#This Row],[order_date]])</f>
        <v>3</v>
      </c>
      <c r="V89" t="str">
        <f>TEXT(Table1_1[[#This Row],[order_date]],"mmm")</f>
        <v>Mar</v>
      </c>
      <c r="W89" t="str">
        <f>"Q"&amp;ROUNDUP(MONTH(Table1_1[[#This Row],[order_date]])/3,0)</f>
        <v>Q1</v>
      </c>
      <c r="X89" t="str">
        <f>TEXT(Table1_1[[#This Row],[order_date]],"yyyy-mm")</f>
        <v>2025-03</v>
      </c>
      <c r="Y89">
        <f>IF(Table1_1[[#This Row],[ship_date]]="","",Table1_1[[#This Row],[ship_date]]-Table1_1[[#This Row],[order_date]])</f>
        <v>2</v>
      </c>
      <c r="Z89">
        <f>ROUND(Table1_1[[#This Row],[profit]]/Table1_1[[#This Row],[sales_fix]]*100,2)</f>
        <v>37.770000000000003</v>
      </c>
    </row>
    <row r="90" spans="1:26" x14ac:dyDescent="0.3">
      <c r="A90" t="s">
        <v>980</v>
      </c>
      <c r="B90" s="1">
        <v>45987</v>
      </c>
      <c r="C90" s="1">
        <v>45995</v>
      </c>
      <c r="D90" t="s">
        <v>981</v>
      </c>
      <c r="E90" t="s">
        <v>982</v>
      </c>
      <c r="F90" t="s">
        <v>23</v>
      </c>
      <c r="G90" t="s">
        <v>91</v>
      </c>
      <c r="H90" t="s">
        <v>177</v>
      </c>
      <c r="I90" t="s">
        <v>46</v>
      </c>
      <c r="J90" t="s">
        <v>47</v>
      </c>
      <c r="K90" t="s">
        <v>48</v>
      </c>
      <c r="L90">
        <v>1</v>
      </c>
      <c r="M90">
        <v>180</v>
      </c>
      <c r="N90">
        <v>20</v>
      </c>
      <c r="O90">
        <v>144</v>
      </c>
      <c r="P90">
        <v>61.11</v>
      </c>
      <c r="Q90" t="s">
        <v>66</v>
      </c>
      <c r="R90" t="s">
        <v>29</v>
      </c>
      <c r="S90" t="s">
        <v>86</v>
      </c>
      <c r="T90">
        <f>YEAR(Table1_1[[#This Row],[order_date]])</f>
        <v>2025</v>
      </c>
      <c r="U90">
        <f>MONTH(Table1_1[[#This Row],[order_date]])</f>
        <v>11</v>
      </c>
      <c r="V90" t="str">
        <f>TEXT(Table1_1[[#This Row],[order_date]],"mmm")</f>
        <v>Nov</v>
      </c>
      <c r="W90" t="str">
        <f>"Q"&amp;ROUNDUP(MONTH(Table1_1[[#This Row],[order_date]])/3,0)</f>
        <v>Q4</v>
      </c>
      <c r="X90" t="str">
        <f>TEXT(Table1_1[[#This Row],[order_date]],"yyyy-mm")</f>
        <v>2025-11</v>
      </c>
      <c r="Y90">
        <f>IF(Table1_1[[#This Row],[ship_date]]="","",Table1_1[[#This Row],[ship_date]]-Table1_1[[#This Row],[order_date]])</f>
        <v>8</v>
      </c>
      <c r="Z90">
        <f>ROUND(Table1_1[[#This Row],[profit]]/Table1_1[[#This Row],[sales_fix]]*100,2)</f>
        <v>42.44</v>
      </c>
    </row>
    <row r="91" spans="1:26" x14ac:dyDescent="0.3">
      <c r="A91" t="s">
        <v>2884</v>
      </c>
      <c r="B91" s="1">
        <v>45667</v>
      </c>
      <c r="C91" s="1">
        <v>45670</v>
      </c>
      <c r="D91" t="s">
        <v>973</v>
      </c>
      <c r="E91" t="s">
        <v>974</v>
      </c>
      <c r="F91" t="s">
        <v>34</v>
      </c>
      <c r="G91" t="s">
        <v>91</v>
      </c>
      <c r="H91" t="s">
        <v>177</v>
      </c>
      <c r="I91" t="s">
        <v>126</v>
      </c>
      <c r="J91" t="s">
        <v>127</v>
      </c>
      <c r="K91" t="s">
        <v>95</v>
      </c>
      <c r="L91">
        <v>1</v>
      </c>
      <c r="M91">
        <v>600</v>
      </c>
      <c r="N91">
        <v>10</v>
      </c>
      <c r="O91">
        <v>540</v>
      </c>
      <c r="P91">
        <v>146.30000000000001</v>
      </c>
      <c r="Q91" t="s">
        <v>156</v>
      </c>
      <c r="R91" t="s">
        <v>49</v>
      </c>
      <c r="S91" t="s">
        <v>110</v>
      </c>
      <c r="T91">
        <f>YEAR(Table1_1[[#This Row],[order_date]])</f>
        <v>2025</v>
      </c>
      <c r="U91">
        <f>MONTH(Table1_1[[#This Row],[order_date]])</f>
        <v>1</v>
      </c>
      <c r="V91" t="str">
        <f>TEXT(Table1_1[[#This Row],[order_date]],"mmm")</f>
        <v>Jan</v>
      </c>
      <c r="W91" t="str">
        <f>"Q"&amp;ROUNDUP(MONTH(Table1_1[[#This Row],[order_date]])/3,0)</f>
        <v>Q1</v>
      </c>
      <c r="X91" t="str">
        <f>TEXT(Table1_1[[#This Row],[order_date]],"yyyy-mm")</f>
        <v>2025-01</v>
      </c>
      <c r="Y91">
        <f>IF(Table1_1[[#This Row],[ship_date]]="","",Table1_1[[#This Row],[ship_date]]-Table1_1[[#This Row],[order_date]])</f>
        <v>3</v>
      </c>
      <c r="Z91">
        <f>ROUND(Table1_1[[#This Row],[profit]]/Table1_1[[#This Row],[sales_fix]]*100,2)</f>
        <v>27.09</v>
      </c>
    </row>
    <row r="92" spans="1:26" x14ac:dyDescent="0.3">
      <c r="A92" t="s">
        <v>1787</v>
      </c>
      <c r="B92" s="1">
        <v>45370</v>
      </c>
      <c r="C92" s="1">
        <v>45376</v>
      </c>
      <c r="D92" t="s">
        <v>1003</v>
      </c>
      <c r="E92" t="s">
        <v>1004</v>
      </c>
      <c r="F92" t="s">
        <v>23</v>
      </c>
      <c r="G92" t="s">
        <v>61</v>
      </c>
      <c r="H92" t="s">
        <v>62</v>
      </c>
      <c r="I92" t="s">
        <v>147</v>
      </c>
      <c r="J92" t="s">
        <v>148</v>
      </c>
      <c r="K92" t="s">
        <v>48</v>
      </c>
      <c r="L92">
        <v>2</v>
      </c>
      <c r="M92">
        <v>250</v>
      </c>
      <c r="N92">
        <v>10</v>
      </c>
      <c r="O92">
        <v>450</v>
      </c>
      <c r="P92">
        <v>152.41999999999999</v>
      </c>
      <c r="Q92" t="s">
        <v>156</v>
      </c>
      <c r="R92" t="s">
        <v>49</v>
      </c>
      <c r="S92" t="s">
        <v>50</v>
      </c>
      <c r="T92">
        <f>YEAR(Table1_1[[#This Row],[order_date]])</f>
        <v>2024</v>
      </c>
      <c r="U92">
        <f>MONTH(Table1_1[[#This Row],[order_date]])</f>
        <v>3</v>
      </c>
      <c r="V92" t="str">
        <f>TEXT(Table1_1[[#This Row],[order_date]],"mmm")</f>
        <v>Mar</v>
      </c>
      <c r="W92" t="str">
        <f>"Q"&amp;ROUNDUP(MONTH(Table1_1[[#This Row],[order_date]])/3,0)</f>
        <v>Q1</v>
      </c>
      <c r="X92" t="str">
        <f>TEXT(Table1_1[[#This Row],[order_date]],"yyyy-mm")</f>
        <v>2024-03</v>
      </c>
      <c r="Y92">
        <f>IF(Table1_1[[#This Row],[ship_date]]="","",Table1_1[[#This Row],[ship_date]]-Table1_1[[#This Row],[order_date]])</f>
        <v>6</v>
      </c>
      <c r="Z92">
        <f>ROUND(Table1_1[[#This Row],[profit]]/Table1_1[[#This Row],[sales_fix]]*100,2)</f>
        <v>33.869999999999997</v>
      </c>
    </row>
    <row r="93" spans="1:26" x14ac:dyDescent="0.3">
      <c r="A93" t="s">
        <v>2192</v>
      </c>
      <c r="B93" s="1">
        <v>45482</v>
      </c>
      <c r="C93" s="1">
        <v>45484</v>
      </c>
      <c r="D93" t="s">
        <v>1875</v>
      </c>
      <c r="E93" t="s">
        <v>1876</v>
      </c>
      <c r="F93" t="s">
        <v>34</v>
      </c>
      <c r="G93" t="s">
        <v>91</v>
      </c>
      <c r="H93" t="s">
        <v>109</v>
      </c>
      <c r="I93" t="s">
        <v>114</v>
      </c>
      <c r="J93" t="s">
        <v>115</v>
      </c>
      <c r="K93" t="s">
        <v>65</v>
      </c>
      <c r="L93">
        <v>2</v>
      </c>
      <c r="M93">
        <v>55000</v>
      </c>
      <c r="N93">
        <v>5</v>
      </c>
      <c r="O93">
        <v>104500</v>
      </c>
      <c r="P93">
        <v>20040.490000000002</v>
      </c>
      <c r="Q93" t="s">
        <v>74</v>
      </c>
      <c r="R93" t="s">
        <v>49</v>
      </c>
      <c r="S93" t="s">
        <v>30</v>
      </c>
      <c r="T93">
        <f>YEAR(Table1_1[[#This Row],[order_date]])</f>
        <v>2024</v>
      </c>
      <c r="U93">
        <f>MONTH(Table1_1[[#This Row],[order_date]])</f>
        <v>7</v>
      </c>
      <c r="V93" t="str">
        <f>TEXT(Table1_1[[#This Row],[order_date]],"mmm")</f>
        <v>Jul</v>
      </c>
      <c r="W93" t="str">
        <f>"Q"&amp;ROUNDUP(MONTH(Table1_1[[#This Row],[order_date]])/3,0)</f>
        <v>Q3</v>
      </c>
      <c r="X93" t="str">
        <f>TEXT(Table1_1[[#This Row],[order_date]],"yyyy-mm")</f>
        <v>2024-07</v>
      </c>
      <c r="Y93">
        <f>IF(Table1_1[[#This Row],[ship_date]]="","",Table1_1[[#This Row],[ship_date]]-Table1_1[[#This Row],[order_date]])</f>
        <v>2</v>
      </c>
      <c r="Z93">
        <f>ROUND(Table1_1[[#This Row],[profit]]/Table1_1[[#This Row],[sales_fix]]*100,2)</f>
        <v>19.18</v>
      </c>
    </row>
    <row r="94" spans="1:26" x14ac:dyDescent="0.3">
      <c r="A94" t="s">
        <v>1084</v>
      </c>
      <c r="B94" s="1">
        <v>45584</v>
      </c>
      <c r="C94" s="1">
        <v>45586</v>
      </c>
      <c r="D94" t="s">
        <v>956</v>
      </c>
      <c r="E94" t="s">
        <v>1086</v>
      </c>
      <c r="F94" t="s">
        <v>55</v>
      </c>
      <c r="G94" t="s">
        <v>44</v>
      </c>
      <c r="H94" t="s">
        <v>24</v>
      </c>
      <c r="I94" t="s">
        <v>93</v>
      </c>
      <c r="J94" t="s">
        <v>94</v>
      </c>
      <c r="K94" t="s">
        <v>95</v>
      </c>
      <c r="L94">
        <v>10</v>
      </c>
      <c r="M94">
        <v>1800</v>
      </c>
      <c r="N94">
        <v>0</v>
      </c>
      <c r="O94">
        <v>18000</v>
      </c>
      <c r="P94">
        <v>4719.05</v>
      </c>
      <c r="Q94" t="s">
        <v>28</v>
      </c>
      <c r="R94" t="s">
        <v>29</v>
      </c>
      <c r="S94" t="s">
        <v>30</v>
      </c>
      <c r="T94">
        <f>YEAR(Table1_1[[#This Row],[order_date]])</f>
        <v>2024</v>
      </c>
      <c r="U94">
        <f>MONTH(Table1_1[[#This Row],[order_date]])</f>
        <v>10</v>
      </c>
      <c r="V94" t="str">
        <f>TEXT(Table1_1[[#This Row],[order_date]],"mmm")</f>
        <v>Oct</v>
      </c>
      <c r="W94" t="str">
        <f>"Q"&amp;ROUNDUP(MONTH(Table1_1[[#This Row],[order_date]])/3,0)</f>
        <v>Q4</v>
      </c>
      <c r="X94" t="str">
        <f>TEXT(Table1_1[[#This Row],[order_date]],"yyyy-mm")</f>
        <v>2024-10</v>
      </c>
      <c r="Y94">
        <f>IF(Table1_1[[#This Row],[ship_date]]="","",Table1_1[[#This Row],[ship_date]]-Table1_1[[#This Row],[order_date]])</f>
        <v>2</v>
      </c>
      <c r="Z94">
        <f>ROUND(Table1_1[[#This Row],[profit]]/Table1_1[[#This Row],[sales_fix]]*100,2)</f>
        <v>26.22</v>
      </c>
    </row>
    <row r="95" spans="1:26" x14ac:dyDescent="0.3">
      <c r="A95" t="s">
        <v>2619</v>
      </c>
      <c r="B95" s="1">
        <v>45619</v>
      </c>
      <c r="C95" s="1">
        <v>45624</v>
      </c>
      <c r="D95" t="s">
        <v>256</v>
      </c>
      <c r="E95" t="s">
        <v>257</v>
      </c>
      <c r="F95" t="s">
        <v>55</v>
      </c>
      <c r="G95" t="s">
        <v>35</v>
      </c>
      <c r="H95" t="s">
        <v>258</v>
      </c>
      <c r="I95" t="s">
        <v>126</v>
      </c>
      <c r="J95" t="s">
        <v>127</v>
      </c>
      <c r="K95" t="s">
        <v>95</v>
      </c>
      <c r="L95">
        <v>3</v>
      </c>
      <c r="M95">
        <v>600</v>
      </c>
      <c r="N95">
        <v>10</v>
      </c>
      <c r="O95">
        <v>1620</v>
      </c>
      <c r="P95">
        <v>564.41999999999996</v>
      </c>
      <c r="Q95" t="s">
        <v>121</v>
      </c>
      <c r="R95" t="s">
        <v>56</v>
      </c>
      <c r="S95" t="s">
        <v>50</v>
      </c>
      <c r="T95">
        <f>YEAR(Table1_1[[#This Row],[order_date]])</f>
        <v>2024</v>
      </c>
      <c r="U95">
        <f>MONTH(Table1_1[[#This Row],[order_date]])</f>
        <v>11</v>
      </c>
      <c r="V95" t="str">
        <f>TEXT(Table1_1[[#This Row],[order_date]],"mmm")</f>
        <v>Nov</v>
      </c>
      <c r="W95" t="str">
        <f>"Q"&amp;ROUNDUP(MONTH(Table1_1[[#This Row],[order_date]])/3,0)</f>
        <v>Q4</v>
      </c>
      <c r="X95" t="str">
        <f>TEXT(Table1_1[[#This Row],[order_date]],"yyyy-mm")</f>
        <v>2024-11</v>
      </c>
      <c r="Y95">
        <f>IF(Table1_1[[#This Row],[ship_date]]="","",Table1_1[[#This Row],[ship_date]]-Table1_1[[#This Row],[order_date]])</f>
        <v>5</v>
      </c>
      <c r="Z95">
        <f>ROUND(Table1_1[[#This Row],[profit]]/Table1_1[[#This Row],[sales_fix]]*100,2)</f>
        <v>34.840000000000003</v>
      </c>
    </row>
    <row r="96" spans="1:26" x14ac:dyDescent="0.3">
      <c r="A96" t="s">
        <v>2359</v>
      </c>
      <c r="B96" s="1">
        <v>45521</v>
      </c>
      <c r="C96" s="1">
        <v>45525</v>
      </c>
      <c r="D96" t="s">
        <v>2360</v>
      </c>
      <c r="E96" t="s">
        <v>2361</v>
      </c>
      <c r="F96" t="s">
        <v>23</v>
      </c>
      <c r="G96" t="s">
        <v>44</v>
      </c>
      <c r="H96" t="s">
        <v>330</v>
      </c>
      <c r="I96" t="s">
        <v>46</v>
      </c>
      <c r="J96" t="s">
        <v>47</v>
      </c>
      <c r="K96" t="s">
        <v>48</v>
      </c>
      <c r="L96">
        <v>1</v>
      </c>
      <c r="M96">
        <v>180</v>
      </c>
      <c r="N96">
        <v>0</v>
      </c>
      <c r="O96">
        <v>180</v>
      </c>
      <c r="P96">
        <v>82.36</v>
      </c>
      <c r="Q96" t="s">
        <v>28</v>
      </c>
      <c r="R96" t="s">
        <v>29</v>
      </c>
      <c r="S96" t="s">
        <v>110</v>
      </c>
      <c r="T96">
        <f>YEAR(Table1_1[[#This Row],[order_date]])</f>
        <v>2024</v>
      </c>
      <c r="U96">
        <f>MONTH(Table1_1[[#This Row],[order_date]])</f>
        <v>8</v>
      </c>
      <c r="V96" t="str">
        <f>TEXT(Table1_1[[#This Row],[order_date]],"mmm")</f>
        <v>Aug</v>
      </c>
      <c r="W96" t="str">
        <f>"Q"&amp;ROUNDUP(MONTH(Table1_1[[#This Row],[order_date]])/3,0)</f>
        <v>Q3</v>
      </c>
      <c r="X96" t="str">
        <f>TEXT(Table1_1[[#This Row],[order_date]],"yyyy-mm")</f>
        <v>2024-08</v>
      </c>
      <c r="Y96">
        <f>IF(Table1_1[[#This Row],[ship_date]]="","",Table1_1[[#This Row],[ship_date]]-Table1_1[[#This Row],[order_date]])</f>
        <v>4</v>
      </c>
      <c r="Z96">
        <f>ROUND(Table1_1[[#This Row],[profit]]/Table1_1[[#This Row],[sales_fix]]*100,2)</f>
        <v>45.76</v>
      </c>
    </row>
    <row r="97" spans="1:26" x14ac:dyDescent="0.3">
      <c r="A97" t="s">
        <v>2031</v>
      </c>
      <c r="B97" s="1">
        <v>45669</v>
      </c>
      <c r="C97" s="1">
        <v>45671</v>
      </c>
      <c r="D97" t="s">
        <v>346</v>
      </c>
      <c r="E97" t="s">
        <v>347</v>
      </c>
      <c r="F97" t="s">
        <v>23</v>
      </c>
      <c r="G97" t="s">
        <v>44</v>
      </c>
      <c r="H97" t="s">
        <v>155</v>
      </c>
      <c r="I97" t="s">
        <v>93</v>
      </c>
      <c r="J97" t="s">
        <v>94</v>
      </c>
      <c r="K97" t="s">
        <v>95</v>
      </c>
      <c r="L97">
        <v>2</v>
      </c>
      <c r="M97">
        <v>1800</v>
      </c>
      <c r="N97">
        <v>10</v>
      </c>
      <c r="O97">
        <v>3240</v>
      </c>
      <c r="P97">
        <v>852.66</v>
      </c>
      <c r="Q97" t="s">
        <v>66</v>
      </c>
      <c r="R97" t="s">
        <v>49</v>
      </c>
      <c r="S97" t="s">
        <v>30</v>
      </c>
      <c r="T97">
        <f>YEAR(Table1_1[[#This Row],[order_date]])</f>
        <v>2025</v>
      </c>
      <c r="U97">
        <f>MONTH(Table1_1[[#This Row],[order_date]])</f>
        <v>1</v>
      </c>
      <c r="V97" t="str">
        <f>TEXT(Table1_1[[#This Row],[order_date]],"mmm")</f>
        <v>Jan</v>
      </c>
      <c r="W97" t="str">
        <f>"Q"&amp;ROUNDUP(MONTH(Table1_1[[#This Row],[order_date]])/3,0)</f>
        <v>Q1</v>
      </c>
      <c r="X97" t="str">
        <f>TEXT(Table1_1[[#This Row],[order_date]],"yyyy-mm")</f>
        <v>2025-01</v>
      </c>
      <c r="Y97">
        <f>IF(Table1_1[[#This Row],[ship_date]]="","",Table1_1[[#This Row],[ship_date]]-Table1_1[[#This Row],[order_date]])</f>
        <v>2</v>
      </c>
      <c r="Z97">
        <f>ROUND(Table1_1[[#This Row],[profit]]/Table1_1[[#This Row],[sales_fix]]*100,2)</f>
        <v>26.32</v>
      </c>
    </row>
    <row r="98" spans="1:26" x14ac:dyDescent="0.3">
      <c r="A98" t="s">
        <v>2211</v>
      </c>
      <c r="B98" s="1">
        <v>45712</v>
      </c>
      <c r="C98" s="1">
        <v>45715</v>
      </c>
      <c r="D98" t="s">
        <v>89</v>
      </c>
      <c r="E98" t="s">
        <v>90</v>
      </c>
      <c r="F98" t="s">
        <v>23</v>
      </c>
      <c r="G98" t="s">
        <v>91</v>
      </c>
      <c r="H98" t="s">
        <v>92</v>
      </c>
      <c r="I98" t="s">
        <v>46</v>
      </c>
      <c r="J98" t="s">
        <v>47</v>
      </c>
      <c r="K98" t="s">
        <v>48</v>
      </c>
      <c r="L98">
        <v>3</v>
      </c>
      <c r="M98">
        <v>180</v>
      </c>
      <c r="N98">
        <v>20</v>
      </c>
      <c r="O98">
        <v>432</v>
      </c>
      <c r="P98">
        <v>180.78</v>
      </c>
      <c r="Q98" t="s">
        <v>74</v>
      </c>
      <c r="R98" t="s">
        <v>56</v>
      </c>
      <c r="S98" t="s">
        <v>86</v>
      </c>
      <c r="T98">
        <f>YEAR(Table1_1[[#This Row],[order_date]])</f>
        <v>2025</v>
      </c>
      <c r="U98">
        <f>MONTH(Table1_1[[#This Row],[order_date]])</f>
        <v>2</v>
      </c>
      <c r="V98" t="str">
        <f>TEXT(Table1_1[[#This Row],[order_date]],"mmm")</f>
        <v>Feb</v>
      </c>
      <c r="W98" t="str">
        <f>"Q"&amp;ROUNDUP(MONTH(Table1_1[[#This Row],[order_date]])/3,0)</f>
        <v>Q1</v>
      </c>
      <c r="X98" t="str">
        <f>TEXT(Table1_1[[#This Row],[order_date]],"yyyy-mm")</f>
        <v>2025-02</v>
      </c>
      <c r="Y98">
        <f>IF(Table1_1[[#This Row],[ship_date]]="","",Table1_1[[#This Row],[ship_date]]-Table1_1[[#This Row],[order_date]])</f>
        <v>3</v>
      </c>
      <c r="Z98">
        <f>ROUND(Table1_1[[#This Row],[profit]]/Table1_1[[#This Row],[sales_fix]]*100,2)</f>
        <v>41.85</v>
      </c>
    </row>
    <row r="99" spans="1:26" x14ac:dyDescent="0.3">
      <c r="A99" t="s">
        <v>2208</v>
      </c>
      <c r="B99" s="1">
        <v>45988</v>
      </c>
      <c r="C99" s="1">
        <v>45991</v>
      </c>
      <c r="D99" t="s">
        <v>192</v>
      </c>
      <c r="E99" t="s">
        <v>193</v>
      </c>
      <c r="F99" t="s">
        <v>55</v>
      </c>
      <c r="G99" t="s">
        <v>35</v>
      </c>
      <c r="H99" t="s">
        <v>36</v>
      </c>
      <c r="I99" t="s">
        <v>147</v>
      </c>
      <c r="J99" t="s">
        <v>148</v>
      </c>
      <c r="K99" t="s">
        <v>48</v>
      </c>
      <c r="L99">
        <v>1</v>
      </c>
      <c r="M99">
        <v>250</v>
      </c>
      <c r="N99">
        <v>20</v>
      </c>
      <c r="O99">
        <v>200</v>
      </c>
      <c r="P99">
        <v>80.97</v>
      </c>
      <c r="Q99" t="s">
        <v>121</v>
      </c>
      <c r="R99" t="s">
        <v>49</v>
      </c>
      <c r="S99" t="s">
        <v>40</v>
      </c>
      <c r="T99">
        <f>YEAR(Table1_1[[#This Row],[order_date]])</f>
        <v>2025</v>
      </c>
      <c r="U99">
        <f>MONTH(Table1_1[[#This Row],[order_date]])</f>
        <v>11</v>
      </c>
      <c r="V99" t="str">
        <f>TEXT(Table1_1[[#This Row],[order_date]],"mmm")</f>
        <v>Nov</v>
      </c>
      <c r="W99" t="str">
        <f>"Q"&amp;ROUNDUP(MONTH(Table1_1[[#This Row],[order_date]])/3,0)</f>
        <v>Q4</v>
      </c>
      <c r="X99" t="str">
        <f>TEXT(Table1_1[[#This Row],[order_date]],"yyyy-mm")</f>
        <v>2025-11</v>
      </c>
      <c r="Y99">
        <f>IF(Table1_1[[#This Row],[ship_date]]="","",Table1_1[[#This Row],[ship_date]]-Table1_1[[#This Row],[order_date]])</f>
        <v>3</v>
      </c>
      <c r="Z99">
        <f>ROUND(Table1_1[[#This Row],[profit]]/Table1_1[[#This Row],[sales_fix]]*100,2)</f>
        <v>40.49</v>
      </c>
    </row>
    <row r="100" spans="1:26" x14ac:dyDescent="0.3">
      <c r="A100" t="s">
        <v>1268</v>
      </c>
      <c r="B100" s="1">
        <v>45822</v>
      </c>
      <c r="C100" s="1">
        <v>45826</v>
      </c>
      <c r="D100" t="s">
        <v>596</v>
      </c>
      <c r="E100" t="s">
        <v>597</v>
      </c>
      <c r="F100" t="s">
        <v>34</v>
      </c>
      <c r="G100" t="s">
        <v>91</v>
      </c>
      <c r="H100" t="s">
        <v>120</v>
      </c>
      <c r="I100" t="s">
        <v>63</v>
      </c>
      <c r="J100" t="s">
        <v>64</v>
      </c>
      <c r="K100" t="s">
        <v>65</v>
      </c>
      <c r="L100">
        <v>1</v>
      </c>
      <c r="M100">
        <v>25000</v>
      </c>
      <c r="N100">
        <v>0</v>
      </c>
      <c r="O100">
        <v>25000</v>
      </c>
      <c r="P100">
        <v>3750</v>
      </c>
      <c r="Q100" t="s">
        <v>74</v>
      </c>
      <c r="R100" t="s">
        <v>56</v>
      </c>
      <c r="S100" t="s">
        <v>110</v>
      </c>
      <c r="T100">
        <f>YEAR(Table1_1[[#This Row],[order_date]])</f>
        <v>2025</v>
      </c>
      <c r="U100">
        <f>MONTH(Table1_1[[#This Row],[order_date]])</f>
        <v>6</v>
      </c>
      <c r="V100" t="str">
        <f>TEXT(Table1_1[[#This Row],[order_date]],"mmm")</f>
        <v>Jun</v>
      </c>
      <c r="W100" t="str">
        <f>"Q"&amp;ROUNDUP(MONTH(Table1_1[[#This Row],[order_date]])/3,0)</f>
        <v>Q2</v>
      </c>
      <c r="X100" t="str">
        <f>TEXT(Table1_1[[#This Row],[order_date]],"yyyy-mm")</f>
        <v>2025-06</v>
      </c>
      <c r="Y100">
        <f>IF(Table1_1[[#This Row],[ship_date]]="","",Table1_1[[#This Row],[ship_date]]-Table1_1[[#This Row],[order_date]])</f>
        <v>4</v>
      </c>
      <c r="Z100">
        <f>ROUND(Table1_1[[#This Row],[profit]]/Table1_1[[#This Row],[sales_fix]]*100,2)</f>
        <v>15</v>
      </c>
    </row>
    <row r="101" spans="1:26" x14ac:dyDescent="0.3">
      <c r="A101" t="s">
        <v>2184</v>
      </c>
      <c r="B101" s="1">
        <v>45493</v>
      </c>
      <c r="C101" s="1">
        <v>45498</v>
      </c>
      <c r="D101" t="s">
        <v>53</v>
      </c>
      <c r="E101" t="s">
        <v>54</v>
      </c>
      <c r="F101" t="s">
        <v>55</v>
      </c>
      <c r="G101" t="s">
        <v>44</v>
      </c>
      <c r="H101" t="s">
        <v>24</v>
      </c>
      <c r="I101" t="s">
        <v>25</v>
      </c>
      <c r="J101" t="s">
        <v>26</v>
      </c>
      <c r="K101" t="s">
        <v>27</v>
      </c>
      <c r="L101">
        <v>2</v>
      </c>
      <c r="M101">
        <v>7000</v>
      </c>
      <c r="N101">
        <v>10</v>
      </c>
      <c r="O101">
        <v>12600</v>
      </c>
      <c r="P101">
        <v>2244.71</v>
      </c>
      <c r="Q101" t="s">
        <v>39</v>
      </c>
      <c r="R101" t="s">
        <v>56</v>
      </c>
      <c r="S101" t="s">
        <v>86</v>
      </c>
      <c r="T101">
        <f>YEAR(Table1_1[[#This Row],[order_date]])</f>
        <v>2024</v>
      </c>
      <c r="U101">
        <f>MONTH(Table1_1[[#This Row],[order_date]])</f>
        <v>7</v>
      </c>
      <c r="V101" t="str">
        <f>TEXT(Table1_1[[#This Row],[order_date]],"mmm")</f>
        <v>Jul</v>
      </c>
      <c r="W101" t="str">
        <f>"Q"&amp;ROUNDUP(MONTH(Table1_1[[#This Row],[order_date]])/3,0)</f>
        <v>Q3</v>
      </c>
      <c r="X101" t="str">
        <f>TEXT(Table1_1[[#This Row],[order_date]],"yyyy-mm")</f>
        <v>2024-07</v>
      </c>
      <c r="Y101">
        <f>IF(Table1_1[[#This Row],[ship_date]]="","",Table1_1[[#This Row],[ship_date]]-Table1_1[[#This Row],[order_date]])</f>
        <v>5</v>
      </c>
      <c r="Z101">
        <f>ROUND(Table1_1[[#This Row],[profit]]/Table1_1[[#This Row],[sales_fix]]*100,2)</f>
        <v>17.82</v>
      </c>
    </row>
    <row r="102" spans="1:26" x14ac:dyDescent="0.3">
      <c r="A102" t="s">
        <v>1621</v>
      </c>
      <c r="B102" s="1">
        <v>45464</v>
      </c>
      <c r="C102" s="1">
        <v>45470</v>
      </c>
      <c r="D102" t="s">
        <v>237</v>
      </c>
      <c r="E102" t="s">
        <v>238</v>
      </c>
      <c r="F102" t="s">
        <v>55</v>
      </c>
      <c r="G102" t="s">
        <v>44</v>
      </c>
      <c r="H102" t="s">
        <v>155</v>
      </c>
      <c r="I102" t="s">
        <v>126</v>
      </c>
      <c r="J102" t="s">
        <v>127</v>
      </c>
      <c r="K102" t="s">
        <v>95</v>
      </c>
      <c r="L102">
        <v>2</v>
      </c>
      <c r="M102">
        <v>600</v>
      </c>
      <c r="N102">
        <v>10</v>
      </c>
      <c r="O102">
        <v>1080</v>
      </c>
      <c r="P102">
        <v>312.58999999999997</v>
      </c>
      <c r="Q102" t="s">
        <v>39</v>
      </c>
      <c r="R102" t="s">
        <v>29</v>
      </c>
      <c r="S102" t="s">
        <v>86</v>
      </c>
      <c r="T102">
        <f>YEAR(Table1_1[[#This Row],[order_date]])</f>
        <v>2024</v>
      </c>
      <c r="U102">
        <f>MONTH(Table1_1[[#This Row],[order_date]])</f>
        <v>6</v>
      </c>
      <c r="V102" t="str">
        <f>TEXT(Table1_1[[#This Row],[order_date]],"mmm")</f>
        <v>Jun</v>
      </c>
      <c r="W102" t="str">
        <f>"Q"&amp;ROUNDUP(MONTH(Table1_1[[#This Row],[order_date]])/3,0)</f>
        <v>Q2</v>
      </c>
      <c r="X102" t="str">
        <f>TEXT(Table1_1[[#This Row],[order_date]],"yyyy-mm")</f>
        <v>2024-06</v>
      </c>
      <c r="Y102">
        <f>IF(Table1_1[[#This Row],[ship_date]]="","",Table1_1[[#This Row],[ship_date]]-Table1_1[[#This Row],[order_date]])</f>
        <v>6</v>
      </c>
      <c r="Z102">
        <f>ROUND(Table1_1[[#This Row],[profit]]/Table1_1[[#This Row],[sales_fix]]*100,2)</f>
        <v>28.94</v>
      </c>
    </row>
    <row r="103" spans="1:26" x14ac:dyDescent="0.3">
      <c r="A103" t="s">
        <v>2864</v>
      </c>
      <c r="B103" s="1">
        <v>45948</v>
      </c>
      <c r="C103" s="1">
        <v>45955</v>
      </c>
      <c r="D103" t="s">
        <v>524</v>
      </c>
      <c r="E103" t="s">
        <v>525</v>
      </c>
      <c r="F103" t="s">
        <v>34</v>
      </c>
      <c r="G103" t="s">
        <v>35</v>
      </c>
      <c r="H103" t="s">
        <v>187</v>
      </c>
      <c r="I103" t="s">
        <v>114</v>
      </c>
      <c r="J103" t="s">
        <v>115</v>
      </c>
      <c r="K103" t="s">
        <v>65</v>
      </c>
      <c r="L103">
        <v>1</v>
      </c>
      <c r="M103">
        <v>55000</v>
      </c>
      <c r="N103">
        <v>0</v>
      </c>
      <c r="O103">
        <v>55000</v>
      </c>
      <c r="P103">
        <v>9967.16</v>
      </c>
      <c r="Q103" t="s">
        <v>39</v>
      </c>
      <c r="R103" t="s">
        <v>56</v>
      </c>
      <c r="S103" t="s">
        <v>86</v>
      </c>
      <c r="T103">
        <f>YEAR(Table1_1[[#This Row],[order_date]])</f>
        <v>2025</v>
      </c>
      <c r="U103">
        <f>MONTH(Table1_1[[#This Row],[order_date]])</f>
        <v>10</v>
      </c>
      <c r="V103" t="str">
        <f>TEXT(Table1_1[[#This Row],[order_date]],"mmm")</f>
        <v>Oct</v>
      </c>
      <c r="W103" t="str">
        <f>"Q"&amp;ROUNDUP(MONTH(Table1_1[[#This Row],[order_date]])/3,0)</f>
        <v>Q4</v>
      </c>
      <c r="X103" t="str">
        <f>TEXT(Table1_1[[#This Row],[order_date]],"yyyy-mm")</f>
        <v>2025-10</v>
      </c>
      <c r="Y103">
        <f>IF(Table1_1[[#This Row],[ship_date]]="","",Table1_1[[#This Row],[ship_date]]-Table1_1[[#This Row],[order_date]])</f>
        <v>7</v>
      </c>
      <c r="Z103">
        <f>ROUND(Table1_1[[#This Row],[profit]]/Table1_1[[#This Row],[sales_fix]]*100,2)</f>
        <v>18.12</v>
      </c>
    </row>
    <row r="104" spans="1:26" x14ac:dyDescent="0.3">
      <c r="A104" t="s">
        <v>1495</v>
      </c>
      <c r="B104" s="1">
        <v>45850</v>
      </c>
      <c r="C104" s="1">
        <v>45857</v>
      </c>
      <c r="D104" t="s">
        <v>628</v>
      </c>
      <c r="E104" t="s">
        <v>629</v>
      </c>
      <c r="F104" t="s">
        <v>55</v>
      </c>
      <c r="G104" t="s">
        <v>91</v>
      </c>
      <c r="H104" t="s">
        <v>120</v>
      </c>
      <c r="I104" t="s">
        <v>126</v>
      </c>
      <c r="J104" t="s">
        <v>127</v>
      </c>
      <c r="K104" t="s">
        <v>95</v>
      </c>
      <c r="L104">
        <v>1</v>
      </c>
      <c r="M104">
        <v>600</v>
      </c>
      <c r="N104">
        <v>0</v>
      </c>
      <c r="O104">
        <v>600</v>
      </c>
      <c r="P104">
        <v>203.64</v>
      </c>
      <c r="Q104" t="s">
        <v>74</v>
      </c>
      <c r="R104" t="s">
        <v>49</v>
      </c>
      <c r="S104" t="s">
        <v>86</v>
      </c>
      <c r="T104">
        <f>YEAR(Table1_1[[#This Row],[order_date]])</f>
        <v>2025</v>
      </c>
      <c r="U104">
        <f>MONTH(Table1_1[[#This Row],[order_date]])</f>
        <v>7</v>
      </c>
      <c r="V104" t="str">
        <f>TEXT(Table1_1[[#This Row],[order_date]],"mmm")</f>
        <v>Jul</v>
      </c>
      <c r="W104" t="str">
        <f>"Q"&amp;ROUNDUP(MONTH(Table1_1[[#This Row],[order_date]])/3,0)</f>
        <v>Q3</v>
      </c>
      <c r="X104" t="str">
        <f>TEXT(Table1_1[[#This Row],[order_date]],"yyyy-mm")</f>
        <v>2025-07</v>
      </c>
      <c r="Y104">
        <f>IF(Table1_1[[#This Row],[ship_date]]="","",Table1_1[[#This Row],[ship_date]]-Table1_1[[#This Row],[order_date]])</f>
        <v>7</v>
      </c>
      <c r="Z104">
        <f>ROUND(Table1_1[[#This Row],[profit]]/Table1_1[[#This Row],[sales_fix]]*100,2)</f>
        <v>33.94</v>
      </c>
    </row>
    <row r="105" spans="1:26" x14ac:dyDescent="0.3">
      <c r="A105" t="s">
        <v>2121</v>
      </c>
      <c r="B105" s="1">
        <v>45742</v>
      </c>
      <c r="C105" s="1">
        <v>45745</v>
      </c>
      <c r="D105" t="s">
        <v>392</v>
      </c>
      <c r="E105" t="s">
        <v>393</v>
      </c>
      <c r="F105" t="s">
        <v>55</v>
      </c>
      <c r="G105" t="s">
        <v>91</v>
      </c>
      <c r="H105" t="s">
        <v>92</v>
      </c>
      <c r="I105" t="s">
        <v>79</v>
      </c>
      <c r="J105" t="s">
        <v>80</v>
      </c>
      <c r="K105" t="s">
        <v>65</v>
      </c>
      <c r="L105">
        <v>2</v>
      </c>
      <c r="M105">
        <v>3000</v>
      </c>
      <c r="N105">
        <v>5</v>
      </c>
      <c r="O105">
        <v>5700</v>
      </c>
      <c r="P105">
        <v>1336.55</v>
      </c>
      <c r="Q105" t="s">
        <v>74</v>
      </c>
      <c r="R105" t="s">
        <v>56</v>
      </c>
      <c r="S105" t="s">
        <v>110</v>
      </c>
      <c r="T105">
        <f>YEAR(Table1_1[[#This Row],[order_date]])</f>
        <v>2025</v>
      </c>
      <c r="U105">
        <f>MONTH(Table1_1[[#This Row],[order_date]])</f>
        <v>3</v>
      </c>
      <c r="V105" t="str">
        <f>TEXT(Table1_1[[#This Row],[order_date]],"mmm")</f>
        <v>Mar</v>
      </c>
      <c r="W105" t="str">
        <f>"Q"&amp;ROUNDUP(MONTH(Table1_1[[#This Row],[order_date]])/3,0)</f>
        <v>Q1</v>
      </c>
      <c r="X105" t="str">
        <f>TEXT(Table1_1[[#This Row],[order_date]],"yyyy-mm")</f>
        <v>2025-03</v>
      </c>
      <c r="Y105">
        <f>IF(Table1_1[[#This Row],[ship_date]]="","",Table1_1[[#This Row],[ship_date]]-Table1_1[[#This Row],[order_date]])</f>
        <v>3</v>
      </c>
      <c r="Z105">
        <f>ROUND(Table1_1[[#This Row],[profit]]/Table1_1[[#This Row],[sales_fix]]*100,2)</f>
        <v>23.45</v>
      </c>
    </row>
    <row r="106" spans="1:26" x14ac:dyDescent="0.3">
      <c r="A106" t="s">
        <v>2630</v>
      </c>
      <c r="B106" s="1">
        <v>45425</v>
      </c>
      <c r="C106" s="1">
        <v>45431</v>
      </c>
      <c r="D106" t="s">
        <v>539</v>
      </c>
      <c r="E106" t="s">
        <v>540</v>
      </c>
      <c r="F106" t="s">
        <v>34</v>
      </c>
      <c r="G106" t="s">
        <v>61</v>
      </c>
      <c r="H106" t="s">
        <v>211</v>
      </c>
      <c r="I106" t="s">
        <v>134</v>
      </c>
      <c r="J106" t="s">
        <v>135</v>
      </c>
      <c r="K106" t="s">
        <v>27</v>
      </c>
      <c r="L106">
        <v>3</v>
      </c>
      <c r="M106">
        <v>6000</v>
      </c>
      <c r="N106">
        <v>10</v>
      </c>
      <c r="O106">
        <v>16200</v>
      </c>
      <c r="P106">
        <v>3595.08</v>
      </c>
      <c r="Q106" t="s">
        <v>121</v>
      </c>
      <c r="R106" t="s">
        <v>49</v>
      </c>
      <c r="S106" t="s">
        <v>86</v>
      </c>
      <c r="T106">
        <f>YEAR(Table1_1[[#This Row],[order_date]])</f>
        <v>2024</v>
      </c>
      <c r="U106">
        <f>MONTH(Table1_1[[#This Row],[order_date]])</f>
        <v>5</v>
      </c>
      <c r="V106" t="str">
        <f>TEXT(Table1_1[[#This Row],[order_date]],"mmm")</f>
        <v>May</v>
      </c>
      <c r="W106" t="str">
        <f>"Q"&amp;ROUNDUP(MONTH(Table1_1[[#This Row],[order_date]])/3,0)</f>
        <v>Q2</v>
      </c>
      <c r="X106" t="str">
        <f>TEXT(Table1_1[[#This Row],[order_date]],"yyyy-mm")</f>
        <v>2024-05</v>
      </c>
      <c r="Y106">
        <f>IF(Table1_1[[#This Row],[ship_date]]="","",Table1_1[[#This Row],[ship_date]]-Table1_1[[#This Row],[order_date]])</f>
        <v>6</v>
      </c>
      <c r="Z106">
        <f>ROUND(Table1_1[[#This Row],[profit]]/Table1_1[[#This Row],[sales_fix]]*100,2)</f>
        <v>22.19</v>
      </c>
    </row>
    <row r="107" spans="1:26" x14ac:dyDescent="0.3">
      <c r="A107" t="s">
        <v>1802</v>
      </c>
      <c r="B107" s="1">
        <v>45545</v>
      </c>
      <c r="C107" s="1">
        <v>45552</v>
      </c>
      <c r="D107" t="s">
        <v>1221</v>
      </c>
      <c r="E107" t="s">
        <v>1222</v>
      </c>
      <c r="F107" t="s">
        <v>55</v>
      </c>
      <c r="G107" t="s">
        <v>35</v>
      </c>
      <c r="H107" t="s">
        <v>36</v>
      </c>
      <c r="I107" t="s">
        <v>147</v>
      </c>
      <c r="J107" t="s">
        <v>148</v>
      </c>
      <c r="K107" t="s">
        <v>48</v>
      </c>
      <c r="L107">
        <v>1</v>
      </c>
      <c r="M107">
        <v>250</v>
      </c>
      <c r="N107">
        <v>0</v>
      </c>
      <c r="O107">
        <v>250</v>
      </c>
      <c r="P107">
        <v>81.61</v>
      </c>
      <c r="Q107" t="s">
        <v>39</v>
      </c>
      <c r="R107" t="s">
        <v>49</v>
      </c>
      <c r="S107" t="s">
        <v>50</v>
      </c>
      <c r="T107">
        <f>YEAR(Table1_1[[#This Row],[order_date]])</f>
        <v>2024</v>
      </c>
      <c r="U107">
        <f>MONTH(Table1_1[[#This Row],[order_date]])</f>
        <v>9</v>
      </c>
      <c r="V107" t="str">
        <f>TEXT(Table1_1[[#This Row],[order_date]],"mmm")</f>
        <v>Sep</v>
      </c>
      <c r="W107" t="str">
        <f>"Q"&amp;ROUNDUP(MONTH(Table1_1[[#This Row],[order_date]])/3,0)</f>
        <v>Q3</v>
      </c>
      <c r="X107" t="str">
        <f>TEXT(Table1_1[[#This Row],[order_date]],"yyyy-mm")</f>
        <v>2024-09</v>
      </c>
      <c r="Y107">
        <f>IF(Table1_1[[#This Row],[ship_date]]="","",Table1_1[[#This Row],[ship_date]]-Table1_1[[#This Row],[order_date]])</f>
        <v>7</v>
      </c>
      <c r="Z107">
        <f>ROUND(Table1_1[[#This Row],[profit]]/Table1_1[[#This Row],[sales_fix]]*100,2)</f>
        <v>32.64</v>
      </c>
    </row>
    <row r="108" spans="1:26" x14ac:dyDescent="0.3">
      <c r="A108" t="s">
        <v>1078</v>
      </c>
      <c r="B108" s="1">
        <v>45883</v>
      </c>
      <c r="C108" s="1">
        <v>45891</v>
      </c>
      <c r="D108" t="s">
        <v>1079</v>
      </c>
      <c r="E108" t="s">
        <v>1080</v>
      </c>
      <c r="F108" t="s">
        <v>23</v>
      </c>
      <c r="G108" t="s">
        <v>44</v>
      </c>
      <c r="H108" t="s">
        <v>155</v>
      </c>
      <c r="I108" t="s">
        <v>37</v>
      </c>
      <c r="J108" t="s">
        <v>38</v>
      </c>
      <c r="K108" t="s">
        <v>27</v>
      </c>
      <c r="L108">
        <v>3</v>
      </c>
      <c r="M108">
        <v>9500</v>
      </c>
      <c r="N108">
        <v>0</v>
      </c>
      <c r="O108">
        <v>28500</v>
      </c>
      <c r="P108">
        <v>5700</v>
      </c>
      <c r="Q108" t="s">
        <v>39</v>
      </c>
      <c r="R108" t="s">
        <v>49</v>
      </c>
      <c r="S108" t="s">
        <v>30</v>
      </c>
      <c r="T108">
        <f>YEAR(Table1_1[[#This Row],[order_date]])</f>
        <v>2025</v>
      </c>
      <c r="U108">
        <f>MONTH(Table1_1[[#This Row],[order_date]])</f>
        <v>8</v>
      </c>
      <c r="V108" t="str">
        <f>TEXT(Table1_1[[#This Row],[order_date]],"mmm")</f>
        <v>Aug</v>
      </c>
      <c r="W108" t="str">
        <f>"Q"&amp;ROUNDUP(MONTH(Table1_1[[#This Row],[order_date]])/3,0)</f>
        <v>Q3</v>
      </c>
      <c r="X108" t="str">
        <f>TEXT(Table1_1[[#This Row],[order_date]],"yyyy-mm")</f>
        <v>2025-08</v>
      </c>
      <c r="Y108">
        <f>IF(Table1_1[[#This Row],[ship_date]]="","",Table1_1[[#This Row],[ship_date]]-Table1_1[[#This Row],[order_date]])</f>
        <v>8</v>
      </c>
      <c r="Z108">
        <f>ROUND(Table1_1[[#This Row],[profit]]/Table1_1[[#This Row],[sales_fix]]*100,2)</f>
        <v>20</v>
      </c>
    </row>
    <row r="109" spans="1:26" x14ac:dyDescent="0.3">
      <c r="A109" t="s">
        <v>681</v>
      </c>
      <c r="B109" s="1">
        <v>45315</v>
      </c>
      <c r="C109" s="1">
        <v>45319</v>
      </c>
      <c r="D109" t="s">
        <v>682</v>
      </c>
      <c r="E109" t="s">
        <v>683</v>
      </c>
      <c r="F109" t="s">
        <v>55</v>
      </c>
      <c r="G109" t="s">
        <v>61</v>
      </c>
      <c r="H109" t="s">
        <v>125</v>
      </c>
      <c r="I109" t="s">
        <v>147</v>
      </c>
      <c r="J109" t="s">
        <v>148</v>
      </c>
      <c r="K109" t="s">
        <v>48</v>
      </c>
      <c r="L109">
        <v>1</v>
      </c>
      <c r="M109">
        <v>250</v>
      </c>
      <c r="N109">
        <v>5</v>
      </c>
      <c r="O109">
        <v>237.5</v>
      </c>
      <c r="P109">
        <v>85.71</v>
      </c>
      <c r="Q109" t="s">
        <v>121</v>
      </c>
      <c r="R109" t="s">
        <v>49</v>
      </c>
      <c r="S109" t="s">
        <v>110</v>
      </c>
      <c r="T109">
        <f>YEAR(Table1_1[[#This Row],[order_date]])</f>
        <v>2024</v>
      </c>
      <c r="U109">
        <f>MONTH(Table1_1[[#This Row],[order_date]])</f>
        <v>1</v>
      </c>
      <c r="V109" t="str">
        <f>TEXT(Table1_1[[#This Row],[order_date]],"mmm")</f>
        <v>Jan</v>
      </c>
      <c r="W109" t="str">
        <f>"Q"&amp;ROUNDUP(MONTH(Table1_1[[#This Row],[order_date]])/3,0)</f>
        <v>Q1</v>
      </c>
      <c r="X109" t="str">
        <f>TEXT(Table1_1[[#This Row],[order_date]],"yyyy-mm")</f>
        <v>2024-01</v>
      </c>
      <c r="Y109">
        <f>IF(Table1_1[[#This Row],[ship_date]]="","",Table1_1[[#This Row],[ship_date]]-Table1_1[[#This Row],[order_date]])</f>
        <v>4</v>
      </c>
      <c r="Z109">
        <f>ROUND(Table1_1[[#This Row],[profit]]/Table1_1[[#This Row],[sales_fix]]*100,2)</f>
        <v>36.090000000000003</v>
      </c>
    </row>
    <row r="110" spans="1:26" x14ac:dyDescent="0.3">
      <c r="A110" t="s">
        <v>1665</v>
      </c>
      <c r="B110" s="1">
        <v>45580</v>
      </c>
      <c r="C110" s="1">
        <v>45585</v>
      </c>
      <c r="D110" t="s">
        <v>209</v>
      </c>
      <c r="E110" t="s">
        <v>210</v>
      </c>
      <c r="F110" t="s">
        <v>34</v>
      </c>
      <c r="G110" t="s">
        <v>61</v>
      </c>
      <c r="H110" t="s">
        <v>211</v>
      </c>
      <c r="I110" t="s">
        <v>114</v>
      </c>
      <c r="J110" t="s">
        <v>115</v>
      </c>
      <c r="K110" t="s">
        <v>65</v>
      </c>
      <c r="L110">
        <v>4</v>
      </c>
      <c r="M110">
        <v>55000</v>
      </c>
      <c r="N110">
        <v>15</v>
      </c>
      <c r="O110">
        <v>187000</v>
      </c>
      <c r="P110">
        <v>32616.82</v>
      </c>
      <c r="Q110" t="s">
        <v>39</v>
      </c>
      <c r="R110" t="s">
        <v>29</v>
      </c>
      <c r="S110" t="s">
        <v>86</v>
      </c>
      <c r="T110">
        <f>YEAR(Table1_1[[#This Row],[order_date]])</f>
        <v>2024</v>
      </c>
      <c r="U110">
        <f>MONTH(Table1_1[[#This Row],[order_date]])</f>
        <v>10</v>
      </c>
      <c r="V110" t="str">
        <f>TEXT(Table1_1[[#This Row],[order_date]],"mmm")</f>
        <v>Oct</v>
      </c>
      <c r="W110" t="str">
        <f>"Q"&amp;ROUNDUP(MONTH(Table1_1[[#This Row],[order_date]])/3,0)</f>
        <v>Q4</v>
      </c>
      <c r="X110" t="str">
        <f>TEXT(Table1_1[[#This Row],[order_date]],"yyyy-mm")</f>
        <v>2024-10</v>
      </c>
      <c r="Y110">
        <f>IF(Table1_1[[#This Row],[ship_date]]="","",Table1_1[[#This Row],[ship_date]]-Table1_1[[#This Row],[order_date]])</f>
        <v>5</v>
      </c>
      <c r="Z110">
        <f>ROUND(Table1_1[[#This Row],[profit]]/Table1_1[[#This Row],[sales_fix]]*100,2)</f>
        <v>17.440000000000001</v>
      </c>
    </row>
    <row r="111" spans="1:26" x14ac:dyDescent="0.3">
      <c r="A111" t="s">
        <v>2284</v>
      </c>
      <c r="B111" s="1">
        <v>45562</v>
      </c>
      <c r="C111" s="1">
        <v>45563</v>
      </c>
      <c r="D111" t="s">
        <v>575</v>
      </c>
      <c r="E111" t="s">
        <v>836</v>
      </c>
      <c r="F111" t="s">
        <v>34</v>
      </c>
      <c r="G111" t="s">
        <v>91</v>
      </c>
      <c r="H111" t="s">
        <v>120</v>
      </c>
      <c r="I111" t="s">
        <v>79</v>
      </c>
      <c r="J111" t="s">
        <v>80</v>
      </c>
      <c r="K111" t="s">
        <v>65</v>
      </c>
      <c r="L111">
        <v>3</v>
      </c>
      <c r="M111">
        <v>3000</v>
      </c>
      <c r="N111">
        <v>20</v>
      </c>
      <c r="O111">
        <v>7200</v>
      </c>
      <c r="P111">
        <v>1860.41</v>
      </c>
      <c r="Q111" t="s">
        <v>28</v>
      </c>
      <c r="R111" t="s">
        <v>29</v>
      </c>
      <c r="S111" t="s">
        <v>40</v>
      </c>
      <c r="T111">
        <f>YEAR(Table1_1[[#This Row],[order_date]])</f>
        <v>2024</v>
      </c>
      <c r="U111">
        <f>MONTH(Table1_1[[#This Row],[order_date]])</f>
        <v>9</v>
      </c>
      <c r="V111" t="str">
        <f>TEXT(Table1_1[[#This Row],[order_date]],"mmm")</f>
        <v>Sep</v>
      </c>
      <c r="W111" t="str">
        <f>"Q"&amp;ROUNDUP(MONTH(Table1_1[[#This Row],[order_date]])/3,0)</f>
        <v>Q3</v>
      </c>
      <c r="X111" t="str">
        <f>TEXT(Table1_1[[#This Row],[order_date]],"yyyy-mm")</f>
        <v>2024-09</v>
      </c>
      <c r="Y111">
        <f>IF(Table1_1[[#This Row],[ship_date]]="","",Table1_1[[#This Row],[ship_date]]-Table1_1[[#This Row],[order_date]])</f>
        <v>1</v>
      </c>
      <c r="Z111">
        <f>ROUND(Table1_1[[#This Row],[profit]]/Table1_1[[#This Row],[sales_fix]]*100,2)</f>
        <v>25.84</v>
      </c>
    </row>
    <row r="112" spans="1:26" x14ac:dyDescent="0.3">
      <c r="A112" t="s">
        <v>1563</v>
      </c>
      <c r="B112" s="1">
        <v>45663</v>
      </c>
      <c r="C112" s="1">
        <v>45671</v>
      </c>
      <c r="D112" t="s">
        <v>751</v>
      </c>
      <c r="E112" t="s">
        <v>752</v>
      </c>
      <c r="F112" t="s">
        <v>23</v>
      </c>
      <c r="G112" t="s">
        <v>35</v>
      </c>
      <c r="H112" t="s">
        <v>85</v>
      </c>
      <c r="I112" t="s">
        <v>103</v>
      </c>
      <c r="J112" t="s">
        <v>104</v>
      </c>
      <c r="K112" t="s">
        <v>65</v>
      </c>
      <c r="L112">
        <v>2</v>
      </c>
      <c r="M112">
        <v>8000</v>
      </c>
      <c r="N112">
        <v>0</v>
      </c>
      <c r="O112">
        <v>16000</v>
      </c>
      <c r="P112">
        <v>3418.16</v>
      </c>
      <c r="Q112" t="s">
        <v>39</v>
      </c>
      <c r="R112" t="s">
        <v>49</v>
      </c>
      <c r="S112" t="s">
        <v>40</v>
      </c>
      <c r="T112">
        <f>YEAR(Table1_1[[#This Row],[order_date]])</f>
        <v>2025</v>
      </c>
      <c r="U112">
        <f>MONTH(Table1_1[[#This Row],[order_date]])</f>
        <v>1</v>
      </c>
      <c r="V112" t="str">
        <f>TEXT(Table1_1[[#This Row],[order_date]],"mmm")</f>
        <v>Jan</v>
      </c>
      <c r="W112" t="str">
        <f>"Q"&amp;ROUNDUP(MONTH(Table1_1[[#This Row],[order_date]])/3,0)</f>
        <v>Q1</v>
      </c>
      <c r="X112" t="str">
        <f>TEXT(Table1_1[[#This Row],[order_date]],"yyyy-mm")</f>
        <v>2025-01</v>
      </c>
      <c r="Y112">
        <f>IF(Table1_1[[#This Row],[ship_date]]="","",Table1_1[[#This Row],[ship_date]]-Table1_1[[#This Row],[order_date]])</f>
        <v>8</v>
      </c>
      <c r="Z112">
        <f>ROUND(Table1_1[[#This Row],[profit]]/Table1_1[[#This Row],[sales_fix]]*100,2)</f>
        <v>21.36</v>
      </c>
    </row>
    <row r="113" spans="1:26" x14ac:dyDescent="0.3">
      <c r="A113" t="s">
        <v>394</v>
      </c>
      <c r="B113" s="1">
        <v>45391</v>
      </c>
      <c r="C113" s="1">
        <v>45397</v>
      </c>
      <c r="D113" t="s">
        <v>395</v>
      </c>
      <c r="E113" t="s">
        <v>396</v>
      </c>
      <c r="F113" t="s">
        <v>55</v>
      </c>
      <c r="G113" t="s">
        <v>44</v>
      </c>
      <c r="H113" t="s">
        <v>161</v>
      </c>
      <c r="I113" t="s">
        <v>79</v>
      </c>
      <c r="J113" t="s">
        <v>80</v>
      </c>
      <c r="K113" t="s">
        <v>65</v>
      </c>
      <c r="L113">
        <v>1</v>
      </c>
      <c r="M113">
        <v>3000</v>
      </c>
      <c r="N113">
        <v>20</v>
      </c>
      <c r="O113">
        <v>2400</v>
      </c>
      <c r="P113">
        <v>788.19</v>
      </c>
      <c r="Q113" t="s">
        <v>121</v>
      </c>
      <c r="R113" t="s">
        <v>29</v>
      </c>
      <c r="S113" t="s">
        <v>40</v>
      </c>
      <c r="T113">
        <f>YEAR(Table1_1[[#This Row],[order_date]])</f>
        <v>2024</v>
      </c>
      <c r="U113">
        <f>MONTH(Table1_1[[#This Row],[order_date]])</f>
        <v>4</v>
      </c>
      <c r="V113" t="str">
        <f>TEXT(Table1_1[[#This Row],[order_date]],"mmm")</f>
        <v>Apr</v>
      </c>
      <c r="W113" t="str">
        <f>"Q"&amp;ROUNDUP(MONTH(Table1_1[[#This Row],[order_date]])/3,0)</f>
        <v>Q2</v>
      </c>
      <c r="X113" t="str">
        <f>TEXT(Table1_1[[#This Row],[order_date]],"yyyy-mm")</f>
        <v>2024-04</v>
      </c>
      <c r="Y113">
        <f>IF(Table1_1[[#This Row],[ship_date]]="","",Table1_1[[#This Row],[ship_date]]-Table1_1[[#This Row],[order_date]])</f>
        <v>6</v>
      </c>
      <c r="Z113">
        <f>ROUND(Table1_1[[#This Row],[profit]]/Table1_1[[#This Row],[sales_fix]]*100,2)</f>
        <v>32.840000000000003</v>
      </c>
    </row>
    <row r="114" spans="1:26" x14ac:dyDescent="0.3">
      <c r="A114" t="s">
        <v>817</v>
      </c>
      <c r="B114" s="1">
        <v>45804</v>
      </c>
      <c r="C114" s="1">
        <v>45810</v>
      </c>
      <c r="D114" t="s">
        <v>819</v>
      </c>
      <c r="E114" t="s">
        <v>820</v>
      </c>
      <c r="F114" t="s">
        <v>34</v>
      </c>
      <c r="G114" t="s">
        <v>61</v>
      </c>
      <c r="H114" t="s">
        <v>62</v>
      </c>
      <c r="I114" t="s">
        <v>134</v>
      </c>
      <c r="J114" t="s">
        <v>135</v>
      </c>
      <c r="K114" t="s">
        <v>27</v>
      </c>
      <c r="L114">
        <v>1</v>
      </c>
      <c r="M114">
        <v>6000</v>
      </c>
      <c r="N114">
        <v>0</v>
      </c>
      <c r="O114">
        <v>6000</v>
      </c>
      <c r="P114">
        <v>1086.93</v>
      </c>
      <c r="Q114" t="s">
        <v>28</v>
      </c>
      <c r="R114" t="s">
        <v>56</v>
      </c>
      <c r="S114" t="s">
        <v>30</v>
      </c>
      <c r="T114">
        <f>YEAR(Table1_1[[#This Row],[order_date]])</f>
        <v>2025</v>
      </c>
      <c r="U114">
        <f>MONTH(Table1_1[[#This Row],[order_date]])</f>
        <v>5</v>
      </c>
      <c r="V114" t="str">
        <f>TEXT(Table1_1[[#This Row],[order_date]],"mmm")</f>
        <v>May</v>
      </c>
      <c r="W114" t="str">
        <f>"Q"&amp;ROUNDUP(MONTH(Table1_1[[#This Row],[order_date]])/3,0)</f>
        <v>Q2</v>
      </c>
      <c r="X114" t="str">
        <f>TEXT(Table1_1[[#This Row],[order_date]],"yyyy-mm")</f>
        <v>2025-05</v>
      </c>
      <c r="Y114">
        <f>IF(Table1_1[[#This Row],[ship_date]]="","",Table1_1[[#This Row],[ship_date]]-Table1_1[[#This Row],[order_date]])</f>
        <v>6</v>
      </c>
      <c r="Z114">
        <f>ROUND(Table1_1[[#This Row],[profit]]/Table1_1[[#This Row],[sales_fix]]*100,2)</f>
        <v>18.12</v>
      </c>
    </row>
    <row r="115" spans="1:26" x14ac:dyDescent="0.3">
      <c r="A115" t="s">
        <v>2219</v>
      </c>
      <c r="B115" s="1">
        <v>45819</v>
      </c>
      <c r="C115" s="1">
        <v>45826</v>
      </c>
      <c r="D115" t="s">
        <v>1426</v>
      </c>
      <c r="E115" t="s">
        <v>1427</v>
      </c>
      <c r="F115" t="s">
        <v>23</v>
      </c>
      <c r="G115" t="s">
        <v>61</v>
      </c>
      <c r="H115" t="s">
        <v>62</v>
      </c>
      <c r="I115" t="s">
        <v>93</v>
      </c>
      <c r="J115" t="s">
        <v>94</v>
      </c>
      <c r="K115" t="s">
        <v>95</v>
      </c>
      <c r="L115">
        <v>1</v>
      </c>
      <c r="M115">
        <v>1800</v>
      </c>
      <c r="N115">
        <v>10</v>
      </c>
      <c r="O115">
        <v>1620</v>
      </c>
      <c r="P115">
        <v>469.14</v>
      </c>
      <c r="Q115" t="s">
        <v>39</v>
      </c>
      <c r="R115" t="s">
        <v>56</v>
      </c>
      <c r="S115" t="s">
        <v>110</v>
      </c>
      <c r="T115">
        <f>YEAR(Table1_1[[#This Row],[order_date]])</f>
        <v>2025</v>
      </c>
      <c r="U115">
        <f>MONTH(Table1_1[[#This Row],[order_date]])</f>
        <v>6</v>
      </c>
      <c r="V115" t="str">
        <f>TEXT(Table1_1[[#This Row],[order_date]],"mmm")</f>
        <v>Jun</v>
      </c>
      <c r="W115" t="str">
        <f>"Q"&amp;ROUNDUP(MONTH(Table1_1[[#This Row],[order_date]])/3,0)</f>
        <v>Q2</v>
      </c>
      <c r="X115" t="str">
        <f>TEXT(Table1_1[[#This Row],[order_date]],"yyyy-mm")</f>
        <v>2025-06</v>
      </c>
      <c r="Y115">
        <f>IF(Table1_1[[#This Row],[ship_date]]="","",Table1_1[[#This Row],[ship_date]]-Table1_1[[#This Row],[order_date]])</f>
        <v>7</v>
      </c>
      <c r="Z115">
        <f>ROUND(Table1_1[[#This Row],[profit]]/Table1_1[[#This Row],[sales_fix]]*100,2)</f>
        <v>28.96</v>
      </c>
    </row>
    <row r="116" spans="1:26" x14ac:dyDescent="0.3">
      <c r="A116" t="s">
        <v>2890</v>
      </c>
      <c r="B116" s="1">
        <v>45813</v>
      </c>
      <c r="C116" s="1">
        <v>45821</v>
      </c>
      <c r="D116" t="s">
        <v>838</v>
      </c>
      <c r="E116" t="s">
        <v>839</v>
      </c>
      <c r="F116" t="s">
        <v>23</v>
      </c>
      <c r="G116" t="s">
        <v>35</v>
      </c>
      <c r="H116" t="s">
        <v>258</v>
      </c>
      <c r="I116" t="s">
        <v>46</v>
      </c>
      <c r="J116" t="s">
        <v>47</v>
      </c>
      <c r="K116" t="s">
        <v>48</v>
      </c>
      <c r="L116">
        <v>2</v>
      </c>
      <c r="M116">
        <v>180</v>
      </c>
      <c r="N116">
        <v>15</v>
      </c>
      <c r="O116">
        <v>306</v>
      </c>
      <c r="P116">
        <v>127.4</v>
      </c>
      <c r="Q116" t="s">
        <v>66</v>
      </c>
      <c r="R116" t="s">
        <v>49</v>
      </c>
      <c r="S116" t="s">
        <v>110</v>
      </c>
      <c r="T116">
        <f>YEAR(Table1_1[[#This Row],[order_date]])</f>
        <v>2025</v>
      </c>
      <c r="U116">
        <f>MONTH(Table1_1[[#This Row],[order_date]])</f>
        <v>6</v>
      </c>
      <c r="V116" t="str">
        <f>TEXT(Table1_1[[#This Row],[order_date]],"mmm")</f>
        <v>Jun</v>
      </c>
      <c r="W116" t="str">
        <f>"Q"&amp;ROUNDUP(MONTH(Table1_1[[#This Row],[order_date]])/3,0)</f>
        <v>Q2</v>
      </c>
      <c r="X116" t="str">
        <f>TEXT(Table1_1[[#This Row],[order_date]],"yyyy-mm")</f>
        <v>2025-06</v>
      </c>
      <c r="Y116">
        <f>IF(Table1_1[[#This Row],[ship_date]]="","",Table1_1[[#This Row],[ship_date]]-Table1_1[[#This Row],[order_date]])</f>
        <v>8</v>
      </c>
      <c r="Z116">
        <f>ROUND(Table1_1[[#This Row],[profit]]/Table1_1[[#This Row],[sales_fix]]*100,2)</f>
        <v>41.63</v>
      </c>
    </row>
    <row r="117" spans="1:26" x14ac:dyDescent="0.3">
      <c r="A117" t="s">
        <v>2244</v>
      </c>
      <c r="B117" s="1">
        <v>45889</v>
      </c>
      <c r="C117" s="1">
        <v>45890</v>
      </c>
      <c r="D117" t="s">
        <v>1540</v>
      </c>
      <c r="E117" t="s">
        <v>1541</v>
      </c>
      <c r="F117" t="s">
        <v>23</v>
      </c>
      <c r="G117" t="s">
        <v>61</v>
      </c>
      <c r="H117" t="s">
        <v>78</v>
      </c>
      <c r="I117" t="s">
        <v>134</v>
      </c>
      <c r="J117" t="s">
        <v>135</v>
      </c>
      <c r="K117" t="s">
        <v>27</v>
      </c>
      <c r="L117">
        <v>1</v>
      </c>
      <c r="M117">
        <v>6000</v>
      </c>
      <c r="N117">
        <v>15</v>
      </c>
      <c r="O117">
        <v>5100</v>
      </c>
      <c r="P117">
        <v>1283.78</v>
      </c>
      <c r="Q117" t="s">
        <v>39</v>
      </c>
      <c r="R117" t="s">
        <v>49</v>
      </c>
      <c r="S117" t="s">
        <v>110</v>
      </c>
      <c r="T117">
        <f>YEAR(Table1_1[[#This Row],[order_date]])</f>
        <v>2025</v>
      </c>
      <c r="U117">
        <f>MONTH(Table1_1[[#This Row],[order_date]])</f>
        <v>8</v>
      </c>
      <c r="V117" t="str">
        <f>TEXT(Table1_1[[#This Row],[order_date]],"mmm")</f>
        <v>Aug</v>
      </c>
      <c r="W117" t="str">
        <f>"Q"&amp;ROUNDUP(MONTH(Table1_1[[#This Row],[order_date]])/3,0)</f>
        <v>Q3</v>
      </c>
      <c r="X117" t="str">
        <f>TEXT(Table1_1[[#This Row],[order_date]],"yyyy-mm")</f>
        <v>2025-08</v>
      </c>
      <c r="Y117">
        <f>IF(Table1_1[[#This Row],[ship_date]]="","",Table1_1[[#This Row],[ship_date]]-Table1_1[[#This Row],[order_date]])</f>
        <v>1</v>
      </c>
      <c r="Z117">
        <f>ROUND(Table1_1[[#This Row],[profit]]/Table1_1[[#This Row],[sales_fix]]*100,2)</f>
        <v>25.17</v>
      </c>
    </row>
    <row r="118" spans="1:26" x14ac:dyDescent="0.3">
      <c r="A118" t="s">
        <v>1915</v>
      </c>
      <c r="B118" s="1">
        <v>45525</v>
      </c>
      <c r="C118" s="1">
        <v>45532</v>
      </c>
      <c r="D118" t="s">
        <v>1482</v>
      </c>
      <c r="E118" t="s">
        <v>1483</v>
      </c>
      <c r="F118" t="s">
        <v>23</v>
      </c>
      <c r="G118" t="s">
        <v>44</v>
      </c>
      <c r="H118" t="s">
        <v>161</v>
      </c>
      <c r="I118" t="s">
        <v>93</v>
      </c>
      <c r="J118" t="s">
        <v>94</v>
      </c>
      <c r="K118" t="s">
        <v>95</v>
      </c>
      <c r="L118">
        <v>3</v>
      </c>
      <c r="M118">
        <v>1800</v>
      </c>
      <c r="N118">
        <v>10</v>
      </c>
      <c r="O118">
        <v>4860</v>
      </c>
      <c r="P118">
        <v>1517.6</v>
      </c>
      <c r="Q118" t="s">
        <v>121</v>
      </c>
      <c r="R118" t="s">
        <v>441</v>
      </c>
      <c r="S118" t="s">
        <v>50</v>
      </c>
      <c r="T118">
        <f>YEAR(Table1_1[[#This Row],[order_date]])</f>
        <v>2024</v>
      </c>
      <c r="U118">
        <f>MONTH(Table1_1[[#This Row],[order_date]])</f>
        <v>8</v>
      </c>
      <c r="V118" t="str">
        <f>TEXT(Table1_1[[#This Row],[order_date]],"mmm")</f>
        <v>Aug</v>
      </c>
      <c r="W118" t="str">
        <f>"Q"&amp;ROUNDUP(MONTH(Table1_1[[#This Row],[order_date]])/3,0)</f>
        <v>Q3</v>
      </c>
      <c r="X118" t="str">
        <f>TEXT(Table1_1[[#This Row],[order_date]],"yyyy-mm")</f>
        <v>2024-08</v>
      </c>
      <c r="Y118">
        <f>IF(Table1_1[[#This Row],[ship_date]]="","",Table1_1[[#This Row],[ship_date]]-Table1_1[[#This Row],[order_date]])</f>
        <v>7</v>
      </c>
      <c r="Z118">
        <f>ROUND(Table1_1[[#This Row],[profit]]/Table1_1[[#This Row],[sales_fix]]*100,2)</f>
        <v>31.23</v>
      </c>
    </row>
    <row r="119" spans="1:26" x14ac:dyDescent="0.3">
      <c r="A119" t="s">
        <v>2370</v>
      </c>
      <c r="B119" s="1">
        <v>46009</v>
      </c>
      <c r="C119" s="1">
        <v>46016</v>
      </c>
      <c r="D119" t="s">
        <v>1250</v>
      </c>
      <c r="E119" t="s">
        <v>1251</v>
      </c>
      <c r="F119" t="s">
        <v>55</v>
      </c>
      <c r="G119" t="s">
        <v>35</v>
      </c>
      <c r="H119" t="s">
        <v>258</v>
      </c>
      <c r="I119" t="s">
        <v>93</v>
      </c>
      <c r="J119" t="s">
        <v>94</v>
      </c>
      <c r="K119" t="s">
        <v>95</v>
      </c>
      <c r="L119">
        <v>1</v>
      </c>
      <c r="M119">
        <v>1800</v>
      </c>
      <c r="N119">
        <v>0</v>
      </c>
      <c r="O119">
        <v>1800</v>
      </c>
      <c r="P119">
        <v>546.53</v>
      </c>
      <c r="Q119" t="s">
        <v>156</v>
      </c>
      <c r="R119" t="s">
        <v>29</v>
      </c>
      <c r="S119" t="s">
        <v>30</v>
      </c>
      <c r="T119">
        <f>YEAR(Table1_1[[#This Row],[order_date]])</f>
        <v>2025</v>
      </c>
      <c r="U119">
        <f>MONTH(Table1_1[[#This Row],[order_date]])</f>
        <v>12</v>
      </c>
      <c r="V119" t="str">
        <f>TEXT(Table1_1[[#This Row],[order_date]],"mmm")</f>
        <v>Dec</v>
      </c>
      <c r="W119" t="str">
        <f>"Q"&amp;ROUNDUP(MONTH(Table1_1[[#This Row],[order_date]])/3,0)</f>
        <v>Q4</v>
      </c>
      <c r="X119" t="str">
        <f>TEXT(Table1_1[[#This Row],[order_date]],"yyyy-mm")</f>
        <v>2025-12</v>
      </c>
      <c r="Y119">
        <f>IF(Table1_1[[#This Row],[ship_date]]="","",Table1_1[[#This Row],[ship_date]]-Table1_1[[#This Row],[order_date]])</f>
        <v>7</v>
      </c>
      <c r="Z119">
        <f>ROUND(Table1_1[[#This Row],[profit]]/Table1_1[[#This Row],[sales_fix]]*100,2)</f>
        <v>30.36</v>
      </c>
    </row>
    <row r="120" spans="1:26" x14ac:dyDescent="0.3">
      <c r="A120" t="s">
        <v>1952</v>
      </c>
      <c r="B120" s="1">
        <v>45774</v>
      </c>
      <c r="C120" s="1">
        <v>45777</v>
      </c>
      <c r="D120" t="s">
        <v>314</v>
      </c>
      <c r="E120" t="s">
        <v>315</v>
      </c>
      <c r="F120" t="s">
        <v>55</v>
      </c>
      <c r="G120" t="s">
        <v>44</v>
      </c>
      <c r="H120" t="s">
        <v>161</v>
      </c>
      <c r="I120" t="s">
        <v>93</v>
      </c>
      <c r="J120" t="s">
        <v>94</v>
      </c>
      <c r="K120" t="s">
        <v>95</v>
      </c>
      <c r="L120">
        <v>4</v>
      </c>
      <c r="M120">
        <v>1800</v>
      </c>
      <c r="N120">
        <v>15</v>
      </c>
      <c r="O120">
        <v>6120</v>
      </c>
      <c r="P120">
        <v>2122.64</v>
      </c>
      <c r="Q120" t="s">
        <v>39</v>
      </c>
      <c r="R120" t="s">
        <v>29</v>
      </c>
      <c r="S120" t="s">
        <v>40</v>
      </c>
      <c r="T120">
        <f>YEAR(Table1_1[[#This Row],[order_date]])</f>
        <v>2025</v>
      </c>
      <c r="U120">
        <f>MONTH(Table1_1[[#This Row],[order_date]])</f>
        <v>4</v>
      </c>
      <c r="V120" t="str">
        <f>TEXT(Table1_1[[#This Row],[order_date]],"mmm")</f>
        <v>Apr</v>
      </c>
      <c r="W120" t="str">
        <f>"Q"&amp;ROUNDUP(MONTH(Table1_1[[#This Row],[order_date]])/3,0)</f>
        <v>Q2</v>
      </c>
      <c r="X120" t="str">
        <f>TEXT(Table1_1[[#This Row],[order_date]],"yyyy-mm")</f>
        <v>2025-04</v>
      </c>
      <c r="Y120">
        <f>IF(Table1_1[[#This Row],[ship_date]]="","",Table1_1[[#This Row],[ship_date]]-Table1_1[[#This Row],[order_date]])</f>
        <v>3</v>
      </c>
      <c r="Z120">
        <f>ROUND(Table1_1[[#This Row],[profit]]/Table1_1[[#This Row],[sales_fix]]*100,2)</f>
        <v>34.68</v>
      </c>
    </row>
    <row r="121" spans="1:26" x14ac:dyDescent="0.3">
      <c r="A121" t="s">
        <v>855</v>
      </c>
      <c r="B121" s="1">
        <v>45781</v>
      </c>
      <c r="C121" s="1">
        <v>45789</v>
      </c>
      <c r="D121" t="s">
        <v>856</v>
      </c>
      <c r="E121" t="s">
        <v>857</v>
      </c>
      <c r="F121" t="s">
        <v>55</v>
      </c>
      <c r="G121" t="s">
        <v>35</v>
      </c>
      <c r="H121" t="s">
        <v>36</v>
      </c>
      <c r="I121" t="s">
        <v>126</v>
      </c>
      <c r="J121" t="s">
        <v>127</v>
      </c>
      <c r="K121" t="s">
        <v>95</v>
      </c>
      <c r="L121">
        <v>2</v>
      </c>
      <c r="M121">
        <v>600</v>
      </c>
      <c r="N121">
        <v>0</v>
      </c>
      <c r="O121">
        <v>1200</v>
      </c>
      <c r="P121">
        <v>493.7</v>
      </c>
      <c r="Q121" t="s">
        <v>39</v>
      </c>
      <c r="R121" t="s">
        <v>49</v>
      </c>
      <c r="S121" t="s">
        <v>40</v>
      </c>
      <c r="T121">
        <f>YEAR(Table1_1[[#This Row],[order_date]])</f>
        <v>2025</v>
      </c>
      <c r="U121">
        <f>MONTH(Table1_1[[#This Row],[order_date]])</f>
        <v>5</v>
      </c>
      <c r="V121" t="str">
        <f>TEXT(Table1_1[[#This Row],[order_date]],"mmm")</f>
        <v>May</v>
      </c>
      <c r="W121" t="str">
        <f>"Q"&amp;ROUNDUP(MONTH(Table1_1[[#This Row],[order_date]])/3,0)</f>
        <v>Q2</v>
      </c>
      <c r="X121" t="str">
        <f>TEXT(Table1_1[[#This Row],[order_date]],"yyyy-mm")</f>
        <v>2025-05</v>
      </c>
      <c r="Y121">
        <f>IF(Table1_1[[#This Row],[ship_date]]="","",Table1_1[[#This Row],[ship_date]]-Table1_1[[#This Row],[order_date]])</f>
        <v>8</v>
      </c>
      <c r="Z121">
        <f>ROUND(Table1_1[[#This Row],[profit]]/Table1_1[[#This Row],[sales_fix]]*100,2)</f>
        <v>41.14</v>
      </c>
    </row>
    <row r="122" spans="1:26" x14ac:dyDescent="0.3">
      <c r="A122" t="s">
        <v>1463</v>
      </c>
      <c r="B122" s="1">
        <v>45989</v>
      </c>
      <c r="C122" s="1">
        <v>45993</v>
      </c>
      <c r="D122" t="s">
        <v>1464</v>
      </c>
      <c r="E122" t="s">
        <v>1465</v>
      </c>
      <c r="F122" t="s">
        <v>23</v>
      </c>
      <c r="G122" t="s">
        <v>91</v>
      </c>
      <c r="H122" t="s">
        <v>109</v>
      </c>
      <c r="I122" t="s">
        <v>126</v>
      </c>
      <c r="J122" t="s">
        <v>127</v>
      </c>
      <c r="K122" t="s">
        <v>95</v>
      </c>
      <c r="L122">
        <v>3</v>
      </c>
      <c r="M122">
        <v>600</v>
      </c>
      <c r="N122">
        <v>10</v>
      </c>
      <c r="O122">
        <v>1620</v>
      </c>
      <c r="P122">
        <v>550.14</v>
      </c>
      <c r="Q122" t="s">
        <v>74</v>
      </c>
      <c r="R122" t="s">
        <v>56</v>
      </c>
      <c r="S122" t="s">
        <v>110</v>
      </c>
      <c r="T122">
        <f>YEAR(Table1_1[[#This Row],[order_date]])</f>
        <v>2025</v>
      </c>
      <c r="U122">
        <f>MONTH(Table1_1[[#This Row],[order_date]])</f>
        <v>11</v>
      </c>
      <c r="V122" t="str">
        <f>TEXT(Table1_1[[#This Row],[order_date]],"mmm")</f>
        <v>Nov</v>
      </c>
      <c r="W122" t="str">
        <f>"Q"&amp;ROUNDUP(MONTH(Table1_1[[#This Row],[order_date]])/3,0)</f>
        <v>Q4</v>
      </c>
      <c r="X122" t="str">
        <f>TEXT(Table1_1[[#This Row],[order_date]],"yyyy-mm")</f>
        <v>2025-11</v>
      </c>
      <c r="Y122">
        <f>IF(Table1_1[[#This Row],[ship_date]]="","",Table1_1[[#This Row],[ship_date]]-Table1_1[[#This Row],[order_date]])</f>
        <v>4</v>
      </c>
      <c r="Z122">
        <f>ROUND(Table1_1[[#This Row],[profit]]/Table1_1[[#This Row],[sales_fix]]*100,2)</f>
        <v>33.96</v>
      </c>
    </row>
    <row r="123" spans="1:26" x14ac:dyDescent="0.3">
      <c r="A123" t="s">
        <v>2433</v>
      </c>
      <c r="B123" s="1">
        <v>45587</v>
      </c>
      <c r="C123" s="1">
        <v>45593</v>
      </c>
      <c r="D123" t="s">
        <v>588</v>
      </c>
      <c r="E123" t="s">
        <v>589</v>
      </c>
      <c r="F123" t="s">
        <v>23</v>
      </c>
      <c r="G123" t="s">
        <v>61</v>
      </c>
      <c r="H123" t="s">
        <v>62</v>
      </c>
      <c r="I123" t="s">
        <v>25</v>
      </c>
      <c r="J123" t="s">
        <v>26</v>
      </c>
      <c r="K123" t="s">
        <v>27</v>
      </c>
      <c r="L123">
        <v>3</v>
      </c>
      <c r="M123">
        <v>7000</v>
      </c>
      <c r="N123">
        <v>5</v>
      </c>
      <c r="O123">
        <v>19950</v>
      </c>
      <c r="P123">
        <v>3628.9</v>
      </c>
      <c r="Q123" t="s">
        <v>39</v>
      </c>
      <c r="R123" t="s">
        <v>56</v>
      </c>
      <c r="S123" t="s">
        <v>110</v>
      </c>
      <c r="T123">
        <f>YEAR(Table1_1[[#This Row],[order_date]])</f>
        <v>2024</v>
      </c>
      <c r="U123">
        <f>MONTH(Table1_1[[#This Row],[order_date]])</f>
        <v>10</v>
      </c>
      <c r="V123" t="str">
        <f>TEXT(Table1_1[[#This Row],[order_date]],"mmm")</f>
        <v>Oct</v>
      </c>
      <c r="W123" t="str">
        <f>"Q"&amp;ROUNDUP(MONTH(Table1_1[[#This Row],[order_date]])/3,0)</f>
        <v>Q4</v>
      </c>
      <c r="X123" t="str">
        <f>TEXT(Table1_1[[#This Row],[order_date]],"yyyy-mm")</f>
        <v>2024-10</v>
      </c>
      <c r="Y123">
        <f>IF(Table1_1[[#This Row],[ship_date]]="","",Table1_1[[#This Row],[ship_date]]-Table1_1[[#This Row],[order_date]])</f>
        <v>6</v>
      </c>
      <c r="Z123">
        <f>ROUND(Table1_1[[#This Row],[profit]]/Table1_1[[#This Row],[sales_fix]]*100,2)</f>
        <v>18.190000000000001</v>
      </c>
    </row>
    <row r="124" spans="1:26" x14ac:dyDescent="0.3">
      <c r="A124" t="s">
        <v>2644</v>
      </c>
      <c r="B124" s="1">
        <v>45879</v>
      </c>
      <c r="C124" s="1">
        <v>45886</v>
      </c>
      <c r="D124" t="s">
        <v>285</v>
      </c>
      <c r="E124" t="s">
        <v>286</v>
      </c>
      <c r="F124" t="s">
        <v>23</v>
      </c>
      <c r="G124" t="s">
        <v>61</v>
      </c>
      <c r="H124" t="s">
        <v>78</v>
      </c>
      <c r="I124" t="s">
        <v>63</v>
      </c>
      <c r="J124" t="s">
        <v>64</v>
      </c>
      <c r="K124" t="s">
        <v>65</v>
      </c>
      <c r="L124">
        <v>3</v>
      </c>
      <c r="M124">
        <v>25000</v>
      </c>
      <c r="N124">
        <v>5</v>
      </c>
      <c r="O124">
        <v>71250</v>
      </c>
      <c r="P124">
        <v>11310.63</v>
      </c>
      <c r="Q124" t="s">
        <v>74</v>
      </c>
      <c r="R124" t="s">
        <v>29</v>
      </c>
      <c r="S124" t="s">
        <v>110</v>
      </c>
      <c r="T124">
        <f>YEAR(Table1_1[[#This Row],[order_date]])</f>
        <v>2025</v>
      </c>
      <c r="U124">
        <f>MONTH(Table1_1[[#This Row],[order_date]])</f>
        <v>8</v>
      </c>
      <c r="V124" t="str">
        <f>TEXT(Table1_1[[#This Row],[order_date]],"mmm")</f>
        <v>Aug</v>
      </c>
      <c r="W124" t="str">
        <f>"Q"&amp;ROUNDUP(MONTH(Table1_1[[#This Row],[order_date]])/3,0)</f>
        <v>Q3</v>
      </c>
      <c r="X124" t="str">
        <f>TEXT(Table1_1[[#This Row],[order_date]],"yyyy-mm")</f>
        <v>2025-08</v>
      </c>
      <c r="Y124">
        <f>IF(Table1_1[[#This Row],[ship_date]]="","",Table1_1[[#This Row],[ship_date]]-Table1_1[[#This Row],[order_date]])</f>
        <v>7</v>
      </c>
      <c r="Z124">
        <f>ROUND(Table1_1[[#This Row],[profit]]/Table1_1[[#This Row],[sales_fix]]*100,2)</f>
        <v>15.87</v>
      </c>
    </row>
    <row r="125" spans="1:26" x14ac:dyDescent="0.3">
      <c r="A125" t="s">
        <v>2175</v>
      </c>
      <c r="B125" s="1">
        <v>45372</v>
      </c>
      <c r="C125" s="1">
        <v>45380</v>
      </c>
      <c r="D125" t="s">
        <v>767</v>
      </c>
      <c r="E125" t="s">
        <v>768</v>
      </c>
      <c r="F125" t="s">
        <v>23</v>
      </c>
      <c r="G125" t="s">
        <v>35</v>
      </c>
      <c r="H125" t="s">
        <v>258</v>
      </c>
      <c r="I125" t="s">
        <v>25</v>
      </c>
      <c r="J125" t="s">
        <v>26</v>
      </c>
      <c r="K125" t="s">
        <v>27</v>
      </c>
      <c r="L125">
        <v>1</v>
      </c>
      <c r="M125">
        <v>7000</v>
      </c>
      <c r="N125">
        <v>5</v>
      </c>
      <c r="O125">
        <v>6650</v>
      </c>
      <c r="P125">
        <v>1407.97</v>
      </c>
      <c r="Q125" t="s">
        <v>121</v>
      </c>
      <c r="R125" t="s">
        <v>29</v>
      </c>
      <c r="S125" t="s">
        <v>40</v>
      </c>
      <c r="T125">
        <f>YEAR(Table1_1[[#This Row],[order_date]])</f>
        <v>2024</v>
      </c>
      <c r="U125">
        <f>MONTH(Table1_1[[#This Row],[order_date]])</f>
        <v>3</v>
      </c>
      <c r="V125" t="str">
        <f>TEXT(Table1_1[[#This Row],[order_date]],"mmm")</f>
        <v>Mar</v>
      </c>
      <c r="W125" t="str">
        <f>"Q"&amp;ROUNDUP(MONTH(Table1_1[[#This Row],[order_date]])/3,0)</f>
        <v>Q1</v>
      </c>
      <c r="X125" t="str">
        <f>TEXT(Table1_1[[#This Row],[order_date]],"yyyy-mm")</f>
        <v>2024-03</v>
      </c>
      <c r="Y125">
        <f>IF(Table1_1[[#This Row],[ship_date]]="","",Table1_1[[#This Row],[ship_date]]-Table1_1[[#This Row],[order_date]])</f>
        <v>8</v>
      </c>
      <c r="Z125">
        <f>ROUND(Table1_1[[#This Row],[profit]]/Table1_1[[#This Row],[sales_fix]]*100,2)</f>
        <v>21.17</v>
      </c>
    </row>
    <row r="126" spans="1:26" x14ac:dyDescent="0.3">
      <c r="A126" t="s">
        <v>1631</v>
      </c>
      <c r="B126" s="1">
        <v>46004</v>
      </c>
      <c r="C126" s="1">
        <v>46008</v>
      </c>
      <c r="D126" t="s">
        <v>805</v>
      </c>
      <c r="E126" t="s">
        <v>806</v>
      </c>
      <c r="F126" t="s">
        <v>34</v>
      </c>
      <c r="G126" t="s">
        <v>61</v>
      </c>
      <c r="H126" t="s">
        <v>78</v>
      </c>
      <c r="I126" t="s">
        <v>46</v>
      </c>
      <c r="J126" t="s">
        <v>47</v>
      </c>
      <c r="K126" t="s">
        <v>48</v>
      </c>
      <c r="L126">
        <v>1</v>
      </c>
      <c r="M126">
        <v>180</v>
      </c>
      <c r="N126">
        <v>15</v>
      </c>
      <c r="O126">
        <v>153</v>
      </c>
      <c r="P126">
        <v>64.36</v>
      </c>
      <c r="Q126" t="s">
        <v>66</v>
      </c>
      <c r="R126" t="s">
        <v>56</v>
      </c>
      <c r="S126" t="s">
        <v>40</v>
      </c>
      <c r="T126">
        <f>YEAR(Table1_1[[#This Row],[order_date]])</f>
        <v>2025</v>
      </c>
      <c r="U126">
        <f>MONTH(Table1_1[[#This Row],[order_date]])</f>
        <v>12</v>
      </c>
      <c r="V126" t="str">
        <f>TEXT(Table1_1[[#This Row],[order_date]],"mmm")</f>
        <v>Dec</v>
      </c>
      <c r="W126" t="str">
        <f>"Q"&amp;ROUNDUP(MONTH(Table1_1[[#This Row],[order_date]])/3,0)</f>
        <v>Q4</v>
      </c>
      <c r="X126" t="str">
        <f>TEXT(Table1_1[[#This Row],[order_date]],"yyyy-mm")</f>
        <v>2025-12</v>
      </c>
      <c r="Y126">
        <f>IF(Table1_1[[#This Row],[ship_date]]="","",Table1_1[[#This Row],[ship_date]]-Table1_1[[#This Row],[order_date]])</f>
        <v>4</v>
      </c>
      <c r="Z126">
        <f>ROUND(Table1_1[[#This Row],[profit]]/Table1_1[[#This Row],[sales_fix]]*100,2)</f>
        <v>42.07</v>
      </c>
    </row>
    <row r="127" spans="1:26" x14ac:dyDescent="0.3">
      <c r="A127" t="s">
        <v>961</v>
      </c>
      <c r="B127" s="1">
        <v>45530</v>
      </c>
      <c r="C127" s="1">
        <v>45538</v>
      </c>
      <c r="D127" t="s">
        <v>588</v>
      </c>
      <c r="E127" t="s">
        <v>589</v>
      </c>
      <c r="F127" t="s">
        <v>23</v>
      </c>
      <c r="G127" t="s">
        <v>61</v>
      </c>
      <c r="H127" t="s">
        <v>62</v>
      </c>
      <c r="I127" t="s">
        <v>126</v>
      </c>
      <c r="J127" t="s">
        <v>127</v>
      </c>
      <c r="K127" t="s">
        <v>95</v>
      </c>
      <c r="L127">
        <v>1</v>
      </c>
      <c r="M127">
        <v>600</v>
      </c>
      <c r="N127">
        <v>5</v>
      </c>
      <c r="O127">
        <v>570</v>
      </c>
      <c r="P127">
        <v>216.6</v>
      </c>
      <c r="Q127" t="s">
        <v>3113</v>
      </c>
      <c r="R127" t="s">
        <v>56</v>
      </c>
      <c r="S127" t="s">
        <v>50</v>
      </c>
      <c r="T127">
        <f>YEAR(Table1_1[[#This Row],[order_date]])</f>
        <v>2024</v>
      </c>
      <c r="U127">
        <f>MONTH(Table1_1[[#This Row],[order_date]])</f>
        <v>8</v>
      </c>
      <c r="V127" t="str">
        <f>TEXT(Table1_1[[#This Row],[order_date]],"mmm")</f>
        <v>Aug</v>
      </c>
      <c r="W127" t="str">
        <f>"Q"&amp;ROUNDUP(MONTH(Table1_1[[#This Row],[order_date]])/3,0)</f>
        <v>Q3</v>
      </c>
      <c r="X127" t="str">
        <f>TEXT(Table1_1[[#This Row],[order_date]],"yyyy-mm")</f>
        <v>2024-08</v>
      </c>
      <c r="Y127">
        <f>IF(Table1_1[[#This Row],[ship_date]]="","",Table1_1[[#This Row],[ship_date]]-Table1_1[[#This Row],[order_date]])</f>
        <v>8</v>
      </c>
      <c r="Z127">
        <f>ROUND(Table1_1[[#This Row],[profit]]/Table1_1[[#This Row],[sales_fix]]*100,2)</f>
        <v>38</v>
      </c>
    </row>
    <row r="128" spans="1:26" x14ac:dyDescent="0.3">
      <c r="A128" t="s">
        <v>1682</v>
      </c>
      <c r="B128" s="1">
        <v>45453</v>
      </c>
      <c r="C128" s="1">
        <v>45457</v>
      </c>
      <c r="D128" t="s">
        <v>483</v>
      </c>
      <c r="E128" t="s">
        <v>484</v>
      </c>
      <c r="F128" t="s">
        <v>55</v>
      </c>
      <c r="G128" t="s">
        <v>61</v>
      </c>
      <c r="H128" t="s">
        <v>62</v>
      </c>
      <c r="I128" t="s">
        <v>46</v>
      </c>
      <c r="J128" t="s">
        <v>47</v>
      </c>
      <c r="K128" t="s">
        <v>48</v>
      </c>
      <c r="L128">
        <v>2</v>
      </c>
      <c r="M128">
        <v>180</v>
      </c>
      <c r="N128">
        <v>5</v>
      </c>
      <c r="O128">
        <v>342</v>
      </c>
      <c r="P128">
        <v>137.12</v>
      </c>
      <c r="Q128" t="s">
        <v>74</v>
      </c>
      <c r="R128" t="s">
        <v>49</v>
      </c>
      <c r="S128" t="s">
        <v>110</v>
      </c>
      <c r="T128">
        <f>YEAR(Table1_1[[#This Row],[order_date]])</f>
        <v>2024</v>
      </c>
      <c r="U128">
        <f>MONTH(Table1_1[[#This Row],[order_date]])</f>
        <v>6</v>
      </c>
      <c r="V128" t="str">
        <f>TEXT(Table1_1[[#This Row],[order_date]],"mmm")</f>
        <v>Jun</v>
      </c>
      <c r="W128" t="str">
        <f>"Q"&amp;ROUNDUP(MONTH(Table1_1[[#This Row],[order_date]])/3,0)</f>
        <v>Q2</v>
      </c>
      <c r="X128" t="str">
        <f>TEXT(Table1_1[[#This Row],[order_date]],"yyyy-mm")</f>
        <v>2024-06</v>
      </c>
      <c r="Y128">
        <f>IF(Table1_1[[#This Row],[ship_date]]="","",Table1_1[[#This Row],[ship_date]]-Table1_1[[#This Row],[order_date]])</f>
        <v>4</v>
      </c>
      <c r="Z128">
        <f>ROUND(Table1_1[[#This Row],[profit]]/Table1_1[[#This Row],[sales_fix]]*100,2)</f>
        <v>40.090000000000003</v>
      </c>
    </row>
    <row r="129" spans="1:26" x14ac:dyDescent="0.3">
      <c r="A129" t="s">
        <v>1922</v>
      </c>
      <c r="B129" s="1">
        <v>45959</v>
      </c>
      <c r="C129" s="1">
        <v>45960</v>
      </c>
      <c r="D129" t="s">
        <v>392</v>
      </c>
      <c r="E129" t="s">
        <v>393</v>
      </c>
      <c r="F129" t="s">
        <v>55</v>
      </c>
      <c r="G129" t="s">
        <v>91</v>
      </c>
      <c r="H129" t="s">
        <v>92</v>
      </c>
      <c r="I129" t="s">
        <v>63</v>
      </c>
      <c r="J129" t="s">
        <v>64</v>
      </c>
      <c r="K129" t="s">
        <v>65</v>
      </c>
      <c r="L129">
        <v>2</v>
      </c>
      <c r="M129">
        <v>25000</v>
      </c>
      <c r="N129">
        <v>15</v>
      </c>
      <c r="O129">
        <v>42500</v>
      </c>
      <c r="P129">
        <v>6630.85</v>
      </c>
      <c r="Q129" t="s">
        <v>121</v>
      </c>
      <c r="R129" t="s">
        <v>49</v>
      </c>
      <c r="S129" t="s">
        <v>50</v>
      </c>
      <c r="T129">
        <f>YEAR(Table1_1[[#This Row],[order_date]])</f>
        <v>2025</v>
      </c>
      <c r="U129">
        <f>MONTH(Table1_1[[#This Row],[order_date]])</f>
        <v>10</v>
      </c>
      <c r="V129" t="str">
        <f>TEXT(Table1_1[[#This Row],[order_date]],"mmm")</f>
        <v>Oct</v>
      </c>
      <c r="W129" t="str">
        <f>"Q"&amp;ROUNDUP(MONTH(Table1_1[[#This Row],[order_date]])/3,0)</f>
        <v>Q4</v>
      </c>
      <c r="X129" t="str">
        <f>TEXT(Table1_1[[#This Row],[order_date]],"yyyy-mm")</f>
        <v>2025-10</v>
      </c>
      <c r="Y129">
        <f>IF(Table1_1[[#This Row],[ship_date]]="","",Table1_1[[#This Row],[ship_date]]-Table1_1[[#This Row],[order_date]])</f>
        <v>1</v>
      </c>
      <c r="Z129">
        <f>ROUND(Table1_1[[#This Row],[profit]]/Table1_1[[#This Row],[sales_fix]]*100,2)</f>
        <v>15.6</v>
      </c>
    </row>
    <row r="130" spans="1:26" x14ac:dyDescent="0.3">
      <c r="A130" t="s">
        <v>728</v>
      </c>
      <c r="B130" s="1">
        <v>45799</v>
      </c>
      <c r="C130" s="1">
        <v>45804</v>
      </c>
      <c r="D130" t="s">
        <v>247</v>
      </c>
      <c r="E130" t="s">
        <v>248</v>
      </c>
      <c r="F130" t="s">
        <v>34</v>
      </c>
      <c r="G130" t="s">
        <v>61</v>
      </c>
      <c r="H130" t="s">
        <v>78</v>
      </c>
      <c r="I130" t="s">
        <v>134</v>
      </c>
      <c r="J130" t="s">
        <v>135</v>
      </c>
      <c r="K130" t="s">
        <v>27</v>
      </c>
      <c r="L130">
        <v>1</v>
      </c>
      <c r="M130">
        <v>6000</v>
      </c>
      <c r="N130">
        <v>15</v>
      </c>
      <c r="O130">
        <v>5100</v>
      </c>
      <c r="P130">
        <v>1327.86</v>
      </c>
      <c r="Q130" t="s">
        <v>66</v>
      </c>
      <c r="R130" t="s">
        <v>29</v>
      </c>
      <c r="S130" t="s">
        <v>110</v>
      </c>
      <c r="T130">
        <f>YEAR(Table1_1[[#This Row],[order_date]])</f>
        <v>2025</v>
      </c>
      <c r="U130">
        <f>MONTH(Table1_1[[#This Row],[order_date]])</f>
        <v>5</v>
      </c>
      <c r="V130" t="str">
        <f>TEXT(Table1_1[[#This Row],[order_date]],"mmm")</f>
        <v>May</v>
      </c>
      <c r="W130" t="str">
        <f>"Q"&amp;ROUNDUP(MONTH(Table1_1[[#This Row],[order_date]])/3,0)</f>
        <v>Q2</v>
      </c>
      <c r="X130" t="str">
        <f>TEXT(Table1_1[[#This Row],[order_date]],"yyyy-mm")</f>
        <v>2025-05</v>
      </c>
      <c r="Y130">
        <f>IF(Table1_1[[#This Row],[ship_date]]="","",Table1_1[[#This Row],[ship_date]]-Table1_1[[#This Row],[order_date]])</f>
        <v>5</v>
      </c>
      <c r="Z130">
        <f>ROUND(Table1_1[[#This Row],[profit]]/Table1_1[[#This Row],[sales_fix]]*100,2)</f>
        <v>26.04</v>
      </c>
    </row>
    <row r="131" spans="1:26" x14ac:dyDescent="0.3">
      <c r="A131" t="s">
        <v>2599</v>
      </c>
      <c r="B131" s="1">
        <v>45401</v>
      </c>
      <c r="C131" s="1">
        <v>45409</v>
      </c>
      <c r="D131" t="s">
        <v>403</v>
      </c>
      <c r="E131" t="s">
        <v>404</v>
      </c>
      <c r="F131" t="s">
        <v>55</v>
      </c>
      <c r="G131" t="s">
        <v>35</v>
      </c>
      <c r="H131" t="s">
        <v>36</v>
      </c>
      <c r="I131" t="s">
        <v>93</v>
      </c>
      <c r="J131" t="s">
        <v>94</v>
      </c>
      <c r="K131" t="s">
        <v>95</v>
      </c>
      <c r="L131">
        <v>5</v>
      </c>
      <c r="M131">
        <v>1800</v>
      </c>
      <c r="N131">
        <v>0</v>
      </c>
      <c r="O131">
        <v>9000</v>
      </c>
      <c r="P131">
        <v>2563.5500000000002</v>
      </c>
      <c r="Q131" t="s">
        <v>121</v>
      </c>
      <c r="R131" t="s">
        <v>56</v>
      </c>
      <c r="S131" t="s">
        <v>30</v>
      </c>
      <c r="T131">
        <f>YEAR(Table1_1[[#This Row],[order_date]])</f>
        <v>2024</v>
      </c>
      <c r="U131">
        <f>MONTH(Table1_1[[#This Row],[order_date]])</f>
        <v>4</v>
      </c>
      <c r="V131" t="str">
        <f>TEXT(Table1_1[[#This Row],[order_date]],"mmm")</f>
        <v>Apr</v>
      </c>
      <c r="W131" t="str">
        <f>"Q"&amp;ROUNDUP(MONTH(Table1_1[[#This Row],[order_date]])/3,0)</f>
        <v>Q2</v>
      </c>
      <c r="X131" t="str">
        <f>TEXT(Table1_1[[#This Row],[order_date]],"yyyy-mm")</f>
        <v>2024-04</v>
      </c>
      <c r="Y131">
        <f>IF(Table1_1[[#This Row],[ship_date]]="","",Table1_1[[#This Row],[ship_date]]-Table1_1[[#This Row],[order_date]])</f>
        <v>8</v>
      </c>
      <c r="Z131">
        <f>ROUND(Table1_1[[#This Row],[profit]]/Table1_1[[#This Row],[sales_fix]]*100,2)</f>
        <v>28.48</v>
      </c>
    </row>
    <row r="132" spans="1:26" x14ac:dyDescent="0.3">
      <c r="A132" t="s">
        <v>2842</v>
      </c>
      <c r="B132" s="1">
        <v>45407</v>
      </c>
      <c r="C132" s="1">
        <v>45412</v>
      </c>
      <c r="D132" t="s">
        <v>621</v>
      </c>
      <c r="E132" t="s">
        <v>622</v>
      </c>
      <c r="F132" t="s">
        <v>55</v>
      </c>
      <c r="G132" t="s">
        <v>91</v>
      </c>
      <c r="H132" t="s">
        <v>109</v>
      </c>
      <c r="I132" t="s">
        <v>103</v>
      </c>
      <c r="J132" t="s">
        <v>104</v>
      </c>
      <c r="K132" t="s">
        <v>65</v>
      </c>
      <c r="L132">
        <v>1</v>
      </c>
      <c r="M132">
        <v>8000</v>
      </c>
      <c r="N132">
        <v>15</v>
      </c>
      <c r="O132">
        <v>6800</v>
      </c>
      <c r="P132">
        <v>1502.06</v>
      </c>
      <c r="Q132" t="s">
        <v>156</v>
      </c>
      <c r="R132" t="s">
        <v>29</v>
      </c>
      <c r="S132" t="s">
        <v>86</v>
      </c>
      <c r="T132">
        <f>YEAR(Table1_1[[#This Row],[order_date]])</f>
        <v>2024</v>
      </c>
      <c r="U132">
        <f>MONTH(Table1_1[[#This Row],[order_date]])</f>
        <v>4</v>
      </c>
      <c r="V132" t="str">
        <f>TEXT(Table1_1[[#This Row],[order_date]],"mmm")</f>
        <v>Apr</v>
      </c>
      <c r="W132" t="str">
        <f>"Q"&amp;ROUNDUP(MONTH(Table1_1[[#This Row],[order_date]])/3,0)</f>
        <v>Q2</v>
      </c>
      <c r="X132" t="str">
        <f>TEXT(Table1_1[[#This Row],[order_date]],"yyyy-mm")</f>
        <v>2024-04</v>
      </c>
      <c r="Y132">
        <f>IF(Table1_1[[#This Row],[ship_date]]="","",Table1_1[[#This Row],[ship_date]]-Table1_1[[#This Row],[order_date]])</f>
        <v>5</v>
      </c>
      <c r="Z132">
        <f>ROUND(Table1_1[[#This Row],[profit]]/Table1_1[[#This Row],[sales_fix]]*100,2)</f>
        <v>22.09</v>
      </c>
    </row>
    <row r="133" spans="1:26" x14ac:dyDescent="0.3">
      <c r="A133" t="s">
        <v>2296</v>
      </c>
      <c r="B133" s="1">
        <v>45873</v>
      </c>
      <c r="C133" s="1">
        <v>45880</v>
      </c>
      <c r="D133" t="s">
        <v>838</v>
      </c>
      <c r="E133" t="s">
        <v>839</v>
      </c>
      <c r="F133" t="s">
        <v>23</v>
      </c>
      <c r="G133" t="s">
        <v>35</v>
      </c>
      <c r="H133" t="s">
        <v>258</v>
      </c>
      <c r="I133" t="s">
        <v>25</v>
      </c>
      <c r="J133" t="s">
        <v>26</v>
      </c>
      <c r="K133" t="s">
        <v>27</v>
      </c>
      <c r="L133">
        <v>3</v>
      </c>
      <c r="M133">
        <v>7000</v>
      </c>
      <c r="N133">
        <v>0</v>
      </c>
      <c r="O133">
        <v>21000</v>
      </c>
      <c r="P133">
        <v>3558.31</v>
      </c>
      <c r="Q133" t="s">
        <v>28</v>
      </c>
      <c r="R133" t="s">
        <v>56</v>
      </c>
      <c r="S133" t="s">
        <v>110</v>
      </c>
      <c r="T133">
        <f>YEAR(Table1_1[[#This Row],[order_date]])</f>
        <v>2025</v>
      </c>
      <c r="U133">
        <f>MONTH(Table1_1[[#This Row],[order_date]])</f>
        <v>8</v>
      </c>
      <c r="V133" t="str">
        <f>TEXT(Table1_1[[#This Row],[order_date]],"mmm")</f>
        <v>Aug</v>
      </c>
      <c r="W133" t="str">
        <f>"Q"&amp;ROUNDUP(MONTH(Table1_1[[#This Row],[order_date]])/3,0)</f>
        <v>Q3</v>
      </c>
      <c r="X133" t="str">
        <f>TEXT(Table1_1[[#This Row],[order_date]],"yyyy-mm")</f>
        <v>2025-08</v>
      </c>
      <c r="Y133">
        <f>IF(Table1_1[[#This Row],[ship_date]]="","",Table1_1[[#This Row],[ship_date]]-Table1_1[[#This Row],[order_date]])</f>
        <v>7</v>
      </c>
      <c r="Z133">
        <f>ROUND(Table1_1[[#This Row],[profit]]/Table1_1[[#This Row],[sales_fix]]*100,2)</f>
        <v>16.940000000000001</v>
      </c>
    </row>
    <row r="134" spans="1:26" x14ac:dyDescent="0.3">
      <c r="A134" t="s">
        <v>2570</v>
      </c>
      <c r="B134" s="1">
        <v>45977</v>
      </c>
      <c r="C134" s="1">
        <v>45981</v>
      </c>
      <c r="D134" t="s">
        <v>256</v>
      </c>
      <c r="E134" t="s">
        <v>257</v>
      </c>
      <c r="F134" t="s">
        <v>55</v>
      </c>
      <c r="G134" t="s">
        <v>35</v>
      </c>
      <c r="H134" t="s">
        <v>258</v>
      </c>
      <c r="I134" t="s">
        <v>134</v>
      </c>
      <c r="J134" t="s">
        <v>135</v>
      </c>
      <c r="K134" t="s">
        <v>27</v>
      </c>
      <c r="L134">
        <v>10</v>
      </c>
      <c r="M134">
        <v>6000</v>
      </c>
      <c r="N134">
        <v>5</v>
      </c>
      <c r="O134">
        <v>57000</v>
      </c>
      <c r="P134">
        <v>11346.75</v>
      </c>
      <c r="Q134" t="s">
        <v>66</v>
      </c>
      <c r="R134" t="s">
        <v>49</v>
      </c>
      <c r="S134" t="s">
        <v>30</v>
      </c>
      <c r="T134">
        <f>YEAR(Table1_1[[#This Row],[order_date]])</f>
        <v>2025</v>
      </c>
      <c r="U134">
        <f>MONTH(Table1_1[[#This Row],[order_date]])</f>
        <v>11</v>
      </c>
      <c r="V134" t="str">
        <f>TEXT(Table1_1[[#This Row],[order_date]],"mmm")</f>
        <v>Nov</v>
      </c>
      <c r="W134" t="str">
        <f>"Q"&amp;ROUNDUP(MONTH(Table1_1[[#This Row],[order_date]])/3,0)</f>
        <v>Q4</v>
      </c>
      <c r="X134" t="str">
        <f>TEXT(Table1_1[[#This Row],[order_date]],"yyyy-mm")</f>
        <v>2025-11</v>
      </c>
      <c r="Y134">
        <f>IF(Table1_1[[#This Row],[ship_date]]="","",Table1_1[[#This Row],[ship_date]]-Table1_1[[#This Row],[order_date]])</f>
        <v>4</v>
      </c>
      <c r="Z134">
        <f>ROUND(Table1_1[[#This Row],[profit]]/Table1_1[[#This Row],[sales_fix]]*100,2)</f>
        <v>19.91</v>
      </c>
    </row>
    <row r="135" spans="1:26" x14ac:dyDescent="0.3">
      <c r="A135" t="s">
        <v>1164</v>
      </c>
      <c r="B135" s="1">
        <v>45565</v>
      </c>
      <c r="C135" s="1"/>
      <c r="D135" t="s">
        <v>973</v>
      </c>
      <c r="E135" t="s">
        <v>974</v>
      </c>
      <c r="F135" t="s">
        <v>34</v>
      </c>
      <c r="G135" t="s">
        <v>91</v>
      </c>
      <c r="H135" t="s">
        <v>177</v>
      </c>
      <c r="I135" t="s">
        <v>147</v>
      </c>
      <c r="J135" t="s">
        <v>148</v>
      </c>
      <c r="K135" t="s">
        <v>48</v>
      </c>
      <c r="L135">
        <v>5</v>
      </c>
      <c r="M135">
        <v>250</v>
      </c>
      <c r="N135">
        <v>0</v>
      </c>
      <c r="O135">
        <v>1250</v>
      </c>
      <c r="P135">
        <v>466.49</v>
      </c>
      <c r="Q135" t="s">
        <v>74</v>
      </c>
      <c r="R135" t="s">
        <v>56</v>
      </c>
      <c r="S135" t="s">
        <v>110</v>
      </c>
      <c r="T135">
        <f>YEAR(Table1_1[[#This Row],[order_date]])</f>
        <v>2024</v>
      </c>
      <c r="U135">
        <f>MONTH(Table1_1[[#This Row],[order_date]])</f>
        <v>9</v>
      </c>
      <c r="V135" t="str">
        <f>TEXT(Table1_1[[#This Row],[order_date]],"mmm")</f>
        <v>Sep</v>
      </c>
      <c r="W135" t="str">
        <f>"Q"&amp;ROUNDUP(MONTH(Table1_1[[#This Row],[order_date]])/3,0)</f>
        <v>Q3</v>
      </c>
      <c r="X135" t="str">
        <f>TEXT(Table1_1[[#This Row],[order_date]],"yyyy-mm")</f>
        <v>2024-09</v>
      </c>
      <c r="Y135" t="str">
        <f>IF(Table1_1[[#This Row],[ship_date]]="","",Table1_1[[#This Row],[ship_date]]-Table1_1[[#This Row],[order_date]])</f>
        <v/>
      </c>
      <c r="Z135">
        <f>ROUND(Table1_1[[#This Row],[profit]]/Table1_1[[#This Row],[sales_fix]]*100,2)</f>
        <v>37.32</v>
      </c>
    </row>
    <row r="136" spans="1:26" x14ac:dyDescent="0.3">
      <c r="A136" t="s">
        <v>2734</v>
      </c>
      <c r="B136" s="1">
        <v>45975</v>
      </c>
      <c r="C136" s="1">
        <v>45980</v>
      </c>
      <c r="D136" t="s">
        <v>973</v>
      </c>
      <c r="E136" t="s">
        <v>974</v>
      </c>
      <c r="F136" t="s">
        <v>34</v>
      </c>
      <c r="G136" t="s">
        <v>91</v>
      </c>
      <c r="H136" t="s">
        <v>177</v>
      </c>
      <c r="I136" t="s">
        <v>114</v>
      </c>
      <c r="J136" t="s">
        <v>115</v>
      </c>
      <c r="K136" t="s">
        <v>65</v>
      </c>
      <c r="L136">
        <v>1</v>
      </c>
      <c r="M136">
        <v>55000</v>
      </c>
      <c r="N136">
        <v>5</v>
      </c>
      <c r="O136">
        <v>52250</v>
      </c>
      <c r="P136">
        <v>9164.51</v>
      </c>
      <c r="Q136" t="s">
        <v>156</v>
      </c>
      <c r="R136" t="s">
        <v>29</v>
      </c>
      <c r="S136" t="s">
        <v>110</v>
      </c>
      <c r="T136">
        <f>YEAR(Table1_1[[#This Row],[order_date]])</f>
        <v>2025</v>
      </c>
      <c r="U136">
        <f>MONTH(Table1_1[[#This Row],[order_date]])</f>
        <v>11</v>
      </c>
      <c r="V136" t="str">
        <f>TEXT(Table1_1[[#This Row],[order_date]],"mmm")</f>
        <v>Nov</v>
      </c>
      <c r="W136" t="str">
        <f>"Q"&amp;ROUNDUP(MONTH(Table1_1[[#This Row],[order_date]])/3,0)</f>
        <v>Q4</v>
      </c>
      <c r="X136" t="str">
        <f>TEXT(Table1_1[[#This Row],[order_date]],"yyyy-mm")</f>
        <v>2025-11</v>
      </c>
      <c r="Y136">
        <f>IF(Table1_1[[#This Row],[ship_date]]="","",Table1_1[[#This Row],[ship_date]]-Table1_1[[#This Row],[order_date]])</f>
        <v>5</v>
      </c>
      <c r="Z136">
        <f>ROUND(Table1_1[[#This Row],[profit]]/Table1_1[[#This Row],[sales_fix]]*100,2)</f>
        <v>17.54</v>
      </c>
    </row>
    <row r="137" spans="1:26" x14ac:dyDescent="0.3">
      <c r="A137" t="s">
        <v>1523</v>
      </c>
      <c r="B137" s="1">
        <v>45518</v>
      </c>
      <c r="C137" s="1">
        <v>45526</v>
      </c>
      <c r="D137" t="s">
        <v>1414</v>
      </c>
      <c r="E137" t="s">
        <v>1415</v>
      </c>
      <c r="F137" t="s">
        <v>55</v>
      </c>
      <c r="G137" t="s">
        <v>44</v>
      </c>
      <c r="H137" t="s">
        <v>24</v>
      </c>
      <c r="I137" t="s">
        <v>93</v>
      </c>
      <c r="J137" t="s">
        <v>94</v>
      </c>
      <c r="K137" t="s">
        <v>95</v>
      </c>
      <c r="L137">
        <v>1</v>
      </c>
      <c r="M137">
        <v>1800</v>
      </c>
      <c r="N137">
        <v>0</v>
      </c>
      <c r="O137">
        <v>1800</v>
      </c>
      <c r="P137">
        <v>561.5</v>
      </c>
      <c r="Q137" t="s">
        <v>156</v>
      </c>
      <c r="R137" t="s">
        <v>441</v>
      </c>
      <c r="S137" t="s">
        <v>110</v>
      </c>
      <c r="T137">
        <f>YEAR(Table1_1[[#This Row],[order_date]])</f>
        <v>2024</v>
      </c>
      <c r="U137">
        <f>MONTH(Table1_1[[#This Row],[order_date]])</f>
        <v>8</v>
      </c>
      <c r="V137" t="str">
        <f>TEXT(Table1_1[[#This Row],[order_date]],"mmm")</f>
        <v>Aug</v>
      </c>
      <c r="W137" t="str">
        <f>"Q"&amp;ROUNDUP(MONTH(Table1_1[[#This Row],[order_date]])/3,0)</f>
        <v>Q3</v>
      </c>
      <c r="X137" t="str">
        <f>TEXT(Table1_1[[#This Row],[order_date]],"yyyy-mm")</f>
        <v>2024-08</v>
      </c>
      <c r="Y137">
        <f>IF(Table1_1[[#This Row],[ship_date]]="","",Table1_1[[#This Row],[ship_date]]-Table1_1[[#This Row],[order_date]])</f>
        <v>8</v>
      </c>
      <c r="Z137">
        <f>ROUND(Table1_1[[#This Row],[profit]]/Table1_1[[#This Row],[sales_fix]]*100,2)</f>
        <v>31.19</v>
      </c>
    </row>
    <row r="138" spans="1:26" x14ac:dyDescent="0.3">
      <c r="A138" t="s">
        <v>1296</v>
      </c>
      <c r="B138" s="1">
        <v>45854</v>
      </c>
      <c r="C138" s="1">
        <v>45858</v>
      </c>
      <c r="D138" t="s">
        <v>520</v>
      </c>
      <c r="E138" t="s">
        <v>521</v>
      </c>
      <c r="F138" t="s">
        <v>23</v>
      </c>
      <c r="G138" t="s">
        <v>91</v>
      </c>
      <c r="H138" t="s">
        <v>109</v>
      </c>
      <c r="I138" t="s">
        <v>71</v>
      </c>
      <c r="J138" t="s">
        <v>72</v>
      </c>
      <c r="K138" t="s">
        <v>73</v>
      </c>
      <c r="L138">
        <v>5</v>
      </c>
      <c r="M138">
        <v>3500</v>
      </c>
      <c r="N138">
        <v>20</v>
      </c>
      <c r="O138">
        <v>14000</v>
      </c>
      <c r="P138">
        <v>4099.2299999999996</v>
      </c>
      <c r="Q138" t="s">
        <v>121</v>
      </c>
      <c r="R138" t="s">
        <v>56</v>
      </c>
      <c r="S138" t="s">
        <v>40</v>
      </c>
      <c r="T138">
        <f>YEAR(Table1_1[[#This Row],[order_date]])</f>
        <v>2025</v>
      </c>
      <c r="U138">
        <f>MONTH(Table1_1[[#This Row],[order_date]])</f>
        <v>7</v>
      </c>
      <c r="V138" t="str">
        <f>TEXT(Table1_1[[#This Row],[order_date]],"mmm")</f>
        <v>Jul</v>
      </c>
      <c r="W138" t="str">
        <f>"Q"&amp;ROUNDUP(MONTH(Table1_1[[#This Row],[order_date]])/3,0)</f>
        <v>Q3</v>
      </c>
      <c r="X138" t="str">
        <f>TEXT(Table1_1[[#This Row],[order_date]],"yyyy-mm")</f>
        <v>2025-07</v>
      </c>
      <c r="Y138">
        <f>IF(Table1_1[[#This Row],[ship_date]]="","",Table1_1[[#This Row],[ship_date]]-Table1_1[[#This Row],[order_date]])</f>
        <v>4</v>
      </c>
      <c r="Z138">
        <f>ROUND(Table1_1[[#This Row],[profit]]/Table1_1[[#This Row],[sales_fix]]*100,2)</f>
        <v>29.28</v>
      </c>
    </row>
    <row r="139" spans="1:26" x14ac:dyDescent="0.3">
      <c r="A139" t="s">
        <v>1429</v>
      </c>
      <c r="B139" s="1">
        <v>45749</v>
      </c>
      <c r="C139" s="1">
        <v>45751</v>
      </c>
      <c r="D139" t="s">
        <v>524</v>
      </c>
      <c r="E139" t="s">
        <v>525</v>
      </c>
      <c r="F139" t="s">
        <v>34</v>
      </c>
      <c r="G139" t="s">
        <v>35</v>
      </c>
      <c r="H139" t="s">
        <v>187</v>
      </c>
      <c r="I139" t="s">
        <v>46</v>
      </c>
      <c r="J139" t="s">
        <v>47</v>
      </c>
      <c r="K139" t="s">
        <v>48</v>
      </c>
      <c r="L139">
        <v>2</v>
      </c>
      <c r="M139">
        <v>180</v>
      </c>
      <c r="N139">
        <v>0</v>
      </c>
      <c r="O139">
        <v>360</v>
      </c>
      <c r="P139">
        <v>118.46</v>
      </c>
      <c r="Q139" t="s">
        <v>66</v>
      </c>
      <c r="R139" t="s">
        <v>56</v>
      </c>
      <c r="S139" t="s">
        <v>40</v>
      </c>
      <c r="T139">
        <f>YEAR(Table1_1[[#This Row],[order_date]])</f>
        <v>2025</v>
      </c>
      <c r="U139">
        <f>MONTH(Table1_1[[#This Row],[order_date]])</f>
        <v>4</v>
      </c>
      <c r="V139" t="str">
        <f>TEXT(Table1_1[[#This Row],[order_date]],"mmm")</f>
        <v>Apr</v>
      </c>
      <c r="W139" t="str">
        <f>"Q"&amp;ROUNDUP(MONTH(Table1_1[[#This Row],[order_date]])/3,0)</f>
        <v>Q2</v>
      </c>
      <c r="X139" t="str">
        <f>TEXT(Table1_1[[#This Row],[order_date]],"yyyy-mm")</f>
        <v>2025-04</v>
      </c>
      <c r="Y139">
        <f>IF(Table1_1[[#This Row],[ship_date]]="","",Table1_1[[#This Row],[ship_date]]-Table1_1[[#This Row],[order_date]])</f>
        <v>2</v>
      </c>
      <c r="Z139">
        <f>ROUND(Table1_1[[#This Row],[profit]]/Table1_1[[#This Row],[sales_fix]]*100,2)</f>
        <v>32.909999999999997</v>
      </c>
    </row>
    <row r="140" spans="1:26" x14ac:dyDescent="0.3">
      <c r="A140" t="s">
        <v>1868</v>
      </c>
      <c r="B140" s="1">
        <v>45841</v>
      </c>
      <c r="C140" s="1">
        <v>45849</v>
      </c>
      <c r="D140" t="s">
        <v>1100</v>
      </c>
      <c r="E140" t="s">
        <v>1101</v>
      </c>
      <c r="F140" t="s">
        <v>23</v>
      </c>
      <c r="G140" t="s">
        <v>44</v>
      </c>
      <c r="H140" t="s">
        <v>161</v>
      </c>
      <c r="I140" t="s">
        <v>93</v>
      </c>
      <c r="J140" t="s">
        <v>94</v>
      </c>
      <c r="K140" t="s">
        <v>95</v>
      </c>
      <c r="L140">
        <v>1</v>
      </c>
      <c r="M140">
        <v>1800</v>
      </c>
      <c r="N140">
        <v>0</v>
      </c>
      <c r="O140">
        <v>1800</v>
      </c>
      <c r="P140">
        <v>656.33</v>
      </c>
      <c r="Q140" t="s">
        <v>66</v>
      </c>
      <c r="R140" t="s">
        <v>56</v>
      </c>
      <c r="S140" t="s">
        <v>50</v>
      </c>
      <c r="T140">
        <f>YEAR(Table1_1[[#This Row],[order_date]])</f>
        <v>2025</v>
      </c>
      <c r="U140">
        <f>MONTH(Table1_1[[#This Row],[order_date]])</f>
        <v>7</v>
      </c>
      <c r="V140" t="str">
        <f>TEXT(Table1_1[[#This Row],[order_date]],"mmm")</f>
        <v>Jul</v>
      </c>
      <c r="W140" t="str">
        <f>"Q"&amp;ROUNDUP(MONTH(Table1_1[[#This Row],[order_date]])/3,0)</f>
        <v>Q3</v>
      </c>
      <c r="X140" t="str">
        <f>TEXT(Table1_1[[#This Row],[order_date]],"yyyy-mm")</f>
        <v>2025-07</v>
      </c>
      <c r="Y140">
        <f>IF(Table1_1[[#This Row],[ship_date]]="","",Table1_1[[#This Row],[ship_date]]-Table1_1[[#This Row],[order_date]])</f>
        <v>8</v>
      </c>
      <c r="Z140">
        <f>ROUND(Table1_1[[#This Row],[profit]]/Table1_1[[#This Row],[sales_fix]]*100,2)</f>
        <v>36.46</v>
      </c>
    </row>
    <row r="141" spans="1:26" x14ac:dyDescent="0.3">
      <c r="A141" t="s">
        <v>1535</v>
      </c>
      <c r="B141" s="1">
        <v>45385</v>
      </c>
      <c r="C141" s="1">
        <v>45393</v>
      </c>
      <c r="D141" t="s">
        <v>1461</v>
      </c>
      <c r="E141" t="s">
        <v>1462</v>
      </c>
      <c r="F141" t="s">
        <v>55</v>
      </c>
      <c r="G141" t="s">
        <v>91</v>
      </c>
      <c r="H141" t="s">
        <v>109</v>
      </c>
      <c r="I141" t="s">
        <v>147</v>
      </c>
      <c r="J141" t="s">
        <v>148</v>
      </c>
      <c r="K141" t="s">
        <v>48</v>
      </c>
      <c r="L141">
        <v>4</v>
      </c>
      <c r="M141">
        <v>250</v>
      </c>
      <c r="N141">
        <v>5</v>
      </c>
      <c r="O141">
        <v>950</v>
      </c>
      <c r="P141">
        <v>388.92</v>
      </c>
      <c r="Q141" t="s">
        <v>121</v>
      </c>
      <c r="R141" t="s">
        <v>56</v>
      </c>
      <c r="S141" t="s">
        <v>30</v>
      </c>
      <c r="T141">
        <f>YEAR(Table1_1[[#This Row],[order_date]])</f>
        <v>2024</v>
      </c>
      <c r="U141">
        <f>MONTH(Table1_1[[#This Row],[order_date]])</f>
        <v>4</v>
      </c>
      <c r="V141" t="str">
        <f>TEXT(Table1_1[[#This Row],[order_date]],"mmm")</f>
        <v>Apr</v>
      </c>
      <c r="W141" t="str">
        <f>"Q"&amp;ROUNDUP(MONTH(Table1_1[[#This Row],[order_date]])/3,0)</f>
        <v>Q2</v>
      </c>
      <c r="X141" t="str">
        <f>TEXT(Table1_1[[#This Row],[order_date]],"yyyy-mm")</f>
        <v>2024-04</v>
      </c>
      <c r="Y141">
        <f>IF(Table1_1[[#This Row],[ship_date]]="","",Table1_1[[#This Row],[ship_date]]-Table1_1[[#This Row],[order_date]])</f>
        <v>8</v>
      </c>
      <c r="Z141">
        <f>ROUND(Table1_1[[#This Row],[profit]]/Table1_1[[#This Row],[sales_fix]]*100,2)</f>
        <v>40.94</v>
      </c>
    </row>
    <row r="142" spans="1:26" x14ac:dyDescent="0.3">
      <c r="A142" t="s">
        <v>2200</v>
      </c>
      <c r="B142" s="1">
        <v>45351</v>
      </c>
      <c r="C142" s="1">
        <v>45352</v>
      </c>
      <c r="D142" t="s">
        <v>509</v>
      </c>
      <c r="E142" t="s">
        <v>510</v>
      </c>
      <c r="F142" t="s">
        <v>23</v>
      </c>
      <c r="G142" t="s">
        <v>91</v>
      </c>
      <c r="H142" t="s">
        <v>120</v>
      </c>
      <c r="I142" t="s">
        <v>93</v>
      </c>
      <c r="J142" t="s">
        <v>94</v>
      </c>
      <c r="K142" t="s">
        <v>95</v>
      </c>
      <c r="L142">
        <v>2</v>
      </c>
      <c r="M142">
        <v>1800</v>
      </c>
      <c r="N142">
        <v>15</v>
      </c>
      <c r="O142">
        <v>3060</v>
      </c>
      <c r="P142">
        <v>1095.3800000000001</v>
      </c>
      <c r="Q142" t="s">
        <v>28</v>
      </c>
      <c r="R142" t="s">
        <v>49</v>
      </c>
      <c r="S142" t="s">
        <v>86</v>
      </c>
      <c r="T142">
        <f>YEAR(Table1_1[[#This Row],[order_date]])</f>
        <v>2024</v>
      </c>
      <c r="U142">
        <f>MONTH(Table1_1[[#This Row],[order_date]])</f>
        <v>2</v>
      </c>
      <c r="V142" t="str">
        <f>TEXT(Table1_1[[#This Row],[order_date]],"mmm")</f>
        <v>Feb</v>
      </c>
      <c r="W142" t="str">
        <f>"Q"&amp;ROUNDUP(MONTH(Table1_1[[#This Row],[order_date]])/3,0)</f>
        <v>Q1</v>
      </c>
      <c r="X142" t="str">
        <f>TEXT(Table1_1[[#This Row],[order_date]],"yyyy-mm")</f>
        <v>2024-02</v>
      </c>
      <c r="Y142">
        <f>IF(Table1_1[[#This Row],[ship_date]]="","",Table1_1[[#This Row],[ship_date]]-Table1_1[[#This Row],[order_date]])</f>
        <v>1</v>
      </c>
      <c r="Z142">
        <f>ROUND(Table1_1[[#This Row],[profit]]/Table1_1[[#This Row],[sales_fix]]*100,2)</f>
        <v>35.799999999999997</v>
      </c>
    </row>
    <row r="143" spans="1:26" x14ac:dyDescent="0.3">
      <c r="A143" t="s">
        <v>485</v>
      </c>
      <c r="B143" s="1">
        <v>45366</v>
      </c>
      <c r="C143" s="1">
        <v>45367</v>
      </c>
      <c r="D143" t="s">
        <v>343</v>
      </c>
      <c r="E143" t="s">
        <v>369</v>
      </c>
      <c r="F143" t="s">
        <v>34</v>
      </c>
      <c r="G143" t="s">
        <v>44</v>
      </c>
      <c r="H143" t="s">
        <v>45</v>
      </c>
      <c r="I143" t="s">
        <v>93</v>
      </c>
      <c r="J143" t="s">
        <v>94</v>
      </c>
      <c r="K143" t="s">
        <v>95</v>
      </c>
      <c r="L143">
        <v>1</v>
      </c>
      <c r="M143">
        <v>1800</v>
      </c>
      <c r="N143">
        <v>0</v>
      </c>
      <c r="O143">
        <v>1800</v>
      </c>
      <c r="P143">
        <v>617.5</v>
      </c>
      <c r="Q143" t="s">
        <v>66</v>
      </c>
      <c r="R143" t="s">
        <v>49</v>
      </c>
      <c r="S143" t="s">
        <v>86</v>
      </c>
      <c r="T143">
        <f>YEAR(Table1_1[[#This Row],[order_date]])</f>
        <v>2024</v>
      </c>
      <c r="U143">
        <f>MONTH(Table1_1[[#This Row],[order_date]])</f>
        <v>3</v>
      </c>
      <c r="V143" t="str">
        <f>TEXT(Table1_1[[#This Row],[order_date]],"mmm")</f>
        <v>Mar</v>
      </c>
      <c r="W143" t="str">
        <f>"Q"&amp;ROUNDUP(MONTH(Table1_1[[#This Row],[order_date]])/3,0)</f>
        <v>Q1</v>
      </c>
      <c r="X143" t="str">
        <f>TEXT(Table1_1[[#This Row],[order_date]],"yyyy-mm")</f>
        <v>2024-03</v>
      </c>
      <c r="Y143">
        <f>IF(Table1_1[[#This Row],[ship_date]]="","",Table1_1[[#This Row],[ship_date]]-Table1_1[[#This Row],[order_date]])</f>
        <v>1</v>
      </c>
      <c r="Z143">
        <f>ROUND(Table1_1[[#This Row],[profit]]/Table1_1[[#This Row],[sales_fix]]*100,2)</f>
        <v>34.31</v>
      </c>
    </row>
    <row r="144" spans="1:26" x14ac:dyDescent="0.3">
      <c r="A144" t="s">
        <v>1057</v>
      </c>
      <c r="B144" s="1">
        <v>45476</v>
      </c>
      <c r="C144" s="1">
        <v>45483</v>
      </c>
      <c r="D144" t="s">
        <v>1058</v>
      </c>
      <c r="E144" t="s">
        <v>1059</v>
      </c>
      <c r="F144" t="s">
        <v>55</v>
      </c>
      <c r="G144" t="s">
        <v>91</v>
      </c>
      <c r="H144" t="s">
        <v>92</v>
      </c>
      <c r="I144" t="s">
        <v>134</v>
      </c>
      <c r="J144" t="s">
        <v>135</v>
      </c>
      <c r="K144" t="s">
        <v>27</v>
      </c>
      <c r="L144">
        <v>3</v>
      </c>
      <c r="M144">
        <v>6000</v>
      </c>
      <c r="N144">
        <v>20</v>
      </c>
      <c r="O144">
        <v>14400</v>
      </c>
      <c r="P144">
        <v>3306.04</v>
      </c>
      <c r="Q144" t="s">
        <v>3113</v>
      </c>
      <c r="R144" t="s">
        <v>49</v>
      </c>
      <c r="S144" t="s">
        <v>30</v>
      </c>
      <c r="T144">
        <f>YEAR(Table1_1[[#This Row],[order_date]])</f>
        <v>2024</v>
      </c>
      <c r="U144">
        <f>MONTH(Table1_1[[#This Row],[order_date]])</f>
        <v>7</v>
      </c>
      <c r="V144" t="str">
        <f>TEXT(Table1_1[[#This Row],[order_date]],"mmm")</f>
        <v>Jul</v>
      </c>
      <c r="W144" t="str">
        <f>"Q"&amp;ROUNDUP(MONTH(Table1_1[[#This Row],[order_date]])/3,0)</f>
        <v>Q3</v>
      </c>
      <c r="X144" t="str">
        <f>TEXT(Table1_1[[#This Row],[order_date]],"yyyy-mm")</f>
        <v>2024-07</v>
      </c>
      <c r="Y144">
        <f>IF(Table1_1[[#This Row],[ship_date]]="","",Table1_1[[#This Row],[ship_date]]-Table1_1[[#This Row],[order_date]])</f>
        <v>7</v>
      </c>
      <c r="Z144">
        <f>ROUND(Table1_1[[#This Row],[profit]]/Table1_1[[#This Row],[sales_fix]]*100,2)</f>
        <v>22.96</v>
      </c>
    </row>
    <row r="145" spans="1:26" x14ac:dyDescent="0.3">
      <c r="A145" t="s">
        <v>2913</v>
      </c>
      <c r="B145" s="1">
        <v>45374</v>
      </c>
      <c r="C145" s="1">
        <v>45377</v>
      </c>
      <c r="D145" t="s">
        <v>617</v>
      </c>
      <c r="E145" t="s">
        <v>618</v>
      </c>
      <c r="F145" t="s">
        <v>23</v>
      </c>
      <c r="G145" t="s">
        <v>91</v>
      </c>
      <c r="H145" t="s">
        <v>120</v>
      </c>
      <c r="I145" t="s">
        <v>134</v>
      </c>
      <c r="J145" t="s">
        <v>135</v>
      </c>
      <c r="K145" t="s">
        <v>27</v>
      </c>
      <c r="L145">
        <v>3</v>
      </c>
      <c r="M145">
        <v>6000</v>
      </c>
      <c r="N145">
        <v>15</v>
      </c>
      <c r="O145">
        <v>15300</v>
      </c>
      <c r="P145">
        <v>3854.94</v>
      </c>
      <c r="Q145" t="s">
        <v>156</v>
      </c>
      <c r="R145" t="s">
        <v>49</v>
      </c>
      <c r="S145" t="s">
        <v>86</v>
      </c>
      <c r="T145">
        <f>YEAR(Table1_1[[#This Row],[order_date]])</f>
        <v>2024</v>
      </c>
      <c r="U145">
        <f>MONTH(Table1_1[[#This Row],[order_date]])</f>
        <v>3</v>
      </c>
      <c r="V145" t="str">
        <f>TEXT(Table1_1[[#This Row],[order_date]],"mmm")</f>
        <v>Mar</v>
      </c>
      <c r="W145" t="str">
        <f>"Q"&amp;ROUNDUP(MONTH(Table1_1[[#This Row],[order_date]])/3,0)</f>
        <v>Q1</v>
      </c>
      <c r="X145" t="str">
        <f>TEXT(Table1_1[[#This Row],[order_date]],"yyyy-mm")</f>
        <v>2024-03</v>
      </c>
      <c r="Y145">
        <f>IF(Table1_1[[#This Row],[ship_date]]="","",Table1_1[[#This Row],[ship_date]]-Table1_1[[#This Row],[order_date]])</f>
        <v>3</v>
      </c>
      <c r="Z145">
        <f>ROUND(Table1_1[[#This Row],[profit]]/Table1_1[[#This Row],[sales_fix]]*100,2)</f>
        <v>25.2</v>
      </c>
    </row>
    <row r="146" spans="1:26" x14ac:dyDescent="0.3">
      <c r="A146" t="s">
        <v>873</v>
      </c>
      <c r="B146" s="1">
        <v>45694</v>
      </c>
      <c r="C146" s="1">
        <v>45695</v>
      </c>
      <c r="D146" t="s">
        <v>220</v>
      </c>
      <c r="E146" t="s">
        <v>221</v>
      </c>
      <c r="F146" t="s">
        <v>34</v>
      </c>
      <c r="G146" t="s">
        <v>44</v>
      </c>
      <c r="H146" t="s">
        <v>161</v>
      </c>
      <c r="I146" t="s">
        <v>46</v>
      </c>
      <c r="J146" t="s">
        <v>47</v>
      </c>
      <c r="K146" t="s">
        <v>48</v>
      </c>
      <c r="L146">
        <v>2</v>
      </c>
      <c r="M146">
        <v>180</v>
      </c>
      <c r="N146">
        <v>15</v>
      </c>
      <c r="O146">
        <v>306</v>
      </c>
      <c r="P146">
        <v>150.30000000000001</v>
      </c>
      <c r="Q146" t="s">
        <v>66</v>
      </c>
      <c r="R146" t="s">
        <v>49</v>
      </c>
      <c r="S146" t="s">
        <v>30</v>
      </c>
      <c r="T146">
        <f>YEAR(Table1_1[[#This Row],[order_date]])</f>
        <v>2025</v>
      </c>
      <c r="U146">
        <f>MONTH(Table1_1[[#This Row],[order_date]])</f>
        <v>2</v>
      </c>
      <c r="V146" t="str">
        <f>TEXT(Table1_1[[#This Row],[order_date]],"mmm")</f>
        <v>Feb</v>
      </c>
      <c r="W146" t="str">
        <f>"Q"&amp;ROUNDUP(MONTH(Table1_1[[#This Row],[order_date]])/3,0)</f>
        <v>Q1</v>
      </c>
      <c r="X146" t="str">
        <f>TEXT(Table1_1[[#This Row],[order_date]],"yyyy-mm")</f>
        <v>2025-02</v>
      </c>
      <c r="Y146">
        <f>IF(Table1_1[[#This Row],[ship_date]]="","",Table1_1[[#This Row],[ship_date]]-Table1_1[[#This Row],[order_date]])</f>
        <v>1</v>
      </c>
      <c r="Z146">
        <f>ROUND(Table1_1[[#This Row],[profit]]/Table1_1[[#This Row],[sales_fix]]*100,2)</f>
        <v>49.12</v>
      </c>
    </row>
    <row r="147" spans="1:26" x14ac:dyDescent="0.3">
      <c r="A147" t="s">
        <v>1229</v>
      </c>
      <c r="B147" s="1">
        <v>45836</v>
      </c>
      <c r="C147" s="1">
        <v>45842</v>
      </c>
      <c r="D147" t="s">
        <v>942</v>
      </c>
      <c r="E147" t="s">
        <v>943</v>
      </c>
      <c r="F147" t="s">
        <v>23</v>
      </c>
      <c r="G147" t="s">
        <v>44</v>
      </c>
      <c r="H147" t="s">
        <v>155</v>
      </c>
      <c r="I147" t="s">
        <v>134</v>
      </c>
      <c r="J147" t="s">
        <v>135</v>
      </c>
      <c r="K147" t="s">
        <v>27</v>
      </c>
      <c r="L147">
        <v>1</v>
      </c>
      <c r="M147">
        <v>6000</v>
      </c>
      <c r="N147">
        <v>0</v>
      </c>
      <c r="O147">
        <v>6000</v>
      </c>
      <c r="P147">
        <v>1150.57</v>
      </c>
      <c r="Q147" t="s">
        <v>121</v>
      </c>
      <c r="R147" t="s">
        <v>49</v>
      </c>
      <c r="S147" t="s">
        <v>50</v>
      </c>
      <c r="T147">
        <f>YEAR(Table1_1[[#This Row],[order_date]])</f>
        <v>2025</v>
      </c>
      <c r="U147">
        <f>MONTH(Table1_1[[#This Row],[order_date]])</f>
        <v>6</v>
      </c>
      <c r="V147" t="str">
        <f>TEXT(Table1_1[[#This Row],[order_date]],"mmm")</f>
        <v>Jun</v>
      </c>
      <c r="W147" t="str">
        <f>"Q"&amp;ROUNDUP(MONTH(Table1_1[[#This Row],[order_date]])/3,0)</f>
        <v>Q2</v>
      </c>
      <c r="X147" t="str">
        <f>TEXT(Table1_1[[#This Row],[order_date]],"yyyy-mm")</f>
        <v>2025-06</v>
      </c>
      <c r="Y147">
        <f>IF(Table1_1[[#This Row],[ship_date]]="","",Table1_1[[#This Row],[ship_date]]-Table1_1[[#This Row],[order_date]])</f>
        <v>6</v>
      </c>
      <c r="Z147">
        <f>ROUND(Table1_1[[#This Row],[profit]]/Table1_1[[#This Row],[sales_fix]]*100,2)</f>
        <v>19.18</v>
      </c>
    </row>
    <row r="148" spans="1:26" x14ac:dyDescent="0.3">
      <c r="A148" t="s">
        <v>2185</v>
      </c>
      <c r="B148" s="1">
        <v>45968</v>
      </c>
      <c r="C148" s="1">
        <v>45970</v>
      </c>
      <c r="D148" t="s">
        <v>639</v>
      </c>
      <c r="E148" t="s">
        <v>640</v>
      </c>
      <c r="F148" t="s">
        <v>55</v>
      </c>
      <c r="G148" t="s">
        <v>35</v>
      </c>
      <c r="H148" t="s">
        <v>36</v>
      </c>
      <c r="I148" t="s">
        <v>114</v>
      </c>
      <c r="J148" t="s">
        <v>115</v>
      </c>
      <c r="K148" t="s">
        <v>65</v>
      </c>
      <c r="L148">
        <v>3</v>
      </c>
      <c r="M148">
        <v>55000</v>
      </c>
      <c r="N148">
        <v>0</v>
      </c>
      <c r="O148">
        <v>165000</v>
      </c>
      <c r="P148">
        <v>23649.119999999999</v>
      </c>
      <c r="Q148" t="s">
        <v>66</v>
      </c>
      <c r="R148" t="s">
        <v>56</v>
      </c>
      <c r="S148" t="s">
        <v>86</v>
      </c>
      <c r="T148">
        <f>YEAR(Table1_1[[#This Row],[order_date]])</f>
        <v>2025</v>
      </c>
      <c r="U148">
        <f>MONTH(Table1_1[[#This Row],[order_date]])</f>
        <v>11</v>
      </c>
      <c r="V148" t="str">
        <f>TEXT(Table1_1[[#This Row],[order_date]],"mmm")</f>
        <v>Nov</v>
      </c>
      <c r="W148" t="str">
        <f>"Q"&amp;ROUNDUP(MONTH(Table1_1[[#This Row],[order_date]])/3,0)</f>
        <v>Q4</v>
      </c>
      <c r="X148" t="str">
        <f>TEXT(Table1_1[[#This Row],[order_date]],"yyyy-mm")</f>
        <v>2025-11</v>
      </c>
      <c r="Y148">
        <f>IF(Table1_1[[#This Row],[ship_date]]="","",Table1_1[[#This Row],[ship_date]]-Table1_1[[#This Row],[order_date]])</f>
        <v>2</v>
      </c>
      <c r="Z148">
        <f>ROUND(Table1_1[[#This Row],[profit]]/Table1_1[[#This Row],[sales_fix]]*100,2)</f>
        <v>14.33</v>
      </c>
    </row>
    <row r="149" spans="1:26" x14ac:dyDescent="0.3">
      <c r="A149" t="s">
        <v>964</v>
      </c>
      <c r="B149" s="1">
        <v>45980</v>
      </c>
      <c r="C149" s="1">
        <v>45988</v>
      </c>
      <c r="D149" t="s">
        <v>965</v>
      </c>
      <c r="E149" t="s">
        <v>966</v>
      </c>
      <c r="F149" t="s">
        <v>34</v>
      </c>
      <c r="G149" t="s">
        <v>44</v>
      </c>
      <c r="H149" t="s">
        <v>45</v>
      </c>
      <c r="I149" t="s">
        <v>93</v>
      </c>
      <c r="J149" t="s">
        <v>94</v>
      </c>
      <c r="K149" t="s">
        <v>95</v>
      </c>
      <c r="L149">
        <v>1</v>
      </c>
      <c r="M149">
        <v>1800</v>
      </c>
      <c r="N149">
        <v>15</v>
      </c>
      <c r="O149">
        <v>1530</v>
      </c>
      <c r="P149">
        <v>384.33</v>
      </c>
      <c r="Q149" t="s">
        <v>121</v>
      </c>
      <c r="R149" t="s">
        <v>56</v>
      </c>
      <c r="S149" t="s">
        <v>50</v>
      </c>
      <c r="T149">
        <f>YEAR(Table1_1[[#This Row],[order_date]])</f>
        <v>2025</v>
      </c>
      <c r="U149">
        <f>MONTH(Table1_1[[#This Row],[order_date]])</f>
        <v>11</v>
      </c>
      <c r="V149" t="str">
        <f>TEXT(Table1_1[[#This Row],[order_date]],"mmm")</f>
        <v>Nov</v>
      </c>
      <c r="W149" t="str">
        <f>"Q"&amp;ROUNDUP(MONTH(Table1_1[[#This Row],[order_date]])/3,0)</f>
        <v>Q4</v>
      </c>
      <c r="X149" t="str">
        <f>TEXT(Table1_1[[#This Row],[order_date]],"yyyy-mm")</f>
        <v>2025-11</v>
      </c>
      <c r="Y149">
        <f>IF(Table1_1[[#This Row],[ship_date]]="","",Table1_1[[#This Row],[ship_date]]-Table1_1[[#This Row],[order_date]])</f>
        <v>8</v>
      </c>
      <c r="Z149">
        <f>ROUND(Table1_1[[#This Row],[profit]]/Table1_1[[#This Row],[sales_fix]]*100,2)</f>
        <v>25.12</v>
      </c>
    </row>
    <row r="150" spans="1:26" x14ac:dyDescent="0.3">
      <c r="A150" t="s">
        <v>2930</v>
      </c>
      <c r="B150" s="1">
        <v>45807</v>
      </c>
      <c r="C150" s="1">
        <v>45813</v>
      </c>
      <c r="D150" t="s">
        <v>596</v>
      </c>
      <c r="E150" t="s">
        <v>597</v>
      </c>
      <c r="F150" t="s">
        <v>34</v>
      </c>
      <c r="G150" t="s">
        <v>91</v>
      </c>
      <c r="H150" t="s">
        <v>120</v>
      </c>
      <c r="I150" t="s">
        <v>79</v>
      </c>
      <c r="J150" t="s">
        <v>80</v>
      </c>
      <c r="K150" t="s">
        <v>65</v>
      </c>
      <c r="L150">
        <v>10</v>
      </c>
      <c r="M150">
        <v>3000</v>
      </c>
      <c r="N150">
        <v>0</v>
      </c>
      <c r="O150">
        <v>30000</v>
      </c>
      <c r="P150">
        <v>9236.83</v>
      </c>
      <c r="Q150" t="s">
        <v>39</v>
      </c>
      <c r="R150" t="s">
        <v>56</v>
      </c>
      <c r="S150" t="s">
        <v>110</v>
      </c>
      <c r="T150">
        <f>YEAR(Table1_1[[#This Row],[order_date]])</f>
        <v>2025</v>
      </c>
      <c r="U150">
        <f>MONTH(Table1_1[[#This Row],[order_date]])</f>
        <v>5</v>
      </c>
      <c r="V150" t="str">
        <f>TEXT(Table1_1[[#This Row],[order_date]],"mmm")</f>
        <v>May</v>
      </c>
      <c r="W150" t="str">
        <f>"Q"&amp;ROUNDUP(MONTH(Table1_1[[#This Row],[order_date]])/3,0)</f>
        <v>Q2</v>
      </c>
      <c r="X150" t="str">
        <f>TEXT(Table1_1[[#This Row],[order_date]],"yyyy-mm")</f>
        <v>2025-05</v>
      </c>
      <c r="Y150">
        <f>IF(Table1_1[[#This Row],[ship_date]]="","",Table1_1[[#This Row],[ship_date]]-Table1_1[[#This Row],[order_date]])</f>
        <v>6</v>
      </c>
      <c r="Z150">
        <f>ROUND(Table1_1[[#This Row],[profit]]/Table1_1[[#This Row],[sales_fix]]*100,2)</f>
        <v>30.79</v>
      </c>
    </row>
    <row r="151" spans="1:26" x14ac:dyDescent="0.3">
      <c r="A151" t="s">
        <v>1094</v>
      </c>
      <c r="B151" s="1">
        <v>45438</v>
      </c>
      <c r="C151" s="1">
        <v>45443</v>
      </c>
      <c r="D151" t="s">
        <v>233</v>
      </c>
      <c r="E151" t="s">
        <v>234</v>
      </c>
      <c r="F151" t="s">
        <v>23</v>
      </c>
      <c r="G151" t="s">
        <v>61</v>
      </c>
      <c r="H151" t="s">
        <v>211</v>
      </c>
      <c r="I151" t="s">
        <v>25</v>
      </c>
      <c r="J151" t="s">
        <v>26</v>
      </c>
      <c r="K151" t="s">
        <v>27</v>
      </c>
      <c r="L151">
        <v>10</v>
      </c>
      <c r="M151">
        <v>7000</v>
      </c>
      <c r="N151">
        <v>10</v>
      </c>
      <c r="O151">
        <v>63000</v>
      </c>
      <c r="P151">
        <v>13860</v>
      </c>
      <c r="Q151" t="s">
        <v>74</v>
      </c>
      <c r="R151" t="s">
        <v>29</v>
      </c>
      <c r="S151" t="s">
        <v>40</v>
      </c>
      <c r="T151">
        <f>YEAR(Table1_1[[#This Row],[order_date]])</f>
        <v>2024</v>
      </c>
      <c r="U151">
        <f>MONTH(Table1_1[[#This Row],[order_date]])</f>
        <v>5</v>
      </c>
      <c r="V151" t="str">
        <f>TEXT(Table1_1[[#This Row],[order_date]],"mmm")</f>
        <v>May</v>
      </c>
      <c r="W151" t="str">
        <f>"Q"&amp;ROUNDUP(MONTH(Table1_1[[#This Row],[order_date]])/3,0)</f>
        <v>Q2</v>
      </c>
      <c r="X151" t="str">
        <f>TEXT(Table1_1[[#This Row],[order_date]],"yyyy-mm")</f>
        <v>2024-05</v>
      </c>
      <c r="Y151">
        <f>IF(Table1_1[[#This Row],[ship_date]]="","",Table1_1[[#This Row],[ship_date]]-Table1_1[[#This Row],[order_date]])</f>
        <v>5</v>
      </c>
      <c r="Z151">
        <f>ROUND(Table1_1[[#This Row],[profit]]/Table1_1[[#This Row],[sales_fix]]*100,2)</f>
        <v>22</v>
      </c>
    </row>
    <row r="152" spans="1:26" x14ac:dyDescent="0.3">
      <c r="A152" t="s">
        <v>915</v>
      </c>
      <c r="B152" s="1">
        <v>45987</v>
      </c>
      <c r="C152" s="1">
        <v>45994</v>
      </c>
      <c r="D152" t="s">
        <v>288</v>
      </c>
      <c r="E152" t="s">
        <v>289</v>
      </c>
      <c r="F152" t="s">
        <v>34</v>
      </c>
      <c r="G152" t="s">
        <v>44</v>
      </c>
      <c r="H152" t="s">
        <v>155</v>
      </c>
      <c r="I152" t="s">
        <v>126</v>
      </c>
      <c r="J152" t="s">
        <v>127</v>
      </c>
      <c r="K152" t="s">
        <v>95</v>
      </c>
      <c r="L152">
        <v>2</v>
      </c>
      <c r="M152">
        <v>600</v>
      </c>
      <c r="N152">
        <v>0</v>
      </c>
      <c r="O152">
        <v>1200</v>
      </c>
      <c r="P152">
        <v>490.95</v>
      </c>
      <c r="Q152" t="s">
        <v>39</v>
      </c>
      <c r="R152" t="s">
        <v>49</v>
      </c>
      <c r="S152" t="s">
        <v>30</v>
      </c>
      <c r="T152">
        <f>YEAR(Table1_1[[#This Row],[order_date]])</f>
        <v>2025</v>
      </c>
      <c r="U152">
        <f>MONTH(Table1_1[[#This Row],[order_date]])</f>
        <v>11</v>
      </c>
      <c r="V152" t="str">
        <f>TEXT(Table1_1[[#This Row],[order_date]],"mmm")</f>
        <v>Nov</v>
      </c>
      <c r="W152" t="str">
        <f>"Q"&amp;ROUNDUP(MONTH(Table1_1[[#This Row],[order_date]])/3,0)</f>
        <v>Q4</v>
      </c>
      <c r="X152" t="str">
        <f>TEXT(Table1_1[[#This Row],[order_date]],"yyyy-mm")</f>
        <v>2025-11</v>
      </c>
      <c r="Y152">
        <f>IF(Table1_1[[#This Row],[ship_date]]="","",Table1_1[[#This Row],[ship_date]]-Table1_1[[#This Row],[order_date]])</f>
        <v>7</v>
      </c>
      <c r="Z152">
        <f>ROUND(Table1_1[[#This Row],[profit]]/Table1_1[[#This Row],[sales_fix]]*100,2)</f>
        <v>40.909999999999997</v>
      </c>
    </row>
    <row r="153" spans="1:26" x14ac:dyDescent="0.3">
      <c r="A153" t="s">
        <v>2419</v>
      </c>
      <c r="B153" s="1">
        <v>45599</v>
      </c>
      <c r="C153" s="1">
        <v>45603</v>
      </c>
      <c r="D153" t="s">
        <v>182</v>
      </c>
      <c r="E153" t="s">
        <v>183</v>
      </c>
      <c r="F153" t="s">
        <v>55</v>
      </c>
      <c r="G153" t="s">
        <v>44</v>
      </c>
      <c r="H153" t="s">
        <v>45</v>
      </c>
      <c r="I153" t="s">
        <v>79</v>
      </c>
      <c r="J153" t="s">
        <v>80</v>
      </c>
      <c r="K153" t="s">
        <v>65</v>
      </c>
      <c r="L153">
        <v>3</v>
      </c>
      <c r="M153">
        <v>3000</v>
      </c>
      <c r="N153">
        <v>5</v>
      </c>
      <c r="O153">
        <v>8550</v>
      </c>
      <c r="P153">
        <v>2042.73</v>
      </c>
      <c r="Q153" t="s">
        <v>74</v>
      </c>
      <c r="R153" t="s">
        <v>56</v>
      </c>
      <c r="S153" t="s">
        <v>50</v>
      </c>
      <c r="T153">
        <f>YEAR(Table1_1[[#This Row],[order_date]])</f>
        <v>2024</v>
      </c>
      <c r="U153">
        <f>MONTH(Table1_1[[#This Row],[order_date]])</f>
        <v>11</v>
      </c>
      <c r="V153" t="str">
        <f>TEXT(Table1_1[[#This Row],[order_date]],"mmm")</f>
        <v>Nov</v>
      </c>
      <c r="W153" t="str">
        <f>"Q"&amp;ROUNDUP(MONTH(Table1_1[[#This Row],[order_date]])/3,0)</f>
        <v>Q4</v>
      </c>
      <c r="X153" t="str">
        <f>TEXT(Table1_1[[#This Row],[order_date]],"yyyy-mm")</f>
        <v>2024-11</v>
      </c>
      <c r="Y153">
        <f>IF(Table1_1[[#This Row],[ship_date]]="","",Table1_1[[#This Row],[ship_date]]-Table1_1[[#This Row],[order_date]])</f>
        <v>4</v>
      </c>
      <c r="Z153">
        <f>ROUND(Table1_1[[#This Row],[profit]]/Table1_1[[#This Row],[sales_fix]]*100,2)</f>
        <v>23.89</v>
      </c>
    </row>
    <row r="154" spans="1:26" x14ac:dyDescent="0.3">
      <c r="A154" t="s">
        <v>1351</v>
      </c>
      <c r="B154" s="1">
        <v>45867</v>
      </c>
      <c r="C154" s="1">
        <v>45870</v>
      </c>
      <c r="D154" t="s">
        <v>406</v>
      </c>
      <c r="E154" t="s">
        <v>407</v>
      </c>
      <c r="F154" t="s">
        <v>55</v>
      </c>
      <c r="G154" t="s">
        <v>91</v>
      </c>
      <c r="H154" t="s">
        <v>120</v>
      </c>
      <c r="I154" t="s">
        <v>114</v>
      </c>
      <c r="J154" t="s">
        <v>115</v>
      </c>
      <c r="K154" t="s">
        <v>65</v>
      </c>
      <c r="L154">
        <v>2</v>
      </c>
      <c r="M154">
        <v>55000</v>
      </c>
      <c r="N154">
        <v>5</v>
      </c>
      <c r="O154">
        <v>104500</v>
      </c>
      <c r="P154">
        <v>17360.03</v>
      </c>
      <c r="Q154" t="s">
        <v>28</v>
      </c>
      <c r="R154" t="s">
        <v>29</v>
      </c>
      <c r="S154" t="s">
        <v>110</v>
      </c>
      <c r="T154">
        <f>YEAR(Table1_1[[#This Row],[order_date]])</f>
        <v>2025</v>
      </c>
      <c r="U154">
        <f>MONTH(Table1_1[[#This Row],[order_date]])</f>
        <v>7</v>
      </c>
      <c r="V154" t="str">
        <f>TEXT(Table1_1[[#This Row],[order_date]],"mmm")</f>
        <v>Jul</v>
      </c>
      <c r="W154" t="str">
        <f>"Q"&amp;ROUNDUP(MONTH(Table1_1[[#This Row],[order_date]])/3,0)</f>
        <v>Q3</v>
      </c>
      <c r="X154" t="str">
        <f>TEXT(Table1_1[[#This Row],[order_date]],"yyyy-mm")</f>
        <v>2025-07</v>
      </c>
      <c r="Y154">
        <f>IF(Table1_1[[#This Row],[ship_date]]="","",Table1_1[[#This Row],[ship_date]]-Table1_1[[#This Row],[order_date]])</f>
        <v>3</v>
      </c>
      <c r="Z154">
        <f>ROUND(Table1_1[[#This Row],[profit]]/Table1_1[[#This Row],[sales_fix]]*100,2)</f>
        <v>16.61</v>
      </c>
    </row>
    <row r="155" spans="1:26" x14ac:dyDescent="0.3">
      <c r="A155" t="s">
        <v>998</v>
      </c>
      <c r="B155" s="1">
        <v>45954</v>
      </c>
      <c r="C155" s="1">
        <v>45958</v>
      </c>
      <c r="D155" t="s">
        <v>561</v>
      </c>
      <c r="E155" t="s">
        <v>562</v>
      </c>
      <c r="F155" t="s">
        <v>23</v>
      </c>
      <c r="G155" t="s">
        <v>44</v>
      </c>
      <c r="H155" t="s">
        <v>155</v>
      </c>
      <c r="I155" t="s">
        <v>37</v>
      </c>
      <c r="J155" t="s">
        <v>38</v>
      </c>
      <c r="K155" t="s">
        <v>27</v>
      </c>
      <c r="L155">
        <v>2</v>
      </c>
      <c r="M155">
        <v>9500</v>
      </c>
      <c r="N155">
        <v>0</v>
      </c>
      <c r="O155">
        <v>19000</v>
      </c>
      <c r="P155">
        <v>2800.55</v>
      </c>
      <c r="Q155" t="s">
        <v>66</v>
      </c>
      <c r="R155" t="s">
        <v>49</v>
      </c>
      <c r="S155" t="s">
        <v>30</v>
      </c>
      <c r="T155">
        <f>YEAR(Table1_1[[#This Row],[order_date]])</f>
        <v>2025</v>
      </c>
      <c r="U155">
        <f>MONTH(Table1_1[[#This Row],[order_date]])</f>
        <v>10</v>
      </c>
      <c r="V155" t="str">
        <f>TEXT(Table1_1[[#This Row],[order_date]],"mmm")</f>
        <v>Oct</v>
      </c>
      <c r="W155" t="str">
        <f>"Q"&amp;ROUNDUP(MONTH(Table1_1[[#This Row],[order_date]])/3,0)</f>
        <v>Q4</v>
      </c>
      <c r="X155" t="str">
        <f>TEXT(Table1_1[[#This Row],[order_date]],"yyyy-mm")</f>
        <v>2025-10</v>
      </c>
      <c r="Y155">
        <f>IF(Table1_1[[#This Row],[ship_date]]="","",Table1_1[[#This Row],[ship_date]]-Table1_1[[#This Row],[order_date]])</f>
        <v>4</v>
      </c>
      <c r="Z155">
        <f>ROUND(Table1_1[[#This Row],[profit]]/Table1_1[[#This Row],[sales_fix]]*100,2)</f>
        <v>14.74</v>
      </c>
    </row>
    <row r="156" spans="1:26" x14ac:dyDescent="0.3">
      <c r="A156" t="s">
        <v>2269</v>
      </c>
      <c r="B156" s="1">
        <v>45484</v>
      </c>
      <c r="C156" s="1">
        <v>45488</v>
      </c>
      <c r="D156" t="s">
        <v>352</v>
      </c>
      <c r="E156" t="s">
        <v>353</v>
      </c>
      <c r="F156" t="s">
        <v>55</v>
      </c>
      <c r="G156" t="s">
        <v>35</v>
      </c>
      <c r="H156" t="s">
        <v>36</v>
      </c>
      <c r="I156" t="s">
        <v>63</v>
      </c>
      <c r="J156" t="s">
        <v>64</v>
      </c>
      <c r="K156" t="s">
        <v>65</v>
      </c>
      <c r="L156">
        <v>4</v>
      </c>
      <c r="M156">
        <v>25000</v>
      </c>
      <c r="N156">
        <v>10</v>
      </c>
      <c r="O156">
        <v>90000</v>
      </c>
      <c r="P156">
        <v>13361.25</v>
      </c>
      <c r="Q156" t="s">
        <v>28</v>
      </c>
      <c r="R156" t="s">
        <v>29</v>
      </c>
      <c r="S156" t="s">
        <v>110</v>
      </c>
      <c r="T156">
        <f>YEAR(Table1_1[[#This Row],[order_date]])</f>
        <v>2024</v>
      </c>
      <c r="U156">
        <f>MONTH(Table1_1[[#This Row],[order_date]])</f>
        <v>7</v>
      </c>
      <c r="V156" t="str">
        <f>TEXT(Table1_1[[#This Row],[order_date]],"mmm")</f>
        <v>Jul</v>
      </c>
      <c r="W156" t="str">
        <f>"Q"&amp;ROUNDUP(MONTH(Table1_1[[#This Row],[order_date]])/3,0)</f>
        <v>Q3</v>
      </c>
      <c r="X156" t="str">
        <f>TEXT(Table1_1[[#This Row],[order_date]],"yyyy-mm")</f>
        <v>2024-07</v>
      </c>
      <c r="Y156">
        <f>IF(Table1_1[[#This Row],[ship_date]]="","",Table1_1[[#This Row],[ship_date]]-Table1_1[[#This Row],[order_date]])</f>
        <v>4</v>
      </c>
      <c r="Z156">
        <f>ROUND(Table1_1[[#This Row],[profit]]/Table1_1[[#This Row],[sales_fix]]*100,2)</f>
        <v>14.85</v>
      </c>
    </row>
    <row r="157" spans="1:26" x14ac:dyDescent="0.3">
      <c r="A157" t="s">
        <v>874</v>
      </c>
      <c r="B157" s="1">
        <v>45508</v>
      </c>
      <c r="C157" s="1">
        <v>45516</v>
      </c>
      <c r="D157" t="s">
        <v>713</v>
      </c>
      <c r="E157" t="s">
        <v>714</v>
      </c>
      <c r="F157" t="s">
        <v>34</v>
      </c>
      <c r="G157" t="s">
        <v>35</v>
      </c>
      <c r="H157" t="s">
        <v>258</v>
      </c>
      <c r="I157" t="s">
        <v>114</v>
      </c>
      <c r="J157" t="s">
        <v>115</v>
      </c>
      <c r="K157" t="s">
        <v>65</v>
      </c>
      <c r="L157">
        <v>5</v>
      </c>
      <c r="M157">
        <v>55000</v>
      </c>
      <c r="N157">
        <v>15</v>
      </c>
      <c r="O157">
        <v>233750</v>
      </c>
      <c r="P157">
        <v>31426.93</v>
      </c>
      <c r="Q157" t="s">
        <v>121</v>
      </c>
      <c r="R157" t="s">
        <v>56</v>
      </c>
      <c r="S157" t="s">
        <v>40</v>
      </c>
      <c r="T157">
        <f>YEAR(Table1_1[[#This Row],[order_date]])</f>
        <v>2024</v>
      </c>
      <c r="U157">
        <f>MONTH(Table1_1[[#This Row],[order_date]])</f>
        <v>8</v>
      </c>
      <c r="V157" t="str">
        <f>TEXT(Table1_1[[#This Row],[order_date]],"mmm")</f>
        <v>Aug</v>
      </c>
      <c r="W157" t="str">
        <f>"Q"&amp;ROUNDUP(MONTH(Table1_1[[#This Row],[order_date]])/3,0)</f>
        <v>Q3</v>
      </c>
      <c r="X157" t="str">
        <f>TEXT(Table1_1[[#This Row],[order_date]],"yyyy-mm")</f>
        <v>2024-08</v>
      </c>
      <c r="Y157">
        <f>IF(Table1_1[[#This Row],[ship_date]]="","",Table1_1[[#This Row],[ship_date]]-Table1_1[[#This Row],[order_date]])</f>
        <v>8</v>
      </c>
      <c r="Z157">
        <f>ROUND(Table1_1[[#This Row],[profit]]/Table1_1[[#This Row],[sales_fix]]*100,2)</f>
        <v>13.44</v>
      </c>
    </row>
    <row r="158" spans="1:26" x14ac:dyDescent="0.3">
      <c r="A158" t="s">
        <v>1681</v>
      </c>
      <c r="B158" s="1">
        <v>45537</v>
      </c>
      <c r="C158" s="1">
        <v>45545</v>
      </c>
      <c r="D158" t="s">
        <v>561</v>
      </c>
      <c r="E158" t="s">
        <v>562</v>
      </c>
      <c r="F158" t="s">
        <v>23</v>
      </c>
      <c r="G158" t="s">
        <v>44</v>
      </c>
      <c r="H158" t="s">
        <v>155</v>
      </c>
      <c r="I158" t="s">
        <v>134</v>
      </c>
      <c r="J158" t="s">
        <v>135</v>
      </c>
      <c r="K158" t="s">
        <v>27</v>
      </c>
      <c r="L158">
        <v>2</v>
      </c>
      <c r="M158">
        <v>6000</v>
      </c>
      <c r="N158">
        <v>20</v>
      </c>
      <c r="O158">
        <v>9600</v>
      </c>
      <c r="P158">
        <v>1873.67</v>
      </c>
      <c r="Q158" t="s">
        <v>39</v>
      </c>
      <c r="R158" t="s">
        <v>56</v>
      </c>
      <c r="S158" t="s">
        <v>110</v>
      </c>
      <c r="T158">
        <f>YEAR(Table1_1[[#This Row],[order_date]])</f>
        <v>2024</v>
      </c>
      <c r="U158">
        <f>MONTH(Table1_1[[#This Row],[order_date]])</f>
        <v>9</v>
      </c>
      <c r="V158" t="str">
        <f>TEXT(Table1_1[[#This Row],[order_date]],"mmm")</f>
        <v>Sep</v>
      </c>
      <c r="W158" t="str">
        <f>"Q"&amp;ROUNDUP(MONTH(Table1_1[[#This Row],[order_date]])/3,0)</f>
        <v>Q3</v>
      </c>
      <c r="X158" t="str">
        <f>TEXT(Table1_1[[#This Row],[order_date]],"yyyy-mm")</f>
        <v>2024-09</v>
      </c>
      <c r="Y158">
        <f>IF(Table1_1[[#This Row],[ship_date]]="","",Table1_1[[#This Row],[ship_date]]-Table1_1[[#This Row],[order_date]])</f>
        <v>8</v>
      </c>
      <c r="Z158">
        <f>ROUND(Table1_1[[#This Row],[profit]]/Table1_1[[#This Row],[sales_fix]]*100,2)</f>
        <v>19.52</v>
      </c>
    </row>
    <row r="159" spans="1:26" x14ac:dyDescent="0.3">
      <c r="A159" t="s">
        <v>2154</v>
      </c>
      <c r="B159" s="1">
        <v>45660</v>
      </c>
      <c r="C159" s="1">
        <v>45668</v>
      </c>
      <c r="D159" t="s">
        <v>682</v>
      </c>
      <c r="E159" t="s">
        <v>683</v>
      </c>
      <c r="F159" t="s">
        <v>55</v>
      </c>
      <c r="G159" t="s">
        <v>61</v>
      </c>
      <c r="H159" t="s">
        <v>125</v>
      </c>
      <c r="I159" t="s">
        <v>25</v>
      </c>
      <c r="J159" t="s">
        <v>26</v>
      </c>
      <c r="K159" t="s">
        <v>27</v>
      </c>
      <c r="L159">
        <v>2</v>
      </c>
      <c r="M159">
        <v>7000</v>
      </c>
      <c r="N159">
        <v>5</v>
      </c>
      <c r="O159">
        <v>13300</v>
      </c>
      <c r="P159">
        <v>2593.61</v>
      </c>
      <c r="Q159" t="s">
        <v>74</v>
      </c>
      <c r="R159" t="s">
        <v>29</v>
      </c>
      <c r="S159" t="s">
        <v>110</v>
      </c>
      <c r="T159">
        <f>YEAR(Table1_1[[#This Row],[order_date]])</f>
        <v>2025</v>
      </c>
      <c r="U159">
        <f>MONTH(Table1_1[[#This Row],[order_date]])</f>
        <v>1</v>
      </c>
      <c r="V159" t="str">
        <f>TEXT(Table1_1[[#This Row],[order_date]],"mmm")</f>
        <v>Jan</v>
      </c>
      <c r="W159" t="str">
        <f>"Q"&amp;ROUNDUP(MONTH(Table1_1[[#This Row],[order_date]])/3,0)</f>
        <v>Q1</v>
      </c>
      <c r="X159" t="str">
        <f>TEXT(Table1_1[[#This Row],[order_date]],"yyyy-mm")</f>
        <v>2025-01</v>
      </c>
      <c r="Y159">
        <f>IF(Table1_1[[#This Row],[ship_date]]="","",Table1_1[[#This Row],[ship_date]]-Table1_1[[#This Row],[order_date]])</f>
        <v>8</v>
      </c>
      <c r="Z159">
        <f>ROUND(Table1_1[[#This Row],[profit]]/Table1_1[[#This Row],[sales_fix]]*100,2)</f>
        <v>19.5</v>
      </c>
    </row>
    <row r="160" spans="1:26" x14ac:dyDescent="0.3">
      <c r="A160" t="s">
        <v>307</v>
      </c>
      <c r="B160" s="1">
        <v>45338</v>
      </c>
      <c r="C160" s="1">
        <v>45339</v>
      </c>
      <c r="D160" t="s">
        <v>308</v>
      </c>
      <c r="E160" t="s">
        <v>309</v>
      </c>
      <c r="F160" t="s">
        <v>34</v>
      </c>
      <c r="G160" t="s">
        <v>91</v>
      </c>
      <c r="H160" t="s">
        <v>177</v>
      </c>
      <c r="I160" t="s">
        <v>134</v>
      </c>
      <c r="J160" t="s">
        <v>135</v>
      </c>
      <c r="K160" t="s">
        <v>27</v>
      </c>
      <c r="L160">
        <v>2</v>
      </c>
      <c r="M160">
        <v>6000</v>
      </c>
      <c r="N160">
        <v>0</v>
      </c>
      <c r="O160">
        <v>12000</v>
      </c>
      <c r="P160">
        <v>2869.92</v>
      </c>
      <c r="Q160" t="s">
        <v>74</v>
      </c>
      <c r="R160" t="s">
        <v>56</v>
      </c>
      <c r="S160" t="s">
        <v>40</v>
      </c>
      <c r="T160">
        <f>YEAR(Table1_1[[#This Row],[order_date]])</f>
        <v>2024</v>
      </c>
      <c r="U160">
        <f>MONTH(Table1_1[[#This Row],[order_date]])</f>
        <v>2</v>
      </c>
      <c r="V160" t="str">
        <f>TEXT(Table1_1[[#This Row],[order_date]],"mmm")</f>
        <v>Feb</v>
      </c>
      <c r="W160" t="str">
        <f>"Q"&amp;ROUNDUP(MONTH(Table1_1[[#This Row],[order_date]])/3,0)</f>
        <v>Q1</v>
      </c>
      <c r="X160" t="str">
        <f>TEXT(Table1_1[[#This Row],[order_date]],"yyyy-mm")</f>
        <v>2024-02</v>
      </c>
      <c r="Y160">
        <f>IF(Table1_1[[#This Row],[ship_date]]="","",Table1_1[[#This Row],[ship_date]]-Table1_1[[#This Row],[order_date]])</f>
        <v>1</v>
      </c>
      <c r="Z160">
        <f>ROUND(Table1_1[[#This Row],[profit]]/Table1_1[[#This Row],[sales_fix]]*100,2)</f>
        <v>23.92</v>
      </c>
    </row>
    <row r="161" spans="1:26" x14ac:dyDescent="0.3">
      <c r="A161" t="s">
        <v>1481</v>
      </c>
      <c r="B161" s="1">
        <v>45719</v>
      </c>
      <c r="C161" s="1">
        <v>45726</v>
      </c>
      <c r="D161" t="s">
        <v>1482</v>
      </c>
      <c r="E161" t="s">
        <v>1483</v>
      </c>
      <c r="F161" t="s">
        <v>23</v>
      </c>
      <c r="G161" t="s">
        <v>44</v>
      </c>
      <c r="H161" t="s">
        <v>161</v>
      </c>
      <c r="I161" t="s">
        <v>71</v>
      </c>
      <c r="J161" t="s">
        <v>72</v>
      </c>
      <c r="K161" t="s">
        <v>73</v>
      </c>
      <c r="L161">
        <v>1</v>
      </c>
      <c r="M161">
        <v>3500</v>
      </c>
      <c r="N161">
        <v>0</v>
      </c>
      <c r="O161">
        <v>3500</v>
      </c>
      <c r="P161">
        <v>931.78</v>
      </c>
      <c r="Q161" t="s">
        <v>39</v>
      </c>
      <c r="R161" t="s">
        <v>29</v>
      </c>
      <c r="S161" t="s">
        <v>30</v>
      </c>
      <c r="T161">
        <f>YEAR(Table1_1[[#This Row],[order_date]])</f>
        <v>2025</v>
      </c>
      <c r="U161">
        <f>MONTH(Table1_1[[#This Row],[order_date]])</f>
        <v>3</v>
      </c>
      <c r="V161" t="str">
        <f>TEXT(Table1_1[[#This Row],[order_date]],"mmm")</f>
        <v>Mar</v>
      </c>
      <c r="W161" t="str">
        <f>"Q"&amp;ROUNDUP(MONTH(Table1_1[[#This Row],[order_date]])/3,0)</f>
        <v>Q1</v>
      </c>
      <c r="X161" t="str">
        <f>TEXT(Table1_1[[#This Row],[order_date]],"yyyy-mm")</f>
        <v>2025-03</v>
      </c>
      <c r="Y161">
        <f>IF(Table1_1[[#This Row],[ship_date]]="","",Table1_1[[#This Row],[ship_date]]-Table1_1[[#This Row],[order_date]])</f>
        <v>7</v>
      </c>
      <c r="Z161">
        <f>ROUND(Table1_1[[#This Row],[profit]]/Table1_1[[#This Row],[sales_fix]]*100,2)</f>
        <v>26.62</v>
      </c>
    </row>
    <row r="162" spans="1:26" x14ac:dyDescent="0.3">
      <c r="A162" t="s">
        <v>2494</v>
      </c>
      <c r="B162" s="1">
        <v>45993</v>
      </c>
      <c r="C162" s="1">
        <v>46001</v>
      </c>
      <c r="D162" t="s">
        <v>1886</v>
      </c>
      <c r="E162" t="s">
        <v>1887</v>
      </c>
      <c r="F162" t="s">
        <v>23</v>
      </c>
      <c r="G162" t="s">
        <v>91</v>
      </c>
      <c r="H162" t="s">
        <v>120</v>
      </c>
      <c r="I162" t="s">
        <v>126</v>
      </c>
      <c r="J162" t="s">
        <v>127</v>
      </c>
      <c r="K162" t="s">
        <v>95</v>
      </c>
      <c r="L162">
        <v>3</v>
      </c>
      <c r="M162">
        <v>600</v>
      </c>
      <c r="N162">
        <v>5</v>
      </c>
      <c r="O162">
        <v>1710</v>
      </c>
      <c r="P162">
        <v>706.07</v>
      </c>
      <c r="Q162" t="s">
        <v>28</v>
      </c>
      <c r="R162" t="s">
        <v>29</v>
      </c>
      <c r="S162" t="s">
        <v>110</v>
      </c>
      <c r="T162">
        <f>YEAR(Table1_1[[#This Row],[order_date]])</f>
        <v>2025</v>
      </c>
      <c r="U162">
        <f>MONTH(Table1_1[[#This Row],[order_date]])</f>
        <v>12</v>
      </c>
      <c r="V162" t="str">
        <f>TEXT(Table1_1[[#This Row],[order_date]],"mmm")</f>
        <v>Dec</v>
      </c>
      <c r="W162" t="str">
        <f>"Q"&amp;ROUNDUP(MONTH(Table1_1[[#This Row],[order_date]])/3,0)</f>
        <v>Q4</v>
      </c>
      <c r="X162" t="str">
        <f>TEXT(Table1_1[[#This Row],[order_date]],"yyyy-mm")</f>
        <v>2025-12</v>
      </c>
      <c r="Y162">
        <f>IF(Table1_1[[#This Row],[ship_date]]="","",Table1_1[[#This Row],[ship_date]]-Table1_1[[#This Row],[order_date]])</f>
        <v>8</v>
      </c>
      <c r="Z162">
        <f>ROUND(Table1_1[[#This Row],[profit]]/Table1_1[[#This Row],[sales_fix]]*100,2)</f>
        <v>41.29</v>
      </c>
    </row>
    <row r="163" spans="1:26" x14ac:dyDescent="0.3">
      <c r="A163" t="s">
        <v>2555</v>
      </c>
      <c r="B163" s="1">
        <v>45851</v>
      </c>
      <c r="C163" s="1">
        <v>45852</v>
      </c>
      <c r="D163" t="s">
        <v>428</v>
      </c>
      <c r="E163" t="s">
        <v>429</v>
      </c>
      <c r="F163" t="s">
        <v>34</v>
      </c>
      <c r="G163" t="s">
        <v>44</v>
      </c>
      <c r="H163" t="s">
        <v>45</v>
      </c>
      <c r="I163" t="s">
        <v>79</v>
      </c>
      <c r="J163" t="s">
        <v>80</v>
      </c>
      <c r="K163" t="s">
        <v>65</v>
      </c>
      <c r="L163">
        <v>2</v>
      </c>
      <c r="M163">
        <v>3000</v>
      </c>
      <c r="N163">
        <v>10</v>
      </c>
      <c r="O163">
        <v>5400</v>
      </c>
      <c r="P163">
        <v>1775.73</v>
      </c>
      <c r="Q163" t="s">
        <v>39</v>
      </c>
      <c r="R163" t="s">
        <v>29</v>
      </c>
      <c r="S163" t="s">
        <v>86</v>
      </c>
      <c r="T163">
        <f>YEAR(Table1_1[[#This Row],[order_date]])</f>
        <v>2025</v>
      </c>
      <c r="U163">
        <f>MONTH(Table1_1[[#This Row],[order_date]])</f>
        <v>7</v>
      </c>
      <c r="V163" t="str">
        <f>TEXT(Table1_1[[#This Row],[order_date]],"mmm")</f>
        <v>Jul</v>
      </c>
      <c r="W163" t="str">
        <f>"Q"&amp;ROUNDUP(MONTH(Table1_1[[#This Row],[order_date]])/3,0)</f>
        <v>Q3</v>
      </c>
      <c r="X163" t="str">
        <f>TEXT(Table1_1[[#This Row],[order_date]],"yyyy-mm")</f>
        <v>2025-07</v>
      </c>
      <c r="Y163">
        <f>IF(Table1_1[[#This Row],[ship_date]]="","",Table1_1[[#This Row],[ship_date]]-Table1_1[[#This Row],[order_date]])</f>
        <v>1</v>
      </c>
      <c r="Z163">
        <f>ROUND(Table1_1[[#This Row],[profit]]/Table1_1[[#This Row],[sales_fix]]*100,2)</f>
        <v>32.880000000000003</v>
      </c>
    </row>
    <row r="164" spans="1:26" x14ac:dyDescent="0.3">
      <c r="A164" t="s">
        <v>208</v>
      </c>
      <c r="B164" s="1">
        <v>45714</v>
      </c>
      <c r="C164" s="1"/>
      <c r="D164" t="s">
        <v>209</v>
      </c>
      <c r="E164" t="s">
        <v>210</v>
      </c>
      <c r="F164" t="s">
        <v>34</v>
      </c>
      <c r="G164" t="s">
        <v>61</v>
      </c>
      <c r="H164" t="s">
        <v>211</v>
      </c>
      <c r="I164" t="s">
        <v>114</v>
      </c>
      <c r="J164" t="s">
        <v>115</v>
      </c>
      <c r="K164" t="s">
        <v>65</v>
      </c>
      <c r="L164">
        <v>1</v>
      </c>
      <c r="M164">
        <v>55000</v>
      </c>
      <c r="N164">
        <v>15</v>
      </c>
      <c r="O164">
        <v>46750</v>
      </c>
      <c r="P164">
        <v>6669.5</v>
      </c>
      <c r="Q164" t="s">
        <v>66</v>
      </c>
      <c r="R164" t="s">
        <v>29</v>
      </c>
      <c r="S164" t="s">
        <v>40</v>
      </c>
      <c r="T164">
        <f>YEAR(Table1_1[[#This Row],[order_date]])</f>
        <v>2025</v>
      </c>
      <c r="U164">
        <f>MONTH(Table1_1[[#This Row],[order_date]])</f>
        <v>2</v>
      </c>
      <c r="V164" t="str">
        <f>TEXT(Table1_1[[#This Row],[order_date]],"mmm")</f>
        <v>Feb</v>
      </c>
      <c r="W164" t="str">
        <f>"Q"&amp;ROUNDUP(MONTH(Table1_1[[#This Row],[order_date]])/3,0)</f>
        <v>Q1</v>
      </c>
      <c r="X164" t="str">
        <f>TEXT(Table1_1[[#This Row],[order_date]],"yyyy-mm")</f>
        <v>2025-02</v>
      </c>
      <c r="Y164" t="str">
        <f>IF(Table1_1[[#This Row],[ship_date]]="","",Table1_1[[#This Row],[ship_date]]-Table1_1[[#This Row],[order_date]])</f>
        <v/>
      </c>
      <c r="Z164">
        <f>ROUND(Table1_1[[#This Row],[profit]]/Table1_1[[#This Row],[sales_fix]]*100,2)</f>
        <v>14.27</v>
      </c>
    </row>
    <row r="165" spans="1:26" x14ac:dyDescent="0.3">
      <c r="A165" t="s">
        <v>508</v>
      </c>
      <c r="B165" s="1">
        <v>45353</v>
      </c>
      <c r="C165" s="1">
        <v>45361</v>
      </c>
      <c r="D165" t="s">
        <v>509</v>
      </c>
      <c r="E165" t="s">
        <v>510</v>
      </c>
      <c r="F165" t="s">
        <v>23</v>
      </c>
      <c r="G165" t="s">
        <v>91</v>
      </c>
      <c r="H165" t="s">
        <v>120</v>
      </c>
      <c r="I165" t="s">
        <v>37</v>
      </c>
      <c r="J165" t="s">
        <v>38</v>
      </c>
      <c r="K165" t="s">
        <v>27</v>
      </c>
      <c r="L165">
        <v>2</v>
      </c>
      <c r="M165">
        <v>9500</v>
      </c>
      <c r="N165">
        <v>15</v>
      </c>
      <c r="O165">
        <v>16150</v>
      </c>
      <c r="P165">
        <v>3467.6</v>
      </c>
      <c r="Q165" t="s">
        <v>156</v>
      </c>
      <c r="R165" t="s">
        <v>49</v>
      </c>
      <c r="S165" t="s">
        <v>86</v>
      </c>
      <c r="T165">
        <f>YEAR(Table1_1[[#This Row],[order_date]])</f>
        <v>2024</v>
      </c>
      <c r="U165">
        <f>MONTH(Table1_1[[#This Row],[order_date]])</f>
        <v>3</v>
      </c>
      <c r="V165" t="str">
        <f>TEXT(Table1_1[[#This Row],[order_date]],"mmm")</f>
        <v>Mar</v>
      </c>
      <c r="W165" t="str">
        <f>"Q"&amp;ROUNDUP(MONTH(Table1_1[[#This Row],[order_date]])/3,0)</f>
        <v>Q1</v>
      </c>
      <c r="X165" t="str">
        <f>TEXT(Table1_1[[#This Row],[order_date]],"yyyy-mm")</f>
        <v>2024-03</v>
      </c>
      <c r="Y165">
        <f>IF(Table1_1[[#This Row],[ship_date]]="","",Table1_1[[#This Row],[ship_date]]-Table1_1[[#This Row],[order_date]])</f>
        <v>8</v>
      </c>
      <c r="Z165">
        <f>ROUND(Table1_1[[#This Row],[profit]]/Table1_1[[#This Row],[sales_fix]]*100,2)</f>
        <v>21.47</v>
      </c>
    </row>
    <row r="166" spans="1:26" x14ac:dyDescent="0.3">
      <c r="A166" t="s">
        <v>2897</v>
      </c>
      <c r="B166" s="1">
        <v>45856</v>
      </c>
      <c r="C166" s="1">
        <v>45861</v>
      </c>
      <c r="D166" t="s">
        <v>531</v>
      </c>
      <c r="E166" t="s">
        <v>532</v>
      </c>
      <c r="F166" t="s">
        <v>23</v>
      </c>
      <c r="G166" t="s">
        <v>44</v>
      </c>
      <c r="H166" t="s">
        <v>161</v>
      </c>
      <c r="I166" t="s">
        <v>46</v>
      </c>
      <c r="J166" t="s">
        <v>47</v>
      </c>
      <c r="K166" t="s">
        <v>48</v>
      </c>
      <c r="L166">
        <v>2</v>
      </c>
      <c r="M166">
        <v>180</v>
      </c>
      <c r="N166">
        <v>0</v>
      </c>
      <c r="O166">
        <v>360</v>
      </c>
      <c r="P166">
        <v>147.71</v>
      </c>
      <c r="Q166" t="s">
        <v>39</v>
      </c>
      <c r="R166" t="s">
        <v>49</v>
      </c>
      <c r="S166" t="s">
        <v>86</v>
      </c>
      <c r="T166">
        <f>YEAR(Table1_1[[#This Row],[order_date]])</f>
        <v>2025</v>
      </c>
      <c r="U166">
        <f>MONTH(Table1_1[[#This Row],[order_date]])</f>
        <v>7</v>
      </c>
      <c r="V166" t="str">
        <f>TEXT(Table1_1[[#This Row],[order_date]],"mmm")</f>
        <v>Jul</v>
      </c>
      <c r="W166" t="str">
        <f>"Q"&amp;ROUNDUP(MONTH(Table1_1[[#This Row],[order_date]])/3,0)</f>
        <v>Q3</v>
      </c>
      <c r="X166" t="str">
        <f>TEXT(Table1_1[[#This Row],[order_date]],"yyyy-mm")</f>
        <v>2025-07</v>
      </c>
      <c r="Y166">
        <f>IF(Table1_1[[#This Row],[ship_date]]="","",Table1_1[[#This Row],[ship_date]]-Table1_1[[#This Row],[order_date]])</f>
        <v>5</v>
      </c>
      <c r="Z166">
        <f>ROUND(Table1_1[[#This Row],[profit]]/Table1_1[[#This Row],[sales_fix]]*100,2)</f>
        <v>41.03</v>
      </c>
    </row>
    <row r="167" spans="1:26" x14ac:dyDescent="0.3">
      <c r="A167" t="s">
        <v>2500</v>
      </c>
      <c r="B167" s="1">
        <v>45982</v>
      </c>
      <c r="C167" s="1">
        <v>45984</v>
      </c>
      <c r="D167" t="s">
        <v>237</v>
      </c>
      <c r="E167" t="s">
        <v>238</v>
      </c>
      <c r="F167" t="s">
        <v>55</v>
      </c>
      <c r="G167" t="s">
        <v>44</v>
      </c>
      <c r="H167" t="s">
        <v>155</v>
      </c>
      <c r="I167" t="s">
        <v>71</v>
      </c>
      <c r="J167" t="s">
        <v>72</v>
      </c>
      <c r="K167" t="s">
        <v>73</v>
      </c>
      <c r="L167">
        <v>5</v>
      </c>
      <c r="M167">
        <v>3500</v>
      </c>
      <c r="N167">
        <v>0</v>
      </c>
      <c r="O167">
        <v>17500</v>
      </c>
      <c r="P167">
        <v>4159.72</v>
      </c>
      <c r="Q167" t="s">
        <v>39</v>
      </c>
      <c r="R167" t="s">
        <v>29</v>
      </c>
      <c r="S167" t="s">
        <v>50</v>
      </c>
      <c r="T167">
        <f>YEAR(Table1_1[[#This Row],[order_date]])</f>
        <v>2025</v>
      </c>
      <c r="U167">
        <f>MONTH(Table1_1[[#This Row],[order_date]])</f>
        <v>11</v>
      </c>
      <c r="V167" t="str">
        <f>TEXT(Table1_1[[#This Row],[order_date]],"mmm")</f>
        <v>Nov</v>
      </c>
      <c r="W167" t="str">
        <f>"Q"&amp;ROUNDUP(MONTH(Table1_1[[#This Row],[order_date]])/3,0)</f>
        <v>Q4</v>
      </c>
      <c r="X167" t="str">
        <f>TEXT(Table1_1[[#This Row],[order_date]],"yyyy-mm")</f>
        <v>2025-11</v>
      </c>
      <c r="Y167">
        <f>IF(Table1_1[[#This Row],[ship_date]]="","",Table1_1[[#This Row],[ship_date]]-Table1_1[[#This Row],[order_date]])</f>
        <v>2</v>
      </c>
      <c r="Z167">
        <f>ROUND(Table1_1[[#This Row],[profit]]/Table1_1[[#This Row],[sales_fix]]*100,2)</f>
        <v>23.77</v>
      </c>
    </row>
    <row r="168" spans="1:26" x14ac:dyDescent="0.3">
      <c r="A168" t="s">
        <v>1127</v>
      </c>
      <c r="B168" s="1">
        <v>45831</v>
      </c>
      <c r="C168" s="1">
        <v>45838</v>
      </c>
      <c r="D168" t="s">
        <v>206</v>
      </c>
      <c r="E168" t="s">
        <v>207</v>
      </c>
      <c r="F168" t="s">
        <v>55</v>
      </c>
      <c r="G168" t="s">
        <v>44</v>
      </c>
      <c r="H168" t="s">
        <v>24</v>
      </c>
      <c r="I168" t="s">
        <v>93</v>
      </c>
      <c r="J168" t="s">
        <v>94</v>
      </c>
      <c r="K168" t="s">
        <v>95</v>
      </c>
      <c r="L168">
        <v>1</v>
      </c>
      <c r="M168">
        <v>1800</v>
      </c>
      <c r="N168">
        <v>0</v>
      </c>
      <c r="O168">
        <v>1800</v>
      </c>
      <c r="P168">
        <v>508.37</v>
      </c>
      <c r="Q168" t="s">
        <v>66</v>
      </c>
      <c r="R168" t="s">
        <v>49</v>
      </c>
      <c r="S168" t="s">
        <v>30</v>
      </c>
      <c r="T168">
        <f>YEAR(Table1_1[[#This Row],[order_date]])</f>
        <v>2025</v>
      </c>
      <c r="U168">
        <f>MONTH(Table1_1[[#This Row],[order_date]])</f>
        <v>6</v>
      </c>
      <c r="V168" t="str">
        <f>TEXT(Table1_1[[#This Row],[order_date]],"mmm")</f>
        <v>Jun</v>
      </c>
      <c r="W168" t="str">
        <f>"Q"&amp;ROUNDUP(MONTH(Table1_1[[#This Row],[order_date]])/3,0)</f>
        <v>Q2</v>
      </c>
      <c r="X168" t="str">
        <f>TEXT(Table1_1[[#This Row],[order_date]],"yyyy-mm")</f>
        <v>2025-06</v>
      </c>
      <c r="Y168">
        <f>IF(Table1_1[[#This Row],[ship_date]]="","",Table1_1[[#This Row],[ship_date]]-Table1_1[[#This Row],[order_date]])</f>
        <v>7</v>
      </c>
      <c r="Z168">
        <f>ROUND(Table1_1[[#This Row],[profit]]/Table1_1[[#This Row],[sales_fix]]*100,2)</f>
        <v>28.24</v>
      </c>
    </row>
    <row r="169" spans="1:26" x14ac:dyDescent="0.3">
      <c r="A169" t="s">
        <v>1706</v>
      </c>
      <c r="B169" s="1">
        <v>45541</v>
      </c>
      <c r="C169" s="1">
        <v>45543</v>
      </c>
      <c r="D169" t="s">
        <v>582</v>
      </c>
      <c r="E169" t="s">
        <v>583</v>
      </c>
      <c r="F169" t="s">
        <v>34</v>
      </c>
      <c r="G169" t="s">
        <v>61</v>
      </c>
      <c r="H169" t="s">
        <v>78</v>
      </c>
      <c r="I169" t="s">
        <v>93</v>
      </c>
      <c r="J169" t="s">
        <v>94</v>
      </c>
      <c r="K169" t="s">
        <v>95</v>
      </c>
      <c r="L169">
        <v>10</v>
      </c>
      <c r="M169">
        <v>1800</v>
      </c>
      <c r="N169">
        <v>0</v>
      </c>
      <c r="O169">
        <v>18000</v>
      </c>
      <c r="P169">
        <v>5165.9399999999996</v>
      </c>
      <c r="Q169" t="s">
        <v>156</v>
      </c>
      <c r="R169" t="s">
        <v>56</v>
      </c>
      <c r="S169" t="s">
        <v>86</v>
      </c>
      <c r="T169">
        <f>YEAR(Table1_1[[#This Row],[order_date]])</f>
        <v>2024</v>
      </c>
      <c r="U169">
        <f>MONTH(Table1_1[[#This Row],[order_date]])</f>
        <v>9</v>
      </c>
      <c r="V169" t="str">
        <f>TEXT(Table1_1[[#This Row],[order_date]],"mmm")</f>
        <v>Sep</v>
      </c>
      <c r="W169" t="str">
        <f>"Q"&amp;ROUNDUP(MONTH(Table1_1[[#This Row],[order_date]])/3,0)</f>
        <v>Q3</v>
      </c>
      <c r="X169" t="str">
        <f>TEXT(Table1_1[[#This Row],[order_date]],"yyyy-mm")</f>
        <v>2024-09</v>
      </c>
      <c r="Y169">
        <f>IF(Table1_1[[#This Row],[ship_date]]="","",Table1_1[[#This Row],[ship_date]]-Table1_1[[#This Row],[order_date]])</f>
        <v>2</v>
      </c>
      <c r="Z169">
        <f>ROUND(Table1_1[[#This Row],[profit]]/Table1_1[[#This Row],[sales_fix]]*100,2)</f>
        <v>28.7</v>
      </c>
    </row>
    <row r="170" spans="1:26" x14ac:dyDescent="0.3">
      <c r="A170" t="s">
        <v>553</v>
      </c>
      <c r="B170" s="1">
        <v>45680</v>
      </c>
      <c r="C170" s="1">
        <v>45681</v>
      </c>
      <c r="D170" t="s">
        <v>554</v>
      </c>
      <c r="E170" t="s">
        <v>555</v>
      </c>
      <c r="F170" t="s">
        <v>55</v>
      </c>
      <c r="G170" t="s">
        <v>61</v>
      </c>
      <c r="H170" t="s">
        <v>62</v>
      </c>
      <c r="I170" t="s">
        <v>134</v>
      </c>
      <c r="J170" t="s">
        <v>135</v>
      </c>
      <c r="K170" t="s">
        <v>27</v>
      </c>
      <c r="L170">
        <v>1</v>
      </c>
      <c r="M170">
        <v>6000</v>
      </c>
      <c r="N170">
        <v>5</v>
      </c>
      <c r="O170">
        <v>5700</v>
      </c>
      <c r="P170">
        <v>988.31</v>
      </c>
      <c r="Q170" t="s">
        <v>156</v>
      </c>
      <c r="R170" t="s">
        <v>29</v>
      </c>
      <c r="S170" t="s">
        <v>86</v>
      </c>
      <c r="T170">
        <f>YEAR(Table1_1[[#This Row],[order_date]])</f>
        <v>2025</v>
      </c>
      <c r="U170">
        <f>MONTH(Table1_1[[#This Row],[order_date]])</f>
        <v>1</v>
      </c>
      <c r="V170" t="str">
        <f>TEXT(Table1_1[[#This Row],[order_date]],"mmm")</f>
        <v>Jan</v>
      </c>
      <c r="W170" t="str">
        <f>"Q"&amp;ROUNDUP(MONTH(Table1_1[[#This Row],[order_date]])/3,0)</f>
        <v>Q1</v>
      </c>
      <c r="X170" t="str">
        <f>TEXT(Table1_1[[#This Row],[order_date]],"yyyy-mm")</f>
        <v>2025-01</v>
      </c>
      <c r="Y170">
        <f>IF(Table1_1[[#This Row],[ship_date]]="","",Table1_1[[#This Row],[ship_date]]-Table1_1[[#This Row],[order_date]])</f>
        <v>1</v>
      </c>
      <c r="Z170">
        <f>ROUND(Table1_1[[#This Row],[profit]]/Table1_1[[#This Row],[sales_fix]]*100,2)</f>
        <v>17.34</v>
      </c>
    </row>
    <row r="171" spans="1:26" x14ac:dyDescent="0.3">
      <c r="A171" t="s">
        <v>1005</v>
      </c>
      <c r="B171" s="1">
        <v>45952</v>
      </c>
      <c r="C171" s="1">
        <v>45953</v>
      </c>
      <c r="D171" t="s">
        <v>498</v>
      </c>
      <c r="E171" t="s">
        <v>499</v>
      </c>
      <c r="F171" t="s">
        <v>55</v>
      </c>
      <c r="G171" t="s">
        <v>91</v>
      </c>
      <c r="H171" t="s">
        <v>120</v>
      </c>
      <c r="I171" t="s">
        <v>134</v>
      </c>
      <c r="J171" t="s">
        <v>135</v>
      </c>
      <c r="K171" t="s">
        <v>27</v>
      </c>
      <c r="L171">
        <v>2</v>
      </c>
      <c r="M171">
        <v>6000</v>
      </c>
      <c r="N171">
        <v>20</v>
      </c>
      <c r="O171">
        <v>9600</v>
      </c>
      <c r="P171">
        <v>2304</v>
      </c>
      <c r="Q171" t="s">
        <v>121</v>
      </c>
      <c r="R171" t="s">
        <v>29</v>
      </c>
      <c r="S171" t="s">
        <v>40</v>
      </c>
      <c r="T171">
        <f>YEAR(Table1_1[[#This Row],[order_date]])</f>
        <v>2025</v>
      </c>
      <c r="U171">
        <f>MONTH(Table1_1[[#This Row],[order_date]])</f>
        <v>10</v>
      </c>
      <c r="V171" t="str">
        <f>TEXT(Table1_1[[#This Row],[order_date]],"mmm")</f>
        <v>Oct</v>
      </c>
      <c r="W171" t="str">
        <f>"Q"&amp;ROUNDUP(MONTH(Table1_1[[#This Row],[order_date]])/3,0)</f>
        <v>Q4</v>
      </c>
      <c r="X171" t="str">
        <f>TEXT(Table1_1[[#This Row],[order_date]],"yyyy-mm")</f>
        <v>2025-10</v>
      </c>
      <c r="Y171">
        <f>IF(Table1_1[[#This Row],[ship_date]]="","",Table1_1[[#This Row],[ship_date]]-Table1_1[[#This Row],[order_date]])</f>
        <v>1</v>
      </c>
      <c r="Z171">
        <f>ROUND(Table1_1[[#This Row],[profit]]/Table1_1[[#This Row],[sales_fix]]*100,2)</f>
        <v>24</v>
      </c>
    </row>
    <row r="172" spans="1:26" x14ac:dyDescent="0.3">
      <c r="A172" t="s">
        <v>2285</v>
      </c>
      <c r="B172" s="1">
        <v>45339</v>
      </c>
      <c r="C172" s="1">
        <v>45340</v>
      </c>
      <c r="D172" t="s">
        <v>123</v>
      </c>
      <c r="E172" t="s">
        <v>124</v>
      </c>
      <c r="F172" t="s">
        <v>34</v>
      </c>
      <c r="G172" t="s">
        <v>61</v>
      </c>
      <c r="H172" t="s">
        <v>125</v>
      </c>
      <c r="I172" t="s">
        <v>25</v>
      </c>
      <c r="J172" t="s">
        <v>26</v>
      </c>
      <c r="K172" t="s">
        <v>27</v>
      </c>
      <c r="L172">
        <v>5</v>
      </c>
      <c r="M172">
        <v>7000</v>
      </c>
      <c r="N172">
        <v>15</v>
      </c>
      <c r="O172">
        <v>29750</v>
      </c>
      <c r="P172">
        <v>7004.68</v>
      </c>
      <c r="Q172" t="s">
        <v>121</v>
      </c>
      <c r="R172" t="s">
        <v>49</v>
      </c>
      <c r="S172" t="s">
        <v>86</v>
      </c>
      <c r="T172">
        <f>YEAR(Table1_1[[#This Row],[order_date]])</f>
        <v>2024</v>
      </c>
      <c r="U172">
        <f>MONTH(Table1_1[[#This Row],[order_date]])</f>
        <v>2</v>
      </c>
      <c r="V172" t="str">
        <f>TEXT(Table1_1[[#This Row],[order_date]],"mmm")</f>
        <v>Feb</v>
      </c>
      <c r="W172" t="str">
        <f>"Q"&amp;ROUNDUP(MONTH(Table1_1[[#This Row],[order_date]])/3,0)</f>
        <v>Q1</v>
      </c>
      <c r="X172" t="str">
        <f>TEXT(Table1_1[[#This Row],[order_date]],"yyyy-mm")</f>
        <v>2024-02</v>
      </c>
      <c r="Y172">
        <f>IF(Table1_1[[#This Row],[ship_date]]="","",Table1_1[[#This Row],[ship_date]]-Table1_1[[#This Row],[order_date]])</f>
        <v>1</v>
      </c>
      <c r="Z172">
        <f>ROUND(Table1_1[[#This Row],[profit]]/Table1_1[[#This Row],[sales_fix]]*100,2)</f>
        <v>23.55</v>
      </c>
    </row>
    <row r="173" spans="1:26" x14ac:dyDescent="0.3">
      <c r="A173" t="s">
        <v>2429</v>
      </c>
      <c r="B173" s="1">
        <v>45439</v>
      </c>
      <c r="C173" s="1">
        <v>45441</v>
      </c>
      <c r="D173" t="s">
        <v>76</v>
      </c>
      <c r="E173" t="s">
        <v>666</v>
      </c>
      <c r="F173" t="s">
        <v>23</v>
      </c>
      <c r="G173" t="s">
        <v>61</v>
      </c>
      <c r="H173" t="s">
        <v>78</v>
      </c>
      <c r="I173" t="s">
        <v>93</v>
      </c>
      <c r="J173" t="s">
        <v>94</v>
      </c>
      <c r="K173" t="s">
        <v>95</v>
      </c>
      <c r="L173">
        <v>3</v>
      </c>
      <c r="M173">
        <v>1800</v>
      </c>
      <c r="N173">
        <v>15</v>
      </c>
      <c r="O173">
        <v>4590</v>
      </c>
      <c r="P173">
        <v>1652.06</v>
      </c>
      <c r="Q173" t="s">
        <v>74</v>
      </c>
      <c r="R173" t="s">
        <v>29</v>
      </c>
      <c r="S173" t="s">
        <v>40</v>
      </c>
      <c r="T173">
        <f>YEAR(Table1_1[[#This Row],[order_date]])</f>
        <v>2024</v>
      </c>
      <c r="U173">
        <f>MONTH(Table1_1[[#This Row],[order_date]])</f>
        <v>5</v>
      </c>
      <c r="V173" t="str">
        <f>TEXT(Table1_1[[#This Row],[order_date]],"mmm")</f>
        <v>May</v>
      </c>
      <c r="W173" t="str">
        <f>"Q"&amp;ROUNDUP(MONTH(Table1_1[[#This Row],[order_date]])/3,0)</f>
        <v>Q2</v>
      </c>
      <c r="X173" t="str">
        <f>TEXT(Table1_1[[#This Row],[order_date]],"yyyy-mm")</f>
        <v>2024-05</v>
      </c>
      <c r="Y173">
        <f>IF(Table1_1[[#This Row],[ship_date]]="","",Table1_1[[#This Row],[ship_date]]-Table1_1[[#This Row],[order_date]])</f>
        <v>2</v>
      </c>
      <c r="Z173">
        <f>ROUND(Table1_1[[#This Row],[profit]]/Table1_1[[#This Row],[sales_fix]]*100,2)</f>
        <v>35.99</v>
      </c>
    </row>
    <row r="174" spans="1:26" x14ac:dyDescent="0.3">
      <c r="A174" t="s">
        <v>1816</v>
      </c>
      <c r="B174" s="1">
        <v>45690</v>
      </c>
      <c r="C174" s="1">
        <v>45693</v>
      </c>
      <c r="D174" t="s">
        <v>101</v>
      </c>
      <c r="E174" t="s">
        <v>102</v>
      </c>
      <c r="F174" t="s">
        <v>55</v>
      </c>
      <c r="G174" t="s">
        <v>35</v>
      </c>
      <c r="H174" t="s">
        <v>36</v>
      </c>
      <c r="I174" t="s">
        <v>93</v>
      </c>
      <c r="J174" t="s">
        <v>94</v>
      </c>
      <c r="K174" t="s">
        <v>95</v>
      </c>
      <c r="L174">
        <v>3</v>
      </c>
      <c r="M174">
        <v>1800</v>
      </c>
      <c r="N174">
        <v>10</v>
      </c>
      <c r="O174">
        <v>4860</v>
      </c>
      <c r="P174">
        <v>1416.41</v>
      </c>
      <c r="Q174" t="s">
        <v>156</v>
      </c>
      <c r="R174" t="s">
        <v>56</v>
      </c>
      <c r="S174" t="s">
        <v>86</v>
      </c>
      <c r="T174">
        <f>YEAR(Table1_1[[#This Row],[order_date]])</f>
        <v>2025</v>
      </c>
      <c r="U174">
        <f>MONTH(Table1_1[[#This Row],[order_date]])</f>
        <v>2</v>
      </c>
      <c r="V174" t="str">
        <f>TEXT(Table1_1[[#This Row],[order_date]],"mmm")</f>
        <v>Feb</v>
      </c>
      <c r="W174" t="str">
        <f>"Q"&amp;ROUNDUP(MONTH(Table1_1[[#This Row],[order_date]])/3,0)</f>
        <v>Q1</v>
      </c>
      <c r="X174" t="str">
        <f>TEXT(Table1_1[[#This Row],[order_date]],"yyyy-mm")</f>
        <v>2025-02</v>
      </c>
      <c r="Y174">
        <f>IF(Table1_1[[#This Row],[ship_date]]="","",Table1_1[[#This Row],[ship_date]]-Table1_1[[#This Row],[order_date]])</f>
        <v>3</v>
      </c>
      <c r="Z174">
        <f>ROUND(Table1_1[[#This Row],[profit]]/Table1_1[[#This Row],[sales_fix]]*100,2)</f>
        <v>29.14</v>
      </c>
    </row>
    <row r="175" spans="1:26" x14ac:dyDescent="0.3">
      <c r="A175" t="s">
        <v>2318</v>
      </c>
      <c r="B175" s="1">
        <v>45646</v>
      </c>
      <c r="C175" s="1">
        <v>45653</v>
      </c>
      <c r="D175" t="s">
        <v>314</v>
      </c>
      <c r="E175" t="s">
        <v>315</v>
      </c>
      <c r="F175" t="s">
        <v>55</v>
      </c>
      <c r="G175" t="s">
        <v>44</v>
      </c>
      <c r="H175" t="s">
        <v>161</v>
      </c>
      <c r="I175" t="s">
        <v>71</v>
      </c>
      <c r="J175" t="s">
        <v>72</v>
      </c>
      <c r="K175" t="s">
        <v>73</v>
      </c>
      <c r="L175">
        <v>2</v>
      </c>
      <c r="M175">
        <v>3500</v>
      </c>
      <c r="N175">
        <v>20</v>
      </c>
      <c r="O175">
        <v>5600</v>
      </c>
      <c r="P175">
        <v>1308.8900000000001</v>
      </c>
      <c r="Q175" t="s">
        <v>74</v>
      </c>
      <c r="R175" t="s">
        <v>29</v>
      </c>
      <c r="S175" t="s">
        <v>110</v>
      </c>
      <c r="T175">
        <f>YEAR(Table1_1[[#This Row],[order_date]])</f>
        <v>2024</v>
      </c>
      <c r="U175">
        <f>MONTH(Table1_1[[#This Row],[order_date]])</f>
        <v>12</v>
      </c>
      <c r="V175" t="str">
        <f>TEXT(Table1_1[[#This Row],[order_date]],"mmm")</f>
        <v>Dec</v>
      </c>
      <c r="W175" t="str">
        <f>"Q"&amp;ROUNDUP(MONTH(Table1_1[[#This Row],[order_date]])/3,0)</f>
        <v>Q4</v>
      </c>
      <c r="X175" t="str">
        <f>TEXT(Table1_1[[#This Row],[order_date]],"yyyy-mm")</f>
        <v>2024-12</v>
      </c>
      <c r="Y175">
        <f>IF(Table1_1[[#This Row],[ship_date]]="","",Table1_1[[#This Row],[ship_date]]-Table1_1[[#This Row],[order_date]])</f>
        <v>7</v>
      </c>
      <c r="Z175">
        <f>ROUND(Table1_1[[#This Row],[profit]]/Table1_1[[#This Row],[sales_fix]]*100,2)</f>
        <v>23.37</v>
      </c>
    </row>
    <row r="176" spans="1:26" x14ac:dyDescent="0.3">
      <c r="A176" t="s">
        <v>2330</v>
      </c>
      <c r="B176" s="1">
        <v>45525</v>
      </c>
      <c r="C176" s="1">
        <v>45532</v>
      </c>
      <c r="D176" t="s">
        <v>192</v>
      </c>
      <c r="E176" t="s">
        <v>193</v>
      </c>
      <c r="F176" t="s">
        <v>55</v>
      </c>
      <c r="G176" t="s">
        <v>35</v>
      </c>
      <c r="H176" t="s">
        <v>36</v>
      </c>
      <c r="I176" t="s">
        <v>147</v>
      </c>
      <c r="J176" t="s">
        <v>148</v>
      </c>
      <c r="K176" t="s">
        <v>48</v>
      </c>
      <c r="L176">
        <v>1</v>
      </c>
      <c r="M176">
        <v>250</v>
      </c>
      <c r="N176">
        <v>5</v>
      </c>
      <c r="O176">
        <v>237.5</v>
      </c>
      <c r="P176">
        <v>82.91</v>
      </c>
      <c r="Q176" t="s">
        <v>66</v>
      </c>
      <c r="R176" t="s">
        <v>56</v>
      </c>
      <c r="S176" t="s">
        <v>110</v>
      </c>
      <c r="T176">
        <f>YEAR(Table1_1[[#This Row],[order_date]])</f>
        <v>2024</v>
      </c>
      <c r="U176">
        <f>MONTH(Table1_1[[#This Row],[order_date]])</f>
        <v>8</v>
      </c>
      <c r="V176" t="str">
        <f>TEXT(Table1_1[[#This Row],[order_date]],"mmm")</f>
        <v>Aug</v>
      </c>
      <c r="W176" t="str">
        <f>"Q"&amp;ROUNDUP(MONTH(Table1_1[[#This Row],[order_date]])/3,0)</f>
        <v>Q3</v>
      </c>
      <c r="X176" t="str">
        <f>TEXT(Table1_1[[#This Row],[order_date]],"yyyy-mm")</f>
        <v>2024-08</v>
      </c>
      <c r="Y176">
        <f>IF(Table1_1[[#This Row],[ship_date]]="","",Table1_1[[#This Row],[ship_date]]-Table1_1[[#This Row],[order_date]])</f>
        <v>7</v>
      </c>
      <c r="Z176">
        <f>ROUND(Table1_1[[#This Row],[profit]]/Table1_1[[#This Row],[sales_fix]]*100,2)</f>
        <v>34.909999999999997</v>
      </c>
    </row>
    <row r="177" spans="1:26" x14ac:dyDescent="0.3">
      <c r="A177" t="s">
        <v>2989</v>
      </c>
      <c r="B177" s="1">
        <v>45367</v>
      </c>
      <c r="C177" s="1">
        <v>45370</v>
      </c>
      <c r="D177" t="s">
        <v>1343</v>
      </c>
      <c r="E177" t="s">
        <v>1344</v>
      </c>
      <c r="F177" t="s">
        <v>34</v>
      </c>
      <c r="G177" t="s">
        <v>91</v>
      </c>
      <c r="H177" t="s">
        <v>177</v>
      </c>
      <c r="I177" t="s">
        <v>71</v>
      </c>
      <c r="J177" t="s">
        <v>72</v>
      </c>
      <c r="K177" t="s">
        <v>73</v>
      </c>
      <c r="L177">
        <v>1</v>
      </c>
      <c r="M177">
        <v>3500</v>
      </c>
      <c r="N177">
        <v>0</v>
      </c>
      <c r="O177">
        <v>3500</v>
      </c>
      <c r="P177">
        <v>954.24</v>
      </c>
      <c r="Q177" t="s">
        <v>156</v>
      </c>
      <c r="R177" t="s">
        <v>49</v>
      </c>
      <c r="S177" t="s">
        <v>110</v>
      </c>
      <c r="T177">
        <f>YEAR(Table1_1[[#This Row],[order_date]])</f>
        <v>2024</v>
      </c>
      <c r="U177">
        <f>MONTH(Table1_1[[#This Row],[order_date]])</f>
        <v>3</v>
      </c>
      <c r="V177" t="str">
        <f>TEXT(Table1_1[[#This Row],[order_date]],"mmm")</f>
        <v>Mar</v>
      </c>
      <c r="W177" t="str">
        <f>"Q"&amp;ROUNDUP(MONTH(Table1_1[[#This Row],[order_date]])/3,0)</f>
        <v>Q1</v>
      </c>
      <c r="X177" t="str">
        <f>TEXT(Table1_1[[#This Row],[order_date]],"yyyy-mm")</f>
        <v>2024-03</v>
      </c>
      <c r="Y177">
        <f>IF(Table1_1[[#This Row],[ship_date]]="","",Table1_1[[#This Row],[ship_date]]-Table1_1[[#This Row],[order_date]])</f>
        <v>3</v>
      </c>
      <c r="Z177">
        <f>ROUND(Table1_1[[#This Row],[profit]]/Table1_1[[#This Row],[sales_fix]]*100,2)</f>
        <v>27.26</v>
      </c>
    </row>
    <row r="178" spans="1:26" x14ac:dyDescent="0.3">
      <c r="A178" t="s">
        <v>2142</v>
      </c>
      <c r="B178" s="1">
        <v>45385</v>
      </c>
      <c r="C178" s="1">
        <v>45390</v>
      </c>
      <c r="D178" t="s">
        <v>112</v>
      </c>
      <c r="E178" t="s">
        <v>113</v>
      </c>
      <c r="F178" t="s">
        <v>23</v>
      </c>
      <c r="G178" t="s">
        <v>35</v>
      </c>
      <c r="H178" t="s">
        <v>36</v>
      </c>
      <c r="I178" t="s">
        <v>63</v>
      </c>
      <c r="J178" t="s">
        <v>64</v>
      </c>
      <c r="K178" t="s">
        <v>65</v>
      </c>
      <c r="L178">
        <v>1</v>
      </c>
      <c r="M178">
        <v>25000</v>
      </c>
      <c r="N178">
        <v>0</v>
      </c>
      <c r="O178">
        <v>25000</v>
      </c>
      <c r="P178">
        <v>3292.1</v>
      </c>
      <c r="Q178" t="s">
        <v>66</v>
      </c>
      <c r="R178" t="s">
        <v>29</v>
      </c>
      <c r="S178" t="s">
        <v>86</v>
      </c>
      <c r="T178">
        <f>YEAR(Table1_1[[#This Row],[order_date]])</f>
        <v>2024</v>
      </c>
      <c r="U178">
        <f>MONTH(Table1_1[[#This Row],[order_date]])</f>
        <v>4</v>
      </c>
      <c r="V178" t="str">
        <f>TEXT(Table1_1[[#This Row],[order_date]],"mmm")</f>
        <v>Apr</v>
      </c>
      <c r="W178" t="str">
        <f>"Q"&amp;ROUNDUP(MONTH(Table1_1[[#This Row],[order_date]])/3,0)</f>
        <v>Q2</v>
      </c>
      <c r="X178" t="str">
        <f>TEXT(Table1_1[[#This Row],[order_date]],"yyyy-mm")</f>
        <v>2024-04</v>
      </c>
      <c r="Y178">
        <f>IF(Table1_1[[#This Row],[ship_date]]="","",Table1_1[[#This Row],[ship_date]]-Table1_1[[#This Row],[order_date]])</f>
        <v>5</v>
      </c>
      <c r="Z178">
        <f>ROUND(Table1_1[[#This Row],[profit]]/Table1_1[[#This Row],[sales_fix]]*100,2)</f>
        <v>13.17</v>
      </c>
    </row>
    <row r="179" spans="1:26" x14ac:dyDescent="0.3">
      <c r="A179" t="s">
        <v>2463</v>
      </c>
      <c r="B179" s="1">
        <v>45751</v>
      </c>
      <c r="C179" s="1">
        <v>45752</v>
      </c>
      <c r="D179" t="s">
        <v>787</v>
      </c>
      <c r="E179" t="s">
        <v>788</v>
      </c>
      <c r="F179" t="s">
        <v>34</v>
      </c>
      <c r="G179" t="s">
        <v>35</v>
      </c>
      <c r="H179" t="s">
        <v>36</v>
      </c>
      <c r="I179" t="s">
        <v>134</v>
      </c>
      <c r="J179" t="s">
        <v>135</v>
      </c>
      <c r="K179" t="s">
        <v>27</v>
      </c>
      <c r="L179">
        <v>2</v>
      </c>
      <c r="M179">
        <v>6000</v>
      </c>
      <c r="N179">
        <v>10</v>
      </c>
      <c r="O179">
        <v>10800</v>
      </c>
      <c r="P179">
        <v>2237.46</v>
      </c>
      <c r="Q179" t="s">
        <v>66</v>
      </c>
      <c r="R179" t="s">
        <v>49</v>
      </c>
      <c r="S179" t="s">
        <v>40</v>
      </c>
      <c r="T179">
        <f>YEAR(Table1_1[[#This Row],[order_date]])</f>
        <v>2025</v>
      </c>
      <c r="U179">
        <f>MONTH(Table1_1[[#This Row],[order_date]])</f>
        <v>4</v>
      </c>
      <c r="V179" t="str">
        <f>TEXT(Table1_1[[#This Row],[order_date]],"mmm")</f>
        <v>Apr</v>
      </c>
      <c r="W179" t="str">
        <f>"Q"&amp;ROUNDUP(MONTH(Table1_1[[#This Row],[order_date]])/3,0)</f>
        <v>Q2</v>
      </c>
      <c r="X179" t="str">
        <f>TEXT(Table1_1[[#This Row],[order_date]],"yyyy-mm")</f>
        <v>2025-04</v>
      </c>
      <c r="Y179">
        <f>IF(Table1_1[[#This Row],[ship_date]]="","",Table1_1[[#This Row],[ship_date]]-Table1_1[[#This Row],[order_date]])</f>
        <v>1</v>
      </c>
      <c r="Z179">
        <f>ROUND(Table1_1[[#This Row],[profit]]/Table1_1[[#This Row],[sales_fix]]*100,2)</f>
        <v>20.72</v>
      </c>
    </row>
    <row r="180" spans="1:26" x14ac:dyDescent="0.3">
      <c r="A180" t="s">
        <v>1396</v>
      </c>
      <c r="B180" s="1">
        <v>45904</v>
      </c>
      <c r="C180" s="1">
        <v>45909</v>
      </c>
      <c r="D180" t="s">
        <v>554</v>
      </c>
      <c r="E180" t="s">
        <v>555</v>
      </c>
      <c r="F180" t="s">
        <v>55</v>
      </c>
      <c r="G180" t="s">
        <v>61</v>
      </c>
      <c r="H180" t="s">
        <v>62</v>
      </c>
      <c r="I180" t="s">
        <v>93</v>
      </c>
      <c r="J180" t="s">
        <v>94</v>
      </c>
      <c r="K180" t="s">
        <v>95</v>
      </c>
      <c r="L180">
        <v>3</v>
      </c>
      <c r="M180">
        <v>1800</v>
      </c>
      <c r="N180">
        <v>20</v>
      </c>
      <c r="O180">
        <v>4320</v>
      </c>
      <c r="P180">
        <v>1291.3900000000001</v>
      </c>
      <c r="Q180" t="s">
        <v>28</v>
      </c>
      <c r="R180" t="s">
        <v>49</v>
      </c>
      <c r="S180" t="s">
        <v>86</v>
      </c>
      <c r="T180">
        <f>YEAR(Table1_1[[#This Row],[order_date]])</f>
        <v>2025</v>
      </c>
      <c r="U180">
        <f>MONTH(Table1_1[[#This Row],[order_date]])</f>
        <v>9</v>
      </c>
      <c r="V180" t="str">
        <f>TEXT(Table1_1[[#This Row],[order_date]],"mmm")</f>
        <v>Sep</v>
      </c>
      <c r="W180" t="str">
        <f>"Q"&amp;ROUNDUP(MONTH(Table1_1[[#This Row],[order_date]])/3,0)</f>
        <v>Q3</v>
      </c>
      <c r="X180" t="str">
        <f>TEXT(Table1_1[[#This Row],[order_date]],"yyyy-mm")</f>
        <v>2025-09</v>
      </c>
      <c r="Y180">
        <f>IF(Table1_1[[#This Row],[ship_date]]="","",Table1_1[[#This Row],[ship_date]]-Table1_1[[#This Row],[order_date]])</f>
        <v>5</v>
      </c>
      <c r="Z180">
        <f>ROUND(Table1_1[[#This Row],[profit]]/Table1_1[[#This Row],[sales_fix]]*100,2)</f>
        <v>29.89</v>
      </c>
    </row>
    <row r="181" spans="1:26" x14ac:dyDescent="0.3">
      <c r="A181" t="s">
        <v>3024</v>
      </c>
      <c r="B181" s="1">
        <v>45877</v>
      </c>
      <c r="C181" s="1">
        <v>45880</v>
      </c>
      <c r="D181" t="s">
        <v>42</v>
      </c>
      <c r="E181" t="s">
        <v>43</v>
      </c>
      <c r="F181" t="s">
        <v>23</v>
      </c>
      <c r="G181" t="s">
        <v>44</v>
      </c>
      <c r="H181" t="s">
        <v>45</v>
      </c>
      <c r="I181" t="s">
        <v>103</v>
      </c>
      <c r="J181" t="s">
        <v>104</v>
      </c>
      <c r="K181" t="s">
        <v>65</v>
      </c>
      <c r="L181">
        <v>2</v>
      </c>
      <c r="M181">
        <v>8000</v>
      </c>
      <c r="N181">
        <v>15</v>
      </c>
      <c r="O181">
        <v>13600</v>
      </c>
      <c r="P181">
        <v>2897.8</v>
      </c>
      <c r="Q181" t="s">
        <v>74</v>
      </c>
      <c r="R181" t="s">
        <v>49</v>
      </c>
      <c r="S181" t="s">
        <v>110</v>
      </c>
      <c r="T181">
        <f>YEAR(Table1_1[[#This Row],[order_date]])</f>
        <v>2025</v>
      </c>
      <c r="U181">
        <f>MONTH(Table1_1[[#This Row],[order_date]])</f>
        <v>8</v>
      </c>
      <c r="V181" t="str">
        <f>TEXT(Table1_1[[#This Row],[order_date]],"mmm")</f>
        <v>Aug</v>
      </c>
      <c r="W181" t="str">
        <f>"Q"&amp;ROUNDUP(MONTH(Table1_1[[#This Row],[order_date]])/3,0)</f>
        <v>Q3</v>
      </c>
      <c r="X181" t="str">
        <f>TEXT(Table1_1[[#This Row],[order_date]],"yyyy-mm")</f>
        <v>2025-08</v>
      </c>
      <c r="Y181">
        <f>IF(Table1_1[[#This Row],[ship_date]]="","",Table1_1[[#This Row],[ship_date]]-Table1_1[[#This Row],[order_date]])</f>
        <v>3</v>
      </c>
      <c r="Z181">
        <f>ROUND(Table1_1[[#This Row],[profit]]/Table1_1[[#This Row],[sales_fix]]*100,2)</f>
        <v>21.31</v>
      </c>
    </row>
    <row r="182" spans="1:26" x14ac:dyDescent="0.3">
      <c r="A182" t="s">
        <v>935</v>
      </c>
      <c r="B182" s="1">
        <v>45356</v>
      </c>
      <c r="C182" s="1">
        <v>45364</v>
      </c>
      <c r="D182" t="s">
        <v>936</v>
      </c>
      <c r="E182" t="s">
        <v>937</v>
      </c>
      <c r="F182" t="s">
        <v>23</v>
      </c>
      <c r="G182" t="s">
        <v>44</v>
      </c>
      <c r="H182" t="s">
        <v>161</v>
      </c>
      <c r="I182" t="s">
        <v>79</v>
      </c>
      <c r="J182" t="s">
        <v>80</v>
      </c>
      <c r="K182" t="s">
        <v>65</v>
      </c>
      <c r="L182">
        <v>1</v>
      </c>
      <c r="M182">
        <v>3000</v>
      </c>
      <c r="N182">
        <v>0</v>
      </c>
      <c r="O182">
        <v>3000</v>
      </c>
      <c r="P182">
        <v>781.6</v>
      </c>
      <c r="Q182" t="s">
        <v>66</v>
      </c>
      <c r="R182" t="s">
        <v>49</v>
      </c>
      <c r="S182" t="s">
        <v>110</v>
      </c>
      <c r="T182">
        <f>YEAR(Table1_1[[#This Row],[order_date]])</f>
        <v>2024</v>
      </c>
      <c r="U182">
        <f>MONTH(Table1_1[[#This Row],[order_date]])</f>
        <v>3</v>
      </c>
      <c r="V182" t="str">
        <f>TEXT(Table1_1[[#This Row],[order_date]],"mmm")</f>
        <v>Mar</v>
      </c>
      <c r="W182" t="str">
        <f>"Q"&amp;ROUNDUP(MONTH(Table1_1[[#This Row],[order_date]])/3,0)</f>
        <v>Q1</v>
      </c>
      <c r="X182" t="str">
        <f>TEXT(Table1_1[[#This Row],[order_date]],"yyyy-mm")</f>
        <v>2024-03</v>
      </c>
      <c r="Y182">
        <f>IF(Table1_1[[#This Row],[ship_date]]="","",Table1_1[[#This Row],[ship_date]]-Table1_1[[#This Row],[order_date]])</f>
        <v>8</v>
      </c>
      <c r="Z182">
        <f>ROUND(Table1_1[[#This Row],[profit]]/Table1_1[[#This Row],[sales_fix]]*100,2)</f>
        <v>26.05</v>
      </c>
    </row>
    <row r="183" spans="1:26" x14ac:dyDescent="0.3">
      <c r="A183" t="s">
        <v>1342</v>
      </c>
      <c r="B183" s="1">
        <v>45932</v>
      </c>
      <c r="C183" s="1">
        <v>45937</v>
      </c>
      <c r="D183" t="s">
        <v>1343</v>
      </c>
      <c r="E183" t="s">
        <v>1344</v>
      </c>
      <c r="F183" t="s">
        <v>34</v>
      </c>
      <c r="G183" t="s">
        <v>91</v>
      </c>
      <c r="H183" t="s">
        <v>177</v>
      </c>
      <c r="I183" t="s">
        <v>71</v>
      </c>
      <c r="J183" t="s">
        <v>72</v>
      </c>
      <c r="K183" t="s">
        <v>73</v>
      </c>
      <c r="L183">
        <v>2</v>
      </c>
      <c r="M183">
        <v>3500</v>
      </c>
      <c r="N183">
        <v>5</v>
      </c>
      <c r="O183">
        <v>6650</v>
      </c>
      <c r="P183">
        <v>1580.65</v>
      </c>
      <c r="Q183" t="s">
        <v>66</v>
      </c>
      <c r="R183" t="s">
        <v>49</v>
      </c>
      <c r="S183" t="s">
        <v>110</v>
      </c>
      <c r="T183">
        <f>YEAR(Table1_1[[#This Row],[order_date]])</f>
        <v>2025</v>
      </c>
      <c r="U183">
        <f>MONTH(Table1_1[[#This Row],[order_date]])</f>
        <v>10</v>
      </c>
      <c r="V183" t="str">
        <f>TEXT(Table1_1[[#This Row],[order_date]],"mmm")</f>
        <v>Oct</v>
      </c>
      <c r="W183" t="str">
        <f>"Q"&amp;ROUNDUP(MONTH(Table1_1[[#This Row],[order_date]])/3,0)</f>
        <v>Q4</v>
      </c>
      <c r="X183" t="str">
        <f>TEXT(Table1_1[[#This Row],[order_date]],"yyyy-mm")</f>
        <v>2025-10</v>
      </c>
      <c r="Y183">
        <f>IF(Table1_1[[#This Row],[ship_date]]="","",Table1_1[[#This Row],[ship_date]]-Table1_1[[#This Row],[order_date]])</f>
        <v>5</v>
      </c>
      <c r="Z183">
        <f>ROUND(Table1_1[[#This Row],[profit]]/Table1_1[[#This Row],[sales_fix]]*100,2)</f>
        <v>23.77</v>
      </c>
    </row>
    <row r="184" spans="1:26" x14ac:dyDescent="0.3">
      <c r="A184" t="s">
        <v>1807</v>
      </c>
      <c r="B184" s="1">
        <v>45742</v>
      </c>
      <c r="C184" s="1">
        <v>45745</v>
      </c>
      <c r="D184" t="s">
        <v>1067</v>
      </c>
      <c r="E184" t="s">
        <v>1068</v>
      </c>
      <c r="F184" t="s">
        <v>23</v>
      </c>
      <c r="G184" t="s">
        <v>35</v>
      </c>
      <c r="H184" t="s">
        <v>85</v>
      </c>
      <c r="I184" t="s">
        <v>37</v>
      </c>
      <c r="J184" t="s">
        <v>38</v>
      </c>
      <c r="K184" t="s">
        <v>27</v>
      </c>
      <c r="L184">
        <v>1</v>
      </c>
      <c r="M184">
        <v>9500</v>
      </c>
      <c r="N184">
        <v>20</v>
      </c>
      <c r="O184">
        <v>7600</v>
      </c>
      <c r="P184">
        <v>1564.71</v>
      </c>
      <c r="Q184" t="s">
        <v>74</v>
      </c>
      <c r="R184" t="s">
        <v>49</v>
      </c>
      <c r="S184" t="s">
        <v>40</v>
      </c>
      <c r="T184">
        <f>YEAR(Table1_1[[#This Row],[order_date]])</f>
        <v>2025</v>
      </c>
      <c r="U184">
        <f>MONTH(Table1_1[[#This Row],[order_date]])</f>
        <v>3</v>
      </c>
      <c r="V184" t="str">
        <f>TEXT(Table1_1[[#This Row],[order_date]],"mmm")</f>
        <v>Mar</v>
      </c>
      <c r="W184" t="str">
        <f>"Q"&amp;ROUNDUP(MONTH(Table1_1[[#This Row],[order_date]])/3,0)</f>
        <v>Q1</v>
      </c>
      <c r="X184" t="str">
        <f>TEXT(Table1_1[[#This Row],[order_date]],"yyyy-mm")</f>
        <v>2025-03</v>
      </c>
      <c r="Y184">
        <f>IF(Table1_1[[#This Row],[ship_date]]="","",Table1_1[[#This Row],[ship_date]]-Table1_1[[#This Row],[order_date]])</f>
        <v>3</v>
      </c>
      <c r="Z184">
        <f>ROUND(Table1_1[[#This Row],[profit]]/Table1_1[[#This Row],[sales_fix]]*100,2)</f>
        <v>20.59</v>
      </c>
    </row>
    <row r="185" spans="1:26" x14ac:dyDescent="0.3">
      <c r="A185" t="s">
        <v>1642</v>
      </c>
      <c r="B185" s="1">
        <v>45613</v>
      </c>
      <c r="C185" s="1">
        <v>45621</v>
      </c>
      <c r="D185" t="s">
        <v>1643</v>
      </c>
      <c r="E185" t="s">
        <v>1644</v>
      </c>
      <c r="F185" t="s">
        <v>55</v>
      </c>
      <c r="G185" t="s">
        <v>91</v>
      </c>
      <c r="H185" t="s">
        <v>120</v>
      </c>
      <c r="I185" t="s">
        <v>147</v>
      </c>
      <c r="J185" t="s">
        <v>148</v>
      </c>
      <c r="K185" t="s">
        <v>48</v>
      </c>
      <c r="L185">
        <v>1</v>
      </c>
      <c r="M185">
        <v>250</v>
      </c>
      <c r="N185">
        <v>0</v>
      </c>
      <c r="O185">
        <v>250</v>
      </c>
      <c r="P185">
        <v>81.66</v>
      </c>
      <c r="Q185" t="s">
        <v>39</v>
      </c>
      <c r="R185" t="s">
        <v>29</v>
      </c>
      <c r="S185" t="s">
        <v>110</v>
      </c>
      <c r="T185">
        <f>YEAR(Table1_1[[#This Row],[order_date]])</f>
        <v>2024</v>
      </c>
      <c r="U185">
        <f>MONTH(Table1_1[[#This Row],[order_date]])</f>
        <v>11</v>
      </c>
      <c r="V185" t="str">
        <f>TEXT(Table1_1[[#This Row],[order_date]],"mmm")</f>
        <v>Nov</v>
      </c>
      <c r="W185" t="str">
        <f>"Q"&amp;ROUNDUP(MONTH(Table1_1[[#This Row],[order_date]])/3,0)</f>
        <v>Q4</v>
      </c>
      <c r="X185" t="str">
        <f>TEXT(Table1_1[[#This Row],[order_date]],"yyyy-mm")</f>
        <v>2024-11</v>
      </c>
      <c r="Y185">
        <f>IF(Table1_1[[#This Row],[ship_date]]="","",Table1_1[[#This Row],[ship_date]]-Table1_1[[#This Row],[order_date]])</f>
        <v>8</v>
      </c>
      <c r="Z185">
        <f>ROUND(Table1_1[[#This Row],[profit]]/Table1_1[[#This Row],[sales_fix]]*100,2)</f>
        <v>32.659999999999997</v>
      </c>
    </row>
    <row r="186" spans="1:26" x14ac:dyDescent="0.3">
      <c r="A186" t="s">
        <v>1526</v>
      </c>
      <c r="B186" s="1">
        <v>45694</v>
      </c>
      <c r="C186" s="1">
        <v>45697</v>
      </c>
      <c r="D186" t="s">
        <v>1262</v>
      </c>
      <c r="E186" t="s">
        <v>1263</v>
      </c>
      <c r="F186" t="s">
        <v>23</v>
      </c>
      <c r="G186" t="s">
        <v>91</v>
      </c>
      <c r="H186" t="s">
        <v>120</v>
      </c>
      <c r="I186" t="s">
        <v>25</v>
      </c>
      <c r="J186" t="s">
        <v>26</v>
      </c>
      <c r="K186" t="s">
        <v>27</v>
      </c>
      <c r="L186">
        <v>1</v>
      </c>
      <c r="M186">
        <v>7000</v>
      </c>
      <c r="N186">
        <v>10</v>
      </c>
      <c r="O186">
        <v>6300</v>
      </c>
      <c r="P186">
        <v>1080.97</v>
      </c>
      <c r="Q186" t="s">
        <v>156</v>
      </c>
      <c r="R186" t="s">
        <v>56</v>
      </c>
      <c r="S186" t="s">
        <v>86</v>
      </c>
      <c r="T186">
        <f>YEAR(Table1_1[[#This Row],[order_date]])</f>
        <v>2025</v>
      </c>
      <c r="U186">
        <f>MONTH(Table1_1[[#This Row],[order_date]])</f>
        <v>2</v>
      </c>
      <c r="V186" t="str">
        <f>TEXT(Table1_1[[#This Row],[order_date]],"mmm")</f>
        <v>Feb</v>
      </c>
      <c r="W186" t="str">
        <f>"Q"&amp;ROUNDUP(MONTH(Table1_1[[#This Row],[order_date]])/3,0)</f>
        <v>Q1</v>
      </c>
      <c r="X186" t="str">
        <f>TEXT(Table1_1[[#This Row],[order_date]],"yyyy-mm")</f>
        <v>2025-02</v>
      </c>
      <c r="Y186">
        <f>IF(Table1_1[[#This Row],[ship_date]]="","",Table1_1[[#This Row],[ship_date]]-Table1_1[[#This Row],[order_date]])</f>
        <v>3</v>
      </c>
      <c r="Z186">
        <f>ROUND(Table1_1[[#This Row],[profit]]/Table1_1[[#This Row],[sales_fix]]*100,2)</f>
        <v>17.16</v>
      </c>
    </row>
    <row r="187" spans="1:26" x14ac:dyDescent="0.3">
      <c r="A187" t="s">
        <v>2378</v>
      </c>
      <c r="B187" s="1">
        <v>45506</v>
      </c>
      <c r="C187" s="1">
        <v>45508</v>
      </c>
      <c r="D187" t="s">
        <v>2379</v>
      </c>
      <c r="E187" t="s">
        <v>2380</v>
      </c>
      <c r="F187" t="s">
        <v>34</v>
      </c>
      <c r="G187" t="s">
        <v>61</v>
      </c>
      <c r="H187" t="s">
        <v>211</v>
      </c>
      <c r="I187" t="s">
        <v>71</v>
      </c>
      <c r="J187" t="s">
        <v>72</v>
      </c>
      <c r="K187" t="s">
        <v>73</v>
      </c>
      <c r="L187">
        <v>2</v>
      </c>
      <c r="M187">
        <v>3500</v>
      </c>
      <c r="N187">
        <v>0</v>
      </c>
      <c r="O187">
        <v>7000</v>
      </c>
      <c r="P187">
        <v>2312.83</v>
      </c>
      <c r="Q187" t="s">
        <v>28</v>
      </c>
      <c r="R187" t="s">
        <v>56</v>
      </c>
      <c r="S187" t="s">
        <v>30</v>
      </c>
      <c r="T187">
        <f>YEAR(Table1_1[[#This Row],[order_date]])</f>
        <v>2024</v>
      </c>
      <c r="U187">
        <f>MONTH(Table1_1[[#This Row],[order_date]])</f>
        <v>8</v>
      </c>
      <c r="V187" t="str">
        <f>TEXT(Table1_1[[#This Row],[order_date]],"mmm")</f>
        <v>Aug</v>
      </c>
      <c r="W187" t="str">
        <f>"Q"&amp;ROUNDUP(MONTH(Table1_1[[#This Row],[order_date]])/3,0)</f>
        <v>Q3</v>
      </c>
      <c r="X187" t="str">
        <f>TEXT(Table1_1[[#This Row],[order_date]],"yyyy-mm")</f>
        <v>2024-08</v>
      </c>
      <c r="Y187">
        <f>IF(Table1_1[[#This Row],[ship_date]]="","",Table1_1[[#This Row],[ship_date]]-Table1_1[[#This Row],[order_date]])</f>
        <v>2</v>
      </c>
      <c r="Z187">
        <f>ROUND(Table1_1[[#This Row],[profit]]/Table1_1[[#This Row],[sales_fix]]*100,2)</f>
        <v>33.04</v>
      </c>
    </row>
    <row r="188" spans="1:26" x14ac:dyDescent="0.3">
      <c r="A188" t="s">
        <v>1637</v>
      </c>
      <c r="B188" s="1">
        <v>45602</v>
      </c>
      <c r="C188" s="1">
        <v>45609</v>
      </c>
      <c r="D188" t="s">
        <v>378</v>
      </c>
      <c r="E188" t="s">
        <v>379</v>
      </c>
      <c r="F188" t="s">
        <v>34</v>
      </c>
      <c r="G188" t="s">
        <v>44</v>
      </c>
      <c r="H188" t="s">
        <v>24</v>
      </c>
      <c r="I188" t="s">
        <v>126</v>
      </c>
      <c r="J188" t="s">
        <v>127</v>
      </c>
      <c r="K188" t="s">
        <v>95</v>
      </c>
      <c r="L188">
        <v>3</v>
      </c>
      <c r="M188">
        <v>600</v>
      </c>
      <c r="N188">
        <v>15</v>
      </c>
      <c r="O188">
        <v>1530</v>
      </c>
      <c r="P188">
        <v>505.38</v>
      </c>
      <c r="Q188" t="s">
        <v>66</v>
      </c>
      <c r="R188" t="s">
        <v>49</v>
      </c>
      <c r="S188" t="s">
        <v>40</v>
      </c>
      <c r="T188">
        <f>YEAR(Table1_1[[#This Row],[order_date]])</f>
        <v>2024</v>
      </c>
      <c r="U188">
        <f>MONTH(Table1_1[[#This Row],[order_date]])</f>
        <v>11</v>
      </c>
      <c r="V188" t="str">
        <f>TEXT(Table1_1[[#This Row],[order_date]],"mmm")</f>
        <v>Nov</v>
      </c>
      <c r="W188" t="str">
        <f>"Q"&amp;ROUNDUP(MONTH(Table1_1[[#This Row],[order_date]])/3,0)</f>
        <v>Q4</v>
      </c>
      <c r="X188" t="str">
        <f>TEXT(Table1_1[[#This Row],[order_date]],"yyyy-mm")</f>
        <v>2024-11</v>
      </c>
      <c r="Y188">
        <f>IF(Table1_1[[#This Row],[ship_date]]="","",Table1_1[[#This Row],[ship_date]]-Table1_1[[#This Row],[order_date]])</f>
        <v>7</v>
      </c>
      <c r="Z188">
        <f>ROUND(Table1_1[[#This Row],[profit]]/Table1_1[[#This Row],[sales_fix]]*100,2)</f>
        <v>33.03</v>
      </c>
    </row>
    <row r="189" spans="1:26" x14ac:dyDescent="0.3">
      <c r="A189" t="s">
        <v>87</v>
      </c>
      <c r="B189" s="1">
        <v>45702</v>
      </c>
      <c r="C189" s="1">
        <v>45703</v>
      </c>
      <c r="D189" t="s">
        <v>89</v>
      </c>
      <c r="E189" t="s">
        <v>90</v>
      </c>
      <c r="F189" t="s">
        <v>23</v>
      </c>
      <c r="G189" t="s">
        <v>91</v>
      </c>
      <c r="H189" t="s">
        <v>92</v>
      </c>
      <c r="I189" t="s">
        <v>93</v>
      </c>
      <c r="J189" t="s">
        <v>94</v>
      </c>
      <c r="K189" t="s">
        <v>95</v>
      </c>
      <c r="L189">
        <v>2</v>
      </c>
      <c r="M189">
        <v>1800</v>
      </c>
      <c r="N189">
        <v>20</v>
      </c>
      <c r="O189">
        <v>2880</v>
      </c>
      <c r="P189">
        <v>984.5</v>
      </c>
      <c r="Q189" t="s">
        <v>74</v>
      </c>
      <c r="R189" t="s">
        <v>56</v>
      </c>
      <c r="S189" t="s">
        <v>96</v>
      </c>
      <c r="T189">
        <f>YEAR(Table1_1[[#This Row],[order_date]])</f>
        <v>2025</v>
      </c>
      <c r="U189">
        <f>MONTH(Table1_1[[#This Row],[order_date]])</f>
        <v>2</v>
      </c>
      <c r="V189" t="str">
        <f>TEXT(Table1_1[[#This Row],[order_date]],"mmm")</f>
        <v>Feb</v>
      </c>
      <c r="W189" t="str">
        <f>"Q"&amp;ROUNDUP(MONTH(Table1_1[[#This Row],[order_date]])/3,0)</f>
        <v>Q1</v>
      </c>
      <c r="X189" t="str">
        <f>TEXT(Table1_1[[#This Row],[order_date]],"yyyy-mm")</f>
        <v>2025-02</v>
      </c>
      <c r="Y189">
        <f>IF(Table1_1[[#This Row],[ship_date]]="","",Table1_1[[#This Row],[ship_date]]-Table1_1[[#This Row],[order_date]])</f>
        <v>1</v>
      </c>
      <c r="Z189">
        <f>ROUND(Table1_1[[#This Row],[profit]]/Table1_1[[#This Row],[sales_fix]]*100,2)</f>
        <v>34.18</v>
      </c>
    </row>
    <row r="190" spans="1:26" x14ac:dyDescent="0.3">
      <c r="A190" t="s">
        <v>2768</v>
      </c>
      <c r="B190" s="1">
        <v>45546</v>
      </c>
      <c r="C190" s="1">
        <v>45547</v>
      </c>
      <c r="D190" t="s">
        <v>550</v>
      </c>
      <c r="E190" t="s">
        <v>551</v>
      </c>
      <c r="F190" t="s">
        <v>55</v>
      </c>
      <c r="G190" t="s">
        <v>91</v>
      </c>
      <c r="H190" t="s">
        <v>109</v>
      </c>
      <c r="I190" t="s">
        <v>63</v>
      </c>
      <c r="J190" t="s">
        <v>64</v>
      </c>
      <c r="K190" t="s">
        <v>65</v>
      </c>
      <c r="L190">
        <v>3</v>
      </c>
      <c r="M190">
        <v>25000</v>
      </c>
      <c r="N190">
        <v>0</v>
      </c>
      <c r="O190">
        <v>75000</v>
      </c>
      <c r="P190">
        <v>8623.52</v>
      </c>
      <c r="Q190" t="s">
        <v>39</v>
      </c>
      <c r="R190" t="s">
        <v>56</v>
      </c>
      <c r="S190" t="s">
        <v>30</v>
      </c>
      <c r="T190">
        <f>YEAR(Table1_1[[#This Row],[order_date]])</f>
        <v>2024</v>
      </c>
      <c r="U190">
        <f>MONTH(Table1_1[[#This Row],[order_date]])</f>
        <v>9</v>
      </c>
      <c r="V190" t="str">
        <f>TEXT(Table1_1[[#This Row],[order_date]],"mmm")</f>
        <v>Sep</v>
      </c>
      <c r="W190" t="str">
        <f>"Q"&amp;ROUNDUP(MONTH(Table1_1[[#This Row],[order_date]])/3,0)</f>
        <v>Q3</v>
      </c>
      <c r="X190" t="str">
        <f>TEXT(Table1_1[[#This Row],[order_date]],"yyyy-mm")</f>
        <v>2024-09</v>
      </c>
      <c r="Y190">
        <f>IF(Table1_1[[#This Row],[ship_date]]="","",Table1_1[[#This Row],[ship_date]]-Table1_1[[#This Row],[order_date]])</f>
        <v>1</v>
      </c>
      <c r="Z190">
        <f>ROUND(Table1_1[[#This Row],[profit]]/Table1_1[[#This Row],[sales_fix]]*100,2)</f>
        <v>11.5</v>
      </c>
    </row>
    <row r="191" spans="1:26" x14ac:dyDescent="0.3">
      <c r="A191" t="s">
        <v>1505</v>
      </c>
      <c r="B191" s="1">
        <v>45400</v>
      </c>
      <c r="C191" s="1">
        <v>45404</v>
      </c>
      <c r="D191" t="s">
        <v>1506</v>
      </c>
      <c r="E191" t="s">
        <v>1507</v>
      </c>
      <c r="F191" t="s">
        <v>55</v>
      </c>
      <c r="G191" t="s">
        <v>61</v>
      </c>
      <c r="H191" t="s">
        <v>78</v>
      </c>
      <c r="I191" t="s">
        <v>134</v>
      </c>
      <c r="J191" t="s">
        <v>135</v>
      </c>
      <c r="K191" t="s">
        <v>27</v>
      </c>
      <c r="L191">
        <v>1</v>
      </c>
      <c r="M191">
        <v>6000</v>
      </c>
      <c r="N191">
        <v>0</v>
      </c>
      <c r="O191">
        <v>6000</v>
      </c>
      <c r="P191">
        <v>1135.8699999999999</v>
      </c>
      <c r="Q191" t="s">
        <v>28</v>
      </c>
      <c r="R191" t="s">
        <v>49</v>
      </c>
      <c r="S191" t="s">
        <v>30</v>
      </c>
      <c r="T191">
        <f>YEAR(Table1_1[[#This Row],[order_date]])</f>
        <v>2024</v>
      </c>
      <c r="U191">
        <f>MONTH(Table1_1[[#This Row],[order_date]])</f>
        <v>4</v>
      </c>
      <c r="V191" t="str">
        <f>TEXT(Table1_1[[#This Row],[order_date]],"mmm")</f>
        <v>Apr</v>
      </c>
      <c r="W191" t="str">
        <f>"Q"&amp;ROUNDUP(MONTH(Table1_1[[#This Row],[order_date]])/3,0)</f>
        <v>Q2</v>
      </c>
      <c r="X191" t="str">
        <f>TEXT(Table1_1[[#This Row],[order_date]],"yyyy-mm")</f>
        <v>2024-04</v>
      </c>
      <c r="Y191">
        <f>IF(Table1_1[[#This Row],[ship_date]]="","",Table1_1[[#This Row],[ship_date]]-Table1_1[[#This Row],[order_date]])</f>
        <v>4</v>
      </c>
      <c r="Z191">
        <f>ROUND(Table1_1[[#This Row],[profit]]/Table1_1[[#This Row],[sales_fix]]*100,2)</f>
        <v>18.93</v>
      </c>
    </row>
    <row r="192" spans="1:26" x14ac:dyDescent="0.3">
      <c r="A192" t="s">
        <v>2901</v>
      </c>
      <c r="B192" s="1">
        <v>45894</v>
      </c>
      <c r="C192" s="1"/>
      <c r="D192" t="s">
        <v>406</v>
      </c>
      <c r="E192" t="s">
        <v>407</v>
      </c>
      <c r="F192" t="s">
        <v>55</v>
      </c>
      <c r="G192" t="s">
        <v>91</v>
      </c>
      <c r="H192" t="s">
        <v>120</v>
      </c>
      <c r="I192" t="s">
        <v>126</v>
      </c>
      <c r="J192" t="s">
        <v>127</v>
      </c>
      <c r="K192" t="s">
        <v>95</v>
      </c>
      <c r="L192">
        <v>3</v>
      </c>
      <c r="M192">
        <v>600</v>
      </c>
      <c r="N192">
        <v>0</v>
      </c>
      <c r="O192">
        <v>1800</v>
      </c>
      <c r="P192">
        <v>573.17999999999995</v>
      </c>
      <c r="Q192" t="s">
        <v>28</v>
      </c>
      <c r="R192" t="s">
        <v>29</v>
      </c>
      <c r="S192" t="s">
        <v>110</v>
      </c>
      <c r="T192">
        <f>YEAR(Table1_1[[#This Row],[order_date]])</f>
        <v>2025</v>
      </c>
      <c r="U192">
        <f>MONTH(Table1_1[[#This Row],[order_date]])</f>
        <v>8</v>
      </c>
      <c r="V192" t="str">
        <f>TEXT(Table1_1[[#This Row],[order_date]],"mmm")</f>
        <v>Aug</v>
      </c>
      <c r="W192" t="str">
        <f>"Q"&amp;ROUNDUP(MONTH(Table1_1[[#This Row],[order_date]])/3,0)</f>
        <v>Q3</v>
      </c>
      <c r="X192" t="str">
        <f>TEXT(Table1_1[[#This Row],[order_date]],"yyyy-mm")</f>
        <v>2025-08</v>
      </c>
      <c r="Y192" t="str">
        <f>IF(Table1_1[[#This Row],[ship_date]]="","",Table1_1[[#This Row],[ship_date]]-Table1_1[[#This Row],[order_date]])</f>
        <v/>
      </c>
      <c r="Z192">
        <f>ROUND(Table1_1[[#This Row],[profit]]/Table1_1[[#This Row],[sales_fix]]*100,2)</f>
        <v>31.84</v>
      </c>
    </row>
    <row r="193" spans="1:26" x14ac:dyDescent="0.3">
      <c r="A193" t="s">
        <v>709</v>
      </c>
      <c r="B193" s="1">
        <v>45410</v>
      </c>
      <c r="C193" s="1">
        <v>45415</v>
      </c>
      <c r="D193" t="s">
        <v>520</v>
      </c>
      <c r="E193" t="s">
        <v>521</v>
      </c>
      <c r="F193" t="s">
        <v>23</v>
      </c>
      <c r="G193" t="s">
        <v>91</v>
      </c>
      <c r="H193" t="s">
        <v>109</v>
      </c>
      <c r="I193" t="s">
        <v>63</v>
      </c>
      <c r="J193" t="s">
        <v>64</v>
      </c>
      <c r="K193" t="s">
        <v>65</v>
      </c>
      <c r="L193">
        <v>4</v>
      </c>
      <c r="M193">
        <v>25000</v>
      </c>
      <c r="N193">
        <v>15</v>
      </c>
      <c r="O193">
        <v>85000</v>
      </c>
      <c r="P193">
        <v>9647.5400000000009</v>
      </c>
      <c r="Q193" t="s">
        <v>74</v>
      </c>
      <c r="R193" t="s">
        <v>49</v>
      </c>
      <c r="S193" t="s">
        <v>50</v>
      </c>
      <c r="T193">
        <f>YEAR(Table1_1[[#This Row],[order_date]])</f>
        <v>2024</v>
      </c>
      <c r="U193">
        <f>MONTH(Table1_1[[#This Row],[order_date]])</f>
        <v>4</v>
      </c>
      <c r="V193" t="str">
        <f>TEXT(Table1_1[[#This Row],[order_date]],"mmm")</f>
        <v>Apr</v>
      </c>
      <c r="W193" t="str">
        <f>"Q"&amp;ROUNDUP(MONTH(Table1_1[[#This Row],[order_date]])/3,0)</f>
        <v>Q2</v>
      </c>
      <c r="X193" t="str">
        <f>TEXT(Table1_1[[#This Row],[order_date]],"yyyy-mm")</f>
        <v>2024-04</v>
      </c>
      <c r="Y193">
        <f>IF(Table1_1[[#This Row],[ship_date]]="","",Table1_1[[#This Row],[ship_date]]-Table1_1[[#This Row],[order_date]])</f>
        <v>5</v>
      </c>
      <c r="Z193">
        <f>ROUND(Table1_1[[#This Row],[profit]]/Table1_1[[#This Row],[sales_fix]]*100,2)</f>
        <v>11.35</v>
      </c>
    </row>
    <row r="194" spans="1:26" x14ac:dyDescent="0.3">
      <c r="A194" t="s">
        <v>2575</v>
      </c>
      <c r="B194" s="1">
        <v>45648</v>
      </c>
      <c r="C194" s="1">
        <v>45650</v>
      </c>
      <c r="D194" t="s">
        <v>425</v>
      </c>
      <c r="E194" t="s">
        <v>426</v>
      </c>
      <c r="F194" t="s">
        <v>34</v>
      </c>
      <c r="G194" t="s">
        <v>61</v>
      </c>
      <c r="H194" t="s">
        <v>125</v>
      </c>
      <c r="I194" t="s">
        <v>147</v>
      </c>
      <c r="J194" t="s">
        <v>148</v>
      </c>
      <c r="K194" t="s">
        <v>48</v>
      </c>
      <c r="L194">
        <v>2</v>
      </c>
      <c r="M194">
        <v>250</v>
      </c>
      <c r="N194">
        <v>15</v>
      </c>
      <c r="O194">
        <v>425</v>
      </c>
      <c r="P194">
        <v>149.77000000000001</v>
      </c>
      <c r="Q194" t="s">
        <v>74</v>
      </c>
      <c r="R194" t="s">
        <v>29</v>
      </c>
      <c r="S194" t="s">
        <v>86</v>
      </c>
      <c r="T194">
        <f>YEAR(Table1_1[[#This Row],[order_date]])</f>
        <v>2024</v>
      </c>
      <c r="U194">
        <f>MONTH(Table1_1[[#This Row],[order_date]])</f>
        <v>12</v>
      </c>
      <c r="V194" t="str">
        <f>TEXT(Table1_1[[#This Row],[order_date]],"mmm")</f>
        <v>Dec</v>
      </c>
      <c r="W194" t="str">
        <f>"Q"&amp;ROUNDUP(MONTH(Table1_1[[#This Row],[order_date]])/3,0)</f>
        <v>Q4</v>
      </c>
      <c r="X194" t="str">
        <f>TEXT(Table1_1[[#This Row],[order_date]],"yyyy-mm")</f>
        <v>2024-12</v>
      </c>
      <c r="Y194">
        <f>IF(Table1_1[[#This Row],[ship_date]]="","",Table1_1[[#This Row],[ship_date]]-Table1_1[[#This Row],[order_date]])</f>
        <v>2</v>
      </c>
      <c r="Z194">
        <f>ROUND(Table1_1[[#This Row],[profit]]/Table1_1[[#This Row],[sales_fix]]*100,2)</f>
        <v>35.24</v>
      </c>
    </row>
    <row r="195" spans="1:26" x14ac:dyDescent="0.3">
      <c r="A195" t="s">
        <v>3081</v>
      </c>
      <c r="B195" s="1">
        <v>45955</v>
      </c>
      <c r="C195" s="1">
        <v>45958</v>
      </c>
      <c r="D195" t="s">
        <v>735</v>
      </c>
      <c r="E195" t="s">
        <v>736</v>
      </c>
      <c r="F195" t="s">
        <v>23</v>
      </c>
      <c r="G195" t="s">
        <v>44</v>
      </c>
      <c r="H195" t="s">
        <v>24</v>
      </c>
      <c r="I195" t="s">
        <v>37</v>
      </c>
      <c r="J195" t="s">
        <v>38</v>
      </c>
      <c r="K195" t="s">
        <v>27</v>
      </c>
      <c r="L195">
        <v>4</v>
      </c>
      <c r="M195">
        <v>9500</v>
      </c>
      <c r="N195">
        <v>15</v>
      </c>
      <c r="O195">
        <v>32300</v>
      </c>
      <c r="P195">
        <v>5152.2700000000004</v>
      </c>
      <c r="Q195" t="s">
        <v>39</v>
      </c>
      <c r="R195" t="s">
        <v>29</v>
      </c>
      <c r="S195" t="s">
        <v>110</v>
      </c>
      <c r="T195">
        <f>YEAR(Table1_1[[#This Row],[order_date]])</f>
        <v>2025</v>
      </c>
      <c r="U195">
        <f>MONTH(Table1_1[[#This Row],[order_date]])</f>
        <v>10</v>
      </c>
      <c r="V195" t="str">
        <f>TEXT(Table1_1[[#This Row],[order_date]],"mmm")</f>
        <v>Oct</v>
      </c>
      <c r="W195" t="str">
        <f>"Q"&amp;ROUNDUP(MONTH(Table1_1[[#This Row],[order_date]])/3,0)</f>
        <v>Q4</v>
      </c>
      <c r="X195" t="str">
        <f>TEXT(Table1_1[[#This Row],[order_date]],"yyyy-mm")</f>
        <v>2025-10</v>
      </c>
      <c r="Y195">
        <f>IF(Table1_1[[#This Row],[ship_date]]="","",Table1_1[[#This Row],[ship_date]]-Table1_1[[#This Row],[order_date]])</f>
        <v>3</v>
      </c>
      <c r="Z195">
        <f>ROUND(Table1_1[[#This Row],[profit]]/Table1_1[[#This Row],[sales_fix]]*100,2)</f>
        <v>15.95</v>
      </c>
    </row>
    <row r="196" spans="1:26" x14ac:dyDescent="0.3">
      <c r="A196" t="s">
        <v>479</v>
      </c>
      <c r="B196" s="1">
        <v>45765</v>
      </c>
      <c r="C196" s="1">
        <v>45768</v>
      </c>
      <c r="D196" t="s">
        <v>42</v>
      </c>
      <c r="E196" t="s">
        <v>43</v>
      </c>
      <c r="F196" t="s">
        <v>23</v>
      </c>
      <c r="G196" t="s">
        <v>44</v>
      </c>
      <c r="H196" t="s">
        <v>45</v>
      </c>
      <c r="I196" t="s">
        <v>134</v>
      </c>
      <c r="J196" t="s">
        <v>135</v>
      </c>
      <c r="K196" t="s">
        <v>27</v>
      </c>
      <c r="L196">
        <v>1</v>
      </c>
      <c r="M196">
        <v>6000</v>
      </c>
      <c r="N196">
        <v>5</v>
      </c>
      <c r="O196">
        <v>5700</v>
      </c>
      <c r="P196">
        <v>1302.2</v>
      </c>
      <c r="Q196" t="s">
        <v>156</v>
      </c>
      <c r="R196" t="s">
        <v>56</v>
      </c>
      <c r="S196" t="s">
        <v>30</v>
      </c>
      <c r="T196">
        <f>YEAR(Table1_1[[#This Row],[order_date]])</f>
        <v>2025</v>
      </c>
      <c r="U196">
        <f>MONTH(Table1_1[[#This Row],[order_date]])</f>
        <v>4</v>
      </c>
      <c r="V196" t="str">
        <f>TEXT(Table1_1[[#This Row],[order_date]],"mmm")</f>
        <v>Apr</v>
      </c>
      <c r="W196" t="str">
        <f>"Q"&amp;ROUNDUP(MONTH(Table1_1[[#This Row],[order_date]])/3,0)</f>
        <v>Q2</v>
      </c>
      <c r="X196" t="str">
        <f>TEXT(Table1_1[[#This Row],[order_date]],"yyyy-mm")</f>
        <v>2025-04</v>
      </c>
      <c r="Y196">
        <f>IF(Table1_1[[#This Row],[ship_date]]="","",Table1_1[[#This Row],[ship_date]]-Table1_1[[#This Row],[order_date]])</f>
        <v>3</v>
      </c>
      <c r="Z196">
        <f>ROUND(Table1_1[[#This Row],[profit]]/Table1_1[[#This Row],[sales_fix]]*100,2)</f>
        <v>22.85</v>
      </c>
    </row>
    <row r="197" spans="1:26" x14ac:dyDescent="0.3">
      <c r="A197" t="s">
        <v>2464</v>
      </c>
      <c r="B197" s="1">
        <v>45920</v>
      </c>
      <c r="C197" s="1">
        <v>45927</v>
      </c>
      <c r="D197" t="s">
        <v>813</v>
      </c>
      <c r="E197" t="s">
        <v>814</v>
      </c>
      <c r="F197" t="s">
        <v>34</v>
      </c>
      <c r="G197" t="s">
        <v>35</v>
      </c>
      <c r="H197" t="s">
        <v>187</v>
      </c>
      <c r="I197" t="s">
        <v>114</v>
      </c>
      <c r="J197" t="s">
        <v>115</v>
      </c>
      <c r="K197" t="s">
        <v>65</v>
      </c>
      <c r="L197">
        <v>4</v>
      </c>
      <c r="M197">
        <v>55000</v>
      </c>
      <c r="N197">
        <v>5</v>
      </c>
      <c r="O197">
        <v>209000</v>
      </c>
      <c r="P197">
        <v>35245.47</v>
      </c>
      <c r="Q197" t="s">
        <v>66</v>
      </c>
      <c r="R197" t="s">
        <v>56</v>
      </c>
      <c r="S197" t="s">
        <v>50</v>
      </c>
      <c r="T197">
        <f>YEAR(Table1_1[[#This Row],[order_date]])</f>
        <v>2025</v>
      </c>
      <c r="U197">
        <f>MONTH(Table1_1[[#This Row],[order_date]])</f>
        <v>9</v>
      </c>
      <c r="V197" t="str">
        <f>TEXT(Table1_1[[#This Row],[order_date]],"mmm")</f>
        <v>Sep</v>
      </c>
      <c r="W197" t="str">
        <f>"Q"&amp;ROUNDUP(MONTH(Table1_1[[#This Row],[order_date]])/3,0)</f>
        <v>Q3</v>
      </c>
      <c r="X197" t="str">
        <f>TEXT(Table1_1[[#This Row],[order_date]],"yyyy-mm")</f>
        <v>2025-09</v>
      </c>
      <c r="Y197">
        <f>IF(Table1_1[[#This Row],[ship_date]]="","",Table1_1[[#This Row],[ship_date]]-Table1_1[[#This Row],[order_date]])</f>
        <v>7</v>
      </c>
      <c r="Z197">
        <f>ROUND(Table1_1[[#This Row],[profit]]/Table1_1[[#This Row],[sales_fix]]*100,2)</f>
        <v>16.86</v>
      </c>
    </row>
    <row r="198" spans="1:26" x14ac:dyDescent="0.3">
      <c r="A198" t="s">
        <v>1544</v>
      </c>
      <c r="B198" s="1">
        <v>46012</v>
      </c>
      <c r="C198" s="1">
        <v>46015</v>
      </c>
      <c r="D198" t="s">
        <v>882</v>
      </c>
      <c r="E198" t="s">
        <v>1545</v>
      </c>
      <c r="F198" t="s">
        <v>55</v>
      </c>
      <c r="G198" t="s">
        <v>44</v>
      </c>
      <c r="H198" t="s">
        <v>24</v>
      </c>
      <c r="I198" t="s">
        <v>25</v>
      </c>
      <c r="J198" t="s">
        <v>26</v>
      </c>
      <c r="K198" t="s">
        <v>27</v>
      </c>
      <c r="L198">
        <v>1</v>
      </c>
      <c r="M198">
        <v>7000</v>
      </c>
      <c r="N198">
        <v>0</v>
      </c>
      <c r="O198">
        <v>7000</v>
      </c>
      <c r="P198">
        <v>1570.49</v>
      </c>
      <c r="Q198" t="s">
        <v>74</v>
      </c>
      <c r="R198" t="s">
        <v>49</v>
      </c>
      <c r="S198" t="s">
        <v>50</v>
      </c>
      <c r="T198">
        <f>YEAR(Table1_1[[#This Row],[order_date]])</f>
        <v>2025</v>
      </c>
      <c r="U198">
        <f>MONTH(Table1_1[[#This Row],[order_date]])</f>
        <v>12</v>
      </c>
      <c r="V198" t="str">
        <f>TEXT(Table1_1[[#This Row],[order_date]],"mmm")</f>
        <v>Dec</v>
      </c>
      <c r="W198" t="str">
        <f>"Q"&amp;ROUNDUP(MONTH(Table1_1[[#This Row],[order_date]])/3,0)</f>
        <v>Q4</v>
      </c>
      <c r="X198" t="str">
        <f>TEXT(Table1_1[[#This Row],[order_date]],"yyyy-mm")</f>
        <v>2025-12</v>
      </c>
      <c r="Y198">
        <f>IF(Table1_1[[#This Row],[ship_date]]="","",Table1_1[[#This Row],[ship_date]]-Table1_1[[#This Row],[order_date]])</f>
        <v>3</v>
      </c>
      <c r="Z198">
        <f>ROUND(Table1_1[[#This Row],[profit]]/Table1_1[[#This Row],[sales_fix]]*100,2)</f>
        <v>22.44</v>
      </c>
    </row>
    <row r="199" spans="1:26" x14ac:dyDescent="0.3">
      <c r="A199" t="s">
        <v>2193</v>
      </c>
      <c r="B199" s="1">
        <v>45560</v>
      </c>
      <c r="C199" s="1">
        <v>45566</v>
      </c>
      <c r="D199" t="s">
        <v>494</v>
      </c>
      <c r="E199" t="s">
        <v>495</v>
      </c>
      <c r="F199" t="s">
        <v>34</v>
      </c>
      <c r="G199" t="s">
        <v>35</v>
      </c>
      <c r="H199" t="s">
        <v>258</v>
      </c>
      <c r="I199" t="s">
        <v>63</v>
      </c>
      <c r="J199" t="s">
        <v>64</v>
      </c>
      <c r="K199" t="s">
        <v>65</v>
      </c>
      <c r="L199">
        <v>3</v>
      </c>
      <c r="M199">
        <v>25000</v>
      </c>
      <c r="N199">
        <v>5</v>
      </c>
      <c r="O199">
        <v>71250</v>
      </c>
      <c r="P199">
        <v>9737.23</v>
      </c>
      <c r="Q199" t="s">
        <v>39</v>
      </c>
      <c r="R199" t="s">
        <v>49</v>
      </c>
      <c r="S199" t="s">
        <v>40</v>
      </c>
      <c r="T199">
        <f>YEAR(Table1_1[[#This Row],[order_date]])</f>
        <v>2024</v>
      </c>
      <c r="U199">
        <f>MONTH(Table1_1[[#This Row],[order_date]])</f>
        <v>9</v>
      </c>
      <c r="V199" t="str">
        <f>TEXT(Table1_1[[#This Row],[order_date]],"mmm")</f>
        <v>Sep</v>
      </c>
      <c r="W199" t="str">
        <f>"Q"&amp;ROUNDUP(MONTH(Table1_1[[#This Row],[order_date]])/3,0)</f>
        <v>Q3</v>
      </c>
      <c r="X199" t="str">
        <f>TEXT(Table1_1[[#This Row],[order_date]],"yyyy-mm")</f>
        <v>2024-09</v>
      </c>
      <c r="Y199">
        <f>IF(Table1_1[[#This Row],[ship_date]]="","",Table1_1[[#This Row],[ship_date]]-Table1_1[[#This Row],[order_date]])</f>
        <v>6</v>
      </c>
      <c r="Z199">
        <f>ROUND(Table1_1[[#This Row],[profit]]/Table1_1[[#This Row],[sales_fix]]*100,2)</f>
        <v>13.67</v>
      </c>
    </row>
    <row r="200" spans="1:26" x14ac:dyDescent="0.3">
      <c r="A200" t="s">
        <v>2007</v>
      </c>
      <c r="B200" s="1">
        <v>45408</v>
      </c>
      <c r="C200" s="1">
        <v>45411</v>
      </c>
      <c r="D200" t="s">
        <v>674</v>
      </c>
      <c r="E200" t="s">
        <v>675</v>
      </c>
      <c r="F200" t="s">
        <v>55</v>
      </c>
      <c r="G200" t="s">
        <v>91</v>
      </c>
      <c r="H200" t="s">
        <v>109</v>
      </c>
      <c r="I200" t="s">
        <v>93</v>
      </c>
      <c r="J200" t="s">
        <v>94</v>
      </c>
      <c r="K200" t="s">
        <v>95</v>
      </c>
      <c r="L200">
        <v>1</v>
      </c>
      <c r="M200">
        <v>1800</v>
      </c>
      <c r="N200">
        <v>20</v>
      </c>
      <c r="O200">
        <v>1440</v>
      </c>
      <c r="P200">
        <v>445.1</v>
      </c>
      <c r="Q200" t="s">
        <v>156</v>
      </c>
      <c r="R200" t="s">
        <v>56</v>
      </c>
      <c r="S200" t="s">
        <v>110</v>
      </c>
      <c r="T200">
        <f>YEAR(Table1_1[[#This Row],[order_date]])</f>
        <v>2024</v>
      </c>
      <c r="U200">
        <f>MONTH(Table1_1[[#This Row],[order_date]])</f>
        <v>4</v>
      </c>
      <c r="V200" t="str">
        <f>TEXT(Table1_1[[#This Row],[order_date]],"mmm")</f>
        <v>Apr</v>
      </c>
      <c r="W200" t="str">
        <f>"Q"&amp;ROUNDUP(MONTH(Table1_1[[#This Row],[order_date]])/3,0)</f>
        <v>Q2</v>
      </c>
      <c r="X200" t="str">
        <f>TEXT(Table1_1[[#This Row],[order_date]],"yyyy-mm")</f>
        <v>2024-04</v>
      </c>
      <c r="Y200">
        <f>IF(Table1_1[[#This Row],[ship_date]]="","",Table1_1[[#This Row],[ship_date]]-Table1_1[[#This Row],[order_date]])</f>
        <v>3</v>
      </c>
      <c r="Z200">
        <f>ROUND(Table1_1[[#This Row],[profit]]/Table1_1[[#This Row],[sales_fix]]*100,2)</f>
        <v>30.91</v>
      </c>
    </row>
    <row r="201" spans="1:26" x14ac:dyDescent="0.3">
      <c r="A201" t="s">
        <v>1739</v>
      </c>
      <c r="B201" s="1">
        <v>45429</v>
      </c>
      <c r="C201" s="1">
        <v>45432</v>
      </c>
      <c r="D201" t="s">
        <v>550</v>
      </c>
      <c r="E201" t="s">
        <v>551</v>
      </c>
      <c r="F201" t="s">
        <v>55</v>
      </c>
      <c r="G201" t="s">
        <v>91</v>
      </c>
      <c r="H201" t="s">
        <v>109</v>
      </c>
      <c r="I201" t="s">
        <v>126</v>
      </c>
      <c r="J201" t="s">
        <v>127</v>
      </c>
      <c r="K201" t="s">
        <v>95</v>
      </c>
      <c r="L201">
        <v>1</v>
      </c>
      <c r="M201">
        <v>600</v>
      </c>
      <c r="N201">
        <v>0</v>
      </c>
      <c r="O201">
        <v>600</v>
      </c>
      <c r="P201">
        <v>187.45</v>
      </c>
      <c r="Q201" t="s">
        <v>74</v>
      </c>
      <c r="R201" t="s">
        <v>56</v>
      </c>
      <c r="S201" t="s">
        <v>50</v>
      </c>
      <c r="T201">
        <f>YEAR(Table1_1[[#This Row],[order_date]])</f>
        <v>2024</v>
      </c>
      <c r="U201">
        <f>MONTH(Table1_1[[#This Row],[order_date]])</f>
        <v>5</v>
      </c>
      <c r="V201" t="str">
        <f>TEXT(Table1_1[[#This Row],[order_date]],"mmm")</f>
        <v>May</v>
      </c>
      <c r="W201" t="str">
        <f>"Q"&amp;ROUNDUP(MONTH(Table1_1[[#This Row],[order_date]])/3,0)</f>
        <v>Q2</v>
      </c>
      <c r="X201" t="str">
        <f>TEXT(Table1_1[[#This Row],[order_date]],"yyyy-mm")</f>
        <v>2024-05</v>
      </c>
      <c r="Y201">
        <f>IF(Table1_1[[#This Row],[ship_date]]="","",Table1_1[[#This Row],[ship_date]]-Table1_1[[#This Row],[order_date]])</f>
        <v>3</v>
      </c>
      <c r="Z201">
        <f>ROUND(Table1_1[[#This Row],[profit]]/Table1_1[[#This Row],[sales_fix]]*100,2)</f>
        <v>31.24</v>
      </c>
    </row>
    <row r="202" spans="1:26" x14ac:dyDescent="0.3">
      <c r="A202" t="s">
        <v>2277</v>
      </c>
      <c r="B202" s="1">
        <v>45720</v>
      </c>
      <c r="C202" s="1">
        <v>45723</v>
      </c>
      <c r="D202" t="s">
        <v>798</v>
      </c>
      <c r="E202" t="s">
        <v>799</v>
      </c>
      <c r="F202" t="s">
        <v>23</v>
      </c>
      <c r="G202" t="s">
        <v>44</v>
      </c>
      <c r="H202" t="s">
        <v>330</v>
      </c>
      <c r="I202" t="s">
        <v>134</v>
      </c>
      <c r="J202" t="s">
        <v>135</v>
      </c>
      <c r="K202" t="s">
        <v>27</v>
      </c>
      <c r="L202">
        <v>2</v>
      </c>
      <c r="M202">
        <v>6000</v>
      </c>
      <c r="N202">
        <v>10</v>
      </c>
      <c r="O202">
        <v>10800</v>
      </c>
      <c r="P202">
        <v>2212.23</v>
      </c>
      <c r="Q202" t="s">
        <v>28</v>
      </c>
      <c r="R202" t="s">
        <v>56</v>
      </c>
      <c r="S202" t="s">
        <v>40</v>
      </c>
      <c r="T202">
        <f>YEAR(Table1_1[[#This Row],[order_date]])</f>
        <v>2025</v>
      </c>
      <c r="U202">
        <f>MONTH(Table1_1[[#This Row],[order_date]])</f>
        <v>3</v>
      </c>
      <c r="V202" t="str">
        <f>TEXT(Table1_1[[#This Row],[order_date]],"mmm")</f>
        <v>Mar</v>
      </c>
      <c r="W202" t="str">
        <f>"Q"&amp;ROUNDUP(MONTH(Table1_1[[#This Row],[order_date]])/3,0)</f>
        <v>Q1</v>
      </c>
      <c r="X202" t="str">
        <f>TEXT(Table1_1[[#This Row],[order_date]],"yyyy-mm")</f>
        <v>2025-03</v>
      </c>
      <c r="Y202">
        <f>IF(Table1_1[[#This Row],[ship_date]]="","",Table1_1[[#This Row],[ship_date]]-Table1_1[[#This Row],[order_date]])</f>
        <v>3</v>
      </c>
      <c r="Z202">
        <f>ROUND(Table1_1[[#This Row],[profit]]/Table1_1[[#This Row],[sales_fix]]*100,2)</f>
        <v>20.48</v>
      </c>
    </row>
    <row r="203" spans="1:26" x14ac:dyDescent="0.3">
      <c r="A203" t="s">
        <v>3050</v>
      </c>
      <c r="B203" s="1">
        <v>45462</v>
      </c>
      <c r="C203" s="1">
        <v>45470</v>
      </c>
      <c r="D203" t="s">
        <v>450</v>
      </c>
      <c r="E203" t="s">
        <v>451</v>
      </c>
      <c r="F203" t="s">
        <v>55</v>
      </c>
      <c r="G203" t="s">
        <v>61</v>
      </c>
      <c r="H203" t="s">
        <v>62</v>
      </c>
      <c r="I203" t="s">
        <v>46</v>
      </c>
      <c r="J203" t="s">
        <v>47</v>
      </c>
      <c r="K203" t="s">
        <v>48</v>
      </c>
      <c r="L203">
        <v>2</v>
      </c>
      <c r="M203">
        <v>180</v>
      </c>
      <c r="N203">
        <v>0</v>
      </c>
      <c r="O203">
        <v>360</v>
      </c>
      <c r="P203">
        <v>125.52</v>
      </c>
      <c r="Q203" t="s">
        <v>39</v>
      </c>
      <c r="R203" t="s">
        <v>29</v>
      </c>
      <c r="S203" t="s">
        <v>110</v>
      </c>
      <c r="T203">
        <f>YEAR(Table1_1[[#This Row],[order_date]])</f>
        <v>2024</v>
      </c>
      <c r="U203">
        <f>MONTH(Table1_1[[#This Row],[order_date]])</f>
        <v>6</v>
      </c>
      <c r="V203" t="str">
        <f>TEXT(Table1_1[[#This Row],[order_date]],"mmm")</f>
        <v>Jun</v>
      </c>
      <c r="W203" t="str">
        <f>"Q"&amp;ROUNDUP(MONTH(Table1_1[[#This Row],[order_date]])/3,0)</f>
        <v>Q2</v>
      </c>
      <c r="X203" t="str">
        <f>TEXT(Table1_1[[#This Row],[order_date]],"yyyy-mm")</f>
        <v>2024-06</v>
      </c>
      <c r="Y203">
        <f>IF(Table1_1[[#This Row],[ship_date]]="","",Table1_1[[#This Row],[ship_date]]-Table1_1[[#This Row],[order_date]])</f>
        <v>8</v>
      </c>
      <c r="Z203">
        <f>ROUND(Table1_1[[#This Row],[profit]]/Table1_1[[#This Row],[sales_fix]]*100,2)</f>
        <v>34.869999999999997</v>
      </c>
    </row>
    <row r="204" spans="1:26" x14ac:dyDescent="0.3">
      <c r="A204" t="s">
        <v>505</v>
      </c>
      <c r="B204" s="1">
        <v>45431</v>
      </c>
      <c r="C204" s="1">
        <v>45439</v>
      </c>
      <c r="D204" t="s">
        <v>400</v>
      </c>
      <c r="E204" t="s">
        <v>401</v>
      </c>
      <c r="F204" t="s">
        <v>34</v>
      </c>
      <c r="G204" t="s">
        <v>44</v>
      </c>
      <c r="H204" t="s">
        <v>24</v>
      </c>
      <c r="I204" t="s">
        <v>147</v>
      </c>
      <c r="J204" t="s">
        <v>148</v>
      </c>
      <c r="K204" t="s">
        <v>48</v>
      </c>
      <c r="L204">
        <v>1</v>
      </c>
      <c r="M204">
        <v>250</v>
      </c>
      <c r="N204">
        <v>5</v>
      </c>
      <c r="O204">
        <v>237.5</v>
      </c>
      <c r="P204">
        <v>103.13</v>
      </c>
      <c r="Q204" t="s">
        <v>28</v>
      </c>
      <c r="R204" t="s">
        <v>56</v>
      </c>
      <c r="S204" t="s">
        <v>30</v>
      </c>
      <c r="T204">
        <f>YEAR(Table1_1[[#This Row],[order_date]])</f>
        <v>2024</v>
      </c>
      <c r="U204">
        <f>MONTH(Table1_1[[#This Row],[order_date]])</f>
        <v>5</v>
      </c>
      <c r="V204" t="str">
        <f>TEXT(Table1_1[[#This Row],[order_date]],"mmm")</f>
        <v>May</v>
      </c>
      <c r="W204" t="str">
        <f>"Q"&amp;ROUNDUP(MONTH(Table1_1[[#This Row],[order_date]])/3,0)</f>
        <v>Q2</v>
      </c>
      <c r="X204" t="str">
        <f>TEXT(Table1_1[[#This Row],[order_date]],"yyyy-mm")</f>
        <v>2024-05</v>
      </c>
      <c r="Y204">
        <f>IF(Table1_1[[#This Row],[ship_date]]="","",Table1_1[[#This Row],[ship_date]]-Table1_1[[#This Row],[order_date]])</f>
        <v>8</v>
      </c>
      <c r="Z204">
        <f>ROUND(Table1_1[[#This Row],[profit]]/Table1_1[[#This Row],[sales_fix]]*100,2)</f>
        <v>43.42</v>
      </c>
    </row>
    <row r="205" spans="1:26" x14ac:dyDescent="0.3">
      <c r="A205" t="s">
        <v>519</v>
      </c>
      <c r="B205" s="1">
        <v>45746</v>
      </c>
      <c r="C205" s="1">
        <v>45750</v>
      </c>
      <c r="D205" t="s">
        <v>520</v>
      </c>
      <c r="E205" t="s">
        <v>521</v>
      </c>
      <c r="F205" t="s">
        <v>23</v>
      </c>
      <c r="G205" t="s">
        <v>91</v>
      </c>
      <c r="H205" t="s">
        <v>109</v>
      </c>
      <c r="I205" t="s">
        <v>71</v>
      </c>
      <c r="J205" t="s">
        <v>72</v>
      </c>
      <c r="K205" t="s">
        <v>73</v>
      </c>
      <c r="L205">
        <v>2</v>
      </c>
      <c r="M205">
        <v>3500</v>
      </c>
      <c r="N205">
        <v>0</v>
      </c>
      <c r="O205">
        <v>7000</v>
      </c>
      <c r="P205">
        <v>2074.6</v>
      </c>
      <c r="Q205" t="s">
        <v>74</v>
      </c>
      <c r="R205" t="s">
        <v>29</v>
      </c>
      <c r="S205" t="s">
        <v>110</v>
      </c>
      <c r="T205">
        <f>YEAR(Table1_1[[#This Row],[order_date]])</f>
        <v>2025</v>
      </c>
      <c r="U205">
        <f>MONTH(Table1_1[[#This Row],[order_date]])</f>
        <v>3</v>
      </c>
      <c r="V205" t="str">
        <f>TEXT(Table1_1[[#This Row],[order_date]],"mmm")</f>
        <v>Mar</v>
      </c>
      <c r="W205" t="str">
        <f>"Q"&amp;ROUNDUP(MONTH(Table1_1[[#This Row],[order_date]])/3,0)</f>
        <v>Q1</v>
      </c>
      <c r="X205" t="str">
        <f>TEXT(Table1_1[[#This Row],[order_date]],"yyyy-mm")</f>
        <v>2025-03</v>
      </c>
      <c r="Y205">
        <f>IF(Table1_1[[#This Row],[ship_date]]="","",Table1_1[[#This Row],[ship_date]]-Table1_1[[#This Row],[order_date]])</f>
        <v>4</v>
      </c>
      <c r="Z205">
        <f>ROUND(Table1_1[[#This Row],[profit]]/Table1_1[[#This Row],[sales_fix]]*100,2)</f>
        <v>29.64</v>
      </c>
    </row>
    <row r="206" spans="1:26" x14ac:dyDescent="0.3">
      <c r="A206" t="s">
        <v>2396</v>
      </c>
      <c r="B206" s="1">
        <v>45587</v>
      </c>
      <c r="C206" s="1">
        <v>45595</v>
      </c>
      <c r="D206" t="s">
        <v>588</v>
      </c>
      <c r="E206" t="s">
        <v>589</v>
      </c>
      <c r="F206" t="s">
        <v>23</v>
      </c>
      <c r="G206" t="s">
        <v>61</v>
      </c>
      <c r="H206" t="s">
        <v>62</v>
      </c>
      <c r="I206" t="s">
        <v>46</v>
      </c>
      <c r="J206" t="s">
        <v>47</v>
      </c>
      <c r="K206" t="s">
        <v>48</v>
      </c>
      <c r="L206">
        <v>2</v>
      </c>
      <c r="M206">
        <v>180</v>
      </c>
      <c r="N206">
        <v>15</v>
      </c>
      <c r="O206">
        <v>306</v>
      </c>
      <c r="P206">
        <v>138.94</v>
      </c>
      <c r="Q206" t="s">
        <v>39</v>
      </c>
      <c r="R206" t="s">
        <v>56</v>
      </c>
      <c r="S206" t="s">
        <v>86</v>
      </c>
      <c r="T206">
        <f>YEAR(Table1_1[[#This Row],[order_date]])</f>
        <v>2024</v>
      </c>
      <c r="U206">
        <f>MONTH(Table1_1[[#This Row],[order_date]])</f>
        <v>10</v>
      </c>
      <c r="V206" t="str">
        <f>TEXT(Table1_1[[#This Row],[order_date]],"mmm")</f>
        <v>Oct</v>
      </c>
      <c r="W206" t="str">
        <f>"Q"&amp;ROUNDUP(MONTH(Table1_1[[#This Row],[order_date]])/3,0)</f>
        <v>Q4</v>
      </c>
      <c r="X206" t="str">
        <f>TEXT(Table1_1[[#This Row],[order_date]],"yyyy-mm")</f>
        <v>2024-10</v>
      </c>
      <c r="Y206">
        <f>IF(Table1_1[[#This Row],[ship_date]]="","",Table1_1[[#This Row],[ship_date]]-Table1_1[[#This Row],[order_date]])</f>
        <v>8</v>
      </c>
      <c r="Z206">
        <f>ROUND(Table1_1[[#This Row],[profit]]/Table1_1[[#This Row],[sales_fix]]*100,2)</f>
        <v>45.41</v>
      </c>
    </row>
    <row r="207" spans="1:26" x14ac:dyDescent="0.3">
      <c r="A207" t="s">
        <v>2552</v>
      </c>
      <c r="B207" s="1">
        <v>45566</v>
      </c>
      <c r="C207" s="1">
        <v>45567</v>
      </c>
      <c r="D207" t="s">
        <v>2104</v>
      </c>
      <c r="E207" t="s">
        <v>2105</v>
      </c>
      <c r="F207" t="s">
        <v>34</v>
      </c>
      <c r="G207" t="s">
        <v>91</v>
      </c>
      <c r="H207" t="s">
        <v>92</v>
      </c>
      <c r="I207" t="s">
        <v>63</v>
      </c>
      <c r="J207" t="s">
        <v>64</v>
      </c>
      <c r="K207" t="s">
        <v>65</v>
      </c>
      <c r="L207">
        <v>4</v>
      </c>
      <c r="M207">
        <v>25000</v>
      </c>
      <c r="N207">
        <v>0</v>
      </c>
      <c r="O207">
        <v>100000</v>
      </c>
      <c r="P207">
        <v>13752.26</v>
      </c>
      <c r="Q207" t="s">
        <v>156</v>
      </c>
      <c r="R207" t="s">
        <v>49</v>
      </c>
      <c r="S207" t="s">
        <v>40</v>
      </c>
      <c r="T207">
        <f>YEAR(Table1_1[[#This Row],[order_date]])</f>
        <v>2024</v>
      </c>
      <c r="U207">
        <f>MONTH(Table1_1[[#This Row],[order_date]])</f>
        <v>10</v>
      </c>
      <c r="V207" t="str">
        <f>TEXT(Table1_1[[#This Row],[order_date]],"mmm")</f>
        <v>Oct</v>
      </c>
      <c r="W207" t="str">
        <f>"Q"&amp;ROUNDUP(MONTH(Table1_1[[#This Row],[order_date]])/3,0)</f>
        <v>Q4</v>
      </c>
      <c r="X207" t="str">
        <f>TEXT(Table1_1[[#This Row],[order_date]],"yyyy-mm")</f>
        <v>2024-10</v>
      </c>
      <c r="Y207">
        <f>IF(Table1_1[[#This Row],[ship_date]]="","",Table1_1[[#This Row],[ship_date]]-Table1_1[[#This Row],[order_date]])</f>
        <v>1</v>
      </c>
      <c r="Z207">
        <f>ROUND(Table1_1[[#This Row],[profit]]/Table1_1[[#This Row],[sales_fix]]*100,2)</f>
        <v>13.75</v>
      </c>
    </row>
    <row r="208" spans="1:26" x14ac:dyDescent="0.3">
      <c r="A208" t="s">
        <v>1336</v>
      </c>
      <c r="B208" s="1">
        <v>45396</v>
      </c>
      <c r="C208" s="1">
        <v>45401</v>
      </c>
      <c r="D208" t="s">
        <v>343</v>
      </c>
      <c r="E208" t="s">
        <v>369</v>
      </c>
      <c r="F208" t="s">
        <v>34</v>
      </c>
      <c r="G208" t="s">
        <v>44</v>
      </c>
      <c r="H208" t="s">
        <v>45</v>
      </c>
      <c r="I208" t="s">
        <v>134</v>
      </c>
      <c r="J208" t="s">
        <v>135</v>
      </c>
      <c r="K208" t="s">
        <v>27</v>
      </c>
      <c r="L208">
        <v>3</v>
      </c>
      <c r="M208">
        <v>6000</v>
      </c>
      <c r="N208">
        <v>15</v>
      </c>
      <c r="O208">
        <v>15300</v>
      </c>
      <c r="P208">
        <v>3673.98</v>
      </c>
      <c r="Q208" t="s">
        <v>66</v>
      </c>
      <c r="R208" t="s">
        <v>49</v>
      </c>
      <c r="S208" t="s">
        <v>110</v>
      </c>
      <c r="T208">
        <f>YEAR(Table1_1[[#This Row],[order_date]])</f>
        <v>2024</v>
      </c>
      <c r="U208">
        <f>MONTH(Table1_1[[#This Row],[order_date]])</f>
        <v>4</v>
      </c>
      <c r="V208" t="str">
        <f>TEXT(Table1_1[[#This Row],[order_date]],"mmm")</f>
        <v>Apr</v>
      </c>
      <c r="W208" t="str">
        <f>"Q"&amp;ROUNDUP(MONTH(Table1_1[[#This Row],[order_date]])/3,0)</f>
        <v>Q2</v>
      </c>
      <c r="X208" t="str">
        <f>TEXT(Table1_1[[#This Row],[order_date]],"yyyy-mm")</f>
        <v>2024-04</v>
      </c>
      <c r="Y208">
        <f>IF(Table1_1[[#This Row],[ship_date]]="","",Table1_1[[#This Row],[ship_date]]-Table1_1[[#This Row],[order_date]])</f>
        <v>5</v>
      </c>
      <c r="Z208">
        <f>ROUND(Table1_1[[#This Row],[profit]]/Table1_1[[#This Row],[sales_fix]]*100,2)</f>
        <v>24.01</v>
      </c>
    </row>
    <row r="209" spans="1:26" x14ac:dyDescent="0.3">
      <c r="A209" t="s">
        <v>2450</v>
      </c>
      <c r="B209" s="1">
        <v>45741</v>
      </c>
      <c r="C209" s="1">
        <v>45745</v>
      </c>
      <c r="D209" t="s">
        <v>2451</v>
      </c>
      <c r="E209" t="s">
        <v>2452</v>
      </c>
      <c r="F209" t="s">
        <v>34</v>
      </c>
      <c r="G209" t="s">
        <v>91</v>
      </c>
      <c r="H209" t="s">
        <v>92</v>
      </c>
      <c r="I209" t="s">
        <v>63</v>
      </c>
      <c r="J209" t="s">
        <v>64</v>
      </c>
      <c r="K209" t="s">
        <v>65</v>
      </c>
      <c r="L209">
        <v>4</v>
      </c>
      <c r="M209">
        <v>25000</v>
      </c>
      <c r="N209">
        <v>0</v>
      </c>
      <c r="O209">
        <v>100000</v>
      </c>
      <c r="P209">
        <v>15153.79</v>
      </c>
      <c r="Q209" t="s">
        <v>121</v>
      </c>
      <c r="R209" t="s">
        <v>56</v>
      </c>
      <c r="S209" t="s">
        <v>40</v>
      </c>
      <c r="T209">
        <f>YEAR(Table1_1[[#This Row],[order_date]])</f>
        <v>2025</v>
      </c>
      <c r="U209">
        <f>MONTH(Table1_1[[#This Row],[order_date]])</f>
        <v>3</v>
      </c>
      <c r="V209" t="str">
        <f>TEXT(Table1_1[[#This Row],[order_date]],"mmm")</f>
        <v>Mar</v>
      </c>
      <c r="W209" t="str">
        <f>"Q"&amp;ROUNDUP(MONTH(Table1_1[[#This Row],[order_date]])/3,0)</f>
        <v>Q1</v>
      </c>
      <c r="X209" t="str">
        <f>TEXT(Table1_1[[#This Row],[order_date]],"yyyy-mm")</f>
        <v>2025-03</v>
      </c>
      <c r="Y209">
        <f>IF(Table1_1[[#This Row],[ship_date]]="","",Table1_1[[#This Row],[ship_date]]-Table1_1[[#This Row],[order_date]])</f>
        <v>4</v>
      </c>
      <c r="Z209">
        <f>ROUND(Table1_1[[#This Row],[profit]]/Table1_1[[#This Row],[sales_fix]]*100,2)</f>
        <v>15.15</v>
      </c>
    </row>
    <row r="210" spans="1:26" x14ac:dyDescent="0.3">
      <c r="A210" t="s">
        <v>2852</v>
      </c>
      <c r="B210" s="1">
        <v>45916</v>
      </c>
      <c r="C210" s="1">
        <v>45920</v>
      </c>
      <c r="D210" t="s">
        <v>409</v>
      </c>
      <c r="E210" t="s">
        <v>410</v>
      </c>
      <c r="F210" t="s">
        <v>23</v>
      </c>
      <c r="G210" t="s">
        <v>61</v>
      </c>
      <c r="H210" t="s">
        <v>125</v>
      </c>
      <c r="I210" t="s">
        <v>71</v>
      </c>
      <c r="J210" t="s">
        <v>72</v>
      </c>
      <c r="K210" t="s">
        <v>73</v>
      </c>
      <c r="L210">
        <v>2</v>
      </c>
      <c r="M210">
        <v>3500</v>
      </c>
      <c r="N210">
        <v>0</v>
      </c>
      <c r="O210">
        <v>7000</v>
      </c>
      <c r="P210">
        <v>2120.0700000000002</v>
      </c>
      <c r="Q210" t="s">
        <v>121</v>
      </c>
      <c r="R210" t="s">
        <v>29</v>
      </c>
      <c r="S210" t="s">
        <v>40</v>
      </c>
      <c r="T210">
        <f>YEAR(Table1_1[[#This Row],[order_date]])</f>
        <v>2025</v>
      </c>
      <c r="U210">
        <f>MONTH(Table1_1[[#This Row],[order_date]])</f>
        <v>9</v>
      </c>
      <c r="V210" t="str">
        <f>TEXT(Table1_1[[#This Row],[order_date]],"mmm")</f>
        <v>Sep</v>
      </c>
      <c r="W210" t="str">
        <f>"Q"&amp;ROUNDUP(MONTH(Table1_1[[#This Row],[order_date]])/3,0)</f>
        <v>Q3</v>
      </c>
      <c r="X210" t="str">
        <f>TEXT(Table1_1[[#This Row],[order_date]],"yyyy-mm")</f>
        <v>2025-09</v>
      </c>
      <c r="Y210">
        <f>IF(Table1_1[[#This Row],[ship_date]]="","",Table1_1[[#This Row],[ship_date]]-Table1_1[[#This Row],[order_date]])</f>
        <v>4</v>
      </c>
      <c r="Z210">
        <f>ROUND(Table1_1[[#This Row],[profit]]/Table1_1[[#This Row],[sales_fix]]*100,2)</f>
        <v>30.29</v>
      </c>
    </row>
    <row r="211" spans="1:26" x14ac:dyDescent="0.3">
      <c r="A211" t="s">
        <v>2003</v>
      </c>
      <c r="B211" s="1">
        <v>45579</v>
      </c>
      <c r="C211" s="1">
        <v>45584</v>
      </c>
      <c r="D211" t="s">
        <v>409</v>
      </c>
      <c r="E211" t="s">
        <v>410</v>
      </c>
      <c r="F211" t="s">
        <v>23</v>
      </c>
      <c r="G211" t="s">
        <v>61</v>
      </c>
      <c r="H211" t="s">
        <v>125</v>
      </c>
      <c r="I211" t="s">
        <v>46</v>
      </c>
      <c r="J211" t="s">
        <v>47</v>
      </c>
      <c r="K211" t="s">
        <v>48</v>
      </c>
      <c r="L211">
        <v>1</v>
      </c>
      <c r="M211">
        <v>180</v>
      </c>
      <c r="N211">
        <v>15</v>
      </c>
      <c r="O211">
        <v>153</v>
      </c>
      <c r="P211">
        <v>56.25</v>
      </c>
      <c r="Q211" t="s">
        <v>39</v>
      </c>
      <c r="R211" t="s">
        <v>56</v>
      </c>
      <c r="S211" t="s">
        <v>86</v>
      </c>
      <c r="T211">
        <f>YEAR(Table1_1[[#This Row],[order_date]])</f>
        <v>2024</v>
      </c>
      <c r="U211">
        <f>MONTH(Table1_1[[#This Row],[order_date]])</f>
        <v>10</v>
      </c>
      <c r="V211" t="str">
        <f>TEXT(Table1_1[[#This Row],[order_date]],"mmm")</f>
        <v>Oct</v>
      </c>
      <c r="W211" t="str">
        <f>"Q"&amp;ROUNDUP(MONTH(Table1_1[[#This Row],[order_date]])/3,0)</f>
        <v>Q4</v>
      </c>
      <c r="X211" t="str">
        <f>TEXT(Table1_1[[#This Row],[order_date]],"yyyy-mm")</f>
        <v>2024-10</v>
      </c>
      <c r="Y211">
        <f>IF(Table1_1[[#This Row],[ship_date]]="","",Table1_1[[#This Row],[ship_date]]-Table1_1[[#This Row],[order_date]])</f>
        <v>5</v>
      </c>
      <c r="Z211">
        <f>ROUND(Table1_1[[#This Row],[profit]]/Table1_1[[#This Row],[sales_fix]]*100,2)</f>
        <v>36.76</v>
      </c>
    </row>
    <row r="212" spans="1:26" x14ac:dyDescent="0.3">
      <c r="A212" t="s">
        <v>970</v>
      </c>
      <c r="B212" s="1">
        <v>45352</v>
      </c>
      <c r="C212" s="1">
        <v>45355</v>
      </c>
      <c r="D212" t="s">
        <v>189</v>
      </c>
      <c r="E212" t="s">
        <v>190</v>
      </c>
      <c r="F212" t="s">
        <v>23</v>
      </c>
      <c r="G212" t="s">
        <v>91</v>
      </c>
      <c r="H212" t="s">
        <v>120</v>
      </c>
      <c r="I212" t="s">
        <v>134</v>
      </c>
      <c r="J212" t="s">
        <v>135</v>
      </c>
      <c r="K212" t="s">
        <v>27</v>
      </c>
      <c r="L212">
        <v>10</v>
      </c>
      <c r="M212">
        <v>6000</v>
      </c>
      <c r="N212">
        <v>20</v>
      </c>
      <c r="O212">
        <v>48000</v>
      </c>
      <c r="P212">
        <v>11086.37</v>
      </c>
      <c r="Q212" t="s">
        <v>121</v>
      </c>
      <c r="R212" t="s">
        <v>29</v>
      </c>
      <c r="S212" t="s">
        <v>110</v>
      </c>
      <c r="T212">
        <f>YEAR(Table1_1[[#This Row],[order_date]])</f>
        <v>2024</v>
      </c>
      <c r="U212">
        <f>MONTH(Table1_1[[#This Row],[order_date]])</f>
        <v>3</v>
      </c>
      <c r="V212" t="str">
        <f>TEXT(Table1_1[[#This Row],[order_date]],"mmm")</f>
        <v>Mar</v>
      </c>
      <c r="W212" t="str">
        <f>"Q"&amp;ROUNDUP(MONTH(Table1_1[[#This Row],[order_date]])/3,0)</f>
        <v>Q1</v>
      </c>
      <c r="X212" t="str">
        <f>TEXT(Table1_1[[#This Row],[order_date]],"yyyy-mm")</f>
        <v>2024-03</v>
      </c>
      <c r="Y212">
        <f>IF(Table1_1[[#This Row],[ship_date]]="","",Table1_1[[#This Row],[ship_date]]-Table1_1[[#This Row],[order_date]])</f>
        <v>3</v>
      </c>
      <c r="Z212">
        <f>ROUND(Table1_1[[#This Row],[profit]]/Table1_1[[#This Row],[sales_fix]]*100,2)</f>
        <v>23.1</v>
      </c>
    </row>
    <row r="213" spans="1:26" x14ac:dyDescent="0.3">
      <c r="A213" t="s">
        <v>1549</v>
      </c>
      <c r="B213" s="1">
        <v>45694</v>
      </c>
      <c r="C213" s="1">
        <v>45701</v>
      </c>
      <c r="D213" t="s">
        <v>1343</v>
      </c>
      <c r="E213" t="s">
        <v>1344</v>
      </c>
      <c r="F213" t="s">
        <v>34</v>
      </c>
      <c r="G213" t="s">
        <v>91</v>
      </c>
      <c r="H213" t="s">
        <v>177</v>
      </c>
      <c r="I213" t="s">
        <v>126</v>
      </c>
      <c r="J213" t="s">
        <v>127</v>
      </c>
      <c r="K213" t="s">
        <v>95</v>
      </c>
      <c r="L213">
        <v>2</v>
      </c>
      <c r="M213">
        <v>600</v>
      </c>
      <c r="N213">
        <v>10</v>
      </c>
      <c r="O213">
        <v>1080</v>
      </c>
      <c r="P213">
        <v>391.1</v>
      </c>
      <c r="Q213" t="s">
        <v>28</v>
      </c>
      <c r="R213" t="s">
        <v>49</v>
      </c>
      <c r="S213" t="s">
        <v>86</v>
      </c>
      <c r="T213">
        <f>YEAR(Table1_1[[#This Row],[order_date]])</f>
        <v>2025</v>
      </c>
      <c r="U213">
        <f>MONTH(Table1_1[[#This Row],[order_date]])</f>
        <v>2</v>
      </c>
      <c r="V213" t="str">
        <f>TEXT(Table1_1[[#This Row],[order_date]],"mmm")</f>
        <v>Feb</v>
      </c>
      <c r="W213" t="str">
        <f>"Q"&amp;ROUNDUP(MONTH(Table1_1[[#This Row],[order_date]])/3,0)</f>
        <v>Q1</v>
      </c>
      <c r="X213" t="str">
        <f>TEXT(Table1_1[[#This Row],[order_date]],"yyyy-mm")</f>
        <v>2025-02</v>
      </c>
      <c r="Y213">
        <f>IF(Table1_1[[#This Row],[ship_date]]="","",Table1_1[[#This Row],[ship_date]]-Table1_1[[#This Row],[order_date]])</f>
        <v>7</v>
      </c>
      <c r="Z213">
        <f>ROUND(Table1_1[[#This Row],[profit]]/Table1_1[[#This Row],[sales_fix]]*100,2)</f>
        <v>36.21</v>
      </c>
    </row>
    <row r="214" spans="1:26" x14ac:dyDescent="0.3">
      <c r="A214" t="s">
        <v>3059</v>
      </c>
      <c r="B214" s="1">
        <v>45819</v>
      </c>
      <c r="C214" s="1">
        <v>45825</v>
      </c>
      <c r="D214" t="s">
        <v>554</v>
      </c>
      <c r="E214" t="s">
        <v>555</v>
      </c>
      <c r="F214" t="s">
        <v>55</v>
      </c>
      <c r="G214" t="s">
        <v>61</v>
      </c>
      <c r="H214" t="s">
        <v>62</v>
      </c>
      <c r="I214" t="s">
        <v>134</v>
      </c>
      <c r="J214" t="s">
        <v>135</v>
      </c>
      <c r="K214" t="s">
        <v>27</v>
      </c>
      <c r="L214">
        <v>3</v>
      </c>
      <c r="M214">
        <v>6000</v>
      </c>
      <c r="N214">
        <v>15</v>
      </c>
      <c r="O214">
        <v>15300</v>
      </c>
      <c r="P214">
        <v>3945.69</v>
      </c>
      <c r="Q214" t="s">
        <v>28</v>
      </c>
      <c r="R214" t="s">
        <v>49</v>
      </c>
      <c r="S214" t="s">
        <v>110</v>
      </c>
      <c r="T214">
        <f>YEAR(Table1_1[[#This Row],[order_date]])</f>
        <v>2025</v>
      </c>
      <c r="U214">
        <f>MONTH(Table1_1[[#This Row],[order_date]])</f>
        <v>6</v>
      </c>
      <c r="V214" t="str">
        <f>TEXT(Table1_1[[#This Row],[order_date]],"mmm")</f>
        <v>Jun</v>
      </c>
      <c r="W214" t="str">
        <f>"Q"&amp;ROUNDUP(MONTH(Table1_1[[#This Row],[order_date]])/3,0)</f>
        <v>Q2</v>
      </c>
      <c r="X214" t="str">
        <f>TEXT(Table1_1[[#This Row],[order_date]],"yyyy-mm")</f>
        <v>2025-06</v>
      </c>
      <c r="Y214">
        <f>IF(Table1_1[[#This Row],[ship_date]]="","",Table1_1[[#This Row],[ship_date]]-Table1_1[[#This Row],[order_date]])</f>
        <v>6</v>
      </c>
      <c r="Z214">
        <f>ROUND(Table1_1[[#This Row],[profit]]/Table1_1[[#This Row],[sales_fix]]*100,2)</f>
        <v>25.79</v>
      </c>
    </row>
    <row r="215" spans="1:26" x14ac:dyDescent="0.3">
      <c r="A215" t="s">
        <v>2106</v>
      </c>
      <c r="B215" s="1">
        <v>45387</v>
      </c>
      <c r="C215" s="1">
        <v>45393</v>
      </c>
      <c r="D215" t="s">
        <v>827</v>
      </c>
      <c r="E215" t="s">
        <v>828</v>
      </c>
      <c r="F215" t="s">
        <v>34</v>
      </c>
      <c r="G215" t="s">
        <v>44</v>
      </c>
      <c r="H215" t="s">
        <v>155</v>
      </c>
      <c r="I215" t="s">
        <v>114</v>
      </c>
      <c r="J215" t="s">
        <v>115</v>
      </c>
      <c r="K215" t="s">
        <v>65</v>
      </c>
      <c r="L215">
        <v>3</v>
      </c>
      <c r="M215">
        <v>55000</v>
      </c>
      <c r="N215">
        <v>5</v>
      </c>
      <c r="O215">
        <v>156750</v>
      </c>
      <c r="P215">
        <v>26915.31</v>
      </c>
      <c r="Q215" t="s">
        <v>66</v>
      </c>
      <c r="R215" t="s">
        <v>56</v>
      </c>
      <c r="S215" t="s">
        <v>30</v>
      </c>
      <c r="T215">
        <f>YEAR(Table1_1[[#This Row],[order_date]])</f>
        <v>2024</v>
      </c>
      <c r="U215">
        <f>MONTH(Table1_1[[#This Row],[order_date]])</f>
        <v>4</v>
      </c>
      <c r="V215" t="str">
        <f>TEXT(Table1_1[[#This Row],[order_date]],"mmm")</f>
        <v>Apr</v>
      </c>
      <c r="W215" t="str">
        <f>"Q"&amp;ROUNDUP(MONTH(Table1_1[[#This Row],[order_date]])/3,0)</f>
        <v>Q2</v>
      </c>
      <c r="X215" t="str">
        <f>TEXT(Table1_1[[#This Row],[order_date]],"yyyy-mm")</f>
        <v>2024-04</v>
      </c>
      <c r="Y215">
        <f>IF(Table1_1[[#This Row],[ship_date]]="","",Table1_1[[#This Row],[ship_date]]-Table1_1[[#This Row],[order_date]])</f>
        <v>6</v>
      </c>
      <c r="Z215">
        <f>ROUND(Table1_1[[#This Row],[profit]]/Table1_1[[#This Row],[sales_fix]]*100,2)</f>
        <v>17.170000000000002</v>
      </c>
    </row>
    <row r="216" spans="1:26" x14ac:dyDescent="0.3">
      <c r="A216" t="s">
        <v>1270</v>
      </c>
      <c r="B216" s="1">
        <v>45508</v>
      </c>
      <c r="C216" s="1">
        <v>45514</v>
      </c>
      <c r="D216" t="s">
        <v>343</v>
      </c>
      <c r="E216" t="s">
        <v>369</v>
      </c>
      <c r="F216" t="s">
        <v>34</v>
      </c>
      <c r="G216" t="s">
        <v>44</v>
      </c>
      <c r="H216" t="s">
        <v>45</v>
      </c>
      <c r="I216" t="s">
        <v>134</v>
      </c>
      <c r="J216" t="s">
        <v>135</v>
      </c>
      <c r="K216" t="s">
        <v>27</v>
      </c>
      <c r="L216">
        <v>2</v>
      </c>
      <c r="M216">
        <v>6000</v>
      </c>
      <c r="N216">
        <v>0</v>
      </c>
      <c r="O216">
        <v>12000</v>
      </c>
      <c r="P216">
        <v>2970.25</v>
      </c>
      <c r="Q216" t="s">
        <v>39</v>
      </c>
      <c r="R216" t="s">
        <v>56</v>
      </c>
      <c r="S216" t="s">
        <v>50</v>
      </c>
      <c r="T216">
        <f>YEAR(Table1_1[[#This Row],[order_date]])</f>
        <v>2024</v>
      </c>
      <c r="U216">
        <f>MONTH(Table1_1[[#This Row],[order_date]])</f>
        <v>8</v>
      </c>
      <c r="V216" t="str">
        <f>TEXT(Table1_1[[#This Row],[order_date]],"mmm")</f>
        <v>Aug</v>
      </c>
      <c r="W216" t="str">
        <f>"Q"&amp;ROUNDUP(MONTH(Table1_1[[#This Row],[order_date]])/3,0)</f>
        <v>Q3</v>
      </c>
      <c r="X216" t="str">
        <f>TEXT(Table1_1[[#This Row],[order_date]],"yyyy-mm")</f>
        <v>2024-08</v>
      </c>
      <c r="Y216">
        <f>IF(Table1_1[[#This Row],[ship_date]]="","",Table1_1[[#This Row],[ship_date]]-Table1_1[[#This Row],[order_date]])</f>
        <v>6</v>
      </c>
      <c r="Z216">
        <f>ROUND(Table1_1[[#This Row],[profit]]/Table1_1[[#This Row],[sales_fix]]*100,2)</f>
        <v>24.75</v>
      </c>
    </row>
    <row r="217" spans="1:26" x14ac:dyDescent="0.3">
      <c r="A217" t="s">
        <v>832</v>
      </c>
      <c r="B217" s="1">
        <v>45643</v>
      </c>
      <c r="C217" s="1">
        <v>45651</v>
      </c>
      <c r="D217" t="s">
        <v>340</v>
      </c>
      <c r="E217" t="s">
        <v>341</v>
      </c>
      <c r="F217" t="s">
        <v>34</v>
      </c>
      <c r="G217" t="s">
        <v>91</v>
      </c>
      <c r="H217" t="s">
        <v>109</v>
      </c>
      <c r="I217" t="s">
        <v>147</v>
      </c>
      <c r="J217" t="s">
        <v>148</v>
      </c>
      <c r="K217" t="s">
        <v>48</v>
      </c>
      <c r="L217">
        <v>3</v>
      </c>
      <c r="M217">
        <v>250</v>
      </c>
      <c r="N217">
        <v>0</v>
      </c>
      <c r="O217">
        <v>750</v>
      </c>
      <c r="P217">
        <v>221.95</v>
      </c>
      <c r="Q217" t="s">
        <v>66</v>
      </c>
      <c r="R217" t="s">
        <v>29</v>
      </c>
      <c r="S217" t="s">
        <v>50</v>
      </c>
      <c r="T217">
        <f>YEAR(Table1_1[[#This Row],[order_date]])</f>
        <v>2024</v>
      </c>
      <c r="U217">
        <f>MONTH(Table1_1[[#This Row],[order_date]])</f>
        <v>12</v>
      </c>
      <c r="V217" t="str">
        <f>TEXT(Table1_1[[#This Row],[order_date]],"mmm")</f>
        <v>Dec</v>
      </c>
      <c r="W217" t="str">
        <f>"Q"&amp;ROUNDUP(MONTH(Table1_1[[#This Row],[order_date]])/3,0)</f>
        <v>Q4</v>
      </c>
      <c r="X217" t="str">
        <f>TEXT(Table1_1[[#This Row],[order_date]],"yyyy-mm")</f>
        <v>2024-12</v>
      </c>
      <c r="Y217">
        <f>IF(Table1_1[[#This Row],[ship_date]]="","",Table1_1[[#This Row],[ship_date]]-Table1_1[[#This Row],[order_date]])</f>
        <v>8</v>
      </c>
      <c r="Z217">
        <f>ROUND(Table1_1[[#This Row],[profit]]/Table1_1[[#This Row],[sales_fix]]*100,2)</f>
        <v>29.59</v>
      </c>
    </row>
    <row r="218" spans="1:26" x14ac:dyDescent="0.3">
      <c r="A218" t="s">
        <v>1838</v>
      </c>
      <c r="B218" s="1">
        <v>45292</v>
      </c>
      <c r="C218" s="1">
        <v>45295</v>
      </c>
      <c r="D218" t="s">
        <v>169</v>
      </c>
      <c r="E218" t="s">
        <v>170</v>
      </c>
      <c r="F218" t="s">
        <v>55</v>
      </c>
      <c r="G218" t="s">
        <v>91</v>
      </c>
      <c r="H218" t="s">
        <v>92</v>
      </c>
      <c r="I218" t="s">
        <v>147</v>
      </c>
      <c r="J218" t="s">
        <v>148</v>
      </c>
      <c r="K218" t="s">
        <v>48</v>
      </c>
      <c r="L218">
        <v>10</v>
      </c>
      <c r="M218">
        <v>250</v>
      </c>
      <c r="N218">
        <v>5</v>
      </c>
      <c r="O218">
        <v>2375</v>
      </c>
      <c r="P218">
        <v>741.88</v>
      </c>
      <c r="Q218" t="s">
        <v>156</v>
      </c>
      <c r="R218" t="s">
        <v>49</v>
      </c>
      <c r="S218" t="s">
        <v>50</v>
      </c>
      <c r="T218">
        <f>YEAR(Table1_1[[#This Row],[order_date]])</f>
        <v>2024</v>
      </c>
      <c r="U218">
        <f>MONTH(Table1_1[[#This Row],[order_date]])</f>
        <v>1</v>
      </c>
      <c r="V218" t="str">
        <f>TEXT(Table1_1[[#This Row],[order_date]],"mmm")</f>
        <v>Jan</v>
      </c>
      <c r="W218" t="str">
        <f>"Q"&amp;ROUNDUP(MONTH(Table1_1[[#This Row],[order_date]])/3,0)</f>
        <v>Q1</v>
      </c>
      <c r="X218" t="str">
        <f>TEXT(Table1_1[[#This Row],[order_date]],"yyyy-mm")</f>
        <v>2024-01</v>
      </c>
      <c r="Y218">
        <f>IF(Table1_1[[#This Row],[ship_date]]="","",Table1_1[[#This Row],[ship_date]]-Table1_1[[#This Row],[order_date]])</f>
        <v>3</v>
      </c>
      <c r="Z218">
        <f>ROUND(Table1_1[[#This Row],[profit]]/Table1_1[[#This Row],[sales_fix]]*100,2)</f>
        <v>31.24</v>
      </c>
    </row>
    <row r="219" spans="1:26" x14ac:dyDescent="0.3">
      <c r="A219" t="s">
        <v>2960</v>
      </c>
      <c r="B219" s="1">
        <v>45962</v>
      </c>
      <c r="C219" s="1">
        <v>45965</v>
      </c>
      <c r="D219" t="s">
        <v>1450</v>
      </c>
      <c r="E219" t="s">
        <v>1451</v>
      </c>
      <c r="F219" t="s">
        <v>23</v>
      </c>
      <c r="G219" t="s">
        <v>61</v>
      </c>
      <c r="H219" t="s">
        <v>78</v>
      </c>
      <c r="I219" t="s">
        <v>63</v>
      </c>
      <c r="J219" t="s">
        <v>64</v>
      </c>
      <c r="K219" t="s">
        <v>65</v>
      </c>
      <c r="L219">
        <v>1</v>
      </c>
      <c r="M219">
        <v>25000</v>
      </c>
      <c r="N219">
        <v>15</v>
      </c>
      <c r="O219">
        <v>21250</v>
      </c>
      <c r="P219">
        <v>3383.6</v>
      </c>
      <c r="Q219" t="s">
        <v>66</v>
      </c>
      <c r="R219" t="s">
        <v>49</v>
      </c>
      <c r="S219" t="s">
        <v>110</v>
      </c>
      <c r="T219">
        <f>YEAR(Table1_1[[#This Row],[order_date]])</f>
        <v>2025</v>
      </c>
      <c r="U219">
        <f>MONTH(Table1_1[[#This Row],[order_date]])</f>
        <v>11</v>
      </c>
      <c r="V219" t="str">
        <f>TEXT(Table1_1[[#This Row],[order_date]],"mmm")</f>
        <v>Nov</v>
      </c>
      <c r="W219" t="str">
        <f>"Q"&amp;ROUNDUP(MONTH(Table1_1[[#This Row],[order_date]])/3,0)</f>
        <v>Q4</v>
      </c>
      <c r="X219" t="str">
        <f>TEXT(Table1_1[[#This Row],[order_date]],"yyyy-mm")</f>
        <v>2025-11</v>
      </c>
      <c r="Y219">
        <f>IF(Table1_1[[#This Row],[ship_date]]="","",Table1_1[[#This Row],[ship_date]]-Table1_1[[#This Row],[order_date]])</f>
        <v>3</v>
      </c>
      <c r="Z219">
        <f>ROUND(Table1_1[[#This Row],[profit]]/Table1_1[[#This Row],[sales_fix]]*100,2)</f>
        <v>15.92</v>
      </c>
    </row>
    <row r="220" spans="1:26" x14ac:dyDescent="0.3">
      <c r="A220" t="s">
        <v>2053</v>
      </c>
      <c r="B220" s="1">
        <v>45963</v>
      </c>
      <c r="C220" s="1">
        <v>45966</v>
      </c>
      <c r="D220" t="s">
        <v>59</v>
      </c>
      <c r="E220" t="s">
        <v>60</v>
      </c>
      <c r="F220" t="s">
        <v>23</v>
      </c>
      <c r="G220" t="s">
        <v>61</v>
      </c>
      <c r="H220" t="s">
        <v>62</v>
      </c>
      <c r="I220" t="s">
        <v>134</v>
      </c>
      <c r="J220" t="s">
        <v>135</v>
      </c>
      <c r="K220" t="s">
        <v>27</v>
      </c>
      <c r="L220">
        <v>1</v>
      </c>
      <c r="M220">
        <v>6000</v>
      </c>
      <c r="N220">
        <v>0</v>
      </c>
      <c r="O220">
        <v>6000</v>
      </c>
      <c r="P220">
        <v>1282.6400000000001</v>
      </c>
      <c r="Q220" t="s">
        <v>3113</v>
      </c>
      <c r="R220" t="s">
        <v>29</v>
      </c>
      <c r="S220" t="s">
        <v>40</v>
      </c>
      <c r="T220">
        <f>YEAR(Table1_1[[#This Row],[order_date]])</f>
        <v>2025</v>
      </c>
      <c r="U220">
        <f>MONTH(Table1_1[[#This Row],[order_date]])</f>
        <v>11</v>
      </c>
      <c r="V220" t="str">
        <f>TEXT(Table1_1[[#This Row],[order_date]],"mmm")</f>
        <v>Nov</v>
      </c>
      <c r="W220" t="str">
        <f>"Q"&amp;ROUNDUP(MONTH(Table1_1[[#This Row],[order_date]])/3,0)</f>
        <v>Q4</v>
      </c>
      <c r="X220" t="str">
        <f>TEXT(Table1_1[[#This Row],[order_date]],"yyyy-mm")</f>
        <v>2025-11</v>
      </c>
      <c r="Y220">
        <f>IF(Table1_1[[#This Row],[ship_date]]="","",Table1_1[[#This Row],[ship_date]]-Table1_1[[#This Row],[order_date]])</f>
        <v>3</v>
      </c>
      <c r="Z220">
        <f>ROUND(Table1_1[[#This Row],[profit]]/Table1_1[[#This Row],[sales_fix]]*100,2)</f>
        <v>21.38</v>
      </c>
    </row>
    <row r="221" spans="1:26" x14ac:dyDescent="0.3">
      <c r="A221" t="s">
        <v>2354</v>
      </c>
      <c r="B221" s="1">
        <v>45300</v>
      </c>
      <c r="C221" s="1">
        <v>45307</v>
      </c>
      <c r="D221" t="s">
        <v>546</v>
      </c>
      <c r="E221" t="s">
        <v>547</v>
      </c>
      <c r="F221" t="s">
        <v>34</v>
      </c>
      <c r="G221" t="s">
        <v>91</v>
      </c>
      <c r="H221" t="s">
        <v>92</v>
      </c>
      <c r="I221" t="s">
        <v>114</v>
      </c>
      <c r="J221" t="s">
        <v>115</v>
      </c>
      <c r="K221" t="s">
        <v>65</v>
      </c>
      <c r="L221">
        <v>3</v>
      </c>
      <c r="M221">
        <v>55000</v>
      </c>
      <c r="N221">
        <v>20</v>
      </c>
      <c r="O221">
        <v>132000</v>
      </c>
      <c r="P221">
        <v>17778.12</v>
      </c>
      <c r="Q221" t="s">
        <v>156</v>
      </c>
      <c r="R221" t="s">
        <v>29</v>
      </c>
      <c r="S221" t="s">
        <v>30</v>
      </c>
      <c r="T221">
        <f>YEAR(Table1_1[[#This Row],[order_date]])</f>
        <v>2024</v>
      </c>
      <c r="U221">
        <f>MONTH(Table1_1[[#This Row],[order_date]])</f>
        <v>1</v>
      </c>
      <c r="V221" t="str">
        <f>TEXT(Table1_1[[#This Row],[order_date]],"mmm")</f>
        <v>Jan</v>
      </c>
      <c r="W221" t="str">
        <f>"Q"&amp;ROUNDUP(MONTH(Table1_1[[#This Row],[order_date]])/3,0)</f>
        <v>Q1</v>
      </c>
      <c r="X221" t="str">
        <f>TEXT(Table1_1[[#This Row],[order_date]],"yyyy-mm")</f>
        <v>2024-01</v>
      </c>
      <c r="Y221">
        <f>IF(Table1_1[[#This Row],[ship_date]]="","",Table1_1[[#This Row],[ship_date]]-Table1_1[[#This Row],[order_date]])</f>
        <v>7</v>
      </c>
      <c r="Z221">
        <f>ROUND(Table1_1[[#This Row],[profit]]/Table1_1[[#This Row],[sales_fix]]*100,2)</f>
        <v>13.47</v>
      </c>
    </row>
    <row r="222" spans="1:26" x14ac:dyDescent="0.3">
      <c r="A222" t="s">
        <v>2475</v>
      </c>
      <c r="B222" s="1">
        <v>45684</v>
      </c>
      <c r="C222" s="1">
        <v>45690</v>
      </c>
      <c r="D222" t="s">
        <v>142</v>
      </c>
      <c r="E222" t="s">
        <v>143</v>
      </c>
      <c r="F222" t="s">
        <v>34</v>
      </c>
      <c r="G222" t="s">
        <v>44</v>
      </c>
      <c r="H222" t="s">
        <v>24</v>
      </c>
      <c r="I222" t="s">
        <v>103</v>
      </c>
      <c r="J222" t="s">
        <v>104</v>
      </c>
      <c r="K222" t="s">
        <v>65</v>
      </c>
      <c r="L222">
        <v>1</v>
      </c>
      <c r="M222">
        <v>8000</v>
      </c>
      <c r="N222">
        <v>20</v>
      </c>
      <c r="O222">
        <v>6400</v>
      </c>
      <c r="P222">
        <v>1185.55</v>
      </c>
      <c r="Q222" t="s">
        <v>74</v>
      </c>
      <c r="R222" t="s">
        <v>49</v>
      </c>
      <c r="S222" t="s">
        <v>50</v>
      </c>
      <c r="T222">
        <f>YEAR(Table1_1[[#This Row],[order_date]])</f>
        <v>2025</v>
      </c>
      <c r="U222">
        <f>MONTH(Table1_1[[#This Row],[order_date]])</f>
        <v>1</v>
      </c>
      <c r="V222" t="str">
        <f>TEXT(Table1_1[[#This Row],[order_date]],"mmm")</f>
        <v>Jan</v>
      </c>
      <c r="W222" t="str">
        <f>"Q"&amp;ROUNDUP(MONTH(Table1_1[[#This Row],[order_date]])/3,0)</f>
        <v>Q1</v>
      </c>
      <c r="X222" t="str">
        <f>TEXT(Table1_1[[#This Row],[order_date]],"yyyy-mm")</f>
        <v>2025-01</v>
      </c>
      <c r="Y222">
        <f>IF(Table1_1[[#This Row],[ship_date]]="","",Table1_1[[#This Row],[ship_date]]-Table1_1[[#This Row],[order_date]])</f>
        <v>6</v>
      </c>
      <c r="Z222">
        <f>ROUND(Table1_1[[#This Row],[profit]]/Table1_1[[#This Row],[sales_fix]]*100,2)</f>
        <v>18.52</v>
      </c>
    </row>
    <row r="223" spans="1:26" x14ac:dyDescent="0.3">
      <c r="A223" t="s">
        <v>1173</v>
      </c>
      <c r="B223" s="1">
        <v>45948</v>
      </c>
      <c r="C223" s="1">
        <v>45951</v>
      </c>
      <c r="D223" t="s">
        <v>159</v>
      </c>
      <c r="E223" t="s">
        <v>160</v>
      </c>
      <c r="F223" t="s">
        <v>34</v>
      </c>
      <c r="G223" t="s">
        <v>44</v>
      </c>
      <c r="H223" t="s">
        <v>161</v>
      </c>
      <c r="I223" t="s">
        <v>79</v>
      </c>
      <c r="J223" t="s">
        <v>80</v>
      </c>
      <c r="K223" t="s">
        <v>65</v>
      </c>
      <c r="L223">
        <v>1</v>
      </c>
      <c r="M223">
        <v>3000</v>
      </c>
      <c r="N223">
        <v>10</v>
      </c>
      <c r="O223">
        <v>2700</v>
      </c>
      <c r="P223">
        <v>749.51</v>
      </c>
      <c r="Q223" t="s">
        <v>28</v>
      </c>
      <c r="R223" t="s">
        <v>49</v>
      </c>
      <c r="S223" t="s">
        <v>50</v>
      </c>
      <c r="T223">
        <f>YEAR(Table1_1[[#This Row],[order_date]])</f>
        <v>2025</v>
      </c>
      <c r="U223">
        <f>MONTH(Table1_1[[#This Row],[order_date]])</f>
        <v>10</v>
      </c>
      <c r="V223" t="str">
        <f>TEXT(Table1_1[[#This Row],[order_date]],"mmm")</f>
        <v>Oct</v>
      </c>
      <c r="W223" t="str">
        <f>"Q"&amp;ROUNDUP(MONTH(Table1_1[[#This Row],[order_date]])/3,0)</f>
        <v>Q4</v>
      </c>
      <c r="X223" t="str">
        <f>TEXT(Table1_1[[#This Row],[order_date]],"yyyy-mm")</f>
        <v>2025-10</v>
      </c>
      <c r="Y223">
        <f>IF(Table1_1[[#This Row],[ship_date]]="","",Table1_1[[#This Row],[ship_date]]-Table1_1[[#This Row],[order_date]])</f>
        <v>3</v>
      </c>
      <c r="Z223">
        <f>ROUND(Table1_1[[#This Row],[profit]]/Table1_1[[#This Row],[sales_fix]]*100,2)</f>
        <v>27.76</v>
      </c>
    </row>
    <row r="224" spans="1:26" x14ac:dyDescent="0.3">
      <c r="A224" t="s">
        <v>1607</v>
      </c>
      <c r="B224" s="1">
        <v>45922</v>
      </c>
      <c r="C224" s="1">
        <v>45924</v>
      </c>
      <c r="D224" t="s">
        <v>1609</v>
      </c>
      <c r="E224" t="s">
        <v>1610</v>
      </c>
      <c r="F224" t="s">
        <v>55</v>
      </c>
      <c r="G224" t="s">
        <v>44</v>
      </c>
      <c r="H224" t="s">
        <v>24</v>
      </c>
      <c r="I224" t="s">
        <v>134</v>
      </c>
      <c r="J224" t="s">
        <v>135</v>
      </c>
      <c r="K224" t="s">
        <v>27</v>
      </c>
      <c r="L224">
        <v>3</v>
      </c>
      <c r="M224">
        <v>6000</v>
      </c>
      <c r="N224">
        <v>20</v>
      </c>
      <c r="O224">
        <v>14400</v>
      </c>
      <c r="P224">
        <v>2719.52</v>
      </c>
      <c r="Q224" t="s">
        <v>121</v>
      </c>
      <c r="R224" t="s">
        <v>29</v>
      </c>
      <c r="S224" t="s">
        <v>40</v>
      </c>
      <c r="T224">
        <f>YEAR(Table1_1[[#This Row],[order_date]])</f>
        <v>2025</v>
      </c>
      <c r="U224">
        <f>MONTH(Table1_1[[#This Row],[order_date]])</f>
        <v>9</v>
      </c>
      <c r="V224" t="str">
        <f>TEXT(Table1_1[[#This Row],[order_date]],"mmm")</f>
        <v>Sep</v>
      </c>
      <c r="W224" t="str">
        <f>"Q"&amp;ROUNDUP(MONTH(Table1_1[[#This Row],[order_date]])/3,0)</f>
        <v>Q3</v>
      </c>
      <c r="X224" t="str">
        <f>TEXT(Table1_1[[#This Row],[order_date]],"yyyy-mm")</f>
        <v>2025-09</v>
      </c>
      <c r="Y224">
        <f>IF(Table1_1[[#This Row],[ship_date]]="","",Table1_1[[#This Row],[ship_date]]-Table1_1[[#This Row],[order_date]])</f>
        <v>2</v>
      </c>
      <c r="Z224">
        <f>ROUND(Table1_1[[#This Row],[profit]]/Table1_1[[#This Row],[sales_fix]]*100,2)</f>
        <v>18.89</v>
      </c>
    </row>
    <row r="225" spans="1:26" x14ac:dyDescent="0.3">
      <c r="A225" t="s">
        <v>2924</v>
      </c>
      <c r="B225" s="1">
        <v>45731</v>
      </c>
      <c r="C225" s="1">
        <v>45733</v>
      </c>
      <c r="D225" t="s">
        <v>802</v>
      </c>
      <c r="E225" t="s">
        <v>803</v>
      </c>
      <c r="F225" t="s">
        <v>55</v>
      </c>
      <c r="G225" t="s">
        <v>35</v>
      </c>
      <c r="H225" t="s">
        <v>258</v>
      </c>
      <c r="I225" t="s">
        <v>37</v>
      </c>
      <c r="J225" t="s">
        <v>38</v>
      </c>
      <c r="K225" t="s">
        <v>27</v>
      </c>
      <c r="L225">
        <v>1</v>
      </c>
      <c r="M225">
        <v>9500</v>
      </c>
      <c r="N225">
        <v>0</v>
      </c>
      <c r="O225">
        <v>9500</v>
      </c>
      <c r="P225">
        <v>1518.32</v>
      </c>
      <c r="Q225" t="s">
        <v>121</v>
      </c>
      <c r="R225" t="s">
        <v>56</v>
      </c>
      <c r="S225" t="s">
        <v>40</v>
      </c>
      <c r="T225">
        <f>YEAR(Table1_1[[#This Row],[order_date]])</f>
        <v>2025</v>
      </c>
      <c r="U225">
        <f>MONTH(Table1_1[[#This Row],[order_date]])</f>
        <v>3</v>
      </c>
      <c r="V225" t="str">
        <f>TEXT(Table1_1[[#This Row],[order_date]],"mmm")</f>
        <v>Mar</v>
      </c>
      <c r="W225" t="str">
        <f>"Q"&amp;ROUNDUP(MONTH(Table1_1[[#This Row],[order_date]])/3,0)</f>
        <v>Q1</v>
      </c>
      <c r="X225" t="str">
        <f>TEXT(Table1_1[[#This Row],[order_date]],"yyyy-mm")</f>
        <v>2025-03</v>
      </c>
      <c r="Y225">
        <f>IF(Table1_1[[#This Row],[ship_date]]="","",Table1_1[[#This Row],[ship_date]]-Table1_1[[#This Row],[order_date]])</f>
        <v>2</v>
      </c>
      <c r="Z225">
        <f>ROUND(Table1_1[[#This Row],[profit]]/Table1_1[[#This Row],[sales_fix]]*100,2)</f>
        <v>15.98</v>
      </c>
    </row>
    <row r="226" spans="1:26" x14ac:dyDescent="0.3">
      <c r="A226" t="s">
        <v>932</v>
      </c>
      <c r="B226" s="1">
        <v>45319</v>
      </c>
      <c r="C226" s="1">
        <v>45323</v>
      </c>
      <c r="D226" t="s">
        <v>924</v>
      </c>
      <c r="E226" t="s">
        <v>925</v>
      </c>
      <c r="F226" t="s">
        <v>34</v>
      </c>
      <c r="G226" t="s">
        <v>35</v>
      </c>
      <c r="H226" t="s">
        <v>258</v>
      </c>
      <c r="I226" t="s">
        <v>71</v>
      </c>
      <c r="J226" t="s">
        <v>72</v>
      </c>
      <c r="K226" t="s">
        <v>73</v>
      </c>
      <c r="L226">
        <v>4</v>
      </c>
      <c r="M226">
        <v>3500</v>
      </c>
      <c r="N226">
        <v>15</v>
      </c>
      <c r="O226">
        <v>11900</v>
      </c>
      <c r="P226">
        <v>3999.66</v>
      </c>
      <c r="Q226" t="s">
        <v>39</v>
      </c>
      <c r="R226" t="s">
        <v>56</v>
      </c>
      <c r="S226" t="s">
        <v>40</v>
      </c>
      <c r="T226">
        <f>YEAR(Table1_1[[#This Row],[order_date]])</f>
        <v>2024</v>
      </c>
      <c r="U226">
        <f>MONTH(Table1_1[[#This Row],[order_date]])</f>
        <v>1</v>
      </c>
      <c r="V226" t="str">
        <f>TEXT(Table1_1[[#This Row],[order_date]],"mmm")</f>
        <v>Jan</v>
      </c>
      <c r="W226" t="str">
        <f>"Q"&amp;ROUNDUP(MONTH(Table1_1[[#This Row],[order_date]])/3,0)</f>
        <v>Q1</v>
      </c>
      <c r="X226" t="str">
        <f>TEXT(Table1_1[[#This Row],[order_date]],"yyyy-mm")</f>
        <v>2024-01</v>
      </c>
      <c r="Y226">
        <f>IF(Table1_1[[#This Row],[ship_date]]="","",Table1_1[[#This Row],[ship_date]]-Table1_1[[#This Row],[order_date]])</f>
        <v>4</v>
      </c>
      <c r="Z226">
        <f>ROUND(Table1_1[[#This Row],[profit]]/Table1_1[[#This Row],[sales_fix]]*100,2)</f>
        <v>33.61</v>
      </c>
    </row>
    <row r="227" spans="1:26" x14ac:dyDescent="0.3">
      <c r="A227" t="s">
        <v>2590</v>
      </c>
      <c r="B227" s="1">
        <v>45693</v>
      </c>
      <c r="C227" s="1">
        <v>45697</v>
      </c>
      <c r="D227" t="s">
        <v>2374</v>
      </c>
      <c r="E227" t="s">
        <v>2375</v>
      </c>
      <c r="F227" t="s">
        <v>23</v>
      </c>
      <c r="G227" t="s">
        <v>35</v>
      </c>
      <c r="H227" t="s">
        <v>36</v>
      </c>
      <c r="I227" t="s">
        <v>71</v>
      </c>
      <c r="J227" t="s">
        <v>72</v>
      </c>
      <c r="K227" t="s">
        <v>73</v>
      </c>
      <c r="L227">
        <v>1</v>
      </c>
      <c r="M227">
        <v>3500</v>
      </c>
      <c r="N227">
        <v>0</v>
      </c>
      <c r="O227">
        <v>3500</v>
      </c>
      <c r="P227">
        <v>1135.1400000000001</v>
      </c>
      <c r="Q227" t="s">
        <v>28</v>
      </c>
      <c r="R227" t="s">
        <v>49</v>
      </c>
      <c r="S227" t="s">
        <v>86</v>
      </c>
      <c r="T227">
        <f>YEAR(Table1_1[[#This Row],[order_date]])</f>
        <v>2025</v>
      </c>
      <c r="U227">
        <f>MONTH(Table1_1[[#This Row],[order_date]])</f>
        <v>2</v>
      </c>
      <c r="V227" t="str">
        <f>TEXT(Table1_1[[#This Row],[order_date]],"mmm")</f>
        <v>Feb</v>
      </c>
      <c r="W227" t="str">
        <f>"Q"&amp;ROUNDUP(MONTH(Table1_1[[#This Row],[order_date]])/3,0)</f>
        <v>Q1</v>
      </c>
      <c r="X227" t="str">
        <f>TEXT(Table1_1[[#This Row],[order_date]],"yyyy-mm")</f>
        <v>2025-02</v>
      </c>
      <c r="Y227">
        <f>IF(Table1_1[[#This Row],[ship_date]]="","",Table1_1[[#This Row],[ship_date]]-Table1_1[[#This Row],[order_date]])</f>
        <v>4</v>
      </c>
      <c r="Z227">
        <f>ROUND(Table1_1[[#This Row],[profit]]/Table1_1[[#This Row],[sales_fix]]*100,2)</f>
        <v>32.43</v>
      </c>
    </row>
    <row r="228" spans="1:26" x14ac:dyDescent="0.3">
      <c r="A228" t="s">
        <v>2011</v>
      </c>
      <c r="B228" s="1">
        <v>45945</v>
      </c>
      <c r="C228" s="1">
        <v>45951</v>
      </c>
      <c r="D228" t="s">
        <v>101</v>
      </c>
      <c r="E228" t="s">
        <v>102</v>
      </c>
      <c r="F228" t="s">
        <v>55</v>
      </c>
      <c r="G228" t="s">
        <v>35</v>
      </c>
      <c r="H228" t="s">
        <v>36</v>
      </c>
      <c r="I228" t="s">
        <v>147</v>
      </c>
      <c r="J228" t="s">
        <v>148</v>
      </c>
      <c r="K228" t="s">
        <v>48</v>
      </c>
      <c r="L228">
        <v>2</v>
      </c>
      <c r="M228">
        <v>250</v>
      </c>
      <c r="N228">
        <v>0</v>
      </c>
      <c r="O228">
        <v>500</v>
      </c>
      <c r="P228">
        <v>218.95</v>
      </c>
      <c r="Q228" t="s">
        <v>121</v>
      </c>
      <c r="R228" t="s">
        <v>49</v>
      </c>
      <c r="S228" t="s">
        <v>40</v>
      </c>
      <c r="T228">
        <f>YEAR(Table1_1[[#This Row],[order_date]])</f>
        <v>2025</v>
      </c>
      <c r="U228">
        <f>MONTH(Table1_1[[#This Row],[order_date]])</f>
        <v>10</v>
      </c>
      <c r="V228" t="str">
        <f>TEXT(Table1_1[[#This Row],[order_date]],"mmm")</f>
        <v>Oct</v>
      </c>
      <c r="W228" t="str">
        <f>"Q"&amp;ROUNDUP(MONTH(Table1_1[[#This Row],[order_date]])/3,0)</f>
        <v>Q4</v>
      </c>
      <c r="X228" t="str">
        <f>TEXT(Table1_1[[#This Row],[order_date]],"yyyy-mm")</f>
        <v>2025-10</v>
      </c>
      <c r="Y228">
        <f>IF(Table1_1[[#This Row],[ship_date]]="","",Table1_1[[#This Row],[ship_date]]-Table1_1[[#This Row],[order_date]])</f>
        <v>6</v>
      </c>
      <c r="Z228">
        <f>ROUND(Table1_1[[#This Row],[profit]]/Table1_1[[#This Row],[sales_fix]]*100,2)</f>
        <v>43.79</v>
      </c>
    </row>
    <row r="229" spans="1:26" x14ac:dyDescent="0.3">
      <c r="A229" t="s">
        <v>2526</v>
      </c>
      <c r="B229" s="1">
        <v>45851</v>
      </c>
      <c r="C229" s="1">
        <v>45853</v>
      </c>
      <c r="D229" t="s">
        <v>699</v>
      </c>
      <c r="E229" t="s">
        <v>700</v>
      </c>
      <c r="F229" t="s">
        <v>23</v>
      </c>
      <c r="G229" t="s">
        <v>35</v>
      </c>
      <c r="H229" t="s">
        <v>36</v>
      </c>
      <c r="I229" t="s">
        <v>37</v>
      </c>
      <c r="J229" t="s">
        <v>38</v>
      </c>
      <c r="K229" t="s">
        <v>27</v>
      </c>
      <c r="L229">
        <v>3</v>
      </c>
      <c r="M229">
        <v>9500</v>
      </c>
      <c r="N229">
        <v>20</v>
      </c>
      <c r="O229">
        <v>22800</v>
      </c>
      <c r="P229">
        <v>4051.13</v>
      </c>
      <c r="Q229" t="s">
        <v>66</v>
      </c>
      <c r="R229" t="s">
        <v>56</v>
      </c>
      <c r="S229" t="s">
        <v>86</v>
      </c>
      <c r="T229">
        <f>YEAR(Table1_1[[#This Row],[order_date]])</f>
        <v>2025</v>
      </c>
      <c r="U229">
        <f>MONTH(Table1_1[[#This Row],[order_date]])</f>
        <v>7</v>
      </c>
      <c r="V229" t="str">
        <f>TEXT(Table1_1[[#This Row],[order_date]],"mmm")</f>
        <v>Jul</v>
      </c>
      <c r="W229" t="str">
        <f>"Q"&amp;ROUNDUP(MONTH(Table1_1[[#This Row],[order_date]])/3,0)</f>
        <v>Q3</v>
      </c>
      <c r="X229" t="str">
        <f>TEXT(Table1_1[[#This Row],[order_date]],"yyyy-mm")</f>
        <v>2025-07</v>
      </c>
      <c r="Y229">
        <f>IF(Table1_1[[#This Row],[ship_date]]="","",Table1_1[[#This Row],[ship_date]]-Table1_1[[#This Row],[order_date]])</f>
        <v>2</v>
      </c>
      <c r="Z229">
        <f>ROUND(Table1_1[[#This Row],[profit]]/Table1_1[[#This Row],[sales_fix]]*100,2)</f>
        <v>17.77</v>
      </c>
    </row>
    <row r="230" spans="1:26" x14ac:dyDescent="0.3">
      <c r="A230" t="s">
        <v>2551</v>
      </c>
      <c r="B230" s="1">
        <v>45512</v>
      </c>
      <c r="C230" s="1">
        <v>45519</v>
      </c>
      <c r="D230" t="s">
        <v>332</v>
      </c>
      <c r="E230" t="s">
        <v>333</v>
      </c>
      <c r="F230" t="s">
        <v>23</v>
      </c>
      <c r="G230" t="s">
        <v>91</v>
      </c>
      <c r="H230" t="s">
        <v>177</v>
      </c>
      <c r="I230" t="s">
        <v>25</v>
      </c>
      <c r="J230" t="s">
        <v>26</v>
      </c>
      <c r="K230" t="s">
        <v>27</v>
      </c>
      <c r="L230">
        <v>1</v>
      </c>
      <c r="M230">
        <v>7000</v>
      </c>
      <c r="N230">
        <v>0</v>
      </c>
      <c r="O230">
        <v>7000</v>
      </c>
      <c r="P230">
        <v>1662.39</v>
      </c>
      <c r="Q230" t="s">
        <v>39</v>
      </c>
      <c r="R230" t="s">
        <v>49</v>
      </c>
      <c r="S230" t="s">
        <v>40</v>
      </c>
      <c r="T230">
        <f>YEAR(Table1_1[[#This Row],[order_date]])</f>
        <v>2024</v>
      </c>
      <c r="U230">
        <f>MONTH(Table1_1[[#This Row],[order_date]])</f>
        <v>8</v>
      </c>
      <c r="V230" t="str">
        <f>TEXT(Table1_1[[#This Row],[order_date]],"mmm")</f>
        <v>Aug</v>
      </c>
      <c r="W230" t="str">
        <f>"Q"&amp;ROUNDUP(MONTH(Table1_1[[#This Row],[order_date]])/3,0)</f>
        <v>Q3</v>
      </c>
      <c r="X230" t="str">
        <f>TEXT(Table1_1[[#This Row],[order_date]],"yyyy-mm")</f>
        <v>2024-08</v>
      </c>
      <c r="Y230">
        <f>IF(Table1_1[[#This Row],[ship_date]]="","",Table1_1[[#This Row],[ship_date]]-Table1_1[[#This Row],[order_date]])</f>
        <v>7</v>
      </c>
      <c r="Z230">
        <f>ROUND(Table1_1[[#This Row],[profit]]/Table1_1[[#This Row],[sales_fix]]*100,2)</f>
        <v>23.75</v>
      </c>
    </row>
    <row r="231" spans="1:26" x14ac:dyDescent="0.3">
      <c r="A231" t="s">
        <v>1147</v>
      </c>
      <c r="B231" s="1">
        <v>46010</v>
      </c>
      <c r="C231" s="1">
        <v>46015</v>
      </c>
      <c r="D231" t="s">
        <v>520</v>
      </c>
      <c r="E231" t="s">
        <v>521</v>
      </c>
      <c r="F231" t="s">
        <v>23</v>
      </c>
      <c r="G231" t="s">
        <v>91</v>
      </c>
      <c r="H231" t="s">
        <v>109</v>
      </c>
      <c r="I231" t="s">
        <v>134</v>
      </c>
      <c r="J231" t="s">
        <v>135</v>
      </c>
      <c r="K231" t="s">
        <v>27</v>
      </c>
      <c r="L231">
        <v>2</v>
      </c>
      <c r="M231">
        <v>6000</v>
      </c>
      <c r="N231">
        <v>10</v>
      </c>
      <c r="O231">
        <v>10800</v>
      </c>
      <c r="P231">
        <v>2453.12</v>
      </c>
      <c r="Q231" t="s">
        <v>66</v>
      </c>
      <c r="R231" t="s">
        <v>49</v>
      </c>
      <c r="S231" t="s">
        <v>86</v>
      </c>
      <c r="T231">
        <f>YEAR(Table1_1[[#This Row],[order_date]])</f>
        <v>2025</v>
      </c>
      <c r="U231">
        <f>MONTH(Table1_1[[#This Row],[order_date]])</f>
        <v>12</v>
      </c>
      <c r="V231" t="str">
        <f>TEXT(Table1_1[[#This Row],[order_date]],"mmm")</f>
        <v>Dec</v>
      </c>
      <c r="W231" t="str">
        <f>"Q"&amp;ROUNDUP(MONTH(Table1_1[[#This Row],[order_date]])/3,0)</f>
        <v>Q4</v>
      </c>
      <c r="X231" t="str">
        <f>TEXT(Table1_1[[#This Row],[order_date]],"yyyy-mm")</f>
        <v>2025-12</v>
      </c>
      <c r="Y231">
        <f>IF(Table1_1[[#This Row],[ship_date]]="","",Table1_1[[#This Row],[ship_date]]-Table1_1[[#This Row],[order_date]])</f>
        <v>5</v>
      </c>
      <c r="Z231">
        <f>ROUND(Table1_1[[#This Row],[profit]]/Table1_1[[#This Row],[sales_fix]]*100,2)</f>
        <v>22.71</v>
      </c>
    </row>
    <row r="232" spans="1:26" x14ac:dyDescent="0.3">
      <c r="A232" t="s">
        <v>1997</v>
      </c>
      <c r="B232" s="1">
        <v>45451</v>
      </c>
      <c r="C232" s="1">
        <v>45453</v>
      </c>
      <c r="D232" t="s">
        <v>798</v>
      </c>
      <c r="E232" t="s">
        <v>799</v>
      </c>
      <c r="F232" t="s">
        <v>23</v>
      </c>
      <c r="G232" t="s">
        <v>44</v>
      </c>
      <c r="H232" t="s">
        <v>330</v>
      </c>
      <c r="I232" t="s">
        <v>103</v>
      </c>
      <c r="J232" t="s">
        <v>104</v>
      </c>
      <c r="K232" t="s">
        <v>65</v>
      </c>
      <c r="L232">
        <v>2</v>
      </c>
      <c r="M232">
        <v>8000</v>
      </c>
      <c r="N232">
        <v>5</v>
      </c>
      <c r="O232">
        <v>15200</v>
      </c>
      <c r="P232">
        <v>3551.38</v>
      </c>
      <c r="Q232" t="s">
        <v>74</v>
      </c>
      <c r="R232" t="s">
        <v>56</v>
      </c>
      <c r="S232" t="s">
        <v>30</v>
      </c>
      <c r="T232">
        <f>YEAR(Table1_1[[#This Row],[order_date]])</f>
        <v>2024</v>
      </c>
      <c r="U232">
        <f>MONTH(Table1_1[[#This Row],[order_date]])</f>
        <v>6</v>
      </c>
      <c r="V232" t="str">
        <f>TEXT(Table1_1[[#This Row],[order_date]],"mmm")</f>
        <v>Jun</v>
      </c>
      <c r="W232" t="str">
        <f>"Q"&amp;ROUNDUP(MONTH(Table1_1[[#This Row],[order_date]])/3,0)</f>
        <v>Q2</v>
      </c>
      <c r="X232" t="str">
        <f>TEXT(Table1_1[[#This Row],[order_date]],"yyyy-mm")</f>
        <v>2024-06</v>
      </c>
      <c r="Y232">
        <f>IF(Table1_1[[#This Row],[ship_date]]="","",Table1_1[[#This Row],[ship_date]]-Table1_1[[#This Row],[order_date]])</f>
        <v>2</v>
      </c>
      <c r="Z232">
        <f>ROUND(Table1_1[[#This Row],[profit]]/Table1_1[[#This Row],[sales_fix]]*100,2)</f>
        <v>23.36</v>
      </c>
    </row>
    <row r="233" spans="1:26" x14ac:dyDescent="0.3">
      <c r="A233" t="s">
        <v>1529</v>
      </c>
      <c r="B233" s="1">
        <v>45542</v>
      </c>
      <c r="C233" s="1">
        <v>45543</v>
      </c>
      <c r="D233" t="s">
        <v>1369</v>
      </c>
      <c r="E233" t="s">
        <v>1370</v>
      </c>
      <c r="F233" t="s">
        <v>55</v>
      </c>
      <c r="G233" t="s">
        <v>44</v>
      </c>
      <c r="H233" t="s">
        <v>155</v>
      </c>
      <c r="I233" t="s">
        <v>114</v>
      </c>
      <c r="J233" t="s">
        <v>115</v>
      </c>
      <c r="K233" t="s">
        <v>65</v>
      </c>
      <c r="L233">
        <v>1</v>
      </c>
      <c r="M233">
        <v>55000</v>
      </c>
      <c r="N233">
        <v>5</v>
      </c>
      <c r="O233">
        <v>52250</v>
      </c>
      <c r="P233">
        <v>7019.84</v>
      </c>
      <c r="Q233" t="s">
        <v>74</v>
      </c>
      <c r="R233" t="s">
        <v>56</v>
      </c>
      <c r="S233" t="s">
        <v>50</v>
      </c>
      <c r="T233">
        <f>YEAR(Table1_1[[#This Row],[order_date]])</f>
        <v>2024</v>
      </c>
      <c r="U233">
        <f>MONTH(Table1_1[[#This Row],[order_date]])</f>
        <v>9</v>
      </c>
      <c r="V233" t="str">
        <f>TEXT(Table1_1[[#This Row],[order_date]],"mmm")</f>
        <v>Sep</v>
      </c>
      <c r="W233" t="str">
        <f>"Q"&amp;ROUNDUP(MONTH(Table1_1[[#This Row],[order_date]])/3,0)</f>
        <v>Q3</v>
      </c>
      <c r="X233" t="str">
        <f>TEXT(Table1_1[[#This Row],[order_date]],"yyyy-mm")</f>
        <v>2024-09</v>
      </c>
      <c r="Y233">
        <f>IF(Table1_1[[#This Row],[ship_date]]="","",Table1_1[[#This Row],[ship_date]]-Table1_1[[#This Row],[order_date]])</f>
        <v>1</v>
      </c>
      <c r="Z233">
        <f>ROUND(Table1_1[[#This Row],[profit]]/Table1_1[[#This Row],[sales_fix]]*100,2)</f>
        <v>13.44</v>
      </c>
    </row>
    <row r="234" spans="1:26" x14ac:dyDescent="0.3">
      <c r="A234" t="s">
        <v>1957</v>
      </c>
      <c r="B234" s="1">
        <v>46016</v>
      </c>
      <c r="C234" s="1">
        <v>46021</v>
      </c>
      <c r="D234" t="s">
        <v>421</v>
      </c>
      <c r="E234" t="s">
        <v>422</v>
      </c>
      <c r="F234" t="s">
        <v>34</v>
      </c>
      <c r="G234" t="s">
        <v>61</v>
      </c>
      <c r="H234" t="s">
        <v>211</v>
      </c>
      <c r="I234" t="s">
        <v>114</v>
      </c>
      <c r="J234" t="s">
        <v>115</v>
      </c>
      <c r="K234" t="s">
        <v>65</v>
      </c>
      <c r="L234">
        <v>1</v>
      </c>
      <c r="M234">
        <v>55000</v>
      </c>
      <c r="N234">
        <v>5</v>
      </c>
      <c r="O234">
        <v>52250</v>
      </c>
      <c r="P234">
        <v>10168.75</v>
      </c>
      <c r="Q234" t="s">
        <v>121</v>
      </c>
      <c r="R234" t="s">
        <v>49</v>
      </c>
      <c r="S234" t="s">
        <v>50</v>
      </c>
      <c r="T234">
        <f>YEAR(Table1_1[[#This Row],[order_date]])</f>
        <v>2025</v>
      </c>
      <c r="U234">
        <f>MONTH(Table1_1[[#This Row],[order_date]])</f>
        <v>12</v>
      </c>
      <c r="V234" t="str">
        <f>TEXT(Table1_1[[#This Row],[order_date]],"mmm")</f>
        <v>Dec</v>
      </c>
      <c r="W234" t="str">
        <f>"Q"&amp;ROUNDUP(MONTH(Table1_1[[#This Row],[order_date]])/3,0)</f>
        <v>Q4</v>
      </c>
      <c r="X234" t="str">
        <f>TEXT(Table1_1[[#This Row],[order_date]],"yyyy-mm")</f>
        <v>2025-12</v>
      </c>
      <c r="Y234">
        <f>IF(Table1_1[[#This Row],[ship_date]]="","",Table1_1[[#This Row],[ship_date]]-Table1_1[[#This Row],[order_date]])</f>
        <v>5</v>
      </c>
      <c r="Z234">
        <f>ROUND(Table1_1[[#This Row],[profit]]/Table1_1[[#This Row],[sales_fix]]*100,2)</f>
        <v>19.46</v>
      </c>
    </row>
    <row r="235" spans="1:26" x14ac:dyDescent="0.3">
      <c r="A235" t="s">
        <v>2895</v>
      </c>
      <c r="B235" s="1">
        <v>45412</v>
      </c>
      <c r="C235" s="1">
        <v>45419</v>
      </c>
      <c r="D235" t="s">
        <v>214</v>
      </c>
      <c r="E235" t="s">
        <v>215</v>
      </c>
      <c r="F235" t="s">
        <v>55</v>
      </c>
      <c r="G235" t="s">
        <v>44</v>
      </c>
      <c r="H235" t="s">
        <v>330</v>
      </c>
      <c r="I235" t="s">
        <v>71</v>
      </c>
      <c r="J235" t="s">
        <v>72</v>
      </c>
      <c r="K235" t="s">
        <v>73</v>
      </c>
      <c r="L235">
        <v>3</v>
      </c>
      <c r="M235">
        <v>3500</v>
      </c>
      <c r="N235">
        <v>0</v>
      </c>
      <c r="O235">
        <v>10500</v>
      </c>
      <c r="P235">
        <v>2802.25</v>
      </c>
      <c r="Q235" t="s">
        <v>74</v>
      </c>
      <c r="R235" t="s">
        <v>49</v>
      </c>
      <c r="S235" t="s">
        <v>86</v>
      </c>
      <c r="T235">
        <f>YEAR(Table1_1[[#This Row],[order_date]])</f>
        <v>2024</v>
      </c>
      <c r="U235">
        <f>MONTH(Table1_1[[#This Row],[order_date]])</f>
        <v>4</v>
      </c>
      <c r="V235" t="str">
        <f>TEXT(Table1_1[[#This Row],[order_date]],"mmm")</f>
        <v>Apr</v>
      </c>
      <c r="W235" t="str">
        <f>"Q"&amp;ROUNDUP(MONTH(Table1_1[[#This Row],[order_date]])/3,0)</f>
        <v>Q2</v>
      </c>
      <c r="X235" t="str">
        <f>TEXT(Table1_1[[#This Row],[order_date]],"yyyy-mm")</f>
        <v>2024-04</v>
      </c>
      <c r="Y235">
        <f>IF(Table1_1[[#This Row],[ship_date]]="","",Table1_1[[#This Row],[ship_date]]-Table1_1[[#This Row],[order_date]])</f>
        <v>7</v>
      </c>
      <c r="Z235">
        <f>ROUND(Table1_1[[#This Row],[profit]]/Table1_1[[#This Row],[sales_fix]]*100,2)</f>
        <v>26.69</v>
      </c>
    </row>
    <row r="236" spans="1:26" x14ac:dyDescent="0.3">
      <c r="A236" t="s">
        <v>2302</v>
      </c>
      <c r="B236" s="1">
        <v>45882</v>
      </c>
      <c r="C236" s="1">
        <v>45888</v>
      </c>
      <c r="D236" t="s">
        <v>463</v>
      </c>
      <c r="E236" t="s">
        <v>464</v>
      </c>
      <c r="F236" t="s">
        <v>34</v>
      </c>
      <c r="G236" t="s">
        <v>35</v>
      </c>
      <c r="H236" t="s">
        <v>85</v>
      </c>
      <c r="I236" t="s">
        <v>71</v>
      </c>
      <c r="J236" t="s">
        <v>72</v>
      </c>
      <c r="K236" t="s">
        <v>73</v>
      </c>
      <c r="L236">
        <v>2</v>
      </c>
      <c r="M236">
        <v>3500</v>
      </c>
      <c r="N236">
        <v>5</v>
      </c>
      <c r="O236">
        <v>6650</v>
      </c>
      <c r="P236">
        <v>1877.06</v>
      </c>
      <c r="Q236" t="s">
        <v>66</v>
      </c>
      <c r="R236" t="s">
        <v>49</v>
      </c>
      <c r="S236" t="s">
        <v>40</v>
      </c>
      <c r="T236">
        <f>YEAR(Table1_1[[#This Row],[order_date]])</f>
        <v>2025</v>
      </c>
      <c r="U236">
        <f>MONTH(Table1_1[[#This Row],[order_date]])</f>
        <v>8</v>
      </c>
      <c r="V236" t="str">
        <f>TEXT(Table1_1[[#This Row],[order_date]],"mmm")</f>
        <v>Aug</v>
      </c>
      <c r="W236" t="str">
        <f>"Q"&amp;ROUNDUP(MONTH(Table1_1[[#This Row],[order_date]])/3,0)</f>
        <v>Q3</v>
      </c>
      <c r="X236" t="str">
        <f>TEXT(Table1_1[[#This Row],[order_date]],"yyyy-mm")</f>
        <v>2025-08</v>
      </c>
      <c r="Y236">
        <f>IF(Table1_1[[#This Row],[ship_date]]="","",Table1_1[[#This Row],[ship_date]]-Table1_1[[#This Row],[order_date]])</f>
        <v>6</v>
      </c>
      <c r="Z236">
        <f>ROUND(Table1_1[[#This Row],[profit]]/Table1_1[[#This Row],[sales_fix]]*100,2)</f>
        <v>28.23</v>
      </c>
    </row>
    <row r="237" spans="1:26" x14ac:dyDescent="0.3">
      <c r="A237" t="s">
        <v>2074</v>
      </c>
      <c r="B237" s="1">
        <v>45453</v>
      </c>
      <c r="C237" s="1"/>
      <c r="D237" t="s">
        <v>726</v>
      </c>
      <c r="E237" t="s">
        <v>727</v>
      </c>
      <c r="F237" t="s">
        <v>34</v>
      </c>
      <c r="G237" t="s">
        <v>35</v>
      </c>
      <c r="H237" t="s">
        <v>258</v>
      </c>
      <c r="I237" t="s">
        <v>37</v>
      </c>
      <c r="J237" t="s">
        <v>38</v>
      </c>
      <c r="K237" t="s">
        <v>27</v>
      </c>
      <c r="L237">
        <v>1</v>
      </c>
      <c r="M237">
        <v>9500</v>
      </c>
      <c r="N237">
        <v>0</v>
      </c>
      <c r="O237">
        <v>9500</v>
      </c>
      <c r="P237">
        <v>2009.64</v>
      </c>
      <c r="Q237" t="s">
        <v>121</v>
      </c>
      <c r="R237" t="s">
        <v>56</v>
      </c>
      <c r="S237" t="s">
        <v>40</v>
      </c>
      <c r="T237">
        <f>YEAR(Table1_1[[#This Row],[order_date]])</f>
        <v>2024</v>
      </c>
      <c r="U237">
        <f>MONTH(Table1_1[[#This Row],[order_date]])</f>
        <v>6</v>
      </c>
      <c r="V237" t="str">
        <f>TEXT(Table1_1[[#This Row],[order_date]],"mmm")</f>
        <v>Jun</v>
      </c>
      <c r="W237" t="str">
        <f>"Q"&amp;ROUNDUP(MONTH(Table1_1[[#This Row],[order_date]])/3,0)</f>
        <v>Q2</v>
      </c>
      <c r="X237" t="str">
        <f>TEXT(Table1_1[[#This Row],[order_date]],"yyyy-mm")</f>
        <v>2024-06</v>
      </c>
      <c r="Y237" t="str">
        <f>IF(Table1_1[[#This Row],[ship_date]]="","",Table1_1[[#This Row],[ship_date]]-Table1_1[[#This Row],[order_date]])</f>
        <v/>
      </c>
      <c r="Z237">
        <f>ROUND(Table1_1[[#This Row],[profit]]/Table1_1[[#This Row],[sales_fix]]*100,2)</f>
        <v>21.15</v>
      </c>
    </row>
    <row r="238" spans="1:26" x14ac:dyDescent="0.3">
      <c r="A238" t="s">
        <v>1359</v>
      </c>
      <c r="B238" s="1">
        <v>45304</v>
      </c>
      <c r="C238" s="1">
        <v>45307</v>
      </c>
      <c r="D238" t="s">
        <v>721</v>
      </c>
      <c r="E238" t="s">
        <v>722</v>
      </c>
      <c r="F238" t="s">
        <v>34</v>
      </c>
      <c r="G238" t="s">
        <v>35</v>
      </c>
      <c r="H238" t="s">
        <v>258</v>
      </c>
      <c r="I238" t="s">
        <v>114</v>
      </c>
      <c r="J238" t="s">
        <v>115</v>
      </c>
      <c r="K238" t="s">
        <v>65</v>
      </c>
      <c r="L238">
        <v>1</v>
      </c>
      <c r="M238">
        <v>55000</v>
      </c>
      <c r="N238">
        <v>5</v>
      </c>
      <c r="O238">
        <v>52250</v>
      </c>
      <c r="P238">
        <v>7952.78</v>
      </c>
      <c r="Q238" t="s">
        <v>121</v>
      </c>
      <c r="R238" t="s">
        <v>29</v>
      </c>
      <c r="S238" t="s">
        <v>40</v>
      </c>
      <c r="T238">
        <f>YEAR(Table1_1[[#This Row],[order_date]])</f>
        <v>2024</v>
      </c>
      <c r="U238">
        <f>MONTH(Table1_1[[#This Row],[order_date]])</f>
        <v>1</v>
      </c>
      <c r="V238" t="str">
        <f>TEXT(Table1_1[[#This Row],[order_date]],"mmm")</f>
        <v>Jan</v>
      </c>
      <c r="W238" t="str">
        <f>"Q"&amp;ROUNDUP(MONTH(Table1_1[[#This Row],[order_date]])/3,0)</f>
        <v>Q1</v>
      </c>
      <c r="X238" t="str">
        <f>TEXT(Table1_1[[#This Row],[order_date]],"yyyy-mm")</f>
        <v>2024-01</v>
      </c>
      <c r="Y238">
        <f>IF(Table1_1[[#This Row],[ship_date]]="","",Table1_1[[#This Row],[ship_date]]-Table1_1[[#This Row],[order_date]])</f>
        <v>3</v>
      </c>
      <c r="Z238">
        <f>ROUND(Table1_1[[#This Row],[profit]]/Table1_1[[#This Row],[sales_fix]]*100,2)</f>
        <v>15.22</v>
      </c>
    </row>
    <row r="239" spans="1:26" x14ac:dyDescent="0.3">
      <c r="A239" t="s">
        <v>1375</v>
      </c>
      <c r="B239" s="1">
        <v>45621</v>
      </c>
      <c r="C239" s="1">
        <v>45623</v>
      </c>
      <c r="D239" t="s">
        <v>1376</v>
      </c>
      <c r="E239" t="s">
        <v>1377</v>
      </c>
      <c r="F239" t="s">
        <v>34</v>
      </c>
      <c r="G239" t="s">
        <v>61</v>
      </c>
      <c r="H239" t="s">
        <v>125</v>
      </c>
      <c r="I239" t="s">
        <v>103</v>
      </c>
      <c r="J239" t="s">
        <v>104</v>
      </c>
      <c r="K239" t="s">
        <v>65</v>
      </c>
      <c r="L239">
        <v>5</v>
      </c>
      <c r="M239">
        <v>8000</v>
      </c>
      <c r="N239">
        <v>0</v>
      </c>
      <c r="O239">
        <v>40000</v>
      </c>
      <c r="P239">
        <v>10000</v>
      </c>
      <c r="Q239" t="s">
        <v>39</v>
      </c>
      <c r="R239" t="s">
        <v>49</v>
      </c>
      <c r="S239" t="s">
        <v>86</v>
      </c>
      <c r="T239">
        <f>YEAR(Table1_1[[#This Row],[order_date]])</f>
        <v>2024</v>
      </c>
      <c r="U239">
        <f>MONTH(Table1_1[[#This Row],[order_date]])</f>
        <v>11</v>
      </c>
      <c r="V239" t="str">
        <f>TEXT(Table1_1[[#This Row],[order_date]],"mmm")</f>
        <v>Nov</v>
      </c>
      <c r="W239" t="str">
        <f>"Q"&amp;ROUNDUP(MONTH(Table1_1[[#This Row],[order_date]])/3,0)</f>
        <v>Q4</v>
      </c>
      <c r="X239" t="str">
        <f>TEXT(Table1_1[[#This Row],[order_date]],"yyyy-mm")</f>
        <v>2024-11</v>
      </c>
      <c r="Y239">
        <f>IF(Table1_1[[#This Row],[ship_date]]="","",Table1_1[[#This Row],[ship_date]]-Table1_1[[#This Row],[order_date]])</f>
        <v>2</v>
      </c>
      <c r="Z239">
        <f>ROUND(Table1_1[[#This Row],[profit]]/Table1_1[[#This Row],[sales_fix]]*100,2)</f>
        <v>25</v>
      </c>
    </row>
    <row r="240" spans="1:26" x14ac:dyDescent="0.3">
      <c r="A240" t="s">
        <v>2065</v>
      </c>
      <c r="B240" s="1">
        <v>45345</v>
      </c>
      <c r="C240" s="1">
        <v>45346</v>
      </c>
      <c r="D240" t="s">
        <v>237</v>
      </c>
      <c r="E240" t="s">
        <v>238</v>
      </c>
      <c r="F240" t="s">
        <v>55</v>
      </c>
      <c r="G240" t="s">
        <v>44</v>
      </c>
      <c r="H240" t="s">
        <v>155</v>
      </c>
      <c r="I240" t="s">
        <v>126</v>
      </c>
      <c r="J240" t="s">
        <v>127</v>
      </c>
      <c r="K240" t="s">
        <v>95</v>
      </c>
      <c r="L240">
        <v>1</v>
      </c>
      <c r="M240">
        <v>600</v>
      </c>
      <c r="N240">
        <v>20</v>
      </c>
      <c r="O240">
        <v>480</v>
      </c>
      <c r="P240">
        <v>165.31</v>
      </c>
      <c r="Q240" t="s">
        <v>28</v>
      </c>
      <c r="R240" t="s">
        <v>29</v>
      </c>
      <c r="S240" t="s">
        <v>30</v>
      </c>
      <c r="T240">
        <f>YEAR(Table1_1[[#This Row],[order_date]])</f>
        <v>2024</v>
      </c>
      <c r="U240">
        <f>MONTH(Table1_1[[#This Row],[order_date]])</f>
        <v>2</v>
      </c>
      <c r="V240" t="str">
        <f>TEXT(Table1_1[[#This Row],[order_date]],"mmm")</f>
        <v>Feb</v>
      </c>
      <c r="W240" t="str">
        <f>"Q"&amp;ROUNDUP(MONTH(Table1_1[[#This Row],[order_date]])/3,0)</f>
        <v>Q1</v>
      </c>
      <c r="X240" t="str">
        <f>TEXT(Table1_1[[#This Row],[order_date]],"yyyy-mm")</f>
        <v>2024-02</v>
      </c>
      <c r="Y240">
        <f>IF(Table1_1[[#This Row],[ship_date]]="","",Table1_1[[#This Row],[ship_date]]-Table1_1[[#This Row],[order_date]])</f>
        <v>1</v>
      </c>
      <c r="Z240">
        <f>ROUND(Table1_1[[#This Row],[profit]]/Table1_1[[#This Row],[sales_fix]]*100,2)</f>
        <v>34.44</v>
      </c>
    </row>
    <row r="241" spans="1:26" x14ac:dyDescent="0.3">
      <c r="A241" t="s">
        <v>1615</v>
      </c>
      <c r="B241" s="1">
        <v>45627</v>
      </c>
      <c r="C241" s="1">
        <v>45632</v>
      </c>
      <c r="D241" t="s">
        <v>132</v>
      </c>
      <c r="E241" t="s">
        <v>133</v>
      </c>
      <c r="F241" t="s">
        <v>23</v>
      </c>
      <c r="G241" t="s">
        <v>91</v>
      </c>
      <c r="H241" t="s">
        <v>120</v>
      </c>
      <c r="I241" t="s">
        <v>25</v>
      </c>
      <c r="J241" t="s">
        <v>26</v>
      </c>
      <c r="K241" t="s">
        <v>27</v>
      </c>
      <c r="L241">
        <v>2</v>
      </c>
      <c r="M241">
        <v>7000</v>
      </c>
      <c r="N241">
        <v>0</v>
      </c>
      <c r="O241">
        <v>14000</v>
      </c>
      <c r="P241">
        <v>2403.23</v>
      </c>
      <c r="Q241" t="s">
        <v>156</v>
      </c>
      <c r="R241" t="s">
        <v>56</v>
      </c>
      <c r="S241" t="s">
        <v>50</v>
      </c>
      <c r="T241">
        <f>YEAR(Table1_1[[#This Row],[order_date]])</f>
        <v>2024</v>
      </c>
      <c r="U241">
        <f>MONTH(Table1_1[[#This Row],[order_date]])</f>
        <v>12</v>
      </c>
      <c r="V241" t="str">
        <f>TEXT(Table1_1[[#This Row],[order_date]],"mmm")</f>
        <v>Dec</v>
      </c>
      <c r="W241" t="str">
        <f>"Q"&amp;ROUNDUP(MONTH(Table1_1[[#This Row],[order_date]])/3,0)</f>
        <v>Q4</v>
      </c>
      <c r="X241" t="str">
        <f>TEXT(Table1_1[[#This Row],[order_date]],"yyyy-mm")</f>
        <v>2024-12</v>
      </c>
      <c r="Y241">
        <f>IF(Table1_1[[#This Row],[ship_date]]="","",Table1_1[[#This Row],[ship_date]]-Table1_1[[#This Row],[order_date]])</f>
        <v>5</v>
      </c>
      <c r="Z241">
        <f>ROUND(Table1_1[[#This Row],[profit]]/Table1_1[[#This Row],[sales_fix]]*100,2)</f>
        <v>17.170000000000002</v>
      </c>
    </row>
    <row r="242" spans="1:26" x14ac:dyDescent="0.3">
      <c r="A242" t="s">
        <v>1688</v>
      </c>
      <c r="B242" s="1">
        <v>45897</v>
      </c>
      <c r="C242" s="1">
        <v>45901</v>
      </c>
      <c r="D242" t="s">
        <v>406</v>
      </c>
      <c r="E242" t="s">
        <v>407</v>
      </c>
      <c r="F242" t="s">
        <v>55</v>
      </c>
      <c r="G242" t="s">
        <v>91</v>
      </c>
      <c r="H242" t="s">
        <v>120</v>
      </c>
      <c r="I242" t="s">
        <v>37</v>
      </c>
      <c r="J242" t="s">
        <v>38</v>
      </c>
      <c r="K242" t="s">
        <v>27</v>
      </c>
      <c r="L242">
        <v>10</v>
      </c>
      <c r="M242">
        <v>9500</v>
      </c>
      <c r="N242">
        <v>20</v>
      </c>
      <c r="O242">
        <v>76000</v>
      </c>
      <c r="P242">
        <v>15357.39</v>
      </c>
      <c r="Q242" t="s">
        <v>121</v>
      </c>
      <c r="R242" t="s">
        <v>29</v>
      </c>
      <c r="S242" t="s">
        <v>30</v>
      </c>
      <c r="T242">
        <f>YEAR(Table1_1[[#This Row],[order_date]])</f>
        <v>2025</v>
      </c>
      <c r="U242">
        <f>MONTH(Table1_1[[#This Row],[order_date]])</f>
        <v>8</v>
      </c>
      <c r="V242" t="str">
        <f>TEXT(Table1_1[[#This Row],[order_date]],"mmm")</f>
        <v>Aug</v>
      </c>
      <c r="W242" t="str">
        <f>"Q"&amp;ROUNDUP(MONTH(Table1_1[[#This Row],[order_date]])/3,0)</f>
        <v>Q3</v>
      </c>
      <c r="X242" t="str">
        <f>TEXT(Table1_1[[#This Row],[order_date]],"yyyy-mm")</f>
        <v>2025-08</v>
      </c>
      <c r="Y242">
        <f>IF(Table1_1[[#This Row],[ship_date]]="","",Table1_1[[#This Row],[ship_date]]-Table1_1[[#This Row],[order_date]])</f>
        <v>4</v>
      </c>
      <c r="Z242">
        <f>ROUND(Table1_1[[#This Row],[profit]]/Table1_1[[#This Row],[sales_fix]]*100,2)</f>
        <v>20.21</v>
      </c>
    </row>
    <row r="243" spans="1:26" x14ac:dyDescent="0.3">
      <c r="A243" t="s">
        <v>1014</v>
      </c>
      <c r="B243" s="1">
        <v>45846</v>
      </c>
      <c r="C243" s="1">
        <v>45847</v>
      </c>
      <c r="D243" t="s">
        <v>1015</v>
      </c>
      <c r="E243" t="s">
        <v>1016</v>
      </c>
      <c r="F243" t="s">
        <v>23</v>
      </c>
      <c r="G243" t="s">
        <v>44</v>
      </c>
      <c r="H243" t="s">
        <v>45</v>
      </c>
      <c r="I243" t="s">
        <v>103</v>
      </c>
      <c r="J243" t="s">
        <v>104</v>
      </c>
      <c r="K243" t="s">
        <v>65</v>
      </c>
      <c r="L243">
        <v>1</v>
      </c>
      <c r="M243">
        <v>8000</v>
      </c>
      <c r="N243">
        <v>20</v>
      </c>
      <c r="O243">
        <v>6400</v>
      </c>
      <c r="P243">
        <v>1563.81</v>
      </c>
      <c r="Q243" t="s">
        <v>74</v>
      </c>
      <c r="R243" t="s">
        <v>29</v>
      </c>
      <c r="S243" t="s">
        <v>30</v>
      </c>
      <c r="T243">
        <f>YEAR(Table1_1[[#This Row],[order_date]])</f>
        <v>2025</v>
      </c>
      <c r="U243">
        <f>MONTH(Table1_1[[#This Row],[order_date]])</f>
        <v>7</v>
      </c>
      <c r="V243" t="str">
        <f>TEXT(Table1_1[[#This Row],[order_date]],"mmm")</f>
        <v>Jul</v>
      </c>
      <c r="W243" t="str">
        <f>"Q"&amp;ROUNDUP(MONTH(Table1_1[[#This Row],[order_date]])/3,0)</f>
        <v>Q3</v>
      </c>
      <c r="X243" t="str">
        <f>TEXT(Table1_1[[#This Row],[order_date]],"yyyy-mm")</f>
        <v>2025-07</v>
      </c>
      <c r="Y243">
        <f>IF(Table1_1[[#This Row],[ship_date]]="","",Table1_1[[#This Row],[ship_date]]-Table1_1[[#This Row],[order_date]])</f>
        <v>1</v>
      </c>
      <c r="Z243">
        <f>ROUND(Table1_1[[#This Row],[profit]]/Table1_1[[#This Row],[sales_fix]]*100,2)</f>
        <v>24.43</v>
      </c>
    </row>
    <row r="244" spans="1:26" x14ac:dyDescent="0.3">
      <c r="A244" t="s">
        <v>2442</v>
      </c>
      <c r="B244" s="1">
        <v>45502</v>
      </c>
      <c r="C244" s="1">
        <v>45503</v>
      </c>
      <c r="D244" t="s">
        <v>682</v>
      </c>
      <c r="E244" t="s">
        <v>683</v>
      </c>
      <c r="F244" t="s">
        <v>55</v>
      </c>
      <c r="G244" t="s">
        <v>61</v>
      </c>
      <c r="H244" t="s">
        <v>125</v>
      </c>
      <c r="I244" t="s">
        <v>63</v>
      </c>
      <c r="J244" t="s">
        <v>64</v>
      </c>
      <c r="K244" t="s">
        <v>65</v>
      </c>
      <c r="L244">
        <v>2</v>
      </c>
      <c r="M244">
        <v>25000</v>
      </c>
      <c r="N244">
        <v>0</v>
      </c>
      <c r="O244">
        <v>50000</v>
      </c>
      <c r="P244">
        <v>6509.45</v>
      </c>
      <c r="Q244" t="s">
        <v>121</v>
      </c>
      <c r="R244" t="s">
        <v>56</v>
      </c>
      <c r="S244" t="s">
        <v>110</v>
      </c>
      <c r="T244">
        <f>YEAR(Table1_1[[#This Row],[order_date]])</f>
        <v>2024</v>
      </c>
      <c r="U244">
        <f>MONTH(Table1_1[[#This Row],[order_date]])</f>
        <v>7</v>
      </c>
      <c r="V244" t="str">
        <f>TEXT(Table1_1[[#This Row],[order_date]],"mmm")</f>
        <v>Jul</v>
      </c>
      <c r="W244" t="str">
        <f>"Q"&amp;ROUNDUP(MONTH(Table1_1[[#This Row],[order_date]])/3,0)</f>
        <v>Q3</v>
      </c>
      <c r="X244" t="str">
        <f>TEXT(Table1_1[[#This Row],[order_date]],"yyyy-mm")</f>
        <v>2024-07</v>
      </c>
      <c r="Y244">
        <f>IF(Table1_1[[#This Row],[ship_date]]="","",Table1_1[[#This Row],[ship_date]]-Table1_1[[#This Row],[order_date]])</f>
        <v>1</v>
      </c>
      <c r="Z244">
        <f>ROUND(Table1_1[[#This Row],[profit]]/Table1_1[[#This Row],[sales_fix]]*100,2)</f>
        <v>13.02</v>
      </c>
    </row>
    <row r="245" spans="1:26" x14ac:dyDescent="0.3">
      <c r="A245" t="s">
        <v>2813</v>
      </c>
      <c r="B245" s="1">
        <v>45529</v>
      </c>
      <c r="C245" s="1">
        <v>45535</v>
      </c>
      <c r="D245" t="s">
        <v>554</v>
      </c>
      <c r="E245" t="s">
        <v>555</v>
      </c>
      <c r="F245" t="s">
        <v>55</v>
      </c>
      <c r="G245" t="s">
        <v>61</v>
      </c>
      <c r="H245" t="s">
        <v>62</v>
      </c>
      <c r="I245" t="s">
        <v>114</v>
      </c>
      <c r="J245" t="s">
        <v>115</v>
      </c>
      <c r="K245" t="s">
        <v>65</v>
      </c>
      <c r="L245">
        <v>4</v>
      </c>
      <c r="M245">
        <v>55000</v>
      </c>
      <c r="N245">
        <v>10</v>
      </c>
      <c r="O245">
        <v>198000</v>
      </c>
      <c r="P245">
        <v>30836.54</v>
      </c>
      <c r="Q245" t="s">
        <v>28</v>
      </c>
      <c r="R245" t="s">
        <v>56</v>
      </c>
      <c r="S245" t="s">
        <v>86</v>
      </c>
      <c r="T245">
        <f>YEAR(Table1_1[[#This Row],[order_date]])</f>
        <v>2024</v>
      </c>
      <c r="U245">
        <f>MONTH(Table1_1[[#This Row],[order_date]])</f>
        <v>8</v>
      </c>
      <c r="V245" t="str">
        <f>TEXT(Table1_1[[#This Row],[order_date]],"mmm")</f>
        <v>Aug</v>
      </c>
      <c r="W245" t="str">
        <f>"Q"&amp;ROUNDUP(MONTH(Table1_1[[#This Row],[order_date]])/3,0)</f>
        <v>Q3</v>
      </c>
      <c r="X245" t="str">
        <f>TEXT(Table1_1[[#This Row],[order_date]],"yyyy-mm")</f>
        <v>2024-08</v>
      </c>
      <c r="Y245">
        <f>IF(Table1_1[[#This Row],[ship_date]]="","",Table1_1[[#This Row],[ship_date]]-Table1_1[[#This Row],[order_date]])</f>
        <v>6</v>
      </c>
      <c r="Z245">
        <f>ROUND(Table1_1[[#This Row],[profit]]/Table1_1[[#This Row],[sales_fix]]*100,2)</f>
        <v>15.57</v>
      </c>
    </row>
    <row r="246" spans="1:26" x14ac:dyDescent="0.3">
      <c r="A246" t="s">
        <v>826</v>
      </c>
      <c r="B246" s="1">
        <v>45809</v>
      </c>
      <c r="C246" s="1">
        <v>45810</v>
      </c>
      <c r="D246" t="s">
        <v>827</v>
      </c>
      <c r="E246" t="s">
        <v>828</v>
      </c>
      <c r="F246" t="s">
        <v>34</v>
      </c>
      <c r="G246" t="s">
        <v>44</v>
      </c>
      <c r="H246" t="s">
        <v>155</v>
      </c>
      <c r="I246" t="s">
        <v>63</v>
      </c>
      <c r="J246" t="s">
        <v>64</v>
      </c>
      <c r="K246" t="s">
        <v>65</v>
      </c>
      <c r="L246">
        <v>1</v>
      </c>
      <c r="M246">
        <v>25000</v>
      </c>
      <c r="N246">
        <v>20</v>
      </c>
      <c r="O246">
        <v>20000</v>
      </c>
      <c r="P246">
        <v>2573.2199999999998</v>
      </c>
      <c r="Q246" t="s">
        <v>28</v>
      </c>
      <c r="R246" t="s">
        <v>56</v>
      </c>
      <c r="S246" t="s">
        <v>50</v>
      </c>
      <c r="T246">
        <f>YEAR(Table1_1[[#This Row],[order_date]])</f>
        <v>2025</v>
      </c>
      <c r="U246">
        <f>MONTH(Table1_1[[#This Row],[order_date]])</f>
        <v>6</v>
      </c>
      <c r="V246" t="str">
        <f>TEXT(Table1_1[[#This Row],[order_date]],"mmm")</f>
        <v>Jun</v>
      </c>
      <c r="W246" t="str">
        <f>"Q"&amp;ROUNDUP(MONTH(Table1_1[[#This Row],[order_date]])/3,0)</f>
        <v>Q2</v>
      </c>
      <c r="X246" t="str">
        <f>TEXT(Table1_1[[#This Row],[order_date]],"yyyy-mm")</f>
        <v>2025-06</v>
      </c>
      <c r="Y246">
        <f>IF(Table1_1[[#This Row],[ship_date]]="","",Table1_1[[#This Row],[ship_date]]-Table1_1[[#This Row],[order_date]])</f>
        <v>1</v>
      </c>
      <c r="Z246">
        <f>ROUND(Table1_1[[#This Row],[profit]]/Table1_1[[#This Row],[sales_fix]]*100,2)</f>
        <v>12.87</v>
      </c>
    </row>
    <row r="247" spans="1:26" x14ac:dyDescent="0.3">
      <c r="A247" t="s">
        <v>1137</v>
      </c>
      <c r="B247" s="1">
        <v>45559</v>
      </c>
      <c r="C247" s="1">
        <v>45565</v>
      </c>
      <c r="D247" t="s">
        <v>233</v>
      </c>
      <c r="E247" t="s">
        <v>234</v>
      </c>
      <c r="F247" t="s">
        <v>23</v>
      </c>
      <c r="G247" t="s">
        <v>61</v>
      </c>
      <c r="H247" t="s">
        <v>211</v>
      </c>
      <c r="I247" t="s">
        <v>25</v>
      </c>
      <c r="J247" t="s">
        <v>26</v>
      </c>
      <c r="K247" t="s">
        <v>27</v>
      </c>
      <c r="L247">
        <v>4</v>
      </c>
      <c r="M247">
        <v>7000</v>
      </c>
      <c r="N247">
        <v>20</v>
      </c>
      <c r="O247">
        <v>22400</v>
      </c>
      <c r="P247">
        <v>4224.1899999999996</v>
      </c>
      <c r="Q247" t="s">
        <v>74</v>
      </c>
      <c r="R247" t="s">
        <v>49</v>
      </c>
      <c r="S247" t="s">
        <v>110</v>
      </c>
      <c r="T247">
        <f>YEAR(Table1_1[[#This Row],[order_date]])</f>
        <v>2024</v>
      </c>
      <c r="U247">
        <f>MONTH(Table1_1[[#This Row],[order_date]])</f>
        <v>9</v>
      </c>
      <c r="V247" t="str">
        <f>TEXT(Table1_1[[#This Row],[order_date]],"mmm")</f>
        <v>Sep</v>
      </c>
      <c r="W247" t="str">
        <f>"Q"&amp;ROUNDUP(MONTH(Table1_1[[#This Row],[order_date]])/3,0)</f>
        <v>Q3</v>
      </c>
      <c r="X247" t="str">
        <f>TEXT(Table1_1[[#This Row],[order_date]],"yyyy-mm")</f>
        <v>2024-09</v>
      </c>
      <c r="Y247">
        <f>IF(Table1_1[[#This Row],[ship_date]]="","",Table1_1[[#This Row],[ship_date]]-Table1_1[[#This Row],[order_date]])</f>
        <v>6</v>
      </c>
      <c r="Z247">
        <f>ROUND(Table1_1[[#This Row],[profit]]/Table1_1[[#This Row],[sales_fix]]*100,2)</f>
        <v>18.86</v>
      </c>
    </row>
    <row r="248" spans="1:26" x14ac:dyDescent="0.3">
      <c r="A248" t="s">
        <v>58</v>
      </c>
      <c r="B248" s="1">
        <v>45499</v>
      </c>
      <c r="C248" s="1"/>
      <c r="D248" t="s">
        <v>59</v>
      </c>
      <c r="E248" t="s">
        <v>60</v>
      </c>
      <c r="F248" t="s">
        <v>23</v>
      </c>
      <c r="G248" t="s">
        <v>61</v>
      </c>
      <c r="H248" t="s">
        <v>62</v>
      </c>
      <c r="I248" t="s">
        <v>63</v>
      </c>
      <c r="J248" t="s">
        <v>64</v>
      </c>
      <c r="K248" t="s">
        <v>65</v>
      </c>
      <c r="L248">
        <v>1</v>
      </c>
      <c r="M248">
        <v>25000</v>
      </c>
      <c r="N248">
        <v>20</v>
      </c>
      <c r="O248">
        <v>20000</v>
      </c>
      <c r="P248">
        <v>2801.65</v>
      </c>
      <c r="Q248" t="s">
        <v>66</v>
      </c>
      <c r="R248" t="s">
        <v>29</v>
      </c>
      <c r="S248" t="s">
        <v>30</v>
      </c>
      <c r="T248">
        <f>YEAR(Table1_1[[#This Row],[order_date]])</f>
        <v>2024</v>
      </c>
      <c r="U248">
        <f>MONTH(Table1_1[[#This Row],[order_date]])</f>
        <v>7</v>
      </c>
      <c r="V248" t="str">
        <f>TEXT(Table1_1[[#This Row],[order_date]],"mmm")</f>
        <v>Jul</v>
      </c>
      <c r="W248" t="str">
        <f>"Q"&amp;ROUNDUP(MONTH(Table1_1[[#This Row],[order_date]])/3,0)</f>
        <v>Q3</v>
      </c>
      <c r="X248" t="str">
        <f>TEXT(Table1_1[[#This Row],[order_date]],"yyyy-mm")</f>
        <v>2024-07</v>
      </c>
      <c r="Y248" t="str">
        <f>IF(Table1_1[[#This Row],[ship_date]]="","",Table1_1[[#This Row],[ship_date]]-Table1_1[[#This Row],[order_date]])</f>
        <v/>
      </c>
      <c r="Z248">
        <f>ROUND(Table1_1[[#This Row],[profit]]/Table1_1[[#This Row],[sales_fix]]*100,2)</f>
        <v>14.01</v>
      </c>
    </row>
    <row r="249" spans="1:26" x14ac:dyDescent="0.3">
      <c r="A249" t="s">
        <v>1731</v>
      </c>
      <c r="B249" s="1">
        <v>45708</v>
      </c>
      <c r="C249" s="1">
        <v>45712</v>
      </c>
      <c r="D249" t="s">
        <v>1732</v>
      </c>
      <c r="E249" t="s">
        <v>1733</v>
      </c>
      <c r="F249" t="s">
        <v>34</v>
      </c>
      <c r="G249" t="s">
        <v>35</v>
      </c>
      <c r="H249" t="s">
        <v>85</v>
      </c>
      <c r="I249" t="s">
        <v>37</v>
      </c>
      <c r="J249" t="s">
        <v>38</v>
      </c>
      <c r="K249" t="s">
        <v>27</v>
      </c>
      <c r="L249">
        <v>1</v>
      </c>
      <c r="M249">
        <v>9500</v>
      </c>
      <c r="N249">
        <v>0</v>
      </c>
      <c r="O249">
        <v>9500</v>
      </c>
      <c r="P249">
        <v>1900</v>
      </c>
      <c r="Q249" t="s">
        <v>28</v>
      </c>
      <c r="R249" t="s">
        <v>49</v>
      </c>
      <c r="S249" t="s">
        <v>30</v>
      </c>
      <c r="T249">
        <f>YEAR(Table1_1[[#This Row],[order_date]])</f>
        <v>2025</v>
      </c>
      <c r="U249">
        <f>MONTH(Table1_1[[#This Row],[order_date]])</f>
        <v>2</v>
      </c>
      <c r="V249" t="str">
        <f>TEXT(Table1_1[[#This Row],[order_date]],"mmm")</f>
        <v>Feb</v>
      </c>
      <c r="W249" t="str">
        <f>"Q"&amp;ROUNDUP(MONTH(Table1_1[[#This Row],[order_date]])/3,0)</f>
        <v>Q1</v>
      </c>
      <c r="X249" t="str">
        <f>TEXT(Table1_1[[#This Row],[order_date]],"yyyy-mm")</f>
        <v>2025-02</v>
      </c>
      <c r="Y249">
        <f>IF(Table1_1[[#This Row],[ship_date]]="","",Table1_1[[#This Row],[ship_date]]-Table1_1[[#This Row],[order_date]])</f>
        <v>4</v>
      </c>
      <c r="Z249">
        <f>ROUND(Table1_1[[#This Row],[profit]]/Table1_1[[#This Row],[sales_fix]]*100,2)</f>
        <v>20</v>
      </c>
    </row>
    <row r="250" spans="1:26" x14ac:dyDescent="0.3">
      <c r="A250" t="s">
        <v>2151</v>
      </c>
      <c r="B250" s="1">
        <v>45384</v>
      </c>
      <c r="C250" s="1">
        <v>45385</v>
      </c>
      <c r="D250" t="s">
        <v>413</v>
      </c>
      <c r="E250" t="s">
        <v>414</v>
      </c>
      <c r="F250" t="s">
        <v>55</v>
      </c>
      <c r="G250" t="s">
        <v>91</v>
      </c>
      <c r="H250" t="s">
        <v>120</v>
      </c>
      <c r="I250" t="s">
        <v>63</v>
      </c>
      <c r="J250" t="s">
        <v>64</v>
      </c>
      <c r="K250" t="s">
        <v>65</v>
      </c>
      <c r="L250">
        <v>1</v>
      </c>
      <c r="M250">
        <v>25000</v>
      </c>
      <c r="N250">
        <v>15</v>
      </c>
      <c r="O250">
        <v>21250</v>
      </c>
      <c r="P250">
        <v>2619.12</v>
      </c>
      <c r="Q250" t="s">
        <v>121</v>
      </c>
      <c r="R250" t="s">
        <v>49</v>
      </c>
      <c r="S250" t="s">
        <v>50</v>
      </c>
      <c r="T250">
        <f>YEAR(Table1_1[[#This Row],[order_date]])</f>
        <v>2024</v>
      </c>
      <c r="U250">
        <f>MONTH(Table1_1[[#This Row],[order_date]])</f>
        <v>4</v>
      </c>
      <c r="V250" t="str">
        <f>TEXT(Table1_1[[#This Row],[order_date]],"mmm")</f>
        <v>Apr</v>
      </c>
      <c r="W250" t="str">
        <f>"Q"&amp;ROUNDUP(MONTH(Table1_1[[#This Row],[order_date]])/3,0)</f>
        <v>Q2</v>
      </c>
      <c r="X250" t="str">
        <f>TEXT(Table1_1[[#This Row],[order_date]],"yyyy-mm")</f>
        <v>2024-04</v>
      </c>
      <c r="Y250">
        <f>IF(Table1_1[[#This Row],[ship_date]]="","",Table1_1[[#This Row],[ship_date]]-Table1_1[[#This Row],[order_date]])</f>
        <v>1</v>
      </c>
      <c r="Z250">
        <f>ROUND(Table1_1[[#This Row],[profit]]/Table1_1[[#This Row],[sales_fix]]*100,2)</f>
        <v>12.33</v>
      </c>
    </row>
    <row r="251" spans="1:26" x14ac:dyDescent="0.3">
      <c r="A251" t="s">
        <v>1825</v>
      </c>
      <c r="B251" s="1">
        <v>45546</v>
      </c>
      <c r="C251" s="1">
        <v>45551</v>
      </c>
      <c r="D251" t="s">
        <v>1031</v>
      </c>
      <c r="E251" t="s">
        <v>1032</v>
      </c>
      <c r="F251" t="s">
        <v>23</v>
      </c>
      <c r="G251" t="s">
        <v>61</v>
      </c>
      <c r="H251" t="s">
        <v>211</v>
      </c>
      <c r="I251" t="s">
        <v>71</v>
      </c>
      <c r="J251" t="s">
        <v>72</v>
      </c>
      <c r="K251" t="s">
        <v>73</v>
      </c>
      <c r="L251">
        <v>10</v>
      </c>
      <c r="M251">
        <v>3500</v>
      </c>
      <c r="N251">
        <v>5</v>
      </c>
      <c r="O251">
        <v>33250</v>
      </c>
      <c r="P251">
        <v>9633.2800000000007</v>
      </c>
      <c r="Q251" t="s">
        <v>74</v>
      </c>
      <c r="R251" t="s">
        <v>29</v>
      </c>
      <c r="S251" t="s">
        <v>86</v>
      </c>
      <c r="T251">
        <f>YEAR(Table1_1[[#This Row],[order_date]])</f>
        <v>2024</v>
      </c>
      <c r="U251">
        <f>MONTH(Table1_1[[#This Row],[order_date]])</f>
        <v>9</v>
      </c>
      <c r="V251" t="str">
        <f>TEXT(Table1_1[[#This Row],[order_date]],"mmm")</f>
        <v>Sep</v>
      </c>
      <c r="W251" t="str">
        <f>"Q"&amp;ROUNDUP(MONTH(Table1_1[[#This Row],[order_date]])/3,0)</f>
        <v>Q3</v>
      </c>
      <c r="X251" t="str">
        <f>TEXT(Table1_1[[#This Row],[order_date]],"yyyy-mm")</f>
        <v>2024-09</v>
      </c>
      <c r="Y251">
        <f>IF(Table1_1[[#This Row],[ship_date]]="","",Table1_1[[#This Row],[ship_date]]-Table1_1[[#This Row],[order_date]])</f>
        <v>5</v>
      </c>
      <c r="Z251">
        <f>ROUND(Table1_1[[#This Row],[profit]]/Table1_1[[#This Row],[sales_fix]]*100,2)</f>
        <v>28.97</v>
      </c>
    </row>
    <row r="252" spans="1:26" x14ac:dyDescent="0.3">
      <c r="A252" t="s">
        <v>1476</v>
      </c>
      <c r="B252" s="1">
        <v>45861</v>
      </c>
      <c r="C252" s="1">
        <v>45863</v>
      </c>
      <c r="D252" t="s">
        <v>1055</v>
      </c>
      <c r="E252" t="s">
        <v>1056</v>
      </c>
      <c r="F252" t="s">
        <v>55</v>
      </c>
      <c r="G252" t="s">
        <v>61</v>
      </c>
      <c r="H252" t="s">
        <v>62</v>
      </c>
      <c r="I252" t="s">
        <v>147</v>
      </c>
      <c r="J252" t="s">
        <v>148</v>
      </c>
      <c r="K252" t="s">
        <v>48</v>
      </c>
      <c r="L252">
        <v>3</v>
      </c>
      <c r="M252">
        <v>250</v>
      </c>
      <c r="N252">
        <v>0</v>
      </c>
      <c r="O252">
        <v>750</v>
      </c>
      <c r="P252">
        <v>221.37</v>
      </c>
      <c r="Q252" t="s">
        <v>121</v>
      </c>
      <c r="R252" t="s">
        <v>29</v>
      </c>
      <c r="S252" t="s">
        <v>86</v>
      </c>
      <c r="T252">
        <f>YEAR(Table1_1[[#This Row],[order_date]])</f>
        <v>2025</v>
      </c>
      <c r="U252">
        <f>MONTH(Table1_1[[#This Row],[order_date]])</f>
        <v>7</v>
      </c>
      <c r="V252" t="str">
        <f>TEXT(Table1_1[[#This Row],[order_date]],"mmm")</f>
        <v>Jul</v>
      </c>
      <c r="W252" t="str">
        <f>"Q"&amp;ROUNDUP(MONTH(Table1_1[[#This Row],[order_date]])/3,0)</f>
        <v>Q3</v>
      </c>
      <c r="X252" t="str">
        <f>TEXT(Table1_1[[#This Row],[order_date]],"yyyy-mm")</f>
        <v>2025-07</v>
      </c>
      <c r="Y252">
        <f>IF(Table1_1[[#This Row],[ship_date]]="","",Table1_1[[#This Row],[ship_date]]-Table1_1[[#This Row],[order_date]])</f>
        <v>2</v>
      </c>
      <c r="Z252">
        <f>ROUND(Table1_1[[#This Row],[profit]]/Table1_1[[#This Row],[sales_fix]]*100,2)</f>
        <v>29.52</v>
      </c>
    </row>
    <row r="253" spans="1:26" x14ac:dyDescent="0.3">
      <c r="A253" t="s">
        <v>1508</v>
      </c>
      <c r="B253" s="1">
        <v>45425</v>
      </c>
      <c r="C253" s="1">
        <v>45427</v>
      </c>
      <c r="D253" t="s">
        <v>1168</v>
      </c>
      <c r="E253" t="s">
        <v>1169</v>
      </c>
      <c r="F253" t="s">
        <v>23</v>
      </c>
      <c r="G253" t="s">
        <v>91</v>
      </c>
      <c r="H253" t="s">
        <v>177</v>
      </c>
      <c r="I253" t="s">
        <v>103</v>
      </c>
      <c r="J253" t="s">
        <v>104</v>
      </c>
      <c r="K253" t="s">
        <v>65</v>
      </c>
      <c r="L253">
        <v>1</v>
      </c>
      <c r="M253">
        <v>8000</v>
      </c>
      <c r="N253">
        <v>5</v>
      </c>
      <c r="O253">
        <v>7600</v>
      </c>
      <c r="P253">
        <v>1612.9</v>
      </c>
      <c r="Q253" t="s">
        <v>39</v>
      </c>
      <c r="R253" t="s">
        <v>56</v>
      </c>
      <c r="S253" t="s">
        <v>110</v>
      </c>
      <c r="T253">
        <f>YEAR(Table1_1[[#This Row],[order_date]])</f>
        <v>2024</v>
      </c>
      <c r="U253">
        <f>MONTH(Table1_1[[#This Row],[order_date]])</f>
        <v>5</v>
      </c>
      <c r="V253" t="str">
        <f>TEXT(Table1_1[[#This Row],[order_date]],"mmm")</f>
        <v>May</v>
      </c>
      <c r="W253" t="str">
        <f>"Q"&amp;ROUNDUP(MONTH(Table1_1[[#This Row],[order_date]])/3,0)</f>
        <v>Q2</v>
      </c>
      <c r="X253" t="str">
        <f>TEXT(Table1_1[[#This Row],[order_date]],"yyyy-mm")</f>
        <v>2024-05</v>
      </c>
      <c r="Y253">
        <f>IF(Table1_1[[#This Row],[ship_date]]="","",Table1_1[[#This Row],[ship_date]]-Table1_1[[#This Row],[order_date]])</f>
        <v>2</v>
      </c>
      <c r="Z253">
        <f>ROUND(Table1_1[[#This Row],[profit]]/Table1_1[[#This Row],[sales_fix]]*100,2)</f>
        <v>21.22</v>
      </c>
    </row>
    <row r="254" spans="1:26" x14ac:dyDescent="0.3">
      <c r="A254" t="s">
        <v>2853</v>
      </c>
      <c r="B254" s="1">
        <v>45358</v>
      </c>
      <c r="C254" s="1">
        <v>45361</v>
      </c>
      <c r="D254" t="s">
        <v>328</v>
      </c>
      <c r="E254" t="s">
        <v>329</v>
      </c>
      <c r="F254" t="s">
        <v>23</v>
      </c>
      <c r="G254" t="s">
        <v>44</v>
      </c>
      <c r="H254" t="s">
        <v>330</v>
      </c>
      <c r="I254" t="s">
        <v>114</v>
      </c>
      <c r="J254" t="s">
        <v>115</v>
      </c>
      <c r="K254" t="s">
        <v>65</v>
      </c>
      <c r="L254">
        <v>1</v>
      </c>
      <c r="M254">
        <v>55000</v>
      </c>
      <c r="N254">
        <v>15</v>
      </c>
      <c r="O254">
        <v>46750</v>
      </c>
      <c r="P254">
        <v>7383.09</v>
      </c>
      <c r="Q254" t="s">
        <v>66</v>
      </c>
      <c r="R254" t="s">
        <v>49</v>
      </c>
      <c r="S254" t="s">
        <v>86</v>
      </c>
      <c r="T254">
        <f>YEAR(Table1_1[[#This Row],[order_date]])</f>
        <v>2024</v>
      </c>
      <c r="U254">
        <f>MONTH(Table1_1[[#This Row],[order_date]])</f>
        <v>3</v>
      </c>
      <c r="V254" t="str">
        <f>TEXT(Table1_1[[#This Row],[order_date]],"mmm")</f>
        <v>Mar</v>
      </c>
      <c r="W254" t="str">
        <f>"Q"&amp;ROUNDUP(MONTH(Table1_1[[#This Row],[order_date]])/3,0)</f>
        <v>Q1</v>
      </c>
      <c r="X254" t="str">
        <f>TEXT(Table1_1[[#This Row],[order_date]],"yyyy-mm")</f>
        <v>2024-03</v>
      </c>
      <c r="Y254">
        <f>IF(Table1_1[[#This Row],[ship_date]]="","",Table1_1[[#This Row],[ship_date]]-Table1_1[[#This Row],[order_date]])</f>
        <v>3</v>
      </c>
      <c r="Z254">
        <f>ROUND(Table1_1[[#This Row],[profit]]/Table1_1[[#This Row],[sales_fix]]*100,2)</f>
        <v>15.79</v>
      </c>
    </row>
    <row r="255" spans="1:26" x14ac:dyDescent="0.3">
      <c r="A255" t="s">
        <v>766</v>
      </c>
      <c r="B255" s="1">
        <v>45343</v>
      </c>
      <c r="C255" s="1">
        <v>45350</v>
      </c>
      <c r="D255" t="s">
        <v>767</v>
      </c>
      <c r="E255" t="s">
        <v>768</v>
      </c>
      <c r="F255" t="s">
        <v>23</v>
      </c>
      <c r="G255" t="s">
        <v>35</v>
      </c>
      <c r="H255" t="s">
        <v>258</v>
      </c>
      <c r="I255" t="s">
        <v>147</v>
      </c>
      <c r="J255" t="s">
        <v>148</v>
      </c>
      <c r="K255" t="s">
        <v>48</v>
      </c>
      <c r="L255">
        <v>1</v>
      </c>
      <c r="M255">
        <v>250</v>
      </c>
      <c r="N255">
        <v>10</v>
      </c>
      <c r="O255">
        <v>225</v>
      </c>
      <c r="P255">
        <v>78.59</v>
      </c>
      <c r="Q255" t="s">
        <v>28</v>
      </c>
      <c r="R255" t="s">
        <v>29</v>
      </c>
      <c r="S255" t="s">
        <v>30</v>
      </c>
      <c r="T255">
        <f>YEAR(Table1_1[[#This Row],[order_date]])</f>
        <v>2024</v>
      </c>
      <c r="U255">
        <f>MONTH(Table1_1[[#This Row],[order_date]])</f>
        <v>2</v>
      </c>
      <c r="V255" t="str">
        <f>TEXT(Table1_1[[#This Row],[order_date]],"mmm")</f>
        <v>Feb</v>
      </c>
      <c r="W255" t="str">
        <f>"Q"&amp;ROUNDUP(MONTH(Table1_1[[#This Row],[order_date]])/3,0)</f>
        <v>Q1</v>
      </c>
      <c r="X255" t="str">
        <f>TEXT(Table1_1[[#This Row],[order_date]],"yyyy-mm")</f>
        <v>2024-02</v>
      </c>
      <c r="Y255">
        <f>IF(Table1_1[[#This Row],[ship_date]]="","",Table1_1[[#This Row],[ship_date]]-Table1_1[[#This Row],[order_date]])</f>
        <v>7</v>
      </c>
      <c r="Z255">
        <f>ROUND(Table1_1[[#This Row],[profit]]/Table1_1[[#This Row],[sales_fix]]*100,2)</f>
        <v>34.93</v>
      </c>
    </row>
    <row r="256" spans="1:26" x14ac:dyDescent="0.3">
      <c r="A256" t="s">
        <v>1276</v>
      </c>
      <c r="B256" s="1">
        <v>45654</v>
      </c>
      <c r="C256" s="1">
        <v>45657</v>
      </c>
      <c r="D256" t="s">
        <v>297</v>
      </c>
      <c r="E256" t="s">
        <v>1110</v>
      </c>
      <c r="F256" t="s">
        <v>23</v>
      </c>
      <c r="G256" t="s">
        <v>91</v>
      </c>
      <c r="H256" t="s">
        <v>177</v>
      </c>
      <c r="I256" t="s">
        <v>79</v>
      </c>
      <c r="J256" t="s">
        <v>80</v>
      </c>
      <c r="K256" t="s">
        <v>65</v>
      </c>
      <c r="L256">
        <v>1</v>
      </c>
      <c r="M256">
        <v>3000</v>
      </c>
      <c r="N256">
        <v>0</v>
      </c>
      <c r="O256">
        <v>3000</v>
      </c>
      <c r="P256">
        <v>790.56</v>
      </c>
      <c r="Q256" t="s">
        <v>66</v>
      </c>
      <c r="R256" t="s">
        <v>56</v>
      </c>
      <c r="S256" t="s">
        <v>40</v>
      </c>
      <c r="T256">
        <f>YEAR(Table1_1[[#This Row],[order_date]])</f>
        <v>2024</v>
      </c>
      <c r="U256">
        <f>MONTH(Table1_1[[#This Row],[order_date]])</f>
        <v>12</v>
      </c>
      <c r="V256" t="str">
        <f>TEXT(Table1_1[[#This Row],[order_date]],"mmm")</f>
        <v>Dec</v>
      </c>
      <c r="W256" t="str">
        <f>"Q"&amp;ROUNDUP(MONTH(Table1_1[[#This Row],[order_date]])/3,0)</f>
        <v>Q4</v>
      </c>
      <c r="X256" t="str">
        <f>TEXT(Table1_1[[#This Row],[order_date]],"yyyy-mm")</f>
        <v>2024-12</v>
      </c>
      <c r="Y256">
        <f>IF(Table1_1[[#This Row],[ship_date]]="","",Table1_1[[#This Row],[ship_date]]-Table1_1[[#This Row],[order_date]])</f>
        <v>3</v>
      </c>
      <c r="Z256">
        <f>ROUND(Table1_1[[#This Row],[profit]]/Table1_1[[#This Row],[sales_fix]]*100,2)</f>
        <v>26.35</v>
      </c>
    </row>
    <row r="257" spans="1:26" x14ac:dyDescent="0.3">
      <c r="A257" t="s">
        <v>3078</v>
      </c>
      <c r="B257" s="1">
        <v>45594</v>
      </c>
      <c r="C257" s="1">
        <v>45599</v>
      </c>
      <c r="D257" t="s">
        <v>491</v>
      </c>
      <c r="E257" t="s">
        <v>492</v>
      </c>
      <c r="F257" t="s">
        <v>34</v>
      </c>
      <c r="G257" t="s">
        <v>44</v>
      </c>
      <c r="H257" t="s">
        <v>330</v>
      </c>
      <c r="I257" t="s">
        <v>126</v>
      </c>
      <c r="J257" t="s">
        <v>127</v>
      </c>
      <c r="K257" t="s">
        <v>95</v>
      </c>
      <c r="L257">
        <v>4</v>
      </c>
      <c r="M257">
        <v>600</v>
      </c>
      <c r="N257">
        <v>5</v>
      </c>
      <c r="O257">
        <v>2280</v>
      </c>
      <c r="P257">
        <v>627.61</v>
      </c>
      <c r="Q257" t="s">
        <v>28</v>
      </c>
      <c r="R257" t="s">
        <v>29</v>
      </c>
      <c r="S257" t="s">
        <v>30</v>
      </c>
      <c r="T257">
        <f>YEAR(Table1_1[[#This Row],[order_date]])</f>
        <v>2024</v>
      </c>
      <c r="U257">
        <f>MONTH(Table1_1[[#This Row],[order_date]])</f>
        <v>10</v>
      </c>
      <c r="V257" t="str">
        <f>TEXT(Table1_1[[#This Row],[order_date]],"mmm")</f>
        <v>Oct</v>
      </c>
      <c r="W257" t="str">
        <f>"Q"&amp;ROUNDUP(MONTH(Table1_1[[#This Row],[order_date]])/3,0)</f>
        <v>Q4</v>
      </c>
      <c r="X257" t="str">
        <f>TEXT(Table1_1[[#This Row],[order_date]],"yyyy-mm")</f>
        <v>2024-10</v>
      </c>
      <c r="Y257">
        <f>IF(Table1_1[[#This Row],[ship_date]]="","",Table1_1[[#This Row],[ship_date]]-Table1_1[[#This Row],[order_date]])</f>
        <v>5</v>
      </c>
      <c r="Z257">
        <f>ROUND(Table1_1[[#This Row],[profit]]/Table1_1[[#This Row],[sales_fix]]*100,2)</f>
        <v>27.53</v>
      </c>
    </row>
    <row r="258" spans="1:26" x14ac:dyDescent="0.3">
      <c r="A258" t="s">
        <v>3043</v>
      </c>
      <c r="B258" s="1">
        <v>45830</v>
      </c>
      <c r="C258" s="1">
        <v>45831</v>
      </c>
      <c r="D258" t="s">
        <v>1643</v>
      </c>
      <c r="E258" t="s">
        <v>1644</v>
      </c>
      <c r="F258" t="s">
        <v>55</v>
      </c>
      <c r="G258" t="s">
        <v>91</v>
      </c>
      <c r="H258" t="s">
        <v>120</v>
      </c>
      <c r="I258" t="s">
        <v>126</v>
      </c>
      <c r="J258" t="s">
        <v>127</v>
      </c>
      <c r="K258" t="s">
        <v>95</v>
      </c>
      <c r="L258">
        <v>1</v>
      </c>
      <c r="M258">
        <v>600</v>
      </c>
      <c r="N258">
        <v>20</v>
      </c>
      <c r="O258">
        <v>480</v>
      </c>
      <c r="P258">
        <v>182.4</v>
      </c>
      <c r="Q258" t="s">
        <v>28</v>
      </c>
      <c r="R258" t="s">
        <v>56</v>
      </c>
      <c r="S258" t="s">
        <v>110</v>
      </c>
      <c r="T258">
        <f>YEAR(Table1_1[[#This Row],[order_date]])</f>
        <v>2025</v>
      </c>
      <c r="U258">
        <f>MONTH(Table1_1[[#This Row],[order_date]])</f>
        <v>6</v>
      </c>
      <c r="V258" t="str">
        <f>TEXT(Table1_1[[#This Row],[order_date]],"mmm")</f>
        <v>Jun</v>
      </c>
      <c r="W258" t="str">
        <f>"Q"&amp;ROUNDUP(MONTH(Table1_1[[#This Row],[order_date]])/3,0)</f>
        <v>Q2</v>
      </c>
      <c r="X258" t="str">
        <f>TEXT(Table1_1[[#This Row],[order_date]],"yyyy-mm")</f>
        <v>2025-06</v>
      </c>
      <c r="Y258">
        <f>IF(Table1_1[[#This Row],[ship_date]]="","",Table1_1[[#This Row],[ship_date]]-Table1_1[[#This Row],[order_date]])</f>
        <v>1</v>
      </c>
      <c r="Z258">
        <f>ROUND(Table1_1[[#This Row],[profit]]/Table1_1[[#This Row],[sales_fix]]*100,2)</f>
        <v>38</v>
      </c>
    </row>
    <row r="259" spans="1:26" x14ac:dyDescent="0.3">
      <c r="A259" t="s">
        <v>1617</v>
      </c>
      <c r="B259" s="1">
        <v>45788</v>
      </c>
      <c r="C259" s="1">
        <v>45795</v>
      </c>
      <c r="D259" t="s">
        <v>89</v>
      </c>
      <c r="E259" t="s">
        <v>90</v>
      </c>
      <c r="F259" t="s">
        <v>23</v>
      </c>
      <c r="G259" t="s">
        <v>91</v>
      </c>
      <c r="H259" t="s">
        <v>92</v>
      </c>
      <c r="I259" t="s">
        <v>46</v>
      </c>
      <c r="J259" t="s">
        <v>47</v>
      </c>
      <c r="K259" t="s">
        <v>48</v>
      </c>
      <c r="L259">
        <v>1</v>
      </c>
      <c r="M259">
        <v>180</v>
      </c>
      <c r="N259">
        <v>10</v>
      </c>
      <c r="O259">
        <v>162</v>
      </c>
      <c r="P259">
        <v>65.680000000000007</v>
      </c>
      <c r="Q259" t="s">
        <v>3113</v>
      </c>
      <c r="R259" t="s">
        <v>29</v>
      </c>
      <c r="S259" t="s">
        <v>86</v>
      </c>
      <c r="T259">
        <f>YEAR(Table1_1[[#This Row],[order_date]])</f>
        <v>2025</v>
      </c>
      <c r="U259">
        <f>MONTH(Table1_1[[#This Row],[order_date]])</f>
        <v>5</v>
      </c>
      <c r="V259" t="str">
        <f>TEXT(Table1_1[[#This Row],[order_date]],"mmm")</f>
        <v>May</v>
      </c>
      <c r="W259" t="str">
        <f>"Q"&amp;ROUNDUP(MONTH(Table1_1[[#This Row],[order_date]])/3,0)</f>
        <v>Q2</v>
      </c>
      <c r="X259" t="str">
        <f>TEXT(Table1_1[[#This Row],[order_date]],"yyyy-mm")</f>
        <v>2025-05</v>
      </c>
      <c r="Y259">
        <f>IF(Table1_1[[#This Row],[ship_date]]="","",Table1_1[[#This Row],[ship_date]]-Table1_1[[#This Row],[order_date]])</f>
        <v>7</v>
      </c>
      <c r="Z259">
        <f>ROUND(Table1_1[[#This Row],[profit]]/Table1_1[[#This Row],[sales_fix]]*100,2)</f>
        <v>40.54</v>
      </c>
    </row>
    <row r="260" spans="1:26" x14ac:dyDescent="0.3">
      <c r="A260" t="s">
        <v>1891</v>
      </c>
      <c r="B260" s="1">
        <v>45516</v>
      </c>
      <c r="C260" s="1">
        <v>45517</v>
      </c>
      <c r="D260" t="s">
        <v>324</v>
      </c>
      <c r="E260" t="s">
        <v>325</v>
      </c>
      <c r="F260" t="s">
        <v>55</v>
      </c>
      <c r="G260" t="s">
        <v>91</v>
      </c>
      <c r="H260" t="s">
        <v>109</v>
      </c>
      <c r="I260" t="s">
        <v>93</v>
      </c>
      <c r="J260" t="s">
        <v>94</v>
      </c>
      <c r="K260" t="s">
        <v>95</v>
      </c>
      <c r="L260">
        <v>1</v>
      </c>
      <c r="M260">
        <v>1800</v>
      </c>
      <c r="N260">
        <v>20</v>
      </c>
      <c r="O260">
        <v>1440</v>
      </c>
      <c r="P260">
        <v>509.75</v>
      </c>
      <c r="Q260" t="s">
        <v>28</v>
      </c>
      <c r="R260" t="s">
        <v>56</v>
      </c>
      <c r="S260" t="s">
        <v>110</v>
      </c>
      <c r="T260">
        <f>YEAR(Table1_1[[#This Row],[order_date]])</f>
        <v>2024</v>
      </c>
      <c r="U260">
        <f>MONTH(Table1_1[[#This Row],[order_date]])</f>
        <v>8</v>
      </c>
      <c r="V260" t="str">
        <f>TEXT(Table1_1[[#This Row],[order_date]],"mmm")</f>
        <v>Aug</v>
      </c>
      <c r="W260" t="str">
        <f>"Q"&amp;ROUNDUP(MONTH(Table1_1[[#This Row],[order_date]])/3,0)</f>
        <v>Q3</v>
      </c>
      <c r="X260" t="str">
        <f>TEXT(Table1_1[[#This Row],[order_date]],"yyyy-mm")</f>
        <v>2024-08</v>
      </c>
      <c r="Y260">
        <f>IF(Table1_1[[#This Row],[ship_date]]="","",Table1_1[[#This Row],[ship_date]]-Table1_1[[#This Row],[order_date]])</f>
        <v>1</v>
      </c>
      <c r="Z260">
        <f>ROUND(Table1_1[[#This Row],[profit]]/Table1_1[[#This Row],[sales_fix]]*100,2)</f>
        <v>35.4</v>
      </c>
    </row>
    <row r="261" spans="1:26" x14ac:dyDescent="0.3">
      <c r="A261" t="s">
        <v>2299</v>
      </c>
      <c r="B261" s="1">
        <v>45455</v>
      </c>
      <c r="C261" s="1">
        <v>45456</v>
      </c>
      <c r="D261" t="s">
        <v>1188</v>
      </c>
      <c r="E261" t="s">
        <v>1189</v>
      </c>
      <c r="F261" t="s">
        <v>55</v>
      </c>
      <c r="G261" t="s">
        <v>61</v>
      </c>
      <c r="H261" t="s">
        <v>125</v>
      </c>
      <c r="I261" t="s">
        <v>103</v>
      </c>
      <c r="J261" t="s">
        <v>104</v>
      </c>
      <c r="K261" t="s">
        <v>65</v>
      </c>
      <c r="L261">
        <v>1</v>
      </c>
      <c r="M261">
        <v>8000</v>
      </c>
      <c r="N261">
        <v>15</v>
      </c>
      <c r="O261">
        <v>6800</v>
      </c>
      <c r="P261">
        <v>1353.98</v>
      </c>
      <c r="Q261" t="s">
        <v>121</v>
      </c>
      <c r="R261" t="s">
        <v>56</v>
      </c>
      <c r="S261" t="s">
        <v>30</v>
      </c>
      <c r="T261">
        <f>YEAR(Table1_1[[#This Row],[order_date]])</f>
        <v>2024</v>
      </c>
      <c r="U261">
        <f>MONTH(Table1_1[[#This Row],[order_date]])</f>
        <v>6</v>
      </c>
      <c r="V261" t="str">
        <f>TEXT(Table1_1[[#This Row],[order_date]],"mmm")</f>
        <v>Jun</v>
      </c>
      <c r="W261" t="str">
        <f>"Q"&amp;ROUNDUP(MONTH(Table1_1[[#This Row],[order_date]])/3,0)</f>
        <v>Q2</v>
      </c>
      <c r="X261" t="str">
        <f>TEXT(Table1_1[[#This Row],[order_date]],"yyyy-mm")</f>
        <v>2024-06</v>
      </c>
      <c r="Y261">
        <f>IF(Table1_1[[#This Row],[ship_date]]="","",Table1_1[[#This Row],[ship_date]]-Table1_1[[#This Row],[order_date]])</f>
        <v>1</v>
      </c>
      <c r="Z261">
        <f>ROUND(Table1_1[[#This Row],[profit]]/Table1_1[[#This Row],[sales_fix]]*100,2)</f>
        <v>19.91</v>
      </c>
    </row>
    <row r="262" spans="1:26" x14ac:dyDescent="0.3">
      <c r="A262" t="s">
        <v>1650</v>
      </c>
      <c r="B262" s="1">
        <v>45472</v>
      </c>
      <c r="C262" s="1">
        <v>45478</v>
      </c>
      <c r="D262" t="s">
        <v>1464</v>
      </c>
      <c r="E262" t="s">
        <v>1465</v>
      </c>
      <c r="F262" t="s">
        <v>23</v>
      </c>
      <c r="G262" t="s">
        <v>91</v>
      </c>
      <c r="H262" t="s">
        <v>109</v>
      </c>
      <c r="I262" t="s">
        <v>79</v>
      </c>
      <c r="J262" t="s">
        <v>80</v>
      </c>
      <c r="K262" t="s">
        <v>65</v>
      </c>
      <c r="L262">
        <v>1</v>
      </c>
      <c r="M262">
        <v>3000</v>
      </c>
      <c r="N262">
        <v>0</v>
      </c>
      <c r="O262">
        <v>3000</v>
      </c>
      <c r="P262">
        <v>920.24</v>
      </c>
      <c r="Q262" t="s">
        <v>39</v>
      </c>
      <c r="R262" t="s">
        <v>29</v>
      </c>
      <c r="S262" t="s">
        <v>110</v>
      </c>
      <c r="T262">
        <f>YEAR(Table1_1[[#This Row],[order_date]])</f>
        <v>2024</v>
      </c>
      <c r="U262">
        <f>MONTH(Table1_1[[#This Row],[order_date]])</f>
        <v>6</v>
      </c>
      <c r="V262" t="str">
        <f>TEXT(Table1_1[[#This Row],[order_date]],"mmm")</f>
        <v>Jun</v>
      </c>
      <c r="W262" t="str">
        <f>"Q"&amp;ROUNDUP(MONTH(Table1_1[[#This Row],[order_date]])/3,0)</f>
        <v>Q2</v>
      </c>
      <c r="X262" t="str">
        <f>TEXT(Table1_1[[#This Row],[order_date]],"yyyy-mm")</f>
        <v>2024-06</v>
      </c>
      <c r="Y262">
        <f>IF(Table1_1[[#This Row],[ship_date]]="","",Table1_1[[#This Row],[ship_date]]-Table1_1[[#This Row],[order_date]])</f>
        <v>6</v>
      </c>
      <c r="Z262">
        <f>ROUND(Table1_1[[#This Row],[profit]]/Table1_1[[#This Row],[sales_fix]]*100,2)</f>
        <v>30.67</v>
      </c>
    </row>
    <row r="263" spans="1:26" x14ac:dyDescent="0.3">
      <c r="A263" t="s">
        <v>402</v>
      </c>
      <c r="B263" s="1">
        <v>45437</v>
      </c>
      <c r="C263" s="1">
        <v>45445</v>
      </c>
      <c r="D263" t="s">
        <v>403</v>
      </c>
      <c r="E263" t="s">
        <v>404</v>
      </c>
      <c r="F263" t="s">
        <v>55</v>
      </c>
      <c r="G263" t="s">
        <v>35</v>
      </c>
      <c r="H263" t="s">
        <v>36</v>
      </c>
      <c r="I263" t="s">
        <v>93</v>
      </c>
      <c r="J263" t="s">
        <v>94</v>
      </c>
      <c r="K263" t="s">
        <v>95</v>
      </c>
      <c r="L263">
        <v>2</v>
      </c>
      <c r="M263">
        <v>1800</v>
      </c>
      <c r="N263">
        <v>0</v>
      </c>
      <c r="O263">
        <v>3600</v>
      </c>
      <c r="P263">
        <v>1303.7</v>
      </c>
      <c r="Q263" t="s">
        <v>39</v>
      </c>
      <c r="R263" t="s">
        <v>49</v>
      </c>
      <c r="S263" t="s">
        <v>50</v>
      </c>
      <c r="T263">
        <f>YEAR(Table1_1[[#This Row],[order_date]])</f>
        <v>2024</v>
      </c>
      <c r="U263">
        <f>MONTH(Table1_1[[#This Row],[order_date]])</f>
        <v>5</v>
      </c>
      <c r="V263" t="str">
        <f>TEXT(Table1_1[[#This Row],[order_date]],"mmm")</f>
        <v>May</v>
      </c>
      <c r="W263" t="str">
        <f>"Q"&amp;ROUNDUP(MONTH(Table1_1[[#This Row],[order_date]])/3,0)</f>
        <v>Q2</v>
      </c>
      <c r="X263" t="str">
        <f>TEXT(Table1_1[[#This Row],[order_date]],"yyyy-mm")</f>
        <v>2024-05</v>
      </c>
      <c r="Y263">
        <f>IF(Table1_1[[#This Row],[ship_date]]="","",Table1_1[[#This Row],[ship_date]]-Table1_1[[#This Row],[order_date]])</f>
        <v>8</v>
      </c>
      <c r="Z263">
        <f>ROUND(Table1_1[[#This Row],[profit]]/Table1_1[[#This Row],[sales_fix]]*100,2)</f>
        <v>36.21</v>
      </c>
    </row>
    <row r="264" spans="1:26" x14ac:dyDescent="0.3">
      <c r="A264" t="s">
        <v>949</v>
      </c>
      <c r="B264" s="1">
        <v>45384</v>
      </c>
      <c r="C264" s="1">
        <v>45392</v>
      </c>
      <c r="D264" t="s">
        <v>83</v>
      </c>
      <c r="E264" t="s">
        <v>84</v>
      </c>
      <c r="F264" t="s">
        <v>34</v>
      </c>
      <c r="G264" t="s">
        <v>35</v>
      </c>
      <c r="H264" t="s">
        <v>85</v>
      </c>
      <c r="I264" t="s">
        <v>114</v>
      </c>
      <c r="J264" t="s">
        <v>115</v>
      </c>
      <c r="K264" t="s">
        <v>65</v>
      </c>
      <c r="L264">
        <v>1</v>
      </c>
      <c r="M264">
        <v>55000</v>
      </c>
      <c r="N264">
        <v>10</v>
      </c>
      <c r="O264">
        <v>49500</v>
      </c>
      <c r="P264">
        <v>8910</v>
      </c>
      <c r="Q264" t="s">
        <v>66</v>
      </c>
      <c r="R264" t="s">
        <v>49</v>
      </c>
      <c r="S264" t="s">
        <v>40</v>
      </c>
      <c r="T264">
        <f>YEAR(Table1_1[[#This Row],[order_date]])</f>
        <v>2024</v>
      </c>
      <c r="U264">
        <f>MONTH(Table1_1[[#This Row],[order_date]])</f>
        <v>4</v>
      </c>
      <c r="V264" t="str">
        <f>TEXT(Table1_1[[#This Row],[order_date]],"mmm")</f>
        <v>Apr</v>
      </c>
      <c r="W264" t="str">
        <f>"Q"&amp;ROUNDUP(MONTH(Table1_1[[#This Row],[order_date]])/3,0)</f>
        <v>Q2</v>
      </c>
      <c r="X264" t="str">
        <f>TEXT(Table1_1[[#This Row],[order_date]],"yyyy-mm")</f>
        <v>2024-04</v>
      </c>
      <c r="Y264">
        <f>IF(Table1_1[[#This Row],[ship_date]]="","",Table1_1[[#This Row],[ship_date]]-Table1_1[[#This Row],[order_date]])</f>
        <v>8</v>
      </c>
      <c r="Z264">
        <f>ROUND(Table1_1[[#This Row],[profit]]/Table1_1[[#This Row],[sales_fix]]*100,2)</f>
        <v>18</v>
      </c>
    </row>
    <row r="265" spans="1:26" x14ac:dyDescent="0.3">
      <c r="A265" t="s">
        <v>1329</v>
      </c>
      <c r="B265" s="1">
        <v>45640</v>
      </c>
      <c r="C265" s="1">
        <v>45641</v>
      </c>
      <c r="D265" t="s">
        <v>1100</v>
      </c>
      <c r="E265" t="s">
        <v>1101</v>
      </c>
      <c r="F265" t="s">
        <v>23</v>
      </c>
      <c r="G265" t="s">
        <v>44</v>
      </c>
      <c r="H265" t="s">
        <v>161</v>
      </c>
      <c r="I265" t="s">
        <v>79</v>
      </c>
      <c r="J265" t="s">
        <v>80</v>
      </c>
      <c r="K265" t="s">
        <v>65</v>
      </c>
      <c r="L265">
        <v>5</v>
      </c>
      <c r="M265">
        <v>3000</v>
      </c>
      <c r="N265">
        <v>20</v>
      </c>
      <c r="O265">
        <v>12000</v>
      </c>
      <c r="P265">
        <v>3770.23</v>
      </c>
      <c r="Q265" t="s">
        <v>66</v>
      </c>
      <c r="R265" t="s">
        <v>29</v>
      </c>
      <c r="S265" t="s">
        <v>86</v>
      </c>
      <c r="T265">
        <f>YEAR(Table1_1[[#This Row],[order_date]])</f>
        <v>2024</v>
      </c>
      <c r="U265">
        <f>MONTH(Table1_1[[#This Row],[order_date]])</f>
        <v>12</v>
      </c>
      <c r="V265" t="str">
        <f>TEXT(Table1_1[[#This Row],[order_date]],"mmm")</f>
        <v>Dec</v>
      </c>
      <c r="W265" t="str">
        <f>"Q"&amp;ROUNDUP(MONTH(Table1_1[[#This Row],[order_date]])/3,0)</f>
        <v>Q4</v>
      </c>
      <c r="X265" t="str">
        <f>TEXT(Table1_1[[#This Row],[order_date]],"yyyy-mm")</f>
        <v>2024-12</v>
      </c>
      <c r="Y265">
        <f>IF(Table1_1[[#This Row],[ship_date]]="","",Table1_1[[#This Row],[ship_date]]-Table1_1[[#This Row],[order_date]])</f>
        <v>1</v>
      </c>
      <c r="Z265">
        <f>ROUND(Table1_1[[#This Row],[profit]]/Table1_1[[#This Row],[sales_fix]]*100,2)</f>
        <v>31.42</v>
      </c>
    </row>
    <row r="266" spans="1:26" x14ac:dyDescent="0.3">
      <c r="A266" t="s">
        <v>1622</v>
      </c>
      <c r="B266" s="1">
        <v>45830</v>
      </c>
      <c r="C266" s="1">
        <v>45837</v>
      </c>
      <c r="D266" t="s">
        <v>657</v>
      </c>
      <c r="E266" t="s">
        <v>658</v>
      </c>
      <c r="F266" t="s">
        <v>34</v>
      </c>
      <c r="G266" t="s">
        <v>91</v>
      </c>
      <c r="H266" t="s">
        <v>120</v>
      </c>
      <c r="I266" t="s">
        <v>63</v>
      </c>
      <c r="J266" t="s">
        <v>64</v>
      </c>
      <c r="K266" t="s">
        <v>65</v>
      </c>
      <c r="L266">
        <v>4</v>
      </c>
      <c r="M266">
        <v>25000</v>
      </c>
      <c r="N266">
        <v>0</v>
      </c>
      <c r="O266">
        <v>100000</v>
      </c>
      <c r="P266">
        <v>12741.54</v>
      </c>
      <c r="Q266" t="s">
        <v>39</v>
      </c>
      <c r="R266" t="s">
        <v>29</v>
      </c>
      <c r="S266" t="s">
        <v>110</v>
      </c>
      <c r="T266">
        <f>YEAR(Table1_1[[#This Row],[order_date]])</f>
        <v>2025</v>
      </c>
      <c r="U266">
        <f>MONTH(Table1_1[[#This Row],[order_date]])</f>
        <v>6</v>
      </c>
      <c r="V266" t="str">
        <f>TEXT(Table1_1[[#This Row],[order_date]],"mmm")</f>
        <v>Jun</v>
      </c>
      <c r="W266" t="str">
        <f>"Q"&amp;ROUNDUP(MONTH(Table1_1[[#This Row],[order_date]])/3,0)</f>
        <v>Q2</v>
      </c>
      <c r="X266" t="str">
        <f>TEXT(Table1_1[[#This Row],[order_date]],"yyyy-mm")</f>
        <v>2025-06</v>
      </c>
      <c r="Y266">
        <f>IF(Table1_1[[#This Row],[ship_date]]="","",Table1_1[[#This Row],[ship_date]]-Table1_1[[#This Row],[order_date]])</f>
        <v>7</v>
      </c>
      <c r="Z266">
        <f>ROUND(Table1_1[[#This Row],[profit]]/Table1_1[[#This Row],[sales_fix]]*100,2)</f>
        <v>12.74</v>
      </c>
    </row>
    <row r="267" spans="1:26" x14ac:dyDescent="0.3">
      <c r="A267" t="s">
        <v>2125</v>
      </c>
      <c r="B267" s="1">
        <v>45431</v>
      </c>
      <c r="C267" s="1">
        <v>45439</v>
      </c>
      <c r="D267" t="s">
        <v>223</v>
      </c>
      <c r="E267" t="s">
        <v>224</v>
      </c>
      <c r="F267" t="s">
        <v>34</v>
      </c>
      <c r="G267" t="s">
        <v>35</v>
      </c>
      <c r="H267" t="s">
        <v>85</v>
      </c>
      <c r="I267" t="s">
        <v>37</v>
      </c>
      <c r="J267" t="s">
        <v>38</v>
      </c>
      <c r="K267" t="s">
        <v>27</v>
      </c>
      <c r="L267">
        <v>10</v>
      </c>
      <c r="M267">
        <v>9500</v>
      </c>
      <c r="N267">
        <v>15</v>
      </c>
      <c r="O267">
        <v>80750</v>
      </c>
      <c r="P267">
        <v>17433.560000000001</v>
      </c>
      <c r="Q267" t="s">
        <v>156</v>
      </c>
      <c r="R267" t="s">
        <v>49</v>
      </c>
      <c r="S267" t="s">
        <v>50</v>
      </c>
      <c r="T267">
        <f>YEAR(Table1_1[[#This Row],[order_date]])</f>
        <v>2024</v>
      </c>
      <c r="U267">
        <f>MONTH(Table1_1[[#This Row],[order_date]])</f>
        <v>5</v>
      </c>
      <c r="V267" t="str">
        <f>TEXT(Table1_1[[#This Row],[order_date]],"mmm")</f>
        <v>May</v>
      </c>
      <c r="W267" t="str">
        <f>"Q"&amp;ROUNDUP(MONTH(Table1_1[[#This Row],[order_date]])/3,0)</f>
        <v>Q2</v>
      </c>
      <c r="X267" t="str">
        <f>TEXT(Table1_1[[#This Row],[order_date]],"yyyy-mm")</f>
        <v>2024-05</v>
      </c>
      <c r="Y267">
        <f>IF(Table1_1[[#This Row],[ship_date]]="","",Table1_1[[#This Row],[ship_date]]-Table1_1[[#This Row],[order_date]])</f>
        <v>8</v>
      </c>
      <c r="Z267">
        <f>ROUND(Table1_1[[#This Row],[profit]]/Table1_1[[#This Row],[sales_fix]]*100,2)</f>
        <v>21.59</v>
      </c>
    </row>
    <row r="268" spans="1:26" x14ac:dyDescent="0.3">
      <c r="A268" t="s">
        <v>750</v>
      </c>
      <c r="B268" s="1">
        <v>45920</v>
      </c>
      <c r="C268" s="1">
        <v>45923</v>
      </c>
      <c r="D268" t="s">
        <v>751</v>
      </c>
      <c r="E268" t="s">
        <v>752</v>
      </c>
      <c r="F268" t="s">
        <v>23</v>
      </c>
      <c r="G268" t="s">
        <v>35</v>
      </c>
      <c r="H268" t="s">
        <v>85</v>
      </c>
      <c r="I268" t="s">
        <v>71</v>
      </c>
      <c r="J268" t="s">
        <v>72</v>
      </c>
      <c r="K268" t="s">
        <v>73</v>
      </c>
      <c r="L268">
        <v>3</v>
      </c>
      <c r="M268">
        <v>3500</v>
      </c>
      <c r="N268">
        <v>0</v>
      </c>
      <c r="O268">
        <v>10500</v>
      </c>
      <c r="P268">
        <v>3246.47</v>
      </c>
      <c r="Q268" t="s">
        <v>28</v>
      </c>
      <c r="R268" t="s">
        <v>49</v>
      </c>
      <c r="S268" t="s">
        <v>110</v>
      </c>
      <c r="T268">
        <f>YEAR(Table1_1[[#This Row],[order_date]])</f>
        <v>2025</v>
      </c>
      <c r="U268">
        <f>MONTH(Table1_1[[#This Row],[order_date]])</f>
        <v>9</v>
      </c>
      <c r="V268" t="str">
        <f>TEXT(Table1_1[[#This Row],[order_date]],"mmm")</f>
        <v>Sep</v>
      </c>
      <c r="W268" t="str">
        <f>"Q"&amp;ROUNDUP(MONTH(Table1_1[[#This Row],[order_date]])/3,0)</f>
        <v>Q3</v>
      </c>
      <c r="X268" t="str">
        <f>TEXT(Table1_1[[#This Row],[order_date]],"yyyy-mm")</f>
        <v>2025-09</v>
      </c>
      <c r="Y268">
        <f>IF(Table1_1[[#This Row],[ship_date]]="","",Table1_1[[#This Row],[ship_date]]-Table1_1[[#This Row],[order_date]])</f>
        <v>3</v>
      </c>
      <c r="Z268">
        <f>ROUND(Table1_1[[#This Row],[profit]]/Table1_1[[#This Row],[sales_fix]]*100,2)</f>
        <v>30.92</v>
      </c>
    </row>
    <row r="269" spans="1:26" x14ac:dyDescent="0.3">
      <c r="A269" t="s">
        <v>1624</v>
      </c>
      <c r="B269" s="1">
        <v>45293</v>
      </c>
      <c r="C269" s="1">
        <v>45294</v>
      </c>
      <c r="D269" t="s">
        <v>150</v>
      </c>
      <c r="E269" t="s">
        <v>151</v>
      </c>
      <c r="F269" t="s">
        <v>34</v>
      </c>
      <c r="G269" t="s">
        <v>35</v>
      </c>
      <c r="H269" t="s">
        <v>36</v>
      </c>
      <c r="I269" t="s">
        <v>79</v>
      </c>
      <c r="J269" t="s">
        <v>80</v>
      </c>
      <c r="K269" t="s">
        <v>65</v>
      </c>
      <c r="L269">
        <v>5</v>
      </c>
      <c r="M269">
        <v>3000</v>
      </c>
      <c r="N269">
        <v>10</v>
      </c>
      <c r="O269">
        <v>13500</v>
      </c>
      <c r="P269">
        <v>3469.39</v>
      </c>
      <c r="Q269" t="s">
        <v>121</v>
      </c>
      <c r="R269" t="s">
        <v>56</v>
      </c>
      <c r="S269" t="s">
        <v>110</v>
      </c>
      <c r="T269">
        <f>YEAR(Table1_1[[#This Row],[order_date]])</f>
        <v>2024</v>
      </c>
      <c r="U269">
        <f>MONTH(Table1_1[[#This Row],[order_date]])</f>
        <v>1</v>
      </c>
      <c r="V269" t="str">
        <f>TEXT(Table1_1[[#This Row],[order_date]],"mmm")</f>
        <v>Jan</v>
      </c>
      <c r="W269" t="str">
        <f>"Q"&amp;ROUNDUP(MONTH(Table1_1[[#This Row],[order_date]])/3,0)</f>
        <v>Q1</v>
      </c>
      <c r="X269" t="str">
        <f>TEXT(Table1_1[[#This Row],[order_date]],"yyyy-mm")</f>
        <v>2024-01</v>
      </c>
      <c r="Y269">
        <f>IF(Table1_1[[#This Row],[ship_date]]="","",Table1_1[[#This Row],[ship_date]]-Table1_1[[#This Row],[order_date]])</f>
        <v>1</v>
      </c>
      <c r="Z269">
        <f>ROUND(Table1_1[[#This Row],[profit]]/Table1_1[[#This Row],[sales_fix]]*100,2)</f>
        <v>25.7</v>
      </c>
    </row>
    <row r="270" spans="1:26" x14ac:dyDescent="0.3">
      <c r="A270" t="s">
        <v>2234</v>
      </c>
      <c r="B270" s="1">
        <v>45871</v>
      </c>
      <c r="C270" s="1">
        <v>45873</v>
      </c>
      <c r="D270" t="s">
        <v>444</v>
      </c>
      <c r="E270" t="s">
        <v>445</v>
      </c>
      <c r="F270" t="s">
        <v>55</v>
      </c>
      <c r="G270" t="s">
        <v>91</v>
      </c>
      <c r="H270" t="s">
        <v>92</v>
      </c>
      <c r="I270" t="s">
        <v>126</v>
      </c>
      <c r="J270" t="s">
        <v>127</v>
      </c>
      <c r="K270" t="s">
        <v>95</v>
      </c>
      <c r="L270">
        <v>1</v>
      </c>
      <c r="M270">
        <v>600</v>
      </c>
      <c r="N270">
        <v>5</v>
      </c>
      <c r="O270">
        <v>570</v>
      </c>
      <c r="P270">
        <v>163.81</v>
      </c>
      <c r="Q270" t="s">
        <v>121</v>
      </c>
      <c r="R270" t="s">
        <v>49</v>
      </c>
      <c r="S270" t="s">
        <v>110</v>
      </c>
      <c r="T270">
        <f>YEAR(Table1_1[[#This Row],[order_date]])</f>
        <v>2025</v>
      </c>
      <c r="U270">
        <f>MONTH(Table1_1[[#This Row],[order_date]])</f>
        <v>8</v>
      </c>
      <c r="V270" t="str">
        <f>TEXT(Table1_1[[#This Row],[order_date]],"mmm")</f>
        <v>Aug</v>
      </c>
      <c r="W270" t="str">
        <f>"Q"&amp;ROUNDUP(MONTH(Table1_1[[#This Row],[order_date]])/3,0)</f>
        <v>Q3</v>
      </c>
      <c r="X270" t="str">
        <f>TEXT(Table1_1[[#This Row],[order_date]],"yyyy-mm")</f>
        <v>2025-08</v>
      </c>
      <c r="Y270">
        <f>IF(Table1_1[[#This Row],[ship_date]]="","",Table1_1[[#This Row],[ship_date]]-Table1_1[[#This Row],[order_date]])</f>
        <v>2</v>
      </c>
      <c r="Z270">
        <f>ROUND(Table1_1[[#This Row],[profit]]/Table1_1[[#This Row],[sales_fix]]*100,2)</f>
        <v>28.74</v>
      </c>
    </row>
    <row r="271" spans="1:26" x14ac:dyDescent="0.3">
      <c r="A271" t="s">
        <v>725</v>
      </c>
      <c r="B271" s="1">
        <v>45382</v>
      </c>
      <c r="C271" s="1">
        <v>45388</v>
      </c>
      <c r="D271" t="s">
        <v>726</v>
      </c>
      <c r="E271" t="s">
        <v>727</v>
      </c>
      <c r="F271" t="s">
        <v>34</v>
      </c>
      <c r="G271" t="s">
        <v>35</v>
      </c>
      <c r="H271" t="s">
        <v>258</v>
      </c>
      <c r="I271" t="s">
        <v>126</v>
      </c>
      <c r="J271" t="s">
        <v>127</v>
      </c>
      <c r="K271" t="s">
        <v>95</v>
      </c>
      <c r="L271">
        <v>4</v>
      </c>
      <c r="M271">
        <v>600</v>
      </c>
      <c r="N271">
        <v>15</v>
      </c>
      <c r="O271">
        <v>2040</v>
      </c>
      <c r="P271">
        <v>740.81</v>
      </c>
      <c r="Q271" t="s">
        <v>28</v>
      </c>
      <c r="R271" t="s">
        <v>29</v>
      </c>
      <c r="S271" t="s">
        <v>110</v>
      </c>
      <c r="T271">
        <f>YEAR(Table1_1[[#This Row],[order_date]])</f>
        <v>2024</v>
      </c>
      <c r="U271">
        <f>MONTH(Table1_1[[#This Row],[order_date]])</f>
        <v>3</v>
      </c>
      <c r="V271" t="str">
        <f>TEXT(Table1_1[[#This Row],[order_date]],"mmm")</f>
        <v>Mar</v>
      </c>
      <c r="W271" t="str">
        <f>"Q"&amp;ROUNDUP(MONTH(Table1_1[[#This Row],[order_date]])/3,0)</f>
        <v>Q1</v>
      </c>
      <c r="X271" t="str">
        <f>TEXT(Table1_1[[#This Row],[order_date]],"yyyy-mm")</f>
        <v>2024-03</v>
      </c>
      <c r="Y271">
        <f>IF(Table1_1[[#This Row],[ship_date]]="","",Table1_1[[#This Row],[ship_date]]-Table1_1[[#This Row],[order_date]])</f>
        <v>6</v>
      </c>
      <c r="Z271">
        <f>ROUND(Table1_1[[#This Row],[profit]]/Table1_1[[#This Row],[sales_fix]]*100,2)</f>
        <v>36.31</v>
      </c>
    </row>
    <row r="272" spans="1:26" x14ac:dyDescent="0.3">
      <c r="A272" t="s">
        <v>2188</v>
      </c>
      <c r="B272" s="1">
        <v>46001</v>
      </c>
      <c r="C272" s="1">
        <v>46002</v>
      </c>
      <c r="D272" t="s">
        <v>643</v>
      </c>
      <c r="E272" t="s">
        <v>644</v>
      </c>
      <c r="F272" t="s">
        <v>34</v>
      </c>
      <c r="G272" t="s">
        <v>61</v>
      </c>
      <c r="H272" t="s">
        <v>78</v>
      </c>
      <c r="I272" t="s">
        <v>103</v>
      </c>
      <c r="J272" t="s">
        <v>104</v>
      </c>
      <c r="K272" t="s">
        <v>65</v>
      </c>
      <c r="L272">
        <v>1</v>
      </c>
      <c r="M272">
        <v>8000</v>
      </c>
      <c r="N272">
        <v>0</v>
      </c>
      <c r="O272">
        <v>8000</v>
      </c>
      <c r="P272">
        <v>1976.33</v>
      </c>
      <c r="Q272" t="s">
        <v>28</v>
      </c>
      <c r="R272" t="s">
        <v>49</v>
      </c>
      <c r="S272" t="s">
        <v>30</v>
      </c>
      <c r="T272">
        <f>YEAR(Table1_1[[#This Row],[order_date]])</f>
        <v>2025</v>
      </c>
      <c r="U272">
        <f>MONTH(Table1_1[[#This Row],[order_date]])</f>
        <v>12</v>
      </c>
      <c r="V272" t="str">
        <f>TEXT(Table1_1[[#This Row],[order_date]],"mmm")</f>
        <v>Dec</v>
      </c>
      <c r="W272" t="str">
        <f>"Q"&amp;ROUNDUP(MONTH(Table1_1[[#This Row],[order_date]])/3,0)</f>
        <v>Q4</v>
      </c>
      <c r="X272" t="str">
        <f>TEXT(Table1_1[[#This Row],[order_date]],"yyyy-mm")</f>
        <v>2025-12</v>
      </c>
      <c r="Y272">
        <f>IF(Table1_1[[#This Row],[ship_date]]="","",Table1_1[[#This Row],[ship_date]]-Table1_1[[#This Row],[order_date]])</f>
        <v>1</v>
      </c>
      <c r="Z272">
        <f>ROUND(Table1_1[[#This Row],[profit]]/Table1_1[[#This Row],[sales_fix]]*100,2)</f>
        <v>24.7</v>
      </c>
    </row>
    <row r="273" spans="1:26" x14ac:dyDescent="0.3">
      <c r="A273" t="s">
        <v>2586</v>
      </c>
      <c r="B273" s="1">
        <v>45796</v>
      </c>
      <c r="C273" s="1">
        <v>45798</v>
      </c>
      <c r="D273" t="s">
        <v>726</v>
      </c>
      <c r="E273" t="s">
        <v>727</v>
      </c>
      <c r="F273" t="s">
        <v>34</v>
      </c>
      <c r="G273" t="s">
        <v>35</v>
      </c>
      <c r="H273" t="s">
        <v>258</v>
      </c>
      <c r="I273" t="s">
        <v>134</v>
      </c>
      <c r="J273" t="s">
        <v>135</v>
      </c>
      <c r="K273" t="s">
        <v>27</v>
      </c>
      <c r="L273">
        <v>4</v>
      </c>
      <c r="M273">
        <v>6000</v>
      </c>
      <c r="N273">
        <v>0</v>
      </c>
      <c r="O273">
        <v>24000</v>
      </c>
      <c r="P273">
        <v>5290.04</v>
      </c>
      <c r="Q273" t="s">
        <v>28</v>
      </c>
      <c r="R273" t="s">
        <v>56</v>
      </c>
      <c r="S273" t="s">
        <v>50</v>
      </c>
      <c r="T273">
        <f>YEAR(Table1_1[[#This Row],[order_date]])</f>
        <v>2025</v>
      </c>
      <c r="U273">
        <f>MONTH(Table1_1[[#This Row],[order_date]])</f>
        <v>5</v>
      </c>
      <c r="V273" t="str">
        <f>TEXT(Table1_1[[#This Row],[order_date]],"mmm")</f>
        <v>May</v>
      </c>
      <c r="W273" t="str">
        <f>"Q"&amp;ROUNDUP(MONTH(Table1_1[[#This Row],[order_date]])/3,0)</f>
        <v>Q2</v>
      </c>
      <c r="X273" t="str">
        <f>TEXT(Table1_1[[#This Row],[order_date]],"yyyy-mm")</f>
        <v>2025-05</v>
      </c>
      <c r="Y273">
        <f>IF(Table1_1[[#This Row],[ship_date]]="","",Table1_1[[#This Row],[ship_date]]-Table1_1[[#This Row],[order_date]])</f>
        <v>2</v>
      </c>
      <c r="Z273">
        <f>ROUND(Table1_1[[#This Row],[profit]]/Table1_1[[#This Row],[sales_fix]]*100,2)</f>
        <v>22.04</v>
      </c>
    </row>
    <row r="274" spans="1:26" x14ac:dyDescent="0.3">
      <c r="A274" t="s">
        <v>430</v>
      </c>
      <c r="B274" s="1">
        <v>45367</v>
      </c>
      <c r="C274" s="1">
        <v>45373</v>
      </c>
      <c r="D274" t="s">
        <v>431</v>
      </c>
      <c r="E274" t="s">
        <v>432</v>
      </c>
      <c r="F274" t="s">
        <v>23</v>
      </c>
      <c r="G274" t="s">
        <v>91</v>
      </c>
      <c r="H274" t="s">
        <v>120</v>
      </c>
      <c r="I274" t="s">
        <v>147</v>
      </c>
      <c r="J274" t="s">
        <v>148</v>
      </c>
      <c r="K274" t="s">
        <v>48</v>
      </c>
      <c r="L274">
        <v>3</v>
      </c>
      <c r="M274">
        <v>250</v>
      </c>
      <c r="N274">
        <v>0</v>
      </c>
      <c r="O274">
        <v>750</v>
      </c>
      <c r="P274">
        <v>245.39</v>
      </c>
      <c r="Q274" t="s">
        <v>74</v>
      </c>
      <c r="R274" t="s">
        <v>29</v>
      </c>
      <c r="S274" t="s">
        <v>86</v>
      </c>
      <c r="T274">
        <f>YEAR(Table1_1[[#This Row],[order_date]])</f>
        <v>2024</v>
      </c>
      <c r="U274">
        <f>MONTH(Table1_1[[#This Row],[order_date]])</f>
        <v>3</v>
      </c>
      <c r="V274" t="str">
        <f>TEXT(Table1_1[[#This Row],[order_date]],"mmm")</f>
        <v>Mar</v>
      </c>
      <c r="W274" t="str">
        <f>"Q"&amp;ROUNDUP(MONTH(Table1_1[[#This Row],[order_date]])/3,0)</f>
        <v>Q1</v>
      </c>
      <c r="X274" t="str">
        <f>TEXT(Table1_1[[#This Row],[order_date]],"yyyy-mm")</f>
        <v>2024-03</v>
      </c>
      <c r="Y274">
        <f>IF(Table1_1[[#This Row],[ship_date]]="","",Table1_1[[#This Row],[ship_date]]-Table1_1[[#This Row],[order_date]])</f>
        <v>6</v>
      </c>
      <c r="Z274">
        <f>ROUND(Table1_1[[#This Row],[profit]]/Table1_1[[#This Row],[sales_fix]]*100,2)</f>
        <v>32.72</v>
      </c>
    </row>
    <row r="275" spans="1:26" x14ac:dyDescent="0.3">
      <c r="A275" t="s">
        <v>1405</v>
      </c>
      <c r="B275" s="1">
        <v>45676</v>
      </c>
      <c r="C275" s="1">
        <v>45678</v>
      </c>
      <c r="D275" t="s">
        <v>1135</v>
      </c>
      <c r="E275" t="s">
        <v>1136</v>
      </c>
      <c r="F275" t="s">
        <v>55</v>
      </c>
      <c r="G275" t="s">
        <v>61</v>
      </c>
      <c r="H275" t="s">
        <v>125</v>
      </c>
      <c r="I275" t="s">
        <v>79</v>
      </c>
      <c r="J275" t="s">
        <v>80</v>
      </c>
      <c r="K275" t="s">
        <v>65</v>
      </c>
      <c r="L275">
        <v>1</v>
      </c>
      <c r="M275">
        <v>3000</v>
      </c>
      <c r="N275">
        <v>0</v>
      </c>
      <c r="O275">
        <v>3000</v>
      </c>
      <c r="P275">
        <v>826.94</v>
      </c>
      <c r="Q275" t="s">
        <v>74</v>
      </c>
      <c r="R275" t="s">
        <v>56</v>
      </c>
      <c r="S275" t="s">
        <v>40</v>
      </c>
      <c r="T275">
        <f>YEAR(Table1_1[[#This Row],[order_date]])</f>
        <v>2025</v>
      </c>
      <c r="U275">
        <f>MONTH(Table1_1[[#This Row],[order_date]])</f>
        <v>1</v>
      </c>
      <c r="V275" t="str">
        <f>TEXT(Table1_1[[#This Row],[order_date]],"mmm")</f>
        <v>Jan</v>
      </c>
      <c r="W275" t="str">
        <f>"Q"&amp;ROUNDUP(MONTH(Table1_1[[#This Row],[order_date]])/3,0)</f>
        <v>Q1</v>
      </c>
      <c r="X275" t="str">
        <f>TEXT(Table1_1[[#This Row],[order_date]],"yyyy-mm")</f>
        <v>2025-01</v>
      </c>
      <c r="Y275">
        <f>IF(Table1_1[[#This Row],[ship_date]]="","",Table1_1[[#This Row],[ship_date]]-Table1_1[[#This Row],[order_date]])</f>
        <v>2</v>
      </c>
      <c r="Z275">
        <f>ROUND(Table1_1[[#This Row],[profit]]/Table1_1[[#This Row],[sales_fix]]*100,2)</f>
        <v>27.56</v>
      </c>
    </row>
    <row r="276" spans="1:26" x14ac:dyDescent="0.3">
      <c r="A276" t="s">
        <v>1721</v>
      </c>
      <c r="B276" s="1">
        <v>45323</v>
      </c>
      <c r="C276" s="1">
        <v>45330</v>
      </c>
      <c r="D276" t="s">
        <v>32</v>
      </c>
      <c r="E276" t="s">
        <v>33</v>
      </c>
      <c r="F276" t="s">
        <v>34</v>
      </c>
      <c r="G276" t="s">
        <v>35</v>
      </c>
      <c r="H276" t="s">
        <v>36</v>
      </c>
      <c r="I276" t="s">
        <v>71</v>
      </c>
      <c r="J276" t="s">
        <v>72</v>
      </c>
      <c r="K276" t="s">
        <v>73</v>
      </c>
      <c r="L276">
        <v>2</v>
      </c>
      <c r="M276">
        <v>3500</v>
      </c>
      <c r="N276">
        <v>15</v>
      </c>
      <c r="O276">
        <v>5950</v>
      </c>
      <c r="P276">
        <v>1458.46</v>
      </c>
      <c r="Q276" t="s">
        <v>121</v>
      </c>
      <c r="R276" t="s">
        <v>29</v>
      </c>
      <c r="S276" t="s">
        <v>86</v>
      </c>
      <c r="T276">
        <f>YEAR(Table1_1[[#This Row],[order_date]])</f>
        <v>2024</v>
      </c>
      <c r="U276">
        <f>MONTH(Table1_1[[#This Row],[order_date]])</f>
        <v>2</v>
      </c>
      <c r="V276" t="str">
        <f>TEXT(Table1_1[[#This Row],[order_date]],"mmm")</f>
        <v>Feb</v>
      </c>
      <c r="W276" t="str">
        <f>"Q"&amp;ROUNDUP(MONTH(Table1_1[[#This Row],[order_date]])/3,0)</f>
        <v>Q1</v>
      </c>
      <c r="X276" t="str">
        <f>TEXT(Table1_1[[#This Row],[order_date]],"yyyy-mm")</f>
        <v>2024-02</v>
      </c>
      <c r="Y276">
        <f>IF(Table1_1[[#This Row],[ship_date]]="","",Table1_1[[#This Row],[ship_date]]-Table1_1[[#This Row],[order_date]])</f>
        <v>7</v>
      </c>
      <c r="Z276">
        <f>ROUND(Table1_1[[#This Row],[profit]]/Table1_1[[#This Row],[sales_fix]]*100,2)</f>
        <v>24.51</v>
      </c>
    </row>
    <row r="277" spans="1:26" x14ac:dyDescent="0.3">
      <c r="A277" t="s">
        <v>2051</v>
      </c>
      <c r="B277" s="1">
        <v>45486</v>
      </c>
      <c r="C277" s="1">
        <v>45491</v>
      </c>
      <c r="D277" t="s">
        <v>1506</v>
      </c>
      <c r="E277" t="s">
        <v>1507</v>
      </c>
      <c r="F277" t="s">
        <v>55</v>
      </c>
      <c r="G277" t="s">
        <v>61</v>
      </c>
      <c r="H277" t="s">
        <v>78</v>
      </c>
      <c r="I277" t="s">
        <v>103</v>
      </c>
      <c r="J277" t="s">
        <v>104</v>
      </c>
      <c r="K277" t="s">
        <v>65</v>
      </c>
      <c r="L277">
        <v>2</v>
      </c>
      <c r="M277">
        <v>8000</v>
      </c>
      <c r="N277">
        <v>10</v>
      </c>
      <c r="O277">
        <v>14400</v>
      </c>
      <c r="P277">
        <v>3559.73</v>
      </c>
      <c r="Q277" t="s">
        <v>156</v>
      </c>
      <c r="R277" t="s">
        <v>49</v>
      </c>
      <c r="S277" t="s">
        <v>110</v>
      </c>
      <c r="T277">
        <f>YEAR(Table1_1[[#This Row],[order_date]])</f>
        <v>2024</v>
      </c>
      <c r="U277">
        <f>MONTH(Table1_1[[#This Row],[order_date]])</f>
        <v>7</v>
      </c>
      <c r="V277" t="str">
        <f>TEXT(Table1_1[[#This Row],[order_date]],"mmm")</f>
        <v>Jul</v>
      </c>
      <c r="W277" t="str">
        <f>"Q"&amp;ROUNDUP(MONTH(Table1_1[[#This Row],[order_date]])/3,0)</f>
        <v>Q3</v>
      </c>
      <c r="X277" t="str">
        <f>TEXT(Table1_1[[#This Row],[order_date]],"yyyy-mm")</f>
        <v>2024-07</v>
      </c>
      <c r="Y277">
        <f>IF(Table1_1[[#This Row],[ship_date]]="","",Table1_1[[#This Row],[ship_date]]-Table1_1[[#This Row],[order_date]])</f>
        <v>5</v>
      </c>
      <c r="Z277">
        <f>ROUND(Table1_1[[#This Row],[profit]]/Table1_1[[#This Row],[sales_fix]]*100,2)</f>
        <v>24.72</v>
      </c>
    </row>
    <row r="278" spans="1:26" x14ac:dyDescent="0.3">
      <c r="A278" t="s">
        <v>1517</v>
      </c>
      <c r="B278" s="1">
        <v>45342</v>
      </c>
      <c r="C278" s="1">
        <v>45345</v>
      </c>
      <c r="D278" t="s">
        <v>233</v>
      </c>
      <c r="E278" t="s">
        <v>234</v>
      </c>
      <c r="F278" t="s">
        <v>23</v>
      </c>
      <c r="G278" t="s">
        <v>61</v>
      </c>
      <c r="H278" t="s">
        <v>211</v>
      </c>
      <c r="I278" t="s">
        <v>63</v>
      </c>
      <c r="J278" t="s">
        <v>64</v>
      </c>
      <c r="K278" t="s">
        <v>65</v>
      </c>
      <c r="L278">
        <v>1</v>
      </c>
      <c r="M278">
        <v>25000</v>
      </c>
      <c r="N278">
        <v>10</v>
      </c>
      <c r="O278">
        <v>22500</v>
      </c>
      <c r="P278">
        <v>3496.3</v>
      </c>
      <c r="Q278" t="s">
        <v>66</v>
      </c>
      <c r="R278" t="s">
        <v>49</v>
      </c>
      <c r="S278" t="s">
        <v>86</v>
      </c>
      <c r="T278">
        <f>YEAR(Table1_1[[#This Row],[order_date]])</f>
        <v>2024</v>
      </c>
      <c r="U278">
        <f>MONTH(Table1_1[[#This Row],[order_date]])</f>
        <v>2</v>
      </c>
      <c r="V278" t="str">
        <f>TEXT(Table1_1[[#This Row],[order_date]],"mmm")</f>
        <v>Feb</v>
      </c>
      <c r="W278" t="str">
        <f>"Q"&amp;ROUNDUP(MONTH(Table1_1[[#This Row],[order_date]])/3,0)</f>
        <v>Q1</v>
      </c>
      <c r="X278" t="str">
        <f>TEXT(Table1_1[[#This Row],[order_date]],"yyyy-mm")</f>
        <v>2024-02</v>
      </c>
      <c r="Y278">
        <f>IF(Table1_1[[#This Row],[ship_date]]="","",Table1_1[[#This Row],[ship_date]]-Table1_1[[#This Row],[order_date]])</f>
        <v>3</v>
      </c>
      <c r="Z278">
        <f>ROUND(Table1_1[[#This Row],[profit]]/Table1_1[[#This Row],[sales_fix]]*100,2)</f>
        <v>15.54</v>
      </c>
    </row>
    <row r="279" spans="1:26" x14ac:dyDescent="0.3">
      <c r="A279" t="s">
        <v>2959</v>
      </c>
      <c r="B279" s="1">
        <v>45593</v>
      </c>
      <c r="C279" s="1">
        <v>45594</v>
      </c>
      <c r="D279" t="s">
        <v>297</v>
      </c>
      <c r="E279" t="s">
        <v>1110</v>
      </c>
      <c r="F279" t="s">
        <v>23</v>
      </c>
      <c r="G279" t="s">
        <v>91</v>
      </c>
      <c r="H279" t="s">
        <v>177</v>
      </c>
      <c r="I279" t="s">
        <v>63</v>
      </c>
      <c r="J279" t="s">
        <v>64</v>
      </c>
      <c r="K279" t="s">
        <v>65</v>
      </c>
      <c r="L279">
        <v>2</v>
      </c>
      <c r="M279">
        <v>25000</v>
      </c>
      <c r="N279">
        <v>5</v>
      </c>
      <c r="O279">
        <v>47500</v>
      </c>
      <c r="P279">
        <v>5556.57</v>
      </c>
      <c r="Q279" t="s">
        <v>121</v>
      </c>
      <c r="R279" t="s">
        <v>29</v>
      </c>
      <c r="S279" t="s">
        <v>110</v>
      </c>
      <c r="T279">
        <f>YEAR(Table1_1[[#This Row],[order_date]])</f>
        <v>2024</v>
      </c>
      <c r="U279">
        <f>MONTH(Table1_1[[#This Row],[order_date]])</f>
        <v>10</v>
      </c>
      <c r="V279" t="str">
        <f>TEXT(Table1_1[[#This Row],[order_date]],"mmm")</f>
        <v>Oct</v>
      </c>
      <c r="W279" t="str">
        <f>"Q"&amp;ROUNDUP(MONTH(Table1_1[[#This Row],[order_date]])/3,0)</f>
        <v>Q4</v>
      </c>
      <c r="X279" t="str">
        <f>TEXT(Table1_1[[#This Row],[order_date]],"yyyy-mm")</f>
        <v>2024-10</v>
      </c>
      <c r="Y279">
        <f>IF(Table1_1[[#This Row],[ship_date]]="","",Table1_1[[#This Row],[ship_date]]-Table1_1[[#This Row],[order_date]])</f>
        <v>1</v>
      </c>
      <c r="Z279">
        <f>ROUND(Table1_1[[#This Row],[profit]]/Table1_1[[#This Row],[sales_fix]]*100,2)</f>
        <v>11.7</v>
      </c>
    </row>
    <row r="280" spans="1:26" x14ac:dyDescent="0.3">
      <c r="A280" t="s">
        <v>2798</v>
      </c>
      <c r="B280" s="1">
        <v>45410</v>
      </c>
      <c r="C280" s="1">
        <v>45415</v>
      </c>
      <c r="D280" t="s">
        <v>524</v>
      </c>
      <c r="E280" t="s">
        <v>525</v>
      </c>
      <c r="F280" t="s">
        <v>34</v>
      </c>
      <c r="G280" t="s">
        <v>35</v>
      </c>
      <c r="H280" t="s">
        <v>187</v>
      </c>
      <c r="I280" t="s">
        <v>147</v>
      </c>
      <c r="J280" t="s">
        <v>148</v>
      </c>
      <c r="K280" t="s">
        <v>48</v>
      </c>
      <c r="L280">
        <v>1</v>
      </c>
      <c r="M280">
        <v>250</v>
      </c>
      <c r="N280">
        <v>5</v>
      </c>
      <c r="O280">
        <v>237.5</v>
      </c>
      <c r="P280">
        <v>84.4</v>
      </c>
      <c r="Q280" t="s">
        <v>66</v>
      </c>
      <c r="R280" t="s">
        <v>56</v>
      </c>
      <c r="S280" t="s">
        <v>40</v>
      </c>
      <c r="T280">
        <f>YEAR(Table1_1[[#This Row],[order_date]])</f>
        <v>2024</v>
      </c>
      <c r="U280">
        <f>MONTH(Table1_1[[#This Row],[order_date]])</f>
        <v>4</v>
      </c>
      <c r="V280" t="str">
        <f>TEXT(Table1_1[[#This Row],[order_date]],"mmm")</f>
        <v>Apr</v>
      </c>
      <c r="W280" t="str">
        <f>"Q"&amp;ROUNDUP(MONTH(Table1_1[[#This Row],[order_date]])/3,0)</f>
        <v>Q2</v>
      </c>
      <c r="X280" t="str">
        <f>TEXT(Table1_1[[#This Row],[order_date]],"yyyy-mm")</f>
        <v>2024-04</v>
      </c>
      <c r="Y280">
        <f>IF(Table1_1[[#This Row],[ship_date]]="","",Table1_1[[#This Row],[ship_date]]-Table1_1[[#This Row],[order_date]])</f>
        <v>5</v>
      </c>
      <c r="Z280">
        <f>ROUND(Table1_1[[#This Row],[profit]]/Table1_1[[#This Row],[sales_fix]]*100,2)</f>
        <v>35.54</v>
      </c>
    </row>
    <row r="281" spans="1:26" x14ac:dyDescent="0.3">
      <c r="A281" t="s">
        <v>662</v>
      </c>
      <c r="B281" s="1">
        <v>45671</v>
      </c>
      <c r="C281" s="1">
        <v>45672</v>
      </c>
      <c r="D281" t="s">
        <v>336</v>
      </c>
      <c r="E281" t="s">
        <v>337</v>
      </c>
      <c r="F281" t="s">
        <v>34</v>
      </c>
      <c r="G281" t="s">
        <v>61</v>
      </c>
      <c r="H281" t="s">
        <v>211</v>
      </c>
      <c r="I281" t="s">
        <v>79</v>
      </c>
      <c r="J281" t="s">
        <v>80</v>
      </c>
      <c r="K281" t="s">
        <v>65</v>
      </c>
      <c r="L281">
        <v>4</v>
      </c>
      <c r="M281">
        <v>3000</v>
      </c>
      <c r="N281">
        <v>0</v>
      </c>
      <c r="O281">
        <v>12000</v>
      </c>
      <c r="P281">
        <v>2788.68</v>
      </c>
      <c r="Q281" t="s">
        <v>74</v>
      </c>
      <c r="R281" t="s">
        <v>49</v>
      </c>
      <c r="S281" t="s">
        <v>30</v>
      </c>
      <c r="T281">
        <f>YEAR(Table1_1[[#This Row],[order_date]])</f>
        <v>2025</v>
      </c>
      <c r="U281">
        <f>MONTH(Table1_1[[#This Row],[order_date]])</f>
        <v>1</v>
      </c>
      <c r="V281" t="str">
        <f>TEXT(Table1_1[[#This Row],[order_date]],"mmm")</f>
        <v>Jan</v>
      </c>
      <c r="W281" t="str">
        <f>"Q"&amp;ROUNDUP(MONTH(Table1_1[[#This Row],[order_date]])/3,0)</f>
        <v>Q1</v>
      </c>
      <c r="X281" t="str">
        <f>TEXT(Table1_1[[#This Row],[order_date]],"yyyy-mm")</f>
        <v>2025-01</v>
      </c>
      <c r="Y281">
        <f>IF(Table1_1[[#This Row],[ship_date]]="","",Table1_1[[#This Row],[ship_date]]-Table1_1[[#This Row],[order_date]])</f>
        <v>1</v>
      </c>
      <c r="Z281">
        <f>ROUND(Table1_1[[#This Row],[profit]]/Table1_1[[#This Row],[sales_fix]]*100,2)</f>
        <v>23.24</v>
      </c>
    </row>
    <row r="282" spans="1:26" x14ac:dyDescent="0.3">
      <c r="A282" t="s">
        <v>2259</v>
      </c>
      <c r="B282" s="1">
        <v>45567</v>
      </c>
      <c r="C282" s="1">
        <v>45569</v>
      </c>
      <c r="D282" t="s">
        <v>463</v>
      </c>
      <c r="E282" t="s">
        <v>464</v>
      </c>
      <c r="F282" t="s">
        <v>34</v>
      </c>
      <c r="G282" t="s">
        <v>35</v>
      </c>
      <c r="H282" t="s">
        <v>85</v>
      </c>
      <c r="I282" t="s">
        <v>103</v>
      </c>
      <c r="J282" t="s">
        <v>104</v>
      </c>
      <c r="K282" t="s">
        <v>65</v>
      </c>
      <c r="L282">
        <v>1</v>
      </c>
      <c r="M282">
        <v>8000</v>
      </c>
      <c r="N282">
        <v>15</v>
      </c>
      <c r="O282">
        <v>6800</v>
      </c>
      <c r="P282">
        <v>1643.88</v>
      </c>
      <c r="Q282" t="s">
        <v>156</v>
      </c>
      <c r="R282" t="s">
        <v>49</v>
      </c>
      <c r="S282" t="s">
        <v>40</v>
      </c>
      <c r="T282">
        <f>YEAR(Table1_1[[#This Row],[order_date]])</f>
        <v>2024</v>
      </c>
      <c r="U282">
        <f>MONTH(Table1_1[[#This Row],[order_date]])</f>
        <v>10</v>
      </c>
      <c r="V282" t="str">
        <f>TEXT(Table1_1[[#This Row],[order_date]],"mmm")</f>
        <v>Oct</v>
      </c>
      <c r="W282" t="str">
        <f>"Q"&amp;ROUNDUP(MONTH(Table1_1[[#This Row],[order_date]])/3,0)</f>
        <v>Q4</v>
      </c>
      <c r="X282" t="str">
        <f>TEXT(Table1_1[[#This Row],[order_date]],"yyyy-mm")</f>
        <v>2024-10</v>
      </c>
      <c r="Y282">
        <f>IF(Table1_1[[#This Row],[ship_date]]="","",Table1_1[[#This Row],[ship_date]]-Table1_1[[#This Row],[order_date]])</f>
        <v>2</v>
      </c>
      <c r="Z282">
        <f>ROUND(Table1_1[[#This Row],[profit]]/Table1_1[[#This Row],[sales_fix]]*100,2)</f>
        <v>24.17</v>
      </c>
    </row>
    <row r="283" spans="1:26" x14ac:dyDescent="0.3">
      <c r="A283" t="s">
        <v>1253</v>
      </c>
      <c r="B283" s="1">
        <v>45524</v>
      </c>
      <c r="C283" s="1">
        <v>45531</v>
      </c>
      <c r="D283" t="s">
        <v>261</v>
      </c>
      <c r="E283" t="s">
        <v>262</v>
      </c>
      <c r="F283" t="s">
        <v>23</v>
      </c>
      <c r="G283" t="s">
        <v>35</v>
      </c>
      <c r="H283" t="s">
        <v>85</v>
      </c>
      <c r="I283" t="s">
        <v>93</v>
      </c>
      <c r="J283" t="s">
        <v>94</v>
      </c>
      <c r="K283" t="s">
        <v>95</v>
      </c>
      <c r="L283">
        <v>2</v>
      </c>
      <c r="M283">
        <v>1800</v>
      </c>
      <c r="N283">
        <v>20</v>
      </c>
      <c r="O283">
        <v>2880</v>
      </c>
      <c r="P283">
        <v>861.68</v>
      </c>
      <c r="Q283" t="s">
        <v>39</v>
      </c>
      <c r="R283" t="s">
        <v>56</v>
      </c>
      <c r="S283" t="s">
        <v>30</v>
      </c>
      <c r="T283">
        <f>YEAR(Table1_1[[#This Row],[order_date]])</f>
        <v>2024</v>
      </c>
      <c r="U283">
        <f>MONTH(Table1_1[[#This Row],[order_date]])</f>
        <v>8</v>
      </c>
      <c r="V283" t="str">
        <f>TEXT(Table1_1[[#This Row],[order_date]],"mmm")</f>
        <v>Aug</v>
      </c>
      <c r="W283" t="str">
        <f>"Q"&amp;ROUNDUP(MONTH(Table1_1[[#This Row],[order_date]])/3,0)</f>
        <v>Q3</v>
      </c>
      <c r="X283" t="str">
        <f>TEXT(Table1_1[[#This Row],[order_date]],"yyyy-mm")</f>
        <v>2024-08</v>
      </c>
      <c r="Y283">
        <f>IF(Table1_1[[#This Row],[ship_date]]="","",Table1_1[[#This Row],[ship_date]]-Table1_1[[#This Row],[order_date]])</f>
        <v>7</v>
      </c>
      <c r="Z283">
        <f>ROUND(Table1_1[[#This Row],[profit]]/Table1_1[[#This Row],[sales_fix]]*100,2)</f>
        <v>29.92</v>
      </c>
    </row>
    <row r="284" spans="1:26" x14ac:dyDescent="0.3">
      <c r="A284" t="s">
        <v>2597</v>
      </c>
      <c r="B284" s="1">
        <v>45779</v>
      </c>
      <c r="C284" s="1">
        <v>45780</v>
      </c>
      <c r="D284" t="s">
        <v>2104</v>
      </c>
      <c r="E284" t="s">
        <v>2105</v>
      </c>
      <c r="F284" t="s">
        <v>34</v>
      </c>
      <c r="G284" t="s">
        <v>91</v>
      </c>
      <c r="H284" t="s">
        <v>92</v>
      </c>
      <c r="I284" t="s">
        <v>103</v>
      </c>
      <c r="J284" t="s">
        <v>104</v>
      </c>
      <c r="K284" t="s">
        <v>65</v>
      </c>
      <c r="L284">
        <v>1</v>
      </c>
      <c r="M284">
        <v>8000</v>
      </c>
      <c r="N284">
        <v>5</v>
      </c>
      <c r="O284">
        <v>7600</v>
      </c>
      <c r="P284">
        <v>2016.11</v>
      </c>
      <c r="Q284" t="s">
        <v>39</v>
      </c>
      <c r="R284" t="s">
        <v>56</v>
      </c>
      <c r="S284" t="s">
        <v>40</v>
      </c>
      <c r="T284">
        <f>YEAR(Table1_1[[#This Row],[order_date]])</f>
        <v>2025</v>
      </c>
      <c r="U284">
        <f>MONTH(Table1_1[[#This Row],[order_date]])</f>
        <v>5</v>
      </c>
      <c r="V284" t="str">
        <f>TEXT(Table1_1[[#This Row],[order_date]],"mmm")</f>
        <v>May</v>
      </c>
      <c r="W284" t="str">
        <f>"Q"&amp;ROUNDUP(MONTH(Table1_1[[#This Row],[order_date]])/3,0)</f>
        <v>Q2</v>
      </c>
      <c r="X284" t="str">
        <f>TEXT(Table1_1[[#This Row],[order_date]],"yyyy-mm")</f>
        <v>2025-05</v>
      </c>
      <c r="Y284">
        <f>IF(Table1_1[[#This Row],[ship_date]]="","",Table1_1[[#This Row],[ship_date]]-Table1_1[[#This Row],[order_date]])</f>
        <v>1</v>
      </c>
      <c r="Z284">
        <f>ROUND(Table1_1[[#This Row],[profit]]/Table1_1[[#This Row],[sales_fix]]*100,2)</f>
        <v>26.53</v>
      </c>
    </row>
    <row r="285" spans="1:26" x14ac:dyDescent="0.3">
      <c r="A285" t="s">
        <v>390</v>
      </c>
      <c r="B285" s="1">
        <v>45927</v>
      </c>
      <c r="C285" s="1">
        <v>45930</v>
      </c>
      <c r="D285" t="s">
        <v>272</v>
      </c>
      <c r="E285" t="s">
        <v>273</v>
      </c>
      <c r="F285" t="s">
        <v>23</v>
      </c>
      <c r="G285" t="s">
        <v>35</v>
      </c>
      <c r="H285" t="s">
        <v>258</v>
      </c>
      <c r="I285" t="s">
        <v>126</v>
      </c>
      <c r="J285" t="s">
        <v>127</v>
      </c>
      <c r="K285" t="s">
        <v>95</v>
      </c>
      <c r="L285">
        <v>1</v>
      </c>
      <c r="M285">
        <v>600</v>
      </c>
      <c r="N285">
        <v>20</v>
      </c>
      <c r="O285">
        <v>480</v>
      </c>
      <c r="P285">
        <v>160.44</v>
      </c>
      <c r="Q285" t="s">
        <v>121</v>
      </c>
      <c r="R285" t="s">
        <v>29</v>
      </c>
      <c r="S285" t="s">
        <v>50</v>
      </c>
      <c r="T285">
        <f>YEAR(Table1_1[[#This Row],[order_date]])</f>
        <v>2025</v>
      </c>
      <c r="U285">
        <f>MONTH(Table1_1[[#This Row],[order_date]])</f>
        <v>9</v>
      </c>
      <c r="V285" t="str">
        <f>TEXT(Table1_1[[#This Row],[order_date]],"mmm")</f>
        <v>Sep</v>
      </c>
      <c r="W285" t="str">
        <f>"Q"&amp;ROUNDUP(MONTH(Table1_1[[#This Row],[order_date]])/3,0)</f>
        <v>Q3</v>
      </c>
      <c r="X285" t="str">
        <f>TEXT(Table1_1[[#This Row],[order_date]],"yyyy-mm")</f>
        <v>2025-09</v>
      </c>
      <c r="Y285">
        <f>IF(Table1_1[[#This Row],[ship_date]]="","",Table1_1[[#This Row],[ship_date]]-Table1_1[[#This Row],[order_date]])</f>
        <v>3</v>
      </c>
      <c r="Z285">
        <f>ROUND(Table1_1[[#This Row],[profit]]/Table1_1[[#This Row],[sales_fix]]*100,2)</f>
        <v>33.43</v>
      </c>
    </row>
    <row r="286" spans="1:26" x14ac:dyDescent="0.3">
      <c r="A286" t="s">
        <v>2911</v>
      </c>
      <c r="B286" s="1">
        <v>45372</v>
      </c>
      <c r="C286" s="1">
        <v>45375</v>
      </c>
      <c r="D286" t="s">
        <v>767</v>
      </c>
      <c r="E286" t="s">
        <v>768</v>
      </c>
      <c r="F286" t="s">
        <v>23</v>
      </c>
      <c r="G286" t="s">
        <v>35</v>
      </c>
      <c r="H286" t="s">
        <v>258</v>
      </c>
      <c r="I286" t="s">
        <v>134</v>
      </c>
      <c r="J286" t="s">
        <v>135</v>
      </c>
      <c r="K286" t="s">
        <v>27</v>
      </c>
      <c r="L286">
        <v>10</v>
      </c>
      <c r="M286">
        <v>6000</v>
      </c>
      <c r="N286">
        <v>5</v>
      </c>
      <c r="O286">
        <v>57000</v>
      </c>
      <c r="P286">
        <v>10680.9</v>
      </c>
      <c r="Q286" t="s">
        <v>39</v>
      </c>
      <c r="R286" t="s">
        <v>49</v>
      </c>
      <c r="S286" t="s">
        <v>50</v>
      </c>
      <c r="T286">
        <f>YEAR(Table1_1[[#This Row],[order_date]])</f>
        <v>2024</v>
      </c>
      <c r="U286">
        <f>MONTH(Table1_1[[#This Row],[order_date]])</f>
        <v>3</v>
      </c>
      <c r="V286" t="str">
        <f>TEXT(Table1_1[[#This Row],[order_date]],"mmm")</f>
        <v>Mar</v>
      </c>
      <c r="W286" t="str">
        <f>"Q"&amp;ROUNDUP(MONTH(Table1_1[[#This Row],[order_date]])/3,0)</f>
        <v>Q1</v>
      </c>
      <c r="X286" t="str">
        <f>TEXT(Table1_1[[#This Row],[order_date]],"yyyy-mm")</f>
        <v>2024-03</v>
      </c>
      <c r="Y286">
        <f>IF(Table1_1[[#This Row],[ship_date]]="","",Table1_1[[#This Row],[ship_date]]-Table1_1[[#This Row],[order_date]])</f>
        <v>3</v>
      </c>
      <c r="Z286">
        <f>ROUND(Table1_1[[#This Row],[profit]]/Table1_1[[#This Row],[sales_fix]]*100,2)</f>
        <v>18.739999999999998</v>
      </c>
    </row>
    <row r="287" spans="1:26" x14ac:dyDescent="0.3">
      <c r="A287" t="s">
        <v>3082</v>
      </c>
      <c r="B287" s="1">
        <v>45689</v>
      </c>
      <c r="C287" s="1">
        <v>45694</v>
      </c>
      <c r="D287" t="s">
        <v>196</v>
      </c>
      <c r="E287" t="s">
        <v>197</v>
      </c>
      <c r="F287" t="s">
        <v>34</v>
      </c>
      <c r="G287" t="s">
        <v>91</v>
      </c>
      <c r="H287" t="s">
        <v>120</v>
      </c>
      <c r="I287" t="s">
        <v>63</v>
      </c>
      <c r="J287" t="s">
        <v>64</v>
      </c>
      <c r="K287" t="s">
        <v>65</v>
      </c>
      <c r="L287">
        <v>2</v>
      </c>
      <c r="M287">
        <v>25000</v>
      </c>
      <c r="N287">
        <v>10</v>
      </c>
      <c r="O287">
        <v>45000</v>
      </c>
      <c r="P287">
        <v>5605.54</v>
      </c>
      <c r="Q287" t="s">
        <v>39</v>
      </c>
      <c r="R287" t="s">
        <v>49</v>
      </c>
      <c r="S287" t="s">
        <v>86</v>
      </c>
      <c r="T287">
        <f>YEAR(Table1_1[[#This Row],[order_date]])</f>
        <v>2025</v>
      </c>
      <c r="U287">
        <f>MONTH(Table1_1[[#This Row],[order_date]])</f>
        <v>2</v>
      </c>
      <c r="V287" t="str">
        <f>TEXT(Table1_1[[#This Row],[order_date]],"mmm")</f>
        <v>Feb</v>
      </c>
      <c r="W287" t="str">
        <f>"Q"&amp;ROUNDUP(MONTH(Table1_1[[#This Row],[order_date]])/3,0)</f>
        <v>Q1</v>
      </c>
      <c r="X287" t="str">
        <f>TEXT(Table1_1[[#This Row],[order_date]],"yyyy-mm")</f>
        <v>2025-02</v>
      </c>
      <c r="Y287">
        <f>IF(Table1_1[[#This Row],[ship_date]]="","",Table1_1[[#This Row],[ship_date]]-Table1_1[[#This Row],[order_date]])</f>
        <v>5</v>
      </c>
      <c r="Z287">
        <f>ROUND(Table1_1[[#This Row],[profit]]/Table1_1[[#This Row],[sales_fix]]*100,2)</f>
        <v>12.46</v>
      </c>
    </row>
    <row r="288" spans="1:26" x14ac:dyDescent="0.3">
      <c r="A288" t="s">
        <v>3074</v>
      </c>
      <c r="B288" s="1">
        <v>45407</v>
      </c>
      <c r="C288" s="1">
        <v>45409</v>
      </c>
      <c r="D288" t="s">
        <v>1191</v>
      </c>
      <c r="E288" t="s">
        <v>1192</v>
      </c>
      <c r="F288" t="s">
        <v>23</v>
      </c>
      <c r="G288" t="s">
        <v>61</v>
      </c>
      <c r="H288" t="s">
        <v>211</v>
      </c>
      <c r="I288" t="s">
        <v>134</v>
      </c>
      <c r="J288" t="s">
        <v>135</v>
      </c>
      <c r="K288" t="s">
        <v>27</v>
      </c>
      <c r="L288">
        <v>2</v>
      </c>
      <c r="M288">
        <v>6000</v>
      </c>
      <c r="N288">
        <v>0</v>
      </c>
      <c r="O288">
        <v>12000</v>
      </c>
      <c r="P288">
        <v>2668.72</v>
      </c>
      <c r="Q288" t="s">
        <v>66</v>
      </c>
      <c r="R288" t="s">
        <v>56</v>
      </c>
      <c r="S288" t="s">
        <v>86</v>
      </c>
      <c r="T288">
        <f>YEAR(Table1_1[[#This Row],[order_date]])</f>
        <v>2024</v>
      </c>
      <c r="U288">
        <f>MONTH(Table1_1[[#This Row],[order_date]])</f>
        <v>4</v>
      </c>
      <c r="V288" t="str">
        <f>TEXT(Table1_1[[#This Row],[order_date]],"mmm")</f>
        <v>Apr</v>
      </c>
      <c r="W288" t="str">
        <f>"Q"&amp;ROUNDUP(MONTH(Table1_1[[#This Row],[order_date]])/3,0)</f>
        <v>Q2</v>
      </c>
      <c r="X288" t="str">
        <f>TEXT(Table1_1[[#This Row],[order_date]],"yyyy-mm")</f>
        <v>2024-04</v>
      </c>
      <c r="Y288">
        <f>IF(Table1_1[[#This Row],[ship_date]]="","",Table1_1[[#This Row],[ship_date]]-Table1_1[[#This Row],[order_date]])</f>
        <v>2</v>
      </c>
      <c r="Z288">
        <f>ROUND(Table1_1[[#This Row],[profit]]/Table1_1[[#This Row],[sales_fix]]*100,2)</f>
        <v>22.24</v>
      </c>
    </row>
    <row r="289" spans="1:26" x14ac:dyDescent="0.3">
      <c r="A289" t="s">
        <v>2204</v>
      </c>
      <c r="B289" s="1">
        <v>45644</v>
      </c>
      <c r="C289" s="1">
        <v>45652</v>
      </c>
      <c r="D289" t="s">
        <v>1058</v>
      </c>
      <c r="E289" t="s">
        <v>1059</v>
      </c>
      <c r="F289" t="s">
        <v>55</v>
      </c>
      <c r="G289" t="s">
        <v>91</v>
      </c>
      <c r="H289" t="s">
        <v>92</v>
      </c>
      <c r="I289" t="s">
        <v>46</v>
      </c>
      <c r="J289" t="s">
        <v>47</v>
      </c>
      <c r="K289" t="s">
        <v>48</v>
      </c>
      <c r="L289">
        <v>1</v>
      </c>
      <c r="M289">
        <v>180</v>
      </c>
      <c r="N289">
        <v>15</v>
      </c>
      <c r="O289">
        <v>153</v>
      </c>
      <c r="P289">
        <v>68.849999999999994</v>
      </c>
      <c r="Q289" t="s">
        <v>66</v>
      </c>
      <c r="R289" t="s">
        <v>29</v>
      </c>
      <c r="S289" t="s">
        <v>110</v>
      </c>
      <c r="T289">
        <f>YEAR(Table1_1[[#This Row],[order_date]])</f>
        <v>2024</v>
      </c>
      <c r="U289">
        <f>MONTH(Table1_1[[#This Row],[order_date]])</f>
        <v>12</v>
      </c>
      <c r="V289" t="str">
        <f>TEXT(Table1_1[[#This Row],[order_date]],"mmm")</f>
        <v>Dec</v>
      </c>
      <c r="W289" t="str">
        <f>"Q"&amp;ROUNDUP(MONTH(Table1_1[[#This Row],[order_date]])/3,0)</f>
        <v>Q4</v>
      </c>
      <c r="X289" t="str">
        <f>TEXT(Table1_1[[#This Row],[order_date]],"yyyy-mm")</f>
        <v>2024-12</v>
      </c>
      <c r="Y289">
        <f>IF(Table1_1[[#This Row],[ship_date]]="","",Table1_1[[#This Row],[ship_date]]-Table1_1[[#This Row],[order_date]])</f>
        <v>8</v>
      </c>
      <c r="Z289">
        <f>ROUND(Table1_1[[#This Row],[profit]]/Table1_1[[#This Row],[sales_fix]]*100,2)</f>
        <v>45</v>
      </c>
    </row>
    <row r="290" spans="1:26" x14ac:dyDescent="0.3">
      <c r="A290" t="s">
        <v>1092</v>
      </c>
      <c r="B290" s="1">
        <v>45925</v>
      </c>
      <c r="C290" s="1">
        <v>45932</v>
      </c>
      <c r="D290" t="s">
        <v>689</v>
      </c>
      <c r="E290" t="s">
        <v>690</v>
      </c>
      <c r="F290" t="s">
        <v>55</v>
      </c>
      <c r="G290" t="s">
        <v>61</v>
      </c>
      <c r="H290" t="s">
        <v>62</v>
      </c>
      <c r="I290" t="s">
        <v>79</v>
      </c>
      <c r="J290" t="s">
        <v>80</v>
      </c>
      <c r="K290" t="s">
        <v>65</v>
      </c>
      <c r="L290">
        <v>2</v>
      </c>
      <c r="M290">
        <v>3000</v>
      </c>
      <c r="N290">
        <v>15</v>
      </c>
      <c r="O290">
        <v>5100</v>
      </c>
      <c r="P290">
        <v>1530</v>
      </c>
      <c r="Q290" t="s">
        <v>74</v>
      </c>
      <c r="R290" t="s">
        <v>56</v>
      </c>
      <c r="S290" t="s">
        <v>50</v>
      </c>
      <c r="T290">
        <f>YEAR(Table1_1[[#This Row],[order_date]])</f>
        <v>2025</v>
      </c>
      <c r="U290">
        <f>MONTH(Table1_1[[#This Row],[order_date]])</f>
        <v>9</v>
      </c>
      <c r="V290" t="str">
        <f>TEXT(Table1_1[[#This Row],[order_date]],"mmm")</f>
        <v>Sep</v>
      </c>
      <c r="W290" t="str">
        <f>"Q"&amp;ROUNDUP(MONTH(Table1_1[[#This Row],[order_date]])/3,0)</f>
        <v>Q3</v>
      </c>
      <c r="X290" t="str">
        <f>TEXT(Table1_1[[#This Row],[order_date]],"yyyy-mm")</f>
        <v>2025-09</v>
      </c>
      <c r="Y290">
        <f>IF(Table1_1[[#This Row],[ship_date]]="","",Table1_1[[#This Row],[ship_date]]-Table1_1[[#This Row],[order_date]])</f>
        <v>7</v>
      </c>
      <c r="Z290">
        <f>ROUND(Table1_1[[#This Row],[profit]]/Table1_1[[#This Row],[sales_fix]]*100,2)</f>
        <v>30</v>
      </c>
    </row>
    <row r="291" spans="1:26" x14ac:dyDescent="0.3">
      <c r="A291" t="s">
        <v>2858</v>
      </c>
      <c r="B291" s="1">
        <v>45778</v>
      </c>
      <c r="C291" s="1">
        <v>45783</v>
      </c>
      <c r="D291" t="s">
        <v>1209</v>
      </c>
      <c r="E291" t="s">
        <v>1210</v>
      </c>
      <c r="F291" t="s">
        <v>23</v>
      </c>
      <c r="G291" t="s">
        <v>91</v>
      </c>
      <c r="H291" t="s">
        <v>92</v>
      </c>
      <c r="I291" t="s">
        <v>71</v>
      </c>
      <c r="J291" t="s">
        <v>72</v>
      </c>
      <c r="K291" t="s">
        <v>73</v>
      </c>
      <c r="L291">
        <v>5</v>
      </c>
      <c r="M291">
        <v>3500</v>
      </c>
      <c r="N291">
        <v>0</v>
      </c>
      <c r="O291">
        <v>17500</v>
      </c>
      <c r="P291">
        <v>5600</v>
      </c>
      <c r="Q291" t="s">
        <v>74</v>
      </c>
      <c r="R291" t="s">
        <v>49</v>
      </c>
      <c r="S291" t="s">
        <v>30</v>
      </c>
      <c r="T291">
        <f>YEAR(Table1_1[[#This Row],[order_date]])</f>
        <v>2025</v>
      </c>
      <c r="U291">
        <f>MONTH(Table1_1[[#This Row],[order_date]])</f>
        <v>5</v>
      </c>
      <c r="V291" t="str">
        <f>TEXT(Table1_1[[#This Row],[order_date]],"mmm")</f>
        <v>May</v>
      </c>
      <c r="W291" t="str">
        <f>"Q"&amp;ROUNDUP(MONTH(Table1_1[[#This Row],[order_date]])/3,0)</f>
        <v>Q2</v>
      </c>
      <c r="X291" t="str">
        <f>TEXT(Table1_1[[#This Row],[order_date]],"yyyy-mm")</f>
        <v>2025-05</v>
      </c>
      <c r="Y291">
        <f>IF(Table1_1[[#This Row],[ship_date]]="","",Table1_1[[#This Row],[ship_date]]-Table1_1[[#This Row],[order_date]])</f>
        <v>5</v>
      </c>
      <c r="Z291">
        <f>ROUND(Table1_1[[#This Row],[profit]]/Table1_1[[#This Row],[sales_fix]]*100,2)</f>
        <v>32</v>
      </c>
    </row>
    <row r="292" spans="1:26" x14ac:dyDescent="0.3">
      <c r="A292" t="s">
        <v>2613</v>
      </c>
      <c r="B292" s="1">
        <v>45429</v>
      </c>
      <c r="C292" s="1">
        <v>45435</v>
      </c>
      <c r="D292" t="s">
        <v>473</v>
      </c>
      <c r="E292" t="s">
        <v>474</v>
      </c>
      <c r="F292" t="s">
        <v>34</v>
      </c>
      <c r="G292" t="s">
        <v>61</v>
      </c>
      <c r="H292" t="s">
        <v>62</v>
      </c>
      <c r="I292" t="s">
        <v>103</v>
      </c>
      <c r="J292" t="s">
        <v>104</v>
      </c>
      <c r="K292" t="s">
        <v>65</v>
      </c>
      <c r="L292">
        <v>1</v>
      </c>
      <c r="M292">
        <v>8000</v>
      </c>
      <c r="N292">
        <v>15</v>
      </c>
      <c r="O292">
        <v>6800</v>
      </c>
      <c r="P292">
        <v>1491.32</v>
      </c>
      <c r="Q292" t="s">
        <v>74</v>
      </c>
      <c r="R292" t="s">
        <v>56</v>
      </c>
      <c r="S292" t="s">
        <v>86</v>
      </c>
      <c r="T292">
        <f>YEAR(Table1_1[[#This Row],[order_date]])</f>
        <v>2024</v>
      </c>
      <c r="U292">
        <f>MONTH(Table1_1[[#This Row],[order_date]])</f>
        <v>5</v>
      </c>
      <c r="V292" t="str">
        <f>TEXT(Table1_1[[#This Row],[order_date]],"mmm")</f>
        <v>May</v>
      </c>
      <c r="W292" t="str">
        <f>"Q"&amp;ROUNDUP(MONTH(Table1_1[[#This Row],[order_date]])/3,0)</f>
        <v>Q2</v>
      </c>
      <c r="X292" t="str">
        <f>TEXT(Table1_1[[#This Row],[order_date]],"yyyy-mm")</f>
        <v>2024-05</v>
      </c>
      <c r="Y292">
        <f>IF(Table1_1[[#This Row],[ship_date]]="","",Table1_1[[#This Row],[ship_date]]-Table1_1[[#This Row],[order_date]])</f>
        <v>6</v>
      </c>
      <c r="Z292">
        <f>ROUND(Table1_1[[#This Row],[profit]]/Table1_1[[#This Row],[sales_fix]]*100,2)</f>
        <v>21.93</v>
      </c>
    </row>
    <row r="293" spans="1:26" x14ac:dyDescent="0.3">
      <c r="A293" t="s">
        <v>2550</v>
      </c>
      <c r="B293" s="1">
        <v>45744</v>
      </c>
      <c r="C293" s="1">
        <v>45752</v>
      </c>
      <c r="D293" t="s">
        <v>1579</v>
      </c>
      <c r="E293" t="s">
        <v>1580</v>
      </c>
      <c r="F293" t="s">
        <v>55</v>
      </c>
      <c r="G293" t="s">
        <v>44</v>
      </c>
      <c r="H293" t="s">
        <v>45</v>
      </c>
      <c r="I293" t="s">
        <v>103</v>
      </c>
      <c r="J293" t="s">
        <v>104</v>
      </c>
      <c r="K293" t="s">
        <v>65</v>
      </c>
      <c r="L293">
        <v>1</v>
      </c>
      <c r="M293">
        <v>8000</v>
      </c>
      <c r="N293">
        <v>20</v>
      </c>
      <c r="O293">
        <v>6400</v>
      </c>
      <c r="P293">
        <v>1380.59</v>
      </c>
      <c r="Q293" t="s">
        <v>39</v>
      </c>
      <c r="R293" t="s">
        <v>49</v>
      </c>
      <c r="S293" t="s">
        <v>86</v>
      </c>
      <c r="T293">
        <f>YEAR(Table1_1[[#This Row],[order_date]])</f>
        <v>2025</v>
      </c>
      <c r="U293">
        <f>MONTH(Table1_1[[#This Row],[order_date]])</f>
        <v>3</v>
      </c>
      <c r="V293" t="str">
        <f>TEXT(Table1_1[[#This Row],[order_date]],"mmm")</f>
        <v>Mar</v>
      </c>
      <c r="W293" t="str">
        <f>"Q"&amp;ROUNDUP(MONTH(Table1_1[[#This Row],[order_date]])/3,0)</f>
        <v>Q1</v>
      </c>
      <c r="X293" t="str">
        <f>TEXT(Table1_1[[#This Row],[order_date]],"yyyy-mm")</f>
        <v>2025-03</v>
      </c>
      <c r="Y293">
        <f>IF(Table1_1[[#This Row],[ship_date]]="","",Table1_1[[#This Row],[ship_date]]-Table1_1[[#This Row],[order_date]])</f>
        <v>8</v>
      </c>
      <c r="Z293">
        <f>ROUND(Table1_1[[#This Row],[profit]]/Table1_1[[#This Row],[sales_fix]]*100,2)</f>
        <v>21.57</v>
      </c>
    </row>
    <row r="294" spans="1:26" x14ac:dyDescent="0.3">
      <c r="A294" t="s">
        <v>2404</v>
      </c>
      <c r="B294" s="1">
        <v>45359</v>
      </c>
      <c r="C294" s="1">
        <v>45360</v>
      </c>
      <c r="D294" t="s">
        <v>2405</v>
      </c>
      <c r="E294" t="s">
        <v>2406</v>
      </c>
      <c r="F294" t="s">
        <v>55</v>
      </c>
      <c r="G294" t="s">
        <v>61</v>
      </c>
      <c r="H294" t="s">
        <v>78</v>
      </c>
      <c r="I294" t="s">
        <v>79</v>
      </c>
      <c r="J294" t="s">
        <v>80</v>
      </c>
      <c r="K294" t="s">
        <v>65</v>
      </c>
      <c r="L294">
        <v>1</v>
      </c>
      <c r="M294">
        <v>3000</v>
      </c>
      <c r="N294">
        <v>10</v>
      </c>
      <c r="O294">
        <v>2700</v>
      </c>
      <c r="P294">
        <v>697.7</v>
      </c>
      <c r="Q294" t="s">
        <v>121</v>
      </c>
      <c r="R294" t="s">
        <v>29</v>
      </c>
      <c r="S294" t="s">
        <v>50</v>
      </c>
      <c r="T294">
        <f>YEAR(Table1_1[[#This Row],[order_date]])</f>
        <v>2024</v>
      </c>
      <c r="U294">
        <f>MONTH(Table1_1[[#This Row],[order_date]])</f>
        <v>3</v>
      </c>
      <c r="V294" t="str">
        <f>TEXT(Table1_1[[#This Row],[order_date]],"mmm")</f>
        <v>Mar</v>
      </c>
      <c r="W294" t="str">
        <f>"Q"&amp;ROUNDUP(MONTH(Table1_1[[#This Row],[order_date]])/3,0)</f>
        <v>Q1</v>
      </c>
      <c r="X294" t="str">
        <f>TEXT(Table1_1[[#This Row],[order_date]],"yyyy-mm")</f>
        <v>2024-03</v>
      </c>
      <c r="Y294">
        <f>IF(Table1_1[[#This Row],[ship_date]]="","",Table1_1[[#This Row],[ship_date]]-Table1_1[[#This Row],[order_date]])</f>
        <v>1</v>
      </c>
      <c r="Z294">
        <f>ROUND(Table1_1[[#This Row],[profit]]/Table1_1[[#This Row],[sales_fix]]*100,2)</f>
        <v>25.84</v>
      </c>
    </row>
    <row r="295" spans="1:26" x14ac:dyDescent="0.3">
      <c r="A295" t="s">
        <v>963</v>
      </c>
      <c r="B295" s="1">
        <v>45325</v>
      </c>
      <c r="C295" s="1">
        <v>45330</v>
      </c>
      <c r="D295" t="s">
        <v>466</v>
      </c>
      <c r="E295" t="s">
        <v>467</v>
      </c>
      <c r="F295" t="s">
        <v>34</v>
      </c>
      <c r="G295" t="s">
        <v>61</v>
      </c>
      <c r="H295" t="s">
        <v>78</v>
      </c>
      <c r="I295" t="s">
        <v>103</v>
      </c>
      <c r="J295" t="s">
        <v>104</v>
      </c>
      <c r="K295" t="s">
        <v>65</v>
      </c>
      <c r="L295">
        <v>2</v>
      </c>
      <c r="M295">
        <v>8000</v>
      </c>
      <c r="N295">
        <v>0</v>
      </c>
      <c r="O295">
        <v>16000</v>
      </c>
      <c r="P295">
        <v>3927.41</v>
      </c>
      <c r="Q295" t="s">
        <v>74</v>
      </c>
      <c r="R295" t="s">
        <v>49</v>
      </c>
      <c r="S295" t="s">
        <v>40</v>
      </c>
      <c r="T295">
        <f>YEAR(Table1_1[[#This Row],[order_date]])</f>
        <v>2024</v>
      </c>
      <c r="U295">
        <f>MONTH(Table1_1[[#This Row],[order_date]])</f>
        <v>2</v>
      </c>
      <c r="V295" t="str">
        <f>TEXT(Table1_1[[#This Row],[order_date]],"mmm")</f>
        <v>Feb</v>
      </c>
      <c r="W295" t="str">
        <f>"Q"&amp;ROUNDUP(MONTH(Table1_1[[#This Row],[order_date]])/3,0)</f>
        <v>Q1</v>
      </c>
      <c r="X295" t="str">
        <f>TEXT(Table1_1[[#This Row],[order_date]],"yyyy-mm")</f>
        <v>2024-02</v>
      </c>
      <c r="Y295">
        <f>IF(Table1_1[[#This Row],[ship_date]]="","",Table1_1[[#This Row],[ship_date]]-Table1_1[[#This Row],[order_date]])</f>
        <v>5</v>
      </c>
      <c r="Z295">
        <f>ROUND(Table1_1[[#This Row],[profit]]/Table1_1[[#This Row],[sales_fix]]*100,2)</f>
        <v>24.55</v>
      </c>
    </row>
    <row r="296" spans="1:26" x14ac:dyDescent="0.3">
      <c r="A296" t="s">
        <v>1309</v>
      </c>
      <c r="B296" s="1">
        <v>45418</v>
      </c>
      <c r="C296" s="1">
        <v>45426</v>
      </c>
      <c r="D296" t="s">
        <v>609</v>
      </c>
      <c r="E296" t="s">
        <v>610</v>
      </c>
      <c r="F296" t="s">
        <v>23</v>
      </c>
      <c r="G296" t="s">
        <v>44</v>
      </c>
      <c r="H296" t="s">
        <v>155</v>
      </c>
      <c r="I296" t="s">
        <v>126</v>
      </c>
      <c r="J296" t="s">
        <v>127</v>
      </c>
      <c r="K296" t="s">
        <v>95</v>
      </c>
      <c r="L296">
        <v>3</v>
      </c>
      <c r="M296">
        <v>600</v>
      </c>
      <c r="N296">
        <v>0</v>
      </c>
      <c r="O296">
        <v>1800</v>
      </c>
      <c r="P296">
        <v>580.71</v>
      </c>
      <c r="Q296" t="s">
        <v>121</v>
      </c>
      <c r="R296" t="s">
        <v>49</v>
      </c>
      <c r="S296" t="s">
        <v>40</v>
      </c>
      <c r="T296">
        <f>YEAR(Table1_1[[#This Row],[order_date]])</f>
        <v>2024</v>
      </c>
      <c r="U296">
        <f>MONTH(Table1_1[[#This Row],[order_date]])</f>
        <v>5</v>
      </c>
      <c r="V296" t="str">
        <f>TEXT(Table1_1[[#This Row],[order_date]],"mmm")</f>
        <v>May</v>
      </c>
      <c r="W296" t="str">
        <f>"Q"&amp;ROUNDUP(MONTH(Table1_1[[#This Row],[order_date]])/3,0)</f>
        <v>Q2</v>
      </c>
      <c r="X296" t="str">
        <f>TEXT(Table1_1[[#This Row],[order_date]],"yyyy-mm")</f>
        <v>2024-05</v>
      </c>
      <c r="Y296">
        <f>IF(Table1_1[[#This Row],[ship_date]]="","",Table1_1[[#This Row],[ship_date]]-Table1_1[[#This Row],[order_date]])</f>
        <v>8</v>
      </c>
      <c r="Z296">
        <f>ROUND(Table1_1[[#This Row],[profit]]/Table1_1[[#This Row],[sales_fix]]*100,2)</f>
        <v>32.26</v>
      </c>
    </row>
    <row r="297" spans="1:26" x14ac:dyDescent="0.3">
      <c r="A297" t="s">
        <v>1041</v>
      </c>
      <c r="B297" s="1">
        <v>45644</v>
      </c>
      <c r="C297" s="1">
        <v>45646</v>
      </c>
      <c r="D297" t="s">
        <v>291</v>
      </c>
      <c r="E297" t="s">
        <v>292</v>
      </c>
      <c r="F297" t="s">
        <v>55</v>
      </c>
      <c r="G297" t="s">
        <v>35</v>
      </c>
      <c r="H297" t="s">
        <v>187</v>
      </c>
      <c r="I297" t="s">
        <v>37</v>
      </c>
      <c r="J297" t="s">
        <v>38</v>
      </c>
      <c r="K297" t="s">
        <v>27</v>
      </c>
      <c r="L297">
        <v>4</v>
      </c>
      <c r="M297">
        <v>9500</v>
      </c>
      <c r="N297">
        <v>15</v>
      </c>
      <c r="O297">
        <v>32300</v>
      </c>
      <c r="P297">
        <v>6668.97</v>
      </c>
      <c r="Q297" t="s">
        <v>74</v>
      </c>
      <c r="R297" t="s">
        <v>29</v>
      </c>
      <c r="S297" t="s">
        <v>30</v>
      </c>
      <c r="T297">
        <f>YEAR(Table1_1[[#This Row],[order_date]])</f>
        <v>2024</v>
      </c>
      <c r="U297">
        <f>MONTH(Table1_1[[#This Row],[order_date]])</f>
        <v>12</v>
      </c>
      <c r="V297" t="str">
        <f>TEXT(Table1_1[[#This Row],[order_date]],"mmm")</f>
        <v>Dec</v>
      </c>
      <c r="W297" t="str">
        <f>"Q"&amp;ROUNDUP(MONTH(Table1_1[[#This Row],[order_date]])/3,0)</f>
        <v>Q4</v>
      </c>
      <c r="X297" t="str">
        <f>TEXT(Table1_1[[#This Row],[order_date]],"yyyy-mm")</f>
        <v>2024-12</v>
      </c>
      <c r="Y297">
        <f>IF(Table1_1[[#This Row],[ship_date]]="","",Table1_1[[#This Row],[ship_date]]-Table1_1[[#This Row],[order_date]])</f>
        <v>2</v>
      </c>
      <c r="Z297">
        <f>ROUND(Table1_1[[#This Row],[profit]]/Table1_1[[#This Row],[sales_fix]]*100,2)</f>
        <v>20.65</v>
      </c>
    </row>
    <row r="298" spans="1:26" x14ac:dyDescent="0.3">
      <c r="A298" t="s">
        <v>2358</v>
      </c>
      <c r="B298" s="1">
        <v>45877</v>
      </c>
      <c r="C298" s="1">
        <v>45881</v>
      </c>
      <c r="D298" t="s">
        <v>1209</v>
      </c>
      <c r="E298" t="s">
        <v>1210</v>
      </c>
      <c r="F298" t="s">
        <v>23</v>
      </c>
      <c r="G298" t="s">
        <v>91</v>
      </c>
      <c r="H298" t="s">
        <v>92</v>
      </c>
      <c r="I298" t="s">
        <v>79</v>
      </c>
      <c r="J298" t="s">
        <v>80</v>
      </c>
      <c r="K298" t="s">
        <v>65</v>
      </c>
      <c r="L298">
        <v>3</v>
      </c>
      <c r="M298">
        <v>3000</v>
      </c>
      <c r="N298">
        <v>0</v>
      </c>
      <c r="O298">
        <v>9000</v>
      </c>
      <c r="P298">
        <v>2815.68</v>
      </c>
      <c r="Q298" t="s">
        <v>156</v>
      </c>
      <c r="R298" t="s">
        <v>29</v>
      </c>
      <c r="S298" t="s">
        <v>110</v>
      </c>
      <c r="T298">
        <f>YEAR(Table1_1[[#This Row],[order_date]])</f>
        <v>2025</v>
      </c>
      <c r="U298">
        <f>MONTH(Table1_1[[#This Row],[order_date]])</f>
        <v>8</v>
      </c>
      <c r="V298" t="str">
        <f>TEXT(Table1_1[[#This Row],[order_date]],"mmm")</f>
        <v>Aug</v>
      </c>
      <c r="W298" t="str">
        <f>"Q"&amp;ROUNDUP(MONTH(Table1_1[[#This Row],[order_date]])/3,0)</f>
        <v>Q3</v>
      </c>
      <c r="X298" t="str">
        <f>TEXT(Table1_1[[#This Row],[order_date]],"yyyy-mm")</f>
        <v>2025-08</v>
      </c>
      <c r="Y298">
        <f>IF(Table1_1[[#This Row],[ship_date]]="","",Table1_1[[#This Row],[ship_date]]-Table1_1[[#This Row],[order_date]])</f>
        <v>4</v>
      </c>
      <c r="Z298">
        <f>ROUND(Table1_1[[#This Row],[profit]]/Table1_1[[#This Row],[sales_fix]]*100,2)</f>
        <v>31.29</v>
      </c>
    </row>
    <row r="299" spans="1:26" x14ac:dyDescent="0.3">
      <c r="A299" t="s">
        <v>2369</v>
      </c>
      <c r="B299" s="1">
        <v>45312</v>
      </c>
      <c r="C299" s="1">
        <v>45320</v>
      </c>
      <c r="D299" t="s">
        <v>182</v>
      </c>
      <c r="E299" t="s">
        <v>183</v>
      </c>
      <c r="F299" t="s">
        <v>55</v>
      </c>
      <c r="G299" t="s">
        <v>44</v>
      </c>
      <c r="H299" t="s">
        <v>45</v>
      </c>
      <c r="I299" t="s">
        <v>46</v>
      </c>
      <c r="J299" t="s">
        <v>47</v>
      </c>
      <c r="K299" t="s">
        <v>48</v>
      </c>
      <c r="L299">
        <v>4</v>
      </c>
      <c r="M299">
        <v>180</v>
      </c>
      <c r="N299">
        <v>20</v>
      </c>
      <c r="O299">
        <v>576</v>
      </c>
      <c r="P299">
        <v>252.17</v>
      </c>
      <c r="Q299" t="s">
        <v>121</v>
      </c>
      <c r="R299" t="s">
        <v>56</v>
      </c>
      <c r="S299" t="s">
        <v>50</v>
      </c>
      <c r="T299">
        <f>YEAR(Table1_1[[#This Row],[order_date]])</f>
        <v>2024</v>
      </c>
      <c r="U299">
        <f>MONTH(Table1_1[[#This Row],[order_date]])</f>
        <v>1</v>
      </c>
      <c r="V299" t="str">
        <f>TEXT(Table1_1[[#This Row],[order_date]],"mmm")</f>
        <v>Jan</v>
      </c>
      <c r="W299" t="str">
        <f>"Q"&amp;ROUNDUP(MONTH(Table1_1[[#This Row],[order_date]])/3,0)</f>
        <v>Q1</v>
      </c>
      <c r="X299" t="str">
        <f>TEXT(Table1_1[[#This Row],[order_date]],"yyyy-mm")</f>
        <v>2024-01</v>
      </c>
      <c r="Y299">
        <f>IF(Table1_1[[#This Row],[ship_date]]="","",Table1_1[[#This Row],[ship_date]]-Table1_1[[#This Row],[order_date]])</f>
        <v>8</v>
      </c>
      <c r="Z299">
        <f>ROUND(Table1_1[[#This Row],[profit]]/Table1_1[[#This Row],[sales_fix]]*100,2)</f>
        <v>43.78</v>
      </c>
    </row>
    <row r="300" spans="1:26" x14ac:dyDescent="0.3">
      <c r="A300" t="s">
        <v>542</v>
      </c>
      <c r="B300" s="1">
        <v>45550</v>
      </c>
      <c r="C300" s="1">
        <v>45555</v>
      </c>
      <c r="D300" t="s">
        <v>400</v>
      </c>
      <c r="E300" t="s">
        <v>401</v>
      </c>
      <c r="F300" t="s">
        <v>34</v>
      </c>
      <c r="G300" t="s">
        <v>44</v>
      </c>
      <c r="H300" t="s">
        <v>24</v>
      </c>
      <c r="I300" t="s">
        <v>103</v>
      </c>
      <c r="J300" t="s">
        <v>104</v>
      </c>
      <c r="K300" t="s">
        <v>65</v>
      </c>
      <c r="L300">
        <v>2</v>
      </c>
      <c r="M300">
        <v>8000</v>
      </c>
      <c r="N300">
        <v>0</v>
      </c>
      <c r="O300">
        <v>16000</v>
      </c>
      <c r="P300">
        <v>3940.38</v>
      </c>
      <c r="Q300" t="s">
        <v>28</v>
      </c>
      <c r="R300" t="s">
        <v>49</v>
      </c>
      <c r="S300" t="s">
        <v>110</v>
      </c>
      <c r="T300">
        <f>YEAR(Table1_1[[#This Row],[order_date]])</f>
        <v>2024</v>
      </c>
      <c r="U300">
        <f>MONTH(Table1_1[[#This Row],[order_date]])</f>
        <v>9</v>
      </c>
      <c r="V300" t="str">
        <f>TEXT(Table1_1[[#This Row],[order_date]],"mmm")</f>
        <v>Sep</v>
      </c>
      <c r="W300" t="str">
        <f>"Q"&amp;ROUNDUP(MONTH(Table1_1[[#This Row],[order_date]])/3,0)</f>
        <v>Q3</v>
      </c>
      <c r="X300" t="str">
        <f>TEXT(Table1_1[[#This Row],[order_date]],"yyyy-mm")</f>
        <v>2024-09</v>
      </c>
      <c r="Y300">
        <f>IF(Table1_1[[#This Row],[ship_date]]="","",Table1_1[[#This Row],[ship_date]]-Table1_1[[#This Row],[order_date]])</f>
        <v>5</v>
      </c>
      <c r="Z300">
        <f>ROUND(Table1_1[[#This Row],[profit]]/Table1_1[[#This Row],[sales_fix]]*100,2)</f>
        <v>24.63</v>
      </c>
    </row>
    <row r="301" spans="1:26" x14ac:dyDescent="0.3">
      <c r="A301" t="s">
        <v>2198</v>
      </c>
      <c r="B301" s="1">
        <v>45515</v>
      </c>
      <c r="C301" s="1">
        <v>45522</v>
      </c>
      <c r="D301" t="s">
        <v>582</v>
      </c>
      <c r="E301" t="s">
        <v>583</v>
      </c>
      <c r="F301" t="s">
        <v>34</v>
      </c>
      <c r="G301" t="s">
        <v>61</v>
      </c>
      <c r="H301" t="s">
        <v>78</v>
      </c>
      <c r="I301" t="s">
        <v>25</v>
      </c>
      <c r="J301" t="s">
        <v>26</v>
      </c>
      <c r="K301" t="s">
        <v>27</v>
      </c>
      <c r="L301">
        <v>2</v>
      </c>
      <c r="M301">
        <v>7000</v>
      </c>
      <c r="N301">
        <v>15</v>
      </c>
      <c r="O301">
        <v>11900</v>
      </c>
      <c r="P301">
        <v>2618</v>
      </c>
      <c r="Q301" t="s">
        <v>39</v>
      </c>
      <c r="R301" t="s">
        <v>29</v>
      </c>
      <c r="S301" t="s">
        <v>96</v>
      </c>
      <c r="T301">
        <f>YEAR(Table1_1[[#This Row],[order_date]])</f>
        <v>2024</v>
      </c>
      <c r="U301">
        <f>MONTH(Table1_1[[#This Row],[order_date]])</f>
        <v>8</v>
      </c>
      <c r="V301" t="str">
        <f>TEXT(Table1_1[[#This Row],[order_date]],"mmm")</f>
        <v>Aug</v>
      </c>
      <c r="W301" t="str">
        <f>"Q"&amp;ROUNDUP(MONTH(Table1_1[[#This Row],[order_date]])/3,0)</f>
        <v>Q3</v>
      </c>
      <c r="X301" t="str">
        <f>TEXT(Table1_1[[#This Row],[order_date]],"yyyy-mm")</f>
        <v>2024-08</v>
      </c>
      <c r="Y301">
        <f>IF(Table1_1[[#This Row],[ship_date]]="","",Table1_1[[#This Row],[ship_date]]-Table1_1[[#This Row],[order_date]])</f>
        <v>7</v>
      </c>
      <c r="Z301">
        <f>ROUND(Table1_1[[#This Row],[profit]]/Table1_1[[#This Row],[sales_fix]]*100,2)</f>
        <v>22</v>
      </c>
    </row>
    <row r="302" spans="1:26" x14ac:dyDescent="0.3">
      <c r="A302" t="s">
        <v>1528</v>
      </c>
      <c r="B302" s="1">
        <v>45675</v>
      </c>
      <c r="C302" s="1">
        <v>45680</v>
      </c>
      <c r="D302" t="s">
        <v>798</v>
      </c>
      <c r="E302" t="s">
        <v>799</v>
      </c>
      <c r="F302" t="s">
        <v>23</v>
      </c>
      <c r="G302" t="s">
        <v>44</v>
      </c>
      <c r="H302" t="s">
        <v>330</v>
      </c>
      <c r="I302" t="s">
        <v>126</v>
      </c>
      <c r="J302" t="s">
        <v>127</v>
      </c>
      <c r="K302" t="s">
        <v>95</v>
      </c>
      <c r="L302">
        <v>2</v>
      </c>
      <c r="M302">
        <v>600</v>
      </c>
      <c r="N302">
        <v>10</v>
      </c>
      <c r="O302">
        <v>1080</v>
      </c>
      <c r="P302">
        <v>387.26</v>
      </c>
      <c r="Q302" t="s">
        <v>156</v>
      </c>
      <c r="R302" t="s">
        <v>29</v>
      </c>
      <c r="S302" t="s">
        <v>30</v>
      </c>
      <c r="T302">
        <f>YEAR(Table1_1[[#This Row],[order_date]])</f>
        <v>2025</v>
      </c>
      <c r="U302">
        <f>MONTH(Table1_1[[#This Row],[order_date]])</f>
        <v>1</v>
      </c>
      <c r="V302" t="str">
        <f>TEXT(Table1_1[[#This Row],[order_date]],"mmm")</f>
        <v>Jan</v>
      </c>
      <c r="W302" t="str">
        <f>"Q"&amp;ROUNDUP(MONTH(Table1_1[[#This Row],[order_date]])/3,0)</f>
        <v>Q1</v>
      </c>
      <c r="X302" t="str">
        <f>TEXT(Table1_1[[#This Row],[order_date]],"yyyy-mm")</f>
        <v>2025-01</v>
      </c>
      <c r="Y302">
        <f>IF(Table1_1[[#This Row],[ship_date]]="","",Table1_1[[#This Row],[ship_date]]-Table1_1[[#This Row],[order_date]])</f>
        <v>5</v>
      </c>
      <c r="Z302">
        <f>ROUND(Table1_1[[#This Row],[profit]]/Table1_1[[#This Row],[sales_fix]]*100,2)</f>
        <v>35.86</v>
      </c>
    </row>
    <row r="303" spans="1:26" x14ac:dyDescent="0.3">
      <c r="A303" t="s">
        <v>2305</v>
      </c>
      <c r="B303" s="1">
        <v>45575</v>
      </c>
      <c r="C303" s="1">
        <v>45580</v>
      </c>
      <c r="D303" t="s">
        <v>1394</v>
      </c>
      <c r="E303" t="s">
        <v>1395</v>
      </c>
      <c r="F303" t="s">
        <v>55</v>
      </c>
      <c r="G303" t="s">
        <v>61</v>
      </c>
      <c r="H303" t="s">
        <v>211</v>
      </c>
      <c r="I303" t="s">
        <v>37</v>
      </c>
      <c r="J303" t="s">
        <v>38</v>
      </c>
      <c r="K303" t="s">
        <v>27</v>
      </c>
      <c r="L303">
        <v>4</v>
      </c>
      <c r="M303">
        <v>9500</v>
      </c>
      <c r="N303">
        <v>0</v>
      </c>
      <c r="O303">
        <v>38000</v>
      </c>
      <c r="P303">
        <v>7314.6</v>
      </c>
      <c r="Q303" t="s">
        <v>121</v>
      </c>
      <c r="R303" t="s">
        <v>29</v>
      </c>
      <c r="S303" t="s">
        <v>40</v>
      </c>
      <c r="T303">
        <f>YEAR(Table1_1[[#This Row],[order_date]])</f>
        <v>2024</v>
      </c>
      <c r="U303">
        <f>MONTH(Table1_1[[#This Row],[order_date]])</f>
        <v>10</v>
      </c>
      <c r="V303" t="str">
        <f>TEXT(Table1_1[[#This Row],[order_date]],"mmm")</f>
        <v>Oct</v>
      </c>
      <c r="W303" t="str">
        <f>"Q"&amp;ROUNDUP(MONTH(Table1_1[[#This Row],[order_date]])/3,0)</f>
        <v>Q4</v>
      </c>
      <c r="X303" t="str">
        <f>TEXT(Table1_1[[#This Row],[order_date]],"yyyy-mm")</f>
        <v>2024-10</v>
      </c>
      <c r="Y303">
        <f>IF(Table1_1[[#This Row],[ship_date]]="","",Table1_1[[#This Row],[ship_date]]-Table1_1[[#This Row],[order_date]])</f>
        <v>5</v>
      </c>
      <c r="Z303">
        <f>ROUND(Table1_1[[#This Row],[profit]]/Table1_1[[#This Row],[sales_fix]]*100,2)</f>
        <v>19.25</v>
      </c>
    </row>
    <row r="304" spans="1:26" x14ac:dyDescent="0.3">
      <c r="A304" t="s">
        <v>1702</v>
      </c>
      <c r="B304" s="1">
        <v>45906</v>
      </c>
      <c r="C304" s="1">
        <v>45907</v>
      </c>
      <c r="D304" t="s">
        <v>101</v>
      </c>
      <c r="E304" t="s">
        <v>102</v>
      </c>
      <c r="F304" t="s">
        <v>55</v>
      </c>
      <c r="G304" t="s">
        <v>35</v>
      </c>
      <c r="H304" t="s">
        <v>36</v>
      </c>
      <c r="I304" t="s">
        <v>114</v>
      </c>
      <c r="J304" t="s">
        <v>115</v>
      </c>
      <c r="K304" t="s">
        <v>65</v>
      </c>
      <c r="L304">
        <v>2</v>
      </c>
      <c r="M304">
        <v>55000</v>
      </c>
      <c r="N304">
        <v>0</v>
      </c>
      <c r="O304">
        <v>110000</v>
      </c>
      <c r="P304">
        <v>19251.59</v>
      </c>
      <c r="Q304" t="s">
        <v>156</v>
      </c>
      <c r="R304" t="s">
        <v>49</v>
      </c>
      <c r="S304" t="s">
        <v>110</v>
      </c>
      <c r="T304">
        <f>YEAR(Table1_1[[#This Row],[order_date]])</f>
        <v>2025</v>
      </c>
      <c r="U304">
        <f>MONTH(Table1_1[[#This Row],[order_date]])</f>
        <v>9</v>
      </c>
      <c r="V304" t="str">
        <f>TEXT(Table1_1[[#This Row],[order_date]],"mmm")</f>
        <v>Sep</v>
      </c>
      <c r="W304" t="str">
        <f>"Q"&amp;ROUNDUP(MONTH(Table1_1[[#This Row],[order_date]])/3,0)</f>
        <v>Q3</v>
      </c>
      <c r="X304" t="str">
        <f>TEXT(Table1_1[[#This Row],[order_date]],"yyyy-mm")</f>
        <v>2025-09</v>
      </c>
      <c r="Y304">
        <f>IF(Table1_1[[#This Row],[ship_date]]="","",Table1_1[[#This Row],[ship_date]]-Table1_1[[#This Row],[order_date]])</f>
        <v>1</v>
      </c>
      <c r="Z304">
        <f>ROUND(Table1_1[[#This Row],[profit]]/Table1_1[[#This Row],[sales_fix]]*100,2)</f>
        <v>17.5</v>
      </c>
    </row>
    <row r="305" spans="1:26" x14ac:dyDescent="0.3">
      <c r="A305" t="s">
        <v>1487</v>
      </c>
      <c r="B305" s="1">
        <v>45706</v>
      </c>
      <c r="C305" s="1">
        <v>45710</v>
      </c>
      <c r="D305" t="s">
        <v>438</v>
      </c>
      <c r="E305" t="s">
        <v>439</v>
      </c>
      <c r="F305" t="s">
        <v>34</v>
      </c>
      <c r="G305" t="s">
        <v>35</v>
      </c>
      <c r="H305" t="s">
        <v>85</v>
      </c>
      <c r="I305" t="s">
        <v>134</v>
      </c>
      <c r="J305" t="s">
        <v>135</v>
      </c>
      <c r="K305" t="s">
        <v>27</v>
      </c>
      <c r="L305">
        <v>1</v>
      </c>
      <c r="M305">
        <v>6000</v>
      </c>
      <c r="N305">
        <v>0</v>
      </c>
      <c r="O305">
        <v>6000</v>
      </c>
      <c r="P305">
        <v>1343.82</v>
      </c>
      <c r="Q305" t="s">
        <v>74</v>
      </c>
      <c r="R305" t="s">
        <v>56</v>
      </c>
      <c r="S305" t="s">
        <v>50</v>
      </c>
      <c r="T305">
        <f>YEAR(Table1_1[[#This Row],[order_date]])</f>
        <v>2025</v>
      </c>
      <c r="U305">
        <f>MONTH(Table1_1[[#This Row],[order_date]])</f>
        <v>2</v>
      </c>
      <c r="V305" t="str">
        <f>TEXT(Table1_1[[#This Row],[order_date]],"mmm")</f>
        <v>Feb</v>
      </c>
      <c r="W305" t="str">
        <f>"Q"&amp;ROUNDUP(MONTH(Table1_1[[#This Row],[order_date]])/3,0)</f>
        <v>Q1</v>
      </c>
      <c r="X305" t="str">
        <f>TEXT(Table1_1[[#This Row],[order_date]],"yyyy-mm")</f>
        <v>2025-02</v>
      </c>
      <c r="Y305">
        <f>IF(Table1_1[[#This Row],[ship_date]]="","",Table1_1[[#This Row],[ship_date]]-Table1_1[[#This Row],[order_date]])</f>
        <v>4</v>
      </c>
      <c r="Z305">
        <f>ROUND(Table1_1[[#This Row],[profit]]/Table1_1[[#This Row],[sales_fix]]*100,2)</f>
        <v>22.4</v>
      </c>
    </row>
    <row r="306" spans="1:26" x14ac:dyDescent="0.3">
      <c r="A306" t="s">
        <v>2168</v>
      </c>
      <c r="B306" s="1">
        <v>45779</v>
      </c>
      <c r="C306" s="1">
        <v>45784</v>
      </c>
      <c r="D306" t="s">
        <v>98</v>
      </c>
      <c r="E306" t="s">
        <v>99</v>
      </c>
      <c r="F306" t="s">
        <v>34</v>
      </c>
      <c r="G306" t="s">
        <v>91</v>
      </c>
      <c r="H306" t="s">
        <v>92</v>
      </c>
      <c r="I306" t="s">
        <v>126</v>
      </c>
      <c r="J306" t="s">
        <v>127</v>
      </c>
      <c r="K306" t="s">
        <v>95</v>
      </c>
      <c r="L306">
        <v>5</v>
      </c>
      <c r="M306">
        <v>600</v>
      </c>
      <c r="N306">
        <v>15</v>
      </c>
      <c r="O306">
        <v>2550</v>
      </c>
      <c r="P306">
        <v>817.25</v>
      </c>
      <c r="Q306" t="s">
        <v>121</v>
      </c>
      <c r="R306" t="s">
        <v>56</v>
      </c>
      <c r="S306" t="s">
        <v>40</v>
      </c>
      <c r="T306">
        <f>YEAR(Table1_1[[#This Row],[order_date]])</f>
        <v>2025</v>
      </c>
      <c r="U306">
        <f>MONTH(Table1_1[[#This Row],[order_date]])</f>
        <v>5</v>
      </c>
      <c r="V306" t="str">
        <f>TEXT(Table1_1[[#This Row],[order_date]],"mmm")</f>
        <v>May</v>
      </c>
      <c r="W306" t="str">
        <f>"Q"&amp;ROUNDUP(MONTH(Table1_1[[#This Row],[order_date]])/3,0)</f>
        <v>Q2</v>
      </c>
      <c r="X306" t="str">
        <f>TEXT(Table1_1[[#This Row],[order_date]],"yyyy-mm")</f>
        <v>2025-05</v>
      </c>
      <c r="Y306">
        <f>IF(Table1_1[[#This Row],[ship_date]]="","",Table1_1[[#This Row],[ship_date]]-Table1_1[[#This Row],[order_date]])</f>
        <v>5</v>
      </c>
      <c r="Z306">
        <f>ROUND(Table1_1[[#This Row],[profit]]/Table1_1[[#This Row],[sales_fix]]*100,2)</f>
        <v>32.049999999999997</v>
      </c>
    </row>
    <row r="307" spans="1:26" x14ac:dyDescent="0.3">
      <c r="A307" t="s">
        <v>2822</v>
      </c>
      <c r="B307" s="1">
        <v>45391</v>
      </c>
      <c r="C307" s="1">
        <v>45394</v>
      </c>
      <c r="D307" t="s">
        <v>570</v>
      </c>
      <c r="E307" t="s">
        <v>571</v>
      </c>
      <c r="F307" t="s">
        <v>34</v>
      </c>
      <c r="G307" t="s">
        <v>44</v>
      </c>
      <c r="H307" t="s">
        <v>161</v>
      </c>
      <c r="I307" t="s">
        <v>25</v>
      </c>
      <c r="J307" t="s">
        <v>26</v>
      </c>
      <c r="K307" t="s">
        <v>27</v>
      </c>
      <c r="L307">
        <v>2</v>
      </c>
      <c r="M307">
        <v>7000</v>
      </c>
      <c r="N307">
        <v>15</v>
      </c>
      <c r="O307">
        <v>11900</v>
      </c>
      <c r="P307">
        <v>2103.46</v>
      </c>
      <c r="Q307" t="s">
        <v>156</v>
      </c>
      <c r="R307" t="s">
        <v>49</v>
      </c>
      <c r="S307" t="s">
        <v>86</v>
      </c>
      <c r="T307">
        <f>YEAR(Table1_1[[#This Row],[order_date]])</f>
        <v>2024</v>
      </c>
      <c r="U307">
        <f>MONTH(Table1_1[[#This Row],[order_date]])</f>
        <v>4</v>
      </c>
      <c r="V307" t="str">
        <f>TEXT(Table1_1[[#This Row],[order_date]],"mmm")</f>
        <v>Apr</v>
      </c>
      <c r="W307" t="str">
        <f>"Q"&amp;ROUNDUP(MONTH(Table1_1[[#This Row],[order_date]])/3,0)</f>
        <v>Q2</v>
      </c>
      <c r="X307" t="str">
        <f>TEXT(Table1_1[[#This Row],[order_date]],"yyyy-mm")</f>
        <v>2024-04</v>
      </c>
      <c r="Y307">
        <f>IF(Table1_1[[#This Row],[ship_date]]="","",Table1_1[[#This Row],[ship_date]]-Table1_1[[#This Row],[order_date]])</f>
        <v>3</v>
      </c>
      <c r="Z307">
        <f>ROUND(Table1_1[[#This Row],[profit]]/Table1_1[[#This Row],[sales_fix]]*100,2)</f>
        <v>17.68</v>
      </c>
    </row>
    <row r="308" spans="1:26" x14ac:dyDescent="0.3">
      <c r="A308" t="s">
        <v>877</v>
      </c>
      <c r="B308" s="1">
        <v>45520</v>
      </c>
      <c r="C308" s="1">
        <v>45526</v>
      </c>
      <c r="D308" t="s">
        <v>444</v>
      </c>
      <c r="E308" t="s">
        <v>445</v>
      </c>
      <c r="F308" t="s">
        <v>55</v>
      </c>
      <c r="G308" t="s">
        <v>91</v>
      </c>
      <c r="H308" t="s">
        <v>92</v>
      </c>
      <c r="I308" t="s">
        <v>37</v>
      </c>
      <c r="J308" t="s">
        <v>38</v>
      </c>
      <c r="K308" t="s">
        <v>27</v>
      </c>
      <c r="L308">
        <v>3</v>
      </c>
      <c r="M308">
        <v>9500</v>
      </c>
      <c r="N308">
        <v>0</v>
      </c>
      <c r="O308">
        <v>28500</v>
      </c>
      <c r="P308">
        <v>4948.68</v>
      </c>
      <c r="Q308" t="s">
        <v>74</v>
      </c>
      <c r="R308" t="s">
        <v>49</v>
      </c>
      <c r="S308" t="s">
        <v>40</v>
      </c>
      <c r="T308">
        <f>YEAR(Table1_1[[#This Row],[order_date]])</f>
        <v>2024</v>
      </c>
      <c r="U308">
        <f>MONTH(Table1_1[[#This Row],[order_date]])</f>
        <v>8</v>
      </c>
      <c r="V308" t="str">
        <f>TEXT(Table1_1[[#This Row],[order_date]],"mmm")</f>
        <v>Aug</v>
      </c>
      <c r="W308" t="str">
        <f>"Q"&amp;ROUNDUP(MONTH(Table1_1[[#This Row],[order_date]])/3,0)</f>
        <v>Q3</v>
      </c>
      <c r="X308" t="str">
        <f>TEXT(Table1_1[[#This Row],[order_date]],"yyyy-mm")</f>
        <v>2024-08</v>
      </c>
      <c r="Y308">
        <f>IF(Table1_1[[#This Row],[ship_date]]="","",Table1_1[[#This Row],[ship_date]]-Table1_1[[#This Row],[order_date]])</f>
        <v>6</v>
      </c>
      <c r="Z308">
        <f>ROUND(Table1_1[[#This Row],[profit]]/Table1_1[[#This Row],[sales_fix]]*100,2)</f>
        <v>17.36</v>
      </c>
    </row>
    <row r="309" spans="1:26" x14ac:dyDescent="0.3">
      <c r="A309" t="s">
        <v>2848</v>
      </c>
      <c r="B309" s="1">
        <v>45412</v>
      </c>
      <c r="C309" s="1">
        <v>45414</v>
      </c>
      <c r="D309" t="s">
        <v>919</v>
      </c>
      <c r="E309" t="s">
        <v>920</v>
      </c>
      <c r="F309" t="s">
        <v>23</v>
      </c>
      <c r="G309" t="s">
        <v>35</v>
      </c>
      <c r="H309" t="s">
        <v>36</v>
      </c>
      <c r="I309" t="s">
        <v>147</v>
      </c>
      <c r="J309" t="s">
        <v>148</v>
      </c>
      <c r="K309" t="s">
        <v>48</v>
      </c>
      <c r="L309">
        <v>2</v>
      </c>
      <c r="M309">
        <v>250</v>
      </c>
      <c r="N309">
        <v>20</v>
      </c>
      <c r="O309">
        <v>400</v>
      </c>
      <c r="P309">
        <v>152.6</v>
      </c>
      <c r="Q309" t="s">
        <v>28</v>
      </c>
      <c r="R309" t="s">
        <v>29</v>
      </c>
      <c r="S309" t="s">
        <v>40</v>
      </c>
      <c r="T309">
        <f>YEAR(Table1_1[[#This Row],[order_date]])</f>
        <v>2024</v>
      </c>
      <c r="U309">
        <f>MONTH(Table1_1[[#This Row],[order_date]])</f>
        <v>4</v>
      </c>
      <c r="V309" t="str">
        <f>TEXT(Table1_1[[#This Row],[order_date]],"mmm")</f>
        <v>Apr</v>
      </c>
      <c r="W309" t="str">
        <f>"Q"&amp;ROUNDUP(MONTH(Table1_1[[#This Row],[order_date]])/3,0)</f>
        <v>Q2</v>
      </c>
      <c r="X309" t="str">
        <f>TEXT(Table1_1[[#This Row],[order_date]],"yyyy-mm")</f>
        <v>2024-04</v>
      </c>
      <c r="Y309">
        <f>IF(Table1_1[[#This Row],[ship_date]]="","",Table1_1[[#This Row],[ship_date]]-Table1_1[[#This Row],[order_date]])</f>
        <v>2</v>
      </c>
      <c r="Z309">
        <f>ROUND(Table1_1[[#This Row],[profit]]/Table1_1[[#This Row],[sales_fix]]*100,2)</f>
        <v>38.15</v>
      </c>
    </row>
    <row r="310" spans="1:26" x14ac:dyDescent="0.3">
      <c r="A310" t="s">
        <v>631</v>
      </c>
      <c r="B310" s="1">
        <v>45682</v>
      </c>
      <c r="C310" s="1">
        <v>45685</v>
      </c>
      <c r="D310" t="s">
        <v>421</v>
      </c>
      <c r="E310" t="s">
        <v>422</v>
      </c>
      <c r="F310" t="s">
        <v>34</v>
      </c>
      <c r="G310" t="s">
        <v>61</v>
      </c>
      <c r="H310" t="s">
        <v>211</v>
      </c>
      <c r="I310" t="s">
        <v>126</v>
      </c>
      <c r="J310" t="s">
        <v>127</v>
      </c>
      <c r="K310" t="s">
        <v>95</v>
      </c>
      <c r="L310">
        <v>2</v>
      </c>
      <c r="M310">
        <v>600</v>
      </c>
      <c r="N310">
        <v>5</v>
      </c>
      <c r="O310">
        <v>1140</v>
      </c>
      <c r="P310">
        <v>312.61</v>
      </c>
      <c r="Q310" t="s">
        <v>121</v>
      </c>
      <c r="R310" t="s">
        <v>29</v>
      </c>
      <c r="S310" t="s">
        <v>110</v>
      </c>
      <c r="T310">
        <f>YEAR(Table1_1[[#This Row],[order_date]])</f>
        <v>2025</v>
      </c>
      <c r="U310">
        <f>MONTH(Table1_1[[#This Row],[order_date]])</f>
        <v>1</v>
      </c>
      <c r="V310" t="str">
        <f>TEXT(Table1_1[[#This Row],[order_date]],"mmm")</f>
        <v>Jan</v>
      </c>
      <c r="W310" t="str">
        <f>"Q"&amp;ROUNDUP(MONTH(Table1_1[[#This Row],[order_date]])/3,0)</f>
        <v>Q1</v>
      </c>
      <c r="X310" t="str">
        <f>TEXT(Table1_1[[#This Row],[order_date]],"yyyy-mm")</f>
        <v>2025-01</v>
      </c>
      <c r="Y310">
        <f>IF(Table1_1[[#This Row],[ship_date]]="","",Table1_1[[#This Row],[ship_date]]-Table1_1[[#This Row],[order_date]])</f>
        <v>3</v>
      </c>
      <c r="Z310">
        <f>ROUND(Table1_1[[#This Row],[profit]]/Table1_1[[#This Row],[sales_fix]]*100,2)</f>
        <v>27.42</v>
      </c>
    </row>
    <row r="311" spans="1:26" x14ac:dyDescent="0.3">
      <c r="A311" t="s">
        <v>696</v>
      </c>
      <c r="B311" s="1">
        <v>45760</v>
      </c>
      <c r="C311" s="1">
        <v>45762</v>
      </c>
      <c r="D311" t="s">
        <v>182</v>
      </c>
      <c r="E311" t="s">
        <v>183</v>
      </c>
      <c r="F311" t="s">
        <v>55</v>
      </c>
      <c r="G311" t="s">
        <v>44</v>
      </c>
      <c r="H311" t="s">
        <v>45</v>
      </c>
      <c r="I311" t="s">
        <v>93</v>
      </c>
      <c r="J311" t="s">
        <v>94</v>
      </c>
      <c r="K311" t="s">
        <v>95</v>
      </c>
      <c r="L311">
        <v>1</v>
      </c>
      <c r="M311">
        <v>1800</v>
      </c>
      <c r="N311">
        <v>20</v>
      </c>
      <c r="O311">
        <v>1440</v>
      </c>
      <c r="P311">
        <v>497.08</v>
      </c>
      <c r="Q311" t="s">
        <v>28</v>
      </c>
      <c r="R311" t="s">
        <v>49</v>
      </c>
      <c r="S311" t="s">
        <v>50</v>
      </c>
      <c r="T311">
        <f>YEAR(Table1_1[[#This Row],[order_date]])</f>
        <v>2025</v>
      </c>
      <c r="U311">
        <f>MONTH(Table1_1[[#This Row],[order_date]])</f>
        <v>4</v>
      </c>
      <c r="V311" t="str">
        <f>TEXT(Table1_1[[#This Row],[order_date]],"mmm")</f>
        <v>Apr</v>
      </c>
      <c r="W311" t="str">
        <f>"Q"&amp;ROUNDUP(MONTH(Table1_1[[#This Row],[order_date]])/3,0)</f>
        <v>Q2</v>
      </c>
      <c r="X311" t="str">
        <f>TEXT(Table1_1[[#This Row],[order_date]],"yyyy-mm")</f>
        <v>2025-04</v>
      </c>
      <c r="Y311">
        <f>IF(Table1_1[[#This Row],[ship_date]]="","",Table1_1[[#This Row],[ship_date]]-Table1_1[[#This Row],[order_date]])</f>
        <v>2</v>
      </c>
      <c r="Z311">
        <f>ROUND(Table1_1[[#This Row],[profit]]/Table1_1[[#This Row],[sales_fix]]*100,2)</f>
        <v>34.520000000000003</v>
      </c>
    </row>
    <row r="312" spans="1:26" x14ac:dyDescent="0.3">
      <c r="A312" t="s">
        <v>800</v>
      </c>
      <c r="B312" s="1">
        <v>45351</v>
      </c>
      <c r="C312" s="1">
        <v>45354</v>
      </c>
      <c r="D312" t="s">
        <v>308</v>
      </c>
      <c r="E312" t="s">
        <v>309</v>
      </c>
      <c r="F312" t="s">
        <v>34</v>
      </c>
      <c r="G312" t="s">
        <v>91</v>
      </c>
      <c r="H312" t="s">
        <v>177</v>
      </c>
      <c r="I312" t="s">
        <v>126</v>
      </c>
      <c r="J312" t="s">
        <v>127</v>
      </c>
      <c r="K312" t="s">
        <v>95</v>
      </c>
      <c r="L312">
        <v>1</v>
      </c>
      <c r="M312">
        <v>600</v>
      </c>
      <c r="N312">
        <v>0</v>
      </c>
      <c r="O312">
        <v>600</v>
      </c>
      <c r="P312">
        <v>178.7</v>
      </c>
      <c r="Q312" t="s">
        <v>3113</v>
      </c>
      <c r="R312" t="s">
        <v>29</v>
      </c>
      <c r="S312" t="s">
        <v>30</v>
      </c>
      <c r="T312">
        <f>YEAR(Table1_1[[#This Row],[order_date]])</f>
        <v>2024</v>
      </c>
      <c r="U312">
        <f>MONTH(Table1_1[[#This Row],[order_date]])</f>
        <v>2</v>
      </c>
      <c r="V312" t="str">
        <f>TEXT(Table1_1[[#This Row],[order_date]],"mmm")</f>
        <v>Feb</v>
      </c>
      <c r="W312" t="str">
        <f>"Q"&amp;ROUNDUP(MONTH(Table1_1[[#This Row],[order_date]])/3,0)</f>
        <v>Q1</v>
      </c>
      <c r="X312" t="str">
        <f>TEXT(Table1_1[[#This Row],[order_date]],"yyyy-mm")</f>
        <v>2024-02</v>
      </c>
      <c r="Y312">
        <f>IF(Table1_1[[#This Row],[ship_date]]="","",Table1_1[[#This Row],[ship_date]]-Table1_1[[#This Row],[order_date]])</f>
        <v>3</v>
      </c>
      <c r="Z312">
        <f>ROUND(Table1_1[[#This Row],[profit]]/Table1_1[[#This Row],[sales_fix]]*100,2)</f>
        <v>29.78</v>
      </c>
    </row>
    <row r="313" spans="1:26" x14ac:dyDescent="0.3">
      <c r="A313" t="s">
        <v>2952</v>
      </c>
      <c r="B313" s="1">
        <v>45921</v>
      </c>
      <c r="C313" s="1">
        <v>45929</v>
      </c>
      <c r="D313" t="s">
        <v>1579</v>
      </c>
      <c r="E313" t="s">
        <v>1580</v>
      </c>
      <c r="F313" t="s">
        <v>55</v>
      </c>
      <c r="G313" t="s">
        <v>44</v>
      </c>
      <c r="H313" t="s">
        <v>45</v>
      </c>
      <c r="I313" t="s">
        <v>79</v>
      </c>
      <c r="J313" t="s">
        <v>80</v>
      </c>
      <c r="K313" t="s">
        <v>65</v>
      </c>
      <c r="L313">
        <v>2</v>
      </c>
      <c r="M313">
        <v>3000</v>
      </c>
      <c r="N313">
        <v>5</v>
      </c>
      <c r="O313">
        <v>5700</v>
      </c>
      <c r="P313">
        <v>1472.92</v>
      </c>
      <c r="Q313" t="s">
        <v>28</v>
      </c>
      <c r="R313" t="s">
        <v>29</v>
      </c>
      <c r="S313" t="s">
        <v>86</v>
      </c>
      <c r="T313">
        <f>YEAR(Table1_1[[#This Row],[order_date]])</f>
        <v>2025</v>
      </c>
      <c r="U313">
        <f>MONTH(Table1_1[[#This Row],[order_date]])</f>
        <v>9</v>
      </c>
      <c r="V313" t="str">
        <f>TEXT(Table1_1[[#This Row],[order_date]],"mmm")</f>
        <v>Sep</v>
      </c>
      <c r="W313" t="str">
        <f>"Q"&amp;ROUNDUP(MONTH(Table1_1[[#This Row],[order_date]])/3,0)</f>
        <v>Q3</v>
      </c>
      <c r="X313" t="str">
        <f>TEXT(Table1_1[[#This Row],[order_date]],"yyyy-mm")</f>
        <v>2025-09</v>
      </c>
      <c r="Y313">
        <f>IF(Table1_1[[#This Row],[ship_date]]="","",Table1_1[[#This Row],[ship_date]]-Table1_1[[#This Row],[order_date]])</f>
        <v>8</v>
      </c>
      <c r="Z313">
        <f>ROUND(Table1_1[[#This Row],[profit]]/Table1_1[[#This Row],[sales_fix]]*100,2)</f>
        <v>25.84</v>
      </c>
    </row>
    <row r="314" spans="1:26" x14ac:dyDescent="0.3">
      <c r="A314" t="s">
        <v>1798</v>
      </c>
      <c r="B314" s="1">
        <v>45674</v>
      </c>
      <c r="C314" s="1">
        <v>45678</v>
      </c>
      <c r="D314" t="s">
        <v>98</v>
      </c>
      <c r="E314" t="s">
        <v>99</v>
      </c>
      <c r="F314" t="s">
        <v>34</v>
      </c>
      <c r="G314" t="s">
        <v>91</v>
      </c>
      <c r="H314" t="s">
        <v>92</v>
      </c>
      <c r="I314" t="s">
        <v>103</v>
      </c>
      <c r="J314" t="s">
        <v>104</v>
      </c>
      <c r="K314" t="s">
        <v>65</v>
      </c>
      <c r="L314">
        <v>5</v>
      </c>
      <c r="M314">
        <v>8000</v>
      </c>
      <c r="N314">
        <v>0</v>
      </c>
      <c r="O314">
        <v>40000</v>
      </c>
      <c r="P314">
        <v>10027.39</v>
      </c>
      <c r="Q314" t="s">
        <v>66</v>
      </c>
      <c r="R314" t="s">
        <v>56</v>
      </c>
      <c r="S314" t="s">
        <v>86</v>
      </c>
      <c r="T314">
        <f>YEAR(Table1_1[[#This Row],[order_date]])</f>
        <v>2025</v>
      </c>
      <c r="U314">
        <f>MONTH(Table1_1[[#This Row],[order_date]])</f>
        <v>1</v>
      </c>
      <c r="V314" t="str">
        <f>TEXT(Table1_1[[#This Row],[order_date]],"mmm")</f>
        <v>Jan</v>
      </c>
      <c r="W314" t="str">
        <f>"Q"&amp;ROUNDUP(MONTH(Table1_1[[#This Row],[order_date]])/3,0)</f>
        <v>Q1</v>
      </c>
      <c r="X314" t="str">
        <f>TEXT(Table1_1[[#This Row],[order_date]],"yyyy-mm")</f>
        <v>2025-01</v>
      </c>
      <c r="Y314">
        <f>IF(Table1_1[[#This Row],[ship_date]]="","",Table1_1[[#This Row],[ship_date]]-Table1_1[[#This Row],[order_date]])</f>
        <v>4</v>
      </c>
      <c r="Z314">
        <f>ROUND(Table1_1[[#This Row],[profit]]/Table1_1[[#This Row],[sales_fix]]*100,2)</f>
        <v>25.07</v>
      </c>
    </row>
    <row r="315" spans="1:26" x14ac:dyDescent="0.3">
      <c r="A315" t="s">
        <v>1582</v>
      </c>
      <c r="B315" s="1">
        <v>46002</v>
      </c>
      <c r="C315" s="1">
        <v>46007</v>
      </c>
      <c r="D315" t="s">
        <v>418</v>
      </c>
      <c r="E315" t="s">
        <v>419</v>
      </c>
      <c r="F315" t="s">
        <v>23</v>
      </c>
      <c r="G315" t="s">
        <v>91</v>
      </c>
      <c r="H315" t="s">
        <v>120</v>
      </c>
      <c r="I315" t="s">
        <v>103</v>
      </c>
      <c r="J315" t="s">
        <v>104</v>
      </c>
      <c r="K315" t="s">
        <v>65</v>
      </c>
      <c r="L315">
        <v>1</v>
      </c>
      <c r="M315">
        <v>8000</v>
      </c>
      <c r="N315">
        <v>0</v>
      </c>
      <c r="O315">
        <v>8000</v>
      </c>
      <c r="P315">
        <v>1706.84</v>
      </c>
      <c r="Q315" t="s">
        <v>121</v>
      </c>
      <c r="R315" t="s">
        <v>29</v>
      </c>
      <c r="S315" t="s">
        <v>86</v>
      </c>
      <c r="T315">
        <f>YEAR(Table1_1[[#This Row],[order_date]])</f>
        <v>2025</v>
      </c>
      <c r="U315">
        <f>MONTH(Table1_1[[#This Row],[order_date]])</f>
        <v>12</v>
      </c>
      <c r="V315" t="str">
        <f>TEXT(Table1_1[[#This Row],[order_date]],"mmm")</f>
        <v>Dec</v>
      </c>
      <c r="W315" t="str">
        <f>"Q"&amp;ROUNDUP(MONTH(Table1_1[[#This Row],[order_date]])/3,0)</f>
        <v>Q4</v>
      </c>
      <c r="X315" t="str">
        <f>TEXT(Table1_1[[#This Row],[order_date]],"yyyy-mm")</f>
        <v>2025-12</v>
      </c>
      <c r="Y315">
        <f>IF(Table1_1[[#This Row],[ship_date]]="","",Table1_1[[#This Row],[ship_date]]-Table1_1[[#This Row],[order_date]])</f>
        <v>5</v>
      </c>
      <c r="Z315">
        <f>ROUND(Table1_1[[#This Row],[profit]]/Table1_1[[#This Row],[sales_fix]]*100,2)</f>
        <v>21.34</v>
      </c>
    </row>
    <row r="316" spans="1:26" x14ac:dyDescent="0.3">
      <c r="A316" t="s">
        <v>885</v>
      </c>
      <c r="B316" s="1">
        <v>45758</v>
      </c>
      <c r="C316" s="1">
        <v>45765</v>
      </c>
      <c r="D316" t="s">
        <v>886</v>
      </c>
      <c r="E316" t="s">
        <v>887</v>
      </c>
      <c r="F316" t="s">
        <v>55</v>
      </c>
      <c r="G316" t="s">
        <v>91</v>
      </c>
      <c r="H316" t="s">
        <v>177</v>
      </c>
      <c r="I316" t="s">
        <v>25</v>
      </c>
      <c r="J316" t="s">
        <v>26</v>
      </c>
      <c r="K316" t="s">
        <v>27</v>
      </c>
      <c r="L316">
        <v>3</v>
      </c>
      <c r="M316">
        <v>7000</v>
      </c>
      <c r="N316">
        <v>10</v>
      </c>
      <c r="O316">
        <v>18900</v>
      </c>
      <c r="P316">
        <v>3782.31</v>
      </c>
      <c r="Q316" t="s">
        <v>156</v>
      </c>
      <c r="R316" t="s">
        <v>29</v>
      </c>
      <c r="S316" t="s">
        <v>110</v>
      </c>
      <c r="T316">
        <f>YEAR(Table1_1[[#This Row],[order_date]])</f>
        <v>2025</v>
      </c>
      <c r="U316">
        <f>MONTH(Table1_1[[#This Row],[order_date]])</f>
        <v>4</v>
      </c>
      <c r="V316" t="str">
        <f>TEXT(Table1_1[[#This Row],[order_date]],"mmm")</f>
        <v>Apr</v>
      </c>
      <c r="W316" t="str">
        <f>"Q"&amp;ROUNDUP(MONTH(Table1_1[[#This Row],[order_date]])/3,0)</f>
        <v>Q2</v>
      </c>
      <c r="X316" t="str">
        <f>TEXT(Table1_1[[#This Row],[order_date]],"yyyy-mm")</f>
        <v>2025-04</v>
      </c>
      <c r="Y316">
        <f>IF(Table1_1[[#This Row],[ship_date]]="","",Table1_1[[#This Row],[ship_date]]-Table1_1[[#This Row],[order_date]])</f>
        <v>7</v>
      </c>
      <c r="Z316">
        <f>ROUND(Table1_1[[#This Row],[profit]]/Table1_1[[#This Row],[sales_fix]]*100,2)</f>
        <v>20.010000000000002</v>
      </c>
    </row>
    <row r="317" spans="1:26" x14ac:dyDescent="0.3">
      <c r="A317" t="s">
        <v>2691</v>
      </c>
      <c r="B317" s="1">
        <v>45484</v>
      </c>
      <c r="C317" s="1">
        <v>45488</v>
      </c>
      <c r="D317" t="s">
        <v>731</v>
      </c>
      <c r="E317" t="s">
        <v>732</v>
      </c>
      <c r="F317" t="s">
        <v>34</v>
      </c>
      <c r="G317" t="s">
        <v>44</v>
      </c>
      <c r="H317" t="s">
        <v>155</v>
      </c>
      <c r="I317" t="s">
        <v>37</v>
      </c>
      <c r="J317" t="s">
        <v>38</v>
      </c>
      <c r="K317" t="s">
        <v>27</v>
      </c>
      <c r="L317">
        <v>1</v>
      </c>
      <c r="M317">
        <v>9500</v>
      </c>
      <c r="N317">
        <v>20</v>
      </c>
      <c r="O317">
        <v>7600</v>
      </c>
      <c r="P317">
        <v>1309.26</v>
      </c>
      <c r="Q317" t="s">
        <v>121</v>
      </c>
      <c r="R317" t="s">
        <v>56</v>
      </c>
      <c r="S317" t="s">
        <v>50</v>
      </c>
      <c r="T317">
        <f>YEAR(Table1_1[[#This Row],[order_date]])</f>
        <v>2024</v>
      </c>
      <c r="U317">
        <f>MONTH(Table1_1[[#This Row],[order_date]])</f>
        <v>7</v>
      </c>
      <c r="V317" t="str">
        <f>TEXT(Table1_1[[#This Row],[order_date]],"mmm")</f>
        <v>Jul</v>
      </c>
      <c r="W317" t="str">
        <f>"Q"&amp;ROUNDUP(MONTH(Table1_1[[#This Row],[order_date]])/3,0)</f>
        <v>Q3</v>
      </c>
      <c r="X317" t="str">
        <f>TEXT(Table1_1[[#This Row],[order_date]],"yyyy-mm")</f>
        <v>2024-07</v>
      </c>
      <c r="Y317">
        <f>IF(Table1_1[[#This Row],[ship_date]]="","",Table1_1[[#This Row],[ship_date]]-Table1_1[[#This Row],[order_date]])</f>
        <v>4</v>
      </c>
      <c r="Z317">
        <f>ROUND(Table1_1[[#This Row],[profit]]/Table1_1[[#This Row],[sales_fix]]*100,2)</f>
        <v>17.23</v>
      </c>
    </row>
    <row r="318" spans="1:26" x14ac:dyDescent="0.3">
      <c r="A318" t="s">
        <v>1444</v>
      </c>
      <c r="B318" s="1">
        <v>45314</v>
      </c>
      <c r="C318" s="1">
        <v>45315</v>
      </c>
      <c r="D318" t="s">
        <v>606</v>
      </c>
      <c r="E318" t="s">
        <v>607</v>
      </c>
      <c r="F318" t="s">
        <v>23</v>
      </c>
      <c r="G318" t="s">
        <v>35</v>
      </c>
      <c r="H318" t="s">
        <v>36</v>
      </c>
      <c r="I318" t="s">
        <v>71</v>
      </c>
      <c r="J318" t="s">
        <v>72</v>
      </c>
      <c r="K318" t="s">
        <v>73</v>
      </c>
      <c r="L318">
        <v>2</v>
      </c>
      <c r="M318">
        <v>3500</v>
      </c>
      <c r="N318">
        <v>0</v>
      </c>
      <c r="O318">
        <v>7000</v>
      </c>
      <c r="P318">
        <v>1678.35</v>
      </c>
      <c r="Q318" t="s">
        <v>28</v>
      </c>
      <c r="R318" t="s">
        <v>56</v>
      </c>
      <c r="S318" t="s">
        <v>110</v>
      </c>
      <c r="T318">
        <f>YEAR(Table1_1[[#This Row],[order_date]])</f>
        <v>2024</v>
      </c>
      <c r="U318">
        <f>MONTH(Table1_1[[#This Row],[order_date]])</f>
        <v>1</v>
      </c>
      <c r="V318" t="str">
        <f>TEXT(Table1_1[[#This Row],[order_date]],"mmm")</f>
        <v>Jan</v>
      </c>
      <c r="W318" t="str">
        <f>"Q"&amp;ROUNDUP(MONTH(Table1_1[[#This Row],[order_date]])/3,0)</f>
        <v>Q1</v>
      </c>
      <c r="X318" t="str">
        <f>TEXT(Table1_1[[#This Row],[order_date]],"yyyy-mm")</f>
        <v>2024-01</v>
      </c>
      <c r="Y318">
        <f>IF(Table1_1[[#This Row],[ship_date]]="","",Table1_1[[#This Row],[ship_date]]-Table1_1[[#This Row],[order_date]])</f>
        <v>1</v>
      </c>
      <c r="Z318">
        <f>ROUND(Table1_1[[#This Row],[profit]]/Table1_1[[#This Row],[sales_fix]]*100,2)</f>
        <v>23.98</v>
      </c>
    </row>
    <row r="319" spans="1:26" x14ac:dyDescent="0.3">
      <c r="A319" t="s">
        <v>1716</v>
      </c>
      <c r="B319" s="1">
        <v>45341</v>
      </c>
      <c r="C319" s="1">
        <v>45342</v>
      </c>
      <c r="D319" t="s">
        <v>98</v>
      </c>
      <c r="E319" t="s">
        <v>99</v>
      </c>
      <c r="F319" t="s">
        <v>34</v>
      </c>
      <c r="G319" t="s">
        <v>91</v>
      </c>
      <c r="H319" t="s">
        <v>92</v>
      </c>
      <c r="I319" t="s">
        <v>93</v>
      </c>
      <c r="J319" t="s">
        <v>94</v>
      </c>
      <c r="K319" t="s">
        <v>95</v>
      </c>
      <c r="L319">
        <v>2</v>
      </c>
      <c r="M319">
        <v>1800</v>
      </c>
      <c r="N319">
        <v>0</v>
      </c>
      <c r="O319">
        <v>3600</v>
      </c>
      <c r="P319">
        <v>1215.6300000000001</v>
      </c>
      <c r="Q319" t="s">
        <v>66</v>
      </c>
      <c r="R319" t="s">
        <v>56</v>
      </c>
      <c r="S319" t="s">
        <v>86</v>
      </c>
      <c r="T319">
        <f>YEAR(Table1_1[[#This Row],[order_date]])</f>
        <v>2024</v>
      </c>
      <c r="U319">
        <f>MONTH(Table1_1[[#This Row],[order_date]])</f>
        <v>2</v>
      </c>
      <c r="V319" t="str">
        <f>TEXT(Table1_1[[#This Row],[order_date]],"mmm")</f>
        <v>Feb</v>
      </c>
      <c r="W319" t="str">
        <f>"Q"&amp;ROUNDUP(MONTH(Table1_1[[#This Row],[order_date]])/3,0)</f>
        <v>Q1</v>
      </c>
      <c r="X319" t="str">
        <f>TEXT(Table1_1[[#This Row],[order_date]],"yyyy-mm")</f>
        <v>2024-02</v>
      </c>
      <c r="Y319">
        <f>IF(Table1_1[[#This Row],[ship_date]]="","",Table1_1[[#This Row],[ship_date]]-Table1_1[[#This Row],[order_date]])</f>
        <v>1</v>
      </c>
      <c r="Z319">
        <f>ROUND(Table1_1[[#This Row],[profit]]/Table1_1[[#This Row],[sales_fix]]*100,2)</f>
        <v>33.770000000000003</v>
      </c>
    </row>
    <row r="320" spans="1:26" x14ac:dyDescent="0.3">
      <c r="A320" t="s">
        <v>2279</v>
      </c>
      <c r="B320" s="1">
        <v>45681</v>
      </c>
      <c r="C320" s="1">
        <v>45684</v>
      </c>
      <c r="D320" t="s">
        <v>318</v>
      </c>
      <c r="E320" t="s">
        <v>319</v>
      </c>
      <c r="F320" t="s">
        <v>55</v>
      </c>
      <c r="G320" t="s">
        <v>35</v>
      </c>
      <c r="H320" t="s">
        <v>36</v>
      </c>
      <c r="I320" t="s">
        <v>147</v>
      </c>
      <c r="J320" t="s">
        <v>148</v>
      </c>
      <c r="K320" t="s">
        <v>48</v>
      </c>
      <c r="L320">
        <v>1</v>
      </c>
      <c r="M320">
        <v>250</v>
      </c>
      <c r="N320">
        <v>0</v>
      </c>
      <c r="O320">
        <v>250</v>
      </c>
      <c r="P320">
        <v>88.98</v>
      </c>
      <c r="Q320" t="s">
        <v>121</v>
      </c>
      <c r="R320" t="s">
        <v>56</v>
      </c>
      <c r="S320" t="s">
        <v>86</v>
      </c>
      <c r="T320">
        <f>YEAR(Table1_1[[#This Row],[order_date]])</f>
        <v>2025</v>
      </c>
      <c r="U320">
        <f>MONTH(Table1_1[[#This Row],[order_date]])</f>
        <v>1</v>
      </c>
      <c r="V320" t="str">
        <f>TEXT(Table1_1[[#This Row],[order_date]],"mmm")</f>
        <v>Jan</v>
      </c>
      <c r="W320" t="str">
        <f>"Q"&amp;ROUNDUP(MONTH(Table1_1[[#This Row],[order_date]])/3,0)</f>
        <v>Q1</v>
      </c>
      <c r="X320" t="str">
        <f>TEXT(Table1_1[[#This Row],[order_date]],"yyyy-mm")</f>
        <v>2025-01</v>
      </c>
      <c r="Y320">
        <f>IF(Table1_1[[#This Row],[ship_date]]="","",Table1_1[[#This Row],[ship_date]]-Table1_1[[#This Row],[order_date]])</f>
        <v>3</v>
      </c>
      <c r="Z320">
        <f>ROUND(Table1_1[[#This Row],[profit]]/Table1_1[[#This Row],[sales_fix]]*100,2)</f>
        <v>35.590000000000003</v>
      </c>
    </row>
    <row r="321" spans="1:26" x14ac:dyDescent="0.3">
      <c r="A321" t="s">
        <v>365</v>
      </c>
      <c r="B321" s="1">
        <v>45969</v>
      </c>
      <c r="C321" s="1">
        <v>45972</v>
      </c>
      <c r="D321" t="s">
        <v>223</v>
      </c>
      <c r="E321" t="s">
        <v>224</v>
      </c>
      <c r="F321" t="s">
        <v>34</v>
      </c>
      <c r="G321" t="s">
        <v>35</v>
      </c>
      <c r="H321" t="s">
        <v>85</v>
      </c>
      <c r="I321" t="s">
        <v>134</v>
      </c>
      <c r="J321" t="s">
        <v>135</v>
      </c>
      <c r="K321" t="s">
        <v>27</v>
      </c>
      <c r="L321">
        <v>2</v>
      </c>
      <c r="M321">
        <v>6000</v>
      </c>
      <c r="N321">
        <v>10</v>
      </c>
      <c r="O321">
        <v>10800</v>
      </c>
      <c r="P321">
        <v>2442.3200000000002</v>
      </c>
      <c r="Q321" t="s">
        <v>28</v>
      </c>
      <c r="R321" t="s">
        <v>29</v>
      </c>
      <c r="S321" t="s">
        <v>40</v>
      </c>
      <c r="T321">
        <f>YEAR(Table1_1[[#This Row],[order_date]])</f>
        <v>2025</v>
      </c>
      <c r="U321">
        <f>MONTH(Table1_1[[#This Row],[order_date]])</f>
        <v>11</v>
      </c>
      <c r="V321" t="str">
        <f>TEXT(Table1_1[[#This Row],[order_date]],"mmm")</f>
        <v>Nov</v>
      </c>
      <c r="W321" t="str">
        <f>"Q"&amp;ROUNDUP(MONTH(Table1_1[[#This Row],[order_date]])/3,0)</f>
        <v>Q4</v>
      </c>
      <c r="X321" t="str">
        <f>TEXT(Table1_1[[#This Row],[order_date]],"yyyy-mm")</f>
        <v>2025-11</v>
      </c>
      <c r="Y321">
        <f>IF(Table1_1[[#This Row],[ship_date]]="","",Table1_1[[#This Row],[ship_date]]-Table1_1[[#This Row],[order_date]])</f>
        <v>3</v>
      </c>
      <c r="Z321">
        <f>ROUND(Table1_1[[#This Row],[profit]]/Table1_1[[#This Row],[sales_fix]]*100,2)</f>
        <v>22.61</v>
      </c>
    </row>
    <row r="322" spans="1:26" x14ac:dyDescent="0.3">
      <c r="A322" t="s">
        <v>2278</v>
      </c>
      <c r="B322" s="1">
        <v>45408</v>
      </c>
      <c r="C322" s="1">
        <v>45412</v>
      </c>
      <c r="D322" t="s">
        <v>395</v>
      </c>
      <c r="E322" t="s">
        <v>396</v>
      </c>
      <c r="F322" t="s">
        <v>55</v>
      </c>
      <c r="G322" t="s">
        <v>44</v>
      </c>
      <c r="H322" t="s">
        <v>161</v>
      </c>
      <c r="I322" t="s">
        <v>25</v>
      </c>
      <c r="J322" t="s">
        <v>26</v>
      </c>
      <c r="K322" t="s">
        <v>27</v>
      </c>
      <c r="L322">
        <v>3</v>
      </c>
      <c r="M322">
        <v>7000</v>
      </c>
      <c r="N322">
        <v>5</v>
      </c>
      <c r="O322">
        <v>19950</v>
      </c>
      <c r="P322">
        <v>3421.04</v>
      </c>
      <c r="Q322" t="s">
        <v>74</v>
      </c>
      <c r="R322" t="s">
        <v>56</v>
      </c>
      <c r="S322" t="s">
        <v>50</v>
      </c>
      <c r="T322">
        <f>YEAR(Table1_1[[#This Row],[order_date]])</f>
        <v>2024</v>
      </c>
      <c r="U322">
        <f>MONTH(Table1_1[[#This Row],[order_date]])</f>
        <v>4</v>
      </c>
      <c r="V322" t="str">
        <f>TEXT(Table1_1[[#This Row],[order_date]],"mmm")</f>
        <v>Apr</v>
      </c>
      <c r="W322" t="str">
        <f>"Q"&amp;ROUNDUP(MONTH(Table1_1[[#This Row],[order_date]])/3,0)</f>
        <v>Q2</v>
      </c>
      <c r="X322" t="str">
        <f>TEXT(Table1_1[[#This Row],[order_date]],"yyyy-mm")</f>
        <v>2024-04</v>
      </c>
      <c r="Y322">
        <f>IF(Table1_1[[#This Row],[ship_date]]="","",Table1_1[[#This Row],[ship_date]]-Table1_1[[#This Row],[order_date]])</f>
        <v>4</v>
      </c>
      <c r="Z322">
        <f>ROUND(Table1_1[[#This Row],[profit]]/Table1_1[[#This Row],[sales_fix]]*100,2)</f>
        <v>17.149999999999999</v>
      </c>
    </row>
    <row r="323" spans="1:26" x14ac:dyDescent="0.3">
      <c r="A323" t="s">
        <v>2316</v>
      </c>
      <c r="B323" s="1">
        <v>45711</v>
      </c>
      <c r="C323" s="1">
        <v>45715</v>
      </c>
      <c r="D323" t="s">
        <v>517</v>
      </c>
      <c r="E323" t="s">
        <v>518</v>
      </c>
      <c r="F323" t="s">
        <v>34</v>
      </c>
      <c r="G323" t="s">
        <v>61</v>
      </c>
      <c r="H323" t="s">
        <v>125</v>
      </c>
      <c r="I323" t="s">
        <v>71</v>
      </c>
      <c r="J323" t="s">
        <v>72</v>
      </c>
      <c r="K323" t="s">
        <v>73</v>
      </c>
      <c r="L323">
        <v>1</v>
      </c>
      <c r="M323">
        <v>3500</v>
      </c>
      <c r="N323">
        <v>0</v>
      </c>
      <c r="O323">
        <v>3500</v>
      </c>
      <c r="P323">
        <v>1029.57</v>
      </c>
      <c r="Q323" t="s">
        <v>156</v>
      </c>
      <c r="R323" t="s">
        <v>49</v>
      </c>
      <c r="S323" t="s">
        <v>110</v>
      </c>
      <c r="T323">
        <f>YEAR(Table1_1[[#This Row],[order_date]])</f>
        <v>2025</v>
      </c>
      <c r="U323">
        <f>MONTH(Table1_1[[#This Row],[order_date]])</f>
        <v>2</v>
      </c>
      <c r="V323" t="str">
        <f>TEXT(Table1_1[[#This Row],[order_date]],"mmm")</f>
        <v>Feb</v>
      </c>
      <c r="W323" t="str">
        <f>"Q"&amp;ROUNDUP(MONTH(Table1_1[[#This Row],[order_date]])/3,0)</f>
        <v>Q1</v>
      </c>
      <c r="X323" t="str">
        <f>TEXT(Table1_1[[#This Row],[order_date]],"yyyy-mm")</f>
        <v>2025-02</v>
      </c>
      <c r="Y323">
        <f>IF(Table1_1[[#This Row],[ship_date]]="","",Table1_1[[#This Row],[ship_date]]-Table1_1[[#This Row],[order_date]])</f>
        <v>4</v>
      </c>
      <c r="Z323">
        <f>ROUND(Table1_1[[#This Row],[profit]]/Table1_1[[#This Row],[sales_fix]]*100,2)</f>
        <v>29.42</v>
      </c>
    </row>
    <row r="324" spans="1:26" x14ac:dyDescent="0.3">
      <c r="A324" t="s">
        <v>972</v>
      </c>
      <c r="B324" s="1">
        <v>45305</v>
      </c>
      <c r="C324" s="1">
        <v>45313</v>
      </c>
      <c r="D324" t="s">
        <v>973</v>
      </c>
      <c r="E324" t="s">
        <v>974</v>
      </c>
      <c r="F324" t="s">
        <v>34</v>
      </c>
      <c r="G324" t="s">
        <v>91</v>
      </c>
      <c r="H324" t="s">
        <v>177</v>
      </c>
      <c r="I324" t="s">
        <v>114</v>
      </c>
      <c r="J324" t="s">
        <v>115</v>
      </c>
      <c r="K324" t="s">
        <v>65</v>
      </c>
      <c r="L324">
        <v>3</v>
      </c>
      <c r="M324">
        <v>55000</v>
      </c>
      <c r="N324">
        <v>0</v>
      </c>
      <c r="O324">
        <v>165000</v>
      </c>
      <c r="P324">
        <v>30712.560000000001</v>
      </c>
      <c r="Q324" t="s">
        <v>3113</v>
      </c>
      <c r="R324" t="s">
        <v>29</v>
      </c>
      <c r="S324" t="s">
        <v>40</v>
      </c>
      <c r="T324">
        <f>YEAR(Table1_1[[#This Row],[order_date]])</f>
        <v>2024</v>
      </c>
      <c r="U324">
        <f>MONTH(Table1_1[[#This Row],[order_date]])</f>
        <v>1</v>
      </c>
      <c r="V324" t="str">
        <f>TEXT(Table1_1[[#This Row],[order_date]],"mmm")</f>
        <v>Jan</v>
      </c>
      <c r="W324" t="str">
        <f>"Q"&amp;ROUNDUP(MONTH(Table1_1[[#This Row],[order_date]])/3,0)</f>
        <v>Q1</v>
      </c>
      <c r="X324" t="str">
        <f>TEXT(Table1_1[[#This Row],[order_date]],"yyyy-mm")</f>
        <v>2024-01</v>
      </c>
      <c r="Y324">
        <f>IF(Table1_1[[#This Row],[ship_date]]="","",Table1_1[[#This Row],[ship_date]]-Table1_1[[#This Row],[order_date]])</f>
        <v>8</v>
      </c>
      <c r="Z324">
        <f>ROUND(Table1_1[[#This Row],[profit]]/Table1_1[[#This Row],[sales_fix]]*100,2)</f>
        <v>18.61</v>
      </c>
    </row>
    <row r="325" spans="1:26" x14ac:dyDescent="0.3">
      <c r="A325" t="s">
        <v>1873</v>
      </c>
      <c r="B325" s="1">
        <v>45395</v>
      </c>
      <c r="C325" s="1">
        <v>45400</v>
      </c>
      <c r="D325" t="s">
        <v>328</v>
      </c>
      <c r="E325" t="s">
        <v>329</v>
      </c>
      <c r="F325" t="s">
        <v>23</v>
      </c>
      <c r="G325" t="s">
        <v>44</v>
      </c>
      <c r="H325" t="s">
        <v>330</v>
      </c>
      <c r="I325" t="s">
        <v>71</v>
      </c>
      <c r="J325" t="s">
        <v>72</v>
      </c>
      <c r="K325" t="s">
        <v>73</v>
      </c>
      <c r="L325">
        <v>5</v>
      </c>
      <c r="M325">
        <v>3500</v>
      </c>
      <c r="N325">
        <v>15</v>
      </c>
      <c r="O325">
        <v>14875</v>
      </c>
      <c r="P325">
        <v>3772.13</v>
      </c>
      <c r="Q325" t="s">
        <v>74</v>
      </c>
      <c r="R325" t="s">
        <v>49</v>
      </c>
      <c r="S325" t="s">
        <v>86</v>
      </c>
      <c r="T325">
        <f>YEAR(Table1_1[[#This Row],[order_date]])</f>
        <v>2024</v>
      </c>
      <c r="U325">
        <f>MONTH(Table1_1[[#This Row],[order_date]])</f>
        <v>4</v>
      </c>
      <c r="V325" t="str">
        <f>TEXT(Table1_1[[#This Row],[order_date]],"mmm")</f>
        <v>Apr</v>
      </c>
      <c r="W325" t="str">
        <f>"Q"&amp;ROUNDUP(MONTH(Table1_1[[#This Row],[order_date]])/3,0)</f>
        <v>Q2</v>
      </c>
      <c r="X325" t="str">
        <f>TEXT(Table1_1[[#This Row],[order_date]],"yyyy-mm")</f>
        <v>2024-04</v>
      </c>
      <c r="Y325">
        <f>IF(Table1_1[[#This Row],[ship_date]]="","",Table1_1[[#This Row],[ship_date]]-Table1_1[[#This Row],[order_date]])</f>
        <v>5</v>
      </c>
      <c r="Z325">
        <f>ROUND(Table1_1[[#This Row],[profit]]/Table1_1[[#This Row],[sales_fix]]*100,2)</f>
        <v>25.36</v>
      </c>
    </row>
    <row r="326" spans="1:26" x14ac:dyDescent="0.3">
      <c r="A326" t="s">
        <v>860</v>
      </c>
      <c r="B326" s="1">
        <v>45332</v>
      </c>
      <c r="C326" s="1"/>
      <c r="D326" t="s">
        <v>861</v>
      </c>
      <c r="E326" t="s">
        <v>862</v>
      </c>
      <c r="F326" t="s">
        <v>55</v>
      </c>
      <c r="G326" t="s">
        <v>44</v>
      </c>
      <c r="H326" t="s">
        <v>24</v>
      </c>
      <c r="I326" t="s">
        <v>79</v>
      </c>
      <c r="J326" t="s">
        <v>80</v>
      </c>
      <c r="K326" t="s">
        <v>65</v>
      </c>
      <c r="L326">
        <v>4</v>
      </c>
      <c r="M326">
        <v>3000</v>
      </c>
      <c r="N326">
        <v>0</v>
      </c>
      <c r="O326">
        <v>12000</v>
      </c>
      <c r="P326">
        <v>3674.3</v>
      </c>
      <c r="Q326" t="s">
        <v>28</v>
      </c>
      <c r="R326" t="s">
        <v>56</v>
      </c>
      <c r="S326" t="s">
        <v>86</v>
      </c>
      <c r="T326">
        <f>YEAR(Table1_1[[#This Row],[order_date]])</f>
        <v>2024</v>
      </c>
      <c r="U326">
        <f>MONTH(Table1_1[[#This Row],[order_date]])</f>
        <v>2</v>
      </c>
      <c r="V326" t="str">
        <f>TEXT(Table1_1[[#This Row],[order_date]],"mmm")</f>
        <v>Feb</v>
      </c>
      <c r="W326" t="str">
        <f>"Q"&amp;ROUNDUP(MONTH(Table1_1[[#This Row],[order_date]])/3,0)</f>
        <v>Q1</v>
      </c>
      <c r="X326" t="str">
        <f>TEXT(Table1_1[[#This Row],[order_date]],"yyyy-mm")</f>
        <v>2024-02</v>
      </c>
      <c r="Y326" t="str">
        <f>IF(Table1_1[[#This Row],[ship_date]]="","",Table1_1[[#This Row],[ship_date]]-Table1_1[[#This Row],[order_date]])</f>
        <v/>
      </c>
      <c r="Z326">
        <f>ROUND(Table1_1[[#This Row],[profit]]/Table1_1[[#This Row],[sales_fix]]*100,2)</f>
        <v>30.62</v>
      </c>
    </row>
    <row r="327" spans="1:26" x14ac:dyDescent="0.3">
      <c r="A327" t="s">
        <v>3009</v>
      </c>
      <c r="B327" s="1">
        <v>45301</v>
      </c>
      <c r="C327" s="1">
        <v>45307</v>
      </c>
      <c r="D327" t="s">
        <v>890</v>
      </c>
      <c r="E327" t="s">
        <v>891</v>
      </c>
      <c r="F327" t="s">
        <v>34</v>
      </c>
      <c r="G327" t="s">
        <v>35</v>
      </c>
      <c r="H327" t="s">
        <v>36</v>
      </c>
      <c r="I327" t="s">
        <v>114</v>
      </c>
      <c r="J327" t="s">
        <v>115</v>
      </c>
      <c r="K327" t="s">
        <v>65</v>
      </c>
      <c r="L327">
        <v>4</v>
      </c>
      <c r="M327">
        <v>55000</v>
      </c>
      <c r="N327">
        <v>15</v>
      </c>
      <c r="O327">
        <v>187000</v>
      </c>
      <c r="P327">
        <v>32275.88</v>
      </c>
      <c r="Q327" t="s">
        <v>74</v>
      </c>
      <c r="R327" t="s">
        <v>49</v>
      </c>
      <c r="S327" t="s">
        <v>40</v>
      </c>
      <c r="T327">
        <f>YEAR(Table1_1[[#This Row],[order_date]])</f>
        <v>2024</v>
      </c>
      <c r="U327">
        <f>MONTH(Table1_1[[#This Row],[order_date]])</f>
        <v>1</v>
      </c>
      <c r="V327" t="str">
        <f>TEXT(Table1_1[[#This Row],[order_date]],"mmm")</f>
        <v>Jan</v>
      </c>
      <c r="W327" t="str">
        <f>"Q"&amp;ROUNDUP(MONTH(Table1_1[[#This Row],[order_date]])/3,0)</f>
        <v>Q1</v>
      </c>
      <c r="X327" t="str">
        <f>TEXT(Table1_1[[#This Row],[order_date]],"yyyy-mm")</f>
        <v>2024-01</v>
      </c>
      <c r="Y327">
        <f>IF(Table1_1[[#This Row],[ship_date]]="","",Table1_1[[#This Row],[ship_date]]-Table1_1[[#This Row],[order_date]])</f>
        <v>6</v>
      </c>
      <c r="Z327">
        <f>ROUND(Table1_1[[#This Row],[profit]]/Table1_1[[#This Row],[sales_fix]]*100,2)</f>
        <v>17.260000000000002</v>
      </c>
    </row>
    <row r="328" spans="1:26" x14ac:dyDescent="0.3">
      <c r="A328" t="s">
        <v>213</v>
      </c>
      <c r="B328" s="1">
        <v>45387</v>
      </c>
      <c r="C328" s="1">
        <v>45394</v>
      </c>
      <c r="D328" t="s">
        <v>214</v>
      </c>
      <c r="E328" t="s">
        <v>215</v>
      </c>
      <c r="F328" t="s">
        <v>55</v>
      </c>
      <c r="G328" t="s">
        <v>44</v>
      </c>
      <c r="H328" t="s">
        <v>330</v>
      </c>
      <c r="I328" t="s">
        <v>71</v>
      </c>
      <c r="J328" t="s">
        <v>72</v>
      </c>
      <c r="K328" t="s">
        <v>73</v>
      </c>
      <c r="L328">
        <v>1</v>
      </c>
      <c r="M328">
        <v>3500</v>
      </c>
      <c r="N328">
        <v>0</v>
      </c>
      <c r="O328">
        <v>3500</v>
      </c>
      <c r="P328">
        <v>865.93</v>
      </c>
      <c r="Q328" t="s">
        <v>28</v>
      </c>
      <c r="R328" t="s">
        <v>49</v>
      </c>
      <c r="S328" t="s">
        <v>110</v>
      </c>
      <c r="T328">
        <f>YEAR(Table1_1[[#This Row],[order_date]])</f>
        <v>2024</v>
      </c>
      <c r="U328">
        <f>MONTH(Table1_1[[#This Row],[order_date]])</f>
        <v>4</v>
      </c>
      <c r="V328" t="str">
        <f>TEXT(Table1_1[[#This Row],[order_date]],"mmm")</f>
        <v>Apr</v>
      </c>
      <c r="W328" t="str">
        <f>"Q"&amp;ROUNDUP(MONTH(Table1_1[[#This Row],[order_date]])/3,0)</f>
        <v>Q2</v>
      </c>
      <c r="X328" t="str">
        <f>TEXT(Table1_1[[#This Row],[order_date]],"yyyy-mm")</f>
        <v>2024-04</v>
      </c>
      <c r="Y328">
        <f>IF(Table1_1[[#This Row],[ship_date]]="","",Table1_1[[#This Row],[ship_date]]-Table1_1[[#This Row],[order_date]])</f>
        <v>7</v>
      </c>
      <c r="Z328">
        <f>ROUND(Table1_1[[#This Row],[profit]]/Table1_1[[#This Row],[sales_fix]]*100,2)</f>
        <v>24.74</v>
      </c>
    </row>
    <row r="329" spans="1:26" x14ac:dyDescent="0.3">
      <c r="A329" t="s">
        <v>2702</v>
      </c>
      <c r="B329" s="1">
        <v>45781</v>
      </c>
      <c r="C329" s="1">
        <v>45784</v>
      </c>
      <c r="D329" t="s">
        <v>301</v>
      </c>
      <c r="E329" t="s">
        <v>302</v>
      </c>
      <c r="F329" t="s">
        <v>34</v>
      </c>
      <c r="G329" t="s">
        <v>44</v>
      </c>
      <c r="H329" t="s">
        <v>24</v>
      </c>
      <c r="I329" t="s">
        <v>71</v>
      </c>
      <c r="J329" t="s">
        <v>72</v>
      </c>
      <c r="K329" t="s">
        <v>73</v>
      </c>
      <c r="L329">
        <v>3</v>
      </c>
      <c r="M329">
        <v>3500</v>
      </c>
      <c r="N329">
        <v>15</v>
      </c>
      <c r="O329">
        <v>8925</v>
      </c>
      <c r="P329">
        <v>3011.51</v>
      </c>
      <c r="Q329" t="s">
        <v>66</v>
      </c>
      <c r="R329" t="s">
        <v>29</v>
      </c>
      <c r="S329" t="s">
        <v>86</v>
      </c>
      <c r="T329">
        <f>YEAR(Table1_1[[#This Row],[order_date]])</f>
        <v>2025</v>
      </c>
      <c r="U329">
        <f>MONTH(Table1_1[[#This Row],[order_date]])</f>
        <v>5</v>
      </c>
      <c r="V329" t="str">
        <f>TEXT(Table1_1[[#This Row],[order_date]],"mmm")</f>
        <v>May</v>
      </c>
      <c r="W329" t="str">
        <f>"Q"&amp;ROUNDUP(MONTH(Table1_1[[#This Row],[order_date]])/3,0)</f>
        <v>Q2</v>
      </c>
      <c r="X329" t="str">
        <f>TEXT(Table1_1[[#This Row],[order_date]],"yyyy-mm")</f>
        <v>2025-05</v>
      </c>
      <c r="Y329">
        <f>IF(Table1_1[[#This Row],[ship_date]]="","",Table1_1[[#This Row],[ship_date]]-Table1_1[[#This Row],[order_date]])</f>
        <v>3</v>
      </c>
      <c r="Z329">
        <f>ROUND(Table1_1[[#This Row],[profit]]/Table1_1[[#This Row],[sales_fix]]*100,2)</f>
        <v>33.74</v>
      </c>
    </row>
    <row r="330" spans="1:26" x14ac:dyDescent="0.3">
      <c r="A330" t="s">
        <v>1182</v>
      </c>
      <c r="B330" s="1">
        <v>45718</v>
      </c>
      <c r="C330" s="1">
        <v>45726</v>
      </c>
      <c r="D330" t="s">
        <v>1079</v>
      </c>
      <c r="E330" t="s">
        <v>1080</v>
      </c>
      <c r="F330" t="s">
        <v>23</v>
      </c>
      <c r="G330" t="s">
        <v>44</v>
      </c>
      <c r="H330" t="s">
        <v>155</v>
      </c>
      <c r="I330" t="s">
        <v>63</v>
      </c>
      <c r="J330" t="s">
        <v>64</v>
      </c>
      <c r="K330" t="s">
        <v>65</v>
      </c>
      <c r="L330">
        <v>5</v>
      </c>
      <c r="M330">
        <v>25000</v>
      </c>
      <c r="N330">
        <v>5</v>
      </c>
      <c r="O330">
        <v>118750</v>
      </c>
      <c r="P330">
        <v>18184.89</v>
      </c>
      <c r="Q330" t="s">
        <v>121</v>
      </c>
      <c r="R330" t="s">
        <v>56</v>
      </c>
      <c r="S330" t="s">
        <v>30</v>
      </c>
      <c r="T330">
        <f>YEAR(Table1_1[[#This Row],[order_date]])</f>
        <v>2025</v>
      </c>
      <c r="U330">
        <f>MONTH(Table1_1[[#This Row],[order_date]])</f>
        <v>3</v>
      </c>
      <c r="V330" t="str">
        <f>TEXT(Table1_1[[#This Row],[order_date]],"mmm")</f>
        <v>Mar</v>
      </c>
      <c r="W330" t="str">
        <f>"Q"&amp;ROUNDUP(MONTH(Table1_1[[#This Row],[order_date]])/3,0)</f>
        <v>Q1</v>
      </c>
      <c r="X330" t="str">
        <f>TEXT(Table1_1[[#This Row],[order_date]],"yyyy-mm")</f>
        <v>2025-03</v>
      </c>
      <c r="Y330">
        <f>IF(Table1_1[[#This Row],[ship_date]]="","",Table1_1[[#This Row],[ship_date]]-Table1_1[[#This Row],[order_date]])</f>
        <v>8</v>
      </c>
      <c r="Z330">
        <f>ROUND(Table1_1[[#This Row],[profit]]/Table1_1[[#This Row],[sales_fix]]*100,2)</f>
        <v>15.31</v>
      </c>
    </row>
    <row r="331" spans="1:26" x14ac:dyDescent="0.3">
      <c r="A331" t="s">
        <v>1668</v>
      </c>
      <c r="B331" s="1">
        <v>45321</v>
      </c>
      <c r="C331" s="1">
        <v>45324</v>
      </c>
      <c r="D331" t="s">
        <v>517</v>
      </c>
      <c r="E331" t="s">
        <v>518</v>
      </c>
      <c r="F331" t="s">
        <v>34</v>
      </c>
      <c r="G331" t="s">
        <v>61</v>
      </c>
      <c r="H331" t="s">
        <v>125</v>
      </c>
      <c r="I331" t="s">
        <v>93</v>
      </c>
      <c r="J331" t="s">
        <v>94</v>
      </c>
      <c r="K331" t="s">
        <v>95</v>
      </c>
      <c r="L331">
        <v>4</v>
      </c>
      <c r="M331">
        <v>1800</v>
      </c>
      <c r="N331">
        <v>20</v>
      </c>
      <c r="O331">
        <v>5760</v>
      </c>
      <c r="P331">
        <v>1997.68</v>
      </c>
      <c r="Q331" t="s">
        <v>28</v>
      </c>
      <c r="R331" t="s">
        <v>49</v>
      </c>
      <c r="S331" t="s">
        <v>86</v>
      </c>
      <c r="T331">
        <f>YEAR(Table1_1[[#This Row],[order_date]])</f>
        <v>2024</v>
      </c>
      <c r="U331">
        <f>MONTH(Table1_1[[#This Row],[order_date]])</f>
        <v>1</v>
      </c>
      <c r="V331" t="str">
        <f>TEXT(Table1_1[[#This Row],[order_date]],"mmm")</f>
        <v>Jan</v>
      </c>
      <c r="W331" t="str">
        <f>"Q"&amp;ROUNDUP(MONTH(Table1_1[[#This Row],[order_date]])/3,0)</f>
        <v>Q1</v>
      </c>
      <c r="X331" t="str">
        <f>TEXT(Table1_1[[#This Row],[order_date]],"yyyy-mm")</f>
        <v>2024-01</v>
      </c>
      <c r="Y331">
        <f>IF(Table1_1[[#This Row],[ship_date]]="","",Table1_1[[#This Row],[ship_date]]-Table1_1[[#This Row],[order_date]])</f>
        <v>3</v>
      </c>
      <c r="Z331">
        <f>ROUND(Table1_1[[#This Row],[profit]]/Table1_1[[#This Row],[sales_fix]]*100,2)</f>
        <v>34.68</v>
      </c>
    </row>
    <row r="332" spans="1:26" x14ac:dyDescent="0.3">
      <c r="A332" t="s">
        <v>3015</v>
      </c>
      <c r="B332" s="1">
        <v>45339</v>
      </c>
      <c r="C332" s="1">
        <v>45343</v>
      </c>
      <c r="D332" t="s">
        <v>764</v>
      </c>
      <c r="E332" t="s">
        <v>765</v>
      </c>
      <c r="F332" t="s">
        <v>34</v>
      </c>
      <c r="G332" t="s">
        <v>91</v>
      </c>
      <c r="H332" t="s">
        <v>120</v>
      </c>
      <c r="I332" t="s">
        <v>147</v>
      </c>
      <c r="J332" t="s">
        <v>148</v>
      </c>
      <c r="K332" t="s">
        <v>48</v>
      </c>
      <c r="L332">
        <v>1</v>
      </c>
      <c r="M332">
        <v>250</v>
      </c>
      <c r="N332">
        <v>15</v>
      </c>
      <c r="O332">
        <v>212.5</v>
      </c>
      <c r="P332">
        <v>70.180000000000007</v>
      </c>
      <c r="Q332" t="s">
        <v>156</v>
      </c>
      <c r="R332" t="s">
        <v>49</v>
      </c>
      <c r="S332" t="s">
        <v>40</v>
      </c>
      <c r="T332">
        <f>YEAR(Table1_1[[#This Row],[order_date]])</f>
        <v>2024</v>
      </c>
      <c r="U332">
        <f>MONTH(Table1_1[[#This Row],[order_date]])</f>
        <v>2</v>
      </c>
      <c r="V332" t="str">
        <f>TEXT(Table1_1[[#This Row],[order_date]],"mmm")</f>
        <v>Feb</v>
      </c>
      <c r="W332" t="str">
        <f>"Q"&amp;ROUNDUP(MONTH(Table1_1[[#This Row],[order_date]])/3,0)</f>
        <v>Q1</v>
      </c>
      <c r="X332" t="str">
        <f>TEXT(Table1_1[[#This Row],[order_date]],"yyyy-mm")</f>
        <v>2024-02</v>
      </c>
      <c r="Y332">
        <f>IF(Table1_1[[#This Row],[ship_date]]="","",Table1_1[[#This Row],[ship_date]]-Table1_1[[#This Row],[order_date]])</f>
        <v>4</v>
      </c>
      <c r="Z332">
        <f>ROUND(Table1_1[[#This Row],[profit]]/Table1_1[[#This Row],[sales_fix]]*100,2)</f>
        <v>33.03</v>
      </c>
    </row>
    <row r="333" spans="1:26" x14ac:dyDescent="0.3">
      <c r="A333" t="s">
        <v>2820</v>
      </c>
      <c r="B333" s="1">
        <v>46009</v>
      </c>
      <c r="C333" s="1">
        <v>46015</v>
      </c>
      <c r="D333" t="s">
        <v>1191</v>
      </c>
      <c r="E333" t="s">
        <v>1192</v>
      </c>
      <c r="F333" t="s">
        <v>23</v>
      </c>
      <c r="G333" t="s">
        <v>61</v>
      </c>
      <c r="H333" t="s">
        <v>211</v>
      </c>
      <c r="I333" t="s">
        <v>71</v>
      </c>
      <c r="J333" t="s">
        <v>72</v>
      </c>
      <c r="K333" t="s">
        <v>73</v>
      </c>
      <c r="L333">
        <v>2</v>
      </c>
      <c r="M333">
        <v>3500</v>
      </c>
      <c r="N333">
        <v>15</v>
      </c>
      <c r="O333">
        <v>5950</v>
      </c>
      <c r="P333">
        <v>1522.12</v>
      </c>
      <c r="Q333" t="s">
        <v>156</v>
      </c>
      <c r="R333" t="s">
        <v>56</v>
      </c>
      <c r="S333" t="s">
        <v>30</v>
      </c>
      <c r="T333">
        <f>YEAR(Table1_1[[#This Row],[order_date]])</f>
        <v>2025</v>
      </c>
      <c r="U333">
        <f>MONTH(Table1_1[[#This Row],[order_date]])</f>
        <v>12</v>
      </c>
      <c r="V333" t="str">
        <f>TEXT(Table1_1[[#This Row],[order_date]],"mmm")</f>
        <v>Dec</v>
      </c>
      <c r="W333" t="str">
        <f>"Q"&amp;ROUNDUP(MONTH(Table1_1[[#This Row],[order_date]])/3,0)</f>
        <v>Q4</v>
      </c>
      <c r="X333" t="str">
        <f>TEXT(Table1_1[[#This Row],[order_date]],"yyyy-mm")</f>
        <v>2025-12</v>
      </c>
      <c r="Y333">
        <f>IF(Table1_1[[#This Row],[ship_date]]="","",Table1_1[[#This Row],[ship_date]]-Table1_1[[#This Row],[order_date]])</f>
        <v>6</v>
      </c>
      <c r="Z333">
        <f>ROUND(Table1_1[[#This Row],[profit]]/Table1_1[[#This Row],[sales_fix]]*100,2)</f>
        <v>25.58</v>
      </c>
    </row>
    <row r="334" spans="1:26" x14ac:dyDescent="0.3">
      <c r="A334" t="s">
        <v>1425</v>
      </c>
      <c r="B334" s="1">
        <v>45919</v>
      </c>
      <c r="C334" s="1">
        <v>45927</v>
      </c>
      <c r="D334" t="s">
        <v>1426</v>
      </c>
      <c r="E334" t="s">
        <v>1427</v>
      </c>
      <c r="F334" t="s">
        <v>23</v>
      </c>
      <c r="G334" t="s">
        <v>61</v>
      </c>
      <c r="H334" t="s">
        <v>62</v>
      </c>
      <c r="I334" t="s">
        <v>46</v>
      </c>
      <c r="J334" t="s">
        <v>47</v>
      </c>
      <c r="K334" t="s">
        <v>48</v>
      </c>
      <c r="L334">
        <v>1</v>
      </c>
      <c r="M334">
        <v>180</v>
      </c>
      <c r="N334">
        <v>15</v>
      </c>
      <c r="O334">
        <v>153</v>
      </c>
      <c r="P334">
        <v>73.930000000000007</v>
      </c>
      <c r="Q334" t="s">
        <v>28</v>
      </c>
      <c r="R334" t="s">
        <v>29</v>
      </c>
      <c r="S334" t="s">
        <v>86</v>
      </c>
      <c r="T334">
        <f>YEAR(Table1_1[[#This Row],[order_date]])</f>
        <v>2025</v>
      </c>
      <c r="U334">
        <f>MONTH(Table1_1[[#This Row],[order_date]])</f>
        <v>9</v>
      </c>
      <c r="V334" t="str">
        <f>TEXT(Table1_1[[#This Row],[order_date]],"mmm")</f>
        <v>Sep</v>
      </c>
      <c r="W334" t="str">
        <f>"Q"&amp;ROUNDUP(MONTH(Table1_1[[#This Row],[order_date]])/3,0)</f>
        <v>Q3</v>
      </c>
      <c r="X334" t="str">
        <f>TEXT(Table1_1[[#This Row],[order_date]],"yyyy-mm")</f>
        <v>2025-09</v>
      </c>
      <c r="Y334">
        <f>IF(Table1_1[[#This Row],[ship_date]]="","",Table1_1[[#This Row],[ship_date]]-Table1_1[[#This Row],[order_date]])</f>
        <v>8</v>
      </c>
      <c r="Z334">
        <f>ROUND(Table1_1[[#This Row],[profit]]/Table1_1[[#This Row],[sales_fix]]*100,2)</f>
        <v>48.32</v>
      </c>
    </row>
    <row r="335" spans="1:26" x14ac:dyDescent="0.3">
      <c r="A335" t="s">
        <v>840</v>
      </c>
      <c r="B335" s="1">
        <v>45538</v>
      </c>
      <c r="C335" s="1">
        <v>45542</v>
      </c>
      <c r="D335" t="s">
        <v>83</v>
      </c>
      <c r="E335" t="s">
        <v>84</v>
      </c>
      <c r="F335" t="s">
        <v>34</v>
      </c>
      <c r="G335" t="s">
        <v>35</v>
      </c>
      <c r="H335" t="s">
        <v>85</v>
      </c>
      <c r="I335" t="s">
        <v>37</v>
      </c>
      <c r="J335" t="s">
        <v>38</v>
      </c>
      <c r="K335" t="s">
        <v>27</v>
      </c>
      <c r="L335">
        <v>1</v>
      </c>
      <c r="M335">
        <v>9500</v>
      </c>
      <c r="N335">
        <v>0</v>
      </c>
      <c r="O335">
        <v>9500</v>
      </c>
      <c r="P335">
        <v>1368.27</v>
      </c>
      <c r="Q335" t="s">
        <v>39</v>
      </c>
      <c r="R335" t="s">
        <v>56</v>
      </c>
      <c r="S335" t="s">
        <v>30</v>
      </c>
      <c r="T335">
        <f>YEAR(Table1_1[[#This Row],[order_date]])</f>
        <v>2024</v>
      </c>
      <c r="U335">
        <f>MONTH(Table1_1[[#This Row],[order_date]])</f>
        <v>9</v>
      </c>
      <c r="V335" t="str">
        <f>TEXT(Table1_1[[#This Row],[order_date]],"mmm")</f>
        <v>Sep</v>
      </c>
      <c r="W335" t="str">
        <f>"Q"&amp;ROUNDUP(MONTH(Table1_1[[#This Row],[order_date]])/3,0)</f>
        <v>Q3</v>
      </c>
      <c r="X335" t="str">
        <f>TEXT(Table1_1[[#This Row],[order_date]],"yyyy-mm")</f>
        <v>2024-09</v>
      </c>
      <c r="Y335">
        <f>IF(Table1_1[[#This Row],[ship_date]]="","",Table1_1[[#This Row],[ship_date]]-Table1_1[[#This Row],[order_date]])</f>
        <v>4</v>
      </c>
      <c r="Z335">
        <f>ROUND(Table1_1[[#This Row],[profit]]/Table1_1[[#This Row],[sales_fix]]*100,2)</f>
        <v>14.4</v>
      </c>
    </row>
    <row r="336" spans="1:26" x14ac:dyDescent="0.3">
      <c r="A336" t="s">
        <v>1271</v>
      </c>
      <c r="B336" s="1">
        <v>45372</v>
      </c>
      <c r="C336" s="1">
        <v>45374</v>
      </c>
      <c r="D336" t="s">
        <v>689</v>
      </c>
      <c r="E336" t="s">
        <v>690</v>
      </c>
      <c r="F336" t="s">
        <v>55</v>
      </c>
      <c r="G336" t="s">
        <v>61</v>
      </c>
      <c r="H336" t="s">
        <v>62</v>
      </c>
      <c r="I336" t="s">
        <v>103</v>
      </c>
      <c r="J336" t="s">
        <v>104</v>
      </c>
      <c r="K336" t="s">
        <v>65</v>
      </c>
      <c r="L336">
        <v>2</v>
      </c>
      <c r="M336">
        <v>8000</v>
      </c>
      <c r="N336">
        <v>20</v>
      </c>
      <c r="O336">
        <v>12800</v>
      </c>
      <c r="P336">
        <v>2973.48</v>
      </c>
      <c r="Q336" t="s">
        <v>28</v>
      </c>
      <c r="R336" t="s">
        <v>49</v>
      </c>
      <c r="S336" t="s">
        <v>110</v>
      </c>
      <c r="T336">
        <f>YEAR(Table1_1[[#This Row],[order_date]])</f>
        <v>2024</v>
      </c>
      <c r="U336">
        <f>MONTH(Table1_1[[#This Row],[order_date]])</f>
        <v>3</v>
      </c>
      <c r="V336" t="str">
        <f>TEXT(Table1_1[[#This Row],[order_date]],"mmm")</f>
        <v>Mar</v>
      </c>
      <c r="W336" t="str">
        <f>"Q"&amp;ROUNDUP(MONTH(Table1_1[[#This Row],[order_date]])/3,0)</f>
        <v>Q1</v>
      </c>
      <c r="X336" t="str">
        <f>TEXT(Table1_1[[#This Row],[order_date]],"yyyy-mm")</f>
        <v>2024-03</v>
      </c>
      <c r="Y336">
        <f>IF(Table1_1[[#This Row],[ship_date]]="","",Table1_1[[#This Row],[ship_date]]-Table1_1[[#This Row],[order_date]])</f>
        <v>2</v>
      </c>
      <c r="Z336">
        <f>ROUND(Table1_1[[#This Row],[profit]]/Table1_1[[#This Row],[sales_fix]]*100,2)</f>
        <v>23.23</v>
      </c>
    </row>
    <row r="337" spans="1:26" x14ac:dyDescent="0.3">
      <c r="A337" t="s">
        <v>548</v>
      </c>
      <c r="B337" s="1">
        <v>45961</v>
      </c>
      <c r="C337" s="1">
        <v>45962</v>
      </c>
      <c r="D337" t="s">
        <v>395</v>
      </c>
      <c r="E337" t="s">
        <v>396</v>
      </c>
      <c r="F337" t="s">
        <v>55</v>
      </c>
      <c r="G337" t="s">
        <v>44</v>
      </c>
      <c r="H337" t="s">
        <v>161</v>
      </c>
      <c r="I337" t="s">
        <v>147</v>
      </c>
      <c r="J337" t="s">
        <v>148</v>
      </c>
      <c r="K337" t="s">
        <v>48</v>
      </c>
      <c r="L337">
        <v>2</v>
      </c>
      <c r="M337">
        <v>250</v>
      </c>
      <c r="N337">
        <v>0</v>
      </c>
      <c r="O337">
        <v>500</v>
      </c>
      <c r="P337">
        <v>184.57</v>
      </c>
      <c r="Q337" t="s">
        <v>66</v>
      </c>
      <c r="R337" t="s">
        <v>56</v>
      </c>
      <c r="S337" t="s">
        <v>40</v>
      </c>
      <c r="T337">
        <f>YEAR(Table1_1[[#This Row],[order_date]])</f>
        <v>2025</v>
      </c>
      <c r="U337">
        <f>MONTH(Table1_1[[#This Row],[order_date]])</f>
        <v>10</v>
      </c>
      <c r="V337" t="str">
        <f>TEXT(Table1_1[[#This Row],[order_date]],"mmm")</f>
        <v>Oct</v>
      </c>
      <c r="W337" t="str">
        <f>"Q"&amp;ROUNDUP(MONTH(Table1_1[[#This Row],[order_date]])/3,0)</f>
        <v>Q4</v>
      </c>
      <c r="X337" t="str">
        <f>TEXT(Table1_1[[#This Row],[order_date]],"yyyy-mm")</f>
        <v>2025-10</v>
      </c>
      <c r="Y337">
        <f>IF(Table1_1[[#This Row],[ship_date]]="","",Table1_1[[#This Row],[ship_date]]-Table1_1[[#This Row],[order_date]])</f>
        <v>1</v>
      </c>
      <c r="Z337">
        <f>ROUND(Table1_1[[#This Row],[profit]]/Table1_1[[#This Row],[sales_fix]]*100,2)</f>
        <v>36.909999999999997</v>
      </c>
    </row>
    <row r="338" spans="1:26" x14ac:dyDescent="0.3">
      <c r="A338" t="s">
        <v>1557</v>
      </c>
      <c r="B338" s="1">
        <v>45867</v>
      </c>
      <c r="C338" s="1">
        <v>45873</v>
      </c>
      <c r="D338" t="s">
        <v>713</v>
      </c>
      <c r="E338" t="s">
        <v>714</v>
      </c>
      <c r="F338" t="s">
        <v>34</v>
      </c>
      <c r="G338" t="s">
        <v>35</v>
      </c>
      <c r="H338" t="s">
        <v>258</v>
      </c>
      <c r="I338" t="s">
        <v>46</v>
      </c>
      <c r="J338" t="s">
        <v>47</v>
      </c>
      <c r="K338" t="s">
        <v>48</v>
      </c>
      <c r="L338">
        <v>1</v>
      </c>
      <c r="M338">
        <v>180</v>
      </c>
      <c r="N338">
        <v>15</v>
      </c>
      <c r="O338">
        <v>153</v>
      </c>
      <c r="P338">
        <v>60.76</v>
      </c>
      <c r="Q338" t="s">
        <v>74</v>
      </c>
      <c r="R338" t="s">
        <v>29</v>
      </c>
      <c r="S338" t="s">
        <v>50</v>
      </c>
      <c r="T338">
        <f>YEAR(Table1_1[[#This Row],[order_date]])</f>
        <v>2025</v>
      </c>
      <c r="U338">
        <f>MONTH(Table1_1[[#This Row],[order_date]])</f>
        <v>7</v>
      </c>
      <c r="V338" t="str">
        <f>TEXT(Table1_1[[#This Row],[order_date]],"mmm")</f>
        <v>Jul</v>
      </c>
      <c r="W338" t="str">
        <f>"Q"&amp;ROUNDUP(MONTH(Table1_1[[#This Row],[order_date]])/3,0)</f>
        <v>Q3</v>
      </c>
      <c r="X338" t="str">
        <f>TEXT(Table1_1[[#This Row],[order_date]],"yyyy-mm")</f>
        <v>2025-07</v>
      </c>
      <c r="Y338">
        <f>IF(Table1_1[[#This Row],[ship_date]]="","",Table1_1[[#This Row],[ship_date]]-Table1_1[[#This Row],[order_date]])</f>
        <v>6</v>
      </c>
      <c r="Z338">
        <f>ROUND(Table1_1[[#This Row],[profit]]/Table1_1[[#This Row],[sales_fix]]*100,2)</f>
        <v>39.71</v>
      </c>
    </row>
    <row r="339" spans="1:26" x14ac:dyDescent="0.3">
      <c r="A339" t="s">
        <v>1948</v>
      </c>
      <c r="B339" s="1">
        <v>45865</v>
      </c>
      <c r="C339" s="1">
        <v>45871</v>
      </c>
      <c r="D339" t="s">
        <v>185</v>
      </c>
      <c r="E339" t="s">
        <v>186</v>
      </c>
      <c r="F339" t="s">
        <v>55</v>
      </c>
      <c r="G339" t="s">
        <v>35</v>
      </c>
      <c r="H339" t="s">
        <v>187</v>
      </c>
      <c r="I339" t="s">
        <v>37</v>
      </c>
      <c r="J339" t="s">
        <v>38</v>
      </c>
      <c r="K339" t="s">
        <v>27</v>
      </c>
      <c r="L339">
        <v>3</v>
      </c>
      <c r="M339">
        <v>9500</v>
      </c>
      <c r="N339">
        <v>10</v>
      </c>
      <c r="O339">
        <v>25650</v>
      </c>
      <c r="P339">
        <v>4561.87</v>
      </c>
      <c r="Q339" t="s">
        <v>3113</v>
      </c>
      <c r="R339" t="s">
        <v>49</v>
      </c>
      <c r="S339" t="s">
        <v>86</v>
      </c>
      <c r="T339">
        <f>YEAR(Table1_1[[#This Row],[order_date]])</f>
        <v>2025</v>
      </c>
      <c r="U339">
        <f>MONTH(Table1_1[[#This Row],[order_date]])</f>
        <v>7</v>
      </c>
      <c r="V339" t="str">
        <f>TEXT(Table1_1[[#This Row],[order_date]],"mmm")</f>
        <v>Jul</v>
      </c>
      <c r="W339" t="str">
        <f>"Q"&amp;ROUNDUP(MONTH(Table1_1[[#This Row],[order_date]])/3,0)</f>
        <v>Q3</v>
      </c>
      <c r="X339" t="str">
        <f>TEXT(Table1_1[[#This Row],[order_date]],"yyyy-mm")</f>
        <v>2025-07</v>
      </c>
      <c r="Y339">
        <f>IF(Table1_1[[#This Row],[ship_date]]="","",Table1_1[[#This Row],[ship_date]]-Table1_1[[#This Row],[order_date]])</f>
        <v>6</v>
      </c>
      <c r="Z339">
        <f>ROUND(Table1_1[[#This Row],[profit]]/Table1_1[[#This Row],[sales_fix]]*100,2)</f>
        <v>17.79</v>
      </c>
    </row>
    <row r="340" spans="1:26" x14ac:dyDescent="0.3">
      <c r="A340" t="s">
        <v>2633</v>
      </c>
      <c r="B340" s="1">
        <v>45519</v>
      </c>
      <c r="C340" s="1">
        <v>45524</v>
      </c>
      <c r="D340" t="s">
        <v>203</v>
      </c>
      <c r="E340" t="s">
        <v>204</v>
      </c>
      <c r="F340" t="s">
        <v>23</v>
      </c>
      <c r="G340" t="s">
        <v>44</v>
      </c>
      <c r="H340" t="s">
        <v>45</v>
      </c>
      <c r="I340" t="s">
        <v>126</v>
      </c>
      <c r="J340" t="s">
        <v>127</v>
      </c>
      <c r="K340" t="s">
        <v>95</v>
      </c>
      <c r="L340">
        <v>1</v>
      </c>
      <c r="M340">
        <v>600</v>
      </c>
      <c r="N340">
        <v>0</v>
      </c>
      <c r="O340">
        <v>600</v>
      </c>
      <c r="P340">
        <v>235.29</v>
      </c>
      <c r="Q340" t="s">
        <v>39</v>
      </c>
      <c r="R340" t="s">
        <v>56</v>
      </c>
      <c r="S340" t="s">
        <v>110</v>
      </c>
      <c r="T340">
        <f>YEAR(Table1_1[[#This Row],[order_date]])</f>
        <v>2024</v>
      </c>
      <c r="U340">
        <f>MONTH(Table1_1[[#This Row],[order_date]])</f>
        <v>8</v>
      </c>
      <c r="V340" t="str">
        <f>TEXT(Table1_1[[#This Row],[order_date]],"mmm")</f>
        <v>Aug</v>
      </c>
      <c r="W340" t="str">
        <f>"Q"&amp;ROUNDUP(MONTH(Table1_1[[#This Row],[order_date]])/3,0)</f>
        <v>Q3</v>
      </c>
      <c r="X340" t="str">
        <f>TEXT(Table1_1[[#This Row],[order_date]],"yyyy-mm")</f>
        <v>2024-08</v>
      </c>
      <c r="Y340">
        <f>IF(Table1_1[[#This Row],[ship_date]]="","",Table1_1[[#This Row],[ship_date]]-Table1_1[[#This Row],[order_date]])</f>
        <v>5</v>
      </c>
      <c r="Z340">
        <f>ROUND(Table1_1[[#This Row],[profit]]/Table1_1[[#This Row],[sales_fix]]*100,2)</f>
        <v>39.22</v>
      </c>
    </row>
    <row r="341" spans="1:26" x14ac:dyDescent="0.3">
      <c r="A341" t="s">
        <v>2029</v>
      </c>
      <c r="B341" s="1">
        <v>45460</v>
      </c>
      <c r="C341" s="1">
        <v>45467</v>
      </c>
      <c r="D341" t="s">
        <v>179</v>
      </c>
      <c r="E341" t="s">
        <v>180</v>
      </c>
      <c r="F341" t="s">
        <v>23</v>
      </c>
      <c r="G341" t="s">
        <v>91</v>
      </c>
      <c r="H341" t="s">
        <v>177</v>
      </c>
      <c r="I341" t="s">
        <v>114</v>
      </c>
      <c r="J341" t="s">
        <v>115</v>
      </c>
      <c r="K341" t="s">
        <v>65</v>
      </c>
      <c r="L341">
        <v>2</v>
      </c>
      <c r="M341">
        <v>55000</v>
      </c>
      <c r="N341">
        <v>20</v>
      </c>
      <c r="O341">
        <v>88000</v>
      </c>
      <c r="P341">
        <v>15630</v>
      </c>
      <c r="Q341" t="s">
        <v>66</v>
      </c>
      <c r="R341" t="s">
        <v>49</v>
      </c>
      <c r="S341" t="s">
        <v>40</v>
      </c>
      <c r="T341">
        <f>YEAR(Table1_1[[#This Row],[order_date]])</f>
        <v>2024</v>
      </c>
      <c r="U341">
        <f>MONTH(Table1_1[[#This Row],[order_date]])</f>
        <v>6</v>
      </c>
      <c r="V341" t="str">
        <f>TEXT(Table1_1[[#This Row],[order_date]],"mmm")</f>
        <v>Jun</v>
      </c>
      <c r="W341" t="str">
        <f>"Q"&amp;ROUNDUP(MONTH(Table1_1[[#This Row],[order_date]])/3,0)</f>
        <v>Q2</v>
      </c>
      <c r="X341" t="str">
        <f>TEXT(Table1_1[[#This Row],[order_date]],"yyyy-mm")</f>
        <v>2024-06</v>
      </c>
      <c r="Y341">
        <f>IF(Table1_1[[#This Row],[ship_date]]="","",Table1_1[[#This Row],[ship_date]]-Table1_1[[#This Row],[order_date]])</f>
        <v>7</v>
      </c>
      <c r="Z341">
        <f>ROUND(Table1_1[[#This Row],[profit]]/Table1_1[[#This Row],[sales_fix]]*100,2)</f>
        <v>17.760000000000002</v>
      </c>
    </row>
    <row r="342" spans="1:26" x14ac:dyDescent="0.3">
      <c r="A342" t="s">
        <v>1694</v>
      </c>
      <c r="B342" s="1">
        <v>45415</v>
      </c>
      <c r="C342" s="1">
        <v>45419</v>
      </c>
      <c r="D342" t="s">
        <v>1695</v>
      </c>
      <c r="E342" t="s">
        <v>1696</v>
      </c>
      <c r="F342" t="s">
        <v>34</v>
      </c>
      <c r="G342" t="s">
        <v>35</v>
      </c>
      <c r="H342" t="s">
        <v>85</v>
      </c>
      <c r="I342" t="s">
        <v>103</v>
      </c>
      <c r="J342" t="s">
        <v>104</v>
      </c>
      <c r="K342" t="s">
        <v>65</v>
      </c>
      <c r="L342">
        <v>5</v>
      </c>
      <c r="M342">
        <v>8000</v>
      </c>
      <c r="N342">
        <v>5</v>
      </c>
      <c r="O342">
        <v>38000</v>
      </c>
      <c r="P342">
        <v>7469.24</v>
      </c>
      <c r="Q342" t="s">
        <v>156</v>
      </c>
      <c r="R342" t="s">
        <v>49</v>
      </c>
      <c r="S342" t="s">
        <v>50</v>
      </c>
      <c r="T342">
        <f>YEAR(Table1_1[[#This Row],[order_date]])</f>
        <v>2024</v>
      </c>
      <c r="U342">
        <f>MONTH(Table1_1[[#This Row],[order_date]])</f>
        <v>5</v>
      </c>
      <c r="V342" t="str">
        <f>TEXT(Table1_1[[#This Row],[order_date]],"mmm")</f>
        <v>May</v>
      </c>
      <c r="W342" t="str">
        <f>"Q"&amp;ROUNDUP(MONTH(Table1_1[[#This Row],[order_date]])/3,0)</f>
        <v>Q2</v>
      </c>
      <c r="X342" t="str">
        <f>TEXT(Table1_1[[#This Row],[order_date]],"yyyy-mm")</f>
        <v>2024-05</v>
      </c>
      <c r="Y342">
        <f>IF(Table1_1[[#This Row],[ship_date]]="","",Table1_1[[#This Row],[ship_date]]-Table1_1[[#This Row],[order_date]])</f>
        <v>4</v>
      </c>
      <c r="Z342">
        <f>ROUND(Table1_1[[#This Row],[profit]]/Table1_1[[#This Row],[sales_fix]]*100,2)</f>
        <v>19.66</v>
      </c>
    </row>
    <row r="343" spans="1:26" x14ac:dyDescent="0.3">
      <c r="A343" t="s">
        <v>2542</v>
      </c>
      <c r="B343" s="1">
        <v>45940</v>
      </c>
      <c r="C343" s="1">
        <v>45948</v>
      </c>
      <c r="D343" t="s">
        <v>520</v>
      </c>
      <c r="E343" t="s">
        <v>521</v>
      </c>
      <c r="F343" t="s">
        <v>23</v>
      </c>
      <c r="G343" t="s">
        <v>91</v>
      </c>
      <c r="H343" t="s">
        <v>109</v>
      </c>
      <c r="I343" t="s">
        <v>114</v>
      </c>
      <c r="J343" t="s">
        <v>115</v>
      </c>
      <c r="K343" t="s">
        <v>65</v>
      </c>
      <c r="L343">
        <v>2</v>
      </c>
      <c r="M343">
        <v>55000</v>
      </c>
      <c r="N343">
        <v>20</v>
      </c>
      <c r="O343">
        <v>88000</v>
      </c>
      <c r="P343">
        <v>15840</v>
      </c>
      <c r="Q343" t="s">
        <v>156</v>
      </c>
      <c r="R343" t="s">
        <v>56</v>
      </c>
      <c r="S343" t="s">
        <v>40</v>
      </c>
      <c r="T343">
        <f>YEAR(Table1_1[[#This Row],[order_date]])</f>
        <v>2025</v>
      </c>
      <c r="U343">
        <f>MONTH(Table1_1[[#This Row],[order_date]])</f>
        <v>10</v>
      </c>
      <c r="V343" t="str">
        <f>TEXT(Table1_1[[#This Row],[order_date]],"mmm")</f>
        <v>Oct</v>
      </c>
      <c r="W343" t="str">
        <f>"Q"&amp;ROUNDUP(MONTH(Table1_1[[#This Row],[order_date]])/3,0)</f>
        <v>Q4</v>
      </c>
      <c r="X343" t="str">
        <f>TEXT(Table1_1[[#This Row],[order_date]],"yyyy-mm")</f>
        <v>2025-10</v>
      </c>
      <c r="Y343">
        <f>IF(Table1_1[[#This Row],[ship_date]]="","",Table1_1[[#This Row],[ship_date]]-Table1_1[[#This Row],[order_date]])</f>
        <v>8</v>
      </c>
      <c r="Z343">
        <f>ROUND(Table1_1[[#This Row],[profit]]/Table1_1[[#This Row],[sales_fix]]*100,2)</f>
        <v>18</v>
      </c>
    </row>
    <row r="344" spans="1:26" x14ac:dyDescent="0.3">
      <c r="A344" t="s">
        <v>1903</v>
      </c>
      <c r="B344" s="1">
        <v>45296</v>
      </c>
      <c r="C344" s="1">
        <v>45303</v>
      </c>
      <c r="D344" t="s">
        <v>457</v>
      </c>
      <c r="E344" t="s">
        <v>458</v>
      </c>
      <c r="F344" t="s">
        <v>55</v>
      </c>
      <c r="G344" t="s">
        <v>44</v>
      </c>
      <c r="H344" t="s">
        <v>24</v>
      </c>
      <c r="I344" t="s">
        <v>147</v>
      </c>
      <c r="J344" t="s">
        <v>148</v>
      </c>
      <c r="K344" t="s">
        <v>48</v>
      </c>
      <c r="L344">
        <v>2</v>
      </c>
      <c r="M344">
        <v>250</v>
      </c>
      <c r="N344">
        <v>0</v>
      </c>
      <c r="O344">
        <v>500</v>
      </c>
      <c r="P344">
        <v>184.26</v>
      </c>
      <c r="Q344" t="s">
        <v>39</v>
      </c>
      <c r="R344" t="s">
        <v>49</v>
      </c>
      <c r="S344" t="s">
        <v>40</v>
      </c>
      <c r="T344">
        <f>YEAR(Table1_1[[#This Row],[order_date]])</f>
        <v>2024</v>
      </c>
      <c r="U344">
        <f>MONTH(Table1_1[[#This Row],[order_date]])</f>
        <v>1</v>
      </c>
      <c r="V344" t="str">
        <f>TEXT(Table1_1[[#This Row],[order_date]],"mmm")</f>
        <v>Jan</v>
      </c>
      <c r="W344" t="str">
        <f>"Q"&amp;ROUNDUP(MONTH(Table1_1[[#This Row],[order_date]])/3,0)</f>
        <v>Q1</v>
      </c>
      <c r="X344" t="str">
        <f>TEXT(Table1_1[[#This Row],[order_date]],"yyyy-mm")</f>
        <v>2024-01</v>
      </c>
      <c r="Y344">
        <f>IF(Table1_1[[#This Row],[ship_date]]="","",Table1_1[[#This Row],[ship_date]]-Table1_1[[#This Row],[order_date]])</f>
        <v>7</v>
      </c>
      <c r="Z344">
        <f>ROUND(Table1_1[[#This Row],[profit]]/Table1_1[[#This Row],[sales_fix]]*100,2)</f>
        <v>36.85</v>
      </c>
    </row>
    <row r="345" spans="1:26" x14ac:dyDescent="0.3">
      <c r="A345" t="s">
        <v>1955</v>
      </c>
      <c r="B345" s="1">
        <v>45884</v>
      </c>
      <c r="C345" s="1">
        <v>45891</v>
      </c>
      <c r="D345" t="s">
        <v>153</v>
      </c>
      <c r="E345" t="s">
        <v>154</v>
      </c>
      <c r="F345" t="s">
        <v>23</v>
      </c>
      <c r="G345" t="s">
        <v>44</v>
      </c>
      <c r="H345" t="s">
        <v>155</v>
      </c>
      <c r="I345" t="s">
        <v>71</v>
      </c>
      <c r="J345" t="s">
        <v>72</v>
      </c>
      <c r="K345" t="s">
        <v>73</v>
      </c>
      <c r="L345">
        <v>1</v>
      </c>
      <c r="M345">
        <v>3500</v>
      </c>
      <c r="N345">
        <v>20</v>
      </c>
      <c r="O345">
        <v>2800</v>
      </c>
      <c r="P345">
        <v>673.21</v>
      </c>
      <c r="Q345" t="s">
        <v>156</v>
      </c>
      <c r="R345" t="s">
        <v>56</v>
      </c>
      <c r="S345" t="s">
        <v>40</v>
      </c>
      <c r="T345">
        <f>YEAR(Table1_1[[#This Row],[order_date]])</f>
        <v>2025</v>
      </c>
      <c r="U345">
        <f>MONTH(Table1_1[[#This Row],[order_date]])</f>
        <v>8</v>
      </c>
      <c r="V345" t="str">
        <f>TEXT(Table1_1[[#This Row],[order_date]],"mmm")</f>
        <v>Aug</v>
      </c>
      <c r="W345" t="str">
        <f>"Q"&amp;ROUNDUP(MONTH(Table1_1[[#This Row],[order_date]])/3,0)</f>
        <v>Q3</v>
      </c>
      <c r="X345" t="str">
        <f>TEXT(Table1_1[[#This Row],[order_date]],"yyyy-mm")</f>
        <v>2025-08</v>
      </c>
      <c r="Y345">
        <f>IF(Table1_1[[#This Row],[ship_date]]="","",Table1_1[[#This Row],[ship_date]]-Table1_1[[#This Row],[order_date]])</f>
        <v>7</v>
      </c>
      <c r="Z345">
        <f>ROUND(Table1_1[[#This Row],[profit]]/Table1_1[[#This Row],[sales_fix]]*100,2)</f>
        <v>24.04</v>
      </c>
    </row>
    <row r="346" spans="1:26" x14ac:dyDescent="0.3">
      <c r="A346" t="s">
        <v>2807</v>
      </c>
      <c r="B346" s="1">
        <v>45685</v>
      </c>
      <c r="C346" s="1">
        <v>45689</v>
      </c>
      <c r="D346" t="s">
        <v>227</v>
      </c>
      <c r="E346" t="s">
        <v>228</v>
      </c>
      <c r="F346" t="s">
        <v>23</v>
      </c>
      <c r="G346" t="s">
        <v>61</v>
      </c>
      <c r="H346" t="s">
        <v>62</v>
      </c>
      <c r="I346" t="s">
        <v>46</v>
      </c>
      <c r="J346" t="s">
        <v>47</v>
      </c>
      <c r="K346" t="s">
        <v>48</v>
      </c>
      <c r="L346">
        <v>2</v>
      </c>
      <c r="M346">
        <v>180</v>
      </c>
      <c r="N346">
        <v>10</v>
      </c>
      <c r="O346">
        <v>324</v>
      </c>
      <c r="P346">
        <v>155.47999999999999</v>
      </c>
      <c r="Q346" t="s">
        <v>74</v>
      </c>
      <c r="R346" t="s">
        <v>49</v>
      </c>
      <c r="S346" t="s">
        <v>110</v>
      </c>
      <c r="T346">
        <f>YEAR(Table1_1[[#This Row],[order_date]])</f>
        <v>2025</v>
      </c>
      <c r="U346">
        <f>MONTH(Table1_1[[#This Row],[order_date]])</f>
        <v>1</v>
      </c>
      <c r="V346" t="str">
        <f>TEXT(Table1_1[[#This Row],[order_date]],"mmm")</f>
        <v>Jan</v>
      </c>
      <c r="W346" t="str">
        <f>"Q"&amp;ROUNDUP(MONTH(Table1_1[[#This Row],[order_date]])/3,0)</f>
        <v>Q1</v>
      </c>
      <c r="X346" t="str">
        <f>TEXT(Table1_1[[#This Row],[order_date]],"yyyy-mm")</f>
        <v>2025-01</v>
      </c>
      <c r="Y346">
        <f>IF(Table1_1[[#This Row],[ship_date]]="","",Table1_1[[#This Row],[ship_date]]-Table1_1[[#This Row],[order_date]])</f>
        <v>4</v>
      </c>
      <c r="Z346">
        <f>ROUND(Table1_1[[#This Row],[profit]]/Table1_1[[#This Row],[sales_fix]]*100,2)</f>
        <v>47.99</v>
      </c>
    </row>
    <row r="347" spans="1:26" x14ac:dyDescent="0.3">
      <c r="A347" t="s">
        <v>1595</v>
      </c>
      <c r="B347" s="1">
        <v>45428</v>
      </c>
      <c r="C347" s="1">
        <v>45433</v>
      </c>
      <c r="D347" t="s">
        <v>919</v>
      </c>
      <c r="E347" t="s">
        <v>920</v>
      </c>
      <c r="F347" t="s">
        <v>23</v>
      </c>
      <c r="G347" t="s">
        <v>35</v>
      </c>
      <c r="H347" t="s">
        <v>36</v>
      </c>
      <c r="I347" t="s">
        <v>147</v>
      </c>
      <c r="J347" t="s">
        <v>148</v>
      </c>
      <c r="K347" t="s">
        <v>48</v>
      </c>
      <c r="L347">
        <v>1</v>
      </c>
      <c r="M347">
        <v>250</v>
      </c>
      <c r="N347">
        <v>10</v>
      </c>
      <c r="O347">
        <v>225</v>
      </c>
      <c r="P347">
        <v>88.2</v>
      </c>
      <c r="Q347" t="s">
        <v>156</v>
      </c>
      <c r="R347" t="s">
        <v>56</v>
      </c>
      <c r="S347" t="s">
        <v>110</v>
      </c>
      <c r="T347">
        <f>YEAR(Table1_1[[#This Row],[order_date]])</f>
        <v>2024</v>
      </c>
      <c r="U347">
        <f>MONTH(Table1_1[[#This Row],[order_date]])</f>
        <v>5</v>
      </c>
      <c r="V347" t="str">
        <f>TEXT(Table1_1[[#This Row],[order_date]],"mmm")</f>
        <v>May</v>
      </c>
      <c r="W347" t="str">
        <f>"Q"&amp;ROUNDUP(MONTH(Table1_1[[#This Row],[order_date]])/3,0)</f>
        <v>Q2</v>
      </c>
      <c r="X347" t="str">
        <f>TEXT(Table1_1[[#This Row],[order_date]],"yyyy-mm")</f>
        <v>2024-05</v>
      </c>
      <c r="Y347">
        <f>IF(Table1_1[[#This Row],[ship_date]]="","",Table1_1[[#This Row],[ship_date]]-Table1_1[[#This Row],[order_date]])</f>
        <v>5</v>
      </c>
      <c r="Z347">
        <f>ROUND(Table1_1[[#This Row],[profit]]/Table1_1[[#This Row],[sales_fix]]*100,2)</f>
        <v>39.200000000000003</v>
      </c>
    </row>
    <row r="348" spans="1:26" x14ac:dyDescent="0.3">
      <c r="A348" t="s">
        <v>2984</v>
      </c>
      <c r="B348" s="1">
        <v>45514</v>
      </c>
      <c r="C348" s="1">
        <v>45520</v>
      </c>
      <c r="D348" t="s">
        <v>346</v>
      </c>
      <c r="E348" t="s">
        <v>347</v>
      </c>
      <c r="F348" t="s">
        <v>23</v>
      </c>
      <c r="G348" t="s">
        <v>44</v>
      </c>
      <c r="H348" t="s">
        <v>155</v>
      </c>
      <c r="I348" t="s">
        <v>126</v>
      </c>
      <c r="J348" t="s">
        <v>127</v>
      </c>
      <c r="K348" t="s">
        <v>95</v>
      </c>
      <c r="L348">
        <v>1</v>
      </c>
      <c r="M348">
        <v>600</v>
      </c>
      <c r="N348">
        <v>10</v>
      </c>
      <c r="O348">
        <v>540</v>
      </c>
      <c r="P348">
        <v>202.28</v>
      </c>
      <c r="Q348" t="s">
        <v>156</v>
      </c>
      <c r="R348" t="s">
        <v>29</v>
      </c>
      <c r="S348" t="s">
        <v>50</v>
      </c>
      <c r="T348">
        <f>YEAR(Table1_1[[#This Row],[order_date]])</f>
        <v>2024</v>
      </c>
      <c r="U348">
        <f>MONTH(Table1_1[[#This Row],[order_date]])</f>
        <v>8</v>
      </c>
      <c r="V348" t="str">
        <f>TEXT(Table1_1[[#This Row],[order_date]],"mmm")</f>
        <v>Aug</v>
      </c>
      <c r="W348" t="str">
        <f>"Q"&amp;ROUNDUP(MONTH(Table1_1[[#This Row],[order_date]])/3,0)</f>
        <v>Q3</v>
      </c>
      <c r="X348" t="str">
        <f>TEXT(Table1_1[[#This Row],[order_date]],"yyyy-mm")</f>
        <v>2024-08</v>
      </c>
      <c r="Y348">
        <f>IF(Table1_1[[#This Row],[ship_date]]="","",Table1_1[[#This Row],[ship_date]]-Table1_1[[#This Row],[order_date]])</f>
        <v>6</v>
      </c>
      <c r="Z348">
        <f>ROUND(Table1_1[[#This Row],[profit]]/Table1_1[[#This Row],[sales_fix]]*100,2)</f>
        <v>37.46</v>
      </c>
    </row>
    <row r="349" spans="1:26" x14ac:dyDescent="0.3">
      <c r="A349" t="s">
        <v>236</v>
      </c>
      <c r="B349" s="1">
        <v>46002</v>
      </c>
      <c r="C349" s="1">
        <v>46010</v>
      </c>
      <c r="D349" t="s">
        <v>237</v>
      </c>
      <c r="E349" t="s">
        <v>238</v>
      </c>
      <c r="F349" t="s">
        <v>55</v>
      </c>
      <c r="G349" t="s">
        <v>44</v>
      </c>
      <c r="H349" t="s">
        <v>155</v>
      </c>
      <c r="I349" t="s">
        <v>46</v>
      </c>
      <c r="J349" t="s">
        <v>47</v>
      </c>
      <c r="K349" t="s">
        <v>48</v>
      </c>
      <c r="L349">
        <v>3</v>
      </c>
      <c r="M349">
        <v>180</v>
      </c>
      <c r="N349">
        <v>20</v>
      </c>
      <c r="O349">
        <v>432</v>
      </c>
      <c r="P349">
        <v>163.47</v>
      </c>
      <c r="Q349" t="s">
        <v>39</v>
      </c>
      <c r="R349" t="s">
        <v>56</v>
      </c>
      <c r="S349" t="s">
        <v>30</v>
      </c>
      <c r="T349">
        <f>YEAR(Table1_1[[#This Row],[order_date]])</f>
        <v>2025</v>
      </c>
      <c r="U349">
        <f>MONTH(Table1_1[[#This Row],[order_date]])</f>
        <v>12</v>
      </c>
      <c r="V349" t="str">
        <f>TEXT(Table1_1[[#This Row],[order_date]],"mmm")</f>
        <v>Dec</v>
      </c>
      <c r="W349" t="str">
        <f>"Q"&amp;ROUNDUP(MONTH(Table1_1[[#This Row],[order_date]])/3,0)</f>
        <v>Q4</v>
      </c>
      <c r="X349" t="str">
        <f>TEXT(Table1_1[[#This Row],[order_date]],"yyyy-mm")</f>
        <v>2025-12</v>
      </c>
      <c r="Y349">
        <f>IF(Table1_1[[#This Row],[ship_date]]="","",Table1_1[[#This Row],[ship_date]]-Table1_1[[#This Row],[order_date]])</f>
        <v>8</v>
      </c>
      <c r="Z349">
        <f>ROUND(Table1_1[[#This Row],[profit]]/Table1_1[[#This Row],[sales_fix]]*100,2)</f>
        <v>37.840000000000003</v>
      </c>
    </row>
    <row r="350" spans="1:26" x14ac:dyDescent="0.3">
      <c r="A350" t="s">
        <v>2218</v>
      </c>
      <c r="B350" s="1">
        <v>45724</v>
      </c>
      <c r="C350" s="1">
        <v>45731</v>
      </c>
      <c r="D350" t="s">
        <v>98</v>
      </c>
      <c r="E350" t="s">
        <v>99</v>
      </c>
      <c r="F350" t="s">
        <v>34</v>
      </c>
      <c r="G350" t="s">
        <v>91</v>
      </c>
      <c r="H350" t="s">
        <v>92</v>
      </c>
      <c r="I350" t="s">
        <v>25</v>
      </c>
      <c r="J350" t="s">
        <v>26</v>
      </c>
      <c r="K350" t="s">
        <v>27</v>
      </c>
      <c r="L350">
        <v>4</v>
      </c>
      <c r="M350">
        <v>7000</v>
      </c>
      <c r="N350">
        <v>10</v>
      </c>
      <c r="O350">
        <v>25200</v>
      </c>
      <c r="P350">
        <v>4116.91</v>
      </c>
      <c r="Q350" t="s">
        <v>121</v>
      </c>
      <c r="R350" t="s">
        <v>29</v>
      </c>
      <c r="S350" t="s">
        <v>86</v>
      </c>
      <c r="T350">
        <f>YEAR(Table1_1[[#This Row],[order_date]])</f>
        <v>2025</v>
      </c>
      <c r="U350">
        <f>MONTH(Table1_1[[#This Row],[order_date]])</f>
        <v>3</v>
      </c>
      <c r="V350" t="str">
        <f>TEXT(Table1_1[[#This Row],[order_date]],"mmm")</f>
        <v>Mar</v>
      </c>
      <c r="W350" t="str">
        <f>"Q"&amp;ROUNDUP(MONTH(Table1_1[[#This Row],[order_date]])/3,0)</f>
        <v>Q1</v>
      </c>
      <c r="X350" t="str">
        <f>TEXT(Table1_1[[#This Row],[order_date]],"yyyy-mm")</f>
        <v>2025-03</v>
      </c>
      <c r="Y350">
        <f>IF(Table1_1[[#This Row],[ship_date]]="","",Table1_1[[#This Row],[ship_date]]-Table1_1[[#This Row],[order_date]])</f>
        <v>7</v>
      </c>
      <c r="Z350">
        <f>ROUND(Table1_1[[#This Row],[profit]]/Table1_1[[#This Row],[sales_fix]]*100,2)</f>
        <v>16.34</v>
      </c>
    </row>
    <row r="351" spans="1:26" x14ac:dyDescent="0.3">
      <c r="A351" t="s">
        <v>1690</v>
      </c>
      <c r="B351" s="1">
        <v>45456</v>
      </c>
      <c r="C351" s="1">
        <v>45457</v>
      </c>
      <c r="D351" t="s">
        <v>1643</v>
      </c>
      <c r="E351" t="s">
        <v>1644</v>
      </c>
      <c r="F351" t="s">
        <v>55</v>
      </c>
      <c r="G351" t="s">
        <v>91</v>
      </c>
      <c r="H351" t="s">
        <v>120</v>
      </c>
      <c r="I351" t="s">
        <v>25</v>
      </c>
      <c r="J351" t="s">
        <v>26</v>
      </c>
      <c r="K351" t="s">
        <v>27</v>
      </c>
      <c r="L351">
        <v>10</v>
      </c>
      <c r="M351">
        <v>7000</v>
      </c>
      <c r="N351">
        <v>15</v>
      </c>
      <c r="O351">
        <v>59500</v>
      </c>
      <c r="P351">
        <v>10474.94</v>
      </c>
      <c r="Q351" t="s">
        <v>156</v>
      </c>
      <c r="R351" t="s">
        <v>49</v>
      </c>
      <c r="S351" t="s">
        <v>50</v>
      </c>
      <c r="T351">
        <f>YEAR(Table1_1[[#This Row],[order_date]])</f>
        <v>2024</v>
      </c>
      <c r="U351">
        <f>MONTH(Table1_1[[#This Row],[order_date]])</f>
        <v>6</v>
      </c>
      <c r="V351" t="str">
        <f>TEXT(Table1_1[[#This Row],[order_date]],"mmm")</f>
        <v>Jun</v>
      </c>
      <c r="W351" t="str">
        <f>"Q"&amp;ROUNDUP(MONTH(Table1_1[[#This Row],[order_date]])/3,0)</f>
        <v>Q2</v>
      </c>
      <c r="X351" t="str">
        <f>TEXT(Table1_1[[#This Row],[order_date]],"yyyy-mm")</f>
        <v>2024-06</v>
      </c>
      <c r="Y351">
        <f>IF(Table1_1[[#This Row],[ship_date]]="","",Table1_1[[#This Row],[ship_date]]-Table1_1[[#This Row],[order_date]])</f>
        <v>1</v>
      </c>
      <c r="Z351">
        <f>ROUND(Table1_1[[#This Row],[profit]]/Table1_1[[#This Row],[sales_fix]]*100,2)</f>
        <v>17.600000000000001</v>
      </c>
    </row>
    <row r="352" spans="1:26" x14ac:dyDescent="0.3">
      <c r="A352" t="s">
        <v>2831</v>
      </c>
      <c r="B352" s="1">
        <v>45659</v>
      </c>
      <c r="C352" s="1">
        <v>45663</v>
      </c>
      <c r="D352" t="s">
        <v>265</v>
      </c>
      <c r="E352" t="s">
        <v>266</v>
      </c>
      <c r="F352" t="s">
        <v>55</v>
      </c>
      <c r="G352" t="s">
        <v>44</v>
      </c>
      <c r="H352" t="s">
        <v>45</v>
      </c>
      <c r="I352" t="s">
        <v>114</v>
      </c>
      <c r="J352" t="s">
        <v>115</v>
      </c>
      <c r="K352" t="s">
        <v>65</v>
      </c>
      <c r="L352">
        <v>4</v>
      </c>
      <c r="M352">
        <v>55000</v>
      </c>
      <c r="N352">
        <v>0</v>
      </c>
      <c r="O352">
        <v>220000</v>
      </c>
      <c r="P352">
        <v>37479.160000000003</v>
      </c>
      <c r="Q352" t="s">
        <v>156</v>
      </c>
      <c r="R352" t="s">
        <v>56</v>
      </c>
      <c r="S352" t="s">
        <v>40</v>
      </c>
      <c r="T352">
        <f>YEAR(Table1_1[[#This Row],[order_date]])</f>
        <v>2025</v>
      </c>
      <c r="U352">
        <f>MONTH(Table1_1[[#This Row],[order_date]])</f>
        <v>1</v>
      </c>
      <c r="V352" t="str">
        <f>TEXT(Table1_1[[#This Row],[order_date]],"mmm")</f>
        <v>Jan</v>
      </c>
      <c r="W352" t="str">
        <f>"Q"&amp;ROUNDUP(MONTH(Table1_1[[#This Row],[order_date]])/3,0)</f>
        <v>Q1</v>
      </c>
      <c r="X352" t="str">
        <f>TEXT(Table1_1[[#This Row],[order_date]],"yyyy-mm")</f>
        <v>2025-01</v>
      </c>
      <c r="Y352">
        <f>IF(Table1_1[[#This Row],[ship_date]]="","",Table1_1[[#This Row],[ship_date]]-Table1_1[[#This Row],[order_date]])</f>
        <v>4</v>
      </c>
      <c r="Z352">
        <f>ROUND(Table1_1[[#This Row],[profit]]/Table1_1[[#This Row],[sales_fix]]*100,2)</f>
        <v>17.04</v>
      </c>
    </row>
    <row r="353" spans="1:26" x14ac:dyDescent="0.3">
      <c r="A353" t="s">
        <v>1292</v>
      </c>
      <c r="B353" s="1">
        <v>45815</v>
      </c>
      <c r="C353" s="1">
        <v>45816</v>
      </c>
      <c r="D353" t="s">
        <v>1293</v>
      </c>
      <c r="E353" t="s">
        <v>1294</v>
      </c>
      <c r="F353" t="s">
        <v>34</v>
      </c>
      <c r="G353" t="s">
        <v>61</v>
      </c>
      <c r="H353" t="s">
        <v>211</v>
      </c>
      <c r="I353" t="s">
        <v>103</v>
      </c>
      <c r="J353" t="s">
        <v>104</v>
      </c>
      <c r="K353" t="s">
        <v>65</v>
      </c>
      <c r="L353">
        <v>3</v>
      </c>
      <c r="M353">
        <v>8000</v>
      </c>
      <c r="N353">
        <v>20</v>
      </c>
      <c r="O353">
        <v>19200</v>
      </c>
      <c r="P353">
        <v>4696.57</v>
      </c>
      <c r="Q353" t="s">
        <v>28</v>
      </c>
      <c r="R353" t="s">
        <v>49</v>
      </c>
      <c r="S353" t="s">
        <v>30</v>
      </c>
      <c r="T353">
        <f>YEAR(Table1_1[[#This Row],[order_date]])</f>
        <v>2025</v>
      </c>
      <c r="U353">
        <f>MONTH(Table1_1[[#This Row],[order_date]])</f>
        <v>6</v>
      </c>
      <c r="V353" t="str">
        <f>TEXT(Table1_1[[#This Row],[order_date]],"mmm")</f>
        <v>Jun</v>
      </c>
      <c r="W353" t="str">
        <f>"Q"&amp;ROUNDUP(MONTH(Table1_1[[#This Row],[order_date]])/3,0)</f>
        <v>Q2</v>
      </c>
      <c r="X353" t="str">
        <f>TEXT(Table1_1[[#This Row],[order_date]],"yyyy-mm")</f>
        <v>2025-06</v>
      </c>
      <c r="Y353">
        <f>IF(Table1_1[[#This Row],[ship_date]]="","",Table1_1[[#This Row],[ship_date]]-Table1_1[[#This Row],[order_date]])</f>
        <v>1</v>
      </c>
      <c r="Z353">
        <f>ROUND(Table1_1[[#This Row],[profit]]/Table1_1[[#This Row],[sales_fix]]*100,2)</f>
        <v>24.46</v>
      </c>
    </row>
    <row r="354" spans="1:26" x14ac:dyDescent="0.3">
      <c r="A354" t="s">
        <v>3011</v>
      </c>
      <c r="B354" s="1">
        <v>45347</v>
      </c>
      <c r="C354" s="1">
        <v>45355</v>
      </c>
      <c r="D354" t="s">
        <v>308</v>
      </c>
      <c r="E354" t="s">
        <v>309</v>
      </c>
      <c r="F354" t="s">
        <v>34</v>
      </c>
      <c r="G354" t="s">
        <v>91</v>
      </c>
      <c r="H354" t="s">
        <v>177</v>
      </c>
      <c r="I354" t="s">
        <v>46</v>
      </c>
      <c r="J354" t="s">
        <v>47</v>
      </c>
      <c r="K354" t="s">
        <v>48</v>
      </c>
      <c r="L354">
        <v>1</v>
      </c>
      <c r="M354">
        <v>180</v>
      </c>
      <c r="N354">
        <v>0</v>
      </c>
      <c r="O354">
        <v>180</v>
      </c>
      <c r="P354">
        <v>63.28</v>
      </c>
      <c r="Q354" t="s">
        <v>121</v>
      </c>
      <c r="R354" t="s">
        <v>56</v>
      </c>
      <c r="S354" t="s">
        <v>110</v>
      </c>
      <c r="T354">
        <f>YEAR(Table1_1[[#This Row],[order_date]])</f>
        <v>2024</v>
      </c>
      <c r="U354">
        <f>MONTH(Table1_1[[#This Row],[order_date]])</f>
        <v>2</v>
      </c>
      <c r="V354" t="str">
        <f>TEXT(Table1_1[[#This Row],[order_date]],"mmm")</f>
        <v>Feb</v>
      </c>
      <c r="W354" t="str">
        <f>"Q"&amp;ROUNDUP(MONTH(Table1_1[[#This Row],[order_date]])/3,0)</f>
        <v>Q1</v>
      </c>
      <c r="X354" t="str">
        <f>TEXT(Table1_1[[#This Row],[order_date]],"yyyy-mm")</f>
        <v>2024-02</v>
      </c>
      <c r="Y354">
        <f>IF(Table1_1[[#This Row],[ship_date]]="","",Table1_1[[#This Row],[ship_date]]-Table1_1[[#This Row],[order_date]])</f>
        <v>8</v>
      </c>
      <c r="Z354">
        <f>ROUND(Table1_1[[#This Row],[profit]]/Table1_1[[#This Row],[sales_fix]]*100,2)</f>
        <v>35.159999999999997</v>
      </c>
    </row>
    <row r="355" spans="1:26" x14ac:dyDescent="0.3">
      <c r="A355" t="s">
        <v>2795</v>
      </c>
      <c r="B355" s="1">
        <v>45909</v>
      </c>
      <c r="C355" s="1">
        <v>45914</v>
      </c>
      <c r="D355" t="s">
        <v>118</v>
      </c>
      <c r="E355" t="s">
        <v>119</v>
      </c>
      <c r="F355" t="s">
        <v>34</v>
      </c>
      <c r="G355" t="s">
        <v>91</v>
      </c>
      <c r="H355" t="s">
        <v>120</v>
      </c>
      <c r="I355" t="s">
        <v>71</v>
      </c>
      <c r="J355" t="s">
        <v>72</v>
      </c>
      <c r="K355" t="s">
        <v>73</v>
      </c>
      <c r="L355">
        <v>1</v>
      </c>
      <c r="M355">
        <v>3500</v>
      </c>
      <c r="N355">
        <v>15</v>
      </c>
      <c r="O355">
        <v>2975</v>
      </c>
      <c r="P355">
        <v>1033.5999999999999</v>
      </c>
      <c r="Q355" t="s">
        <v>28</v>
      </c>
      <c r="R355" t="s">
        <v>29</v>
      </c>
      <c r="S355" t="s">
        <v>86</v>
      </c>
      <c r="T355">
        <f>YEAR(Table1_1[[#This Row],[order_date]])</f>
        <v>2025</v>
      </c>
      <c r="U355">
        <f>MONTH(Table1_1[[#This Row],[order_date]])</f>
        <v>9</v>
      </c>
      <c r="V355" t="str">
        <f>TEXT(Table1_1[[#This Row],[order_date]],"mmm")</f>
        <v>Sep</v>
      </c>
      <c r="W355" t="str">
        <f>"Q"&amp;ROUNDUP(MONTH(Table1_1[[#This Row],[order_date]])/3,0)</f>
        <v>Q3</v>
      </c>
      <c r="X355" t="str">
        <f>TEXT(Table1_1[[#This Row],[order_date]],"yyyy-mm")</f>
        <v>2025-09</v>
      </c>
      <c r="Y355">
        <f>IF(Table1_1[[#This Row],[ship_date]]="","",Table1_1[[#This Row],[ship_date]]-Table1_1[[#This Row],[order_date]])</f>
        <v>5</v>
      </c>
      <c r="Z355">
        <f>ROUND(Table1_1[[#This Row],[profit]]/Table1_1[[#This Row],[sales_fix]]*100,2)</f>
        <v>34.74</v>
      </c>
    </row>
    <row r="356" spans="1:26" x14ac:dyDescent="0.3">
      <c r="A356" t="s">
        <v>2395</v>
      </c>
      <c r="B356" s="1">
        <v>45818</v>
      </c>
      <c r="C356" s="1">
        <v>45823</v>
      </c>
      <c r="D356" t="s">
        <v>787</v>
      </c>
      <c r="E356" t="s">
        <v>788</v>
      </c>
      <c r="F356" t="s">
        <v>34</v>
      </c>
      <c r="G356" t="s">
        <v>35</v>
      </c>
      <c r="H356" t="s">
        <v>36</v>
      </c>
      <c r="I356" t="s">
        <v>79</v>
      </c>
      <c r="J356" t="s">
        <v>80</v>
      </c>
      <c r="K356" t="s">
        <v>65</v>
      </c>
      <c r="L356">
        <v>1</v>
      </c>
      <c r="M356">
        <v>3000</v>
      </c>
      <c r="N356">
        <v>0</v>
      </c>
      <c r="O356">
        <v>3000</v>
      </c>
      <c r="P356">
        <v>784.26</v>
      </c>
      <c r="Q356" t="s">
        <v>121</v>
      </c>
      <c r="R356" t="s">
        <v>29</v>
      </c>
      <c r="S356" t="s">
        <v>40</v>
      </c>
      <c r="T356">
        <f>YEAR(Table1_1[[#This Row],[order_date]])</f>
        <v>2025</v>
      </c>
      <c r="U356">
        <f>MONTH(Table1_1[[#This Row],[order_date]])</f>
        <v>6</v>
      </c>
      <c r="V356" t="str">
        <f>TEXT(Table1_1[[#This Row],[order_date]],"mmm")</f>
        <v>Jun</v>
      </c>
      <c r="W356" t="str">
        <f>"Q"&amp;ROUNDUP(MONTH(Table1_1[[#This Row],[order_date]])/3,0)</f>
        <v>Q2</v>
      </c>
      <c r="X356" t="str">
        <f>TEXT(Table1_1[[#This Row],[order_date]],"yyyy-mm")</f>
        <v>2025-06</v>
      </c>
      <c r="Y356">
        <f>IF(Table1_1[[#This Row],[ship_date]]="","",Table1_1[[#This Row],[ship_date]]-Table1_1[[#This Row],[order_date]])</f>
        <v>5</v>
      </c>
      <c r="Z356">
        <f>ROUND(Table1_1[[#This Row],[profit]]/Table1_1[[#This Row],[sales_fix]]*100,2)</f>
        <v>26.14</v>
      </c>
    </row>
    <row r="357" spans="1:26" x14ac:dyDescent="0.3">
      <c r="A357" t="s">
        <v>2449</v>
      </c>
      <c r="B357" s="1">
        <v>45630</v>
      </c>
      <c r="C357" s="1">
        <v>45636</v>
      </c>
      <c r="D357" t="s">
        <v>716</v>
      </c>
      <c r="E357" t="s">
        <v>717</v>
      </c>
      <c r="F357" t="s">
        <v>23</v>
      </c>
      <c r="G357" t="s">
        <v>35</v>
      </c>
      <c r="H357" t="s">
        <v>85</v>
      </c>
      <c r="I357" t="s">
        <v>114</v>
      </c>
      <c r="J357" t="s">
        <v>115</v>
      </c>
      <c r="K357" t="s">
        <v>65</v>
      </c>
      <c r="L357">
        <v>5</v>
      </c>
      <c r="M357">
        <v>55000</v>
      </c>
      <c r="N357">
        <v>0</v>
      </c>
      <c r="O357">
        <v>275000</v>
      </c>
      <c r="P357">
        <v>37693.33</v>
      </c>
      <c r="Q357" t="s">
        <v>39</v>
      </c>
      <c r="R357" t="s">
        <v>29</v>
      </c>
      <c r="S357" t="s">
        <v>40</v>
      </c>
      <c r="T357">
        <f>YEAR(Table1_1[[#This Row],[order_date]])</f>
        <v>2024</v>
      </c>
      <c r="U357">
        <f>MONTH(Table1_1[[#This Row],[order_date]])</f>
        <v>12</v>
      </c>
      <c r="V357" t="str">
        <f>TEXT(Table1_1[[#This Row],[order_date]],"mmm")</f>
        <v>Dec</v>
      </c>
      <c r="W357" t="str">
        <f>"Q"&amp;ROUNDUP(MONTH(Table1_1[[#This Row],[order_date]])/3,0)</f>
        <v>Q4</v>
      </c>
      <c r="X357" t="str">
        <f>TEXT(Table1_1[[#This Row],[order_date]],"yyyy-mm")</f>
        <v>2024-12</v>
      </c>
      <c r="Y357">
        <f>IF(Table1_1[[#This Row],[ship_date]]="","",Table1_1[[#This Row],[ship_date]]-Table1_1[[#This Row],[order_date]])</f>
        <v>6</v>
      </c>
      <c r="Z357">
        <f>ROUND(Table1_1[[#This Row],[profit]]/Table1_1[[#This Row],[sales_fix]]*100,2)</f>
        <v>13.71</v>
      </c>
    </row>
    <row r="358" spans="1:26" x14ac:dyDescent="0.3">
      <c r="A358" t="s">
        <v>2004</v>
      </c>
      <c r="B358" s="1">
        <v>45878</v>
      </c>
      <c r="C358" s="1">
        <v>45884</v>
      </c>
      <c r="D358" t="s">
        <v>223</v>
      </c>
      <c r="E358" t="s">
        <v>224</v>
      </c>
      <c r="F358" t="s">
        <v>34</v>
      </c>
      <c r="G358" t="s">
        <v>35</v>
      </c>
      <c r="H358" t="s">
        <v>85</v>
      </c>
      <c r="I358" t="s">
        <v>147</v>
      </c>
      <c r="J358" t="s">
        <v>148</v>
      </c>
      <c r="K358" t="s">
        <v>48</v>
      </c>
      <c r="L358">
        <v>2</v>
      </c>
      <c r="M358">
        <v>250</v>
      </c>
      <c r="N358">
        <v>0</v>
      </c>
      <c r="O358">
        <v>500</v>
      </c>
      <c r="P358">
        <v>202.72</v>
      </c>
      <c r="Q358" t="s">
        <v>39</v>
      </c>
      <c r="R358" t="s">
        <v>29</v>
      </c>
      <c r="S358" t="s">
        <v>50</v>
      </c>
      <c r="T358">
        <f>YEAR(Table1_1[[#This Row],[order_date]])</f>
        <v>2025</v>
      </c>
      <c r="U358">
        <f>MONTH(Table1_1[[#This Row],[order_date]])</f>
        <v>8</v>
      </c>
      <c r="V358" t="str">
        <f>TEXT(Table1_1[[#This Row],[order_date]],"mmm")</f>
        <v>Aug</v>
      </c>
      <c r="W358" t="str">
        <f>"Q"&amp;ROUNDUP(MONTH(Table1_1[[#This Row],[order_date]])/3,0)</f>
        <v>Q3</v>
      </c>
      <c r="X358" t="str">
        <f>TEXT(Table1_1[[#This Row],[order_date]],"yyyy-mm")</f>
        <v>2025-08</v>
      </c>
      <c r="Y358">
        <f>IF(Table1_1[[#This Row],[ship_date]]="","",Table1_1[[#This Row],[ship_date]]-Table1_1[[#This Row],[order_date]])</f>
        <v>6</v>
      </c>
      <c r="Z358">
        <f>ROUND(Table1_1[[#This Row],[profit]]/Table1_1[[#This Row],[sales_fix]]*100,2)</f>
        <v>40.54</v>
      </c>
    </row>
    <row r="359" spans="1:26" x14ac:dyDescent="0.3">
      <c r="A359" t="s">
        <v>950</v>
      </c>
      <c r="B359" s="1">
        <v>45809</v>
      </c>
      <c r="C359" s="1">
        <v>45811</v>
      </c>
      <c r="D359" t="s">
        <v>425</v>
      </c>
      <c r="E359" t="s">
        <v>426</v>
      </c>
      <c r="F359" t="s">
        <v>34</v>
      </c>
      <c r="G359" t="s">
        <v>61</v>
      </c>
      <c r="H359" t="s">
        <v>125</v>
      </c>
      <c r="I359" t="s">
        <v>63</v>
      </c>
      <c r="J359" t="s">
        <v>64</v>
      </c>
      <c r="K359" t="s">
        <v>65</v>
      </c>
      <c r="L359">
        <v>1</v>
      </c>
      <c r="M359">
        <v>25000</v>
      </c>
      <c r="N359">
        <v>10</v>
      </c>
      <c r="O359">
        <v>22500</v>
      </c>
      <c r="P359">
        <v>3087.5</v>
      </c>
      <c r="Q359" t="s">
        <v>74</v>
      </c>
      <c r="R359" t="s">
        <v>29</v>
      </c>
      <c r="S359" t="s">
        <v>50</v>
      </c>
      <c r="T359">
        <f>YEAR(Table1_1[[#This Row],[order_date]])</f>
        <v>2025</v>
      </c>
      <c r="U359">
        <f>MONTH(Table1_1[[#This Row],[order_date]])</f>
        <v>6</v>
      </c>
      <c r="V359" t="str">
        <f>TEXT(Table1_1[[#This Row],[order_date]],"mmm")</f>
        <v>Jun</v>
      </c>
      <c r="W359" t="str">
        <f>"Q"&amp;ROUNDUP(MONTH(Table1_1[[#This Row],[order_date]])/3,0)</f>
        <v>Q2</v>
      </c>
      <c r="X359" t="str">
        <f>TEXT(Table1_1[[#This Row],[order_date]],"yyyy-mm")</f>
        <v>2025-06</v>
      </c>
      <c r="Y359">
        <f>IF(Table1_1[[#This Row],[ship_date]]="","",Table1_1[[#This Row],[ship_date]]-Table1_1[[#This Row],[order_date]])</f>
        <v>2</v>
      </c>
      <c r="Z359">
        <f>ROUND(Table1_1[[#This Row],[profit]]/Table1_1[[#This Row],[sales_fix]]*100,2)</f>
        <v>13.72</v>
      </c>
    </row>
    <row r="360" spans="1:26" x14ac:dyDescent="0.3">
      <c r="A360" t="s">
        <v>2639</v>
      </c>
      <c r="B360" s="1">
        <v>45661</v>
      </c>
      <c r="C360" s="1">
        <v>45669</v>
      </c>
      <c r="D360" t="s">
        <v>1506</v>
      </c>
      <c r="E360" t="s">
        <v>1507</v>
      </c>
      <c r="F360" t="s">
        <v>55</v>
      </c>
      <c r="G360" t="s">
        <v>61</v>
      </c>
      <c r="H360" t="s">
        <v>78</v>
      </c>
      <c r="I360" t="s">
        <v>37</v>
      </c>
      <c r="J360" t="s">
        <v>38</v>
      </c>
      <c r="K360" t="s">
        <v>27</v>
      </c>
      <c r="L360">
        <v>1</v>
      </c>
      <c r="M360">
        <v>9500</v>
      </c>
      <c r="N360">
        <v>20</v>
      </c>
      <c r="O360">
        <v>7600</v>
      </c>
      <c r="P360">
        <v>1439.91</v>
      </c>
      <c r="Q360" t="s">
        <v>39</v>
      </c>
      <c r="R360" t="s">
        <v>56</v>
      </c>
      <c r="S360" t="s">
        <v>86</v>
      </c>
      <c r="T360">
        <f>YEAR(Table1_1[[#This Row],[order_date]])</f>
        <v>2025</v>
      </c>
      <c r="U360">
        <f>MONTH(Table1_1[[#This Row],[order_date]])</f>
        <v>1</v>
      </c>
      <c r="V360" t="str">
        <f>TEXT(Table1_1[[#This Row],[order_date]],"mmm")</f>
        <v>Jan</v>
      </c>
      <c r="W360" t="str">
        <f>"Q"&amp;ROUNDUP(MONTH(Table1_1[[#This Row],[order_date]])/3,0)</f>
        <v>Q1</v>
      </c>
      <c r="X360" t="str">
        <f>TEXT(Table1_1[[#This Row],[order_date]],"yyyy-mm")</f>
        <v>2025-01</v>
      </c>
      <c r="Y360">
        <f>IF(Table1_1[[#This Row],[ship_date]]="","",Table1_1[[#This Row],[ship_date]]-Table1_1[[#This Row],[order_date]])</f>
        <v>8</v>
      </c>
      <c r="Z360">
        <f>ROUND(Table1_1[[#This Row],[profit]]/Table1_1[[#This Row],[sales_fix]]*100,2)</f>
        <v>18.95</v>
      </c>
    </row>
    <row r="361" spans="1:26" x14ac:dyDescent="0.3">
      <c r="A361" t="s">
        <v>2356</v>
      </c>
      <c r="B361" s="1">
        <v>45646</v>
      </c>
      <c r="C361" s="1">
        <v>45650</v>
      </c>
      <c r="D361" t="s">
        <v>1875</v>
      </c>
      <c r="E361" t="s">
        <v>1876</v>
      </c>
      <c r="F361" t="s">
        <v>34</v>
      </c>
      <c r="G361" t="s">
        <v>91</v>
      </c>
      <c r="H361" t="s">
        <v>109</v>
      </c>
      <c r="I361" t="s">
        <v>126</v>
      </c>
      <c r="J361" t="s">
        <v>127</v>
      </c>
      <c r="K361" t="s">
        <v>95</v>
      </c>
      <c r="L361">
        <v>5</v>
      </c>
      <c r="M361">
        <v>600</v>
      </c>
      <c r="N361">
        <v>10</v>
      </c>
      <c r="O361">
        <v>2700</v>
      </c>
      <c r="P361">
        <v>1095.2</v>
      </c>
      <c r="Q361" t="s">
        <v>66</v>
      </c>
      <c r="R361" t="s">
        <v>56</v>
      </c>
      <c r="S361" t="s">
        <v>110</v>
      </c>
      <c r="T361">
        <f>YEAR(Table1_1[[#This Row],[order_date]])</f>
        <v>2024</v>
      </c>
      <c r="U361">
        <f>MONTH(Table1_1[[#This Row],[order_date]])</f>
        <v>12</v>
      </c>
      <c r="V361" t="str">
        <f>TEXT(Table1_1[[#This Row],[order_date]],"mmm")</f>
        <v>Dec</v>
      </c>
      <c r="W361" t="str">
        <f>"Q"&amp;ROUNDUP(MONTH(Table1_1[[#This Row],[order_date]])/3,0)</f>
        <v>Q4</v>
      </c>
      <c r="X361" t="str">
        <f>TEXT(Table1_1[[#This Row],[order_date]],"yyyy-mm")</f>
        <v>2024-12</v>
      </c>
      <c r="Y361">
        <f>IF(Table1_1[[#This Row],[ship_date]]="","",Table1_1[[#This Row],[ship_date]]-Table1_1[[#This Row],[order_date]])</f>
        <v>4</v>
      </c>
      <c r="Z361">
        <f>ROUND(Table1_1[[#This Row],[profit]]/Table1_1[[#This Row],[sales_fix]]*100,2)</f>
        <v>40.56</v>
      </c>
    </row>
    <row r="362" spans="1:26" x14ac:dyDescent="0.3">
      <c r="A362" t="s">
        <v>2018</v>
      </c>
      <c r="B362" s="1">
        <v>45687</v>
      </c>
      <c r="C362" s="1">
        <v>45693</v>
      </c>
      <c r="D362" t="s">
        <v>159</v>
      </c>
      <c r="E362" t="s">
        <v>160</v>
      </c>
      <c r="F362" t="s">
        <v>34</v>
      </c>
      <c r="G362" t="s">
        <v>44</v>
      </c>
      <c r="H362" t="s">
        <v>161</v>
      </c>
      <c r="I362" t="s">
        <v>63</v>
      </c>
      <c r="J362" t="s">
        <v>64</v>
      </c>
      <c r="K362" t="s">
        <v>65</v>
      </c>
      <c r="L362">
        <v>1</v>
      </c>
      <c r="M362">
        <v>25000</v>
      </c>
      <c r="N362">
        <v>15</v>
      </c>
      <c r="O362">
        <v>21250</v>
      </c>
      <c r="P362">
        <v>2591.86</v>
      </c>
      <c r="Q362" t="s">
        <v>39</v>
      </c>
      <c r="R362" t="s">
        <v>56</v>
      </c>
      <c r="S362" t="s">
        <v>30</v>
      </c>
      <c r="T362">
        <f>YEAR(Table1_1[[#This Row],[order_date]])</f>
        <v>2025</v>
      </c>
      <c r="U362">
        <f>MONTH(Table1_1[[#This Row],[order_date]])</f>
        <v>1</v>
      </c>
      <c r="V362" t="str">
        <f>TEXT(Table1_1[[#This Row],[order_date]],"mmm")</f>
        <v>Jan</v>
      </c>
      <c r="W362" t="str">
        <f>"Q"&amp;ROUNDUP(MONTH(Table1_1[[#This Row],[order_date]])/3,0)</f>
        <v>Q1</v>
      </c>
      <c r="X362" t="str">
        <f>TEXT(Table1_1[[#This Row],[order_date]],"yyyy-mm")</f>
        <v>2025-01</v>
      </c>
      <c r="Y362">
        <f>IF(Table1_1[[#This Row],[ship_date]]="","",Table1_1[[#This Row],[ship_date]]-Table1_1[[#This Row],[order_date]])</f>
        <v>6</v>
      </c>
      <c r="Z362">
        <f>ROUND(Table1_1[[#This Row],[profit]]/Table1_1[[#This Row],[sales_fix]]*100,2)</f>
        <v>12.2</v>
      </c>
    </row>
    <row r="363" spans="1:26" x14ac:dyDescent="0.3">
      <c r="A363" t="s">
        <v>229</v>
      </c>
      <c r="B363" s="1">
        <v>45595</v>
      </c>
      <c r="C363" s="1">
        <v>45597</v>
      </c>
      <c r="D363" t="s">
        <v>230</v>
      </c>
      <c r="E363" t="s">
        <v>231</v>
      </c>
      <c r="F363" t="s">
        <v>55</v>
      </c>
      <c r="G363" t="s">
        <v>44</v>
      </c>
      <c r="H363" t="s">
        <v>161</v>
      </c>
      <c r="I363" t="s">
        <v>114</v>
      </c>
      <c r="J363" t="s">
        <v>115</v>
      </c>
      <c r="K363" t="s">
        <v>65</v>
      </c>
      <c r="L363">
        <v>1</v>
      </c>
      <c r="M363">
        <v>55000</v>
      </c>
      <c r="N363">
        <v>10</v>
      </c>
      <c r="O363">
        <v>49500</v>
      </c>
      <c r="P363">
        <v>6530.48</v>
      </c>
      <c r="Q363" t="s">
        <v>121</v>
      </c>
      <c r="R363" t="s">
        <v>56</v>
      </c>
      <c r="S363" t="s">
        <v>40</v>
      </c>
      <c r="T363">
        <f>YEAR(Table1_1[[#This Row],[order_date]])</f>
        <v>2024</v>
      </c>
      <c r="U363">
        <f>MONTH(Table1_1[[#This Row],[order_date]])</f>
        <v>10</v>
      </c>
      <c r="V363" t="str">
        <f>TEXT(Table1_1[[#This Row],[order_date]],"mmm")</f>
        <v>Oct</v>
      </c>
      <c r="W363" t="str">
        <f>"Q"&amp;ROUNDUP(MONTH(Table1_1[[#This Row],[order_date]])/3,0)</f>
        <v>Q4</v>
      </c>
      <c r="X363" t="str">
        <f>TEXT(Table1_1[[#This Row],[order_date]],"yyyy-mm")</f>
        <v>2024-10</v>
      </c>
      <c r="Y363">
        <f>IF(Table1_1[[#This Row],[ship_date]]="","",Table1_1[[#This Row],[ship_date]]-Table1_1[[#This Row],[order_date]])</f>
        <v>2</v>
      </c>
      <c r="Z363">
        <f>ROUND(Table1_1[[#This Row],[profit]]/Table1_1[[#This Row],[sales_fix]]*100,2)</f>
        <v>13.19</v>
      </c>
    </row>
    <row r="364" spans="1:26" x14ac:dyDescent="0.3">
      <c r="A364" t="s">
        <v>1043</v>
      </c>
      <c r="B364" s="1">
        <v>45359</v>
      </c>
      <c r="C364" s="1">
        <v>45366</v>
      </c>
      <c r="D364" t="s">
        <v>531</v>
      </c>
      <c r="E364" t="s">
        <v>532</v>
      </c>
      <c r="F364" t="s">
        <v>23</v>
      </c>
      <c r="G364" t="s">
        <v>44</v>
      </c>
      <c r="H364" t="s">
        <v>161</v>
      </c>
      <c r="I364" t="s">
        <v>126</v>
      </c>
      <c r="J364" t="s">
        <v>127</v>
      </c>
      <c r="K364" t="s">
        <v>95</v>
      </c>
      <c r="L364">
        <v>1</v>
      </c>
      <c r="M364">
        <v>600</v>
      </c>
      <c r="N364">
        <v>15</v>
      </c>
      <c r="O364">
        <v>510</v>
      </c>
      <c r="P364">
        <v>195.63</v>
      </c>
      <c r="Q364" t="s">
        <v>66</v>
      </c>
      <c r="R364" t="s">
        <v>29</v>
      </c>
      <c r="S364" t="s">
        <v>40</v>
      </c>
      <c r="T364">
        <f>YEAR(Table1_1[[#This Row],[order_date]])</f>
        <v>2024</v>
      </c>
      <c r="U364">
        <f>MONTH(Table1_1[[#This Row],[order_date]])</f>
        <v>3</v>
      </c>
      <c r="V364" t="str">
        <f>TEXT(Table1_1[[#This Row],[order_date]],"mmm")</f>
        <v>Mar</v>
      </c>
      <c r="W364" t="str">
        <f>"Q"&amp;ROUNDUP(MONTH(Table1_1[[#This Row],[order_date]])/3,0)</f>
        <v>Q1</v>
      </c>
      <c r="X364" t="str">
        <f>TEXT(Table1_1[[#This Row],[order_date]],"yyyy-mm")</f>
        <v>2024-03</v>
      </c>
      <c r="Y364">
        <f>IF(Table1_1[[#This Row],[ship_date]]="","",Table1_1[[#This Row],[ship_date]]-Table1_1[[#This Row],[order_date]])</f>
        <v>7</v>
      </c>
      <c r="Z364">
        <f>ROUND(Table1_1[[#This Row],[profit]]/Table1_1[[#This Row],[sales_fix]]*100,2)</f>
        <v>38.36</v>
      </c>
    </row>
    <row r="365" spans="1:26" x14ac:dyDescent="0.3">
      <c r="A365" t="s">
        <v>2237</v>
      </c>
      <c r="B365" s="1">
        <v>45365</v>
      </c>
      <c r="C365" s="1">
        <v>45371</v>
      </c>
      <c r="D365" t="s">
        <v>200</v>
      </c>
      <c r="E365" t="s">
        <v>201</v>
      </c>
      <c r="F365" t="s">
        <v>23</v>
      </c>
      <c r="G365" t="s">
        <v>35</v>
      </c>
      <c r="H365" t="s">
        <v>187</v>
      </c>
      <c r="I365" t="s">
        <v>126</v>
      </c>
      <c r="J365" t="s">
        <v>127</v>
      </c>
      <c r="K365" t="s">
        <v>95</v>
      </c>
      <c r="L365">
        <v>3</v>
      </c>
      <c r="M365">
        <v>600</v>
      </c>
      <c r="N365">
        <v>0</v>
      </c>
      <c r="O365">
        <v>1800</v>
      </c>
      <c r="P365">
        <v>485.3</v>
      </c>
      <c r="Q365" t="s">
        <v>66</v>
      </c>
      <c r="R365" t="s">
        <v>29</v>
      </c>
      <c r="S365" t="s">
        <v>86</v>
      </c>
      <c r="T365">
        <f>YEAR(Table1_1[[#This Row],[order_date]])</f>
        <v>2024</v>
      </c>
      <c r="U365">
        <f>MONTH(Table1_1[[#This Row],[order_date]])</f>
        <v>3</v>
      </c>
      <c r="V365" t="str">
        <f>TEXT(Table1_1[[#This Row],[order_date]],"mmm")</f>
        <v>Mar</v>
      </c>
      <c r="W365" t="str">
        <f>"Q"&amp;ROUNDUP(MONTH(Table1_1[[#This Row],[order_date]])/3,0)</f>
        <v>Q1</v>
      </c>
      <c r="X365" t="str">
        <f>TEXT(Table1_1[[#This Row],[order_date]],"yyyy-mm")</f>
        <v>2024-03</v>
      </c>
      <c r="Y365">
        <f>IF(Table1_1[[#This Row],[ship_date]]="","",Table1_1[[#This Row],[ship_date]]-Table1_1[[#This Row],[order_date]])</f>
        <v>6</v>
      </c>
      <c r="Z365">
        <f>ROUND(Table1_1[[#This Row],[profit]]/Table1_1[[#This Row],[sales_fix]]*100,2)</f>
        <v>26.96</v>
      </c>
    </row>
    <row r="366" spans="1:26" x14ac:dyDescent="0.3">
      <c r="A366" t="s">
        <v>1852</v>
      </c>
      <c r="B366" s="1">
        <v>45549</v>
      </c>
      <c r="C366" s="1">
        <v>45554</v>
      </c>
      <c r="D366" t="s">
        <v>1009</v>
      </c>
      <c r="E366" t="s">
        <v>1010</v>
      </c>
      <c r="F366" t="s">
        <v>23</v>
      </c>
      <c r="G366" t="s">
        <v>61</v>
      </c>
      <c r="H366" t="s">
        <v>62</v>
      </c>
      <c r="I366" t="s">
        <v>79</v>
      </c>
      <c r="J366" t="s">
        <v>80</v>
      </c>
      <c r="K366" t="s">
        <v>65</v>
      </c>
      <c r="L366">
        <v>2</v>
      </c>
      <c r="M366">
        <v>3000</v>
      </c>
      <c r="N366">
        <v>10</v>
      </c>
      <c r="O366">
        <v>5400</v>
      </c>
      <c r="P366">
        <v>1666.41</v>
      </c>
      <c r="Q366" t="s">
        <v>28</v>
      </c>
      <c r="R366" t="s">
        <v>49</v>
      </c>
      <c r="S366" t="s">
        <v>30</v>
      </c>
      <c r="T366">
        <f>YEAR(Table1_1[[#This Row],[order_date]])</f>
        <v>2024</v>
      </c>
      <c r="U366">
        <f>MONTH(Table1_1[[#This Row],[order_date]])</f>
        <v>9</v>
      </c>
      <c r="V366" t="str">
        <f>TEXT(Table1_1[[#This Row],[order_date]],"mmm")</f>
        <v>Sep</v>
      </c>
      <c r="W366" t="str">
        <f>"Q"&amp;ROUNDUP(MONTH(Table1_1[[#This Row],[order_date]])/3,0)</f>
        <v>Q3</v>
      </c>
      <c r="X366" t="str">
        <f>TEXT(Table1_1[[#This Row],[order_date]],"yyyy-mm")</f>
        <v>2024-09</v>
      </c>
      <c r="Y366">
        <f>IF(Table1_1[[#This Row],[ship_date]]="","",Table1_1[[#This Row],[ship_date]]-Table1_1[[#This Row],[order_date]])</f>
        <v>5</v>
      </c>
      <c r="Z366">
        <f>ROUND(Table1_1[[#This Row],[profit]]/Table1_1[[#This Row],[sales_fix]]*100,2)</f>
        <v>30.86</v>
      </c>
    </row>
    <row r="367" spans="1:26" x14ac:dyDescent="0.3">
      <c r="A367" t="s">
        <v>1704</v>
      </c>
      <c r="B367" s="1">
        <v>45615</v>
      </c>
      <c r="C367" s="1">
        <v>45617</v>
      </c>
      <c r="D367" t="s">
        <v>1055</v>
      </c>
      <c r="E367" t="s">
        <v>1056</v>
      </c>
      <c r="F367" t="s">
        <v>55</v>
      </c>
      <c r="G367" t="s">
        <v>61</v>
      </c>
      <c r="H367" t="s">
        <v>62</v>
      </c>
      <c r="I367" t="s">
        <v>134</v>
      </c>
      <c r="J367" t="s">
        <v>135</v>
      </c>
      <c r="K367" t="s">
        <v>27</v>
      </c>
      <c r="L367">
        <v>3</v>
      </c>
      <c r="M367">
        <v>6000</v>
      </c>
      <c r="N367">
        <v>10</v>
      </c>
      <c r="O367">
        <v>16200</v>
      </c>
      <c r="P367">
        <v>2730.77</v>
      </c>
      <c r="Q367" t="s">
        <v>156</v>
      </c>
      <c r="R367" t="s">
        <v>56</v>
      </c>
      <c r="S367" t="s">
        <v>86</v>
      </c>
      <c r="T367">
        <f>YEAR(Table1_1[[#This Row],[order_date]])</f>
        <v>2024</v>
      </c>
      <c r="U367">
        <f>MONTH(Table1_1[[#This Row],[order_date]])</f>
        <v>11</v>
      </c>
      <c r="V367" t="str">
        <f>TEXT(Table1_1[[#This Row],[order_date]],"mmm")</f>
        <v>Nov</v>
      </c>
      <c r="W367" t="str">
        <f>"Q"&amp;ROUNDUP(MONTH(Table1_1[[#This Row],[order_date]])/3,0)</f>
        <v>Q4</v>
      </c>
      <c r="X367" t="str">
        <f>TEXT(Table1_1[[#This Row],[order_date]],"yyyy-mm")</f>
        <v>2024-11</v>
      </c>
      <c r="Y367">
        <f>IF(Table1_1[[#This Row],[ship_date]]="","",Table1_1[[#This Row],[ship_date]]-Table1_1[[#This Row],[order_date]])</f>
        <v>2</v>
      </c>
      <c r="Z367">
        <f>ROUND(Table1_1[[#This Row],[profit]]/Table1_1[[#This Row],[sales_fix]]*100,2)</f>
        <v>16.86</v>
      </c>
    </row>
    <row r="368" spans="1:26" x14ac:dyDescent="0.3">
      <c r="A368" t="s">
        <v>1623</v>
      </c>
      <c r="B368" s="1">
        <v>45806</v>
      </c>
      <c r="C368" s="1">
        <v>45808</v>
      </c>
      <c r="D368" t="s">
        <v>384</v>
      </c>
      <c r="E368" t="s">
        <v>385</v>
      </c>
      <c r="F368" t="s">
        <v>55</v>
      </c>
      <c r="G368" t="s">
        <v>61</v>
      </c>
      <c r="H368" t="s">
        <v>125</v>
      </c>
      <c r="I368" t="s">
        <v>37</v>
      </c>
      <c r="J368" t="s">
        <v>38</v>
      </c>
      <c r="K368" t="s">
        <v>27</v>
      </c>
      <c r="L368">
        <v>1</v>
      </c>
      <c r="M368">
        <v>9500</v>
      </c>
      <c r="N368">
        <v>20</v>
      </c>
      <c r="O368">
        <v>7600</v>
      </c>
      <c r="P368">
        <v>1481.01</v>
      </c>
      <c r="Q368" t="s">
        <v>3113</v>
      </c>
      <c r="R368" t="s">
        <v>49</v>
      </c>
      <c r="S368" t="s">
        <v>30</v>
      </c>
      <c r="T368">
        <f>YEAR(Table1_1[[#This Row],[order_date]])</f>
        <v>2025</v>
      </c>
      <c r="U368">
        <f>MONTH(Table1_1[[#This Row],[order_date]])</f>
        <v>5</v>
      </c>
      <c r="V368" t="str">
        <f>TEXT(Table1_1[[#This Row],[order_date]],"mmm")</f>
        <v>May</v>
      </c>
      <c r="W368" t="str">
        <f>"Q"&amp;ROUNDUP(MONTH(Table1_1[[#This Row],[order_date]])/3,0)</f>
        <v>Q2</v>
      </c>
      <c r="X368" t="str">
        <f>TEXT(Table1_1[[#This Row],[order_date]],"yyyy-mm")</f>
        <v>2025-05</v>
      </c>
      <c r="Y368">
        <f>IF(Table1_1[[#This Row],[ship_date]]="","",Table1_1[[#This Row],[ship_date]]-Table1_1[[#This Row],[order_date]])</f>
        <v>2</v>
      </c>
      <c r="Z368">
        <f>ROUND(Table1_1[[#This Row],[profit]]/Table1_1[[#This Row],[sales_fix]]*100,2)</f>
        <v>19.489999999999998</v>
      </c>
    </row>
    <row r="369" spans="1:26" x14ac:dyDescent="0.3">
      <c r="A369" t="s">
        <v>812</v>
      </c>
      <c r="B369" s="1">
        <v>45323</v>
      </c>
      <c r="C369" s="1">
        <v>45330</v>
      </c>
      <c r="D369" t="s">
        <v>813</v>
      </c>
      <c r="E369" t="s">
        <v>814</v>
      </c>
      <c r="F369" t="s">
        <v>34</v>
      </c>
      <c r="G369" t="s">
        <v>35</v>
      </c>
      <c r="H369" t="s">
        <v>187</v>
      </c>
      <c r="I369" t="s">
        <v>126</v>
      </c>
      <c r="J369" t="s">
        <v>127</v>
      </c>
      <c r="K369" t="s">
        <v>95</v>
      </c>
      <c r="L369">
        <v>2</v>
      </c>
      <c r="M369">
        <v>600</v>
      </c>
      <c r="N369">
        <v>10</v>
      </c>
      <c r="O369">
        <v>1080</v>
      </c>
      <c r="P369">
        <v>323.37</v>
      </c>
      <c r="Q369" t="s">
        <v>39</v>
      </c>
      <c r="R369" t="s">
        <v>49</v>
      </c>
      <c r="S369" t="s">
        <v>50</v>
      </c>
      <c r="T369">
        <f>YEAR(Table1_1[[#This Row],[order_date]])</f>
        <v>2024</v>
      </c>
      <c r="U369">
        <f>MONTH(Table1_1[[#This Row],[order_date]])</f>
        <v>2</v>
      </c>
      <c r="V369" t="str">
        <f>TEXT(Table1_1[[#This Row],[order_date]],"mmm")</f>
        <v>Feb</v>
      </c>
      <c r="W369" t="str">
        <f>"Q"&amp;ROUNDUP(MONTH(Table1_1[[#This Row],[order_date]])/3,0)</f>
        <v>Q1</v>
      </c>
      <c r="X369" t="str">
        <f>TEXT(Table1_1[[#This Row],[order_date]],"yyyy-mm")</f>
        <v>2024-02</v>
      </c>
      <c r="Y369">
        <f>IF(Table1_1[[#This Row],[ship_date]]="","",Table1_1[[#This Row],[ship_date]]-Table1_1[[#This Row],[order_date]])</f>
        <v>7</v>
      </c>
      <c r="Z369">
        <f>ROUND(Table1_1[[#This Row],[profit]]/Table1_1[[#This Row],[sales_fix]]*100,2)</f>
        <v>29.94</v>
      </c>
    </row>
    <row r="370" spans="1:26" x14ac:dyDescent="0.3">
      <c r="A370" t="s">
        <v>994</v>
      </c>
      <c r="B370" s="1">
        <v>45955</v>
      </c>
      <c r="C370" s="1">
        <v>45958</v>
      </c>
      <c r="D370" t="s">
        <v>886</v>
      </c>
      <c r="E370" t="s">
        <v>887</v>
      </c>
      <c r="F370" t="s">
        <v>55</v>
      </c>
      <c r="G370" t="s">
        <v>91</v>
      </c>
      <c r="H370" t="s">
        <v>177</v>
      </c>
      <c r="I370" t="s">
        <v>126</v>
      </c>
      <c r="J370" t="s">
        <v>127</v>
      </c>
      <c r="K370" t="s">
        <v>95</v>
      </c>
      <c r="L370">
        <v>5</v>
      </c>
      <c r="M370">
        <v>600</v>
      </c>
      <c r="N370">
        <v>10</v>
      </c>
      <c r="O370">
        <v>2700</v>
      </c>
      <c r="P370">
        <v>1077.2</v>
      </c>
      <c r="Q370" t="s">
        <v>66</v>
      </c>
      <c r="R370" t="s">
        <v>29</v>
      </c>
      <c r="S370" t="s">
        <v>86</v>
      </c>
      <c r="T370">
        <f>YEAR(Table1_1[[#This Row],[order_date]])</f>
        <v>2025</v>
      </c>
      <c r="U370">
        <f>MONTH(Table1_1[[#This Row],[order_date]])</f>
        <v>10</v>
      </c>
      <c r="V370" t="str">
        <f>TEXT(Table1_1[[#This Row],[order_date]],"mmm")</f>
        <v>Oct</v>
      </c>
      <c r="W370" t="str">
        <f>"Q"&amp;ROUNDUP(MONTH(Table1_1[[#This Row],[order_date]])/3,0)</f>
        <v>Q4</v>
      </c>
      <c r="X370" t="str">
        <f>TEXT(Table1_1[[#This Row],[order_date]],"yyyy-mm")</f>
        <v>2025-10</v>
      </c>
      <c r="Y370">
        <f>IF(Table1_1[[#This Row],[ship_date]]="","",Table1_1[[#This Row],[ship_date]]-Table1_1[[#This Row],[order_date]])</f>
        <v>3</v>
      </c>
      <c r="Z370">
        <f>ROUND(Table1_1[[#This Row],[profit]]/Table1_1[[#This Row],[sales_fix]]*100,2)</f>
        <v>39.9</v>
      </c>
    </row>
    <row r="371" spans="1:26" x14ac:dyDescent="0.3">
      <c r="A371" t="s">
        <v>2103</v>
      </c>
      <c r="B371" s="1">
        <v>45695</v>
      </c>
      <c r="C371" s="1">
        <v>45701</v>
      </c>
      <c r="D371" t="s">
        <v>2104</v>
      </c>
      <c r="E371" t="s">
        <v>2105</v>
      </c>
      <c r="F371" t="s">
        <v>34</v>
      </c>
      <c r="G371" t="s">
        <v>91</v>
      </c>
      <c r="H371" t="s">
        <v>92</v>
      </c>
      <c r="I371" t="s">
        <v>93</v>
      </c>
      <c r="J371" t="s">
        <v>94</v>
      </c>
      <c r="K371" t="s">
        <v>95</v>
      </c>
      <c r="L371">
        <v>2</v>
      </c>
      <c r="M371">
        <v>1800</v>
      </c>
      <c r="N371">
        <v>0</v>
      </c>
      <c r="O371">
        <v>3600</v>
      </c>
      <c r="P371">
        <v>1035.56</v>
      </c>
      <c r="Q371" t="s">
        <v>121</v>
      </c>
      <c r="R371" t="s">
        <v>49</v>
      </c>
      <c r="S371" t="s">
        <v>40</v>
      </c>
      <c r="T371">
        <f>YEAR(Table1_1[[#This Row],[order_date]])</f>
        <v>2025</v>
      </c>
      <c r="U371">
        <f>MONTH(Table1_1[[#This Row],[order_date]])</f>
        <v>2</v>
      </c>
      <c r="V371" t="str">
        <f>TEXT(Table1_1[[#This Row],[order_date]],"mmm")</f>
        <v>Feb</v>
      </c>
      <c r="W371" t="str">
        <f>"Q"&amp;ROUNDUP(MONTH(Table1_1[[#This Row],[order_date]])/3,0)</f>
        <v>Q1</v>
      </c>
      <c r="X371" t="str">
        <f>TEXT(Table1_1[[#This Row],[order_date]],"yyyy-mm")</f>
        <v>2025-02</v>
      </c>
      <c r="Y371">
        <f>IF(Table1_1[[#This Row],[ship_date]]="","",Table1_1[[#This Row],[ship_date]]-Table1_1[[#This Row],[order_date]])</f>
        <v>6</v>
      </c>
      <c r="Z371">
        <f>ROUND(Table1_1[[#This Row],[profit]]/Table1_1[[#This Row],[sales_fix]]*100,2)</f>
        <v>28.77</v>
      </c>
    </row>
    <row r="372" spans="1:26" x14ac:dyDescent="0.3">
      <c r="A372" t="s">
        <v>2875</v>
      </c>
      <c r="B372" s="1">
        <v>45480</v>
      </c>
      <c r="C372" s="1">
        <v>45482</v>
      </c>
      <c r="D372" t="s">
        <v>657</v>
      </c>
      <c r="E372" t="s">
        <v>658</v>
      </c>
      <c r="F372" t="s">
        <v>34</v>
      </c>
      <c r="G372" t="s">
        <v>91</v>
      </c>
      <c r="H372" t="s">
        <v>120</v>
      </c>
      <c r="I372" t="s">
        <v>79</v>
      </c>
      <c r="J372" t="s">
        <v>80</v>
      </c>
      <c r="K372" t="s">
        <v>65</v>
      </c>
      <c r="L372">
        <v>1</v>
      </c>
      <c r="M372">
        <v>3000</v>
      </c>
      <c r="N372">
        <v>20</v>
      </c>
      <c r="O372">
        <v>2400</v>
      </c>
      <c r="P372">
        <v>576.79</v>
      </c>
      <c r="Q372" t="s">
        <v>121</v>
      </c>
      <c r="R372" t="s">
        <v>56</v>
      </c>
      <c r="S372" t="s">
        <v>40</v>
      </c>
      <c r="T372">
        <f>YEAR(Table1_1[[#This Row],[order_date]])</f>
        <v>2024</v>
      </c>
      <c r="U372">
        <f>MONTH(Table1_1[[#This Row],[order_date]])</f>
        <v>7</v>
      </c>
      <c r="V372" t="str">
        <f>TEXT(Table1_1[[#This Row],[order_date]],"mmm")</f>
        <v>Jul</v>
      </c>
      <c r="W372" t="str">
        <f>"Q"&amp;ROUNDUP(MONTH(Table1_1[[#This Row],[order_date]])/3,0)</f>
        <v>Q3</v>
      </c>
      <c r="X372" t="str">
        <f>TEXT(Table1_1[[#This Row],[order_date]],"yyyy-mm")</f>
        <v>2024-07</v>
      </c>
      <c r="Y372">
        <f>IF(Table1_1[[#This Row],[ship_date]]="","",Table1_1[[#This Row],[ship_date]]-Table1_1[[#This Row],[order_date]])</f>
        <v>2</v>
      </c>
      <c r="Z372">
        <f>ROUND(Table1_1[[#This Row],[profit]]/Table1_1[[#This Row],[sales_fix]]*100,2)</f>
        <v>24.03</v>
      </c>
    </row>
    <row r="373" spans="1:26" x14ac:dyDescent="0.3">
      <c r="A373" t="s">
        <v>2821</v>
      </c>
      <c r="B373" s="1">
        <v>45764</v>
      </c>
      <c r="C373" s="1">
        <v>45766</v>
      </c>
      <c r="D373" t="s">
        <v>1009</v>
      </c>
      <c r="E373" t="s">
        <v>1010</v>
      </c>
      <c r="F373" t="s">
        <v>23</v>
      </c>
      <c r="G373" t="s">
        <v>61</v>
      </c>
      <c r="H373" t="s">
        <v>62</v>
      </c>
      <c r="I373" t="s">
        <v>46</v>
      </c>
      <c r="J373" t="s">
        <v>47</v>
      </c>
      <c r="K373" t="s">
        <v>48</v>
      </c>
      <c r="L373">
        <v>2</v>
      </c>
      <c r="M373">
        <v>180</v>
      </c>
      <c r="N373">
        <v>0</v>
      </c>
      <c r="O373">
        <v>360</v>
      </c>
      <c r="P373">
        <v>132.22999999999999</v>
      </c>
      <c r="Q373" t="s">
        <v>74</v>
      </c>
      <c r="R373" t="s">
        <v>29</v>
      </c>
      <c r="S373" t="s">
        <v>50</v>
      </c>
      <c r="T373">
        <f>YEAR(Table1_1[[#This Row],[order_date]])</f>
        <v>2025</v>
      </c>
      <c r="U373">
        <f>MONTH(Table1_1[[#This Row],[order_date]])</f>
        <v>4</v>
      </c>
      <c r="V373" t="str">
        <f>TEXT(Table1_1[[#This Row],[order_date]],"mmm")</f>
        <v>Apr</v>
      </c>
      <c r="W373" t="str">
        <f>"Q"&amp;ROUNDUP(MONTH(Table1_1[[#This Row],[order_date]])/3,0)</f>
        <v>Q2</v>
      </c>
      <c r="X373" t="str">
        <f>TEXT(Table1_1[[#This Row],[order_date]],"yyyy-mm")</f>
        <v>2025-04</v>
      </c>
      <c r="Y373">
        <f>IF(Table1_1[[#This Row],[ship_date]]="","",Table1_1[[#This Row],[ship_date]]-Table1_1[[#This Row],[order_date]])</f>
        <v>2</v>
      </c>
      <c r="Z373">
        <f>ROUND(Table1_1[[#This Row],[profit]]/Table1_1[[#This Row],[sales_fix]]*100,2)</f>
        <v>36.729999999999997</v>
      </c>
    </row>
    <row r="374" spans="1:26" x14ac:dyDescent="0.3">
      <c r="A374" t="s">
        <v>1128</v>
      </c>
      <c r="B374" s="1">
        <v>45630</v>
      </c>
      <c r="C374" s="1">
        <v>45632</v>
      </c>
      <c r="D374" t="s">
        <v>827</v>
      </c>
      <c r="E374" t="s">
        <v>828</v>
      </c>
      <c r="F374" t="s">
        <v>34</v>
      </c>
      <c r="G374" t="s">
        <v>44</v>
      </c>
      <c r="H374" t="s">
        <v>155</v>
      </c>
      <c r="I374" t="s">
        <v>147</v>
      </c>
      <c r="J374" t="s">
        <v>148</v>
      </c>
      <c r="K374" t="s">
        <v>48</v>
      </c>
      <c r="L374">
        <v>3</v>
      </c>
      <c r="M374">
        <v>250</v>
      </c>
      <c r="N374">
        <v>0</v>
      </c>
      <c r="O374">
        <v>750</v>
      </c>
      <c r="P374">
        <v>222.01</v>
      </c>
      <c r="Q374" t="s">
        <v>121</v>
      </c>
      <c r="R374" t="s">
        <v>49</v>
      </c>
      <c r="S374" t="s">
        <v>30</v>
      </c>
      <c r="T374">
        <f>YEAR(Table1_1[[#This Row],[order_date]])</f>
        <v>2024</v>
      </c>
      <c r="U374">
        <f>MONTH(Table1_1[[#This Row],[order_date]])</f>
        <v>12</v>
      </c>
      <c r="V374" t="str">
        <f>TEXT(Table1_1[[#This Row],[order_date]],"mmm")</f>
        <v>Dec</v>
      </c>
      <c r="W374" t="str">
        <f>"Q"&amp;ROUNDUP(MONTH(Table1_1[[#This Row],[order_date]])/3,0)</f>
        <v>Q4</v>
      </c>
      <c r="X374" t="str">
        <f>TEXT(Table1_1[[#This Row],[order_date]],"yyyy-mm")</f>
        <v>2024-12</v>
      </c>
      <c r="Y374">
        <f>IF(Table1_1[[#This Row],[ship_date]]="","",Table1_1[[#This Row],[ship_date]]-Table1_1[[#This Row],[order_date]])</f>
        <v>2</v>
      </c>
      <c r="Z374">
        <f>ROUND(Table1_1[[#This Row],[profit]]/Table1_1[[#This Row],[sales_fix]]*100,2)</f>
        <v>29.6</v>
      </c>
    </row>
    <row r="375" spans="1:26" x14ac:dyDescent="0.3">
      <c r="A375" t="s">
        <v>1227</v>
      </c>
      <c r="B375" s="1">
        <v>45923</v>
      </c>
      <c r="C375" s="1">
        <v>45929</v>
      </c>
      <c r="D375" t="s">
        <v>192</v>
      </c>
      <c r="E375" t="s">
        <v>193</v>
      </c>
      <c r="F375" t="s">
        <v>55</v>
      </c>
      <c r="G375" t="s">
        <v>35</v>
      </c>
      <c r="H375" t="s">
        <v>36</v>
      </c>
      <c r="I375" t="s">
        <v>37</v>
      </c>
      <c r="J375" t="s">
        <v>38</v>
      </c>
      <c r="K375" t="s">
        <v>27</v>
      </c>
      <c r="L375">
        <v>3</v>
      </c>
      <c r="M375">
        <v>9500</v>
      </c>
      <c r="N375">
        <v>15</v>
      </c>
      <c r="O375">
        <v>24225</v>
      </c>
      <c r="P375">
        <v>4523.62</v>
      </c>
      <c r="Q375" t="s">
        <v>74</v>
      </c>
      <c r="R375" t="s">
        <v>49</v>
      </c>
      <c r="S375" t="s">
        <v>50</v>
      </c>
      <c r="T375">
        <f>YEAR(Table1_1[[#This Row],[order_date]])</f>
        <v>2025</v>
      </c>
      <c r="U375">
        <f>MONTH(Table1_1[[#This Row],[order_date]])</f>
        <v>9</v>
      </c>
      <c r="V375" t="str">
        <f>TEXT(Table1_1[[#This Row],[order_date]],"mmm")</f>
        <v>Sep</v>
      </c>
      <c r="W375" t="str">
        <f>"Q"&amp;ROUNDUP(MONTH(Table1_1[[#This Row],[order_date]])/3,0)</f>
        <v>Q3</v>
      </c>
      <c r="X375" t="str">
        <f>TEXT(Table1_1[[#This Row],[order_date]],"yyyy-mm")</f>
        <v>2025-09</v>
      </c>
      <c r="Y375">
        <f>IF(Table1_1[[#This Row],[ship_date]]="","",Table1_1[[#This Row],[ship_date]]-Table1_1[[#This Row],[order_date]])</f>
        <v>6</v>
      </c>
      <c r="Z375">
        <f>ROUND(Table1_1[[#This Row],[profit]]/Table1_1[[#This Row],[sales_fix]]*100,2)</f>
        <v>18.670000000000002</v>
      </c>
    </row>
    <row r="376" spans="1:26" x14ac:dyDescent="0.3">
      <c r="A376" t="s">
        <v>975</v>
      </c>
      <c r="B376" s="1">
        <v>45544</v>
      </c>
      <c r="C376" s="1">
        <v>45551</v>
      </c>
      <c r="D376" t="s">
        <v>483</v>
      </c>
      <c r="E376" t="s">
        <v>484</v>
      </c>
      <c r="F376" t="s">
        <v>55</v>
      </c>
      <c r="G376" t="s">
        <v>61</v>
      </c>
      <c r="H376" t="s">
        <v>62</v>
      </c>
      <c r="I376" t="s">
        <v>37</v>
      </c>
      <c r="J376" t="s">
        <v>38</v>
      </c>
      <c r="K376" t="s">
        <v>27</v>
      </c>
      <c r="L376">
        <v>3</v>
      </c>
      <c r="M376">
        <v>9500</v>
      </c>
      <c r="N376">
        <v>15</v>
      </c>
      <c r="O376">
        <v>24225</v>
      </c>
      <c r="P376">
        <v>4825.26</v>
      </c>
      <c r="Q376" t="s">
        <v>74</v>
      </c>
      <c r="R376" t="s">
        <v>49</v>
      </c>
      <c r="S376" t="s">
        <v>50</v>
      </c>
      <c r="T376">
        <f>YEAR(Table1_1[[#This Row],[order_date]])</f>
        <v>2024</v>
      </c>
      <c r="U376">
        <f>MONTH(Table1_1[[#This Row],[order_date]])</f>
        <v>9</v>
      </c>
      <c r="V376" t="str">
        <f>TEXT(Table1_1[[#This Row],[order_date]],"mmm")</f>
        <v>Sep</v>
      </c>
      <c r="W376" t="str">
        <f>"Q"&amp;ROUNDUP(MONTH(Table1_1[[#This Row],[order_date]])/3,0)</f>
        <v>Q3</v>
      </c>
      <c r="X376" t="str">
        <f>TEXT(Table1_1[[#This Row],[order_date]],"yyyy-mm")</f>
        <v>2024-09</v>
      </c>
      <c r="Y376">
        <f>IF(Table1_1[[#This Row],[ship_date]]="","",Table1_1[[#This Row],[ship_date]]-Table1_1[[#This Row],[order_date]])</f>
        <v>7</v>
      </c>
      <c r="Z376">
        <f>ROUND(Table1_1[[#This Row],[profit]]/Table1_1[[#This Row],[sales_fix]]*100,2)</f>
        <v>19.920000000000002</v>
      </c>
    </row>
    <row r="377" spans="1:26" x14ac:dyDescent="0.3">
      <c r="A377" t="s">
        <v>2530</v>
      </c>
      <c r="B377" s="1">
        <v>45765</v>
      </c>
      <c r="C377" s="1">
        <v>45767</v>
      </c>
      <c r="D377" t="s">
        <v>1506</v>
      </c>
      <c r="E377" t="s">
        <v>1507</v>
      </c>
      <c r="F377" t="s">
        <v>55</v>
      </c>
      <c r="G377" t="s">
        <v>61</v>
      </c>
      <c r="H377" t="s">
        <v>78</v>
      </c>
      <c r="I377" t="s">
        <v>147</v>
      </c>
      <c r="J377" t="s">
        <v>148</v>
      </c>
      <c r="K377" t="s">
        <v>48</v>
      </c>
      <c r="L377">
        <v>2</v>
      </c>
      <c r="M377">
        <v>250</v>
      </c>
      <c r="N377">
        <v>20</v>
      </c>
      <c r="O377">
        <v>400</v>
      </c>
      <c r="P377">
        <v>131.55000000000001</v>
      </c>
      <c r="Q377" t="s">
        <v>121</v>
      </c>
      <c r="R377" t="s">
        <v>56</v>
      </c>
      <c r="S377" t="s">
        <v>40</v>
      </c>
      <c r="T377">
        <f>YEAR(Table1_1[[#This Row],[order_date]])</f>
        <v>2025</v>
      </c>
      <c r="U377">
        <f>MONTH(Table1_1[[#This Row],[order_date]])</f>
        <v>4</v>
      </c>
      <c r="V377" t="str">
        <f>TEXT(Table1_1[[#This Row],[order_date]],"mmm")</f>
        <v>Apr</v>
      </c>
      <c r="W377" t="str">
        <f>"Q"&amp;ROUNDUP(MONTH(Table1_1[[#This Row],[order_date]])/3,0)</f>
        <v>Q2</v>
      </c>
      <c r="X377" t="str">
        <f>TEXT(Table1_1[[#This Row],[order_date]],"yyyy-mm")</f>
        <v>2025-04</v>
      </c>
      <c r="Y377">
        <f>IF(Table1_1[[#This Row],[ship_date]]="","",Table1_1[[#This Row],[ship_date]]-Table1_1[[#This Row],[order_date]])</f>
        <v>2</v>
      </c>
      <c r="Z377">
        <f>ROUND(Table1_1[[#This Row],[profit]]/Table1_1[[#This Row],[sales_fix]]*100,2)</f>
        <v>32.89</v>
      </c>
    </row>
    <row r="378" spans="1:26" x14ac:dyDescent="0.3">
      <c r="A378" t="s">
        <v>3008</v>
      </c>
      <c r="B378" s="1">
        <v>45435</v>
      </c>
      <c r="C378" s="1">
        <v>45437</v>
      </c>
      <c r="D378" t="s">
        <v>524</v>
      </c>
      <c r="E378" t="s">
        <v>525</v>
      </c>
      <c r="F378" t="s">
        <v>34</v>
      </c>
      <c r="G378" t="s">
        <v>35</v>
      </c>
      <c r="H378" t="s">
        <v>187</v>
      </c>
      <c r="I378" t="s">
        <v>25</v>
      </c>
      <c r="J378" t="s">
        <v>26</v>
      </c>
      <c r="K378" t="s">
        <v>27</v>
      </c>
      <c r="L378">
        <v>4</v>
      </c>
      <c r="M378">
        <v>7000</v>
      </c>
      <c r="N378">
        <v>0</v>
      </c>
      <c r="O378">
        <v>28000</v>
      </c>
      <c r="P378">
        <v>4960.6099999999997</v>
      </c>
      <c r="Q378" t="s">
        <v>156</v>
      </c>
      <c r="R378" t="s">
        <v>29</v>
      </c>
      <c r="S378" t="s">
        <v>86</v>
      </c>
      <c r="T378">
        <f>YEAR(Table1_1[[#This Row],[order_date]])</f>
        <v>2024</v>
      </c>
      <c r="U378">
        <f>MONTH(Table1_1[[#This Row],[order_date]])</f>
        <v>5</v>
      </c>
      <c r="V378" t="str">
        <f>TEXT(Table1_1[[#This Row],[order_date]],"mmm")</f>
        <v>May</v>
      </c>
      <c r="W378" t="str">
        <f>"Q"&amp;ROUNDUP(MONTH(Table1_1[[#This Row],[order_date]])/3,0)</f>
        <v>Q2</v>
      </c>
      <c r="X378" t="str">
        <f>TEXT(Table1_1[[#This Row],[order_date]],"yyyy-mm")</f>
        <v>2024-05</v>
      </c>
      <c r="Y378">
        <f>IF(Table1_1[[#This Row],[ship_date]]="","",Table1_1[[#This Row],[ship_date]]-Table1_1[[#This Row],[order_date]])</f>
        <v>2</v>
      </c>
      <c r="Z378">
        <f>ROUND(Table1_1[[#This Row],[profit]]/Table1_1[[#This Row],[sales_fix]]*100,2)</f>
        <v>17.72</v>
      </c>
    </row>
    <row r="379" spans="1:26" x14ac:dyDescent="0.3">
      <c r="A379" t="s">
        <v>2130</v>
      </c>
      <c r="B379" s="1">
        <v>45323</v>
      </c>
      <c r="C379" s="1">
        <v>45327</v>
      </c>
      <c r="D379" t="s">
        <v>864</v>
      </c>
      <c r="E379" t="s">
        <v>865</v>
      </c>
      <c r="F379" t="s">
        <v>34</v>
      </c>
      <c r="G379" t="s">
        <v>44</v>
      </c>
      <c r="H379" t="s">
        <v>155</v>
      </c>
      <c r="I379" t="s">
        <v>126</v>
      </c>
      <c r="J379" t="s">
        <v>127</v>
      </c>
      <c r="K379" t="s">
        <v>95</v>
      </c>
      <c r="L379">
        <v>4</v>
      </c>
      <c r="M379">
        <v>600</v>
      </c>
      <c r="N379">
        <v>10</v>
      </c>
      <c r="O379">
        <v>2160</v>
      </c>
      <c r="P379">
        <v>707.57</v>
      </c>
      <c r="Q379" t="s">
        <v>66</v>
      </c>
      <c r="R379" t="s">
        <v>56</v>
      </c>
      <c r="S379" t="s">
        <v>110</v>
      </c>
      <c r="T379">
        <f>YEAR(Table1_1[[#This Row],[order_date]])</f>
        <v>2024</v>
      </c>
      <c r="U379">
        <f>MONTH(Table1_1[[#This Row],[order_date]])</f>
        <v>2</v>
      </c>
      <c r="V379" t="str">
        <f>TEXT(Table1_1[[#This Row],[order_date]],"mmm")</f>
        <v>Feb</v>
      </c>
      <c r="W379" t="str">
        <f>"Q"&amp;ROUNDUP(MONTH(Table1_1[[#This Row],[order_date]])/3,0)</f>
        <v>Q1</v>
      </c>
      <c r="X379" t="str">
        <f>TEXT(Table1_1[[#This Row],[order_date]],"yyyy-mm")</f>
        <v>2024-02</v>
      </c>
      <c r="Y379">
        <f>IF(Table1_1[[#This Row],[ship_date]]="","",Table1_1[[#This Row],[ship_date]]-Table1_1[[#This Row],[order_date]])</f>
        <v>4</v>
      </c>
      <c r="Z379">
        <f>ROUND(Table1_1[[#This Row],[profit]]/Table1_1[[#This Row],[sales_fix]]*100,2)</f>
        <v>32.76</v>
      </c>
    </row>
    <row r="380" spans="1:26" x14ac:dyDescent="0.3">
      <c r="A380" t="s">
        <v>2577</v>
      </c>
      <c r="B380" s="1">
        <v>45775</v>
      </c>
      <c r="C380" s="1">
        <v>45779</v>
      </c>
      <c r="D380" t="s">
        <v>942</v>
      </c>
      <c r="E380" t="s">
        <v>943</v>
      </c>
      <c r="F380" t="s">
        <v>23</v>
      </c>
      <c r="G380" t="s">
        <v>44</v>
      </c>
      <c r="H380" t="s">
        <v>155</v>
      </c>
      <c r="I380" t="s">
        <v>46</v>
      </c>
      <c r="J380" t="s">
        <v>47</v>
      </c>
      <c r="K380" t="s">
        <v>48</v>
      </c>
      <c r="L380">
        <v>3</v>
      </c>
      <c r="M380">
        <v>180</v>
      </c>
      <c r="N380">
        <v>0</v>
      </c>
      <c r="O380">
        <v>540</v>
      </c>
      <c r="P380">
        <v>205.66</v>
      </c>
      <c r="Q380" t="s">
        <v>39</v>
      </c>
      <c r="R380" t="s">
        <v>56</v>
      </c>
      <c r="S380" t="s">
        <v>110</v>
      </c>
      <c r="T380">
        <f>YEAR(Table1_1[[#This Row],[order_date]])</f>
        <v>2025</v>
      </c>
      <c r="U380">
        <f>MONTH(Table1_1[[#This Row],[order_date]])</f>
        <v>4</v>
      </c>
      <c r="V380" t="str">
        <f>TEXT(Table1_1[[#This Row],[order_date]],"mmm")</f>
        <v>Apr</v>
      </c>
      <c r="W380" t="str">
        <f>"Q"&amp;ROUNDUP(MONTH(Table1_1[[#This Row],[order_date]])/3,0)</f>
        <v>Q2</v>
      </c>
      <c r="X380" t="str">
        <f>TEXT(Table1_1[[#This Row],[order_date]],"yyyy-mm")</f>
        <v>2025-04</v>
      </c>
      <c r="Y380">
        <f>IF(Table1_1[[#This Row],[ship_date]]="","",Table1_1[[#This Row],[ship_date]]-Table1_1[[#This Row],[order_date]])</f>
        <v>4</v>
      </c>
      <c r="Z380">
        <f>ROUND(Table1_1[[#This Row],[profit]]/Table1_1[[#This Row],[sales_fix]]*100,2)</f>
        <v>38.090000000000003</v>
      </c>
    </row>
    <row r="381" spans="1:26" x14ac:dyDescent="0.3">
      <c r="A381" t="s">
        <v>1324</v>
      </c>
      <c r="B381" s="1">
        <v>45805</v>
      </c>
      <c r="C381" s="1">
        <v>45806</v>
      </c>
      <c r="D381" t="s">
        <v>457</v>
      </c>
      <c r="E381" t="s">
        <v>458</v>
      </c>
      <c r="F381" t="s">
        <v>55</v>
      </c>
      <c r="G381" t="s">
        <v>44</v>
      </c>
      <c r="H381" t="s">
        <v>24</v>
      </c>
      <c r="I381" t="s">
        <v>147</v>
      </c>
      <c r="J381" t="s">
        <v>148</v>
      </c>
      <c r="K381" t="s">
        <v>48</v>
      </c>
      <c r="L381">
        <v>2</v>
      </c>
      <c r="M381">
        <v>250</v>
      </c>
      <c r="N381">
        <v>5</v>
      </c>
      <c r="O381">
        <v>475</v>
      </c>
      <c r="P381">
        <v>160.65</v>
      </c>
      <c r="Q381" t="s">
        <v>156</v>
      </c>
      <c r="R381" t="s">
        <v>29</v>
      </c>
      <c r="S381" t="s">
        <v>40</v>
      </c>
      <c r="T381">
        <f>YEAR(Table1_1[[#This Row],[order_date]])</f>
        <v>2025</v>
      </c>
      <c r="U381">
        <f>MONTH(Table1_1[[#This Row],[order_date]])</f>
        <v>5</v>
      </c>
      <c r="V381" t="str">
        <f>TEXT(Table1_1[[#This Row],[order_date]],"mmm")</f>
        <v>May</v>
      </c>
      <c r="W381" t="str">
        <f>"Q"&amp;ROUNDUP(MONTH(Table1_1[[#This Row],[order_date]])/3,0)</f>
        <v>Q2</v>
      </c>
      <c r="X381" t="str">
        <f>TEXT(Table1_1[[#This Row],[order_date]],"yyyy-mm")</f>
        <v>2025-05</v>
      </c>
      <c r="Y381">
        <f>IF(Table1_1[[#This Row],[ship_date]]="","",Table1_1[[#This Row],[ship_date]]-Table1_1[[#This Row],[order_date]])</f>
        <v>1</v>
      </c>
      <c r="Z381">
        <f>ROUND(Table1_1[[#This Row],[profit]]/Table1_1[[#This Row],[sales_fix]]*100,2)</f>
        <v>33.82</v>
      </c>
    </row>
    <row r="382" spans="1:26" x14ac:dyDescent="0.3">
      <c r="A382" t="s">
        <v>2001</v>
      </c>
      <c r="B382" s="1">
        <v>45435</v>
      </c>
      <c r="C382" s="1">
        <v>45438</v>
      </c>
      <c r="D382" t="s">
        <v>1132</v>
      </c>
      <c r="E382" t="s">
        <v>1133</v>
      </c>
      <c r="F382" t="s">
        <v>34</v>
      </c>
      <c r="G382" t="s">
        <v>91</v>
      </c>
      <c r="H382" t="s">
        <v>177</v>
      </c>
      <c r="I382" t="s">
        <v>46</v>
      </c>
      <c r="J382" t="s">
        <v>47</v>
      </c>
      <c r="K382" t="s">
        <v>48</v>
      </c>
      <c r="L382">
        <v>2</v>
      </c>
      <c r="M382">
        <v>180</v>
      </c>
      <c r="N382">
        <v>0</v>
      </c>
      <c r="O382">
        <v>360</v>
      </c>
      <c r="P382">
        <v>150.1</v>
      </c>
      <c r="Q382" t="s">
        <v>156</v>
      </c>
      <c r="R382" t="s">
        <v>56</v>
      </c>
      <c r="S382" t="s">
        <v>30</v>
      </c>
      <c r="T382">
        <f>YEAR(Table1_1[[#This Row],[order_date]])</f>
        <v>2024</v>
      </c>
      <c r="U382">
        <f>MONTH(Table1_1[[#This Row],[order_date]])</f>
        <v>5</v>
      </c>
      <c r="V382" t="str">
        <f>TEXT(Table1_1[[#This Row],[order_date]],"mmm")</f>
        <v>May</v>
      </c>
      <c r="W382" t="str">
        <f>"Q"&amp;ROUNDUP(MONTH(Table1_1[[#This Row],[order_date]])/3,0)</f>
        <v>Q2</v>
      </c>
      <c r="X382" t="str">
        <f>TEXT(Table1_1[[#This Row],[order_date]],"yyyy-mm")</f>
        <v>2024-05</v>
      </c>
      <c r="Y382">
        <f>IF(Table1_1[[#This Row],[ship_date]]="","",Table1_1[[#This Row],[ship_date]]-Table1_1[[#This Row],[order_date]])</f>
        <v>3</v>
      </c>
      <c r="Z382">
        <f>ROUND(Table1_1[[#This Row],[profit]]/Table1_1[[#This Row],[sales_fix]]*100,2)</f>
        <v>41.69</v>
      </c>
    </row>
    <row r="383" spans="1:26" x14ac:dyDescent="0.3">
      <c r="A383" t="s">
        <v>2477</v>
      </c>
      <c r="B383" s="1">
        <v>45516</v>
      </c>
      <c r="C383" s="1">
        <v>45522</v>
      </c>
      <c r="D383" t="s">
        <v>517</v>
      </c>
      <c r="E383" t="s">
        <v>518</v>
      </c>
      <c r="F383" t="s">
        <v>34</v>
      </c>
      <c r="G383" t="s">
        <v>61</v>
      </c>
      <c r="H383" t="s">
        <v>125</v>
      </c>
      <c r="I383" t="s">
        <v>114</v>
      </c>
      <c r="J383" t="s">
        <v>115</v>
      </c>
      <c r="K383" t="s">
        <v>65</v>
      </c>
      <c r="L383">
        <v>3</v>
      </c>
      <c r="M383">
        <v>55000</v>
      </c>
      <c r="N383">
        <v>0</v>
      </c>
      <c r="O383">
        <v>165000</v>
      </c>
      <c r="P383">
        <v>21536.79</v>
      </c>
      <c r="Q383" t="s">
        <v>121</v>
      </c>
      <c r="R383" t="s">
        <v>29</v>
      </c>
      <c r="S383" t="s">
        <v>50</v>
      </c>
      <c r="T383">
        <f>YEAR(Table1_1[[#This Row],[order_date]])</f>
        <v>2024</v>
      </c>
      <c r="U383">
        <f>MONTH(Table1_1[[#This Row],[order_date]])</f>
        <v>8</v>
      </c>
      <c r="V383" t="str">
        <f>TEXT(Table1_1[[#This Row],[order_date]],"mmm")</f>
        <v>Aug</v>
      </c>
      <c r="W383" t="str">
        <f>"Q"&amp;ROUNDUP(MONTH(Table1_1[[#This Row],[order_date]])/3,0)</f>
        <v>Q3</v>
      </c>
      <c r="X383" t="str">
        <f>TEXT(Table1_1[[#This Row],[order_date]],"yyyy-mm")</f>
        <v>2024-08</v>
      </c>
      <c r="Y383">
        <f>IF(Table1_1[[#This Row],[ship_date]]="","",Table1_1[[#This Row],[ship_date]]-Table1_1[[#This Row],[order_date]])</f>
        <v>6</v>
      </c>
      <c r="Z383">
        <f>ROUND(Table1_1[[#This Row],[profit]]/Table1_1[[#This Row],[sales_fix]]*100,2)</f>
        <v>13.05</v>
      </c>
    </row>
    <row r="384" spans="1:26" x14ac:dyDescent="0.3">
      <c r="A384" t="s">
        <v>1281</v>
      </c>
      <c r="B384" s="1">
        <v>45689</v>
      </c>
      <c r="C384" s="1">
        <v>45690</v>
      </c>
      <c r="D384" t="s">
        <v>939</v>
      </c>
      <c r="E384" t="s">
        <v>940</v>
      </c>
      <c r="F384" t="s">
        <v>55</v>
      </c>
      <c r="G384" t="s">
        <v>61</v>
      </c>
      <c r="H384" t="s">
        <v>78</v>
      </c>
      <c r="I384" t="s">
        <v>37</v>
      </c>
      <c r="J384" t="s">
        <v>38</v>
      </c>
      <c r="K384" t="s">
        <v>27</v>
      </c>
      <c r="L384">
        <v>2</v>
      </c>
      <c r="M384">
        <v>9500</v>
      </c>
      <c r="N384">
        <v>5</v>
      </c>
      <c r="O384">
        <v>18050</v>
      </c>
      <c r="P384">
        <v>3799.96</v>
      </c>
      <c r="Q384" t="s">
        <v>156</v>
      </c>
      <c r="R384" t="s">
        <v>49</v>
      </c>
      <c r="S384" t="s">
        <v>86</v>
      </c>
      <c r="T384">
        <f>YEAR(Table1_1[[#This Row],[order_date]])</f>
        <v>2025</v>
      </c>
      <c r="U384">
        <f>MONTH(Table1_1[[#This Row],[order_date]])</f>
        <v>2</v>
      </c>
      <c r="V384" t="str">
        <f>TEXT(Table1_1[[#This Row],[order_date]],"mmm")</f>
        <v>Feb</v>
      </c>
      <c r="W384" t="str">
        <f>"Q"&amp;ROUNDUP(MONTH(Table1_1[[#This Row],[order_date]])/3,0)</f>
        <v>Q1</v>
      </c>
      <c r="X384" t="str">
        <f>TEXT(Table1_1[[#This Row],[order_date]],"yyyy-mm")</f>
        <v>2025-02</v>
      </c>
      <c r="Y384">
        <f>IF(Table1_1[[#This Row],[ship_date]]="","",Table1_1[[#This Row],[ship_date]]-Table1_1[[#This Row],[order_date]])</f>
        <v>1</v>
      </c>
      <c r="Z384">
        <f>ROUND(Table1_1[[#This Row],[profit]]/Table1_1[[#This Row],[sales_fix]]*100,2)</f>
        <v>21.05</v>
      </c>
    </row>
    <row r="385" spans="1:26" x14ac:dyDescent="0.3">
      <c r="A385" t="s">
        <v>2983</v>
      </c>
      <c r="B385" s="1">
        <v>45572</v>
      </c>
      <c r="C385" s="1">
        <v>45579</v>
      </c>
      <c r="D385" t="s">
        <v>425</v>
      </c>
      <c r="E385" t="s">
        <v>426</v>
      </c>
      <c r="F385" t="s">
        <v>34</v>
      </c>
      <c r="G385" t="s">
        <v>61</v>
      </c>
      <c r="H385" t="s">
        <v>125</v>
      </c>
      <c r="I385" t="s">
        <v>126</v>
      </c>
      <c r="J385" t="s">
        <v>127</v>
      </c>
      <c r="K385" t="s">
        <v>95</v>
      </c>
      <c r="L385">
        <v>1</v>
      </c>
      <c r="M385">
        <v>600</v>
      </c>
      <c r="N385">
        <v>10</v>
      </c>
      <c r="O385">
        <v>540</v>
      </c>
      <c r="P385">
        <v>190.44</v>
      </c>
      <c r="Q385" t="s">
        <v>156</v>
      </c>
      <c r="R385" t="s">
        <v>49</v>
      </c>
      <c r="S385" t="s">
        <v>110</v>
      </c>
      <c r="T385">
        <f>YEAR(Table1_1[[#This Row],[order_date]])</f>
        <v>2024</v>
      </c>
      <c r="U385">
        <f>MONTH(Table1_1[[#This Row],[order_date]])</f>
        <v>10</v>
      </c>
      <c r="V385" t="str">
        <f>TEXT(Table1_1[[#This Row],[order_date]],"mmm")</f>
        <v>Oct</v>
      </c>
      <c r="W385" t="str">
        <f>"Q"&amp;ROUNDUP(MONTH(Table1_1[[#This Row],[order_date]])/3,0)</f>
        <v>Q4</v>
      </c>
      <c r="X385" t="str">
        <f>TEXT(Table1_1[[#This Row],[order_date]],"yyyy-mm")</f>
        <v>2024-10</v>
      </c>
      <c r="Y385">
        <f>IF(Table1_1[[#This Row],[ship_date]]="","",Table1_1[[#This Row],[ship_date]]-Table1_1[[#This Row],[order_date]])</f>
        <v>7</v>
      </c>
      <c r="Z385">
        <f>ROUND(Table1_1[[#This Row],[profit]]/Table1_1[[#This Row],[sales_fix]]*100,2)</f>
        <v>35.270000000000003</v>
      </c>
    </row>
    <row r="386" spans="1:26" x14ac:dyDescent="0.3">
      <c r="A386" t="s">
        <v>2939</v>
      </c>
      <c r="B386" s="1">
        <v>45549</v>
      </c>
      <c r="C386" s="1">
        <v>45555</v>
      </c>
      <c r="D386" t="s">
        <v>1889</v>
      </c>
      <c r="E386" t="s">
        <v>1890</v>
      </c>
      <c r="F386" t="s">
        <v>55</v>
      </c>
      <c r="G386" t="s">
        <v>91</v>
      </c>
      <c r="H386" t="s">
        <v>120</v>
      </c>
      <c r="I386" t="s">
        <v>46</v>
      </c>
      <c r="J386" t="s">
        <v>47</v>
      </c>
      <c r="K386" t="s">
        <v>48</v>
      </c>
      <c r="L386">
        <v>1</v>
      </c>
      <c r="M386">
        <v>180</v>
      </c>
      <c r="N386">
        <v>0</v>
      </c>
      <c r="O386">
        <v>180</v>
      </c>
      <c r="P386">
        <v>73.430000000000007</v>
      </c>
      <c r="Q386" t="s">
        <v>74</v>
      </c>
      <c r="R386" t="s">
        <v>49</v>
      </c>
      <c r="S386" t="s">
        <v>30</v>
      </c>
      <c r="T386">
        <f>YEAR(Table1_1[[#This Row],[order_date]])</f>
        <v>2024</v>
      </c>
      <c r="U386">
        <f>MONTH(Table1_1[[#This Row],[order_date]])</f>
        <v>9</v>
      </c>
      <c r="V386" t="str">
        <f>TEXT(Table1_1[[#This Row],[order_date]],"mmm")</f>
        <v>Sep</v>
      </c>
      <c r="W386" t="str">
        <f>"Q"&amp;ROUNDUP(MONTH(Table1_1[[#This Row],[order_date]])/3,0)</f>
        <v>Q3</v>
      </c>
      <c r="X386" t="str">
        <f>TEXT(Table1_1[[#This Row],[order_date]],"yyyy-mm")</f>
        <v>2024-09</v>
      </c>
      <c r="Y386">
        <f>IF(Table1_1[[#This Row],[ship_date]]="","",Table1_1[[#This Row],[ship_date]]-Table1_1[[#This Row],[order_date]])</f>
        <v>6</v>
      </c>
      <c r="Z386">
        <f>ROUND(Table1_1[[#This Row],[profit]]/Table1_1[[#This Row],[sales_fix]]*100,2)</f>
        <v>40.79</v>
      </c>
    </row>
    <row r="387" spans="1:26" x14ac:dyDescent="0.3">
      <c r="A387" t="s">
        <v>2916</v>
      </c>
      <c r="B387" s="1">
        <v>45434</v>
      </c>
      <c r="C387" s="1">
        <v>45439</v>
      </c>
      <c r="D387" t="s">
        <v>531</v>
      </c>
      <c r="E387" t="s">
        <v>532</v>
      </c>
      <c r="F387" t="s">
        <v>23</v>
      </c>
      <c r="G387" t="s">
        <v>44</v>
      </c>
      <c r="H387" t="s">
        <v>161</v>
      </c>
      <c r="I387" t="s">
        <v>46</v>
      </c>
      <c r="J387" t="s">
        <v>47</v>
      </c>
      <c r="K387" t="s">
        <v>48</v>
      </c>
      <c r="L387">
        <v>2</v>
      </c>
      <c r="M387">
        <v>180</v>
      </c>
      <c r="N387">
        <v>0</v>
      </c>
      <c r="O387">
        <v>360</v>
      </c>
      <c r="P387">
        <v>118.4</v>
      </c>
      <c r="Q387" t="s">
        <v>121</v>
      </c>
      <c r="R387" t="s">
        <v>29</v>
      </c>
      <c r="S387" t="s">
        <v>50</v>
      </c>
      <c r="T387">
        <f>YEAR(Table1_1[[#This Row],[order_date]])</f>
        <v>2024</v>
      </c>
      <c r="U387">
        <f>MONTH(Table1_1[[#This Row],[order_date]])</f>
        <v>5</v>
      </c>
      <c r="V387" t="str">
        <f>TEXT(Table1_1[[#This Row],[order_date]],"mmm")</f>
        <v>May</v>
      </c>
      <c r="W387" t="str">
        <f>"Q"&amp;ROUNDUP(MONTH(Table1_1[[#This Row],[order_date]])/3,0)</f>
        <v>Q2</v>
      </c>
      <c r="X387" t="str">
        <f>TEXT(Table1_1[[#This Row],[order_date]],"yyyy-mm")</f>
        <v>2024-05</v>
      </c>
      <c r="Y387">
        <f>IF(Table1_1[[#This Row],[ship_date]]="","",Table1_1[[#This Row],[ship_date]]-Table1_1[[#This Row],[order_date]])</f>
        <v>5</v>
      </c>
      <c r="Z387">
        <f>ROUND(Table1_1[[#This Row],[profit]]/Table1_1[[#This Row],[sales_fix]]*100,2)</f>
        <v>32.89</v>
      </c>
    </row>
    <row r="388" spans="1:26" x14ac:dyDescent="0.3">
      <c r="A388" t="s">
        <v>1939</v>
      </c>
      <c r="B388" s="1">
        <v>45908</v>
      </c>
      <c r="C388" s="1">
        <v>45915</v>
      </c>
      <c r="D388" t="s">
        <v>670</v>
      </c>
      <c r="E388" t="s">
        <v>1308</v>
      </c>
      <c r="F388" t="s">
        <v>23</v>
      </c>
      <c r="G388" t="s">
        <v>91</v>
      </c>
      <c r="H388" t="s">
        <v>177</v>
      </c>
      <c r="I388" t="s">
        <v>37</v>
      </c>
      <c r="J388" t="s">
        <v>38</v>
      </c>
      <c r="K388" t="s">
        <v>27</v>
      </c>
      <c r="L388">
        <v>3</v>
      </c>
      <c r="M388">
        <v>9500</v>
      </c>
      <c r="N388">
        <v>0</v>
      </c>
      <c r="O388">
        <v>28500</v>
      </c>
      <c r="P388">
        <v>5497.33</v>
      </c>
      <c r="Q388" t="s">
        <v>74</v>
      </c>
      <c r="R388" t="s">
        <v>56</v>
      </c>
      <c r="S388" t="s">
        <v>86</v>
      </c>
      <c r="T388">
        <f>YEAR(Table1_1[[#This Row],[order_date]])</f>
        <v>2025</v>
      </c>
      <c r="U388">
        <f>MONTH(Table1_1[[#This Row],[order_date]])</f>
        <v>9</v>
      </c>
      <c r="V388" t="str">
        <f>TEXT(Table1_1[[#This Row],[order_date]],"mmm")</f>
        <v>Sep</v>
      </c>
      <c r="W388" t="str">
        <f>"Q"&amp;ROUNDUP(MONTH(Table1_1[[#This Row],[order_date]])/3,0)</f>
        <v>Q3</v>
      </c>
      <c r="X388" t="str">
        <f>TEXT(Table1_1[[#This Row],[order_date]],"yyyy-mm")</f>
        <v>2025-09</v>
      </c>
      <c r="Y388">
        <f>IF(Table1_1[[#This Row],[ship_date]]="","",Table1_1[[#This Row],[ship_date]]-Table1_1[[#This Row],[order_date]])</f>
        <v>7</v>
      </c>
      <c r="Z388">
        <f>ROUND(Table1_1[[#This Row],[profit]]/Table1_1[[#This Row],[sales_fix]]*100,2)</f>
        <v>19.29</v>
      </c>
    </row>
    <row r="389" spans="1:26" x14ac:dyDescent="0.3">
      <c r="A389" t="s">
        <v>2817</v>
      </c>
      <c r="B389" s="1">
        <v>45782</v>
      </c>
      <c r="C389" s="1">
        <v>45789</v>
      </c>
      <c r="D389" t="s">
        <v>1729</v>
      </c>
      <c r="E389" t="s">
        <v>1730</v>
      </c>
      <c r="F389" t="s">
        <v>34</v>
      </c>
      <c r="G389" t="s">
        <v>35</v>
      </c>
      <c r="H389" t="s">
        <v>258</v>
      </c>
      <c r="I389" t="s">
        <v>126</v>
      </c>
      <c r="J389" t="s">
        <v>127</v>
      </c>
      <c r="K389" t="s">
        <v>95</v>
      </c>
      <c r="L389">
        <v>2</v>
      </c>
      <c r="M389">
        <v>600</v>
      </c>
      <c r="N389">
        <v>10</v>
      </c>
      <c r="O389">
        <v>1080</v>
      </c>
      <c r="P389">
        <v>313.75</v>
      </c>
      <c r="Q389" t="s">
        <v>66</v>
      </c>
      <c r="R389" t="s">
        <v>29</v>
      </c>
      <c r="S389" t="s">
        <v>86</v>
      </c>
      <c r="T389">
        <f>YEAR(Table1_1[[#This Row],[order_date]])</f>
        <v>2025</v>
      </c>
      <c r="U389">
        <f>MONTH(Table1_1[[#This Row],[order_date]])</f>
        <v>5</v>
      </c>
      <c r="V389" t="str">
        <f>TEXT(Table1_1[[#This Row],[order_date]],"mmm")</f>
        <v>May</v>
      </c>
      <c r="W389" t="str">
        <f>"Q"&amp;ROUNDUP(MONTH(Table1_1[[#This Row],[order_date]])/3,0)</f>
        <v>Q2</v>
      </c>
      <c r="X389" t="str">
        <f>TEXT(Table1_1[[#This Row],[order_date]],"yyyy-mm")</f>
        <v>2025-05</v>
      </c>
      <c r="Y389">
        <f>IF(Table1_1[[#This Row],[ship_date]]="","",Table1_1[[#This Row],[ship_date]]-Table1_1[[#This Row],[order_date]])</f>
        <v>7</v>
      </c>
      <c r="Z389">
        <f>ROUND(Table1_1[[#This Row],[profit]]/Table1_1[[#This Row],[sales_fix]]*100,2)</f>
        <v>29.05</v>
      </c>
    </row>
    <row r="390" spans="1:26" x14ac:dyDescent="0.3">
      <c r="A390" t="s">
        <v>1157</v>
      </c>
      <c r="B390" s="1">
        <v>45898</v>
      </c>
      <c r="C390" s="1">
        <v>45901</v>
      </c>
      <c r="D390" t="s">
        <v>150</v>
      </c>
      <c r="E390" t="s">
        <v>151</v>
      </c>
      <c r="F390" t="s">
        <v>34</v>
      </c>
      <c r="G390" t="s">
        <v>35</v>
      </c>
      <c r="H390" t="s">
        <v>36</v>
      </c>
      <c r="I390" t="s">
        <v>93</v>
      </c>
      <c r="J390" t="s">
        <v>94</v>
      </c>
      <c r="K390" t="s">
        <v>95</v>
      </c>
      <c r="L390">
        <v>1</v>
      </c>
      <c r="M390">
        <v>1800</v>
      </c>
      <c r="N390">
        <v>15</v>
      </c>
      <c r="O390">
        <v>1530</v>
      </c>
      <c r="P390">
        <v>484.66</v>
      </c>
      <c r="Q390" t="s">
        <v>66</v>
      </c>
      <c r="R390" t="s">
        <v>29</v>
      </c>
      <c r="S390" t="s">
        <v>110</v>
      </c>
      <c r="T390">
        <f>YEAR(Table1_1[[#This Row],[order_date]])</f>
        <v>2025</v>
      </c>
      <c r="U390">
        <f>MONTH(Table1_1[[#This Row],[order_date]])</f>
        <v>8</v>
      </c>
      <c r="V390" t="str">
        <f>TEXT(Table1_1[[#This Row],[order_date]],"mmm")</f>
        <v>Aug</v>
      </c>
      <c r="W390" t="str">
        <f>"Q"&amp;ROUNDUP(MONTH(Table1_1[[#This Row],[order_date]])/3,0)</f>
        <v>Q3</v>
      </c>
      <c r="X390" t="str">
        <f>TEXT(Table1_1[[#This Row],[order_date]],"yyyy-mm")</f>
        <v>2025-08</v>
      </c>
      <c r="Y390">
        <f>IF(Table1_1[[#This Row],[ship_date]]="","",Table1_1[[#This Row],[ship_date]]-Table1_1[[#This Row],[order_date]])</f>
        <v>3</v>
      </c>
      <c r="Z390">
        <f>ROUND(Table1_1[[#This Row],[profit]]/Table1_1[[#This Row],[sales_fix]]*100,2)</f>
        <v>31.68</v>
      </c>
    </row>
    <row r="391" spans="1:26" x14ac:dyDescent="0.3">
      <c r="A391" t="s">
        <v>1045</v>
      </c>
      <c r="B391" s="1">
        <v>45707</v>
      </c>
      <c r="C391" s="1">
        <v>45712</v>
      </c>
      <c r="D391" t="s">
        <v>570</v>
      </c>
      <c r="E391" t="s">
        <v>571</v>
      </c>
      <c r="F391" t="s">
        <v>34</v>
      </c>
      <c r="G391" t="s">
        <v>44</v>
      </c>
      <c r="H391" t="s">
        <v>161</v>
      </c>
      <c r="I391" t="s">
        <v>46</v>
      </c>
      <c r="J391" t="s">
        <v>47</v>
      </c>
      <c r="K391" t="s">
        <v>48</v>
      </c>
      <c r="L391">
        <v>2</v>
      </c>
      <c r="M391">
        <v>180</v>
      </c>
      <c r="N391">
        <v>10</v>
      </c>
      <c r="O391">
        <v>324</v>
      </c>
      <c r="P391">
        <v>139.25</v>
      </c>
      <c r="Q391" t="s">
        <v>66</v>
      </c>
      <c r="R391" t="s">
        <v>29</v>
      </c>
      <c r="S391" t="s">
        <v>30</v>
      </c>
      <c r="T391">
        <f>YEAR(Table1_1[[#This Row],[order_date]])</f>
        <v>2025</v>
      </c>
      <c r="U391">
        <f>MONTH(Table1_1[[#This Row],[order_date]])</f>
        <v>2</v>
      </c>
      <c r="V391" t="str">
        <f>TEXT(Table1_1[[#This Row],[order_date]],"mmm")</f>
        <v>Feb</v>
      </c>
      <c r="W391" t="str">
        <f>"Q"&amp;ROUNDUP(MONTH(Table1_1[[#This Row],[order_date]])/3,0)</f>
        <v>Q1</v>
      </c>
      <c r="X391" t="str">
        <f>TEXT(Table1_1[[#This Row],[order_date]],"yyyy-mm")</f>
        <v>2025-02</v>
      </c>
      <c r="Y391">
        <f>IF(Table1_1[[#This Row],[ship_date]]="","",Table1_1[[#This Row],[ship_date]]-Table1_1[[#This Row],[order_date]])</f>
        <v>5</v>
      </c>
      <c r="Z391">
        <f>ROUND(Table1_1[[#This Row],[profit]]/Table1_1[[#This Row],[sales_fix]]*100,2)</f>
        <v>42.98</v>
      </c>
    </row>
    <row r="392" spans="1:26" x14ac:dyDescent="0.3">
      <c r="A392" t="s">
        <v>1387</v>
      </c>
      <c r="B392" s="1">
        <v>45466</v>
      </c>
      <c r="C392" s="1">
        <v>45469</v>
      </c>
      <c r="D392" t="s">
        <v>1388</v>
      </c>
      <c r="E392" t="s">
        <v>1389</v>
      </c>
      <c r="F392" t="s">
        <v>34</v>
      </c>
      <c r="G392" t="s">
        <v>61</v>
      </c>
      <c r="H392" t="s">
        <v>78</v>
      </c>
      <c r="I392" t="s">
        <v>147</v>
      </c>
      <c r="J392" t="s">
        <v>148</v>
      </c>
      <c r="K392" t="s">
        <v>48</v>
      </c>
      <c r="L392">
        <v>1</v>
      </c>
      <c r="M392">
        <v>250</v>
      </c>
      <c r="N392">
        <v>5</v>
      </c>
      <c r="O392">
        <v>237.5</v>
      </c>
      <c r="P392">
        <v>89.33</v>
      </c>
      <c r="Q392" t="s">
        <v>3113</v>
      </c>
      <c r="R392" t="s">
        <v>56</v>
      </c>
      <c r="S392" t="s">
        <v>40</v>
      </c>
      <c r="T392">
        <f>YEAR(Table1_1[[#This Row],[order_date]])</f>
        <v>2024</v>
      </c>
      <c r="U392">
        <f>MONTH(Table1_1[[#This Row],[order_date]])</f>
        <v>6</v>
      </c>
      <c r="V392" t="str">
        <f>TEXT(Table1_1[[#This Row],[order_date]],"mmm")</f>
        <v>Jun</v>
      </c>
      <c r="W392" t="str">
        <f>"Q"&amp;ROUNDUP(MONTH(Table1_1[[#This Row],[order_date]])/3,0)</f>
        <v>Q2</v>
      </c>
      <c r="X392" t="str">
        <f>TEXT(Table1_1[[#This Row],[order_date]],"yyyy-mm")</f>
        <v>2024-06</v>
      </c>
      <c r="Y392">
        <f>IF(Table1_1[[#This Row],[ship_date]]="","",Table1_1[[#This Row],[ship_date]]-Table1_1[[#This Row],[order_date]])</f>
        <v>3</v>
      </c>
      <c r="Z392">
        <f>ROUND(Table1_1[[#This Row],[profit]]/Table1_1[[#This Row],[sales_fix]]*100,2)</f>
        <v>37.61</v>
      </c>
    </row>
    <row r="393" spans="1:26" x14ac:dyDescent="0.3">
      <c r="A393" t="s">
        <v>1390</v>
      </c>
      <c r="B393" s="1">
        <v>45994</v>
      </c>
      <c r="C393" s="1">
        <v>46001</v>
      </c>
      <c r="D393" t="s">
        <v>413</v>
      </c>
      <c r="E393" t="s">
        <v>414</v>
      </c>
      <c r="F393" t="s">
        <v>55</v>
      </c>
      <c r="G393" t="s">
        <v>91</v>
      </c>
      <c r="H393" t="s">
        <v>120</v>
      </c>
      <c r="I393" t="s">
        <v>79</v>
      </c>
      <c r="J393" t="s">
        <v>80</v>
      </c>
      <c r="K393" t="s">
        <v>65</v>
      </c>
      <c r="L393">
        <v>2</v>
      </c>
      <c r="M393">
        <v>3000</v>
      </c>
      <c r="N393">
        <v>10</v>
      </c>
      <c r="O393">
        <v>5400</v>
      </c>
      <c r="P393">
        <v>1178.6099999999999</v>
      </c>
      <c r="Q393" t="s">
        <v>28</v>
      </c>
      <c r="R393" t="s">
        <v>29</v>
      </c>
      <c r="S393" t="s">
        <v>86</v>
      </c>
      <c r="T393">
        <f>YEAR(Table1_1[[#This Row],[order_date]])</f>
        <v>2025</v>
      </c>
      <c r="U393">
        <f>MONTH(Table1_1[[#This Row],[order_date]])</f>
        <v>12</v>
      </c>
      <c r="V393" t="str">
        <f>TEXT(Table1_1[[#This Row],[order_date]],"mmm")</f>
        <v>Dec</v>
      </c>
      <c r="W393" t="str">
        <f>"Q"&amp;ROUNDUP(MONTH(Table1_1[[#This Row],[order_date]])/3,0)</f>
        <v>Q4</v>
      </c>
      <c r="X393" t="str">
        <f>TEXT(Table1_1[[#This Row],[order_date]],"yyyy-mm")</f>
        <v>2025-12</v>
      </c>
      <c r="Y393">
        <f>IF(Table1_1[[#This Row],[ship_date]]="","",Table1_1[[#This Row],[ship_date]]-Table1_1[[#This Row],[order_date]])</f>
        <v>7</v>
      </c>
      <c r="Z393">
        <f>ROUND(Table1_1[[#This Row],[profit]]/Table1_1[[#This Row],[sales_fix]]*100,2)</f>
        <v>21.83</v>
      </c>
    </row>
    <row r="394" spans="1:26" x14ac:dyDescent="0.3">
      <c r="A394" t="s">
        <v>1408</v>
      </c>
      <c r="B394" s="1">
        <v>45827</v>
      </c>
      <c r="C394" s="1">
        <v>45830</v>
      </c>
      <c r="D394" t="s">
        <v>1171</v>
      </c>
      <c r="E394" t="s">
        <v>1172</v>
      </c>
      <c r="F394" t="s">
        <v>34</v>
      </c>
      <c r="G394" t="s">
        <v>35</v>
      </c>
      <c r="H394" t="s">
        <v>85</v>
      </c>
      <c r="I394" t="s">
        <v>103</v>
      </c>
      <c r="J394" t="s">
        <v>104</v>
      </c>
      <c r="K394" t="s">
        <v>65</v>
      </c>
      <c r="L394">
        <v>4</v>
      </c>
      <c r="M394">
        <v>8000</v>
      </c>
      <c r="N394">
        <v>10</v>
      </c>
      <c r="O394">
        <v>28800</v>
      </c>
      <c r="P394">
        <v>7010.98</v>
      </c>
      <c r="Q394" t="s">
        <v>39</v>
      </c>
      <c r="R394" t="s">
        <v>29</v>
      </c>
      <c r="S394" t="s">
        <v>50</v>
      </c>
      <c r="T394">
        <f>YEAR(Table1_1[[#This Row],[order_date]])</f>
        <v>2025</v>
      </c>
      <c r="U394">
        <f>MONTH(Table1_1[[#This Row],[order_date]])</f>
        <v>6</v>
      </c>
      <c r="V394" t="str">
        <f>TEXT(Table1_1[[#This Row],[order_date]],"mmm")</f>
        <v>Jun</v>
      </c>
      <c r="W394" t="str">
        <f>"Q"&amp;ROUNDUP(MONTH(Table1_1[[#This Row],[order_date]])/3,0)</f>
        <v>Q2</v>
      </c>
      <c r="X394" t="str">
        <f>TEXT(Table1_1[[#This Row],[order_date]],"yyyy-mm")</f>
        <v>2025-06</v>
      </c>
      <c r="Y394">
        <f>IF(Table1_1[[#This Row],[ship_date]]="","",Table1_1[[#This Row],[ship_date]]-Table1_1[[#This Row],[order_date]])</f>
        <v>3</v>
      </c>
      <c r="Z394">
        <f>ROUND(Table1_1[[#This Row],[profit]]/Table1_1[[#This Row],[sales_fix]]*100,2)</f>
        <v>24.34</v>
      </c>
    </row>
    <row r="395" spans="1:26" x14ac:dyDescent="0.3">
      <c r="A395" t="s">
        <v>584</v>
      </c>
      <c r="B395" s="1">
        <v>45906</v>
      </c>
      <c r="C395" s="1">
        <v>45908</v>
      </c>
      <c r="D395" t="s">
        <v>123</v>
      </c>
      <c r="E395" t="s">
        <v>124</v>
      </c>
      <c r="F395" t="s">
        <v>34</v>
      </c>
      <c r="G395" t="s">
        <v>61</v>
      </c>
      <c r="H395" t="s">
        <v>125</v>
      </c>
      <c r="I395" t="s">
        <v>93</v>
      </c>
      <c r="J395" t="s">
        <v>94</v>
      </c>
      <c r="K395" t="s">
        <v>95</v>
      </c>
      <c r="L395">
        <v>1</v>
      </c>
      <c r="M395">
        <v>1800</v>
      </c>
      <c r="N395">
        <v>20</v>
      </c>
      <c r="O395">
        <v>1440</v>
      </c>
      <c r="P395">
        <v>459.94</v>
      </c>
      <c r="Q395" t="s">
        <v>66</v>
      </c>
      <c r="R395" t="s">
        <v>49</v>
      </c>
      <c r="S395" t="s">
        <v>50</v>
      </c>
      <c r="T395">
        <f>YEAR(Table1_1[[#This Row],[order_date]])</f>
        <v>2025</v>
      </c>
      <c r="U395">
        <f>MONTH(Table1_1[[#This Row],[order_date]])</f>
        <v>9</v>
      </c>
      <c r="V395" t="str">
        <f>TEXT(Table1_1[[#This Row],[order_date]],"mmm")</f>
        <v>Sep</v>
      </c>
      <c r="W395" t="str">
        <f>"Q"&amp;ROUNDUP(MONTH(Table1_1[[#This Row],[order_date]])/3,0)</f>
        <v>Q3</v>
      </c>
      <c r="X395" t="str">
        <f>TEXT(Table1_1[[#This Row],[order_date]],"yyyy-mm")</f>
        <v>2025-09</v>
      </c>
      <c r="Y395">
        <f>IF(Table1_1[[#This Row],[ship_date]]="","",Table1_1[[#This Row],[ship_date]]-Table1_1[[#This Row],[order_date]])</f>
        <v>2</v>
      </c>
      <c r="Z395">
        <f>ROUND(Table1_1[[#This Row],[profit]]/Table1_1[[#This Row],[sales_fix]]*100,2)</f>
        <v>31.94</v>
      </c>
    </row>
    <row r="396" spans="1:26" x14ac:dyDescent="0.3">
      <c r="A396" t="s">
        <v>2517</v>
      </c>
      <c r="B396" s="1">
        <v>45986</v>
      </c>
      <c r="C396" s="1">
        <v>45993</v>
      </c>
      <c r="D396" t="s">
        <v>1346</v>
      </c>
      <c r="E396" t="s">
        <v>1347</v>
      </c>
      <c r="F396" t="s">
        <v>55</v>
      </c>
      <c r="G396" t="s">
        <v>44</v>
      </c>
      <c r="H396" t="s">
        <v>155</v>
      </c>
      <c r="I396" t="s">
        <v>114</v>
      </c>
      <c r="J396" t="s">
        <v>115</v>
      </c>
      <c r="K396" t="s">
        <v>65</v>
      </c>
      <c r="L396">
        <v>2</v>
      </c>
      <c r="M396">
        <v>55000</v>
      </c>
      <c r="N396">
        <v>0</v>
      </c>
      <c r="O396">
        <v>110000</v>
      </c>
      <c r="P396">
        <v>20788.61</v>
      </c>
      <c r="Q396" t="s">
        <v>121</v>
      </c>
      <c r="R396" t="s">
        <v>49</v>
      </c>
      <c r="S396" t="s">
        <v>30</v>
      </c>
      <c r="T396">
        <f>YEAR(Table1_1[[#This Row],[order_date]])</f>
        <v>2025</v>
      </c>
      <c r="U396">
        <f>MONTH(Table1_1[[#This Row],[order_date]])</f>
        <v>11</v>
      </c>
      <c r="V396" t="str">
        <f>TEXT(Table1_1[[#This Row],[order_date]],"mmm")</f>
        <v>Nov</v>
      </c>
      <c r="W396" t="str">
        <f>"Q"&amp;ROUNDUP(MONTH(Table1_1[[#This Row],[order_date]])/3,0)</f>
        <v>Q4</v>
      </c>
      <c r="X396" t="str">
        <f>TEXT(Table1_1[[#This Row],[order_date]],"yyyy-mm")</f>
        <v>2025-11</v>
      </c>
      <c r="Y396">
        <f>IF(Table1_1[[#This Row],[ship_date]]="","",Table1_1[[#This Row],[ship_date]]-Table1_1[[#This Row],[order_date]])</f>
        <v>7</v>
      </c>
      <c r="Z396">
        <f>ROUND(Table1_1[[#This Row],[profit]]/Table1_1[[#This Row],[sales_fix]]*100,2)</f>
        <v>18.899999999999999</v>
      </c>
    </row>
    <row r="397" spans="1:26" x14ac:dyDescent="0.3">
      <c r="A397" t="s">
        <v>678</v>
      </c>
      <c r="B397" s="1">
        <v>46005</v>
      </c>
      <c r="C397" s="1">
        <v>46009</v>
      </c>
      <c r="D397" t="s">
        <v>409</v>
      </c>
      <c r="E397" t="s">
        <v>410</v>
      </c>
      <c r="F397" t="s">
        <v>23</v>
      </c>
      <c r="G397" t="s">
        <v>61</v>
      </c>
      <c r="H397" t="s">
        <v>125</v>
      </c>
      <c r="I397" t="s">
        <v>93</v>
      </c>
      <c r="J397" t="s">
        <v>94</v>
      </c>
      <c r="K397" t="s">
        <v>95</v>
      </c>
      <c r="L397">
        <v>2</v>
      </c>
      <c r="M397">
        <v>1800</v>
      </c>
      <c r="N397">
        <v>0</v>
      </c>
      <c r="O397">
        <v>3600</v>
      </c>
      <c r="P397">
        <v>1122.48</v>
      </c>
      <c r="Q397" t="s">
        <v>66</v>
      </c>
      <c r="R397" t="s">
        <v>49</v>
      </c>
      <c r="S397" t="s">
        <v>40</v>
      </c>
      <c r="T397">
        <f>YEAR(Table1_1[[#This Row],[order_date]])</f>
        <v>2025</v>
      </c>
      <c r="U397">
        <f>MONTH(Table1_1[[#This Row],[order_date]])</f>
        <v>12</v>
      </c>
      <c r="V397" t="str">
        <f>TEXT(Table1_1[[#This Row],[order_date]],"mmm")</f>
        <v>Dec</v>
      </c>
      <c r="W397" t="str">
        <f>"Q"&amp;ROUNDUP(MONTH(Table1_1[[#This Row],[order_date]])/3,0)</f>
        <v>Q4</v>
      </c>
      <c r="X397" t="str">
        <f>TEXT(Table1_1[[#This Row],[order_date]],"yyyy-mm")</f>
        <v>2025-12</v>
      </c>
      <c r="Y397">
        <f>IF(Table1_1[[#This Row],[ship_date]]="","",Table1_1[[#This Row],[ship_date]]-Table1_1[[#This Row],[order_date]])</f>
        <v>4</v>
      </c>
      <c r="Z397">
        <f>ROUND(Table1_1[[#This Row],[profit]]/Table1_1[[#This Row],[sales_fix]]*100,2)</f>
        <v>31.18</v>
      </c>
    </row>
    <row r="398" spans="1:26" x14ac:dyDescent="0.3">
      <c r="A398" t="s">
        <v>944</v>
      </c>
      <c r="B398" s="1">
        <v>45555</v>
      </c>
      <c r="C398" s="1">
        <v>45556</v>
      </c>
      <c r="D398" t="s">
        <v>942</v>
      </c>
      <c r="E398" t="s">
        <v>943</v>
      </c>
      <c r="F398" t="s">
        <v>23</v>
      </c>
      <c r="G398" t="s">
        <v>44</v>
      </c>
      <c r="H398" t="s">
        <v>155</v>
      </c>
      <c r="I398" t="s">
        <v>134</v>
      </c>
      <c r="J398" t="s">
        <v>135</v>
      </c>
      <c r="K398" t="s">
        <v>27</v>
      </c>
      <c r="L398">
        <v>1</v>
      </c>
      <c r="M398">
        <v>6000</v>
      </c>
      <c r="N398">
        <v>15</v>
      </c>
      <c r="O398">
        <v>5100</v>
      </c>
      <c r="P398">
        <v>1224</v>
      </c>
      <c r="Q398" t="s">
        <v>39</v>
      </c>
      <c r="R398" t="s">
        <v>56</v>
      </c>
      <c r="S398" t="s">
        <v>86</v>
      </c>
      <c r="T398">
        <f>YEAR(Table1_1[[#This Row],[order_date]])</f>
        <v>2024</v>
      </c>
      <c r="U398">
        <f>MONTH(Table1_1[[#This Row],[order_date]])</f>
        <v>9</v>
      </c>
      <c r="V398" t="str">
        <f>TEXT(Table1_1[[#This Row],[order_date]],"mmm")</f>
        <v>Sep</v>
      </c>
      <c r="W398" t="str">
        <f>"Q"&amp;ROUNDUP(MONTH(Table1_1[[#This Row],[order_date]])/3,0)</f>
        <v>Q3</v>
      </c>
      <c r="X398" t="str">
        <f>TEXT(Table1_1[[#This Row],[order_date]],"yyyy-mm")</f>
        <v>2024-09</v>
      </c>
      <c r="Y398">
        <f>IF(Table1_1[[#This Row],[ship_date]]="","",Table1_1[[#This Row],[ship_date]]-Table1_1[[#This Row],[order_date]])</f>
        <v>1</v>
      </c>
      <c r="Z398">
        <f>ROUND(Table1_1[[#This Row],[profit]]/Table1_1[[#This Row],[sales_fix]]*100,2)</f>
        <v>24</v>
      </c>
    </row>
    <row r="399" spans="1:26" x14ac:dyDescent="0.3">
      <c r="A399" t="s">
        <v>2331</v>
      </c>
      <c r="B399" s="1">
        <v>45676</v>
      </c>
      <c r="C399" s="1">
        <v>45683</v>
      </c>
      <c r="D399" t="s">
        <v>425</v>
      </c>
      <c r="E399" t="s">
        <v>426</v>
      </c>
      <c r="F399" t="s">
        <v>34</v>
      </c>
      <c r="G399" t="s">
        <v>61</v>
      </c>
      <c r="H399" t="s">
        <v>125</v>
      </c>
      <c r="I399" t="s">
        <v>114</v>
      </c>
      <c r="J399" t="s">
        <v>115</v>
      </c>
      <c r="K399" t="s">
        <v>65</v>
      </c>
      <c r="L399">
        <v>3</v>
      </c>
      <c r="M399">
        <v>55000</v>
      </c>
      <c r="N399">
        <v>15</v>
      </c>
      <c r="O399">
        <v>140250</v>
      </c>
      <c r="P399">
        <v>25793.19</v>
      </c>
      <c r="Q399" t="s">
        <v>74</v>
      </c>
      <c r="R399" t="s">
        <v>29</v>
      </c>
      <c r="S399" t="s">
        <v>50</v>
      </c>
      <c r="T399">
        <f>YEAR(Table1_1[[#This Row],[order_date]])</f>
        <v>2025</v>
      </c>
      <c r="U399">
        <f>MONTH(Table1_1[[#This Row],[order_date]])</f>
        <v>1</v>
      </c>
      <c r="V399" t="str">
        <f>TEXT(Table1_1[[#This Row],[order_date]],"mmm")</f>
        <v>Jan</v>
      </c>
      <c r="W399" t="str">
        <f>"Q"&amp;ROUNDUP(MONTH(Table1_1[[#This Row],[order_date]])/3,0)</f>
        <v>Q1</v>
      </c>
      <c r="X399" t="str">
        <f>TEXT(Table1_1[[#This Row],[order_date]],"yyyy-mm")</f>
        <v>2025-01</v>
      </c>
      <c r="Y399">
        <f>IF(Table1_1[[#This Row],[ship_date]]="","",Table1_1[[#This Row],[ship_date]]-Table1_1[[#This Row],[order_date]])</f>
        <v>7</v>
      </c>
      <c r="Z399">
        <f>ROUND(Table1_1[[#This Row],[profit]]/Table1_1[[#This Row],[sales_fix]]*100,2)</f>
        <v>18.39</v>
      </c>
    </row>
    <row r="400" spans="1:26" x14ac:dyDescent="0.3">
      <c r="A400" t="s">
        <v>2994</v>
      </c>
      <c r="B400" s="1">
        <v>45891</v>
      </c>
      <c r="C400" s="1">
        <v>45897</v>
      </c>
      <c r="D400" t="s">
        <v>297</v>
      </c>
      <c r="E400" t="s">
        <v>1110</v>
      </c>
      <c r="F400" t="s">
        <v>23</v>
      </c>
      <c r="G400" t="s">
        <v>91</v>
      </c>
      <c r="H400" t="s">
        <v>177</v>
      </c>
      <c r="I400" t="s">
        <v>126</v>
      </c>
      <c r="J400" t="s">
        <v>127</v>
      </c>
      <c r="K400" t="s">
        <v>95</v>
      </c>
      <c r="L400">
        <v>1</v>
      </c>
      <c r="M400">
        <v>600</v>
      </c>
      <c r="N400">
        <v>20</v>
      </c>
      <c r="O400">
        <v>480</v>
      </c>
      <c r="P400">
        <v>166.79</v>
      </c>
      <c r="Q400" t="s">
        <v>39</v>
      </c>
      <c r="R400" t="s">
        <v>49</v>
      </c>
      <c r="S400" t="s">
        <v>30</v>
      </c>
      <c r="T400">
        <f>YEAR(Table1_1[[#This Row],[order_date]])</f>
        <v>2025</v>
      </c>
      <c r="U400">
        <f>MONTH(Table1_1[[#This Row],[order_date]])</f>
        <v>8</v>
      </c>
      <c r="V400" t="str">
        <f>TEXT(Table1_1[[#This Row],[order_date]],"mmm")</f>
        <v>Aug</v>
      </c>
      <c r="W400" t="str">
        <f>"Q"&amp;ROUNDUP(MONTH(Table1_1[[#This Row],[order_date]])/3,0)</f>
        <v>Q3</v>
      </c>
      <c r="X400" t="str">
        <f>TEXT(Table1_1[[#This Row],[order_date]],"yyyy-mm")</f>
        <v>2025-08</v>
      </c>
      <c r="Y400">
        <f>IF(Table1_1[[#This Row],[ship_date]]="","",Table1_1[[#This Row],[ship_date]]-Table1_1[[#This Row],[order_date]])</f>
        <v>6</v>
      </c>
      <c r="Z400">
        <f>ROUND(Table1_1[[#This Row],[profit]]/Table1_1[[#This Row],[sales_fix]]*100,2)</f>
        <v>34.75</v>
      </c>
    </row>
    <row r="401" spans="1:26" x14ac:dyDescent="0.3">
      <c r="A401" t="s">
        <v>559</v>
      </c>
      <c r="B401" s="1">
        <v>45857</v>
      </c>
      <c r="C401" s="1">
        <v>45865</v>
      </c>
      <c r="D401" t="s">
        <v>561</v>
      </c>
      <c r="E401" t="s">
        <v>562</v>
      </c>
      <c r="F401" t="s">
        <v>23</v>
      </c>
      <c r="G401" t="s">
        <v>44</v>
      </c>
      <c r="H401" t="s">
        <v>155</v>
      </c>
      <c r="I401" t="s">
        <v>134</v>
      </c>
      <c r="J401" t="s">
        <v>135</v>
      </c>
      <c r="K401" t="s">
        <v>27</v>
      </c>
      <c r="L401">
        <v>3</v>
      </c>
      <c r="M401">
        <v>6000</v>
      </c>
      <c r="N401">
        <v>5</v>
      </c>
      <c r="O401">
        <v>17100</v>
      </c>
      <c r="P401">
        <v>3166.19</v>
      </c>
      <c r="Q401" t="s">
        <v>74</v>
      </c>
      <c r="R401" t="s">
        <v>49</v>
      </c>
      <c r="S401" t="s">
        <v>40</v>
      </c>
      <c r="T401">
        <f>YEAR(Table1_1[[#This Row],[order_date]])</f>
        <v>2025</v>
      </c>
      <c r="U401">
        <f>MONTH(Table1_1[[#This Row],[order_date]])</f>
        <v>7</v>
      </c>
      <c r="V401" t="str">
        <f>TEXT(Table1_1[[#This Row],[order_date]],"mmm")</f>
        <v>Jul</v>
      </c>
      <c r="W401" t="str">
        <f>"Q"&amp;ROUNDUP(MONTH(Table1_1[[#This Row],[order_date]])/3,0)</f>
        <v>Q3</v>
      </c>
      <c r="X401" t="str">
        <f>TEXT(Table1_1[[#This Row],[order_date]],"yyyy-mm")</f>
        <v>2025-07</v>
      </c>
      <c r="Y401">
        <f>IF(Table1_1[[#This Row],[ship_date]]="","",Table1_1[[#This Row],[ship_date]]-Table1_1[[#This Row],[order_date]])</f>
        <v>8</v>
      </c>
      <c r="Z401">
        <f>ROUND(Table1_1[[#This Row],[profit]]/Table1_1[[#This Row],[sales_fix]]*100,2)</f>
        <v>18.52</v>
      </c>
    </row>
    <row r="402" spans="1:26" x14ac:dyDescent="0.3">
      <c r="A402" t="s">
        <v>2800</v>
      </c>
      <c r="B402" s="1">
        <v>45699</v>
      </c>
      <c r="C402" s="1">
        <v>45701</v>
      </c>
      <c r="D402" t="s">
        <v>539</v>
      </c>
      <c r="E402" t="s">
        <v>540</v>
      </c>
      <c r="F402" t="s">
        <v>34</v>
      </c>
      <c r="G402" t="s">
        <v>61</v>
      </c>
      <c r="H402" t="s">
        <v>211</v>
      </c>
      <c r="I402" t="s">
        <v>71</v>
      </c>
      <c r="J402" t="s">
        <v>72</v>
      </c>
      <c r="K402" t="s">
        <v>73</v>
      </c>
      <c r="L402">
        <v>3</v>
      </c>
      <c r="M402">
        <v>3500</v>
      </c>
      <c r="N402">
        <v>20</v>
      </c>
      <c r="O402">
        <v>8400</v>
      </c>
      <c r="P402">
        <v>2810.39</v>
      </c>
      <c r="Q402" t="s">
        <v>156</v>
      </c>
      <c r="R402" t="s">
        <v>29</v>
      </c>
      <c r="S402" t="s">
        <v>30</v>
      </c>
      <c r="T402">
        <f>YEAR(Table1_1[[#This Row],[order_date]])</f>
        <v>2025</v>
      </c>
      <c r="U402">
        <f>MONTH(Table1_1[[#This Row],[order_date]])</f>
        <v>2</v>
      </c>
      <c r="V402" t="str">
        <f>TEXT(Table1_1[[#This Row],[order_date]],"mmm")</f>
        <v>Feb</v>
      </c>
      <c r="W402" t="str">
        <f>"Q"&amp;ROUNDUP(MONTH(Table1_1[[#This Row],[order_date]])/3,0)</f>
        <v>Q1</v>
      </c>
      <c r="X402" t="str">
        <f>TEXT(Table1_1[[#This Row],[order_date]],"yyyy-mm")</f>
        <v>2025-02</v>
      </c>
      <c r="Y402">
        <f>IF(Table1_1[[#This Row],[ship_date]]="","",Table1_1[[#This Row],[ship_date]]-Table1_1[[#This Row],[order_date]])</f>
        <v>2</v>
      </c>
      <c r="Z402">
        <f>ROUND(Table1_1[[#This Row],[profit]]/Table1_1[[#This Row],[sales_fix]]*100,2)</f>
        <v>33.46</v>
      </c>
    </row>
    <row r="403" spans="1:26" x14ac:dyDescent="0.3">
      <c r="A403" t="s">
        <v>2856</v>
      </c>
      <c r="B403" s="1">
        <v>45511</v>
      </c>
      <c r="C403" s="1">
        <v>45512</v>
      </c>
      <c r="D403" t="s">
        <v>761</v>
      </c>
      <c r="E403" t="s">
        <v>762</v>
      </c>
      <c r="F403" t="s">
        <v>23</v>
      </c>
      <c r="G403" t="s">
        <v>44</v>
      </c>
      <c r="H403" t="s">
        <v>330</v>
      </c>
      <c r="I403" t="s">
        <v>63</v>
      </c>
      <c r="J403" t="s">
        <v>64</v>
      </c>
      <c r="K403" t="s">
        <v>65</v>
      </c>
      <c r="L403">
        <v>2</v>
      </c>
      <c r="M403">
        <v>25000</v>
      </c>
      <c r="N403">
        <v>20</v>
      </c>
      <c r="O403">
        <v>40000</v>
      </c>
      <c r="P403">
        <v>5012.25</v>
      </c>
      <c r="Q403" t="s">
        <v>121</v>
      </c>
      <c r="R403" t="s">
        <v>49</v>
      </c>
      <c r="S403" t="s">
        <v>86</v>
      </c>
      <c r="T403">
        <f>YEAR(Table1_1[[#This Row],[order_date]])</f>
        <v>2024</v>
      </c>
      <c r="U403">
        <f>MONTH(Table1_1[[#This Row],[order_date]])</f>
        <v>8</v>
      </c>
      <c r="V403" t="str">
        <f>TEXT(Table1_1[[#This Row],[order_date]],"mmm")</f>
        <v>Aug</v>
      </c>
      <c r="W403" t="str">
        <f>"Q"&amp;ROUNDUP(MONTH(Table1_1[[#This Row],[order_date]])/3,0)</f>
        <v>Q3</v>
      </c>
      <c r="X403" t="str">
        <f>TEXT(Table1_1[[#This Row],[order_date]],"yyyy-mm")</f>
        <v>2024-08</v>
      </c>
      <c r="Y403">
        <f>IF(Table1_1[[#This Row],[ship_date]]="","",Table1_1[[#This Row],[ship_date]]-Table1_1[[#This Row],[order_date]])</f>
        <v>1</v>
      </c>
      <c r="Z403">
        <f>ROUND(Table1_1[[#This Row],[profit]]/Table1_1[[#This Row],[sales_fix]]*100,2)</f>
        <v>12.53</v>
      </c>
    </row>
    <row r="404" spans="1:26" x14ac:dyDescent="0.3">
      <c r="A404" t="s">
        <v>2245</v>
      </c>
      <c r="B404" s="1">
        <v>45774</v>
      </c>
      <c r="C404" s="1">
        <v>45779</v>
      </c>
      <c r="D404" t="s">
        <v>1031</v>
      </c>
      <c r="E404" t="s">
        <v>1032</v>
      </c>
      <c r="F404" t="s">
        <v>23</v>
      </c>
      <c r="G404" t="s">
        <v>61</v>
      </c>
      <c r="H404" t="s">
        <v>211</v>
      </c>
      <c r="I404" t="s">
        <v>79</v>
      </c>
      <c r="J404" t="s">
        <v>80</v>
      </c>
      <c r="K404" t="s">
        <v>65</v>
      </c>
      <c r="L404">
        <v>5</v>
      </c>
      <c r="M404">
        <v>3000</v>
      </c>
      <c r="N404">
        <v>5</v>
      </c>
      <c r="O404">
        <v>14250</v>
      </c>
      <c r="P404">
        <v>3143.22</v>
      </c>
      <c r="Q404" t="s">
        <v>121</v>
      </c>
      <c r="R404" t="s">
        <v>49</v>
      </c>
      <c r="S404" t="s">
        <v>86</v>
      </c>
      <c r="T404">
        <f>YEAR(Table1_1[[#This Row],[order_date]])</f>
        <v>2025</v>
      </c>
      <c r="U404">
        <f>MONTH(Table1_1[[#This Row],[order_date]])</f>
        <v>4</v>
      </c>
      <c r="V404" t="str">
        <f>TEXT(Table1_1[[#This Row],[order_date]],"mmm")</f>
        <v>Apr</v>
      </c>
      <c r="W404" t="str">
        <f>"Q"&amp;ROUNDUP(MONTH(Table1_1[[#This Row],[order_date]])/3,0)</f>
        <v>Q2</v>
      </c>
      <c r="X404" t="str">
        <f>TEXT(Table1_1[[#This Row],[order_date]],"yyyy-mm")</f>
        <v>2025-04</v>
      </c>
      <c r="Y404">
        <f>IF(Table1_1[[#This Row],[ship_date]]="","",Table1_1[[#This Row],[ship_date]]-Table1_1[[#This Row],[order_date]])</f>
        <v>5</v>
      </c>
      <c r="Z404">
        <f>ROUND(Table1_1[[#This Row],[profit]]/Table1_1[[#This Row],[sales_fix]]*100,2)</f>
        <v>22.06</v>
      </c>
    </row>
    <row r="405" spans="1:26" x14ac:dyDescent="0.3">
      <c r="A405" t="s">
        <v>2628</v>
      </c>
      <c r="B405" s="1">
        <v>45685</v>
      </c>
      <c r="C405" s="1">
        <v>45690</v>
      </c>
      <c r="D405" t="s">
        <v>244</v>
      </c>
      <c r="E405" t="s">
        <v>245</v>
      </c>
      <c r="F405" t="s">
        <v>23</v>
      </c>
      <c r="G405" t="s">
        <v>61</v>
      </c>
      <c r="H405" t="s">
        <v>62</v>
      </c>
      <c r="I405" t="s">
        <v>71</v>
      </c>
      <c r="J405" t="s">
        <v>72</v>
      </c>
      <c r="K405" t="s">
        <v>73</v>
      </c>
      <c r="L405">
        <v>5</v>
      </c>
      <c r="M405">
        <v>3500</v>
      </c>
      <c r="N405">
        <v>5</v>
      </c>
      <c r="O405">
        <v>16625</v>
      </c>
      <c r="P405">
        <v>5030.5200000000004</v>
      </c>
      <c r="Q405" t="s">
        <v>156</v>
      </c>
      <c r="R405" t="s">
        <v>56</v>
      </c>
      <c r="S405" t="s">
        <v>86</v>
      </c>
      <c r="T405">
        <f>YEAR(Table1_1[[#This Row],[order_date]])</f>
        <v>2025</v>
      </c>
      <c r="U405">
        <f>MONTH(Table1_1[[#This Row],[order_date]])</f>
        <v>1</v>
      </c>
      <c r="V405" t="str">
        <f>TEXT(Table1_1[[#This Row],[order_date]],"mmm")</f>
        <v>Jan</v>
      </c>
      <c r="W405" t="str">
        <f>"Q"&amp;ROUNDUP(MONTH(Table1_1[[#This Row],[order_date]])/3,0)</f>
        <v>Q1</v>
      </c>
      <c r="X405" t="str">
        <f>TEXT(Table1_1[[#This Row],[order_date]],"yyyy-mm")</f>
        <v>2025-01</v>
      </c>
      <c r="Y405">
        <f>IF(Table1_1[[#This Row],[ship_date]]="","",Table1_1[[#This Row],[ship_date]]-Table1_1[[#This Row],[order_date]])</f>
        <v>5</v>
      </c>
      <c r="Z405">
        <f>ROUND(Table1_1[[#This Row],[profit]]/Table1_1[[#This Row],[sales_fix]]*100,2)</f>
        <v>30.26</v>
      </c>
    </row>
    <row r="406" spans="1:26" x14ac:dyDescent="0.3">
      <c r="A406" t="s">
        <v>1628</v>
      </c>
      <c r="B406" s="1">
        <v>45798</v>
      </c>
      <c r="C406" s="1">
        <v>45803</v>
      </c>
      <c r="D406" t="s">
        <v>288</v>
      </c>
      <c r="E406" t="s">
        <v>289</v>
      </c>
      <c r="F406" t="s">
        <v>34</v>
      </c>
      <c r="G406" t="s">
        <v>44</v>
      </c>
      <c r="H406" t="s">
        <v>155</v>
      </c>
      <c r="I406" t="s">
        <v>126</v>
      </c>
      <c r="J406" t="s">
        <v>127</v>
      </c>
      <c r="K406" t="s">
        <v>95</v>
      </c>
      <c r="L406">
        <v>2</v>
      </c>
      <c r="M406">
        <v>600</v>
      </c>
      <c r="N406">
        <v>0</v>
      </c>
      <c r="O406">
        <v>1200</v>
      </c>
      <c r="P406">
        <v>474.34</v>
      </c>
      <c r="Q406" t="s">
        <v>121</v>
      </c>
      <c r="R406" t="s">
        <v>29</v>
      </c>
      <c r="S406" t="s">
        <v>40</v>
      </c>
      <c r="T406">
        <f>YEAR(Table1_1[[#This Row],[order_date]])</f>
        <v>2025</v>
      </c>
      <c r="U406">
        <f>MONTH(Table1_1[[#This Row],[order_date]])</f>
        <v>5</v>
      </c>
      <c r="V406" t="str">
        <f>TEXT(Table1_1[[#This Row],[order_date]],"mmm")</f>
        <v>May</v>
      </c>
      <c r="W406" t="str">
        <f>"Q"&amp;ROUNDUP(MONTH(Table1_1[[#This Row],[order_date]])/3,0)</f>
        <v>Q2</v>
      </c>
      <c r="X406" t="str">
        <f>TEXT(Table1_1[[#This Row],[order_date]],"yyyy-mm")</f>
        <v>2025-05</v>
      </c>
      <c r="Y406">
        <f>IF(Table1_1[[#This Row],[ship_date]]="","",Table1_1[[#This Row],[ship_date]]-Table1_1[[#This Row],[order_date]])</f>
        <v>5</v>
      </c>
      <c r="Z406">
        <f>ROUND(Table1_1[[#This Row],[profit]]/Table1_1[[#This Row],[sales_fix]]*100,2)</f>
        <v>39.53</v>
      </c>
    </row>
    <row r="407" spans="1:26" x14ac:dyDescent="0.3">
      <c r="A407" t="s">
        <v>797</v>
      </c>
      <c r="B407" s="1">
        <v>46007</v>
      </c>
      <c r="C407" s="1">
        <v>46008</v>
      </c>
      <c r="D407" t="s">
        <v>798</v>
      </c>
      <c r="E407" t="s">
        <v>799</v>
      </c>
      <c r="F407" t="s">
        <v>23</v>
      </c>
      <c r="G407" t="s">
        <v>44</v>
      </c>
      <c r="H407" t="s">
        <v>330</v>
      </c>
      <c r="I407" t="s">
        <v>46</v>
      </c>
      <c r="J407" t="s">
        <v>47</v>
      </c>
      <c r="K407" t="s">
        <v>48</v>
      </c>
      <c r="L407">
        <v>1</v>
      </c>
      <c r="M407">
        <v>180</v>
      </c>
      <c r="N407">
        <v>0</v>
      </c>
      <c r="O407">
        <v>180</v>
      </c>
      <c r="P407">
        <v>68.36</v>
      </c>
      <c r="Q407" t="s">
        <v>121</v>
      </c>
      <c r="R407" t="s">
        <v>29</v>
      </c>
      <c r="S407" t="s">
        <v>110</v>
      </c>
      <c r="T407">
        <f>YEAR(Table1_1[[#This Row],[order_date]])</f>
        <v>2025</v>
      </c>
      <c r="U407">
        <f>MONTH(Table1_1[[#This Row],[order_date]])</f>
        <v>12</v>
      </c>
      <c r="V407" t="str">
        <f>TEXT(Table1_1[[#This Row],[order_date]],"mmm")</f>
        <v>Dec</v>
      </c>
      <c r="W407" t="str">
        <f>"Q"&amp;ROUNDUP(MONTH(Table1_1[[#This Row],[order_date]])/3,0)</f>
        <v>Q4</v>
      </c>
      <c r="X407" t="str">
        <f>TEXT(Table1_1[[#This Row],[order_date]],"yyyy-mm")</f>
        <v>2025-12</v>
      </c>
      <c r="Y407">
        <f>IF(Table1_1[[#This Row],[ship_date]]="","",Table1_1[[#This Row],[ship_date]]-Table1_1[[#This Row],[order_date]])</f>
        <v>1</v>
      </c>
      <c r="Z407">
        <f>ROUND(Table1_1[[#This Row],[profit]]/Table1_1[[#This Row],[sales_fix]]*100,2)</f>
        <v>37.979999999999997</v>
      </c>
    </row>
    <row r="408" spans="1:26" x14ac:dyDescent="0.3">
      <c r="A408" t="s">
        <v>2721</v>
      </c>
      <c r="B408" s="1">
        <v>45977</v>
      </c>
      <c r="C408" s="1">
        <v>45979</v>
      </c>
      <c r="D408" t="s">
        <v>1751</v>
      </c>
      <c r="E408" t="s">
        <v>1752</v>
      </c>
      <c r="F408" t="s">
        <v>34</v>
      </c>
      <c r="G408" t="s">
        <v>44</v>
      </c>
      <c r="H408" t="s">
        <v>161</v>
      </c>
      <c r="I408" t="s">
        <v>37</v>
      </c>
      <c r="J408" t="s">
        <v>38</v>
      </c>
      <c r="K408" t="s">
        <v>27</v>
      </c>
      <c r="L408">
        <v>2</v>
      </c>
      <c r="M408">
        <v>9500</v>
      </c>
      <c r="N408">
        <v>10</v>
      </c>
      <c r="O408">
        <v>17100</v>
      </c>
      <c r="P408">
        <v>3420</v>
      </c>
      <c r="Q408" t="s">
        <v>66</v>
      </c>
      <c r="R408" t="s">
        <v>56</v>
      </c>
      <c r="S408" t="s">
        <v>110</v>
      </c>
      <c r="T408">
        <f>YEAR(Table1_1[[#This Row],[order_date]])</f>
        <v>2025</v>
      </c>
      <c r="U408">
        <f>MONTH(Table1_1[[#This Row],[order_date]])</f>
        <v>11</v>
      </c>
      <c r="V408" t="str">
        <f>TEXT(Table1_1[[#This Row],[order_date]],"mmm")</f>
        <v>Nov</v>
      </c>
      <c r="W408" t="str">
        <f>"Q"&amp;ROUNDUP(MONTH(Table1_1[[#This Row],[order_date]])/3,0)</f>
        <v>Q4</v>
      </c>
      <c r="X408" t="str">
        <f>TEXT(Table1_1[[#This Row],[order_date]],"yyyy-mm")</f>
        <v>2025-11</v>
      </c>
      <c r="Y408">
        <f>IF(Table1_1[[#This Row],[ship_date]]="","",Table1_1[[#This Row],[ship_date]]-Table1_1[[#This Row],[order_date]])</f>
        <v>2</v>
      </c>
      <c r="Z408">
        <f>ROUND(Table1_1[[#This Row],[profit]]/Table1_1[[#This Row],[sales_fix]]*100,2)</f>
        <v>20</v>
      </c>
    </row>
    <row r="409" spans="1:26" x14ac:dyDescent="0.3">
      <c r="A409" t="s">
        <v>1150</v>
      </c>
      <c r="B409" s="1">
        <v>45648</v>
      </c>
      <c r="C409" s="1">
        <v>45652</v>
      </c>
      <c r="D409" t="s">
        <v>42</v>
      </c>
      <c r="E409" t="s">
        <v>43</v>
      </c>
      <c r="F409" t="s">
        <v>23</v>
      </c>
      <c r="G409" t="s">
        <v>44</v>
      </c>
      <c r="H409" t="s">
        <v>45</v>
      </c>
      <c r="I409" t="s">
        <v>93</v>
      </c>
      <c r="J409" t="s">
        <v>94</v>
      </c>
      <c r="K409" t="s">
        <v>95</v>
      </c>
      <c r="L409">
        <v>4</v>
      </c>
      <c r="M409">
        <v>1800</v>
      </c>
      <c r="N409">
        <v>0</v>
      </c>
      <c r="O409">
        <v>7200</v>
      </c>
      <c r="P409">
        <v>2375.21</v>
      </c>
      <c r="Q409" t="s">
        <v>28</v>
      </c>
      <c r="R409" t="s">
        <v>49</v>
      </c>
      <c r="S409" t="s">
        <v>40</v>
      </c>
      <c r="T409">
        <f>YEAR(Table1_1[[#This Row],[order_date]])</f>
        <v>2024</v>
      </c>
      <c r="U409">
        <f>MONTH(Table1_1[[#This Row],[order_date]])</f>
        <v>12</v>
      </c>
      <c r="V409" t="str">
        <f>TEXT(Table1_1[[#This Row],[order_date]],"mmm")</f>
        <v>Dec</v>
      </c>
      <c r="W409" t="str">
        <f>"Q"&amp;ROUNDUP(MONTH(Table1_1[[#This Row],[order_date]])/3,0)</f>
        <v>Q4</v>
      </c>
      <c r="X409" t="str">
        <f>TEXT(Table1_1[[#This Row],[order_date]],"yyyy-mm")</f>
        <v>2024-12</v>
      </c>
      <c r="Y409">
        <f>IF(Table1_1[[#This Row],[ship_date]]="","",Table1_1[[#This Row],[ship_date]]-Table1_1[[#This Row],[order_date]])</f>
        <v>4</v>
      </c>
      <c r="Z409">
        <f>ROUND(Table1_1[[#This Row],[profit]]/Table1_1[[#This Row],[sales_fix]]*100,2)</f>
        <v>32.99</v>
      </c>
    </row>
    <row r="410" spans="1:26" x14ac:dyDescent="0.3">
      <c r="A410" t="s">
        <v>1243</v>
      </c>
      <c r="B410" s="1">
        <v>45471</v>
      </c>
      <c r="C410" s="1">
        <v>45476</v>
      </c>
      <c r="D410" t="s">
        <v>483</v>
      </c>
      <c r="E410" t="s">
        <v>484</v>
      </c>
      <c r="F410" t="s">
        <v>55</v>
      </c>
      <c r="G410" t="s">
        <v>61</v>
      </c>
      <c r="H410" t="s">
        <v>62</v>
      </c>
      <c r="I410" t="s">
        <v>25</v>
      </c>
      <c r="J410" t="s">
        <v>26</v>
      </c>
      <c r="K410" t="s">
        <v>27</v>
      </c>
      <c r="L410">
        <v>2</v>
      </c>
      <c r="M410">
        <v>7000</v>
      </c>
      <c r="N410">
        <v>0</v>
      </c>
      <c r="O410">
        <v>14000</v>
      </c>
      <c r="P410">
        <v>2844.23</v>
      </c>
      <c r="Q410" t="s">
        <v>74</v>
      </c>
      <c r="R410" t="s">
        <v>29</v>
      </c>
      <c r="S410" t="s">
        <v>40</v>
      </c>
      <c r="T410">
        <f>YEAR(Table1_1[[#This Row],[order_date]])</f>
        <v>2024</v>
      </c>
      <c r="U410">
        <f>MONTH(Table1_1[[#This Row],[order_date]])</f>
        <v>6</v>
      </c>
      <c r="V410" t="str">
        <f>TEXT(Table1_1[[#This Row],[order_date]],"mmm")</f>
        <v>Jun</v>
      </c>
      <c r="W410" t="str">
        <f>"Q"&amp;ROUNDUP(MONTH(Table1_1[[#This Row],[order_date]])/3,0)</f>
        <v>Q2</v>
      </c>
      <c r="X410" t="str">
        <f>TEXT(Table1_1[[#This Row],[order_date]],"yyyy-mm")</f>
        <v>2024-06</v>
      </c>
      <c r="Y410">
        <f>IF(Table1_1[[#This Row],[ship_date]]="","",Table1_1[[#This Row],[ship_date]]-Table1_1[[#This Row],[order_date]])</f>
        <v>5</v>
      </c>
      <c r="Z410">
        <f>ROUND(Table1_1[[#This Row],[profit]]/Table1_1[[#This Row],[sales_fix]]*100,2)</f>
        <v>20.32</v>
      </c>
    </row>
    <row r="411" spans="1:26" x14ac:dyDescent="0.3">
      <c r="A411" t="s">
        <v>2470</v>
      </c>
      <c r="B411" s="1">
        <v>45880</v>
      </c>
      <c r="C411" s="1">
        <v>45888</v>
      </c>
      <c r="D411" t="s">
        <v>947</v>
      </c>
      <c r="E411" t="s">
        <v>948</v>
      </c>
      <c r="F411" t="s">
        <v>55</v>
      </c>
      <c r="G411" t="s">
        <v>35</v>
      </c>
      <c r="H411" t="s">
        <v>36</v>
      </c>
      <c r="I411" t="s">
        <v>46</v>
      </c>
      <c r="J411" t="s">
        <v>47</v>
      </c>
      <c r="K411" t="s">
        <v>48</v>
      </c>
      <c r="L411">
        <v>1</v>
      </c>
      <c r="M411">
        <v>180</v>
      </c>
      <c r="N411">
        <v>5</v>
      </c>
      <c r="O411">
        <v>171</v>
      </c>
      <c r="P411">
        <v>83.6</v>
      </c>
      <c r="Q411" t="s">
        <v>121</v>
      </c>
      <c r="R411" t="s">
        <v>49</v>
      </c>
      <c r="S411" t="s">
        <v>30</v>
      </c>
      <c r="T411">
        <f>YEAR(Table1_1[[#This Row],[order_date]])</f>
        <v>2025</v>
      </c>
      <c r="U411">
        <f>MONTH(Table1_1[[#This Row],[order_date]])</f>
        <v>8</v>
      </c>
      <c r="V411" t="str">
        <f>TEXT(Table1_1[[#This Row],[order_date]],"mmm")</f>
        <v>Aug</v>
      </c>
      <c r="W411" t="str">
        <f>"Q"&amp;ROUNDUP(MONTH(Table1_1[[#This Row],[order_date]])/3,0)</f>
        <v>Q3</v>
      </c>
      <c r="X411" t="str">
        <f>TEXT(Table1_1[[#This Row],[order_date]],"yyyy-mm")</f>
        <v>2025-08</v>
      </c>
      <c r="Y411">
        <f>IF(Table1_1[[#This Row],[ship_date]]="","",Table1_1[[#This Row],[ship_date]]-Table1_1[[#This Row],[order_date]])</f>
        <v>8</v>
      </c>
      <c r="Z411">
        <f>ROUND(Table1_1[[#This Row],[profit]]/Table1_1[[#This Row],[sales_fix]]*100,2)</f>
        <v>48.89</v>
      </c>
    </row>
    <row r="412" spans="1:26" x14ac:dyDescent="0.3">
      <c r="A412" t="s">
        <v>1909</v>
      </c>
      <c r="B412" s="1">
        <v>45320</v>
      </c>
      <c r="C412" s="1">
        <v>45324</v>
      </c>
      <c r="D412" t="s">
        <v>582</v>
      </c>
      <c r="E412" t="s">
        <v>583</v>
      </c>
      <c r="F412" t="s">
        <v>34</v>
      </c>
      <c r="G412" t="s">
        <v>61</v>
      </c>
      <c r="H412" t="s">
        <v>78</v>
      </c>
      <c r="I412" t="s">
        <v>93</v>
      </c>
      <c r="J412" t="s">
        <v>94</v>
      </c>
      <c r="K412" t="s">
        <v>95</v>
      </c>
      <c r="L412">
        <v>2</v>
      </c>
      <c r="M412">
        <v>1800</v>
      </c>
      <c r="N412">
        <v>0</v>
      </c>
      <c r="O412">
        <v>3600</v>
      </c>
      <c r="P412">
        <v>916.05</v>
      </c>
      <c r="Q412" t="s">
        <v>156</v>
      </c>
      <c r="R412" t="s">
        <v>56</v>
      </c>
      <c r="S412" t="s">
        <v>50</v>
      </c>
      <c r="T412">
        <f>YEAR(Table1_1[[#This Row],[order_date]])</f>
        <v>2024</v>
      </c>
      <c r="U412">
        <f>MONTH(Table1_1[[#This Row],[order_date]])</f>
        <v>1</v>
      </c>
      <c r="V412" t="str">
        <f>TEXT(Table1_1[[#This Row],[order_date]],"mmm")</f>
        <v>Jan</v>
      </c>
      <c r="W412" t="str">
        <f>"Q"&amp;ROUNDUP(MONTH(Table1_1[[#This Row],[order_date]])/3,0)</f>
        <v>Q1</v>
      </c>
      <c r="X412" t="str">
        <f>TEXT(Table1_1[[#This Row],[order_date]],"yyyy-mm")</f>
        <v>2024-01</v>
      </c>
      <c r="Y412">
        <f>IF(Table1_1[[#This Row],[ship_date]]="","",Table1_1[[#This Row],[ship_date]]-Table1_1[[#This Row],[order_date]])</f>
        <v>4</v>
      </c>
      <c r="Z412">
        <f>ROUND(Table1_1[[#This Row],[profit]]/Table1_1[[#This Row],[sales_fix]]*100,2)</f>
        <v>25.45</v>
      </c>
    </row>
    <row r="413" spans="1:26" x14ac:dyDescent="0.3">
      <c r="A413" t="s">
        <v>684</v>
      </c>
      <c r="B413" s="1">
        <v>45653</v>
      </c>
      <c r="C413" s="1">
        <v>45658</v>
      </c>
      <c r="D413" t="s">
        <v>435</v>
      </c>
      <c r="E413" t="s">
        <v>436</v>
      </c>
      <c r="F413" t="s">
        <v>23</v>
      </c>
      <c r="G413" t="s">
        <v>44</v>
      </c>
      <c r="H413" t="s">
        <v>24</v>
      </c>
      <c r="I413" t="s">
        <v>134</v>
      </c>
      <c r="J413" t="s">
        <v>135</v>
      </c>
      <c r="K413" t="s">
        <v>27</v>
      </c>
      <c r="L413">
        <v>1</v>
      </c>
      <c r="M413">
        <v>6000</v>
      </c>
      <c r="N413">
        <v>20</v>
      </c>
      <c r="O413">
        <v>4800</v>
      </c>
      <c r="P413">
        <v>927.75</v>
      </c>
      <c r="Q413" t="s">
        <v>66</v>
      </c>
      <c r="R413" t="s">
        <v>49</v>
      </c>
      <c r="S413" t="s">
        <v>110</v>
      </c>
      <c r="T413">
        <f>YEAR(Table1_1[[#This Row],[order_date]])</f>
        <v>2024</v>
      </c>
      <c r="U413">
        <f>MONTH(Table1_1[[#This Row],[order_date]])</f>
        <v>12</v>
      </c>
      <c r="V413" t="str">
        <f>TEXT(Table1_1[[#This Row],[order_date]],"mmm")</f>
        <v>Dec</v>
      </c>
      <c r="W413" t="str">
        <f>"Q"&amp;ROUNDUP(MONTH(Table1_1[[#This Row],[order_date]])/3,0)</f>
        <v>Q4</v>
      </c>
      <c r="X413" t="str">
        <f>TEXT(Table1_1[[#This Row],[order_date]],"yyyy-mm")</f>
        <v>2024-12</v>
      </c>
      <c r="Y413">
        <f>IF(Table1_1[[#This Row],[ship_date]]="","",Table1_1[[#This Row],[ship_date]]-Table1_1[[#This Row],[order_date]])</f>
        <v>5</v>
      </c>
      <c r="Z413">
        <f>ROUND(Table1_1[[#This Row],[profit]]/Table1_1[[#This Row],[sales_fix]]*100,2)</f>
        <v>19.329999999999998</v>
      </c>
    </row>
    <row r="414" spans="1:26" x14ac:dyDescent="0.3">
      <c r="A414" t="s">
        <v>327</v>
      </c>
      <c r="B414" s="1">
        <v>45474</v>
      </c>
      <c r="C414" s="1">
        <v>45479</v>
      </c>
      <c r="D414" t="s">
        <v>328</v>
      </c>
      <c r="E414" t="s">
        <v>329</v>
      </c>
      <c r="F414" t="s">
        <v>23</v>
      </c>
      <c r="G414" t="s">
        <v>44</v>
      </c>
      <c r="H414" t="s">
        <v>330</v>
      </c>
      <c r="I414" t="s">
        <v>46</v>
      </c>
      <c r="J414" t="s">
        <v>47</v>
      </c>
      <c r="K414" t="s">
        <v>48</v>
      </c>
      <c r="L414">
        <v>2</v>
      </c>
      <c r="M414">
        <v>180</v>
      </c>
      <c r="N414">
        <v>0</v>
      </c>
      <c r="O414">
        <v>360</v>
      </c>
      <c r="P414">
        <v>127.56</v>
      </c>
      <c r="Q414" t="s">
        <v>121</v>
      </c>
      <c r="R414" t="s">
        <v>56</v>
      </c>
      <c r="S414" t="s">
        <v>50</v>
      </c>
      <c r="T414">
        <f>YEAR(Table1_1[[#This Row],[order_date]])</f>
        <v>2024</v>
      </c>
      <c r="U414">
        <f>MONTH(Table1_1[[#This Row],[order_date]])</f>
        <v>7</v>
      </c>
      <c r="V414" t="str">
        <f>TEXT(Table1_1[[#This Row],[order_date]],"mmm")</f>
        <v>Jul</v>
      </c>
      <c r="W414" t="str">
        <f>"Q"&amp;ROUNDUP(MONTH(Table1_1[[#This Row],[order_date]])/3,0)</f>
        <v>Q3</v>
      </c>
      <c r="X414" t="str">
        <f>TEXT(Table1_1[[#This Row],[order_date]],"yyyy-mm")</f>
        <v>2024-07</v>
      </c>
      <c r="Y414">
        <f>IF(Table1_1[[#This Row],[ship_date]]="","",Table1_1[[#This Row],[ship_date]]-Table1_1[[#This Row],[order_date]])</f>
        <v>5</v>
      </c>
      <c r="Z414">
        <f>ROUND(Table1_1[[#This Row],[profit]]/Table1_1[[#This Row],[sales_fix]]*100,2)</f>
        <v>35.43</v>
      </c>
    </row>
    <row r="415" spans="1:26" x14ac:dyDescent="0.3">
      <c r="A415" t="s">
        <v>496</v>
      </c>
      <c r="B415" s="1">
        <v>45496</v>
      </c>
      <c r="C415" s="1">
        <v>45500</v>
      </c>
      <c r="D415" t="s">
        <v>498</v>
      </c>
      <c r="E415" t="s">
        <v>499</v>
      </c>
      <c r="F415" t="s">
        <v>55</v>
      </c>
      <c r="G415" t="s">
        <v>91</v>
      </c>
      <c r="H415" t="s">
        <v>120</v>
      </c>
      <c r="I415" t="s">
        <v>71</v>
      </c>
      <c r="J415" t="s">
        <v>72</v>
      </c>
      <c r="K415" t="s">
        <v>73</v>
      </c>
      <c r="L415">
        <v>1</v>
      </c>
      <c r="M415">
        <v>3500</v>
      </c>
      <c r="N415">
        <v>0</v>
      </c>
      <c r="O415">
        <v>3500</v>
      </c>
      <c r="P415">
        <v>1174.99</v>
      </c>
      <c r="Q415" t="s">
        <v>121</v>
      </c>
      <c r="R415" t="s">
        <v>29</v>
      </c>
      <c r="S415" t="s">
        <v>50</v>
      </c>
      <c r="T415">
        <f>YEAR(Table1_1[[#This Row],[order_date]])</f>
        <v>2024</v>
      </c>
      <c r="U415">
        <f>MONTH(Table1_1[[#This Row],[order_date]])</f>
        <v>7</v>
      </c>
      <c r="V415" t="str">
        <f>TEXT(Table1_1[[#This Row],[order_date]],"mmm")</f>
        <v>Jul</v>
      </c>
      <c r="W415" t="str">
        <f>"Q"&amp;ROUNDUP(MONTH(Table1_1[[#This Row],[order_date]])/3,0)</f>
        <v>Q3</v>
      </c>
      <c r="X415" t="str">
        <f>TEXT(Table1_1[[#This Row],[order_date]],"yyyy-mm")</f>
        <v>2024-07</v>
      </c>
      <c r="Y415">
        <f>IF(Table1_1[[#This Row],[ship_date]]="","",Table1_1[[#This Row],[ship_date]]-Table1_1[[#This Row],[order_date]])</f>
        <v>4</v>
      </c>
      <c r="Z415">
        <f>ROUND(Table1_1[[#This Row],[profit]]/Table1_1[[#This Row],[sales_fix]]*100,2)</f>
        <v>33.57</v>
      </c>
    </row>
    <row r="416" spans="1:26" x14ac:dyDescent="0.3">
      <c r="A416" t="s">
        <v>1264</v>
      </c>
      <c r="B416" s="1">
        <v>45401</v>
      </c>
      <c r="C416" s="1">
        <v>45409</v>
      </c>
      <c r="D416" t="s">
        <v>1265</v>
      </c>
      <c r="E416" t="s">
        <v>1266</v>
      </c>
      <c r="F416" t="s">
        <v>23</v>
      </c>
      <c r="G416" t="s">
        <v>35</v>
      </c>
      <c r="H416" t="s">
        <v>36</v>
      </c>
      <c r="I416" t="s">
        <v>79</v>
      </c>
      <c r="J416" t="s">
        <v>80</v>
      </c>
      <c r="K416" t="s">
        <v>65</v>
      </c>
      <c r="L416">
        <v>1</v>
      </c>
      <c r="M416">
        <v>3000</v>
      </c>
      <c r="N416">
        <v>0</v>
      </c>
      <c r="O416">
        <v>3000</v>
      </c>
      <c r="P416">
        <v>873.29</v>
      </c>
      <c r="Q416" t="s">
        <v>3113</v>
      </c>
      <c r="R416" t="s">
        <v>29</v>
      </c>
      <c r="S416" t="s">
        <v>40</v>
      </c>
      <c r="T416">
        <f>YEAR(Table1_1[[#This Row],[order_date]])</f>
        <v>2024</v>
      </c>
      <c r="U416">
        <f>MONTH(Table1_1[[#This Row],[order_date]])</f>
        <v>4</v>
      </c>
      <c r="V416" t="str">
        <f>TEXT(Table1_1[[#This Row],[order_date]],"mmm")</f>
        <v>Apr</v>
      </c>
      <c r="W416" t="str">
        <f>"Q"&amp;ROUNDUP(MONTH(Table1_1[[#This Row],[order_date]])/3,0)</f>
        <v>Q2</v>
      </c>
      <c r="X416" t="str">
        <f>TEXT(Table1_1[[#This Row],[order_date]],"yyyy-mm")</f>
        <v>2024-04</v>
      </c>
      <c r="Y416">
        <f>IF(Table1_1[[#This Row],[ship_date]]="","",Table1_1[[#This Row],[ship_date]]-Table1_1[[#This Row],[order_date]])</f>
        <v>8</v>
      </c>
      <c r="Z416">
        <f>ROUND(Table1_1[[#This Row],[profit]]/Table1_1[[#This Row],[sales_fix]]*100,2)</f>
        <v>29.11</v>
      </c>
    </row>
    <row r="417" spans="1:26" x14ac:dyDescent="0.3">
      <c r="A417" t="s">
        <v>3088</v>
      </c>
      <c r="B417" s="1">
        <v>45672</v>
      </c>
      <c r="C417" s="1">
        <v>45677</v>
      </c>
      <c r="D417" t="s">
        <v>767</v>
      </c>
      <c r="E417" t="s">
        <v>768</v>
      </c>
      <c r="F417" t="s">
        <v>23</v>
      </c>
      <c r="G417" t="s">
        <v>35</v>
      </c>
      <c r="H417" t="s">
        <v>258</v>
      </c>
      <c r="I417" t="s">
        <v>147</v>
      </c>
      <c r="J417" t="s">
        <v>148</v>
      </c>
      <c r="K417" t="s">
        <v>48</v>
      </c>
      <c r="L417">
        <v>2</v>
      </c>
      <c r="M417">
        <v>250</v>
      </c>
      <c r="N417">
        <v>5</v>
      </c>
      <c r="O417">
        <v>475</v>
      </c>
      <c r="P417">
        <v>201.26</v>
      </c>
      <c r="Q417" t="s">
        <v>28</v>
      </c>
      <c r="R417" t="s">
        <v>29</v>
      </c>
      <c r="S417" t="s">
        <v>40</v>
      </c>
      <c r="T417">
        <f>YEAR(Table1_1[[#This Row],[order_date]])</f>
        <v>2025</v>
      </c>
      <c r="U417">
        <f>MONTH(Table1_1[[#This Row],[order_date]])</f>
        <v>1</v>
      </c>
      <c r="V417" t="str">
        <f>TEXT(Table1_1[[#This Row],[order_date]],"mmm")</f>
        <v>Jan</v>
      </c>
      <c r="W417" t="str">
        <f>"Q"&amp;ROUNDUP(MONTH(Table1_1[[#This Row],[order_date]])/3,0)</f>
        <v>Q1</v>
      </c>
      <c r="X417" t="str">
        <f>TEXT(Table1_1[[#This Row],[order_date]],"yyyy-mm")</f>
        <v>2025-01</v>
      </c>
      <c r="Y417">
        <f>IF(Table1_1[[#This Row],[ship_date]]="","",Table1_1[[#This Row],[ship_date]]-Table1_1[[#This Row],[order_date]])</f>
        <v>5</v>
      </c>
      <c r="Z417">
        <f>ROUND(Table1_1[[#This Row],[profit]]/Table1_1[[#This Row],[sales_fix]]*100,2)</f>
        <v>42.37</v>
      </c>
    </row>
    <row r="418" spans="1:26" x14ac:dyDescent="0.3">
      <c r="A418" t="s">
        <v>1827</v>
      </c>
      <c r="B418" s="1">
        <v>45519</v>
      </c>
      <c r="C418" s="1">
        <v>45526</v>
      </c>
      <c r="D418" t="s">
        <v>1019</v>
      </c>
      <c r="E418" t="s">
        <v>1020</v>
      </c>
      <c r="F418" t="s">
        <v>55</v>
      </c>
      <c r="G418" t="s">
        <v>35</v>
      </c>
      <c r="H418" t="s">
        <v>187</v>
      </c>
      <c r="I418" t="s">
        <v>134</v>
      </c>
      <c r="J418" t="s">
        <v>135</v>
      </c>
      <c r="K418" t="s">
        <v>27</v>
      </c>
      <c r="L418">
        <v>3</v>
      </c>
      <c r="M418">
        <v>6000</v>
      </c>
      <c r="N418">
        <v>0</v>
      </c>
      <c r="O418">
        <v>18000</v>
      </c>
      <c r="P418">
        <v>3117.57</v>
      </c>
      <c r="Q418" t="s">
        <v>28</v>
      </c>
      <c r="R418" t="s">
        <v>56</v>
      </c>
      <c r="S418" t="s">
        <v>86</v>
      </c>
      <c r="T418">
        <f>YEAR(Table1_1[[#This Row],[order_date]])</f>
        <v>2024</v>
      </c>
      <c r="U418">
        <f>MONTH(Table1_1[[#This Row],[order_date]])</f>
        <v>8</v>
      </c>
      <c r="V418" t="str">
        <f>TEXT(Table1_1[[#This Row],[order_date]],"mmm")</f>
        <v>Aug</v>
      </c>
      <c r="W418" t="str">
        <f>"Q"&amp;ROUNDUP(MONTH(Table1_1[[#This Row],[order_date]])/3,0)</f>
        <v>Q3</v>
      </c>
      <c r="X418" t="str">
        <f>TEXT(Table1_1[[#This Row],[order_date]],"yyyy-mm")</f>
        <v>2024-08</v>
      </c>
      <c r="Y418">
        <f>IF(Table1_1[[#This Row],[ship_date]]="","",Table1_1[[#This Row],[ship_date]]-Table1_1[[#This Row],[order_date]])</f>
        <v>7</v>
      </c>
      <c r="Z418">
        <f>ROUND(Table1_1[[#This Row],[profit]]/Table1_1[[#This Row],[sales_fix]]*100,2)</f>
        <v>17.32</v>
      </c>
    </row>
    <row r="419" spans="1:26" x14ac:dyDescent="0.3">
      <c r="A419" t="s">
        <v>1823</v>
      </c>
      <c r="B419" s="1">
        <v>45695</v>
      </c>
      <c r="C419" s="1">
        <v>45697</v>
      </c>
      <c r="D419" t="s">
        <v>237</v>
      </c>
      <c r="E419" t="s">
        <v>238</v>
      </c>
      <c r="F419" t="s">
        <v>55</v>
      </c>
      <c r="G419" t="s">
        <v>44</v>
      </c>
      <c r="H419" t="s">
        <v>155</v>
      </c>
      <c r="I419" t="s">
        <v>37</v>
      </c>
      <c r="J419" t="s">
        <v>38</v>
      </c>
      <c r="K419" t="s">
        <v>27</v>
      </c>
      <c r="L419">
        <v>4</v>
      </c>
      <c r="M419">
        <v>9500</v>
      </c>
      <c r="N419">
        <v>20</v>
      </c>
      <c r="O419">
        <v>30400</v>
      </c>
      <c r="P419">
        <v>4681.1099999999997</v>
      </c>
      <c r="Q419" t="s">
        <v>156</v>
      </c>
      <c r="R419" t="s">
        <v>56</v>
      </c>
      <c r="S419" t="s">
        <v>30</v>
      </c>
      <c r="T419">
        <f>YEAR(Table1_1[[#This Row],[order_date]])</f>
        <v>2025</v>
      </c>
      <c r="U419">
        <f>MONTH(Table1_1[[#This Row],[order_date]])</f>
        <v>2</v>
      </c>
      <c r="V419" t="str">
        <f>TEXT(Table1_1[[#This Row],[order_date]],"mmm")</f>
        <v>Feb</v>
      </c>
      <c r="W419" t="str">
        <f>"Q"&amp;ROUNDUP(MONTH(Table1_1[[#This Row],[order_date]])/3,0)</f>
        <v>Q1</v>
      </c>
      <c r="X419" t="str">
        <f>TEXT(Table1_1[[#This Row],[order_date]],"yyyy-mm")</f>
        <v>2025-02</v>
      </c>
      <c r="Y419">
        <f>IF(Table1_1[[#This Row],[ship_date]]="","",Table1_1[[#This Row],[ship_date]]-Table1_1[[#This Row],[order_date]])</f>
        <v>2</v>
      </c>
      <c r="Z419">
        <f>ROUND(Table1_1[[#This Row],[profit]]/Table1_1[[#This Row],[sales_fix]]*100,2)</f>
        <v>15.4</v>
      </c>
    </row>
    <row r="420" spans="1:26" x14ac:dyDescent="0.3">
      <c r="A420" t="s">
        <v>743</v>
      </c>
      <c r="B420" s="1">
        <v>45300</v>
      </c>
      <c r="C420" s="1">
        <v>45302</v>
      </c>
      <c r="D420" t="s">
        <v>435</v>
      </c>
      <c r="E420" t="s">
        <v>436</v>
      </c>
      <c r="F420" t="s">
        <v>23</v>
      </c>
      <c r="G420" t="s">
        <v>44</v>
      </c>
      <c r="H420" t="s">
        <v>24</v>
      </c>
      <c r="I420" t="s">
        <v>71</v>
      </c>
      <c r="J420" t="s">
        <v>72</v>
      </c>
      <c r="K420" t="s">
        <v>73</v>
      </c>
      <c r="L420">
        <v>1</v>
      </c>
      <c r="M420">
        <v>3500</v>
      </c>
      <c r="N420">
        <v>0</v>
      </c>
      <c r="O420">
        <v>3500</v>
      </c>
      <c r="P420">
        <v>953.98</v>
      </c>
      <c r="Q420" t="s">
        <v>3113</v>
      </c>
      <c r="R420" t="s">
        <v>49</v>
      </c>
      <c r="S420" t="s">
        <v>40</v>
      </c>
      <c r="T420">
        <f>YEAR(Table1_1[[#This Row],[order_date]])</f>
        <v>2024</v>
      </c>
      <c r="U420">
        <f>MONTH(Table1_1[[#This Row],[order_date]])</f>
        <v>1</v>
      </c>
      <c r="V420" t="str">
        <f>TEXT(Table1_1[[#This Row],[order_date]],"mmm")</f>
        <v>Jan</v>
      </c>
      <c r="W420" t="str">
        <f>"Q"&amp;ROUNDUP(MONTH(Table1_1[[#This Row],[order_date]])/3,0)</f>
        <v>Q1</v>
      </c>
      <c r="X420" t="str">
        <f>TEXT(Table1_1[[#This Row],[order_date]],"yyyy-mm")</f>
        <v>2024-01</v>
      </c>
      <c r="Y420">
        <f>IF(Table1_1[[#This Row],[ship_date]]="","",Table1_1[[#This Row],[ship_date]]-Table1_1[[#This Row],[order_date]])</f>
        <v>2</v>
      </c>
      <c r="Z420">
        <f>ROUND(Table1_1[[#This Row],[profit]]/Table1_1[[#This Row],[sales_fix]]*100,2)</f>
        <v>27.26</v>
      </c>
    </row>
    <row r="421" spans="1:26" x14ac:dyDescent="0.3">
      <c r="A421" t="s">
        <v>2015</v>
      </c>
      <c r="B421" s="1">
        <v>45853</v>
      </c>
      <c r="C421" s="1">
        <v>45859</v>
      </c>
      <c r="D421" t="s">
        <v>438</v>
      </c>
      <c r="E421" t="s">
        <v>439</v>
      </c>
      <c r="F421" t="s">
        <v>34</v>
      </c>
      <c r="G421" t="s">
        <v>35</v>
      </c>
      <c r="H421" t="s">
        <v>85</v>
      </c>
      <c r="I421" t="s">
        <v>79</v>
      </c>
      <c r="J421" t="s">
        <v>80</v>
      </c>
      <c r="K421" t="s">
        <v>65</v>
      </c>
      <c r="L421">
        <v>1</v>
      </c>
      <c r="M421">
        <v>3000</v>
      </c>
      <c r="N421">
        <v>0</v>
      </c>
      <c r="O421">
        <v>3000</v>
      </c>
      <c r="P421">
        <v>799.68</v>
      </c>
      <c r="Q421" t="s">
        <v>74</v>
      </c>
      <c r="R421" t="s">
        <v>29</v>
      </c>
      <c r="S421" t="s">
        <v>30</v>
      </c>
      <c r="T421">
        <f>YEAR(Table1_1[[#This Row],[order_date]])</f>
        <v>2025</v>
      </c>
      <c r="U421">
        <f>MONTH(Table1_1[[#This Row],[order_date]])</f>
        <v>7</v>
      </c>
      <c r="V421" t="str">
        <f>TEXT(Table1_1[[#This Row],[order_date]],"mmm")</f>
        <v>Jul</v>
      </c>
      <c r="W421" t="str">
        <f>"Q"&amp;ROUNDUP(MONTH(Table1_1[[#This Row],[order_date]])/3,0)</f>
        <v>Q3</v>
      </c>
      <c r="X421" t="str">
        <f>TEXT(Table1_1[[#This Row],[order_date]],"yyyy-mm")</f>
        <v>2025-07</v>
      </c>
      <c r="Y421">
        <f>IF(Table1_1[[#This Row],[ship_date]]="","",Table1_1[[#This Row],[ship_date]]-Table1_1[[#This Row],[order_date]])</f>
        <v>6</v>
      </c>
      <c r="Z421">
        <f>ROUND(Table1_1[[#This Row],[profit]]/Table1_1[[#This Row],[sales_fix]]*100,2)</f>
        <v>26.66</v>
      </c>
    </row>
    <row r="422" spans="1:26" x14ac:dyDescent="0.3">
      <c r="A422" t="s">
        <v>1794</v>
      </c>
      <c r="B422" s="1">
        <v>45721</v>
      </c>
      <c r="C422" s="1">
        <v>45728</v>
      </c>
      <c r="D422" t="s">
        <v>470</v>
      </c>
      <c r="E422" t="s">
        <v>471</v>
      </c>
      <c r="F422" t="s">
        <v>23</v>
      </c>
      <c r="G422" t="s">
        <v>61</v>
      </c>
      <c r="H422" t="s">
        <v>62</v>
      </c>
      <c r="I422" t="s">
        <v>103</v>
      </c>
      <c r="J422" t="s">
        <v>104</v>
      </c>
      <c r="K422" t="s">
        <v>65</v>
      </c>
      <c r="L422">
        <v>3</v>
      </c>
      <c r="M422">
        <v>8000</v>
      </c>
      <c r="N422">
        <v>0</v>
      </c>
      <c r="O422">
        <v>24000</v>
      </c>
      <c r="P422">
        <v>5076.1899999999996</v>
      </c>
      <c r="Q422" t="s">
        <v>74</v>
      </c>
      <c r="R422" t="s">
        <v>49</v>
      </c>
      <c r="S422" t="s">
        <v>50</v>
      </c>
      <c r="T422">
        <f>YEAR(Table1_1[[#This Row],[order_date]])</f>
        <v>2025</v>
      </c>
      <c r="U422">
        <f>MONTH(Table1_1[[#This Row],[order_date]])</f>
        <v>3</v>
      </c>
      <c r="V422" t="str">
        <f>TEXT(Table1_1[[#This Row],[order_date]],"mmm")</f>
        <v>Mar</v>
      </c>
      <c r="W422" t="str">
        <f>"Q"&amp;ROUNDUP(MONTH(Table1_1[[#This Row],[order_date]])/3,0)</f>
        <v>Q1</v>
      </c>
      <c r="X422" t="str">
        <f>TEXT(Table1_1[[#This Row],[order_date]],"yyyy-mm")</f>
        <v>2025-03</v>
      </c>
      <c r="Y422">
        <f>IF(Table1_1[[#This Row],[ship_date]]="","",Table1_1[[#This Row],[ship_date]]-Table1_1[[#This Row],[order_date]])</f>
        <v>7</v>
      </c>
      <c r="Z422">
        <f>ROUND(Table1_1[[#This Row],[profit]]/Table1_1[[#This Row],[sales_fix]]*100,2)</f>
        <v>21.15</v>
      </c>
    </row>
    <row r="423" spans="1:26" x14ac:dyDescent="0.3">
      <c r="A423" t="s">
        <v>2206</v>
      </c>
      <c r="B423" s="1">
        <v>45881</v>
      </c>
      <c r="C423" s="1">
        <v>45886</v>
      </c>
      <c r="D423" t="s">
        <v>272</v>
      </c>
      <c r="E423" t="s">
        <v>273</v>
      </c>
      <c r="F423" t="s">
        <v>23</v>
      </c>
      <c r="G423" t="s">
        <v>35</v>
      </c>
      <c r="H423" t="s">
        <v>258</v>
      </c>
      <c r="I423" t="s">
        <v>79</v>
      </c>
      <c r="J423" t="s">
        <v>80</v>
      </c>
      <c r="K423" t="s">
        <v>65</v>
      </c>
      <c r="L423">
        <v>3</v>
      </c>
      <c r="M423">
        <v>3000</v>
      </c>
      <c r="N423">
        <v>20</v>
      </c>
      <c r="O423">
        <v>7200</v>
      </c>
      <c r="P423">
        <v>1598.29</v>
      </c>
      <c r="Q423" t="s">
        <v>121</v>
      </c>
      <c r="R423" t="s">
        <v>56</v>
      </c>
      <c r="S423" t="s">
        <v>30</v>
      </c>
      <c r="T423">
        <f>YEAR(Table1_1[[#This Row],[order_date]])</f>
        <v>2025</v>
      </c>
      <c r="U423">
        <f>MONTH(Table1_1[[#This Row],[order_date]])</f>
        <v>8</v>
      </c>
      <c r="V423" t="str">
        <f>TEXT(Table1_1[[#This Row],[order_date]],"mmm")</f>
        <v>Aug</v>
      </c>
      <c r="W423" t="str">
        <f>"Q"&amp;ROUNDUP(MONTH(Table1_1[[#This Row],[order_date]])/3,0)</f>
        <v>Q3</v>
      </c>
      <c r="X423" t="str">
        <f>TEXT(Table1_1[[#This Row],[order_date]],"yyyy-mm")</f>
        <v>2025-08</v>
      </c>
      <c r="Y423">
        <f>IF(Table1_1[[#This Row],[ship_date]]="","",Table1_1[[#This Row],[ship_date]]-Table1_1[[#This Row],[order_date]])</f>
        <v>5</v>
      </c>
      <c r="Z423">
        <f>ROUND(Table1_1[[#This Row],[profit]]/Table1_1[[#This Row],[sales_fix]]*100,2)</f>
        <v>22.2</v>
      </c>
    </row>
    <row r="424" spans="1:26" x14ac:dyDescent="0.3">
      <c r="A424" t="s">
        <v>157</v>
      </c>
      <c r="B424" s="1">
        <v>45441</v>
      </c>
      <c r="C424" s="1">
        <v>45442</v>
      </c>
      <c r="D424" t="s">
        <v>159</v>
      </c>
      <c r="E424" t="s">
        <v>160</v>
      </c>
      <c r="F424" t="s">
        <v>34</v>
      </c>
      <c r="G424" t="s">
        <v>44</v>
      </c>
      <c r="H424" t="s">
        <v>161</v>
      </c>
      <c r="I424" t="s">
        <v>103</v>
      </c>
      <c r="J424" t="s">
        <v>104</v>
      </c>
      <c r="K424" t="s">
        <v>65</v>
      </c>
      <c r="L424">
        <v>4</v>
      </c>
      <c r="M424">
        <v>8000</v>
      </c>
      <c r="N424">
        <v>15</v>
      </c>
      <c r="O424">
        <v>27200</v>
      </c>
      <c r="P424">
        <v>5166.7700000000004</v>
      </c>
      <c r="Q424" t="s">
        <v>121</v>
      </c>
      <c r="R424" t="s">
        <v>49</v>
      </c>
      <c r="S424" t="s">
        <v>30</v>
      </c>
      <c r="T424">
        <f>YEAR(Table1_1[[#This Row],[order_date]])</f>
        <v>2024</v>
      </c>
      <c r="U424">
        <f>MONTH(Table1_1[[#This Row],[order_date]])</f>
        <v>5</v>
      </c>
      <c r="V424" t="str">
        <f>TEXT(Table1_1[[#This Row],[order_date]],"mmm")</f>
        <v>May</v>
      </c>
      <c r="W424" t="str">
        <f>"Q"&amp;ROUNDUP(MONTH(Table1_1[[#This Row],[order_date]])/3,0)</f>
        <v>Q2</v>
      </c>
      <c r="X424" t="str">
        <f>TEXT(Table1_1[[#This Row],[order_date]],"yyyy-mm")</f>
        <v>2024-05</v>
      </c>
      <c r="Y424">
        <f>IF(Table1_1[[#This Row],[ship_date]]="","",Table1_1[[#This Row],[ship_date]]-Table1_1[[#This Row],[order_date]])</f>
        <v>1</v>
      </c>
      <c r="Z424">
        <f>ROUND(Table1_1[[#This Row],[profit]]/Table1_1[[#This Row],[sales_fix]]*100,2)</f>
        <v>19</v>
      </c>
    </row>
    <row r="425" spans="1:26" x14ac:dyDescent="0.3">
      <c r="A425" t="s">
        <v>733</v>
      </c>
      <c r="B425" s="1">
        <v>45821</v>
      </c>
      <c r="C425" s="1">
        <v>45826</v>
      </c>
      <c r="D425" t="s">
        <v>457</v>
      </c>
      <c r="E425" t="s">
        <v>458</v>
      </c>
      <c r="F425" t="s">
        <v>55</v>
      </c>
      <c r="G425" t="s">
        <v>44</v>
      </c>
      <c r="H425" t="s">
        <v>24</v>
      </c>
      <c r="I425" t="s">
        <v>126</v>
      </c>
      <c r="J425" t="s">
        <v>127</v>
      </c>
      <c r="K425" t="s">
        <v>95</v>
      </c>
      <c r="L425">
        <v>2</v>
      </c>
      <c r="M425">
        <v>600</v>
      </c>
      <c r="N425">
        <v>0</v>
      </c>
      <c r="O425">
        <v>1200</v>
      </c>
      <c r="P425">
        <v>462.44</v>
      </c>
      <c r="Q425" t="s">
        <v>74</v>
      </c>
      <c r="R425" t="s">
        <v>56</v>
      </c>
      <c r="S425" t="s">
        <v>40</v>
      </c>
      <c r="T425">
        <f>YEAR(Table1_1[[#This Row],[order_date]])</f>
        <v>2025</v>
      </c>
      <c r="U425">
        <f>MONTH(Table1_1[[#This Row],[order_date]])</f>
        <v>6</v>
      </c>
      <c r="V425" t="str">
        <f>TEXT(Table1_1[[#This Row],[order_date]],"mmm")</f>
        <v>Jun</v>
      </c>
      <c r="W425" t="str">
        <f>"Q"&amp;ROUNDUP(MONTH(Table1_1[[#This Row],[order_date]])/3,0)</f>
        <v>Q2</v>
      </c>
      <c r="X425" t="str">
        <f>TEXT(Table1_1[[#This Row],[order_date]],"yyyy-mm")</f>
        <v>2025-06</v>
      </c>
      <c r="Y425">
        <f>IF(Table1_1[[#This Row],[ship_date]]="","",Table1_1[[#This Row],[ship_date]]-Table1_1[[#This Row],[order_date]])</f>
        <v>5</v>
      </c>
      <c r="Z425">
        <f>ROUND(Table1_1[[#This Row],[profit]]/Table1_1[[#This Row],[sales_fix]]*100,2)</f>
        <v>38.54</v>
      </c>
    </row>
    <row r="426" spans="1:26" x14ac:dyDescent="0.3">
      <c r="A426" t="s">
        <v>2038</v>
      </c>
      <c r="B426" s="1">
        <v>45393</v>
      </c>
      <c r="C426" s="1">
        <v>45398</v>
      </c>
      <c r="D426" t="s">
        <v>209</v>
      </c>
      <c r="E426" t="s">
        <v>210</v>
      </c>
      <c r="F426" t="s">
        <v>34</v>
      </c>
      <c r="G426" t="s">
        <v>61</v>
      </c>
      <c r="H426" t="s">
        <v>211</v>
      </c>
      <c r="I426" t="s">
        <v>134</v>
      </c>
      <c r="J426" t="s">
        <v>135</v>
      </c>
      <c r="K426" t="s">
        <v>27</v>
      </c>
      <c r="L426">
        <v>3</v>
      </c>
      <c r="M426">
        <v>6000</v>
      </c>
      <c r="N426">
        <v>0</v>
      </c>
      <c r="O426">
        <v>18000</v>
      </c>
      <c r="P426">
        <v>3396.33</v>
      </c>
      <c r="Q426" t="s">
        <v>28</v>
      </c>
      <c r="R426" t="s">
        <v>56</v>
      </c>
      <c r="S426" t="s">
        <v>86</v>
      </c>
      <c r="T426">
        <f>YEAR(Table1_1[[#This Row],[order_date]])</f>
        <v>2024</v>
      </c>
      <c r="U426">
        <f>MONTH(Table1_1[[#This Row],[order_date]])</f>
        <v>4</v>
      </c>
      <c r="V426" t="str">
        <f>TEXT(Table1_1[[#This Row],[order_date]],"mmm")</f>
        <v>Apr</v>
      </c>
      <c r="W426" t="str">
        <f>"Q"&amp;ROUNDUP(MONTH(Table1_1[[#This Row],[order_date]])/3,0)</f>
        <v>Q2</v>
      </c>
      <c r="X426" t="str">
        <f>TEXT(Table1_1[[#This Row],[order_date]],"yyyy-mm")</f>
        <v>2024-04</v>
      </c>
      <c r="Y426">
        <f>IF(Table1_1[[#This Row],[ship_date]]="","",Table1_1[[#This Row],[ship_date]]-Table1_1[[#This Row],[order_date]])</f>
        <v>5</v>
      </c>
      <c r="Z426">
        <f>ROUND(Table1_1[[#This Row],[profit]]/Table1_1[[#This Row],[sales_fix]]*100,2)</f>
        <v>18.87</v>
      </c>
    </row>
    <row r="427" spans="1:26" x14ac:dyDescent="0.3">
      <c r="A427" t="s">
        <v>191</v>
      </c>
      <c r="B427" s="1">
        <v>45634</v>
      </c>
      <c r="C427" s="1">
        <v>45639</v>
      </c>
      <c r="D427" t="s">
        <v>192</v>
      </c>
      <c r="E427" t="s">
        <v>193</v>
      </c>
      <c r="F427" t="s">
        <v>55</v>
      </c>
      <c r="G427" t="s">
        <v>35</v>
      </c>
      <c r="H427" t="s">
        <v>36</v>
      </c>
      <c r="I427" t="s">
        <v>71</v>
      </c>
      <c r="J427" t="s">
        <v>72</v>
      </c>
      <c r="K427" t="s">
        <v>73</v>
      </c>
      <c r="L427">
        <v>1</v>
      </c>
      <c r="M427">
        <v>3500</v>
      </c>
      <c r="N427">
        <v>10</v>
      </c>
      <c r="O427">
        <v>3150</v>
      </c>
      <c r="P427">
        <v>1081.32</v>
      </c>
      <c r="Q427" t="s">
        <v>74</v>
      </c>
      <c r="R427" t="s">
        <v>29</v>
      </c>
      <c r="S427" t="s">
        <v>194</v>
      </c>
      <c r="T427">
        <f>YEAR(Table1_1[[#This Row],[order_date]])</f>
        <v>2024</v>
      </c>
      <c r="U427">
        <f>MONTH(Table1_1[[#This Row],[order_date]])</f>
        <v>12</v>
      </c>
      <c r="V427" t="str">
        <f>TEXT(Table1_1[[#This Row],[order_date]],"mmm")</f>
        <v>Dec</v>
      </c>
      <c r="W427" t="str">
        <f>"Q"&amp;ROUNDUP(MONTH(Table1_1[[#This Row],[order_date]])/3,0)</f>
        <v>Q4</v>
      </c>
      <c r="X427" t="str">
        <f>TEXT(Table1_1[[#This Row],[order_date]],"yyyy-mm")</f>
        <v>2024-12</v>
      </c>
      <c r="Y427">
        <f>IF(Table1_1[[#This Row],[ship_date]]="","",Table1_1[[#This Row],[ship_date]]-Table1_1[[#This Row],[order_date]])</f>
        <v>5</v>
      </c>
      <c r="Z427">
        <f>ROUND(Table1_1[[#This Row],[profit]]/Table1_1[[#This Row],[sales_fix]]*100,2)</f>
        <v>34.33</v>
      </c>
    </row>
    <row r="428" spans="1:26" x14ac:dyDescent="0.3">
      <c r="A428" t="s">
        <v>2747</v>
      </c>
      <c r="B428" s="1">
        <v>45987</v>
      </c>
      <c r="C428" s="1">
        <v>45990</v>
      </c>
      <c r="D428" t="s">
        <v>1659</v>
      </c>
      <c r="E428" t="s">
        <v>1660</v>
      </c>
      <c r="F428" t="s">
        <v>34</v>
      </c>
      <c r="G428" t="s">
        <v>44</v>
      </c>
      <c r="H428" t="s">
        <v>24</v>
      </c>
      <c r="I428" t="s">
        <v>37</v>
      </c>
      <c r="J428" t="s">
        <v>38</v>
      </c>
      <c r="K428" t="s">
        <v>27</v>
      </c>
      <c r="L428">
        <v>1</v>
      </c>
      <c r="M428">
        <v>9500</v>
      </c>
      <c r="N428">
        <v>10</v>
      </c>
      <c r="O428">
        <v>8550</v>
      </c>
      <c r="P428">
        <v>1641.51</v>
      </c>
      <c r="Q428" t="s">
        <v>3113</v>
      </c>
      <c r="R428" t="s">
        <v>49</v>
      </c>
      <c r="S428" t="s">
        <v>110</v>
      </c>
      <c r="T428">
        <f>YEAR(Table1_1[[#This Row],[order_date]])</f>
        <v>2025</v>
      </c>
      <c r="U428">
        <f>MONTH(Table1_1[[#This Row],[order_date]])</f>
        <v>11</v>
      </c>
      <c r="V428" t="str">
        <f>TEXT(Table1_1[[#This Row],[order_date]],"mmm")</f>
        <v>Nov</v>
      </c>
      <c r="W428" t="str">
        <f>"Q"&amp;ROUNDUP(MONTH(Table1_1[[#This Row],[order_date]])/3,0)</f>
        <v>Q4</v>
      </c>
      <c r="X428" t="str">
        <f>TEXT(Table1_1[[#This Row],[order_date]],"yyyy-mm")</f>
        <v>2025-11</v>
      </c>
      <c r="Y428">
        <f>IF(Table1_1[[#This Row],[ship_date]]="","",Table1_1[[#This Row],[ship_date]]-Table1_1[[#This Row],[order_date]])</f>
        <v>3</v>
      </c>
      <c r="Z428">
        <f>ROUND(Table1_1[[#This Row],[profit]]/Table1_1[[#This Row],[sales_fix]]*100,2)</f>
        <v>19.2</v>
      </c>
    </row>
    <row r="429" spans="1:26" x14ac:dyDescent="0.3">
      <c r="A429" t="s">
        <v>1853</v>
      </c>
      <c r="B429" s="1">
        <v>45749</v>
      </c>
      <c r="C429" s="1">
        <v>45757</v>
      </c>
      <c r="D429" t="s">
        <v>798</v>
      </c>
      <c r="E429" t="s">
        <v>799</v>
      </c>
      <c r="F429" t="s">
        <v>23</v>
      </c>
      <c r="G429" t="s">
        <v>44</v>
      </c>
      <c r="H429" t="s">
        <v>330</v>
      </c>
      <c r="I429" t="s">
        <v>147</v>
      </c>
      <c r="J429" t="s">
        <v>148</v>
      </c>
      <c r="K429" t="s">
        <v>48</v>
      </c>
      <c r="L429">
        <v>4</v>
      </c>
      <c r="M429">
        <v>250</v>
      </c>
      <c r="N429">
        <v>5</v>
      </c>
      <c r="O429">
        <v>950</v>
      </c>
      <c r="P429">
        <v>359.28</v>
      </c>
      <c r="Q429" t="s">
        <v>156</v>
      </c>
      <c r="R429" t="s">
        <v>29</v>
      </c>
      <c r="S429" t="s">
        <v>50</v>
      </c>
      <c r="T429">
        <f>YEAR(Table1_1[[#This Row],[order_date]])</f>
        <v>2025</v>
      </c>
      <c r="U429">
        <f>MONTH(Table1_1[[#This Row],[order_date]])</f>
        <v>4</v>
      </c>
      <c r="V429" t="str">
        <f>TEXT(Table1_1[[#This Row],[order_date]],"mmm")</f>
        <v>Apr</v>
      </c>
      <c r="W429" t="str">
        <f>"Q"&amp;ROUNDUP(MONTH(Table1_1[[#This Row],[order_date]])/3,0)</f>
        <v>Q2</v>
      </c>
      <c r="X429" t="str">
        <f>TEXT(Table1_1[[#This Row],[order_date]],"yyyy-mm")</f>
        <v>2025-04</v>
      </c>
      <c r="Y429">
        <f>IF(Table1_1[[#This Row],[ship_date]]="","",Table1_1[[#This Row],[ship_date]]-Table1_1[[#This Row],[order_date]])</f>
        <v>8</v>
      </c>
      <c r="Z429">
        <f>ROUND(Table1_1[[#This Row],[profit]]/Table1_1[[#This Row],[sales_fix]]*100,2)</f>
        <v>37.82</v>
      </c>
    </row>
    <row r="430" spans="1:26" x14ac:dyDescent="0.3">
      <c r="A430" t="s">
        <v>1801</v>
      </c>
      <c r="B430" s="1">
        <v>45938</v>
      </c>
      <c r="C430" s="1">
        <v>45944</v>
      </c>
      <c r="D430" t="s">
        <v>838</v>
      </c>
      <c r="E430" t="s">
        <v>839</v>
      </c>
      <c r="F430" t="s">
        <v>23</v>
      </c>
      <c r="G430" t="s">
        <v>35</v>
      </c>
      <c r="H430" t="s">
        <v>258</v>
      </c>
      <c r="I430" t="s">
        <v>134</v>
      </c>
      <c r="J430" t="s">
        <v>135</v>
      </c>
      <c r="K430" t="s">
        <v>27</v>
      </c>
      <c r="L430">
        <v>2</v>
      </c>
      <c r="M430">
        <v>6000</v>
      </c>
      <c r="N430">
        <v>0</v>
      </c>
      <c r="O430">
        <v>12000</v>
      </c>
      <c r="P430">
        <v>2107.14</v>
      </c>
      <c r="Q430" t="s">
        <v>121</v>
      </c>
      <c r="R430" t="s">
        <v>49</v>
      </c>
      <c r="S430" t="s">
        <v>110</v>
      </c>
      <c r="T430">
        <f>YEAR(Table1_1[[#This Row],[order_date]])</f>
        <v>2025</v>
      </c>
      <c r="U430">
        <f>MONTH(Table1_1[[#This Row],[order_date]])</f>
        <v>10</v>
      </c>
      <c r="V430" t="str">
        <f>TEXT(Table1_1[[#This Row],[order_date]],"mmm")</f>
        <v>Oct</v>
      </c>
      <c r="W430" t="str">
        <f>"Q"&amp;ROUNDUP(MONTH(Table1_1[[#This Row],[order_date]])/3,0)</f>
        <v>Q4</v>
      </c>
      <c r="X430" t="str">
        <f>TEXT(Table1_1[[#This Row],[order_date]],"yyyy-mm")</f>
        <v>2025-10</v>
      </c>
      <c r="Y430">
        <f>IF(Table1_1[[#This Row],[ship_date]]="","",Table1_1[[#This Row],[ship_date]]-Table1_1[[#This Row],[order_date]])</f>
        <v>6</v>
      </c>
      <c r="Z430">
        <f>ROUND(Table1_1[[#This Row],[profit]]/Table1_1[[#This Row],[sales_fix]]*100,2)</f>
        <v>17.559999999999999</v>
      </c>
    </row>
    <row r="431" spans="1:26" x14ac:dyDescent="0.3">
      <c r="A431" t="s">
        <v>2573</v>
      </c>
      <c r="B431" s="1">
        <v>45565</v>
      </c>
      <c r="C431" s="1">
        <v>45573</v>
      </c>
      <c r="D431" t="s">
        <v>1125</v>
      </c>
      <c r="E431" t="s">
        <v>1126</v>
      </c>
      <c r="F431" t="s">
        <v>55</v>
      </c>
      <c r="G431" t="s">
        <v>61</v>
      </c>
      <c r="H431" t="s">
        <v>125</v>
      </c>
      <c r="I431" t="s">
        <v>71</v>
      </c>
      <c r="J431" t="s">
        <v>72</v>
      </c>
      <c r="K431" t="s">
        <v>73</v>
      </c>
      <c r="L431">
        <v>2</v>
      </c>
      <c r="M431">
        <v>3500</v>
      </c>
      <c r="N431">
        <v>5</v>
      </c>
      <c r="O431">
        <v>6650</v>
      </c>
      <c r="P431">
        <v>1720.49</v>
      </c>
      <c r="Q431" t="s">
        <v>74</v>
      </c>
      <c r="R431" t="s">
        <v>56</v>
      </c>
      <c r="S431" t="s">
        <v>40</v>
      </c>
      <c r="T431">
        <f>YEAR(Table1_1[[#This Row],[order_date]])</f>
        <v>2024</v>
      </c>
      <c r="U431">
        <f>MONTH(Table1_1[[#This Row],[order_date]])</f>
        <v>9</v>
      </c>
      <c r="V431" t="str">
        <f>TEXT(Table1_1[[#This Row],[order_date]],"mmm")</f>
        <v>Sep</v>
      </c>
      <c r="W431" t="str">
        <f>"Q"&amp;ROUNDUP(MONTH(Table1_1[[#This Row],[order_date]])/3,0)</f>
        <v>Q3</v>
      </c>
      <c r="X431" t="str">
        <f>TEXT(Table1_1[[#This Row],[order_date]],"yyyy-mm")</f>
        <v>2024-09</v>
      </c>
      <c r="Y431">
        <f>IF(Table1_1[[#This Row],[ship_date]]="","",Table1_1[[#This Row],[ship_date]]-Table1_1[[#This Row],[order_date]])</f>
        <v>8</v>
      </c>
      <c r="Z431">
        <f>ROUND(Table1_1[[#This Row],[profit]]/Table1_1[[#This Row],[sales_fix]]*100,2)</f>
        <v>25.87</v>
      </c>
    </row>
    <row r="432" spans="1:26" x14ac:dyDescent="0.3">
      <c r="A432" t="s">
        <v>423</v>
      </c>
      <c r="B432" s="1">
        <v>45715</v>
      </c>
      <c r="C432" s="1">
        <v>45719</v>
      </c>
      <c r="D432" t="s">
        <v>425</v>
      </c>
      <c r="E432" t="s">
        <v>426</v>
      </c>
      <c r="F432" t="s">
        <v>34</v>
      </c>
      <c r="G432" t="s">
        <v>61</v>
      </c>
      <c r="H432" t="s">
        <v>125</v>
      </c>
      <c r="I432" t="s">
        <v>147</v>
      </c>
      <c r="J432" t="s">
        <v>148</v>
      </c>
      <c r="K432" t="s">
        <v>48</v>
      </c>
      <c r="L432">
        <v>1</v>
      </c>
      <c r="M432">
        <v>250</v>
      </c>
      <c r="N432">
        <v>20</v>
      </c>
      <c r="O432">
        <v>200</v>
      </c>
      <c r="P432">
        <v>56.74</v>
      </c>
      <c r="Q432" t="s">
        <v>156</v>
      </c>
      <c r="R432" t="s">
        <v>49</v>
      </c>
      <c r="S432" t="s">
        <v>86</v>
      </c>
      <c r="T432">
        <f>YEAR(Table1_1[[#This Row],[order_date]])</f>
        <v>2025</v>
      </c>
      <c r="U432">
        <f>MONTH(Table1_1[[#This Row],[order_date]])</f>
        <v>2</v>
      </c>
      <c r="V432" t="str">
        <f>TEXT(Table1_1[[#This Row],[order_date]],"mmm")</f>
        <v>Feb</v>
      </c>
      <c r="W432" t="str">
        <f>"Q"&amp;ROUNDUP(MONTH(Table1_1[[#This Row],[order_date]])/3,0)</f>
        <v>Q1</v>
      </c>
      <c r="X432" t="str">
        <f>TEXT(Table1_1[[#This Row],[order_date]],"yyyy-mm")</f>
        <v>2025-02</v>
      </c>
      <c r="Y432">
        <f>IF(Table1_1[[#This Row],[ship_date]]="","",Table1_1[[#This Row],[ship_date]]-Table1_1[[#This Row],[order_date]])</f>
        <v>4</v>
      </c>
      <c r="Z432">
        <f>ROUND(Table1_1[[#This Row],[profit]]/Table1_1[[#This Row],[sales_fix]]*100,2)</f>
        <v>28.37</v>
      </c>
    </row>
    <row r="433" spans="1:26" x14ac:dyDescent="0.3">
      <c r="A433" t="s">
        <v>2815</v>
      </c>
      <c r="B433" s="1">
        <v>45698</v>
      </c>
      <c r="C433" s="1">
        <v>45706</v>
      </c>
      <c r="D433" t="s">
        <v>643</v>
      </c>
      <c r="E433" t="s">
        <v>644</v>
      </c>
      <c r="F433" t="s">
        <v>34</v>
      </c>
      <c r="G433" t="s">
        <v>61</v>
      </c>
      <c r="H433" t="s">
        <v>78</v>
      </c>
      <c r="I433" t="s">
        <v>79</v>
      </c>
      <c r="J433" t="s">
        <v>80</v>
      </c>
      <c r="K433" t="s">
        <v>65</v>
      </c>
      <c r="L433">
        <v>1</v>
      </c>
      <c r="M433">
        <v>3000</v>
      </c>
      <c r="N433">
        <v>0</v>
      </c>
      <c r="O433">
        <v>3000</v>
      </c>
      <c r="P433">
        <v>967.25</v>
      </c>
      <c r="Q433" t="s">
        <v>39</v>
      </c>
      <c r="R433" t="s">
        <v>29</v>
      </c>
      <c r="S433" t="s">
        <v>86</v>
      </c>
      <c r="T433">
        <f>YEAR(Table1_1[[#This Row],[order_date]])</f>
        <v>2025</v>
      </c>
      <c r="U433">
        <f>MONTH(Table1_1[[#This Row],[order_date]])</f>
        <v>2</v>
      </c>
      <c r="V433" t="str">
        <f>TEXT(Table1_1[[#This Row],[order_date]],"mmm")</f>
        <v>Feb</v>
      </c>
      <c r="W433" t="str">
        <f>"Q"&amp;ROUNDUP(MONTH(Table1_1[[#This Row],[order_date]])/3,0)</f>
        <v>Q1</v>
      </c>
      <c r="X433" t="str">
        <f>TEXT(Table1_1[[#This Row],[order_date]],"yyyy-mm")</f>
        <v>2025-02</v>
      </c>
      <c r="Y433">
        <f>IF(Table1_1[[#This Row],[ship_date]]="","",Table1_1[[#This Row],[ship_date]]-Table1_1[[#This Row],[order_date]])</f>
        <v>8</v>
      </c>
      <c r="Z433">
        <f>ROUND(Table1_1[[#This Row],[profit]]/Table1_1[[#This Row],[sales_fix]]*100,2)</f>
        <v>32.24</v>
      </c>
    </row>
    <row r="434" spans="1:26" x14ac:dyDescent="0.3">
      <c r="A434" t="s">
        <v>1274</v>
      </c>
      <c r="B434" s="1">
        <v>45377</v>
      </c>
      <c r="C434" s="1">
        <v>45384</v>
      </c>
      <c r="D434" t="s">
        <v>609</v>
      </c>
      <c r="E434" t="s">
        <v>610</v>
      </c>
      <c r="F434" t="s">
        <v>23</v>
      </c>
      <c r="G434" t="s">
        <v>44</v>
      </c>
      <c r="H434" t="s">
        <v>155</v>
      </c>
      <c r="I434" t="s">
        <v>46</v>
      </c>
      <c r="J434" t="s">
        <v>47</v>
      </c>
      <c r="K434" t="s">
        <v>48</v>
      </c>
      <c r="L434">
        <v>1</v>
      </c>
      <c r="M434">
        <v>180</v>
      </c>
      <c r="N434">
        <v>10</v>
      </c>
      <c r="O434">
        <v>162</v>
      </c>
      <c r="P434">
        <v>55.56</v>
      </c>
      <c r="Q434" t="s">
        <v>74</v>
      </c>
      <c r="R434" t="s">
        <v>29</v>
      </c>
      <c r="S434" t="s">
        <v>50</v>
      </c>
      <c r="T434">
        <f>YEAR(Table1_1[[#This Row],[order_date]])</f>
        <v>2024</v>
      </c>
      <c r="U434">
        <f>MONTH(Table1_1[[#This Row],[order_date]])</f>
        <v>3</v>
      </c>
      <c r="V434" t="str">
        <f>TEXT(Table1_1[[#This Row],[order_date]],"mmm")</f>
        <v>Mar</v>
      </c>
      <c r="W434" t="str">
        <f>"Q"&amp;ROUNDUP(MONTH(Table1_1[[#This Row],[order_date]])/3,0)</f>
        <v>Q1</v>
      </c>
      <c r="X434" t="str">
        <f>TEXT(Table1_1[[#This Row],[order_date]],"yyyy-mm")</f>
        <v>2024-03</v>
      </c>
      <c r="Y434">
        <f>IF(Table1_1[[#This Row],[ship_date]]="","",Table1_1[[#This Row],[ship_date]]-Table1_1[[#This Row],[order_date]])</f>
        <v>7</v>
      </c>
      <c r="Z434">
        <f>ROUND(Table1_1[[#This Row],[profit]]/Table1_1[[#This Row],[sales_fix]]*100,2)</f>
        <v>34.299999999999997</v>
      </c>
    </row>
    <row r="435" spans="1:26" x14ac:dyDescent="0.3">
      <c r="A435" t="s">
        <v>1385</v>
      </c>
      <c r="B435" s="1">
        <v>45933</v>
      </c>
      <c r="C435" s="1">
        <v>45939</v>
      </c>
      <c r="D435" t="s">
        <v>924</v>
      </c>
      <c r="E435" t="s">
        <v>925</v>
      </c>
      <c r="F435" t="s">
        <v>34</v>
      </c>
      <c r="G435" t="s">
        <v>35</v>
      </c>
      <c r="H435" t="s">
        <v>258</v>
      </c>
      <c r="I435" t="s">
        <v>147</v>
      </c>
      <c r="J435" t="s">
        <v>148</v>
      </c>
      <c r="K435" t="s">
        <v>48</v>
      </c>
      <c r="L435">
        <v>2</v>
      </c>
      <c r="M435">
        <v>250</v>
      </c>
      <c r="N435">
        <v>0</v>
      </c>
      <c r="O435">
        <v>500</v>
      </c>
      <c r="P435">
        <v>142.29</v>
      </c>
      <c r="Q435" t="s">
        <v>74</v>
      </c>
      <c r="R435" t="s">
        <v>49</v>
      </c>
      <c r="S435" t="s">
        <v>30</v>
      </c>
      <c r="T435">
        <f>YEAR(Table1_1[[#This Row],[order_date]])</f>
        <v>2025</v>
      </c>
      <c r="U435">
        <f>MONTH(Table1_1[[#This Row],[order_date]])</f>
        <v>10</v>
      </c>
      <c r="V435" t="str">
        <f>TEXT(Table1_1[[#This Row],[order_date]],"mmm")</f>
        <v>Oct</v>
      </c>
      <c r="W435" t="str">
        <f>"Q"&amp;ROUNDUP(MONTH(Table1_1[[#This Row],[order_date]])/3,0)</f>
        <v>Q4</v>
      </c>
      <c r="X435" t="str">
        <f>TEXT(Table1_1[[#This Row],[order_date]],"yyyy-mm")</f>
        <v>2025-10</v>
      </c>
      <c r="Y435">
        <f>IF(Table1_1[[#This Row],[ship_date]]="","",Table1_1[[#This Row],[ship_date]]-Table1_1[[#This Row],[order_date]])</f>
        <v>6</v>
      </c>
      <c r="Z435">
        <f>ROUND(Table1_1[[#This Row],[profit]]/Table1_1[[#This Row],[sales_fix]]*100,2)</f>
        <v>28.46</v>
      </c>
    </row>
    <row r="436" spans="1:26" x14ac:dyDescent="0.3">
      <c r="A436" t="s">
        <v>1345</v>
      </c>
      <c r="B436" s="1">
        <v>45853</v>
      </c>
      <c r="C436" s="1"/>
      <c r="D436" t="s">
        <v>1346</v>
      </c>
      <c r="E436" t="s">
        <v>1347</v>
      </c>
      <c r="F436" t="s">
        <v>55</v>
      </c>
      <c r="G436" t="s">
        <v>44</v>
      </c>
      <c r="H436" t="s">
        <v>155</v>
      </c>
      <c r="I436" t="s">
        <v>25</v>
      </c>
      <c r="J436" t="s">
        <v>26</v>
      </c>
      <c r="K436" t="s">
        <v>27</v>
      </c>
      <c r="L436">
        <v>2</v>
      </c>
      <c r="M436">
        <v>7000</v>
      </c>
      <c r="N436">
        <v>15</v>
      </c>
      <c r="O436">
        <v>11900</v>
      </c>
      <c r="P436">
        <v>2397.34</v>
      </c>
      <c r="Q436" t="s">
        <v>156</v>
      </c>
      <c r="R436" t="s">
        <v>56</v>
      </c>
      <c r="S436" t="s">
        <v>40</v>
      </c>
      <c r="T436">
        <f>YEAR(Table1_1[[#This Row],[order_date]])</f>
        <v>2025</v>
      </c>
      <c r="U436">
        <f>MONTH(Table1_1[[#This Row],[order_date]])</f>
        <v>7</v>
      </c>
      <c r="V436" t="str">
        <f>TEXT(Table1_1[[#This Row],[order_date]],"mmm")</f>
        <v>Jul</v>
      </c>
      <c r="W436" t="str">
        <f>"Q"&amp;ROUNDUP(MONTH(Table1_1[[#This Row],[order_date]])/3,0)</f>
        <v>Q3</v>
      </c>
      <c r="X436" t="str">
        <f>TEXT(Table1_1[[#This Row],[order_date]],"yyyy-mm")</f>
        <v>2025-07</v>
      </c>
      <c r="Y436" t="str">
        <f>IF(Table1_1[[#This Row],[ship_date]]="","",Table1_1[[#This Row],[ship_date]]-Table1_1[[#This Row],[order_date]])</f>
        <v/>
      </c>
      <c r="Z436">
        <f>ROUND(Table1_1[[#This Row],[profit]]/Table1_1[[#This Row],[sales_fix]]*100,2)</f>
        <v>20.149999999999999</v>
      </c>
    </row>
    <row r="437" spans="1:26" x14ac:dyDescent="0.3">
      <c r="A437" t="s">
        <v>781</v>
      </c>
      <c r="B437" s="1">
        <v>45947</v>
      </c>
      <c r="C437" s="1">
        <v>45951</v>
      </c>
      <c r="D437" t="s">
        <v>200</v>
      </c>
      <c r="E437" t="s">
        <v>201</v>
      </c>
      <c r="F437" t="s">
        <v>23</v>
      </c>
      <c r="G437" t="s">
        <v>35</v>
      </c>
      <c r="H437" t="s">
        <v>187</v>
      </c>
      <c r="I437" t="s">
        <v>46</v>
      </c>
      <c r="J437" t="s">
        <v>47</v>
      </c>
      <c r="K437" t="s">
        <v>48</v>
      </c>
      <c r="L437">
        <v>1</v>
      </c>
      <c r="M437">
        <v>180</v>
      </c>
      <c r="N437">
        <v>0</v>
      </c>
      <c r="O437">
        <v>180</v>
      </c>
      <c r="P437">
        <v>72.31</v>
      </c>
      <c r="Q437" t="s">
        <v>66</v>
      </c>
      <c r="R437" t="s">
        <v>49</v>
      </c>
      <c r="S437" t="s">
        <v>110</v>
      </c>
      <c r="T437">
        <f>YEAR(Table1_1[[#This Row],[order_date]])</f>
        <v>2025</v>
      </c>
      <c r="U437">
        <f>MONTH(Table1_1[[#This Row],[order_date]])</f>
        <v>10</v>
      </c>
      <c r="V437" t="str">
        <f>TEXT(Table1_1[[#This Row],[order_date]],"mmm")</f>
        <v>Oct</v>
      </c>
      <c r="W437" t="str">
        <f>"Q"&amp;ROUNDUP(MONTH(Table1_1[[#This Row],[order_date]])/3,0)</f>
        <v>Q4</v>
      </c>
      <c r="X437" t="str">
        <f>TEXT(Table1_1[[#This Row],[order_date]],"yyyy-mm")</f>
        <v>2025-10</v>
      </c>
      <c r="Y437">
        <f>IF(Table1_1[[#This Row],[ship_date]]="","",Table1_1[[#This Row],[ship_date]]-Table1_1[[#This Row],[order_date]])</f>
        <v>4</v>
      </c>
      <c r="Z437">
        <f>ROUND(Table1_1[[#This Row],[profit]]/Table1_1[[#This Row],[sales_fix]]*100,2)</f>
        <v>40.17</v>
      </c>
    </row>
    <row r="438" spans="1:26" x14ac:dyDescent="0.3">
      <c r="A438" t="s">
        <v>2223</v>
      </c>
      <c r="B438" s="1">
        <v>45558</v>
      </c>
      <c r="C438" s="1">
        <v>45561</v>
      </c>
      <c r="D438" t="s">
        <v>990</v>
      </c>
      <c r="E438" t="s">
        <v>991</v>
      </c>
      <c r="F438" t="s">
        <v>23</v>
      </c>
      <c r="G438" t="s">
        <v>61</v>
      </c>
      <c r="H438" t="s">
        <v>62</v>
      </c>
      <c r="I438" t="s">
        <v>134</v>
      </c>
      <c r="J438" t="s">
        <v>135</v>
      </c>
      <c r="K438" t="s">
        <v>27</v>
      </c>
      <c r="L438">
        <v>1</v>
      </c>
      <c r="M438">
        <v>6000</v>
      </c>
      <c r="N438">
        <v>0</v>
      </c>
      <c r="O438">
        <v>6000</v>
      </c>
      <c r="P438">
        <v>1008.05</v>
      </c>
      <c r="Q438" t="s">
        <v>74</v>
      </c>
      <c r="R438" t="s">
        <v>49</v>
      </c>
      <c r="S438" t="s">
        <v>30</v>
      </c>
      <c r="T438">
        <f>YEAR(Table1_1[[#This Row],[order_date]])</f>
        <v>2024</v>
      </c>
      <c r="U438">
        <f>MONTH(Table1_1[[#This Row],[order_date]])</f>
        <v>9</v>
      </c>
      <c r="V438" t="str">
        <f>TEXT(Table1_1[[#This Row],[order_date]],"mmm")</f>
        <v>Sep</v>
      </c>
      <c r="W438" t="str">
        <f>"Q"&amp;ROUNDUP(MONTH(Table1_1[[#This Row],[order_date]])/3,0)</f>
        <v>Q3</v>
      </c>
      <c r="X438" t="str">
        <f>TEXT(Table1_1[[#This Row],[order_date]],"yyyy-mm")</f>
        <v>2024-09</v>
      </c>
      <c r="Y438">
        <f>IF(Table1_1[[#This Row],[ship_date]]="","",Table1_1[[#This Row],[ship_date]]-Table1_1[[#This Row],[order_date]])</f>
        <v>3</v>
      </c>
      <c r="Z438">
        <f>ROUND(Table1_1[[#This Row],[profit]]/Table1_1[[#This Row],[sales_fix]]*100,2)</f>
        <v>16.8</v>
      </c>
    </row>
    <row r="439" spans="1:26" x14ac:dyDescent="0.3">
      <c r="A439" t="s">
        <v>2293</v>
      </c>
      <c r="B439" s="1">
        <v>45996</v>
      </c>
      <c r="C439" s="1">
        <v>46003</v>
      </c>
      <c r="D439" t="s">
        <v>98</v>
      </c>
      <c r="E439" t="s">
        <v>99</v>
      </c>
      <c r="F439" t="s">
        <v>34</v>
      </c>
      <c r="G439" t="s">
        <v>91</v>
      </c>
      <c r="H439" t="s">
        <v>92</v>
      </c>
      <c r="I439" t="s">
        <v>114</v>
      </c>
      <c r="J439" t="s">
        <v>115</v>
      </c>
      <c r="K439" t="s">
        <v>65</v>
      </c>
      <c r="L439">
        <v>5</v>
      </c>
      <c r="M439">
        <v>55000</v>
      </c>
      <c r="N439">
        <v>5</v>
      </c>
      <c r="O439">
        <v>261250</v>
      </c>
      <c r="P439">
        <v>38553.17</v>
      </c>
      <c r="Q439" t="s">
        <v>74</v>
      </c>
      <c r="R439" t="s">
        <v>56</v>
      </c>
      <c r="S439" t="s">
        <v>50</v>
      </c>
      <c r="T439">
        <f>YEAR(Table1_1[[#This Row],[order_date]])</f>
        <v>2025</v>
      </c>
      <c r="U439">
        <f>MONTH(Table1_1[[#This Row],[order_date]])</f>
        <v>12</v>
      </c>
      <c r="V439" t="str">
        <f>TEXT(Table1_1[[#This Row],[order_date]],"mmm")</f>
        <v>Dec</v>
      </c>
      <c r="W439" t="str">
        <f>"Q"&amp;ROUNDUP(MONTH(Table1_1[[#This Row],[order_date]])/3,0)</f>
        <v>Q4</v>
      </c>
      <c r="X439" t="str">
        <f>TEXT(Table1_1[[#This Row],[order_date]],"yyyy-mm")</f>
        <v>2025-12</v>
      </c>
      <c r="Y439">
        <f>IF(Table1_1[[#This Row],[ship_date]]="","",Table1_1[[#This Row],[ship_date]]-Table1_1[[#This Row],[order_date]])</f>
        <v>7</v>
      </c>
      <c r="Z439">
        <f>ROUND(Table1_1[[#This Row],[profit]]/Table1_1[[#This Row],[sales_fix]]*100,2)</f>
        <v>14.76</v>
      </c>
    </row>
    <row r="440" spans="1:26" x14ac:dyDescent="0.3">
      <c r="A440" t="s">
        <v>1585</v>
      </c>
      <c r="B440" s="1">
        <v>45674</v>
      </c>
      <c r="C440" s="1">
        <v>45678</v>
      </c>
      <c r="D440" t="s">
        <v>531</v>
      </c>
      <c r="E440" t="s">
        <v>532</v>
      </c>
      <c r="F440" t="s">
        <v>23</v>
      </c>
      <c r="G440" t="s">
        <v>44</v>
      </c>
      <c r="H440" t="s">
        <v>161</v>
      </c>
      <c r="I440" t="s">
        <v>46</v>
      </c>
      <c r="J440" t="s">
        <v>47</v>
      </c>
      <c r="K440" t="s">
        <v>48</v>
      </c>
      <c r="L440">
        <v>1</v>
      </c>
      <c r="M440">
        <v>180</v>
      </c>
      <c r="N440">
        <v>10</v>
      </c>
      <c r="O440">
        <v>162</v>
      </c>
      <c r="P440">
        <v>63.78</v>
      </c>
      <c r="Q440" t="s">
        <v>121</v>
      </c>
      <c r="R440" t="s">
        <v>56</v>
      </c>
      <c r="S440" t="s">
        <v>30</v>
      </c>
      <c r="T440">
        <f>YEAR(Table1_1[[#This Row],[order_date]])</f>
        <v>2025</v>
      </c>
      <c r="U440">
        <f>MONTH(Table1_1[[#This Row],[order_date]])</f>
        <v>1</v>
      </c>
      <c r="V440" t="str">
        <f>TEXT(Table1_1[[#This Row],[order_date]],"mmm")</f>
        <v>Jan</v>
      </c>
      <c r="W440" t="str">
        <f>"Q"&amp;ROUNDUP(MONTH(Table1_1[[#This Row],[order_date]])/3,0)</f>
        <v>Q1</v>
      </c>
      <c r="X440" t="str">
        <f>TEXT(Table1_1[[#This Row],[order_date]],"yyyy-mm")</f>
        <v>2025-01</v>
      </c>
      <c r="Y440">
        <f>IF(Table1_1[[#This Row],[ship_date]]="","",Table1_1[[#This Row],[ship_date]]-Table1_1[[#This Row],[order_date]])</f>
        <v>4</v>
      </c>
      <c r="Z440">
        <f>ROUND(Table1_1[[#This Row],[profit]]/Table1_1[[#This Row],[sales_fix]]*100,2)</f>
        <v>39.369999999999997</v>
      </c>
    </row>
    <row r="441" spans="1:26" x14ac:dyDescent="0.3">
      <c r="A441" t="s">
        <v>1543</v>
      </c>
      <c r="B441" s="1">
        <v>45561</v>
      </c>
      <c r="C441" s="1">
        <v>45566</v>
      </c>
      <c r="D441" t="s">
        <v>617</v>
      </c>
      <c r="E441" t="s">
        <v>618</v>
      </c>
      <c r="F441" t="s">
        <v>23</v>
      </c>
      <c r="G441" t="s">
        <v>91</v>
      </c>
      <c r="H441" t="s">
        <v>120</v>
      </c>
      <c r="I441" t="s">
        <v>103</v>
      </c>
      <c r="J441" t="s">
        <v>104</v>
      </c>
      <c r="K441" t="s">
        <v>65</v>
      </c>
      <c r="L441">
        <v>1</v>
      </c>
      <c r="M441">
        <v>8000</v>
      </c>
      <c r="N441">
        <v>15</v>
      </c>
      <c r="O441">
        <v>6800</v>
      </c>
      <c r="P441">
        <v>1352.9</v>
      </c>
      <c r="Q441" t="s">
        <v>74</v>
      </c>
      <c r="R441" t="s">
        <v>56</v>
      </c>
      <c r="S441" t="s">
        <v>40</v>
      </c>
      <c r="T441">
        <f>YEAR(Table1_1[[#This Row],[order_date]])</f>
        <v>2024</v>
      </c>
      <c r="U441">
        <f>MONTH(Table1_1[[#This Row],[order_date]])</f>
        <v>9</v>
      </c>
      <c r="V441" t="str">
        <f>TEXT(Table1_1[[#This Row],[order_date]],"mmm")</f>
        <v>Sep</v>
      </c>
      <c r="W441" t="str">
        <f>"Q"&amp;ROUNDUP(MONTH(Table1_1[[#This Row],[order_date]])/3,0)</f>
        <v>Q3</v>
      </c>
      <c r="X441" t="str">
        <f>TEXT(Table1_1[[#This Row],[order_date]],"yyyy-mm")</f>
        <v>2024-09</v>
      </c>
      <c r="Y441">
        <f>IF(Table1_1[[#This Row],[ship_date]]="","",Table1_1[[#This Row],[ship_date]]-Table1_1[[#This Row],[order_date]])</f>
        <v>5</v>
      </c>
      <c r="Z441">
        <f>ROUND(Table1_1[[#This Row],[profit]]/Table1_1[[#This Row],[sales_fix]]*100,2)</f>
        <v>19.899999999999999</v>
      </c>
    </row>
    <row r="442" spans="1:26" x14ac:dyDescent="0.3">
      <c r="A442" t="s">
        <v>2394</v>
      </c>
      <c r="B442" s="1">
        <v>45484</v>
      </c>
      <c r="C442" s="1">
        <v>45486</v>
      </c>
      <c r="D442" t="s">
        <v>214</v>
      </c>
      <c r="E442" t="s">
        <v>215</v>
      </c>
      <c r="F442" t="s">
        <v>55</v>
      </c>
      <c r="G442" t="s">
        <v>44</v>
      </c>
      <c r="H442" t="s">
        <v>330</v>
      </c>
      <c r="I442" t="s">
        <v>134</v>
      </c>
      <c r="J442" t="s">
        <v>135</v>
      </c>
      <c r="K442" t="s">
        <v>27</v>
      </c>
      <c r="L442">
        <v>4</v>
      </c>
      <c r="M442">
        <v>6000</v>
      </c>
      <c r="N442">
        <v>0</v>
      </c>
      <c r="O442">
        <v>24000</v>
      </c>
      <c r="P442">
        <v>4346.78</v>
      </c>
      <c r="Q442" t="s">
        <v>156</v>
      </c>
      <c r="R442" t="s">
        <v>49</v>
      </c>
      <c r="S442" t="s">
        <v>40</v>
      </c>
      <c r="T442">
        <f>YEAR(Table1_1[[#This Row],[order_date]])</f>
        <v>2024</v>
      </c>
      <c r="U442">
        <f>MONTH(Table1_1[[#This Row],[order_date]])</f>
        <v>7</v>
      </c>
      <c r="V442" t="str">
        <f>TEXT(Table1_1[[#This Row],[order_date]],"mmm")</f>
        <v>Jul</v>
      </c>
      <c r="W442" t="str">
        <f>"Q"&amp;ROUNDUP(MONTH(Table1_1[[#This Row],[order_date]])/3,0)</f>
        <v>Q3</v>
      </c>
      <c r="X442" t="str">
        <f>TEXT(Table1_1[[#This Row],[order_date]],"yyyy-mm")</f>
        <v>2024-07</v>
      </c>
      <c r="Y442">
        <f>IF(Table1_1[[#This Row],[ship_date]]="","",Table1_1[[#This Row],[ship_date]]-Table1_1[[#This Row],[order_date]])</f>
        <v>2</v>
      </c>
      <c r="Z442">
        <f>ROUND(Table1_1[[#This Row],[profit]]/Table1_1[[#This Row],[sales_fix]]*100,2)</f>
        <v>18.11</v>
      </c>
    </row>
    <row r="443" spans="1:26" x14ac:dyDescent="0.3">
      <c r="A443" t="s">
        <v>1093</v>
      </c>
      <c r="B443" s="1">
        <v>46009</v>
      </c>
      <c r="C443" s="1">
        <v>46010</v>
      </c>
      <c r="D443" t="s">
        <v>362</v>
      </c>
      <c r="E443" t="s">
        <v>363</v>
      </c>
      <c r="F443" t="s">
        <v>55</v>
      </c>
      <c r="G443" t="s">
        <v>35</v>
      </c>
      <c r="H443" t="s">
        <v>36</v>
      </c>
      <c r="I443" t="s">
        <v>25</v>
      </c>
      <c r="J443" t="s">
        <v>26</v>
      </c>
      <c r="K443" t="s">
        <v>27</v>
      </c>
      <c r="L443">
        <v>1</v>
      </c>
      <c r="M443">
        <v>7000</v>
      </c>
      <c r="N443">
        <v>0</v>
      </c>
      <c r="O443">
        <v>7000</v>
      </c>
      <c r="P443">
        <v>1171.72</v>
      </c>
      <c r="Q443" t="s">
        <v>121</v>
      </c>
      <c r="R443" t="s">
        <v>29</v>
      </c>
      <c r="S443" t="s">
        <v>110</v>
      </c>
      <c r="T443">
        <f>YEAR(Table1_1[[#This Row],[order_date]])</f>
        <v>2025</v>
      </c>
      <c r="U443">
        <f>MONTH(Table1_1[[#This Row],[order_date]])</f>
        <v>12</v>
      </c>
      <c r="V443" t="str">
        <f>TEXT(Table1_1[[#This Row],[order_date]],"mmm")</f>
        <v>Dec</v>
      </c>
      <c r="W443" t="str">
        <f>"Q"&amp;ROUNDUP(MONTH(Table1_1[[#This Row],[order_date]])/3,0)</f>
        <v>Q4</v>
      </c>
      <c r="X443" t="str">
        <f>TEXT(Table1_1[[#This Row],[order_date]],"yyyy-mm")</f>
        <v>2025-12</v>
      </c>
      <c r="Y443">
        <f>IF(Table1_1[[#This Row],[ship_date]]="","",Table1_1[[#This Row],[ship_date]]-Table1_1[[#This Row],[order_date]])</f>
        <v>1</v>
      </c>
      <c r="Z443">
        <f>ROUND(Table1_1[[#This Row],[profit]]/Table1_1[[#This Row],[sales_fix]]*100,2)</f>
        <v>16.739999999999998</v>
      </c>
    </row>
    <row r="444" spans="1:26" x14ac:dyDescent="0.3">
      <c r="A444" t="s">
        <v>2699</v>
      </c>
      <c r="B444" s="1">
        <v>45740</v>
      </c>
      <c r="C444" s="1">
        <v>45741</v>
      </c>
      <c r="D444" t="s">
        <v>214</v>
      </c>
      <c r="E444" t="s">
        <v>215</v>
      </c>
      <c r="F444" t="s">
        <v>55</v>
      </c>
      <c r="G444" t="s">
        <v>44</v>
      </c>
      <c r="H444" t="s">
        <v>330</v>
      </c>
      <c r="I444" t="s">
        <v>79</v>
      </c>
      <c r="J444" t="s">
        <v>80</v>
      </c>
      <c r="K444" t="s">
        <v>65</v>
      </c>
      <c r="L444">
        <v>3</v>
      </c>
      <c r="M444">
        <v>3000</v>
      </c>
      <c r="N444">
        <v>0</v>
      </c>
      <c r="O444">
        <v>9000</v>
      </c>
      <c r="P444">
        <v>1987.41</v>
      </c>
      <c r="Q444" t="s">
        <v>28</v>
      </c>
      <c r="R444" t="s">
        <v>29</v>
      </c>
      <c r="S444" t="s">
        <v>110</v>
      </c>
      <c r="T444">
        <f>YEAR(Table1_1[[#This Row],[order_date]])</f>
        <v>2025</v>
      </c>
      <c r="U444">
        <f>MONTH(Table1_1[[#This Row],[order_date]])</f>
        <v>3</v>
      </c>
      <c r="V444" t="str">
        <f>TEXT(Table1_1[[#This Row],[order_date]],"mmm")</f>
        <v>Mar</v>
      </c>
      <c r="W444" t="str">
        <f>"Q"&amp;ROUNDUP(MONTH(Table1_1[[#This Row],[order_date]])/3,0)</f>
        <v>Q1</v>
      </c>
      <c r="X444" t="str">
        <f>TEXT(Table1_1[[#This Row],[order_date]],"yyyy-mm")</f>
        <v>2025-03</v>
      </c>
      <c r="Y444">
        <f>IF(Table1_1[[#This Row],[ship_date]]="","",Table1_1[[#This Row],[ship_date]]-Table1_1[[#This Row],[order_date]])</f>
        <v>1</v>
      </c>
      <c r="Z444">
        <f>ROUND(Table1_1[[#This Row],[profit]]/Table1_1[[#This Row],[sales_fix]]*100,2)</f>
        <v>22.08</v>
      </c>
    </row>
    <row r="445" spans="1:26" x14ac:dyDescent="0.3">
      <c r="A445" t="s">
        <v>3036</v>
      </c>
      <c r="B445" s="1">
        <v>45802</v>
      </c>
      <c r="C445" s="1">
        <v>45803</v>
      </c>
      <c r="D445" t="s">
        <v>699</v>
      </c>
      <c r="E445" t="s">
        <v>700</v>
      </c>
      <c r="F445" t="s">
        <v>23</v>
      </c>
      <c r="G445" t="s">
        <v>35</v>
      </c>
      <c r="H445" t="s">
        <v>36</v>
      </c>
      <c r="I445" t="s">
        <v>25</v>
      </c>
      <c r="J445" t="s">
        <v>26</v>
      </c>
      <c r="K445" t="s">
        <v>27</v>
      </c>
      <c r="L445">
        <v>10</v>
      </c>
      <c r="M445">
        <v>7000</v>
      </c>
      <c r="N445">
        <v>5</v>
      </c>
      <c r="O445">
        <v>66500</v>
      </c>
      <c r="P445">
        <v>14630</v>
      </c>
      <c r="Q445" t="s">
        <v>74</v>
      </c>
      <c r="R445" t="s">
        <v>29</v>
      </c>
      <c r="S445" t="s">
        <v>50</v>
      </c>
      <c r="T445">
        <f>YEAR(Table1_1[[#This Row],[order_date]])</f>
        <v>2025</v>
      </c>
      <c r="U445">
        <f>MONTH(Table1_1[[#This Row],[order_date]])</f>
        <v>5</v>
      </c>
      <c r="V445" t="str">
        <f>TEXT(Table1_1[[#This Row],[order_date]],"mmm")</f>
        <v>May</v>
      </c>
      <c r="W445" t="str">
        <f>"Q"&amp;ROUNDUP(MONTH(Table1_1[[#This Row],[order_date]])/3,0)</f>
        <v>Q2</v>
      </c>
      <c r="X445" t="str">
        <f>TEXT(Table1_1[[#This Row],[order_date]],"yyyy-mm")</f>
        <v>2025-05</v>
      </c>
      <c r="Y445">
        <f>IF(Table1_1[[#This Row],[ship_date]]="","",Table1_1[[#This Row],[ship_date]]-Table1_1[[#This Row],[order_date]])</f>
        <v>1</v>
      </c>
      <c r="Z445">
        <f>ROUND(Table1_1[[#This Row],[profit]]/Table1_1[[#This Row],[sales_fix]]*100,2)</f>
        <v>22</v>
      </c>
    </row>
    <row r="446" spans="1:26" x14ac:dyDescent="0.3">
      <c r="A446" t="s">
        <v>1502</v>
      </c>
      <c r="B446" s="1">
        <v>45693</v>
      </c>
      <c r="C446" s="1">
        <v>45698</v>
      </c>
      <c r="D446" t="s">
        <v>596</v>
      </c>
      <c r="E446" t="s">
        <v>597</v>
      </c>
      <c r="F446" t="s">
        <v>34</v>
      </c>
      <c r="G446" t="s">
        <v>91</v>
      </c>
      <c r="H446" t="s">
        <v>120</v>
      </c>
      <c r="I446" t="s">
        <v>25</v>
      </c>
      <c r="J446" t="s">
        <v>26</v>
      </c>
      <c r="K446" t="s">
        <v>27</v>
      </c>
      <c r="L446">
        <v>1</v>
      </c>
      <c r="M446">
        <v>7000</v>
      </c>
      <c r="N446">
        <v>5</v>
      </c>
      <c r="O446">
        <v>6650</v>
      </c>
      <c r="P446">
        <v>1130.3699999999999</v>
      </c>
      <c r="Q446" t="s">
        <v>28</v>
      </c>
      <c r="R446" t="s">
        <v>29</v>
      </c>
      <c r="S446" t="s">
        <v>86</v>
      </c>
      <c r="T446">
        <f>YEAR(Table1_1[[#This Row],[order_date]])</f>
        <v>2025</v>
      </c>
      <c r="U446">
        <f>MONTH(Table1_1[[#This Row],[order_date]])</f>
        <v>2</v>
      </c>
      <c r="V446" t="str">
        <f>TEXT(Table1_1[[#This Row],[order_date]],"mmm")</f>
        <v>Feb</v>
      </c>
      <c r="W446" t="str">
        <f>"Q"&amp;ROUNDUP(MONTH(Table1_1[[#This Row],[order_date]])/3,0)</f>
        <v>Q1</v>
      </c>
      <c r="X446" t="str">
        <f>TEXT(Table1_1[[#This Row],[order_date]],"yyyy-mm")</f>
        <v>2025-02</v>
      </c>
      <c r="Y446">
        <f>IF(Table1_1[[#This Row],[ship_date]]="","",Table1_1[[#This Row],[ship_date]]-Table1_1[[#This Row],[order_date]])</f>
        <v>5</v>
      </c>
      <c r="Z446">
        <f>ROUND(Table1_1[[#This Row],[profit]]/Table1_1[[#This Row],[sales_fix]]*100,2)</f>
        <v>17</v>
      </c>
    </row>
    <row r="447" spans="1:26" x14ac:dyDescent="0.3">
      <c r="A447" t="s">
        <v>2027</v>
      </c>
      <c r="B447" s="1">
        <v>45745</v>
      </c>
      <c r="C447" s="1">
        <v>45747</v>
      </c>
      <c r="D447" t="s">
        <v>418</v>
      </c>
      <c r="E447" t="s">
        <v>419</v>
      </c>
      <c r="F447" t="s">
        <v>23</v>
      </c>
      <c r="G447" t="s">
        <v>91</v>
      </c>
      <c r="H447" t="s">
        <v>120</v>
      </c>
      <c r="I447" t="s">
        <v>134</v>
      </c>
      <c r="J447" t="s">
        <v>135</v>
      </c>
      <c r="K447" t="s">
        <v>27</v>
      </c>
      <c r="L447">
        <v>1</v>
      </c>
      <c r="M447">
        <v>6000</v>
      </c>
      <c r="N447">
        <v>0</v>
      </c>
      <c r="O447">
        <v>6000</v>
      </c>
      <c r="P447">
        <v>1122.73</v>
      </c>
      <c r="Q447" t="s">
        <v>39</v>
      </c>
      <c r="R447" t="s">
        <v>56</v>
      </c>
      <c r="S447" t="s">
        <v>50</v>
      </c>
      <c r="T447">
        <f>YEAR(Table1_1[[#This Row],[order_date]])</f>
        <v>2025</v>
      </c>
      <c r="U447">
        <f>MONTH(Table1_1[[#This Row],[order_date]])</f>
        <v>3</v>
      </c>
      <c r="V447" t="str">
        <f>TEXT(Table1_1[[#This Row],[order_date]],"mmm")</f>
        <v>Mar</v>
      </c>
      <c r="W447" t="str">
        <f>"Q"&amp;ROUNDUP(MONTH(Table1_1[[#This Row],[order_date]])/3,0)</f>
        <v>Q1</v>
      </c>
      <c r="X447" t="str">
        <f>TEXT(Table1_1[[#This Row],[order_date]],"yyyy-mm")</f>
        <v>2025-03</v>
      </c>
      <c r="Y447">
        <f>IF(Table1_1[[#This Row],[ship_date]]="","",Table1_1[[#This Row],[ship_date]]-Table1_1[[#This Row],[order_date]])</f>
        <v>2</v>
      </c>
      <c r="Z447">
        <f>ROUND(Table1_1[[#This Row],[profit]]/Table1_1[[#This Row],[sales_fix]]*100,2)</f>
        <v>18.71</v>
      </c>
    </row>
    <row r="448" spans="1:26" x14ac:dyDescent="0.3">
      <c r="A448" t="s">
        <v>2266</v>
      </c>
      <c r="B448" s="1">
        <v>45989</v>
      </c>
      <c r="C448" s="1">
        <v>45990</v>
      </c>
      <c r="D448" t="s">
        <v>166</v>
      </c>
      <c r="E448" t="s">
        <v>167</v>
      </c>
      <c r="F448" t="s">
        <v>23</v>
      </c>
      <c r="G448" t="s">
        <v>44</v>
      </c>
      <c r="H448" t="s">
        <v>161</v>
      </c>
      <c r="I448" t="s">
        <v>134</v>
      </c>
      <c r="J448" t="s">
        <v>135</v>
      </c>
      <c r="K448" t="s">
        <v>27</v>
      </c>
      <c r="L448">
        <v>5</v>
      </c>
      <c r="M448">
        <v>6000</v>
      </c>
      <c r="N448">
        <v>0</v>
      </c>
      <c r="O448">
        <v>30000</v>
      </c>
      <c r="P448">
        <v>6851.99</v>
      </c>
      <c r="Q448" t="s">
        <v>156</v>
      </c>
      <c r="R448" t="s">
        <v>56</v>
      </c>
      <c r="S448" t="s">
        <v>40</v>
      </c>
      <c r="T448">
        <f>YEAR(Table1_1[[#This Row],[order_date]])</f>
        <v>2025</v>
      </c>
      <c r="U448">
        <f>MONTH(Table1_1[[#This Row],[order_date]])</f>
        <v>11</v>
      </c>
      <c r="V448" t="str">
        <f>TEXT(Table1_1[[#This Row],[order_date]],"mmm")</f>
        <v>Nov</v>
      </c>
      <c r="W448" t="str">
        <f>"Q"&amp;ROUNDUP(MONTH(Table1_1[[#This Row],[order_date]])/3,0)</f>
        <v>Q4</v>
      </c>
      <c r="X448" t="str">
        <f>TEXT(Table1_1[[#This Row],[order_date]],"yyyy-mm")</f>
        <v>2025-11</v>
      </c>
      <c r="Y448">
        <f>IF(Table1_1[[#This Row],[ship_date]]="","",Table1_1[[#This Row],[ship_date]]-Table1_1[[#This Row],[order_date]])</f>
        <v>1</v>
      </c>
      <c r="Z448">
        <f>ROUND(Table1_1[[#This Row],[profit]]/Table1_1[[#This Row],[sales_fix]]*100,2)</f>
        <v>22.84</v>
      </c>
    </row>
    <row r="449" spans="1:26" x14ac:dyDescent="0.3">
      <c r="A449" t="s">
        <v>2666</v>
      </c>
      <c r="B449" s="1">
        <v>45784</v>
      </c>
      <c r="C449" s="1">
        <v>45785</v>
      </c>
      <c r="D449" t="s">
        <v>1659</v>
      </c>
      <c r="E449" t="s">
        <v>1660</v>
      </c>
      <c r="F449" t="s">
        <v>34</v>
      </c>
      <c r="G449" t="s">
        <v>44</v>
      </c>
      <c r="H449" t="s">
        <v>24</v>
      </c>
      <c r="I449" t="s">
        <v>25</v>
      </c>
      <c r="J449" t="s">
        <v>26</v>
      </c>
      <c r="K449" t="s">
        <v>27</v>
      </c>
      <c r="L449">
        <v>2</v>
      </c>
      <c r="M449">
        <v>7000</v>
      </c>
      <c r="N449">
        <v>0</v>
      </c>
      <c r="O449">
        <v>14000</v>
      </c>
      <c r="P449">
        <v>2600.0500000000002</v>
      </c>
      <c r="Q449" t="s">
        <v>156</v>
      </c>
      <c r="R449" t="s">
        <v>29</v>
      </c>
      <c r="S449" t="s">
        <v>86</v>
      </c>
      <c r="T449">
        <f>YEAR(Table1_1[[#This Row],[order_date]])</f>
        <v>2025</v>
      </c>
      <c r="U449">
        <f>MONTH(Table1_1[[#This Row],[order_date]])</f>
        <v>5</v>
      </c>
      <c r="V449" t="str">
        <f>TEXT(Table1_1[[#This Row],[order_date]],"mmm")</f>
        <v>May</v>
      </c>
      <c r="W449" t="str">
        <f>"Q"&amp;ROUNDUP(MONTH(Table1_1[[#This Row],[order_date]])/3,0)</f>
        <v>Q2</v>
      </c>
      <c r="X449" t="str">
        <f>TEXT(Table1_1[[#This Row],[order_date]],"yyyy-mm")</f>
        <v>2025-05</v>
      </c>
      <c r="Y449">
        <f>IF(Table1_1[[#This Row],[ship_date]]="","",Table1_1[[#This Row],[ship_date]]-Table1_1[[#This Row],[order_date]])</f>
        <v>1</v>
      </c>
      <c r="Z449">
        <f>ROUND(Table1_1[[#This Row],[profit]]/Table1_1[[#This Row],[sales_fix]]*100,2)</f>
        <v>18.57</v>
      </c>
    </row>
    <row r="450" spans="1:26" x14ac:dyDescent="0.3">
      <c r="A450" t="s">
        <v>2739</v>
      </c>
      <c r="B450" s="1">
        <v>45736</v>
      </c>
      <c r="C450" s="1">
        <v>45738</v>
      </c>
      <c r="D450" t="s">
        <v>973</v>
      </c>
      <c r="E450" t="s">
        <v>974</v>
      </c>
      <c r="F450" t="s">
        <v>34</v>
      </c>
      <c r="G450" t="s">
        <v>91</v>
      </c>
      <c r="H450" t="s">
        <v>177</v>
      </c>
      <c r="I450" t="s">
        <v>126</v>
      </c>
      <c r="J450" t="s">
        <v>127</v>
      </c>
      <c r="K450" t="s">
        <v>95</v>
      </c>
      <c r="L450">
        <v>1</v>
      </c>
      <c r="M450">
        <v>600</v>
      </c>
      <c r="N450">
        <v>0</v>
      </c>
      <c r="O450">
        <v>600</v>
      </c>
      <c r="P450">
        <v>232.05</v>
      </c>
      <c r="Q450" t="s">
        <v>28</v>
      </c>
      <c r="R450" t="s">
        <v>29</v>
      </c>
      <c r="S450" t="s">
        <v>86</v>
      </c>
      <c r="T450">
        <f>YEAR(Table1_1[[#This Row],[order_date]])</f>
        <v>2025</v>
      </c>
      <c r="U450">
        <f>MONTH(Table1_1[[#This Row],[order_date]])</f>
        <v>3</v>
      </c>
      <c r="V450" t="str">
        <f>TEXT(Table1_1[[#This Row],[order_date]],"mmm")</f>
        <v>Mar</v>
      </c>
      <c r="W450" t="str">
        <f>"Q"&amp;ROUNDUP(MONTH(Table1_1[[#This Row],[order_date]])/3,0)</f>
        <v>Q1</v>
      </c>
      <c r="X450" t="str">
        <f>TEXT(Table1_1[[#This Row],[order_date]],"yyyy-mm")</f>
        <v>2025-03</v>
      </c>
      <c r="Y450">
        <f>IF(Table1_1[[#This Row],[ship_date]]="","",Table1_1[[#This Row],[ship_date]]-Table1_1[[#This Row],[order_date]])</f>
        <v>2</v>
      </c>
      <c r="Z450">
        <f>ROUND(Table1_1[[#This Row],[profit]]/Table1_1[[#This Row],[sales_fix]]*100,2)</f>
        <v>38.68</v>
      </c>
    </row>
    <row r="451" spans="1:26" x14ac:dyDescent="0.3">
      <c r="A451" t="s">
        <v>1470</v>
      </c>
      <c r="B451" s="1">
        <v>45999</v>
      </c>
      <c r="C451" s="1">
        <v>46003</v>
      </c>
      <c r="D451" t="s">
        <v>767</v>
      </c>
      <c r="E451" t="s">
        <v>768</v>
      </c>
      <c r="F451" t="s">
        <v>23</v>
      </c>
      <c r="G451" t="s">
        <v>35</v>
      </c>
      <c r="H451" t="s">
        <v>258</v>
      </c>
      <c r="I451" t="s">
        <v>93</v>
      </c>
      <c r="J451" t="s">
        <v>94</v>
      </c>
      <c r="K451" t="s">
        <v>95</v>
      </c>
      <c r="L451">
        <v>2</v>
      </c>
      <c r="M451">
        <v>1800</v>
      </c>
      <c r="N451">
        <v>0</v>
      </c>
      <c r="O451">
        <v>3600</v>
      </c>
      <c r="P451">
        <v>1270.48</v>
      </c>
      <c r="Q451" t="s">
        <v>121</v>
      </c>
      <c r="R451" t="s">
        <v>49</v>
      </c>
      <c r="S451" t="s">
        <v>86</v>
      </c>
      <c r="T451">
        <f>YEAR(Table1_1[[#This Row],[order_date]])</f>
        <v>2025</v>
      </c>
      <c r="U451">
        <f>MONTH(Table1_1[[#This Row],[order_date]])</f>
        <v>12</v>
      </c>
      <c r="V451" t="str">
        <f>TEXT(Table1_1[[#This Row],[order_date]],"mmm")</f>
        <v>Dec</v>
      </c>
      <c r="W451" t="str">
        <f>"Q"&amp;ROUNDUP(MONTH(Table1_1[[#This Row],[order_date]])/3,0)</f>
        <v>Q4</v>
      </c>
      <c r="X451" t="str">
        <f>TEXT(Table1_1[[#This Row],[order_date]],"yyyy-mm")</f>
        <v>2025-12</v>
      </c>
      <c r="Y451">
        <f>IF(Table1_1[[#This Row],[ship_date]]="","",Table1_1[[#This Row],[ship_date]]-Table1_1[[#This Row],[order_date]])</f>
        <v>4</v>
      </c>
      <c r="Z451">
        <f>ROUND(Table1_1[[#This Row],[profit]]/Table1_1[[#This Row],[sales_fix]]*100,2)</f>
        <v>35.29</v>
      </c>
    </row>
    <row r="452" spans="1:26" x14ac:dyDescent="0.3">
      <c r="A452" t="s">
        <v>2485</v>
      </c>
      <c r="B452" s="1">
        <v>45353</v>
      </c>
      <c r="C452" s="1">
        <v>45355</v>
      </c>
      <c r="D452" t="s">
        <v>453</v>
      </c>
      <c r="E452" t="s">
        <v>454</v>
      </c>
      <c r="F452" t="s">
        <v>55</v>
      </c>
      <c r="G452" t="s">
        <v>35</v>
      </c>
      <c r="H452" t="s">
        <v>187</v>
      </c>
      <c r="I452" t="s">
        <v>126</v>
      </c>
      <c r="J452" t="s">
        <v>127</v>
      </c>
      <c r="K452" t="s">
        <v>95</v>
      </c>
      <c r="L452">
        <v>1</v>
      </c>
      <c r="M452">
        <v>600</v>
      </c>
      <c r="N452">
        <v>15</v>
      </c>
      <c r="O452">
        <v>510</v>
      </c>
      <c r="P452">
        <v>147.59</v>
      </c>
      <c r="Q452" t="s">
        <v>121</v>
      </c>
      <c r="R452" t="s">
        <v>49</v>
      </c>
      <c r="S452" t="s">
        <v>50</v>
      </c>
      <c r="T452">
        <f>YEAR(Table1_1[[#This Row],[order_date]])</f>
        <v>2024</v>
      </c>
      <c r="U452">
        <f>MONTH(Table1_1[[#This Row],[order_date]])</f>
        <v>3</v>
      </c>
      <c r="V452" t="str">
        <f>TEXT(Table1_1[[#This Row],[order_date]],"mmm")</f>
        <v>Mar</v>
      </c>
      <c r="W452" t="str">
        <f>"Q"&amp;ROUNDUP(MONTH(Table1_1[[#This Row],[order_date]])/3,0)</f>
        <v>Q1</v>
      </c>
      <c r="X452" t="str">
        <f>TEXT(Table1_1[[#This Row],[order_date]],"yyyy-mm")</f>
        <v>2024-03</v>
      </c>
      <c r="Y452">
        <f>IF(Table1_1[[#This Row],[ship_date]]="","",Table1_1[[#This Row],[ship_date]]-Table1_1[[#This Row],[order_date]])</f>
        <v>2</v>
      </c>
      <c r="Z452">
        <f>ROUND(Table1_1[[#This Row],[profit]]/Table1_1[[#This Row],[sales_fix]]*100,2)</f>
        <v>28.94</v>
      </c>
    </row>
    <row r="453" spans="1:26" x14ac:dyDescent="0.3">
      <c r="A453" t="s">
        <v>1151</v>
      </c>
      <c r="B453" s="1">
        <v>45952</v>
      </c>
      <c r="C453" s="1">
        <v>45953</v>
      </c>
      <c r="D453" t="s">
        <v>1152</v>
      </c>
      <c r="E453" t="s">
        <v>1153</v>
      </c>
      <c r="F453" t="s">
        <v>55</v>
      </c>
      <c r="G453" t="s">
        <v>61</v>
      </c>
      <c r="H453" t="s">
        <v>211</v>
      </c>
      <c r="I453" t="s">
        <v>46</v>
      </c>
      <c r="J453" t="s">
        <v>47</v>
      </c>
      <c r="K453" t="s">
        <v>48</v>
      </c>
      <c r="L453">
        <v>4</v>
      </c>
      <c r="M453">
        <v>180</v>
      </c>
      <c r="N453">
        <v>5</v>
      </c>
      <c r="O453">
        <v>684</v>
      </c>
      <c r="P453">
        <v>305.73</v>
      </c>
      <c r="Q453" t="s">
        <v>156</v>
      </c>
      <c r="R453" t="s">
        <v>49</v>
      </c>
      <c r="S453" t="s">
        <v>110</v>
      </c>
      <c r="T453">
        <f>YEAR(Table1_1[[#This Row],[order_date]])</f>
        <v>2025</v>
      </c>
      <c r="U453">
        <f>MONTH(Table1_1[[#This Row],[order_date]])</f>
        <v>10</v>
      </c>
      <c r="V453" t="str">
        <f>TEXT(Table1_1[[#This Row],[order_date]],"mmm")</f>
        <v>Oct</v>
      </c>
      <c r="W453" t="str">
        <f>"Q"&amp;ROUNDUP(MONTH(Table1_1[[#This Row],[order_date]])/3,0)</f>
        <v>Q4</v>
      </c>
      <c r="X453" t="str">
        <f>TEXT(Table1_1[[#This Row],[order_date]],"yyyy-mm")</f>
        <v>2025-10</v>
      </c>
      <c r="Y453">
        <f>IF(Table1_1[[#This Row],[ship_date]]="","",Table1_1[[#This Row],[ship_date]]-Table1_1[[#This Row],[order_date]])</f>
        <v>1</v>
      </c>
      <c r="Z453">
        <f>ROUND(Table1_1[[#This Row],[profit]]/Table1_1[[#This Row],[sales_fix]]*100,2)</f>
        <v>44.7</v>
      </c>
    </row>
    <row r="454" spans="1:26" x14ac:dyDescent="0.3">
      <c r="A454" t="s">
        <v>455</v>
      </c>
      <c r="B454" s="1">
        <v>45332</v>
      </c>
      <c r="C454" s="1">
        <v>45340</v>
      </c>
      <c r="D454" t="s">
        <v>457</v>
      </c>
      <c r="E454" t="s">
        <v>458</v>
      </c>
      <c r="F454" t="s">
        <v>55</v>
      </c>
      <c r="G454" t="s">
        <v>44</v>
      </c>
      <c r="H454" t="s">
        <v>24</v>
      </c>
      <c r="I454" t="s">
        <v>25</v>
      </c>
      <c r="J454" t="s">
        <v>26</v>
      </c>
      <c r="K454" t="s">
        <v>27</v>
      </c>
      <c r="L454">
        <v>2</v>
      </c>
      <c r="M454">
        <v>7000</v>
      </c>
      <c r="N454">
        <v>5</v>
      </c>
      <c r="O454">
        <v>13300</v>
      </c>
      <c r="P454">
        <v>2702.48</v>
      </c>
      <c r="Q454" t="s">
        <v>121</v>
      </c>
      <c r="R454" t="s">
        <v>56</v>
      </c>
      <c r="S454" t="s">
        <v>50</v>
      </c>
      <c r="T454">
        <f>YEAR(Table1_1[[#This Row],[order_date]])</f>
        <v>2024</v>
      </c>
      <c r="U454">
        <f>MONTH(Table1_1[[#This Row],[order_date]])</f>
        <v>2</v>
      </c>
      <c r="V454" t="str">
        <f>TEXT(Table1_1[[#This Row],[order_date]],"mmm")</f>
        <v>Feb</v>
      </c>
      <c r="W454" t="str">
        <f>"Q"&amp;ROUNDUP(MONTH(Table1_1[[#This Row],[order_date]])/3,0)</f>
        <v>Q1</v>
      </c>
      <c r="X454" t="str">
        <f>TEXT(Table1_1[[#This Row],[order_date]],"yyyy-mm")</f>
        <v>2024-02</v>
      </c>
      <c r="Y454">
        <f>IF(Table1_1[[#This Row],[ship_date]]="","",Table1_1[[#This Row],[ship_date]]-Table1_1[[#This Row],[order_date]])</f>
        <v>8</v>
      </c>
      <c r="Z454">
        <f>ROUND(Table1_1[[#This Row],[profit]]/Table1_1[[#This Row],[sales_fix]]*100,2)</f>
        <v>20.32</v>
      </c>
    </row>
    <row r="455" spans="1:26" x14ac:dyDescent="0.3">
      <c r="A455" t="s">
        <v>941</v>
      </c>
      <c r="B455" s="1">
        <v>45623</v>
      </c>
      <c r="C455" s="1">
        <v>45626</v>
      </c>
      <c r="D455" t="s">
        <v>942</v>
      </c>
      <c r="E455" t="s">
        <v>943</v>
      </c>
      <c r="F455" t="s">
        <v>23</v>
      </c>
      <c r="G455" t="s">
        <v>44</v>
      </c>
      <c r="H455" t="s">
        <v>155</v>
      </c>
      <c r="I455" t="s">
        <v>37</v>
      </c>
      <c r="J455" t="s">
        <v>38</v>
      </c>
      <c r="K455" t="s">
        <v>27</v>
      </c>
      <c r="L455">
        <v>1</v>
      </c>
      <c r="M455">
        <v>9500</v>
      </c>
      <c r="N455">
        <v>20</v>
      </c>
      <c r="O455">
        <v>7600</v>
      </c>
      <c r="P455">
        <v>1428</v>
      </c>
      <c r="Q455" t="s">
        <v>66</v>
      </c>
      <c r="R455" t="s">
        <v>56</v>
      </c>
      <c r="S455" t="s">
        <v>50</v>
      </c>
      <c r="T455">
        <f>YEAR(Table1_1[[#This Row],[order_date]])</f>
        <v>2024</v>
      </c>
      <c r="U455">
        <f>MONTH(Table1_1[[#This Row],[order_date]])</f>
        <v>11</v>
      </c>
      <c r="V455" t="str">
        <f>TEXT(Table1_1[[#This Row],[order_date]],"mmm")</f>
        <v>Nov</v>
      </c>
      <c r="W455" t="str">
        <f>"Q"&amp;ROUNDUP(MONTH(Table1_1[[#This Row],[order_date]])/3,0)</f>
        <v>Q4</v>
      </c>
      <c r="X455" t="str">
        <f>TEXT(Table1_1[[#This Row],[order_date]],"yyyy-mm")</f>
        <v>2024-11</v>
      </c>
      <c r="Y455">
        <f>IF(Table1_1[[#This Row],[ship_date]]="","",Table1_1[[#This Row],[ship_date]]-Table1_1[[#This Row],[order_date]])</f>
        <v>3</v>
      </c>
      <c r="Z455">
        <f>ROUND(Table1_1[[#This Row],[profit]]/Table1_1[[#This Row],[sales_fix]]*100,2)</f>
        <v>18.79</v>
      </c>
    </row>
    <row r="456" spans="1:26" x14ac:dyDescent="0.3">
      <c r="A456" t="s">
        <v>953</v>
      </c>
      <c r="B456" s="1">
        <v>45561</v>
      </c>
      <c r="C456" s="1">
        <v>45568</v>
      </c>
      <c r="D456" t="s">
        <v>192</v>
      </c>
      <c r="E456" t="s">
        <v>193</v>
      </c>
      <c r="F456" t="s">
        <v>55</v>
      </c>
      <c r="G456" t="s">
        <v>35</v>
      </c>
      <c r="H456" t="s">
        <v>36</v>
      </c>
      <c r="I456" t="s">
        <v>25</v>
      </c>
      <c r="J456" t="s">
        <v>26</v>
      </c>
      <c r="K456" t="s">
        <v>27</v>
      </c>
      <c r="L456">
        <v>2</v>
      </c>
      <c r="M456">
        <v>7000</v>
      </c>
      <c r="N456">
        <v>5</v>
      </c>
      <c r="O456">
        <v>13300</v>
      </c>
      <c r="P456">
        <v>2049.04</v>
      </c>
      <c r="Q456" t="s">
        <v>3113</v>
      </c>
      <c r="R456" t="s">
        <v>29</v>
      </c>
      <c r="S456" t="s">
        <v>86</v>
      </c>
      <c r="T456">
        <f>YEAR(Table1_1[[#This Row],[order_date]])</f>
        <v>2024</v>
      </c>
      <c r="U456">
        <f>MONTH(Table1_1[[#This Row],[order_date]])</f>
        <v>9</v>
      </c>
      <c r="V456" t="str">
        <f>TEXT(Table1_1[[#This Row],[order_date]],"mmm")</f>
        <v>Sep</v>
      </c>
      <c r="W456" t="str">
        <f>"Q"&amp;ROUNDUP(MONTH(Table1_1[[#This Row],[order_date]])/3,0)</f>
        <v>Q3</v>
      </c>
      <c r="X456" t="str">
        <f>TEXT(Table1_1[[#This Row],[order_date]],"yyyy-mm")</f>
        <v>2024-09</v>
      </c>
      <c r="Y456">
        <f>IF(Table1_1[[#This Row],[ship_date]]="","",Table1_1[[#This Row],[ship_date]]-Table1_1[[#This Row],[order_date]])</f>
        <v>7</v>
      </c>
      <c r="Z456">
        <f>ROUND(Table1_1[[#This Row],[profit]]/Table1_1[[#This Row],[sales_fix]]*100,2)</f>
        <v>15.41</v>
      </c>
    </row>
    <row r="457" spans="1:26" x14ac:dyDescent="0.3">
      <c r="A457" t="s">
        <v>2149</v>
      </c>
      <c r="B457" s="1">
        <v>45536</v>
      </c>
      <c r="C457" s="1">
        <v>45543</v>
      </c>
      <c r="D457" t="s">
        <v>981</v>
      </c>
      <c r="E457" t="s">
        <v>982</v>
      </c>
      <c r="F457" t="s">
        <v>23</v>
      </c>
      <c r="G457" t="s">
        <v>91</v>
      </c>
      <c r="H457" t="s">
        <v>177</v>
      </c>
      <c r="I457" t="s">
        <v>93</v>
      </c>
      <c r="J457" t="s">
        <v>94</v>
      </c>
      <c r="K457" t="s">
        <v>95</v>
      </c>
      <c r="L457">
        <v>1</v>
      </c>
      <c r="M457">
        <v>1800</v>
      </c>
      <c r="N457">
        <v>0</v>
      </c>
      <c r="O457">
        <v>1800</v>
      </c>
      <c r="P457">
        <v>606.89</v>
      </c>
      <c r="Q457" t="s">
        <v>121</v>
      </c>
      <c r="R457" t="s">
        <v>56</v>
      </c>
      <c r="S457" t="s">
        <v>30</v>
      </c>
      <c r="T457">
        <f>YEAR(Table1_1[[#This Row],[order_date]])</f>
        <v>2024</v>
      </c>
      <c r="U457">
        <f>MONTH(Table1_1[[#This Row],[order_date]])</f>
        <v>9</v>
      </c>
      <c r="V457" t="str">
        <f>TEXT(Table1_1[[#This Row],[order_date]],"mmm")</f>
        <v>Sep</v>
      </c>
      <c r="W457" t="str">
        <f>"Q"&amp;ROUNDUP(MONTH(Table1_1[[#This Row],[order_date]])/3,0)</f>
        <v>Q3</v>
      </c>
      <c r="X457" t="str">
        <f>TEXT(Table1_1[[#This Row],[order_date]],"yyyy-mm")</f>
        <v>2024-09</v>
      </c>
      <c r="Y457">
        <f>IF(Table1_1[[#This Row],[ship_date]]="","",Table1_1[[#This Row],[ship_date]]-Table1_1[[#This Row],[order_date]])</f>
        <v>7</v>
      </c>
      <c r="Z457">
        <f>ROUND(Table1_1[[#This Row],[profit]]/Table1_1[[#This Row],[sales_fix]]*100,2)</f>
        <v>33.72</v>
      </c>
    </row>
    <row r="458" spans="1:26" x14ac:dyDescent="0.3">
      <c r="A458" t="s">
        <v>1129</v>
      </c>
      <c r="B458" s="1">
        <v>45919</v>
      </c>
      <c r="C458" s="1">
        <v>45921</v>
      </c>
      <c r="D458" t="s">
        <v>291</v>
      </c>
      <c r="E458" t="s">
        <v>292</v>
      </c>
      <c r="F458" t="s">
        <v>55</v>
      </c>
      <c r="G458" t="s">
        <v>35</v>
      </c>
      <c r="H458" t="s">
        <v>187</v>
      </c>
      <c r="I458" t="s">
        <v>79</v>
      </c>
      <c r="J458" t="s">
        <v>80</v>
      </c>
      <c r="K458" t="s">
        <v>65</v>
      </c>
      <c r="L458">
        <v>1</v>
      </c>
      <c r="M458">
        <v>3000</v>
      </c>
      <c r="N458">
        <v>5</v>
      </c>
      <c r="O458">
        <v>2850</v>
      </c>
      <c r="P458">
        <v>817.69</v>
      </c>
      <c r="Q458" t="s">
        <v>66</v>
      </c>
      <c r="R458" t="s">
        <v>56</v>
      </c>
      <c r="S458" t="s">
        <v>86</v>
      </c>
      <c r="T458">
        <f>YEAR(Table1_1[[#This Row],[order_date]])</f>
        <v>2025</v>
      </c>
      <c r="U458">
        <f>MONTH(Table1_1[[#This Row],[order_date]])</f>
        <v>9</v>
      </c>
      <c r="V458" t="str">
        <f>TEXT(Table1_1[[#This Row],[order_date]],"mmm")</f>
        <v>Sep</v>
      </c>
      <c r="W458" t="str">
        <f>"Q"&amp;ROUNDUP(MONTH(Table1_1[[#This Row],[order_date]])/3,0)</f>
        <v>Q3</v>
      </c>
      <c r="X458" t="str">
        <f>TEXT(Table1_1[[#This Row],[order_date]],"yyyy-mm")</f>
        <v>2025-09</v>
      </c>
      <c r="Y458">
        <f>IF(Table1_1[[#This Row],[ship_date]]="","",Table1_1[[#This Row],[ship_date]]-Table1_1[[#This Row],[order_date]])</f>
        <v>2</v>
      </c>
      <c r="Z458">
        <f>ROUND(Table1_1[[#This Row],[profit]]/Table1_1[[#This Row],[sales_fix]]*100,2)</f>
        <v>28.69</v>
      </c>
    </row>
    <row r="459" spans="1:26" x14ac:dyDescent="0.3">
      <c r="A459" t="s">
        <v>2519</v>
      </c>
      <c r="B459" s="1">
        <v>45474</v>
      </c>
      <c r="C459" s="1">
        <v>45478</v>
      </c>
      <c r="D459" t="s">
        <v>592</v>
      </c>
      <c r="E459" t="s">
        <v>593</v>
      </c>
      <c r="F459" t="s">
        <v>55</v>
      </c>
      <c r="G459" t="s">
        <v>35</v>
      </c>
      <c r="H459" t="s">
        <v>258</v>
      </c>
      <c r="I459" t="s">
        <v>79</v>
      </c>
      <c r="J459" t="s">
        <v>80</v>
      </c>
      <c r="K459" t="s">
        <v>65</v>
      </c>
      <c r="L459">
        <v>4</v>
      </c>
      <c r="M459">
        <v>3000</v>
      </c>
      <c r="N459">
        <v>0</v>
      </c>
      <c r="O459">
        <v>12000</v>
      </c>
      <c r="P459">
        <v>2674.16</v>
      </c>
      <c r="Q459" t="s">
        <v>66</v>
      </c>
      <c r="R459" t="s">
        <v>29</v>
      </c>
      <c r="S459" t="s">
        <v>40</v>
      </c>
      <c r="T459">
        <f>YEAR(Table1_1[[#This Row],[order_date]])</f>
        <v>2024</v>
      </c>
      <c r="U459">
        <f>MONTH(Table1_1[[#This Row],[order_date]])</f>
        <v>7</v>
      </c>
      <c r="V459" t="str">
        <f>TEXT(Table1_1[[#This Row],[order_date]],"mmm")</f>
        <v>Jul</v>
      </c>
      <c r="W459" t="str">
        <f>"Q"&amp;ROUNDUP(MONTH(Table1_1[[#This Row],[order_date]])/3,0)</f>
        <v>Q3</v>
      </c>
      <c r="X459" t="str">
        <f>TEXT(Table1_1[[#This Row],[order_date]],"yyyy-mm")</f>
        <v>2024-07</v>
      </c>
      <c r="Y459">
        <f>IF(Table1_1[[#This Row],[ship_date]]="","",Table1_1[[#This Row],[ship_date]]-Table1_1[[#This Row],[order_date]])</f>
        <v>4</v>
      </c>
      <c r="Z459">
        <f>ROUND(Table1_1[[#This Row],[profit]]/Table1_1[[#This Row],[sales_fix]]*100,2)</f>
        <v>22.28</v>
      </c>
    </row>
    <row r="460" spans="1:26" x14ac:dyDescent="0.3">
      <c r="A460" t="s">
        <v>2561</v>
      </c>
      <c r="B460" s="1">
        <v>45793</v>
      </c>
      <c r="C460" s="1">
        <v>45794</v>
      </c>
      <c r="D460" t="s">
        <v>336</v>
      </c>
      <c r="E460" t="s">
        <v>337</v>
      </c>
      <c r="F460" t="s">
        <v>34</v>
      </c>
      <c r="G460" t="s">
        <v>61</v>
      </c>
      <c r="H460" t="s">
        <v>211</v>
      </c>
      <c r="I460" t="s">
        <v>126</v>
      </c>
      <c r="J460" t="s">
        <v>127</v>
      </c>
      <c r="K460" t="s">
        <v>95</v>
      </c>
      <c r="L460">
        <v>2</v>
      </c>
      <c r="M460">
        <v>600</v>
      </c>
      <c r="N460">
        <v>15</v>
      </c>
      <c r="O460">
        <v>1020</v>
      </c>
      <c r="P460">
        <v>387.6</v>
      </c>
      <c r="Q460" t="s">
        <v>74</v>
      </c>
      <c r="R460" t="s">
        <v>29</v>
      </c>
      <c r="S460" t="s">
        <v>40</v>
      </c>
      <c r="T460">
        <f>YEAR(Table1_1[[#This Row],[order_date]])</f>
        <v>2025</v>
      </c>
      <c r="U460">
        <f>MONTH(Table1_1[[#This Row],[order_date]])</f>
        <v>5</v>
      </c>
      <c r="V460" t="str">
        <f>TEXT(Table1_1[[#This Row],[order_date]],"mmm")</f>
        <v>May</v>
      </c>
      <c r="W460" t="str">
        <f>"Q"&amp;ROUNDUP(MONTH(Table1_1[[#This Row],[order_date]])/3,0)</f>
        <v>Q2</v>
      </c>
      <c r="X460" t="str">
        <f>TEXT(Table1_1[[#This Row],[order_date]],"yyyy-mm")</f>
        <v>2025-05</v>
      </c>
      <c r="Y460">
        <f>IF(Table1_1[[#This Row],[ship_date]]="","",Table1_1[[#This Row],[ship_date]]-Table1_1[[#This Row],[order_date]])</f>
        <v>1</v>
      </c>
      <c r="Z460">
        <f>ROUND(Table1_1[[#This Row],[profit]]/Table1_1[[#This Row],[sales_fix]]*100,2)</f>
        <v>38</v>
      </c>
    </row>
    <row r="461" spans="1:26" x14ac:dyDescent="0.3">
      <c r="A461" t="s">
        <v>1879</v>
      </c>
      <c r="B461" s="1">
        <v>45505</v>
      </c>
      <c r="C461" s="1">
        <v>45506</v>
      </c>
      <c r="D461" t="s">
        <v>142</v>
      </c>
      <c r="E461" t="s">
        <v>143</v>
      </c>
      <c r="F461" t="s">
        <v>34</v>
      </c>
      <c r="G461" t="s">
        <v>44</v>
      </c>
      <c r="H461" t="s">
        <v>24</v>
      </c>
      <c r="I461" t="s">
        <v>114</v>
      </c>
      <c r="J461" t="s">
        <v>115</v>
      </c>
      <c r="K461" t="s">
        <v>65</v>
      </c>
      <c r="L461">
        <v>3</v>
      </c>
      <c r="M461">
        <v>55000</v>
      </c>
      <c r="N461">
        <v>20</v>
      </c>
      <c r="O461">
        <v>132000</v>
      </c>
      <c r="P461">
        <v>17391.91</v>
      </c>
      <c r="Q461" t="s">
        <v>74</v>
      </c>
      <c r="R461" t="s">
        <v>56</v>
      </c>
      <c r="S461" t="s">
        <v>30</v>
      </c>
      <c r="T461">
        <f>YEAR(Table1_1[[#This Row],[order_date]])</f>
        <v>2024</v>
      </c>
      <c r="U461">
        <f>MONTH(Table1_1[[#This Row],[order_date]])</f>
        <v>8</v>
      </c>
      <c r="V461" t="str">
        <f>TEXT(Table1_1[[#This Row],[order_date]],"mmm")</f>
        <v>Aug</v>
      </c>
      <c r="W461" t="str">
        <f>"Q"&amp;ROUNDUP(MONTH(Table1_1[[#This Row],[order_date]])/3,0)</f>
        <v>Q3</v>
      </c>
      <c r="X461" t="str">
        <f>TEXT(Table1_1[[#This Row],[order_date]],"yyyy-mm")</f>
        <v>2024-08</v>
      </c>
      <c r="Y461">
        <f>IF(Table1_1[[#This Row],[ship_date]]="","",Table1_1[[#This Row],[ship_date]]-Table1_1[[#This Row],[order_date]])</f>
        <v>1</v>
      </c>
      <c r="Z461">
        <f>ROUND(Table1_1[[#This Row],[profit]]/Table1_1[[#This Row],[sales_fix]]*100,2)</f>
        <v>13.18</v>
      </c>
    </row>
    <row r="462" spans="1:26" x14ac:dyDescent="0.3">
      <c r="A462" t="s">
        <v>2319</v>
      </c>
      <c r="B462" s="1">
        <v>45351</v>
      </c>
      <c r="C462" s="1">
        <v>45353</v>
      </c>
      <c r="D462" t="s">
        <v>1414</v>
      </c>
      <c r="E462" t="s">
        <v>1415</v>
      </c>
      <c r="F462" t="s">
        <v>55</v>
      </c>
      <c r="G462" t="s">
        <v>44</v>
      </c>
      <c r="H462" t="s">
        <v>24</v>
      </c>
      <c r="I462" t="s">
        <v>71</v>
      </c>
      <c r="J462" t="s">
        <v>72</v>
      </c>
      <c r="K462" t="s">
        <v>73</v>
      </c>
      <c r="L462">
        <v>4</v>
      </c>
      <c r="M462">
        <v>3500</v>
      </c>
      <c r="N462">
        <v>0</v>
      </c>
      <c r="O462">
        <v>14000</v>
      </c>
      <c r="P462">
        <v>4084.01</v>
      </c>
      <c r="Q462" t="s">
        <v>74</v>
      </c>
      <c r="R462" t="s">
        <v>29</v>
      </c>
      <c r="S462" t="s">
        <v>50</v>
      </c>
      <c r="T462">
        <f>YEAR(Table1_1[[#This Row],[order_date]])</f>
        <v>2024</v>
      </c>
      <c r="U462">
        <f>MONTH(Table1_1[[#This Row],[order_date]])</f>
        <v>2</v>
      </c>
      <c r="V462" t="str">
        <f>TEXT(Table1_1[[#This Row],[order_date]],"mmm")</f>
        <v>Feb</v>
      </c>
      <c r="W462" t="str">
        <f>"Q"&amp;ROUNDUP(MONTH(Table1_1[[#This Row],[order_date]])/3,0)</f>
        <v>Q1</v>
      </c>
      <c r="X462" t="str">
        <f>TEXT(Table1_1[[#This Row],[order_date]],"yyyy-mm")</f>
        <v>2024-02</v>
      </c>
      <c r="Y462">
        <f>IF(Table1_1[[#This Row],[ship_date]]="","",Table1_1[[#This Row],[ship_date]]-Table1_1[[#This Row],[order_date]])</f>
        <v>2</v>
      </c>
      <c r="Z462">
        <f>ROUND(Table1_1[[#This Row],[profit]]/Table1_1[[#This Row],[sales_fix]]*100,2)</f>
        <v>29.17</v>
      </c>
    </row>
    <row r="463" spans="1:26" x14ac:dyDescent="0.3">
      <c r="A463" t="s">
        <v>938</v>
      </c>
      <c r="B463" s="1">
        <v>45395</v>
      </c>
      <c r="C463" s="1">
        <v>45399</v>
      </c>
      <c r="D463" t="s">
        <v>939</v>
      </c>
      <c r="E463" t="s">
        <v>940</v>
      </c>
      <c r="F463" t="s">
        <v>55</v>
      </c>
      <c r="G463" t="s">
        <v>61</v>
      </c>
      <c r="H463" t="s">
        <v>78</v>
      </c>
      <c r="I463" t="s">
        <v>63</v>
      </c>
      <c r="J463" t="s">
        <v>64</v>
      </c>
      <c r="K463" t="s">
        <v>65</v>
      </c>
      <c r="L463">
        <v>3</v>
      </c>
      <c r="M463">
        <v>25000</v>
      </c>
      <c r="N463">
        <v>10</v>
      </c>
      <c r="O463">
        <v>67500</v>
      </c>
      <c r="P463">
        <v>8648.09</v>
      </c>
      <c r="Q463" t="s">
        <v>39</v>
      </c>
      <c r="R463" t="s">
        <v>56</v>
      </c>
      <c r="S463" t="s">
        <v>50</v>
      </c>
      <c r="T463">
        <f>YEAR(Table1_1[[#This Row],[order_date]])</f>
        <v>2024</v>
      </c>
      <c r="U463">
        <f>MONTH(Table1_1[[#This Row],[order_date]])</f>
        <v>4</v>
      </c>
      <c r="V463" t="str">
        <f>TEXT(Table1_1[[#This Row],[order_date]],"mmm")</f>
        <v>Apr</v>
      </c>
      <c r="W463" t="str">
        <f>"Q"&amp;ROUNDUP(MONTH(Table1_1[[#This Row],[order_date]])/3,0)</f>
        <v>Q2</v>
      </c>
      <c r="X463" t="str">
        <f>TEXT(Table1_1[[#This Row],[order_date]],"yyyy-mm")</f>
        <v>2024-04</v>
      </c>
      <c r="Y463">
        <f>IF(Table1_1[[#This Row],[ship_date]]="","",Table1_1[[#This Row],[ship_date]]-Table1_1[[#This Row],[order_date]])</f>
        <v>4</v>
      </c>
      <c r="Z463">
        <f>ROUND(Table1_1[[#This Row],[profit]]/Table1_1[[#This Row],[sales_fix]]*100,2)</f>
        <v>12.81</v>
      </c>
    </row>
    <row r="464" spans="1:26" x14ac:dyDescent="0.3">
      <c r="A464" t="s">
        <v>1928</v>
      </c>
      <c r="B464" s="1">
        <v>45475</v>
      </c>
      <c r="C464" s="1">
        <v>45477</v>
      </c>
      <c r="D464" t="s">
        <v>321</v>
      </c>
      <c r="E464" t="s">
        <v>322</v>
      </c>
      <c r="F464" t="s">
        <v>34</v>
      </c>
      <c r="G464" t="s">
        <v>91</v>
      </c>
      <c r="H464" t="s">
        <v>109</v>
      </c>
      <c r="I464" t="s">
        <v>126</v>
      </c>
      <c r="J464" t="s">
        <v>127</v>
      </c>
      <c r="K464" t="s">
        <v>95</v>
      </c>
      <c r="L464">
        <v>2</v>
      </c>
      <c r="M464">
        <v>600</v>
      </c>
      <c r="N464">
        <v>10</v>
      </c>
      <c r="O464">
        <v>1080</v>
      </c>
      <c r="P464">
        <v>355.44</v>
      </c>
      <c r="Q464" t="s">
        <v>156</v>
      </c>
      <c r="R464" t="s">
        <v>56</v>
      </c>
      <c r="S464" t="s">
        <v>110</v>
      </c>
      <c r="T464">
        <f>YEAR(Table1_1[[#This Row],[order_date]])</f>
        <v>2024</v>
      </c>
      <c r="U464">
        <f>MONTH(Table1_1[[#This Row],[order_date]])</f>
        <v>7</v>
      </c>
      <c r="V464" t="str">
        <f>TEXT(Table1_1[[#This Row],[order_date]],"mmm")</f>
        <v>Jul</v>
      </c>
      <c r="W464" t="str">
        <f>"Q"&amp;ROUNDUP(MONTH(Table1_1[[#This Row],[order_date]])/3,0)</f>
        <v>Q3</v>
      </c>
      <c r="X464" t="str">
        <f>TEXT(Table1_1[[#This Row],[order_date]],"yyyy-mm")</f>
        <v>2024-07</v>
      </c>
      <c r="Y464">
        <f>IF(Table1_1[[#This Row],[ship_date]]="","",Table1_1[[#This Row],[ship_date]]-Table1_1[[#This Row],[order_date]])</f>
        <v>2</v>
      </c>
      <c r="Z464">
        <f>ROUND(Table1_1[[#This Row],[profit]]/Table1_1[[#This Row],[sales_fix]]*100,2)</f>
        <v>32.909999999999997</v>
      </c>
    </row>
    <row r="465" spans="1:26" x14ac:dyDescent="0.3">
      <c r="A465" t="s">
        <v>1542</v>
      </c>
      <c r="B465" s="1">
        <v>45973</v>
      </c>
      <c r="C465" s="1">
        <v>45980</v>
      </c>
      <c r="D465" t="s">
        <v>494</v>
      </c>
      <c r="E465" t="s">
        <v>495</v>
      </c>
      <c r="F465" t="s">
        <v>34</v>
      </c>
      <c r="G465" t="s">
        <v>35</v>
      </c>
      <c r="H465" t="s">
        <v>258</v>
      </c>
      <c r="I465" t="s">
        <v>71</v>
      </c>
      <c r="J465" t="s">
        <v>72</v>
      </c>
      <c r="K465" t="s">
        <v>73</v>
      </c>
      <c r="L465">
        <v>1</v>
      </c>
      <c r="M465">
        <v>3500</v>
      </c>
      <c r="N465">
        <v>20</v>
      </c>
      <c r="O465">
        <v>2800</v>
      </c>
      <c r="P465">
        <v>691.85</v>
      </c>
      <c r="Q465" t="s">
        <v>39</v>
      </c>
      <c r="R465" t="s">
        <v>49</v>
      </c>
      <c r="S465" t="s">
        <v>50</v>
      </c>
      <c r="T465">
        <f>YEAR(Table1_1[[#This Row],[order_date]])</f>
        <v>2025</v>
      </c>
      <c r="U465">
        <f>MONTH(Table1_1[[#This Row],[order_date]])</f>
        <v>11</v>
      </c>
      <c r="V465" t="str">
        <f>TEXT(Table1_1[[#This Row],[order_date]],"mmm")</f>
        <v>Nov</v>
      </c>
      <c r="W465" t="str">
        <f>"Q"&amp;ROUNDUP(MONTH(Table1_1[[#This Row],[order_date]])/3,0)</f>
        <v>Q4</v>
      </c>
      <c r="X465" t="str">
        <f>TEXT(Table1_1[[#This Row],[order_date]],"yyyy-mm")</f>
        <v>2025-11</v>
      </c>
      <c r="Y465">
        <f>IF(Table1_1[[#This Row],[ship_date]]="","",Table1_1[[#This Row],[ship_date]]-Table1_1[[#This Row],[order_date]])</f>
        <v>7</v>
      </c>
      <c r="Z465">
        <f>ROUND(Table1_1[[#This Row],[profit]]/Table1_1[[#This Row],[sales_fix]]*100,2)</f>
        <v>24.71</v>
      </c>
    </row>
    <row r="466" spans="1:26" x14ac:dyDescent="0.3">
      <c r="A466" t="s">
        <v>2571</v>
      </c>
      <c r="B466" s="1">
        <v>45745</v>
      </c>
      <c r="C466" s="1">
        <v>45751</v>
      </c>
      <c r="D466" t="s">
        <v>98</v>
      </c>
      <c r="E466" t="s">
        <v>99</v>
      </c>
      <c r="F466" t="s">
        <v>34</v>
      </c>
      <c r="G466" t="s">
        <v>91</v>
      </c>
      <c r="H466" t="s">
        <v>92</v>
      </c>
      <c r="I466" t="s">
        <v>93</v>
      </c>
      <c r="J466" t="s">
        <v>94</v>
      </c>
      <c r="K466" t="s">
        <v>95</v>
      </c>
      <c r="L466">
        <v>5</v>
      </c>
      <c r="M466">
        <v>1800</v>
      </c>
      <c r="N466">
        <v>0</v>
      </c>
      <c r="O466">
        <v>9000</v>
      </c>
      <c r="P466">
        <v>2898.1</v>
      </c>
      <c r="Q466" t="s">
        <v>74</v>
      </c>
      <c r="R466" t="s">
        <v>49</v>
      </c>
      <c r="S466" t="s">
        <v>30</v>
      </c>
      <c r="T466">
        <f>YEAR(Table1_1[[#This Row],[order_date]])</f>
        <v>2025</v>
      </c>
      <c r="U466">
        <f>MONTH(Table1_1[[#This Row],[order_date]])</f>
        <v>3</v>
      </c>
      <c r="V466" t="str">
        <f>TEXT(Table1_1[[#This Row],[order_date]],"mmm")</f>
        <v>Mar</v>
      </c>
      <c r="W466" t="str">
        <f>"Q"&amp;ROUNDUP(MONTH(Table1_1[[#This Row],[order_date]])/3,0)</f>
        <v>Q1</v>
      </c>
      <c r="X466" t="str">
        <f>TEXT(Table1_1[[#This Row],[order_date]],"yyyy-mm")</f>
        <v>2025-03</v>
      </c>
      <c r="Y466">
        <f>IF(Table1_1[[#This Row],[ship_date]]="","",Table1_1[[#This Row],[ship_date]]-Table1_1[[#This Row],[order_date]])</f>
        <v>6</v>
      </c>
      <c r="Z466">
        <f>ROUND(Table1_1[[#This Row],[profit]]/Table1_1[[#This Row],[sales_fix]]*100,2)</f>
        <v>32.200000000000003</v>
      </c>
    </row>
    <row r="467" spans="1:26" x14ac:dyDescent="0.3">
      <c r="A467" t="s">
        <v>2819</v>
      </c>
      <c r="B467" s="1">
        <v>45538</v>
      </c>
      <c r="C467" s="1">
        <v>45543</v>
      </c>
      <c r="D467" t="s">
        <v>2043</v>
      </c>
      <c r="E467" t="s">
        <v>2044</v>
      </c>
      <c r="F467" t="s">
        <v>55</v>
      </c>
      <c r="G467" t="s">
        <v>61</v>
      </c>
      <c r="H467" t="s">
        <v>125</v>
      </c>
      <c r="I467" t="s">
        <v>93</v>
      </c>
      <c r="J467" t="s">
        <v>94</v>
      </c>
      <c r="K467" t="s">
        <v>95</v>
      </c>
      <c r="L467">
        <v>2</v>
      </c>
      <c r="M467">
        <v>1800</v>
      </c>
      <c r="N467">
        <v>0</v>
      </c>
      <c r="O467">
        <v>3600</v>
      </c>
      <c r="P467">
        <v>1071.03</v>
      </c>
      <c r="Q467" t="s">
        <v>74</v>
      </c>
      <c r="R467" t="s">
        <v>49</v>
      </c>
      <c r="S467" t="s">
        <v>30</v>
      </c>
      <c r="T467">
        <f>YEAR(Table1_1[[#This Row],[order_date]])</f>
        <v>2024</v>
      </c>
      <c r="U467">
        <f>MONTH(Table1_1[[#This Row],[order_date]])</f>
        <v>9</v>
      </c>
      <c r="V467" t="str">
        <f>TEXT(Table1_1[[#This Row],[order_date]],"mmm")</f>
        <v>Sep</v>
      </c>
      <c r="W467" t="str">
        <f>"Q"&amp;ROUNDUP(MONTH(Table1_1[[#This Row],[order_date]])/3,0)</f>
        <v>Q3</v>
      </c>
      <c r="X467" t="str">
        <f>TEXT(Table1_1[[#This Row],[order_date]],"yyyy-mm")</f>
        <v>2024-09</v>
      </c>
      <c r="Y467">
        <f>IF(Table1_1[[#This Row],[ship_date]]="","",Table1_1[[#This Row],[ship_date]]-Table1_1[[#This Row],[order_date]])</f>
        <v>5</v>
      </c>
      <c r="Z467">
        <f>ROUND(Table1_1[[#This Row],[profit]]/Table1_1[[#This Row],[sales_fix]]*100,2)</f>
        <v>29.75</v>
      </c>
    </row>
    <row r="468" spans="1:26" x14ac:dyDescent="0.3">
      <c r="A468" t="s">
        <v>2398</v>
      </c>
      <c r="B468" s="1">
        <v>45327</v>
      </c>
      <c r="C468" s="1">
        <v>45330</v>
      </c>
      <c r="D468" t="s">
        <v>609</v>
      </c>
      <c r="E468" t="s">
        <v>610</v>
      </c>
      <c r="F468" t="s">
        <v>23</v>
      </c>
      <c r="G468" t="s">
        <v>44</v>
      </c>
      <c r="H468" t="s">
        <v>155</v>
      </c>
      <c r="I468" t="s">
        <v>114</v>
      </c>
      <c r="J468" t="s">
        <v>115</v>
      </c>
      <c r="K468" t="s">
        <v>65</v>
      </c>
      <c r="L468">
        <v>10</v>
      </c>
      <c r="M468">
        <v>55000</v>
      </c>
      <c r="N468">
        <v>10</v>
      </c>
      <c r="O468">
        <v>495000</v>
      </c>
      <c r="P468">
        <v>62951.02</v>
      </c>
      <c r="Q468" t="s">
        <v>74</v>
      </c>
      <c r="R468" t="s">
        <v>29</v>
      </c>
      <c r="S468" t="s">
        <v>110</v>
      </c>
      <c r="T468">
        <f>YEAR(Table1_1[[#This Row],[order_date]])</f>
        <v>2024</v>
      </c>
      <c r="U468">
        <f>MONTH(Table1_1[[#This Row],[order_date]])</f>
        <v>2</v>
      </c>
      <c r="V468" t="str">
        <f>TEXT(Table1_1[[#This Row],[order_date]],"mmm")</f>
        <v>Feb</v>
      </c>
      <c r="W468" t="str">
        <f>"Q"&amp;ROUNDUP(MONTH(Table1_1[[#This Row],[order_date]])/3,0)</f>
        <v>Q1</v>
      </c>
      <c r="X468" t="str">
        <f>TEXT(Table1_1[[#This Row],[order_date]],"yyyy-mm")</f>
        <v>2024-02</v>
      </c>
      <c r="Y468">
        <f>IF(Table1_1[[#This Row],[ship_date]]="","",Table1_1[[#This Row],[ship_date]]-Table1_1[[#This Row],[order_date]])</f>
        <v>3</v>
      </c>
      <c r="Z468">
        <f>ROUND(Table1_1[[#This Row],[profit]]/Table1_1[[#This Row],[sales_fix]]*100,2)</f>
        <v>12.72</v>
      </c>
    </row>
    <row r="469" spans="1:26" x14ac:dyDescent="0.3">
      <c r="A469" t="s">
        <v>443</v>
      </c>
      <c r="B469" s="1">
        <v>45614</v>
      </c>
      <c r="C469" s="1">
        <v>45617</v>
      </c>
      <c r="D469" t="s">
        <v>444</v>
      </c>
      <c r="E469" t="s">
        <v>445</v>
      </c>
      <c r="F469" t="s">
        <v>55</v>
      </c>
      <c r="G469" t="s">
        <v>91</v>
      </c>
      <c r="H469" t="s">
        <v>92</v>
      </c>
      <c r="I469" t="s">
        <v>103</v>
      </c>
      <c r="J469" t="s">
        <v>104</v>
      </c>
      <c r="K469" t="s">
        <v>65</v>
      </c>
      <c r="L469">
        <v>4</v>
      </c>
      <c r="M469">
        <v>8000</v>
      </c>
      <c r="N469">
        <v>15</v>
      </c>
      <c r="O469">
        <v>27200</v>
      </c>
      <c r="P469">
        <v>6996.76</v>
      </c>
      <c r="Q469" t="s">
        <v>66</v>
      </c>
      <c r="R469" t="s">
        <v>29</v>
      </c>
      <c r="S469" t="s">
        <v>30</v>
      </c>
      <c r="T469">
        <f>YEAR(Table1_1[[#This Row],[order_date]])</f>
        <v>2024</v>
      </c>
      <c r="U469">
        <f>MONTH(Table1_1[[#This Row],[order_date]])</f>
        <v>11</v>
      </c>
      <c r="V469" t="str">
        <f>TEXT(Table1_1[[#This Row],[order_date]],"mmm")</f>
        <v>Nov</v>
      </c>
      <c r="W469" t="str">
        <f>"Q"&amp;ROUNDUP(MONTH(Table1_1[[#This Row],[order_date]])/3,0)</f>
        <v>Q4</v>
      </c>
      <c r="X469" t="str">
        <f>TEXT(Table1_1[[#This Row],[order_date]],"yyyy-mm")</f>
        <v>2024-11</v>
      </c>
      <c r="Y469">
        <f>IF(Table1_1[[#This Row],[ship_date]]="","",Table1_1[[#This Row],[ship_date]]-Table1_1[[#This Row],[order_date]])</f>
        <v>3</v>
      </c>
      <c r="Z469">
        <f>ROUND(Table1_1[[#This Row],[profit]]/Table1_1[[#This Row],[sales_fix]]*100,2)</f>
        <v>25.72</v>
      </c>
    </row>
    <row r="470" spans="1:26" x14ac:dyDescent="0.3">
      <c r="A470" t="s">
        <v>2710</v>
      </c>
      <c r="B470" s="1">
        <v>45433</v>
      </c>
      <c r="C470" s="1">
        <v>45438</v>
      </c>
      <c r="D470" t="s">
        <v>1265</v>
      </c>
      <c r="E470" t="s">
        <v>1266</v>
      </c>
      <c r="F470" t="s">
        <v>23</v>
      </c>
      <c r="G470" t="s">
        <v>35</v>
      </c>
      <c r="H470" t="s">
        <v>36</v>
      </c>
      <c r="I470" t="s">
        <v>79</v>
      </c>
      <c r="J470" t="s">
        <v>80</v>
      </c>
      <c r="K470" t="s">
        <v>65</v>
      </c>
      <c r="L470">
        <v>1</v>
      </c>
      <c r="M470">
        <v>3000</v>
      </c>
      <c r="N470">
        <v>10</v>
      </c>
      <c r="O470">
        <v>2700</v>
      </c>
      <c r="P470">
        <v>647.95000000000005</v>
      </c>
      <c r="Q470" t="s">
        <v>74</v>
      </c>
      <c r="R470" t="s">
        <v>29</v>
      </c>
      <c r="S470" t="s">
        <v>40</v>
      </c>
      <c r="T470">
        <f>YEAR(Table1_1[[#This Row],[order_date]])</f>
        <v>2024</v>
      </c>
      <c r="U470">
        <f>MONTH(Table1_1[[#This Row],[order_date]])</f>
        <v>5</v>
      </c>
      <c r="V470" t="str">
        <f>TEXT(Table1_1[[#This Row],[order_date]],"mmm")</f>
        <v>May</v>
      </c>
      <c r="W470" t="str">
        <f>"Q"&amp;ROUNDUP(MONTH(Table1_1[[#This Row],[order_date]])/3,0)</f>
        <v>Q2</v>
      </c>
      <c r="X470" t="str">
        <f>TEXT(Table1_1[[#This Row],[order_date]],"yyyy-mm")</f>
        <v>2024-05</v>
      </c>
      <c r="Y470">
        <f>IF(Table1_1[[#This Row],[ship_date]]="","",Table1_1[[#This Row],[ship_date]]-Table1_1[[#This Row],[order_date]])</f>
        <v>5</v>
      </c>
      <c r="Z470">
        <f>ROUND(Table1_1[[#This Row],[profit]]/Table1_1[[#This Row],[sales_fix]]*100,2)</f>
        <v>24</v>
      </c>
    </row>
    <row r="471" spans="1:26" x14ac:dyDescent="0.3">
      <c r="A471" t="s">
        <v>2390</v>
      </c>
      <c r="B471" s="1">
        <v>45514</v>
      </c>
      <c r="C471" s="1">
        <v>45522</v>
      </c>
      <c r="D471" t="s">
        <v>1751</v>
      </c>
      <c r="E471" t="s">
        <v>1752</v>
      </c>
      <c r="F471" t="s">
        <v>34</v>
      </c>
      <c r="G471" t="s">
        <v>44</v>
      </c>
      <c r="H471" t="s">
        <v>161</v>
      </c>
      <c r="I471" t="s">
        <v>93</v>
      </c>
      <c r="J471" t="s">
        <v>94</v>
      </c>
      <c r="K471" t="s">
        <v>95</v>
      </c>
      <c r="L471">
        <v>3</v>
      </c>
      <c r="M471">
        <v>1800</v>
      </c>
      <c r="N471">
        <v>15</v>
      </c>
      <c r="O471">
        <v>4590</v>
      </c>
      <c r="P471">
        <v>1333.2</v>
      </c>
      <c r="Q471" t="s">
        <v>121</v>
      </c>
      <c r="R471" t="s">
        <v>49</v>
      </c>
      <c r="S471" t="s">
        <v>40</v>
      </c>
      <c r="T471">
        <f>YEAR(Table1_1[[#This Row],[order_date]])</f>
        <v>2024</v>
      </c>
      <c r="U471">
        <f>MONTH(Table1_1[[#This Row],[order_date]])</f>
        <v>8</v>
      </c>
      <c r="V471" t="str">
        <f>TEXT(Table1_1[[#This Row],[order_date]],"mmm")</f>
        <v>Aug</v>
      </c>
      <c r="W471" t="str">
        <f>"Q"&amp;ROUNDUP(MONTH(Table1_1[[#This Row],[order_date]])/3,0)</f>
        <v>Q3</v>
      </c>
      <c r="X471" t="str">
        <f>TEXT(Table1_1[[#This Row],[order_date]],"yyyy-mm")</f>
        <v>2024-08</v>
      </c>
      <c r="Y471">
        <f>IF(Table1_1[[#This Row],[ship_date]]="","",Table1_1[[#This Row],[ship_date]]-Table1_1[[#This Row],[order_date]])</f>
        <v>8</v>
      </c>
      <c r="Z471">
        <f>ROUND(Table1_1[[#This Row],[profit]]/Table1_1[[#This Row],[sales_fix]]*100,2)</f>
        <v>29.05</v>
      </c>
    </row>
    <row r="472" spans="1:26" x14ac:dyDescent="0.3">
      <c r="A472" t="s">
        <v>1051</v>
      </c>
      <c r="B472" s="1">
        <v>45949</v>
      </c>
      <c r="C472" s="1">
        <v>45950</v>
      </c>
      <c r="D472" t="s">
        <v>890</v>
      </c>
      <c r="E472" t="s">
        <v>891</v>
      </c>
      <c r="F472" t="s">
        <v>34</v>
      </c>
      <c r="G472" t="s">
        <v>35</v>
      </c>
      <c r="H472" t="s">
        <v>36</v>
      </c>
      <c r="I472" t="s">
        <v>93</v>
      </c>
      <c r="J472" t="s">
        <v>94</v>
      </c>
      <c r="K472" t="s">
        <v>95</v>
      </c>
      <c r="L472">
        <v>3</v>
      </c>
      <c r="M472">
        <v>1800</v>
      </c>
      <c r="N472">
        <v>10</v>
      </c>
      <c r="O472">
        <v>4860</v>
      </c>
      <c r="P472">
        <v>1450.3</v>
      </c>
      <c r="Q472" t="s">
        <v>74</v>
      </c>
      <c r="R472" t="s">
        <v>49</v>
      </c>
      <c r="S472" t="s">
        <v>30</v>
      </c>
      <c r="T472">
        <f>YEAR(Table1_1[[#This Row],[order_date]])</f>
        <v>2025</v>
      </c>
      <c r="U472">
        <f>MONTH(Table1_1[[#This Row],[order_date]])</f>
        <v>10</v>
      </c>
      <c r="V472" t="str">
        <f>TEXT(Table1_1[[#This Row],[order_date]],"mmm")</f>
        <v>Oct</v>
      </c>
      <c r="W472" t="str">
        <f>"Q"&amp;ROUNDUP(MONTH(Table1_1[[#This Row],[order_date]])/3,0)</f>
        <v>Q4</v>
      </c>
      <c r="X472" t="str">
        <f>TEXT(Table1_1[[#This Row],[order_date]],"yyyy-mm")</f>
        <v>2025-10</v>
      </c>
      <c r="Y472">
        <f>IF(Table1_1[[#This Row],[ship_date]]="","",Table1_1[[#This Row],[ship_date]]-Table1_1[[#This Row],[order_date]])</f>
        <v>1</v>
      </c>
      <c r="Z472">
        <f>ROUND(Table1_1[[#This Row],[profit]]/Table1_1[[#This Row],[sales_fix]]*100,2)</f>
        <v>29.84</v>
      </c>
    </row>
    <row r="473" spans="1:26" x14ac:dyDescent="0.3">
      <c r="A473" t="s">
        <v>1562</v>
      </c>
      <c r="B473" s="1">
        <v>45524</v>
      </c>
      <c r="C473" s="1">
        <v>45525</v>
      </c>
      <c r="D473" t="s">
        <v>318</v>
      </c>
      <c r="E473" t="s">
        <v>319</v>
      </c>
      <c r="F473" t="s">
        <v>55</v>
      </c>
      <c r="G473" t="s">
        <v>35</v>
      </c>
      <c r="H473" t="s">
        <v>36</v>
      </c>
      <c r="I473" t="s">
        <v>63</v>
      </c>
      <c r="J473" t="s">
        <v>64</v>
      </c>
      <c r="K473" t="s">
        <v>65</v>
      </c>
      <c r="L473">
        <v>3</v>
      </c>
      <c r="M473">
        <v>25000</v>
      </c>
      <c r="N473">
        <v>20</v>
      </c>
      <c r="O473">
        <v>60000</v>
      </c>
      <c r="P473">
        <v>8468.2900000000009</v>
      </c>
      <c r="Q473" t="s">
        <v>156</v>
      </c>
      <c r="R473" t="s">
        <v>56</v>
      </c>
      <c r="S473" t="s">
        <v>30</v>
      </c>
      <c r="T473">
        <f>YEAR(Table1_1[[#This Row],[order_date]])</f>
        <v>2024</v>
      </c>
      <c r="U473">
        <f>MONTH(Table1_1[[#This Row],[order_date]])</f>
        <v>8</v>
      </c>
      <c r="V473" t="str">
        <f>TEXT(Table1_1[[#This Row],[order_date]],"mmm")</f>
        <v>Aug</v>
      </c>
      <c r="W473" t="str">
        <f>"Q"&amp;ROUNDUP(MONTH(Table1_1[[#This Row],[order_date]])/3,0)</f>
        <v>Q3</v>
      </c>
      <c r="X473" t="str">
        <f>TEXT(Table1_1[[#This Row],[order_date]],"yyyy-mm")</f>
        <v>2024-08</v>
      </c>
      <c r="Y473">
        <f>IF(Table1_1[[#This Row],[ship_date]]="","",Table1_1[[#This Row],[ship_date]]-Table1_1[[#This Row],[order_date]])</f>
        <v>1</v>
      </c>
      <c r="Z473">
        <f>ROUND(Table1_1[[#This Row],[profit]]/Table1_1[[#This Row],[sales_fix]]*100,2)</f>
        <v>14.11</v>
      </c>
    </row>
    <row r="474" spans="1:26" x14ac:dyDescent="0.3">
      <c r="A474" t="s">
        <v>1813</v>
      </c>
      <c r="B474" s="1">
        <v>45828</v>
      </c>
      <c r="C474" s="1">
        <v>45834</v>
      </c>
      <c r="D474" t="s">
        <v>1009</v>
      </c>
      <c r="E474" t="s">
        <v>1010</v>
      </c>
      <c r="F474" t="s">
        <v>23</v>
      </c>
      <c r="G474" t="s">
        <v>61</v>
      </c>
      <c r="H474" t="s">
        <v>62</v>
      </c>
      <c r="I474" t="s">
        <v>25</v>
      </c>
      <c r="J474" t="s">
        <v>26</v>
      </c>
      <c r="K474" t="s">
        <v>27</v>
      </c>
      <c r="L474">
        <v>1</v>
      </c>
      <c r="M474">
        <v>7000</v>
      </c>
      <c r="N474">
        <v>10</v>
      </c>
      <c r="O474">
        <v>6300</v>
      </c>
      <c r="P474">
        <v>1283.3900000000001</v>
      </c>
      <c r="Q474" t="s">
        <v>39</v>
      </c>
      <c r="R474" t="s">
        <v>56</v>
      </c>
      <c r="S474" t="s">
        <v>50</v>
      </c>
      <c r="T474">
        <f>YEAR(Table1_1[[#This Row],[order_date]])</f>
        <v>2025</v>
      </c>
      <c r="U474">
        <f>MONTH(Table1_1[[#This Row],[order_date]])</f>
        <v>6</v>
      </c>
      <c r="V474" t="str">
        <f>TEXT(Table1_1[[#This Row],[order_date]],"mmm")</f>
        <v>Jun</v>
      </c>
      <c r="W474" t="str">
        <f>"Q"&amp;ROUNDUP(MONTH(Table1_1[[#This Row],[order_date]])/3,0)</f>
        <v>Q2</v>
      </c>
      <c r="X474" t="str">
        <f>TEXT(Table1_1[[#This Row],[order_date]],"yyyy-mm")</f>
        <v>2025-06</v>
      </c>
      <c r="Y474">
        <f>IF(Table1_1[[#This Row],[ship_date]]="","",Table1_1[[#This Row],[ship_date]]-Table1_1[[#This Row],[order_date]])</f>
        <v>6</v>
      </c>
      <c r="Z474">
        <f>ROUND(Table1_1[[#This Row],[profit]]/Table1_1[[#This Row],[sales_fix]]*100,2)</f>
        <v>20.37</v>
      </c>
    </row>
    <row r="475" spans="1:26" x14ac:dyDescent="0.3">
      <c r="A475" t="s">
        <v>1973</v>
      </c>
      <c r="B475" s="1">
        <v>45981</v>
      </c>
      <c r="C475" s="1">
        <v>45983</v>
      </c>
      <c r="D475" t="s">
        <v>1532</v>
      </c>
      <c r="E475" t="s">
        <v>1533</v>
      </c>
      <c r="F475" t="s">
        <v>34</v>
      </c>
      <c r="G475" t="s">
        <v>44</v>
      </c>
      <c r="H475" t="s">
        <v>24</v>
      </c>
      <c r="I475" t="s">
        <v>114</v>
      </c>
      <c r="J475" t="s">
        <v>115</v>
      </c>
      <c r="K475" t="s">
        <v>65</v>
      </c>
      <c r="L475">
        <v>1</v>
      </c>
      <c r="M475">
        <v>55000</v>
      </c>
      <c r="N475">
        <v>5</v>
      </c>
      <c r="O475">
        <v>52250</v>
      </c>
      <c r="P475">
        <v>9415.68</v>
      </c>
      <c r="Q475" t="s">
        <v>121</v>
      </c>
      <c r="R475" t="s">
        <v>49</v>
      </c>
      <c r="S475" t="s">
        <v>110</v>
      </c>
      <c r="T475">
        <f>YEAR(Table1_1[[#This Row],[order_date]])</f>
        <v>2025</v>
      </c>
      <c r="U475">
        <f>MONTH(Table1_1[[#This Row],[order_date]])</f>
        <v>11</v>
      </c>
      <c r="V475" t="str">
        <f>TEXT(Table1_1[[#This Row],[order_date]],"mmm")</f>
        <v>Nov</v>
      </c>
      <c r="W475" t="str">
        <f>"Q"&amp;ROUNDUP(MONTH(Table1_1[[#This Row],[order_date]])/3,0)</f>
        <v>Q4</v>
      </c>
      <c r="X475" t="str">
        <f>TEXT(Table1_1[[#This Row],[order_date]],"yyyy-mm")</f>
        <v>2025-11</v>
      </c>
      <c r="Y475">
        <f>IF(Table1_1[[#This Row],[ship_date]]="","",Table1_1[[#This Row],[ship_date]]-Table1_1[[#This Row],[order_date]])</f>
        <v>2</v>
      </c>
      <c r="Z475">
        <f>ROUND(Table1_1[[#This Row],[profit]]/Table1_1[[#This Row],[sales_fix]]*100,2)</f>
        <v>18.02</v>
      </c>
    </row>
    <row r="476" spans="1:26" x14ac:dyDescent="0.3">
      <c r="A476" t="s">
        <v>1074</v>
      </c>
      <c r="B476" s="1">
        <v>45427</v>
      </c>
      <c r="C476" s="1">
        <v>45428</v>
      </c>
      <c r="D476" t="s">
        <v>1075</v>
      </c>
      <c r="E476" t="s">
        <v>1076</v>
      </c>
      <c r="F476" t="s">
        <v>55</v>
      </c>
      <c r="G476" t="s">
        <v>61</v>
      </c>
      <c r="H476" t="s">
        <v>125</v>
      </c>
      <c r="I476" t="s">
        <v>79</v>
      </c>
      <c r="J476" t="s">
        <v>80</v>
      </c>
      <c r="K476" t="s">
        <v>65</v>
      </c>
      <c r="L476">
        <v>1</v>
      </c>
      <c r="M476">
        <v>3000</v>
      </c>
      <c r="N476">
        <v>5</v>
      </c>
      <c r="O476">
        <v>2850</v>
      </c>
      <c r="P476">
        <v>793.93</v>
      </c>
      <c r="Q476" t="s">
        <v>39</v>
      </c>
      <c r="R476" t="s">
        <v>49</v>
      </c>
      <c r="S476" t="s">
        <v>110</v>
      </c>
      <c r="T476">
        <f>YEAR(Table1_1[[#This Row],[order_date]])</f>
        <v>2024</v>
      </c>
      <c r="U476">
        <f>MONTH(Table1_1[[#This Row],[order_date]])</f>
        <v>5</v>
      </c>
      <c r="V476" t="str">
        <f>TEXT(Table1_1[[#This Row],[order_date]],"mmm")</f>
        <v>May</v>
      </c>
      <c r="W476" t="str">
        <f>"Q"&amp;ROUNDUP(MONTH(Table1_1[[#This Row],[order_date]])/3,0)</f>
        <v>Q2</v>
      </c>
      <c r="X476" t="str">
        <f>TEXT(Table1_1[[#This Row],[order_date]],"yyyy-mm")</f>
        <v>2024-05</v>
      </c>
      <c r="Y476">
        <f>IF(Table1_1[[#This Row],[ship_date]]="","",Table1_1[[#This Row],[ship_date]]-Table1_1[[#This Row],[order_date]])</f>
        <v>1</v>
      </c>
      <c r="Z476">
        <f>ROUND(Table1_1[[#This Row],[profit]]/Table1_1[[#This Row],[sales_fix]]*100,2)</f>
        <v>27.86</v>
      </c>
    </row>
    <row r="477" spans="1:26" x14ac:dyDescent="0.3">
      <c r="A477" t="s">
        <v>2497</v>
      </c>
      <c r="B477" s="1">
        <v>45805</v>
      </c>
      <c r="C477" s="1">
        <v>45808</v>
      </c>
      <c r="D477" t="s">
        <v>550</v>
      </c>
      <c r="E477" t="s">
        <v>551</v>
      </c>
      <c r="F477" t="s">
        <v>55</v>
      </c>
      <c r="G477" t="s">
        <v>91</v>
      </c>
      <c r="H477" t="s">
        <v>109</v>
      </c>
      <c r="I477" t="s">
        <v>134</v>
      </c>
      <c r="J477" t="s">
        <v>135</v>
      </c>
      <c r="K477" t="s">
        <v>27</v>
      </c>
      <c r="L477">
        <v>2</v>
      </c>
      <c r="M477">
        <v>6000</v>
      </c>
      <c r="N477">
        <v>15</v>
      </c>
      <c r="O477">
        <v>10200</v>
      </c>
      <c r="P477">
        <v>1841.26</v>
      </c>
      <c r="Q477" t="s">
        <v>28</v>
      </c>
      <c r="R477" t="s">
        <v>56</v>
      </c>
      <c r="S477" t="s">
        <v>50</v>
      </c>
      <c r="T477">
        <f>YEAR(Table1_1[[#This Row],[order_date]])</f>
        <v>2025</v>
      </c>
      <c r="U477">
        <f>MONTH(Table1_1[[#This Row],[order_date]])</f>
        <v>5</v>
      </c>
      <c r="V477" t="str">
        <f>TEXT(Table1_1[[#This Row],[order_date]],"mmm")</f>
        <v>May</v>
      </c>
      <c r="W477" t="str">
        <f>"Q"&amp;ROUNDUP(MONTH(Table1_1[[#This Row],[order_date]])/3,0)</f>
        <v>Q2</v>
      </c>
      <c r="X477" t="str">
        <f>TEXT(Table1_1[[#This Row],[order_date]],"yyyy-mm")</f>
        <v>2025-05</v>
      </c>
      <c r="Y477">
        <f>IF(Table1_1[[#This Row],[ship_date]]="","",Table1_1[[#This Row],[ship_date]]-Table1_1[[#This Row],[order_date]])</f>
        <v>3</v>
      </c>
      <c r="Z477">
        <f>ROUND(Table1_1[[#This Row],[profit]]/Table1_1[[#This Row],[sales_fix]]*100,2)</f>
        <v>18.05</v>
      </c>
    </row>
    <row r="478" spans="1:26" x14ac:dyDescent="0.3">
      <c r="A478" t="s">
        <v>3069</v>
      </c>
      <c r="B478" s="1">
        <v>45959</v>
      </c>
      <c r="C478" s="1">
        <v>45963</v>
      </c>
      <c r="D478" t="s">
        <v>230</v>
      </c>
      <c r="E478" t="s">
        <v>231</v>
      </c>
      <c r="F478" t="s">
        <v>55</v>
      </c>
      <c r="G478" t="s">
        <v>44</v>
      </c>
      <c r="H478" t="s">
        <v>161</v>
      </c>
      <c r="I478" t="s">
        <v>134</v>
      </c>
      <c r="J478" t="s">
        <v>135</v>
      </c>
      <c r="K478" t="s">
        <v>27</v>
      </c>
      <c r="L478">
        <v>2</v>
      </c>
      <c r="M478">
        <v>6000</v>
      </c>
      <c r="N478">
        <v>15</v>
      </c>
      <c r="O478">
        <v>10200</v>
      </c>
      <c r="P478">
        <v>2226.94</v>
      </c>
      <c r="Q478" t="s">
        <v>66</v>
      </c>
      <c r="R478" t="s">
        <v>49</v>
      </c>
      <c r="S478" t="s">
        <v>30</v>
      </c>
      <c r="T478">
        <f>YEAR(Table1_1[[#This Row],[order_date]])</f>
        <v>2025</v>
      </c>
      <c r="U478">
        <f>MONTH(Table1_1[[#This Row],[order_date]])</f>
        <v>10</v>
      </c>
      <c r="V478" t="str">
        <f>TEXT(Table1_1[[#This Row],[order_date]],"mmm")</f>
        <v>Oct</v>
      </c>
      <c r="W478" t="str">
        <f>"Q"&amp;ROUNDUP(MONTH(Table1_1[[#This Row],[order_date]])/3,0)</f>
        <v>Q4</v>
      </c>
      <c r="X478" t="str">
        <f>TEXT(Table1_1[[#This Row],[order_date]],"yyyy-mm")</f>
        <v>2025-10</v>
      </c>
      <c r="Y478">
        <f>IF(Table1_1[[#This Row],[ship_date]]="","",Table1_1[[#This Row],[ship_date]]-Table1_1[[#This Row],[order_date]])</f>
        <v>4</v>
      </c>
      <c r="Z478">
        <f>ROUND(Table1_1[[#This Row],[profit]]/Table1_1[[#This Row],[sales_fix]]*100,2)</f>
        <v>21.83</v>
      </c>
    </row>
    <row r="479" spans="1:26" x14ac:dyDescent="0.3">
      <c r="A479" t="s">
        <v>2862</v>
      </c>
      <c r="B479" s="1">
        <v>45881</v>
      </c>
      <c r="C479" s="1">
        <v>45887</v>
      </c>
      <c r="D479" t="s">
        <v>2043</v>
      </c>
      <c r="E479" t="s">
        <v>2044</v>
      </c>
      <c r="F479" t="s">
        <v>55</v>
      </c>
      <c r="G479" t="s">
        <v>61</v>
      </c>
      <c r="H479" t="s">
        <v>125</v>
      </c>
      <c r="I479" t="s">
        <v>126</v>
      </c>
      <c r="J479" t="s">
        <v>127</v>
      </c>
      <c r="K479" t="s">
        <v>95</v>
      </c>
      <c r="L479">
        <v>1</v>
      </c>
      <c r="M479">
        <v>600</v>
      </c>
      <c r="N479">
        <v>15</v>
      </c>
      <c r="O479">
        <v>510</v>
      </c>
      <c r="P479">
        <v>167.72</v>
      </c>
      <c r="Q479" t="s">
        <v>74</v>
      </c>
      <c r="R479" t="s">
        <v>29</v>
      </c>
      <c r="S479" t="s">
        <v>110</v>
      </c>
      <c r="T479">
        <f>YEAR(Table1_1[[#This Row],[order_date]])</f>
        <v>2025</v>
      </c>
      <c r="U479">
        <f>MONTH(Table1_1[[#This Row],[order_date]])</f>
        <v>8</v>
      </c>
      <c r="V479" t="str">
        <f>TEXT(Table1_1[[#This Row],[order_date]],"mmm")</f>
        <v>Aug</v>
      </c>
      <c r="W479" t="str">
        <f>"Q"&amp;ROUNDUP(MONTH(Table1_1[[#This Row],[order_date]])/3,0)</f>
        <v>Q3</v>
      </c>
      <c r="X479" t="str">
        <f>TEXT(Table1_1[[#This Row],[order_date]],"yyyy-mm")</f>
        <v>2025-08</v>
      </c>
      <c r="Y479">
        <f>IF(Table1_1[[#This Row],[ship_date]]="","",Table1_1[[#This Row],[ship_date]]-Table1_1[[#This Row],[order_date]])</f>
        <v>6</v>
      </c>
      <c r="Z479">
        <f>ROUND(Table1_1[[#This Row],[profit]]/Table1_1[[#This Row],[sales_fix]]*100,2)</f>
        <v>32.89</v>
      </c>
    </row>
    <row r="480" spans="1:26" x14ac:dyDescent="0.3">
      <c r="A480" t="s">
        <v>1434</v>
      </c>
      <c r="B480" s="1">
        <v>45963</v>
      </c>
      <c r="C480" s="1">
        <v>45971</v>
      </c>
      <c r="D480" t="s">
        <v>539</v>
      </c>
      <c r="E480" t="s">
        <v>540</v>
      </c>
      <c r="F480" t="s">
        <v>34</v>
      </c>
      <c r="G480" t="s">
        <v>61</v>
      </c>
      <c r="H480" t="s">
        <v>211</v>
      </c>
      <c r="I480" t="s">
        <v>93</v>
      </c>
      <c r="J480" t="s">
        <v>94</v>
      </c>
      <c r="K480" t="s">
        <v>95</v>
      </c>
      <c r="L480">
        <v>1</v>
      </c>
      <c r="M480">
        <v>1800</v>
      </c>
      <c r="N480">
        <v>0</v>
      </c>
      <c r="O480">
        <v>1800</v>
      </c>
      <c r="P480">
        <v>596.29</v>
      </c>
      <c r="Q480" t="s">
        <v>39</v>
      </c>
      <c r="R480" t="s">
        <v>29</v>
      </c>
      <c r="S480" t="s">
        <v>30</v>
      </c>
      <c r="T480">
        <f>YEAR(Table1_1[[#This Row],[order_date]])</f>
        <v>2025</v>
      </c>
      <c r="U480">
        <f>MONTH(Table1_1[[#This Row],[order_date]])</f>
        <v>11</v>
      </c>
      <c r="V480" t="str">
        <f>TEXT(Table1_1[[#This Row],[order_date]],"mmm")</f>
        <v>Nov</v>
      </c>
      <c r="W480" t="str">
        <f>"Q"&amp;ROUNDUP(MONTH(Table1_1[[#This Row],[order_date]])/3,0)</f>
        <v>Q4</v>
      </c>
      <c r="X480" t="str">
        <f>TEXT(Table1_1[[#This Row],[order_date]],"yyyy-mm")</f>
        <v>2025-11</v>
      </c>
      <c r="Y480">
        <f>IF(Table1_1[[#This Row],[ship_date]]="","",Table1_1[[#This Row],[ship_date]]-Table1_1[[#This Row],[order_date]])</f>
        <v>8</v>
      </c>
      <c r="Z480">
        <f>ROUND(Table1_1[[#This Row],[profit]]/Table1_1[[#This Row],[sales_fix]]*100,2)</f>
        <v>33.130000000000003</v>
      </c>
    </row>
    <row r="481" spans="1:26" x14ac:dyDescent="0.3">
      <c r="A481" t="s">
        <v>2430</v>
      </c>
      <c r="B481" s="1">
        <v>45496</v>
      </c>
      <c r="C481" s="1">
        <v>45498</v>
      </c>
      <c r="D481" t="s">
        <v>592</v>
      </c>
      <c r="E481" t="s">
        <v>593</v>
      </c>
      <c r="F481" t="s">
        <v>55</v>
      </c>
      <c r="G481" t="s">
        <v>35</v>
      </c>
      <c r="H481" t="s">
        <v>258</v>
      </c>
      <c r="I481" t="s">
        <v>103</v>
      </c>
      <c r="J481" t="s">
        <v>104</v>
      </c>
      <c r="K481" t="s">
        <v>65</v>
      </c>
      <c r="L481">
        <v>3</v>
      </c>
      <c r="M481">
        <v>8000</v>
      </c>
      <c r="N481">
        <v>0</v>
      </c>
      <c r="O481">
        <v>24000</v>
      </c>
      <c r="P481">
        <v>6018.56</v>
      </c>
      <c r="Q481" t="s">
        <v>66</v>
      </c>
      <c r="R481" t="s">
        <v>56</v>
      </c>
      <c r="S481" t="s">
        <v>86</v>
      </c>
      <c r="T481">
        <f>YEAR(Table1_1[[#This Row],[order_date]])</f>
        <v>2024</v>
      </c>
      <c r="U481">
        <f>MONTH(Table1_1[[#This Row],[order_date]])</f>
        <v>7</v>
      </c>
      <c r="V481" t="str">
        <f>TEXT(Table1_1[[#This Row],[order_date]],"mmm")</f>
        <v>Jul</v>
      </c>
      <c r="W481" t="str">
        <f>"Q"&amp;ROUNDUP(MONTH(Table1_1[[#This Row],[order_date]])/3,0)</f>
        <v>Q3</v>
      </c>
      <c r="X481" t="str">
        <f>TEXT(Table1_1[[#This Row],[order_date]],"yyyy-mm")</f>
        <v>2024-07</v>
      </c>
      <c r="Y481">
        <f>IF(Table1_1[[#This Row],[ship_date]]="","",Table1_1[[#This Row],[ship_date]]-Table1_1[[#This Row],[order_date]])</f>
        <v>2</v>
      </c>
      <c r="Z481">
        <f>ROUND(Table1_1[[#This Row],[profit]]/Table1_1[[#This Row],[sales_fix]]*100,2)</f>
        <v>25.08</v>
      </c>
    </row>
    <row r="482" spans="1:26" x14ac:dyDescent="0.3">
      <c r="A482" t="s">
        <v>1063</v>
      </c>
      <c r="B482" s="1">
        <v>45443</v>
      </c>
      <c r="C482" s="1">
        <v>45449</v>
      </c>
      <c r="D482" t="s">
        <v>534</v>
      </c>
      <c r="E482" t="s">
        <v>535</v>
      </c>
      <c r="F482" t="s">
        <v>34</v>
      </c>
      <c r="G482" t="s">
        <v>61</v>
      </c>
      <c r="H482" t="s">
        <v>78</v>
      </c>
      <c r="I482" t="s">
        <v>93</v>
      </c>
      <c r="J482" t="s">
        <v>94</v>
      </c>
      <c r="K482" t="s">
        <v>95</v>
      </c>
      <c r="L482">
        <v>4</v>
      </c>
      <c r="M482">
        <v>1800</v>
      </c>
      <c r="N482">
        <v>20</v>
      </c>
      <c r="O482">
        <v>5760</v>
      </c>
      <c r="P482">
        <v>1643.19</v>
      </c>
      <c r="Q482" t="s">
        <v>156</v>
      </c>
      <c r="R482" t="s">
        <v>567</v>
      </c>
      <c r="S482" t="s">
        <v>110</v>
      </c>
      <c r="T482">
        <f>YEAR(Table1_1[[#This Row],[order_date]])</f>
        <v>2024</v>
      </c>
      <c r="U482">
        <f>MONTH(Table1_1[[#This Row],[order_date]])</f>
        <v>5</v>
      </c>
      <c r="V482" t="str">
        <f>TEXT(Table1_1[[#This Row],[order_date]],"mmm")</f>
        <v>May</v>
      </c>
      <c r="W482" t="str">
        <f>"Q"&amp;ROUNDUP(MONTH(Table1_1[[#This Row],[order_date]])/3,0)</f>
        <v>Q2</v>
      </c>
      <c r="X482" t="str">
        <f>TEXT(Table1_1[[#This Row],[order_date]],"yyyy-mm")</f>
        <v>2024-05</v>
      </c>
      <c r="Y482">
        <f>IF(Table1_1[[#This Row],[ship_date]]="","",Table1_1[[#This Row],[ship_date]]-Table1_1[[#This Row],[order_date]])</f>
        <v>6</v>
      </c>
      <c r="Z482">
        <f>ROUND(Table1_1[[#This Row],[profit]]/Table1_1[[#This Row],[sales_fix]]*100,2)</f>
        <v>28.53</v>
      </c>
    </row>
    <row r="483" spans="1:26" x14ac:dyDescent="0.3">
      <c r="A483" t="s">
        <v>2424</v>
      </c>
      <c r="B483" s="1">
        <v>45315</v>
      </c>
      <c r="C483" s="1">
        <v>45319</v>
      </c>
      <c r="D483" t="s">
        <v>192</v>
      </c>
      <c r="E483" t="s">
        <v>193</v>
      </c>
      <c r="F483" t="s">
        <v>55</v>
      </c>
      <c r="G483" t="s">
        <v>35</v>
      </c>
      <c r="H483" t="s">
        <v>36</v>
      </c>
      <c r="I483" t="s">
        <v>147</v>
      </c>
      <c r="J483" t="s">
        <v>148</v>
      </c>
      <c r="K483" t="s">
        <v>48</v>
      </c>
      <c r="L483">
        <v>1</v>
      </c>
      <c r="M483">
        <v>250</v>
      </c>
      <c r="N483">
        <v>15</v>
      </c>
      <c r="O483">
        <v>212.5</v>
      </c>
      <c r="P483">
        <v>77.790000000000006</v>
      </c>
      <c r="Q483" t="s">
        <v>39</v>
      </c>
      <c r="R483" t="s">
        <v>56</v>
      </c>
      <c r="S483" t="s">
        <v>110</v>
      </c>
      <c r="T483">
        <f>YEAR(Table1_1[[#This Row],[order_date]])</f>
        <v>2024</v>
      </c>
      <c r="U483">
        <f>MONTH(Table1_1[[#This Row],[order_date]])</f>
        <v>1</v>
      </c>
      <c r="V483" t="str">
        <f>TEXT(Table1_1[[#This Row],[order_date]],"mmm")</f>
        <v>Jan</v>
      </c>
      <c r="W483" t="str">
        <f>"Q"&amp;ROUNDUP(MONTH(Table1_1[[#This Row],[order_date]])/3,0)</f>
        <v>Q1</v>
      </c>
      <c r="X483" t="str">
        <f>TEXT(Table1_1[[#This Row],[order_date]],"yyyy-mm")</f>
        <v>2024-01</v>
      </c>
      <c r="Y483">
        <f>IF(Table1_1[[#This Row],[ship_date]]="","",Table1_1[[#This Row],[ship_date]]-Table1_1[[#This Row],[order_date]])</f>
        <v>4</v>
      </c>
      <c r="Z483">
        <f>ROUND(Table1_1[[#This Row],[profit]]/Table1_1[[#This Row],[sales_fix]]*100,2)</f>
        <v>36.61</v>
      </c>
    </row>
    <row r="484" spans="1:26" x14ac:dyDescent="0.3">
      <c r="A484" t="s">
        <v>252</v>
      </c>
      <c r="B484" s="1">
        <v>45929</v>
      </c>
      <c r="C484" s="1">
        <v>45930</v>
      </c>
      <c r="D484" t="s">
        <v>145</v>
      </c>
      <c r="E484" t="s">
        <v>146</v>
      </c>
      <c r="F484" t="s">
        <v>34</v>
      </c>
      <c r="G484" t="s">
        <v>91</v>
      </c>
      <c r="H484" t="s">
        <v>92</v>
      </c>
      <c r="I484" t="s">
        <v>147</v>
      </c>
      <c r="J484" t="s">
        <v>148</v>
      </c>
      <c r="K484" t="s">
        <v>48</v>
      </c>
      <c r="L484">
        <v>3</v>
      </c>
      <c r="M484">
        <v>250</v>
      </c>
      <c r="N484">
        <v>0</v>
      </c>
      <c r="O484">
        <v>750</v>
      </c>
      <c r="P484">
        <v>293.41000000000003</v>
      </c>
      <c r="Q484" t="s">
        <v>28</v>
      </c>
      <c r="R484" t="s">
        <v>56</v>
      </c>
      <c r="S484" t="s">
        <v>40</v>
      </c>
      <c r="T484">
        <f>YEAR(Table1_1[[#This Row],[order_date]])</f>
        <v>2025</v>
      </c>
      <c r="U484">
        <f>MONTH(Table1_1[[#This Row],[order_date]])</f>
        <v>9</v>
      </c>
      <c r="V484" t="str">
        <f>TEXT(Table1_1[[#This Row],[order_date]],"mmm")</f>
        <v>Sep</v>
      </c>
      <c r="W484" t="str">
        <f>"Q"&amp;ROUNDUP(MONTH(Table1_1[[#This Row],[order_date]])/3,0)</f>
        <v>Q3</v>
      </c>
      <c r="X484" t="str">
        <f>TEXT(Table1_1[[#This Row],[order_date]],"yyyy-mm")</f>
        <v>2025-09</v>
      </c>
      <c r="Y484">
        <f>IF(Table1_1[[#This Row],[ship_date]]="","",Table1_1[[#This Row],[ship_date]]-Table1_1[[#This Row],[order_date]])</f>
        <v>1</v>
      </c>
      <c r="Z484">
        <f>ROUND(Table1_1[[#This Row],[profit]]/Table1_1[[#This Row],[sales_fix]]*100,2)</f>
        <v>39.119999999999997</v>
      </c>
    </row>
    <row r="485" spans="1:26" x14ac:dyDescent="0.3">
      <c r="A485" t="s">
        <v>3033</v>
      </c>
      <c r="B485" s="1">
        <v>45466</v>
      </c>
      <c r="C485" s="1">
        <v>45471</v>
      </c>
      <c r="D485" t="s">
        <v>592</v>
      </c>
      <c r="E485" t="s">
        <v>593</v>
      </c>
      <c r="F485" t="s">
        <v>55</v>
      </c>
      <c r="G485" t="s">
        <v>35</v>
      </c>
      <c r="H485" t="s">
        <v>258</v>
      </c>
      <c r="I485" t="s">
        <v>25</v>
      </c>
      <c r="J485" t="s">
        <v>26</v>
      </c>
      <c r="K485" t="s">
        <v>27</v>
      </c>
      <c r="L485">
        <v>1</v>
      </c>
      <c r="M485">
        <v>7000</v>
      </c>
      <c r="N485">
        <v>0</v>
      </c>
      <c r="O485">
        <v>7000</v>
      </c>
      <c r="P485">
        <v>1564.14</v>
      </c>
      <c r="Q485" t="s">
        <v>66</v>
      </c>
      <c r="R485" t="s">
        <v>49</v>
      </c>
      <c r="S485" t="s">
        <v>86</v>
      </c>
      <c r="T485">
        <f>YEAR(Table1_1[[#This Row],[order_date]])</f>
        <v>2024</v>
      </c>
      <c r="U485">
        <f>MONTH(Table1_1[[#This Row],[order_date]])</f>
        <v>6</v>
      </c>
      <c r="V485" t="str">
        <f>TEXT(Table1_1[[#This Row],[order_date]],"mmm")</f>
        <v>Jun</v>
      </c>
      <c r="W485" t="str">
        <f>"Q"&amp;ROUNDUP(MONTH(Table1_1[[#This Row],[order_date]])/3,0)</f>
        <v>Q2</v>
      </c>
      <c r="X485" t="str">
        <f>TEXT(Table1_1[[#This Row],[order_date]],"yyyy-mm")</f>
        <v>2024-06</v>
      </c>
      <c r="Y485">
        <f>IF(Table1_1[[#This Row],[ship_date]]="","",Table1_1[[#This Row],[ship_date]]-Table1_1[[#This Row],[order_date]])</f>
        <v>5</v>
      </c>
      <c r="Z485">
        <f>ROUND(Table1_1[[#This Row],[profit]]/Table1_1[[#This Row],[sales_fix]]*100,2)</f>
        <v>22.34</v>
      </c>
    </row>
    <row r="486" spans="1:26" x14ac:dyDescent="0.3">
      <c r="A486" t="s">
        <v>1050</v>
      </c>
      <c r="B486" s="1">
        <v>45968</v>
      </c>
      <c r="C486" s="1">
        <v>45970</v>
      </c>
      <c r="D486" t="s">
        <v>196</v>
      </c>
      <c r="E486" t="s">
        <v>197</v>
      </c>
      <c r="F486" t="s">
        <v>34</v>
      </c>
      <c r="G486" t="s">
        <v>91</v>
      </c>
      <c r="H486" t="s">
        <v>120</v>
      </c>
      <c r="I486" t="s">
        <v>134</v>
      </c>
      <c r="J486" t="s">
        <v>135</v>
      </c>
      <c r="K486" t="s">
        <v>27</v>
      </c>
      <c r="L486">
        <v>4</v>
      </c>
      <c r="M486">
        <v>6000</v>
      </c>
      <c r="N486">
        <v>15</v>
      </c>
      <c r="O486">
        <v>20400</v>
      </c>
      <c r="P486">
        <v>4132.6499999999996</v>
      </c>
      <c r="Q486" t="s">
        <v>66</v>
      </c>
      <c r="R486" t="s">
        <v>49</v>
      </c>
      <c r="S486" t="s">
        <v>30</v>
      </c>
      <c r="T486">
        <f>YEAR(Table1_1[[#This Row],[order_date]])</f>
        <v>2025</v>
      </c>
      <c r="U486">
        <f>MONTH(Table1_1[[#This Row],[order_date]])</f>
        <v>11</v>
      </c>
      <c r="V486" t="str">
        <f>TEXT(Table1_1[[#This Row],[order_date]],"mmm")</f>
        <v>Nov</v>
      </c>
      <c r="W486" t="str">
        <f>"Q"&amp;ROUNDUP(MONTH(Table1_1[[#This Row],[order_date]])/3,0)</f>
        <v>Q4</v>
      </c>
      <c r="X486" t="str">
        <f>TEXT(Table1_1[[#This Row],[order_date]],"yyyy-mm")</f>
        <v>2025-11</v>
      </c>
      <c r="Y486">
        <f>IF(Table1_1[[#This Row],[ship_date]]="","",Table1_1[[#This Row],[ship_date]]-Table1_1[[#This Row],[order_date]])</f>
        <v>2</v>
      </c>
      <c r="Z486">
        <f>ROUND(Table1_1[[#This Row],[profit]]/Table1_1[[#This Row],[sales_fix]]*100,2)</f>
        <v>20.260000000000002</v>
      </c>
    </row>
    <row r="487" spans="1:26" x14ac:dyDescent="0.3">
      <c r="A487" t="s">
        <v>1204</v>
      </c>
      <c r="B487" s="1">
        <v>45812</v>
      </c>
      <c r="C487" s="1">
        <v>45820</v>
      </c>
      <c r="D487" t="s">
        <v>1205</v>
      </c>
      <c r="E487" t="s">
        <v>1206</v>
      </c>
      <c r="F487" t="s">
        <v>34</v>
      </c>
      <c r="G487" t="s">
        <v>44</v>
      </c>
      <c r="H487" t="s">
        <v>45</v>
      </c>
      <c r="I487" t="s">
        <v>134</v>
      </c>
      <c r="J487" t="s">
        <v>135</v>
      </c>
      <c r="K487" t="s">
        <v>27</v>
      </c>
      <c r="L487">
        <v>10</v>
      </c>
      <c r="M487">
        <v>6000</v>
      </c>
      <c r="N487">
        <v>0</v>
      </c>
      <c r="O487">
        <v>60000</v>
      </c>
      <c r="P487">
        <v>15286.3</v>
      </c>
      <c r="Q487" t="s">
        <v>39</v>
      </c>
      <c r="R487" t="s">
        <v>56</v>
      </c>
      <c r="S487" t="s">
        <v>86</v>
      </c>
      <c r="T487">
        <f>YEAR(Table1_1[[#This Row],[order_date]])</f>
        <v>2025</v>
      </c>
      <c r="U487">
        <f>MONTH(Table1_1[[#This Row],[order_date]])</f>
        <v>6</v>
      </c>
      <c r="V487" t="str">
        <f>TEXT(Table1_1[[#This Row],[order_date]],"mmm")</f>
        <v>Jun</v>
      </c>
      <c r="W487" t="str">
        <f>"Q"&amp;ROUNDUP(MONTH(Table1_1[[#This Row],[order_date]])/3,0)</f>
        <v>Q2</v>
      </c>
      <c r="X487" t="str">
        <f>TEXT(Table1_1[[#This Row],[order_date]],"yyyy-mm")</f>
        <v>2025-06</v>
      </c>
      <c r="Y487">
        <f>IF(Table1_1[[#This Row],[ship_date]]="","",Table1_1[[#This Row],[ship_date]]-Table1_1[[#This Row],[order_date]])</f>
        <v>8</v>
      </c>
      <c r="Z487">
        <f>ROUND(Table1_1[[#This Row],[profit]]/Table1_1[[#This Row],[sales_fix]]*100,2)</f>
        <v>25.48</v>
      </c>
    </row>
    <row r="488" spans="1:26" x14ac:dyDescent="0.3">
      <c r="A488" t="s">
        <v>2355</v>
      </c>
      <c r="B488" s="1">
        <v>45804</v>
      </c>
      <c r="C488" s="1">
        <v>45805</v>
      </c>
      <c r="D488" t="s">
        <v>787</v>
      </c>
      <c r="E488" t="s">
        <v>788</v>
      </c>
      <c r="F488" t="s">
        <v>34</v>
      </c>
      <c r="G488" t="s">
        <v>35</v>
      </c>
      <c r="H488" t="s">
        <v>36</v>
      </c>
      <c r="I488" t="s">
        <v>103</v>
      </c>
      <c r="J488" t="s">
        <v>104</v>
      </c>
      <c r="K488" t="s">
        <v>65</v>
      </c>
      <c r="L488">
        <v>10</v>
      </c>
      <c r="M488">
        <v>8000</v>
      </c>
      <c r="N488">
        <v>10</v>
      </c>
      <c r="O488">
        <v>72000</v>
      </c>
      <c r="P488">
        <v>19269.72</v>
      </c>
      <c r="Q488" t="s">
        <v>66</v>
      </c>
      <c r="R488" t="s">
        <v>29</v>
      </c>
      <c r="S488" t="s">
        <v>40</v>
      </c>
      <c r="T488">
        <f>YEAR(Table1_1[[#This Row],[order_date]])</f>
        <v>2025</v>
      </c>
      <c r="U488">
        <f>MONTH(Table1_1[[#This Row],[order_date]])</f>
        <v>5</v>
      </c>
      <c r="V488" t="str">
        <f>TEXT(Table1_1[[#This Row],[order_date]],"mmm")</f>
        <v>May</v>
      </c>
      <c r="W488" t="str">
        <f>"Q"&amp;ROUNDUP(MONTH(Table1_1[[#This Row],[order_date]])/3,0)</f>
        <v>Q2</v>
      </c>
      <c r="X488" t="str">
        <f>TEXT(Table1_1[[#This Row],[order_date]],"yyyy-mm")</f>
        <v>2025-05</v>
      </c>
      <c r="Y488">
        <f>IF(Table1_1[[#This Row],[ship_date]]="","",Table1_1[[#This Row],[ship_date]]-Table1_1[[#This Row],[order_date]])</f>
        <v>1</v>
      </c>
      <c r="Z488">
        <f>ROUND(Table1_1[[#This Row],[profit]]/Table1_1[[#This Row],[sales_fix]]*100,2)</f>
        <v>26.76</v>
      </c>
    </row>
    <row r="489" spans="1:26" x14ac:dyDescent="0.3">
      <c r="A489" t="s">
        <v>1708</v>
      </c>
      <c r="B489" s="1">
        <v>45793</v>
      </c>
      <c r="C489" s="1">
        <v>45799</v>
      </c>
      <c r="D489" t="s">
        <v>1218</v>
      </c>
      <c r="E489" t="s">
        <v>1219</v>
      </c>
      <c r="F489" t="s">
        <v>34</v>
      </c>
      <c r="G489" t="s">
        <v>61</v>
      </c>
      <c r="H489" t="s">
        <v>62</v>
      </c>
      <c r="I489" t="s">
        <v>37</v>
      </c>
      <c r="J489" t="s">
        <v>38</v>
      </c>
      <c r="K489" t="s">
        <v>27</v>
      </c>
      <c r="L489">
        <v>1</v>
      </c>
      <c r="M489">
        <v>9500</v>
      </c>
      <c r="N489">
        <v>0</v>
      </c>
      <c r="O489">
        <v>9500</v>
      </c>
      <c r="P489">
        <v>1343.96</v>
      </c>
      <c r="Q489" t="s">
        <v>74</v>
      </c>
      <c r="R489" t="s">
        <v>56</v>
      </c>
      <c r="S489" t="s">
        <v>110</v>
      </c>
      <c r="T489">
        <f>YEAR(Table1_1[[#This Row],[order_date]])</f>
        <v>2025</v>
      </c>
      <c r="U489">
        <f>MONTH(Table1_1[[#This Row],[order_date]])</f>
        <v>5</v>
      </c>
      <c r="V489" t="str">
        <f>TEXT(Table1_1[[#This Row],[order_date]],"mmm")</f>
        <v>May</v>
      </c>
      <c r="W489" t="str">
        <f>"Q"&amp;ROUNDUP(MONTH(Table1_1[[#This Row],[order_date]])/3,0)</f>
        <v>Q2</v>
      </c>
      <c r="X489" t="str">
        <f>TEXT(Table1_1[[#This Row],[order_date]],"yyyy-mm")</f>
        <v>2025-05</v>
      </c>
      <c r="Y489">
        <f>IF(Table1_1[[#This Row],[ship_date]]="","",Table1_1[[#This Row],[ship_date]]-Table1_1[[#This Row],[order_date]])</f>
        <v>6</v>
      </c>
      <c r="Z489">
        <f>ROUND(Table1_1[[#This Row],[profit]]/Table1_1[[#This Row],[sales_fix]]*100,2)</f>
        <v>14.15</v>
      </c>
    </row>
    <row r="490" spans="1:26" x14ac:dyDescent="0.3">
      <c r="A490" t="s">
        <v>1884</v>
      </c>
      <c r="B490" s="1">
        <v>45574</v>
      </c>
      <c r="C490" s="1">
        <v>45575</v>
      </c>
      <c r="D490" t="s">
        <v>973</v>
      </c>
      <c r="E490" t="s">
        <v>974</v>
      </c>
      <c r="F490" t="s">
        <v>34</v>
      </c>
      <c r="G490" t="s">
        <v>91</v>
      </c>
      <c r="H490" t="s">
        <v>177</v>
      </c>
      <c r="I490" t="s">
        <v>46</v>
      </c>
      <c r="J490" t="s">
        <v>47</v>
      </c>
      <c r="K490" t="s">
        <v>48</v>
      </c>
      <c r="L490">
        <v>2</v>
      </c>
      <c r="M490">
        <v>180</v>
      </c>
      <c r="N490">
        <v>5</v>
      </c>
      <c r="O490">
        <v>342</v>
      </c>
      <c r="P490">
        <v>162.54</v>
      </c>
      <c r="Q490" t="s">
        <v>3113</v>
      </c>
      <c r="R490" t="s">
        <v>49</v>
      </c>
      <c r="S490" t="s">
        <v>50</v>
      </c>
      <c r="T490">
        <f>YEAR(Table1_1[[#This Row],[order_date]])</f>
        <v>2024</v>
      </c>
      <c r="U490">
        <f>MONTH(Table1_1[[#This Row],[order_date]])</f>
        <v>10</v>
      </c>
      <c r="V490" t="str">
        <f>TEXT(Table1_1[[#This Row],[order_date]],"mmm")</f>
        <v>Oct</v>
      </c>
      <c r="W490" t="str">
        <f>"Q"&amp;ROUNDUP(MONTH(Table1_1[[#This Row],[order_date]])/3,0)</f>
        <v>Q4</v>
      </c>
      <c r="X490" t="str">
        <f>TEXT(Table1_1[[#This Row],[order_date]],"yyyy-mm")</f>
        <v>2024-10</v>
      </c>
      <c r="Y490">
        <f>IF(Table1_1[[#This Row],[ship_date]]="","",Table1_1[[#This Row],[ship_date]]-Table1_1[[#This Row],[order_date]])</f>
        <v>1</v>
      </c>
      <c r="Z490">
        <f>ROUND(Table1_1[[#This Row],[profit]]/Table1_1[[#This Row],[sales_fix]]*100,2)</f>
        <v>47.53</v>
      </c>
    </row>
    <row r="491" spans="1:26" x14ac:dyDescent="0.3">
      <c r="A491" t="s">
        <v>2780</v>
      </c>
      <c r="B491" s="1">
        <v>45694</v>
      </c>
      <c r="C491" s="1">
        <v>45698</v>
      </c>
      <c r="D491" t="s">
        <v>1609</v>
      </c>
      <c r="E491" t="s">
        <v>1610</v>
      </c>
      <c r="F491" t="s">
        <v>55</v>
      </c>
      <c r="G491" t="s">
        <v>44</v>
      </c>
      <c r="H491" t="s">
        <v>24</v>
      </c>
      <c r="I491" t="s">
        <v>37</v>
      </c>
      <c r="J491" t="s">
        <v>38</v>
      </c>
      <c r="K491" t="s">
        <v>27</v>
      </c>
      <c r="L491">
        <v>3</v>
      </c>
      <c r="M491">
        <v>9500</v>
      </c>
      <c r="N491">
        <v>0</v>
      </c>
      <c r="O491">
        <v>28500</v>
      </c>
      <c r="P491">
        <v>5654.15</v>
      </c>
      <c r="Q491" t="s">
        <v>28</v>
      </c>
      <c r="R491" t="s">
        <v>29</v>
      </c>
      <c r="S491" t="s">
        <v>40</v>
      </c>
      <c r="T491">
        <f>YEAR(Table1_1[[#This Row],[order_date]])</f>
        <v>2025</v>
      </c>
      <c r="U491">
        <f>MONTH(Table1_1[[#This Row],[order_date]])</f>
        <v>2</v>
      </c>
      <c r="V491" t="str">
        <f>TEXT(Table1_1[[#This Row],[order_date]],"mmm")</f>
        <v>Feb</v>
      </c>
      <c r="W491" t="str">
        <f>"Q"&amp;ROUNDUP(MONTH(Table1_1[[#This Row],[order_date]])/3,0)</f>
        <v>Q1</v>
      </c>
      <c r="X491" t="str">
        <f>TEXT(Table1_1[[#This Row],[order_date]],"yyyy-mm")</f>
        <v>2025-02</v>
      </c>
      <c r="Y491">
        <f>IF(Table1_1[[#This Row],[ship_date]]="","",Table1_1[[#This Row],[ship_date]]-Table1_1[[#This Row],[order_date]])</f>
        <v>4</v>
      </c>
      <c r="Z491">
        <f>ROUND(Table1_1[[#This Row],[profit]]/Table1_1[[#This Row],[sales_fix]]*100,2)</f>
        <v>19.84</v>
      </c>
    </row>
    <row r="492" spans="1:26" x14ac:dyDescent="0.3">
      <c r="A492" t="s">
        <v>1531</v>
      </c>
      <c r="B492" s="1">
        <v>45611</v>
      </c>
      <c r="C492" s="1">
        <v>45614</v>
      </c>
      <c r="D492" t="s">
        <v>1532</v>
      </c>
      <c r="E492" t="s">
        <v>1533</v>
      </c>
      <c r="F492" t="s">
        <v>34</v>
      </c>
      <c r="G492" t="s">
        <v>44</v>
      </c>
      <c r="H492" t="s">
        <v>24</v>
      </c>
      <c r="I492" t="s">
        <v>134</v>
      </c>
      <c r="J492" t="s">
        <v>135</v>
      </c>
      <c r="K492" t="s">
        <v>27</v>
      </c>
      <c r="L492">
        <v>1</v>
      </c>
      <c r="M492">
        <v>6000</v>
      </c>
      <c r="N492">
        <v>10</v>
      </c>
      <c r="O492">
        <v>5400</v>
      </c>
      <c r="P492">
        <v>975.51</v>
      </c>
      <c r="Q492" t="s">
        <v>39</v>
      </c>
      <c r="R492" t="s">
        <v>56</v>
      </c>
      <c r="S492" t="s">
        <v>50</v>
      </c>
      <c r="T492">
        <f>YEAR(Table1_1[[#This Row],[order_date]])</f>
        <v>2024</v>
      </c>
      <c r="U492">
        <f>MONTH(Table1_1[[#This Row],[order_date]])</f>
        <v>11</v>
      </c>
      <c r="V492" t="str">
        <f>TEXT(Table1_1[[#This Row],[order_date]],"mmm")</f>
        <v>Nov</v>
      </c>
      <c r="W492" t="str">
        <f>"Q"&amp;ROUNDUP(MONTH(Table1_1[[#This Row],[order_date]])/3,0)</f>
        <v>Q4</v>
      </c>
      <c r="X492" t="str">
        <f>TEXT(Table1_1[[#This Row],[order_date]],"yyyy-mm")</f>
        <v>2024-11</v>
      </c>
      <c r="Y492">
        <f>IF(Table1_1[[#This Row],[ship_date]]="","",Table1_1[[#This Row],[ship_date]]-Table1_1[[#This Row],[order_date]])</f>
        <v>3</v>
      </c>
      <c r="Z492">
        <f>ROUND(Table1_1[[#This Row],[profit]]/Table1_1[[#This Row],[sales_fix]]*100,2)</f>
        <v>18.07</v>
      </c>
    </row>
    <row r="493" spans="1:26" x14ac:dyDescent="0.3">
      <c r="A493" t="s">
        <v>2197</v>
      </c>
      <c r="B493" s="1">
        <v>45997</v>
      </c>
      <c r="C493" s="1">
        <v>46000</v>
      </c>
      <c r="D493" t="s">
        <v>748</v>
      </c>
      <c r="E493" t="s">
        <v>749</v>
      </c>
      <c r="F493" t="s">
        <v>55</v>
      </c>
      <c r="G493" t="s">
        <v>91</v>
      </c>
      <c r="H493" t="s">
        <v>92</v>
      </c>
      <c r="I493" t="s">
        <v>25</v>
      </c>
      <c r="J493" t="s">
        <v>26</v>
      </c>
      <c r="K493" t="s">
        <v>27</v>
      </c>
      <c r="L493">
        <v>2</v>
      </c>
      <c r="M493">
        <v>7000</v>
      </c>
      <c r="N493">
        <v>0</v>
      </c>
      <c r="O493">
        <v>14000</v>
      </c>
      <c r="P493">
        <v>2685.84</v>
      </c>
      <c r="Q493" t="s">
        <v>156</v>
      </c>
      <c r="R493" t="s">
        <v>56</v>
      </c>
      <c r="S493" t="s">
        <v>50</v>
      </c>
      <c r="T493">
        <f>YEAR(Table1_1[[#This Row],[order_date]])</f>
        <v>2025</v>
      </c>
      <c r="U493">
        <f>MONTH(Table1_1[[#This Row],[order_date]])</f>
        <v>12</v>
      </c>
      <c r="V493" t="str">
        <f>TEXT(Table1_1[[#This Row],[order_date]],"mmm")</f>
        <v>Dec</v>
      </c>
      <c r="W493" t="str">
        <f>"Q"&amp;ROUNDUP(MONTH(Table1_1[[#This Row],[order_date]])/3,0)</f>
        <v>Q4</v>
      </c>
      <c r="X493" t="str">
        <f>TEXT(Table1_1[[#This Row],[order_date]],"yyyy-mm")</f>
        <v>2025-12</v>
      </c>
      <c r="Y493">
        <f>IF(Table1_1[[#This Row],[ship_date]]="","",Table1_1[[#This Row],[ship_date]]-Table1_1[[#This Row],[order_date]])</f>
        <v>3</v>
      </c>
      <c r="Z493">
        <f>ROUND(Table1_1[[#This Row],[profit]]/Table1_1[[#This Row],[sales_fix]]*100,2)</f>
        <v>19.18</v>
      </c>
    </row>
    <row r="494" spans="1:26" x14ac:dyDescent="0.3">
      <c r="A494" t="s">
        <v>2692</v>
      </c>
      <c r="B494" s="1">
        <v>45862</v>
      </c>
      <c r="C494" s="1">
        <v>45868</v>
      </c>
      <c r="D494" t="s">
        <v>1152</v>
      </c>
      <c r="E494" t="s">
        <v>1153</v>
      </c>
      <c r="F494" t="s">
        <v>55</v>
      </c>
      <c r="G494" t="s">
        <v>61</v>
      </c>
      <c r="H494" t="s">
        <v>211</v>
      </c>
      <c r="I494" t="s">
        <v>63</v>
      </c>
      <c r="J494" t="s">
        <v>64</v>
      </c>
      <c r="K494" t="s">
        <v>65</v>
      </c>
      <c r="L494">
        <v>2</v>
      </c>
      <c r="M494">
        <v>25000</v>
      </c>
      <c r="N494">
        <v>15</v>
      </c>
      <c r="O494">
        <v>42500</v>
      </c>
      <c r="P494">
        <v>4764.3900000000003</v>
      </c>
      <c r="Q494" t="s">
        <v>121</v>
      </c>
      <c r="R494" t="s">
        <v>56</v>
      </c>
      <c r="S494" t="s">
        <v>86</v>
      </c>
      <c r="T494">
        <f>YEAR(Table1_1[[#This Row],[order_date]])</f>
        <v>2025</v>
      </c>
      <c r="U494">
        <f>MONTH(Table1_1[[#This Row],[order_date]])</f>
        <v>7</v>
      </c>
      <c r="V494" t="str">
        <f>TEXT(Table1_1[[#This Row],[order_date]],"mmm")</f>
        <v>Jul</v>
      </c>
      <c r="W494" t="str">
        <f>"Q"&amp;ROUNDUP(MONTH(Table1_1[[#This Row],[order_date]])/3,0)</f>
        <v>Q3</v>
      </c>
      <c r="X494" t="str">
        <f>TEXT(Table1_1[[#This Row],[order_date]],"yyyy-mm")</f>
        <v>2025-07</v>
      </c>
      <c r="Y494">
        <f>IF(Table1_1[[#This Row],[ship_date]]="","",Table1_1[[#This Row],[ship_date]]-Table1_1[[#This Row],[order_date]])</f>
        <v>6</v>
      </c>
      <c r="Z494">
        <f>ROUND(Table1_1[[#This Row],[profit]]/Table1_1[[#This Row],[sales_fix]]*100,2)</f>
        <v>11.21</v>
      </c>
    </row>
    <row r="495" spans="1:26" x14ac:dyDescent="0.3">
      <c r="A495" t="s">
        <v>1680</v>
      </c>
      <c r="B495" s="1">
        <v>45713</v>
      </c>
      <c r="C495" s="1">
        <v>45718</v>
      </c>
      <c r="D495" t="s">
        <v>324</v>
      </c>
      <c r="E495" t="s">
        <v>325</v>
      </c>
      <c r="F495" t="s">
        <v>55</v>
      </c>
      <c r="G495" t="s">
        <v>91</v>
      </c>
      <c r="H495" t="s">
        <v>109</v>
      </c>
      <c r="I495" t="s">
        <v>134</v>
      </c>
      <c r="J495" t="s">
        <v>135</v>
      </c>
      <c r="K495" t="s">
        <v>27</v>
      </c>
      <c r="L495">
        <v>1</v>
      </c>
      <c r="M495">
        <v>6000</v>
      </c>
      <c r="N495">
        <v>15</v>
      </c>
      <c r="O495">
        <v>5100</v>
      </c>
      <c r="P495">
        <v>1313.97</v>
      </c>
      <c r="Q495" t="s">
        <v>121</v>
      </c>
      <c r="R495" t="s">
        <v>29</v>
      </c>
      <c r="S495" t="s">
        <v>86</v>
      </c>
      <c r="T495">
        <f>YEAR(Table1_1[[#This Row],[order_date]])</f>
        <v>2025</v>
      </c>
      <c r="U495">
        <f>MONTH(Table1_1[[#This Row],[order_date]])</f>
        <v>2</v>
      </c>
      <c r="V495" t="str">
        <f>TEXT(Table1_1[[#This Row],[order_date]],"mmm")</f>
        <v>Feb</v>
      </c>
      <c r="W495" t="str">
        <f>"Q"&amp;ROUNDUP(MONTH(Table1_1[[#This Row],[order_date]])/3,0)</f>
        <v>Q1</v>
      </c>
      <c r="X495" t="str">
        <f>TEXT(Table1_1[[#This Row],[order_date]],"yyyy-mm")</f>
        <v>2025-02</v>
      </c>
      <c r="Y495">
        <f>IF(Table1_1[[#This Row],[ship_date]]="","",Table1_1[[#This Row],[ship_date]]-Table1_1[[#This Row],[order_date]])</f>
        <v>5</v>
      </c>
      <c r="Z495">
        <f>ROUND(Table1_1[[#This Row],[profit]]/Table1_1[[#This Row],[sales_fix]]*100,2)</f>
        <v>25.76</v>
      </c>
    </row>
    <row r="496" spans="1:26" x14ac:dyDescent="0.3">
      <c r="A496" t="s">
        <v>2601</v>
      </c>
      <c r="B496" s="1">
        <v>45318</v>
      </c>
      <c r="C496" s="1">
        <v>45322</v>
      </c>
      <c r="D496" t="s">
        <v>1315</v>
      </c>
      <c r="E496" t="s">
        <v>1316</v>
      </c>
      <c r="F496" t="s">
        <v>34</v>
      </c>
      <c r="G496" t="s">
        <v>91</v>
      </c>
      <c r="H496" t="s">
        <v>92</v>
      </c>
      <c r="I496" t="s">
        <v>79</v>
      </c>
      <c r="J496" t="s">
        <v>80</v>
      </c>
      <c r="K496" t="s">
        <v>65</v>
      </c>
      <c r="L496">
        <v>3</v>
      </c>
      <c r="M496">
        <v>3000</v>
      </c>
      <c r="N496">
        <v>10</v>
      </c>
      <c r="O496">
        <v>8100</v>
      </c>
      <c r="P496">
        <v>2300.67</v>
      </c>
      <c r="Q496" t="s">
        <v>39</v>
      </c>
      <c r="R496" t="s">
        <v>29</v>
      </c>
      <c r="S496" t="s">
        <v>50</v>
      </c>
      <c r="T496">
        <f>YEAR(Table1_1[[#This Row],[order_date]])</f>
        <v>2024</v>
      </c>
      <c r="U496">
        <f>MONTH(Table1_1[[#This Row],[order_date]])</f>
        <v>1</v>
      </c>
      <c r="V496" t="str">
        <f>TEXT(Table1_1[[#This Row],[order_date]],"mmm")</f>
        <v>Jan</v>
      </c>
      <c r="W496" t="str">
        <f>"Q"&amp;ROUNDUP(MONTH(Table1_1[[#This Row],[order_date]])/3,0)</f>
        <v>Q1</v>
      </c>
      <c r="X496" t="str">
        <f>TEXT(Table1_1[[#This Row],[order_date]],"yyyy-mm")</f>
        <v>2024-01</v>
      </c>
      <c r="Y496">
        <f>IF(Table1_1[[#This Row],[ship_date]]="","",Table1_1[[#This Row],[ship_date]]-Table1_1[[#This Row],[order_date]])</f>
        <v>4</v>
      </c>
      <c r="Z496">
        <f>ROUND(Table1_1[[#This Row],[profit]]/Table1_1[[#This Row],[sales_fix]]*100,2)</f>
        <v>28.4</v>
      </c>
    </row>
    <row r="497" spans="1:26" x14ac:dyDescent="0.3">
      <c r="A497" t="s">
        <v>2965</v>
      </c>
      <c r="B497" s="1">
        <v>45373</v>
      </c>
      <c r="C497" s="1">
        <v>45381</v>
      </c>
      <c r="D497" t="s">
        <v>740</v>
      </c>
      <c r="E497" t="s">
        <v>741</v>
      </c>
      <c r="F497" t="s">
        <v>55</v>
      </c>
      <c r="G497" t="s">
        <v>35</v>
      </c>
      <c r="H497" t="s">
        <v>85</v>
      </c>
      <c r="I497" t="s">
        <v>37</v>
      </c>
      <c r="J497" t="s">
        <v>38</v>
      </c>
      <c r="K497" t="s">
        <v>27</v>
      </c>
      <c r="L497">
        <v>3</v>
      </c>
      <c r="M497">
        <v>9500</v>
      </c>
      <c r="N497">
        <v>5</v>
      </c>
      <c r="O497">
        <v>27075</v>
      </c>
      <c r="P497">
        <v>4080.93</v>
      </c>
      <c r="Q497" t="s">
        <v>156</v>
      </c>
      <c r="R497" t="s">
        <v>56</v>
      </c>
      <c r="S497" t="s">
        <v>110</v>
      </c>
      <c r="T497">
        <f>YEAR(Table1_1[[#This Row],[order_date]])</f>
        <v>2024</v>
      </c>
      <c r="U497">
        <f>MONTH(Table1_1[[#This Row],[order_date]])</f>
        <v>3</v>
      </c>
      <c r="V497" t="str">
        <f>TEXT(Table1_1[[#This Row],[order_date]],"mmm")</f>
        <v>Mar</v>
      </c>
      <c r="W497" t="str">
        <f>"Q"&amp;ROUNDUP(MONTH(Table1_1[[#This Row],[order_date]])/3,0)</f>
        <v>Q1</v>
      </c>
      <c r="X497" t="str">
        <f>TEXT(Table1_1[[#This Row],[order_date]],"yyyy-mm")</f>
        <v>2024-03</v>
      </c>
      <c r="Y497">
        <f>IF(Table1_1[[#This Row],[ship_date]]="","",Table1_1[[#This Row],[ship_date]]-Table1_1[[#This Row],[order_date]])</f>
        <v>8</v>
      </c>
      <c r="Z497">
        <f>ROUND(Table1_1[[#This Row],[profit]]/Table1_1[[#This Row],[sales_fix]]*100,2)</f>
        <v>15.07</v>
      </c>
    </row>
    <row r="498" spans="1:26" x14ac:dyDescent="0.3">
      <c r="A498" t="s">
        <v>2366</v>
      </c>
      <c r="B498" s="1">
        <v>45795</v>
      </c>
      <c r="C498" s="1">
        <v>45796</v>
      </c>
      <c r="D498" t="s">
        <v>129</v>
      </c>
      <c r="E498" t="s">
        <v>130</v>
      </c>
      <c r="F498" t="s">
        <v>34</v>
      </c>
      <c r="G498" t="s">
        <v>61</v>
      </c>
      <c r="H498" t="s">
        <v>78</v>
      </c>
      <c r="I498" t="s">
        <v>134</v>
      </c>
      <c r="J498" t="s">
        <v>135</v>
      </c>
      <c r="K498" t="s">
        <v>27</v>
      </c>
      <c r="L498">
        <v>2</v>
      </c>
      <c r="M498">
        <v>6000</v>
      </c>
      <c r="N498">
        <v>0</v>
      </c>
      <c r="O498">
        <v>12000</v>
      </c>
      <c r="P498">
        <v>2238.64</v>
      </c>
      <c r="Q498" t="s">
        <v>28</v>
      </c>
      <c r="R498" t="s">
        <v>29</v>
      </c>
      <c r="S498" t="s">
        <v>110</v>
      </c>
      <c r="T498">
        <f>YEAR(Table1_1[[#This Row],[order_date]])</f>
        <v>2025</v>
      </c>
      <c r="U498">
        <f>MONTH(Table1_1[[#This Row],[order_date]])</f>
        <v>5</v>
      </c>
      <c r="V498" t="str">
        <f>TEXT(Table1_1[[#This Row],[order_date]],"mmm")</f>
        <v>May</v>
      </c>
      <c r="W498" t="str">
        <f>"Q"&amp;ROUNDUP(MONTH(Table1_1[[#This Row],[order_date]])/3,0)</f>
        <v>Q2</v>
      </c>
      <c r="X498" t="str">
        <f>TEXT(Table1_1[[#This Row],[order_date]],"yyyy-mm")</f>
        <v>2025-05</v>
      </c>
      <c r="Y498">
        <f>IF(Table1_1[[#This Row],[ship_date]]="","",Table1_1[[#This Row],[ship_date]]-Table1_1[[#This Row],[order_date]])</f>
        <v>1</v>
      </c>
      <c r="Z498">
        <f>ROUND(Table1_1[[#This Row],[profit]]/Table1_1[[#This Row],[sales_fix]]*100,2)</f>
        <v>18.66</v>
      </c>
    </row>
    <row r="499" spans="1:26" x14ac:dyDescent="0.3">
      <c r="A499" t="s">
        <v>1230</v>
      </c>
      <c r="B499" s="1">
        <v>45979</v>
      </c>
      <c r="C499" s="1">
        <v>45987</v>
      </c>
      <c r="D499" t="s">
        <v>261</v>
      </c>
      <c r="E499" t="s">
        <v>262</v>
      </c>
      <c r="F499" t="s">
        <v>23</v>
      </c>
      <c r="G499" t="s">
        <v>35</v>
      </c>
      <c r="H499" t="s">
        <v>85</v>
      </c>
      <c r="I499" t="s">
        <v>103</v>
      </c>
      <c r="J499" t="s">
        <v>104</v>
      </c>
      <c r="K499" t="s">
        <v>65</v>
      </c>
      <c r="L499">
        <v>3</v>
      </c>
      <c r="M499">
        <v>8000</v>
      </c>
      <c r="N499">
        <v>0</v>
      </c>
      <c r="O499">
        <v>24000</v>
      </c>
      <c r="P499">
        <v>4624.99</v>
      </c>
      <c r="Q499" t="s">
        <v>39</v>
      </c>
      <c r="R499" t="s">
        <v>49</v>
      </c>
      <c r="S499" t="s">
        <v>110</v>
      </c>
      <c r="T499">
        <f>YEAR(Table1_1[[#This Row],[order_date]])</f>
        <v>2025</v>
      </c>
      <c r="U499">
        <f>MONTH(Table1_1[[#This Row],[order_date]])</f>
        <v>11</v>
      </c>
      <c r="V499" t="str">
        <f>TEXT(Table1_1[[#This Row],[order_date]],"mmm")</f>
        <v>Nov</v>
      </c>
      <c r="W499" t="str">
        <f>"Q"&amp;ROUNDUP(MONTH(Table1_1[[#This Row],[order_date]])/3,0)</f>
        <v>Q4</v>
      </c>
      <c r="X499" t="str">
        <f>TEXT(Table1_1[[#This Row],[order_date]],"yyyy-mm")</f>
        <v>2025-11</v>
      </c>
      <c r="Y499">
        <f>IF(Table1_1[[#This Row],[ship_date]]="","",Table1_1[[#This Row],[ship_date]]-Table1_1[[#This Row],[order_date]])</f>
        <v>8</v>
      </c>
      <c r="Z499">
        <f>ROUND(Table1_1[[#This Row],[profit]]/Table1_1[[#This Row],[sales_fix]]*100,2)</f>
        <v>19.27</v>
      </c>
    </row>
    <row r="500" spans="1:26" x14ac:dyDescent="0.3">
      <c r="A500" t="s">
        <v>2190</v>
      </c>
      <c r="B500" s="1">
        <v>45729</v>
      </c>
      <c r="C500" s="1">
        <v>45736</v>
      </c>
      <c r="D500" t="s">
        <v>494</v>
      </c>
      <c r="E500" t="s">
        <v>495</v>
      </c>
      <c r="F500" t="s">
        <v>34</v>
      </c>
      <c r="G500" t="s">
        <v>35</v>
      </c>
      <c r="H500" t="s">
        <v>258</v>
      </c>
      <c r="I500" t="s">
        <v>103</v>
      </c>
      <c r="J500" t="s">
        <v>104</v>
      </c>
      <c r="K500" t="s">
        <v>65</v>
      </c>
      <c r="L500">
        <v>2</v>
      </c>
      <c r="M500">
        <v>8000</v>
      </c>
      <c r="N500">
        <v>0</v>
      </c>
      <c r="O500">
        <v>16000</v>
      </c>
      <c r="P500">
        <v>3772.69</v>
      </c>
      <c r="Q500" t="s">
        <v>156</v>
      </c>
      <c r="R500" t="s">
        <v>49</v>
      </c>
      <c r="S500" t="s">
        <v>30</v>
      </c>
      <c r="T500">
        <f>YEAR(Table1_1[[#This Row],[order_date]])</f>
        <v>2025</v>
      </c>
      <c r="U500">
        <f>MONTH(Table1_1[[#This Row],[order_date]])</f>
        <v>3</v>
      </c>
      <c r="V500" t="str">
        <f>TEXT(Table1_1[[#This Row],[order_date]],"mmm")</f>
        <v>Mar</v>
      </c>
      <c r="W500" t="str">
        <f>"Q"&amp;ROUNDUP(MONTH(Table1_1[[#This Row],[order_date]])/3,0)</f>
        <v>Q1</v>
      </c>
      <c r="X500" t="str">
        <f>TEXT(Table1_1[[#This Row],[order_date]],"yyyy-mm")</f>
        <v>2025-03</v>
      </c>
      <c r="Y500">
        <f>IF(Table1_1[[#This Row],[ship_date]]="","",Table1_1[[#This Row],[ship_date]]-Table1_1[[#This Row],[order_date]])</f>
        <v>7</v>
      </c>
      <c r="Z500">
        <f>ROUND(Table1_1[[#This Row],[profit]]/Table1_1[[#This Row],[sales_fix]]*100,2)</f>
        <v>23.58</v>
      </c>
    </row>
    <row r="501" spans="1:26" x14ac:dyDescent="0.3">
      <c r="A501" t="s">
        <v>2675</v>
      </c>
      <c r="B501" s="1">
        <v>45841</v>
      </c>
      <c r="C501" s="1">
        <v>45843</v>
      </c>
      <c r="D501" t="s">
        <v>272</v>
      </c>
      <c r="E501" t="s">
        <v>273</v>
      </c>
      <c r="F501" t="s">
        <v>23</v>
      </c>
      <c r="G501" t="s">
        <v>35</v>
      </c>
      <c r="H501" t="s">
        <v>258</v>
      </c>
      <c r="I501" t="s">
        <v>93</v>
      </c>
      <c r="J501" t="s">
        <v>94</v>
      </c>
      <c r="K501" t="s">
        <v>95</v>
      </c>
      <c r="L501">
        <v>2</v>
      </c>
      <c r="M501">
        <v>1800</v>
      </c>
      <c r="N501">
        <v>15</v>
      </c>
      <c r="O501">
        <v>3060</v>
      </c>
      <c r="P501">
        <v>1086.82</v>
      </c>
      <c r="Q501" t="s">
        <v>28</v>
      </c>
      <c r="R501" t="s">
        <v>49</v>
      </c>
      <c r="S501" t="s">
        <v>86</v>
      </c>
      <c r="T501">
        <f>YEAR(Table1_1[[#This Row],[order_date]])</f>
        <v>2025</v>
      </c>
      <c r="U501">
        <f>MONTH(Table1_1[[#This Row],[order_date]])</f>
        <v>7</v>
      </c>
      <c r="V501" t="str">
        <f>TEXT(Table1_1[[#This Row],[order_date]],"mmm")</f>
        <v>Jul</v>
      </c>
      <c r="W501" t="str">
        <f>"Q"&amp;ROUNDUP(MONTH(Table1_1[[#This Row],[order_date]])/3,0)</f>
        <v>Q3</v>
      </c>
      <c r="X501" t="str">
        <f>TEXT(Table1_1[[#This Row],[order_date]],"yyyy-mm")</f>
        <v>2025-07</v>
      </c>
      <c r="Y501">
        <f>IF(Table1_1[[#This Row],[ship_date]]="","",Table1_1[[#This Row],[ship_date]]-Table1_1[[#This Row],[order_date]])</f>
        <v>2</v>
      </c>
      <c r="Z501">
        <f>ROUND(Table1_1[[#This Row],[profit]]/Table1_1[[#This Row],[sales_fix]]*100,2)</f>
        <v>35.520000000000003</v>
      </c>
    </row>
    <row r="502" spans="1:26" x14ac:dyDescent="0.3">
      <c r="A502" t="s">
        <v>3096</v>
      </c>
      <c r="B502" s="1">
        <v>45842</v>
      </c>
      <c r="C502" s="1">
        <v>45849</v>
      </c>
      <c r="D502" t="s">
        <v>491</v>
      </c>
      <c r="E502" t="s">
        <v>492</v>
      </c>
      <c r="F502" t="s">
        <v>34</v>
      </c>
      <c r="G502" t="s">
        <v>44</v>
      </c>
      <c r="H502" t="s">
        <v>330</v>
      </c>
      <c r="I502" t="s">
        <v>46</v>
      </c>
      <c r="J502" t="s">
        <v>47</v>
      </c>
      <c r="K502" t="s">
        <v>48</v>
      </c>
      <c r="L502">
        <v>1</v>
      </c>
      <c r="M502">
        <v>180</v>
      </c>
      <c r="N502">
        <v>15</v>
      </c>
      <c r="O502">
        <v>153</v>
      </c>
      <c r="P502">
        <v>49.28</v>
      </c>
      <c r="Q502" t="s">
        <v>39</v>
      </c>
      <c r="R502" t="s">
        <v>56</v>
      </c>
      <c r="S502" t="s">
        <v>86</v>
      </c>
      <c r="T502">
        <f>YEAR(Table1_1[[#This Row],[order_date]])</f>
        <v>2025</v>
      </c>
      <c r="U502">
        <f>MONTH(Table1_1[[#This Row],[order_date]])</f>
        <v>7</v>
      </c>
      <c r="V502" t="str">
        <f>TEXT(Table1_1[[#This Row],[order_date]],"mmm")</f>
        <v>Jul</v>
      </c>
      <c r="W502" t="str">
        <f>"Q"&amp;ROUNDUP(MONTH(Table1_1[[#This Row],[order_date]])/3,0)</f>
        <v>Q3</v>
      </c>
      <c r="X502" t="str">
        <f>TEXT(Table1_1[[#This Row],[order_date]],"yyyy-mm")</f>
        <v>2025-07</v>
      </c>
      <c r="Y502">
        <f>IF(Table1_1[[#This Row],[ship_date]]="","",Table1_1[[#This Row],[ship_date]]-Table1_1[[#This Row],[order_date]])</f>
        <v>7</v>
      </c>
      <c r="Z502">
        <f>ROUND(Table1_1[[#This Row],[profit]]/Table1_1[[#This Row],[sales_fix]]*100,2)</f>
        <v>32.21</v>
      </c>
    </row>
    <row r="503" spans="1:26" x14ac:dyDescent="0.3">
      <c r="A503" t="s">
        <v>19</v>
      </c>
      <c r="B503" s="1">
        <v>45742</v>
      </c>
      <c r="C503" s="1">
        <v>45747</v>
      </c>
      <c r="D503" t="s">
        <v>21</v>
      </c>
      <c r="E503" t="s">
        <v>22</v>
      </c>
      <c r="F503" t="s">
        <v>23</v>
      </c>
      <c r="G503" t="s">
        <v>44</v>
      </c>
      <c r="H503" t="s">
        <v>24</v>
      </c>
      <c r="I503" t="s">
        <v>25</v>
      </c>
      <c r="J503" t="s">
        <v>26</v>
      </c>
      <c r="K503" t="s">
        <v>27</v>
      </c>
      <c r="L503">
        <v>1</v>
      </c>
      <c r="M503">
        <v>7000</v>
      </c>
      <c r="N503">
        <v>0</v>
      </c>
      <c r="O503">
        <v>7000</v>
      </c>
      <c r="P503">
        <v>1554.59</v>
      </c>
      <c r="Q503" t="s">
        <v>28</v>
      </c>
      <c r="R503" t="s">
        <v>29</v>
      </c>
      <c r="S503" t="s">
        <v>30</v>
      </c>
      <c r="T503">
        <f>YEAR(Table1_1[[#This Row],[order_date]])</f>
        <v>2025</v>
      </c>
      <c r="U503">
        <f>MONTH(Table1_1[[#This Row],[order_date]])</f>
        <v>3</v>
      </c>
      <c r="V503" t="str">
        <f>TEXT(Table1_1[[#This Row],[order_date]],"mmm")</f>
        <v>Mar</v>
      </c>
      <c r="W503" t="str">
        <f>"Q"&amp;ROUNDUP(MONTH(Table1_1[[#This Row],[order_date]])/3,0)</f>
        <v>Q1</v>
      </c>
      <c r="X503" t="str">
        <f>TEXT(Table1_1[[#This Row],[order_date]],"yyyy-mm")</f>
        <v>2025-03</v>
      </c>
      <c r="Y503">
        <f>IF(Table1_1[[#This Row],[ship_date]]="","",Table1_1[[#This Row],[ship_date]]-Table1_1[[#This Row],[order_date]])</f>
        <v>5</v>
      </c>
      <c r="Z503">
        <f>ROUND(Table1_1[[#This Row],[profit]]/Table1_1[[#This Row],[sales_fix]]*100,2)</f>
        <v>22.21</v>
      </c>
    </row>
    <row r="504" spans="1:26" x14ac:dyDescent="0.3">
      <c r="A504" t="s">
        <v>2140</v>
      </c>
      <c r="B504" s="1">
        <v>45347</v>
      </c>
      <c r="C504" s="1">
        <v>45355</v>
      </c>
      <c r="D504" t="s">
        <v>919</v>
      </c>
      <c r="E504" t="s">
        <v>920</v>
      </c>
      <c r="F504" t="s">
        <v>23</v>
      </c>
      <c r="G504" t="s">
        <v>35</v>
      </c>
      <c r="H504" t="s">
        <v>36</v>
      </c>
      <c r="I504" t="s">
        <v>93</v>
      </c>
      <c r="J504" t="s">
        <v>94</v>
      </c>
      <c r="K504" t="s">
        <v>95</v>
      </c>
      <c r="L504">
        <v>3</v>
      </c>
      <c r="M504">
        <v>1800</v>
      </c>
      <c r="N504">
        <v>0</v>
      </c>
      <c r="O504">
        <v>5400</v>
      </c>
      <c r="P504">
        <v>1673.47</v>
      </c>
      <c r="Q504" t="s">
        <v>66</v>
      </c>
      <c r="R504" t="s">
        <v>56</v>
      </c>
      <c r="S504" t="s">
        <v>40</v>
      </c>
      <c r="T504">
        <f>YEAR(Table1_1[[#This Row],[order_date]])</f>
        <v>2024</v>
      </c>
      <c r="U504">
        <f>MONTH(Table1_1[[#This Row],[order_date]])</f>
        <v>2</v>
      </c>
      <c r="V504" t="str">
        <f>TEXT(Table1_1[[#This Row],[order_date]],"mmm")</f>
        <v>Feb</v>
      </c>
      <c r="W504" t="str">
        <f>"Q"&amp;ROUNDUP(MONTH(Table1_1[[#This Row],[order_date]])/3,0)</f>
        <v>Q1</v>
      </c>
      <c r="X504" t="str">
        <f>TEXT(Table1_1[[#This Row],[order_date]],"yyyy-mm")</f>
        <v>2024-02</v>
      </c>
      <c r="Y504">
        <f>IF(Table1_1[[#This Row],[ship_date]]="","",Table1_1[[#This Row],[ship_date]]-Table1_1[[#This Row],[order_date]])</f>
        <v>8</v>
      </c>
      <c r="Z504">
        <f>ROUND(Table1_1[[#This Row],[profit]]/Table1_1[[#This Row],[sales_fix]]*100,2)</f>
        <v>30.99</v>
      </c>
    </row>
    <row r="505" spans="1:26" x14ac:dyDescent="0.3">
      <c r="A505" t="s">
        <v>638</v>
      </c>
      <c r="B505" s="1">
        <v>45891</v>
      </c>
      <c r="C505" s="1">
        <v>45898</v>
      </c>
      <c r="D505" t="s">
        <v>639</v>
      </c>
      <c r="E505" t="s">
        <v>640</v>
      </c>
      <c r="F505" t="s">
        <v>55</v>
      </c>
      <c r="G505" t="s">
        <v>35</v>
      </c>
      <c r="H505" t="s">
        <v>36</v>
      </c>
      <c r="I505" t="s">
        <v>79</v>
      </c>
      <c r="J505" t="s">
        <v>80</v>
      </c>
      <c r="K505" t="s">
        <v>65</v>
      </c>
      <c r="L505">
        <v>5</v>
      </c>
      <c r="M505">
        <v>3000</v>
      </c>
      <c r="N505">
        <v>15</v>
      </c>
      <c r="O505">
        <v>12750</v>
      </c>
      <c r="P505">
        <v>3513.5</v>
      </c>
      <c r="Q505" t="s">
        <v>28</v>
      </c>
      <c r="R505" t="s">
        <v>49</v>
      </c>
      <c r="S505" t="s">
        <v>30</v>
      </c>
      <c r="T505">
        <f>YEAR(Table1_1[[#This Row],[order_date]])</f>
        <v>2025</v>
      </c>
      <c r="U505">
        <f>MONTH(Table1_1[[#This Row],[order_date]])</f>
        <v>8</v>
      </c>
      <c r="V505" t="str">
        <f>TEXT(Table1_1[[#This Row],[order_date]],"mmm")</f>
        <v>Aug</v>
      </c>
      <c r="W505" t="str">
        <f>"Q"&amp;ROUNDUP(MONTH(Table1_1[[#This Row],[order_date]])/3,0)</f>
        <v>Q3</v>
      </c>
      <c r="X505" t="str">
        <f>TEXT(Table1_1[[#This Row],[order_date]],"yyyy-mm")</f>
        <v>2025-08</v>
      </c>
      <c r="Y505">
        <f>IF(Table1_1[[#This Row],[ship_date]]="","",Table1_1[[#This Row],[ship_date]]-Table1_1[[#This Row],[order_date]])</f>
        <v>7</v>
      </c>
      <c r="Z505">
        <f>ROUND(Table1_1[[#This Row],[profit]]/Table1_1[[#This Row],[sales_fix]]*100,2)</f>
        <v>27.56</v>
      </c>
    </row>
    <row r="506" spans="1:26" x14ac:dyDescent="0.3">
      <c r="A506" t="s">
        <v>2353</v>
      </c>
      <c r="B506" s="1">
        <v>45756</v>
      </c>
      <c r="C506" s="1">
        <v>45764</v>
      </c>
      <c r="D506" t="s">
        <v>1015</v>
      </c>
      <c r="E506" t="s">
        <v>1016</v>
      </c>
      <c r="F506" t="s">
        <v>23</v>
      </c>
      <c r="G506" t="s">
        <v>44</v>
      </c>
      <c r="H506" t="s">
        <v>45</v>
      </c>
      <c r="I506" t="s">
        <v>79</v>
      </c>
      <c r="J506" t="s">
        <v>80</v>
      </c>
      <c r="K506" t="s">
        <v>65</v>
      </c>
      <c r="L506">
        <v>2</v>
      </c>
      <c r="M506">
        <v>3000</v>
      </c>
      <c r="N506">
        <v>15</v>
      </c>
      <c r="O506">
        <v>5100</v>
      </c>
      <c r="P506">
        <v>1619.23</v>
      </c>
      <c r="Q506" t="s">
        <v>66</v>
      </c>
      <c r="R506" t="s">
        <v>49</v>
      </c>
      <c r="S506" t="s">
        <v>110</v>
      </c>
      <c r="T506">
        <f>YEAR(Table1_1[[#This Row],[order_date]])</f>
        <v>2025</v>
      </c>
      <c r="U506">
        <f>MONTH(Table1_1[[#This Row],[order_date]])</f>
        <v>4</v>
      </c>
      <c r="V506" t="str">
        <f>TEXT(Table1_1[[#This Row],[order_date]],"mmm")</f>
        <v>Apr</v>
      </c>
      <c r="W506" t="str">
        <f>"Q"&amp;ROUNDUP(MONTH(Table1_1[[#This Row],[order_date]])/3,0)</f>
        <v>Q2</v>
      </c>
      <c r="X506" t="str">
        <f>TEXT(Table1_1[[#This Row],[order_date]],"yyyy-mm")</f>
        <v>2025-04</v>
      </c>
      <c r="Y506">
        <f>IF(Table1_1[[#This Row],[ship_date]]="","",Table1_1[[#This Row],[ship_date]]-Table1_1[[#This Row],[order_date]])</f>
        <v>8</v>
      </c>
      <c r="Z506">
        <f>ROUND(Table1_1[[#This Row],[profit]]/Table1_1[[#This Row],[sales_fix]]*100,2)</f>
        <v>31.75</v>
      </c>
    </row>
    <row r="507" spans="1:26" x14ac:dyDescent="0.3">
      <c r="A507" t="s">
        <v>1755</v>
      </c>
      <c r="B507" s="1">
        <v>45418</v>
      </c>
      <c r="C507" s="1">
        <v>45424</v>
      </c>
      <c r="D507" t="s">
        <v>431</v>
      </c>
      <c r="E507" t="s">
        <v>432</v>
      </c>
      <c r="F507" t="s">
        <v>23</v>
      </c>
      <c r="G507" t="s">
        <v>91</v>
      </c>
      <c r="H507" t="s">
        <v>120</v>
      </c>
      <c r="I507" t="s">
        <v>71</v>
      </c>
      <c r="J507" t="s">
        <v>72</v>
      </c>
      <c r="K507" t="s">
        <v>73</v>
      </c>
      <c r="L507">
        <v>1</v>
      </c>
      <c r="M507">
        <v>3500</v>
      </c>
      <c r="N507">
        <v>15</v>
      </c>
      <c r="O507">
        <v>2975</v>
      </c>
      <c r="P507">
        <v>837.53</v>
      </c>
      <c r="Q507" t="s">
        <v>66</v>
      </c>
      <c r="R507" t="s">
        <v>56</v>
      </c>
      <c r="S507" t="s">
        <v>30</v>
      </c>
      <c r="T507">
        <f>YEAR(Table1_1[[#This Row],[order_date]])</f>
        <v>2024</v>
      </c>
      <c r="U507">
        <f>MONTH(Table1_1[[#This Row],[order_date]])</f>
        <v>5</v>
      </c>
      <c r="V507" t="str">
        <f>TEXT(Table1_1[[#This Row],[order_date]],"mmm")</f>
        <v>May</v>
      </c>
      <c r="W507" t="str">
        <f>"Q"&amp;ROUNDUP(MONTH(Table1_1[[#This Row],[order_date]])/3,0)</f>
        <v>Q2</v>
      </c>
      <c r="X507" t="str">
        <f>TEXT(Table1_1[[#This Row],[order_date]],"yyyy-mm")</f>
        <v>2024-05</v>
      </c>
      <c r="Y507">
        <f>IF(Table1_1[[#This Row],[ship_date]]="","",Table1_1[[#This Row],[ship_date]]-Table1_1[[#This Row],[order_date]])</f>
        <v>6</v>
      </c>
      <c r="Z507">
        <f>ROUND(Table1_1[[#This Row],[profit]]/Table1_1[[#This Row],[sales_fix]]*100,2)</f>
        <v>28.15</v>
      </c>
    </row>
    <row r="508" spans="1:26" x14ac:dyDescent="0.3">
      <c r="A508" t="s">
        <v>2469</v>
      </c>
      <c r="B508" s="1">
        <v>45455</v>
      </c>
      <c r="C508" s="1">
        <v>45458</v>
      </c>
      <c r="D508" t="s">
        <v>798</v>
      </c>
      <c r="E508" t="s">
        <v>799</v>
      </c>
      <c r="F508" t="s">
        <v>23</v>
      </c>
      <c r="G508" t="s">
        <v>44</v>
      </c>
      <c r="H508" t="s">
        <v>330</v>
      </c>
      <c r="I508" t="s">
        <v>93</v>
      </c>
      <c r="J508" t="s">
        <v>94</v>
      </c>
      <c r="K508" t="s">
        <v>95</v>
      </c>
      <c r="L508">
        <v>1</v>
      </c>
      <c r="M508">
        <v>1800</v>
      </c>
      <c r="N508">
        <v>5</v>
      </c>
      <c r="O508">
        <v>1710</v>
      </c>
      <c r="P508">
        <v>429.46</v>
      </c>
      <c r="Q508" t="s">
        <v>74</v>
      </c>
      <c r="R508" t="s">
        <v>56</v>
      </c>
      <c r="S508" t="s">
        <v>50</v>
      </c>
      <c r="T508">
        <f>YEAR(Table1_1[[#This Row],[order_date]])</f>
        <v>2024</v>
      </c>
      <c r="U508">
        <f>MONTH(Table1_1[[#This Row],[order_date]])</f>
        <v>6</v>
      </c>
      <c r="V508" t="str">
        <f>TEXT(Table1_1[[#This Row],[order_date]],"mmm")</f>
        <v>Jun</v>
      </c>
      <c r="W508" t="str">
        <f>"Q"&amp;ROUNDUP(MONTH(Table1_1[[#This Row],[order_date]])/3,0)</f>
        <v>Q2</v>
      </c>
      <c r="X508" t="str">
        <f>TEXT(Table1_1[[#This Row],[order_date]],"yyyy-mm")</f>
        <v>2024-06</v>
      </c>
      <c r="Y508">
        <f>IF(Table1_1[[#This Row],[ship_date]]="","",Table1_1[[#This Row],[ship_date]]-Table1_1[[#This Row],[order_date]])</f>
        <v>3</v>
      </c>
      <c r="Z508">
        <f>ROUND(Table1_1[[#This Row],[profit]]/Table1_1[[#This Row],[sales_fix]]*100,2)</f>
        <v>25.11</v>
      </c>
    </row>
    <row r="509" spans="1:26" x14ac:dyDescent="0.3">
      <c r="A509" t="s">
        <v>1238</v>
      </c>
      <c r="B509" s="1">
        <v>45475</v>
      </c>
      <c r="C509" s="1">
        <v>45480</v>
      </c>
      <c r="D509" t="s">
        <v>431</v>
      </c>
      <c r="E509" t="s">
        <v>432</v>
      </c>
      <c r="F509" t="s">
        <v>23</v>
      </c>
      <c r="G509" t="s">
        <v>91</v>
      </c>
      <c r="H509" t="s">
        <v>120</v>
      </c>
      <c r="I509" t="s">
        <v>79</v>
      </c>
      <c r="J509" t="s">
        <v>80</v>
      </c>
      <c r="K509" t="s">
        <v>65</v>
      </c>
      <c r="L509">
        <v>3</v>
      </c>
      <c r="M509">
        <v>3000</v>
      </c>
      <c r="N509">
        <v>0</v>
      </c>
      <c r="O509">
        <v>9000</v>
      </c>
      <c r="P509">
        <v>2343.15</v>
      </c>
      <c r="Q509" t="s">
        <v>156</v>
      </c>
      <c r="R509" t="s">
        <v>49</v>
      </c>
      <c r="S509" t="s">
        <v>110</v>
      </c>
      <c r="T509">
        <f>YEAR(Table1_1[[#This Row],[order_date]])</f>
        <v>2024</v>
      </c>
      <c r="U509">
        <f>MONTH(Table1_1[[#This Row],[order_date]])</f>
        <v>7</v>
      </c>
      <c r="V509" t="str">
        <f>TEXT(Table1_1[[#This Row],[order_date]],"mmm")</f>
        <v>Jul</v>
      </c>
      <c r="W509" t="str">
        <f>"Q"&amp;ROUNDUP(MONTH(Table1_1[[#This Row],[order_date]])/3,0)</f>
        <v>Q3</v>
      </c>
      <c r="X509" t="str">
        <f>TEXT(Table1_1[[#This Row],[order_date]],"yyyy-mm")</f>
        <v>2024-07</v>
      </c>
      <c r="Y509">
        <f>IF(Table1_1[[#This Row],[ship_date]]="","",Table1_1[[#This Row],[ship_date]]-Table1_1[[#This Row],[order_date]])</f>
        <v>5</v>
      </c>
      <c r="Z509">
        <f>ROUND(Table1_1[[#This Row],[profit]]/Table1_1[[#This Row],[sales_fix]]*100,2)</f>
        <v>26.04</v>
      </c>
    </row>
    <row r="510" spans="1:26" x14ac:dyDescent="0.3">
      <c r="A510" t="s">
        <v>686</v>
      </c>
      <c r="B510" s="1">
        <v>45426</v>
      </c>
      <c r="C510" s="1">
        <v>45431</v>
      </c>
      <c r="D510" t="s">
        <v>570</v>
      </c>
      <c r="E510" t="s">
        <v>571</v>
      </c>
      <c r="F510" t="s">
        <v>34</v>
      </c>
      <c r="G510" t="s">
        <v>44</v>
      </c>
      <c r="H510" t="s">
        <v>161</v>
      </c>
      <c r="I510" t="s">
        <v>63</v>
      </c>
      <c r="J510" t="s">
        <v>64</v>
      </c>
      <c r="K510" t="s">
        <v>65</v>
      </c>
      <c r="L510">
        <v>10</v>
      </c>
      <c r="M510">
        <v>25000</v>
      </c>
      <c r="N510">
        <v>0</v>
      </c>
      <c r="O510">
        <v>250000</v>
      </c>
      <c r="P510">
        <v>35588.400000000001</v>
      </c>
      <c r="Q510" t="s">
        <v>66</v>
      </c>
      <c r="R510" t="s">
        <v>49</v>
      </c>
      <c r="S510" t="s">
        <v>30</v>
      </c>
      <c r="T510">
        <f>YEAR(Table1_1[[#This Row],[order_date]])</f>
        <v>2024</v>
      </c>
      <c r="U510">
        <f>MONTH(Table1_1[[#This Row],[order_date]])</f>
        <v>5</v>
      </c>
      <c r="V510" t="str">
        <f>TEXT(Table1_1[[#This Row],[order_date]],"mmm")</f>
        <v>May</v>
      </c>
      <c r="W510" t="str">
        <f>"Q"&amp;ROUNDUP(MONTH(Table1_1[[#This Row],[order_date]])/3,0)</f>
        <v>Q2</v>
      </c>
      <c r="X510" t="str">
        <f>TEXT(Table1_1[[#This Row],[order_date]],"yyyy-mm")</f>
        <v>2024-05</v>
      </c>
      <c r="Y510">
        <f>IF(Table1_1[[#This Row],[ship_date]]="","",Table1_1[[#This Row],[ship_date]]-Table1_1[[#This Row],[order_date]])</f>
        <v>5</v>
      </c>
      <c r="Z510">
        <f>ROUND(Table1_1[[#This Row],[profit]]/Table1_1[[#This Row],[sales_fix]]*100,2)</f>
        <v>14.24</v>
      </c>
    </row>
    <row r="511" spans="1:26" x14ac:dyDescent="0.3">
      <c r="A511" t="s">
        <v>2325</v>
      </c>
      <c r="B511" s="1">
        <v>45297</v>
      </c>
      <c r="C511" s="1">
        <v>45305</v>
      </c>
      <c r="D511" t="s">
        <v>498</v>
      </c>
      <c r="E511" t="s">
        <v>499</v>
      </c>
      <c r="F511" t="s">
        <v>55</v>
      </c>
      <c r="G511" t="s">
        <v>91</v>
      </c>
      <c r="H511" t="s">
        <v>120</v>
      </c>
      <c r="I511" t="s">
        <v>46</v>
      </c>
      <c r="J511" t="s">
        <v>47</v>
      </c>
      <c r="K511" t="s">
        <v>48</v>
      </c>
      <c r="L511">
        <v>2</v>
      </c>
      <c r="M511">
        <v>180</v>
      </c>
      <c r="N511">
        <v>5</v>
      </c>
      <c r="O511">
        <v>342</v>
      </c>
      <c r="P511">
        <v>122.37</v>
      </c>
      <c r="Q511" t="s">
        <v>28</v>
      </c>
      <c r="R511" t="s">
        <v>49</v>
      </c>
      <c r="S511" t="s">
        <v>30</v>
      </c>
      <c r="T511">
        <f>YEAR(Table1_1[[#This Row],[order_date]])</f>
        <v>2024</v>
      </c>
      <c r="U511">
        <f>MONTH(Table1_1[[#This Row],[order_date]])</f>
        <v>1</v>
      </c>
      <c r="V511" t="str">
        <f>TEXT(Table1_1[[#This Row],[order_date]],"mmm")</f>
        <v>Jan</v>
      </c>
      <c r="W511" t="str">
        <f>"Q"&amp;ROUNDUP(MONTH(Table1_1[[#This Row],[order_date]])/3,0)</f>
        <v>Q1</v>
      </c>
      <c r="X511" t="str">
        <f>TEXT(Table1_1[[#This Row],[order_date]],"yyyy-mm")</f>
        <v>2024-01</v>
      </c>
      <c r="Y511">
        <f>IF(Table1_1[[#This Row],[ship_date]]="","",Table1_1[[#This Row],[ship_date]]-Table1_1[[#This Row],[order_date]])</f>
        <v>8</v>
      </c>
      <c r="Z511">
        <f>ROUND(Table1_1[[#This Row],[profit]]/Table1_1[[#This Row],[sales_fix]]*100,2)</f>
        <v>35.78</v>
      </c>
    </row>
    <row r="512" spans="1:26" x14ac:dyDescent="0.3">
      <c r="A512" t="s">
        <v>1193</v>
      </c>
      <c r="B512" s="1">
        <v>45906</v>
      </c>
      <c r="C512" s="1">
        <v>45910</v>
      </c>
      <c r="D512" t="s">
        <v>53</v>
      </c>
      <c r="E512" t="s">
        <v>54</v>
      </c>
      <c r="F512" t="s">
        <v>55</v>
      </c>
      <c r="G512" t="s">
        <v>44</v>
      </c>
      <c r="H512" t="s">
        <v>24</v>
      </c>
      <c r="I512" t="s">
        <v>93</v>
      </c>
      <c r="J512" t="s">
        <v>94</v>
      </c>
      <c r="K512" t="s">
        <v>95</v>
      </c>
      <c r="L512">
        <v>1</v>
      </c>
      <c r="M512">
        <v>1800</v>
      </c>
      <c r="N512">
        <v>10</v>
      </c>
      <c r="O512">
        <v>1620</v>
      </c>
      <c r="P512">
        <v>459.98</v>
      </c>
      <c r="Q512" t="s">
        <v>66</v>
      </c>
      <c r="R512" t="s">
        <v>29</v>
      </c>
      <c r="S512" t="s">
        <v>50</v>
      </c>
      <c r="T512">
        <f>YEAR(Table1_1[[#This Row],[order_date]])</f>
        <v>2025</v>
      </c>
      <c r="U512">
        <f>MONTH(Table1_1[[#This Row],[order_date]])</f>
        <v>9</v>
      </c>
      <c r="V512" t="str">
        <f>TEXT(Table1_1[[#This Row],[order_date]],"mmm")</f>
        <v>Sep</v>
      </c>
      <c r="W512" t="str">
        <f>"Q"&amp;ROUNDUP(MONTH(Table1_1[[#This Row],[order_date]])/3,0)</f>
        <v>Q3</v>
      </c>
      <c r="X512" t="str">
        <f>TEXT(Table1_1[[#This Row],[order_date]],"yyyy-mm")</f>
        <v>2025-09</v>
      </c>
      <c r="Y512">
        <f>IF(Table1_1[[#This Row],[ship_date]]="","",Table1_1[[#This Row],[ship_date]]-Table1_1[[#This Row],[order_date]])</f>
        <v>4</v>
      </c>
      <c r="Z512">
        <f>ROUND(Table1_1[[#This Row],[profit]]/Table1_1[[#This Row],[sales_fix]]*100,2)</f>
        <v>28.39</v>
      </c>
    </row>
    <row r="513" spans="1:26" x14ac:dyDescent="0.3">
      <c r="A513" t="s">
        <v>1758</v>
      </c>
      <c r="B513" s="1">
        <v>45649</v>
      </c>
      <c r="C513" s="1">
        <v>45654</v>
      </c>
      <c r="D513" t="s">
        <v>596</v>
      </c>
      <c r="E513" t="s">
        <v>597</v>
      </c>
      <c r="F513" t="s">
        <v>34</v>
      </c>
      <c r="G513" t="s">
        <v>91</v>
      </c>
      <c r="H513" t="s">
        <v>120</v>
      </c>
      <c r="I513" t="s">
        <v>126</v>
      </c>
      <c r="J513" t="s">
        <v>127</v>
      </c>
      <c r="K513" t="s">
        <v>95</v>
      </c>
      <c r="L513">
        <v>4</v>
      </c>
      <c r="M513">
        <v>600</v>
      </c>
      <c r="N513">
        <v>15</v>
      </c>
      <c r="O513">
        <v>2040</v>
      </c>
      <c r="P513">
        <v>721.89</v>
      </c>
      <c r="Q513" t="s">
        <v>74</v>
      </c>
      <c r="R513" t="s">
        <v>29</v>
      </c>
      <c r="S513" t="s">
        <v>86</v>
      </c>
      <c r="T513">
        <f>YEAR(Table1_1[[#This Row],[order_date]])</f>
        <v>2024</v>
      </c>
      <c r="U513">
        <f>MONTH(Table1_1[[#This Row],[order_date]])</f>
        <v>12</v>
      </c>
      <c r="V513" t="str">
        <f>TEXT(Table1_1[[#This Row],[order_date]],"mmm")</f>
        <v>Dec</v>
      </c>
      <c r="W513" t="str">
        <f>"Q"&amp;ROUNDUP(MONTH(Table1_1[[#This Row],[order_date]])/3,0)</f>
        <v>Q4</v>
      </c>
      <c r="X513" t="str">
        <f>TEXT(Table1_1[[#This Row],[order_date]],"yyyy-mm")</f>
        <v>2024-12</v>
      </c>
      <c r="Y513">
        <f>IF(Table1_1[[#This Row],[ship_date]]="","",Table1_1[[#This Row],[ship_date]]-Table1_1[[#This Row],[order_date]])</f>
        <v>5</v>
      </c>
      <c r="Z513">
        <f>ROUND(Table1_1[[#This Row],[profit]]/Table1_1[[#This Row],[sales_fix]]*100,2)</f>
        <v>35.39</v>
      </c>
    </row>
    <row r="514" spans="1:26" x14ac:dyDescent="0.3">
      <c r="A514" t="s">
        <v>2467</v>
      </c>
      <c r="B514" s="1">
        <v>45474</v>
      </c>
      <c r="C514" s="1">
        <v>45477</v>
      </c>
      <c r="D514" t="s">
        <v>172</v>
      </c>
      <c r="E514" t="s">
        <v>173</v>
      </c>
      <c r="F514" t="s">
        <v>55</v>
      </c>
      <c r="G514" t="s">
        <v>91</v>
      </c>
      <c r="H514" t="s">
        <v>177</v>
      </c>
      <c r="I514" t="s">
        <v>134</v>
      </c>
      <c r="J514" t="s">
        <v>135</v>
      </c>
      <c r="K514" t="s">
        <v>27</v>
      </c>
      <c r="L514">
        <v>1</v>
      </c>
      <c r="M514">
        <v>6000</v>
      </c>
      <c r="N514">
        <v>0</v>
      </c>
      <c r="O514">
        <v>6000</v>
      </c>
      <c r="P514">
        <v>1359.99</v>
      </c>
      <c r="Q514" t="s">
        <v>28</v>
      </c>
      <c r="R514" t="s">
        <v>56</v>
      </c>
      <c r="S514" t="s">
        <v>40</v>
      </c>
      <c r="T514">
        <f>YEAR(Table1_1[[#This Row],[order_date]])</f>
        <v>2024</v>
      </c>
      <c r="U514">
        <f>MONTH(Table1_1[[#This Row],[order_date]])</f>
        <v>7</v>
      </c>
      <c r="V514" t="str">
        <f>TEXT(Table1_1[[#This Row],[order_date]],"mmm")</f>
        <v>Jul</v>
      </c>
      <c r="W514" t="str">
        <f>"Q"&amp;ROUNDUP(MONTH(Table1_1[[#This Row],[order_date]])/3,0)</f>
        <v>Q3</v>
      </c>
      <c r="X514" t="str">
        <f>TEXT(Table1_1[[#This Row],[order_date]],"yyyy-mm")</f>
        <v>2024-07</v>
      </c>
      <c r="Y514">
        <f>IF(Table1_1[[#This Row],[ship_date]]="","",Table1_1[[#This Row],[ship_date]]-Table1_1[[#This Row],[order_date]])</f>
        <v>3</v>
      </c>
      <c r="Z514">
        <f>ROUND(Table1_1[[#This Row],[profit]]/Table1_1[[#This Row],[sales_fix]]*100,2)</f>
        <v>22.67</v>
      </c>
    </row>
    <row r="515" spans="1:26" x14ac:dyDescent="0.3">
      <c r="A515" t="s">
        <v>111</v>
      </c>
      <c r="B515" s="1">
        <v>45387</v>
      </c>
      <c r="C515" s="1">
        <v>45394</v>
      </c>
      <c r="D515" t="s">
        <v>112</v>
      </c>
      <c r="E515" t="s">
        <v>113</v>
      </c>
      <c r="F515" t="s">
        <v>23</v>
      </c>
      <c r="G515" t="s">
        <v>35</v>
      </c>
      <c r="H515" t="s">
        <v>36</v>
      </c>
      <c r="I515" t="s">
        <v>114</v>
      </c>
      <c r="J515" t="s">
        <v>115</v>
      </c>
      <c r="K515" t="s">
        <v>65</v>
      </c>
      <c r="L515">
        <v>3</v>
      </c>
      <c r="M515">
        <v>55000</v>
      </c>
      <c r="N515">
        <v>0</v>
      </c>
      <c r="O515">
        <v>165000</v>
      </c>
      <c r="P515">
        <v>25168.6</v>
      </c>
      <c r="Q515" t="s">
        <v>66</v>
      </c>
      <c r="R515" t="s">
        <v>49</v>
      </c>
      <c r="S515" t="s">
        <v>40</v>
      </c>
      <c r="T515">
        <f>YEAR(Table1_1[[#This Row],[order_date]])</f>
        <v>2024</v>
      </c>
      <c r="U515">
        <f>MONTH(Table1_1[[#This Row],[order_date]])</f>
        <v>4</v>
      </c>
      <c r="V515" t="str">
        <f>TEXT(Table1_1[[#This Row],[order_date]],"mmm")</f>
        <v>Apr</v>
      </c>
      <c r="W515" t="str">
        <f>"Q"&amp;ROUNDUP(MONTH(Table1_1[[#This Row],[order_date]])/3,0)</f>
        <v>Q2</v>
      </c>
      <c r="X515" t="str">
        <f>TEXT(Table1_1[[#This Row],[order_date]],"yyyy-mm")</f>
        <v>2024-04</v>
      </c>
      <c r="Y515">
        <f>IF(Table1_1[[#This Row],[ship_date]]="","",Table1_1[[#This Row],[ship_date]]-Table1_1[[#This Row],[order_date]])</f>
        <v>7</v>
      </c>
      <c r="Z515">
        <f>ROUND(Table1_1[[#This Row],[profit]]/Table1_1[[#This Row],[sales_fix]]*100,2)</f>
        <v>15.25</v>
      </c>
    </row>
    <row r="516" spans="1:26" x14ac:dyDescent="0.3">
      <c r="A516" t="s">
        <v>884</v>
      </c>
      <c r="B516" s="1">
        <v>45774</v>
      </c>
      <c r="C516" s="1">
        <v>45780</v>
      </c>
      <c r="D516" t="s">
        <v>138</v>
      </c>
      <c r="E516" t="s">
        <v>139</v>
      </c>
      <c r="F516" t="s">
        <v>55</v>
      </c>
      <c r="G516" t="s">
        <v>35</v>
      </c>
      <c r="H516" t="s">
        <v>36</v>
      </c>
      <c r="I516" t="s">
        <v>25</v>
      </c>
      <c r="J516" t="s">
        <v>26</v>
      </c>
      <c r="K516" t="s">
        <v>27</v>
      </c>
      <c r="L516">
        <v>1</v>
      </c>
      <c r="M516">
        <v>7000</v>
      </c>
      <c r="N516">
        <v>15</v>
      </c>
      <c r="O516">
        <v>5950</v>
      </c>
      <c r="P516">
        <v>1366.29</v>
      </c>
      <c r="Q516" t="s">
        <v>39</v>
      </c>
      <c r="R516" t="s">
        <v>49</v>
      </c>
      <c r="S516" t="s">
        <v>40</v>
      </c>
      <c r="T516">
        <f>YEAR(Table1_1[[#This Row],[order_date]])</f>
        <v>2025</v>
      </c>
      <c r="U516">
        <f>MONTH(Table1_1[[#This Row],[order_date]])</f>
        <v>4</v>
      </c>
      <c r="V516" t="str">
        <f>TEXT(Table1_1[[#This Row],[order_date]],"mmm")</f>
        <v>Apr</v>
      </c>
      <c r="W516" t="str">
        <f>"Q"&amp;ROUNDUP(MONTH(Table1_1[[#This Row],[order_date]])/3,0)</f>
        <v>Q2</v>
      </c>
      <c r="X516" t="str">
        <f>TEXT(Table1_1[[#This Row],[order_date]],"yyyy-mm")</f>
        <v>2025-04</v>
      </c>
      <c r="Y516">
        <f>IF(Table1_1[[#This Row],[ship_date]]="","",Table1_1[[#This Row],[ship_date]]-Table1_1[[#This Row],[order_date]])</f>
        <v>6</v>
      </c>
      <c r="Z516">
        <f>ROUND(Table1_1[[#This Row],[profit]]/Table1_1[[#This Row],[sales_fix]]*100,2)</f>
        <v>22.96</v>
      </c>
    </row>
    <row r="517" spans="1:26" x14ac:dyDescent="0.3">
      <c r="A517" t="s">
        <v>2663</v>
      </c>
      <c r="B517" s="1">
        <v>45506</v>
      </c>
      <c r="C517" s="1">
        <v>45508</v>
      </c>
      <c r="D517" t="s">
        <v>643</v>
      </c>
      <c r="E517" t="s">
        <v>644</v>
      </c>
      <c r="F517" t="s">
        <v>34</v>
      </c>
      <c r="G517" t="s">
        <v>61</v>
      </c>
      <c r="H517" t="s">
        <v>78</v>
      </c>
      <c r="I517" t="s">
        <v>71</v>
      </c>
      <c r="J517" t="s">
        <v>72</v>
      </c>
      <c r="K517" t="s">
        <v>73</v>
      </c>
      <c r="L517">
        <v>2</v>
      </c>
      <c r="M517">
        <v>3500</v>
      </c>
      <c r="N517">
        <v>0</v>
      </c>
      <c r="O517">
        <v>7000</v>
      </c>
      <c r="P517">
        <v>2079.94</v>
      </c>
      <c r="Q517" t="s">
        <v>28</v>
      </c>
      <c r="R517" t="s">
        <v>56</v>
      </c>
      <c r="S517" t="s">
        <v>40</v>
      </c>
      <c r="T517">
        <f>YEAR(Table1_1[[#This Row],[order_date]])</f>
        <v>2024</v>
      </c>
      <c r="U517">
        <f>MONTH(Table1_1[[#This Row],[order_date]])</f>
        <v>8</v>
      </c>
      <c r="V517" t="str">
        <f>TEXT(Table1_1[[#This Row],[order_date]],"mmm")</f>
        <v>Aug</v>
      </c>
      <c r="W517" t="str">
        <f>"Q"&amp;ROUNDUP(MONTH(Table1_1[[#This Row],[order_date]])/3,0)</f>
        <v>Q3</v>
      </c>
      <c r="X517" t="str">
        <f>TEXT(Table1_1[[#This Row],[order_date]],"yyyy-mm")</f>
        <v>2024-08</v>
      </c>
      <c r="Y517">
        <f>IF(Table1_1[[#This Row],[ship_date]]="","",Table1_1[[#This Row],[ship_date]]-Table1_1[[#This Row],[order_date]])</f>
        <v>2</v>
      </c>
      <c r="Z517">
        <f>ROUND(Table1_1[[#This Row],[profit]]/Table1_1[[#This Row],[sales_fix]]*100,2)</f>
        <v>29.71</v>
      </c>
    </row>
    <row r="518" spans="1:26" x14ac:dyDescent="0.3">
      <c r="A518" t="s">
        <v>283</v>
      </c>
      <c r="B518" s="1">
        <v>45915</v>
      </c>
      <c r="C518" s="1">
        <v>45921</v>
      </c>
      <c r="D518" t="s">
        <v>285</v>
      </c>
      <c r="E518" t="s">
        <v>286</v>
      </c>
      <c r="F518" t="s">
        <v>23</v>
      </c>
      <c r="G518" t="s">
        <v>61</v>
      </c>
      <c r="H518" t="s">
        <v>78</v>
      </c>
      <c r="I518" t="s">
        <v>134</v>
      </c>
      <c r="J518" t="s">
        <v>135</v>
      </c>
      <c r="K518" t="s">
        <v>27</v>
      </c>
      <c r="L518">
        <v>4</v>
      </c>
      <c r="M518">
        <v>6000</v>
      </c>
      <c r="N518">
        <v>0</v>
      </c>
      <c r="O518">
        <v>24000</v>
      </c>
      <c r="P518">
        <v>5242.5</v>
      </c>
      <c r="Q518" t="s">
        <v>121</v>
      </c>
      <c r="R518" t="s">
        <v>56</v>
      </c>
      <c r="S518" t="s">
        <v>40</v>
      </c>
      <c r="T518">
        <f>YEAR(Table1_1[[#This Row],[order_date]])</f>
        <v>2025</v>
      </c>
      <c r="U518">
        <f>MONTH(Table1_1[[#This Row],[order_date]])</f>
        <v>9</v>
      </c>
      <c r="V518" t="str">
        <f>TEXT(Table1_1[[#This Row],[order_date]],"mmm")</f>
        <v>Sep</v>
      </c>
      <c r="W518" t="str">
        <f>"Q"&amp;ROUNDUP(MONTH(Table1_1[[#This Row],[order_date]])/3,0)</f>
        <v>Q3</v>
      </c>
      <c r="X518" t="str">
        <f>TEXT(Table1_1[[#This Row],[order_date]],"yyyy-mm")</f>
        <v>2025-09</v>
      </c>
      <c r="Y518">
        <f>IF(Table1_1[[#This Row],[ship_date]]="","",Table1_1[[#This Row],[ship_date]]-Table1_1[[#This Row],[order_date]])</f>
        <v>6</v>
      </c>
      <c r="Z518">
        <f>ROUND(Table1_1[[#This Row],[profit]]/Table1_1[[#This Row],[sales_fix]]*100,2)</f>
        <v>21.84</v>
      </c>
    </row>
    <row r="519" spans="1:26" x14ac:dyDescent="0.3">
      <c r="A519" t="s">
        <v>1223</v>
      </c>
      <c r="B519" s="1">
        <v>45939</v>
      </c>
      <c r="C519" s="1">
        <v>45944</v>
      </c>
      <c r="D519" t="s">
        <v>628</v>
      </c>
      <c r="E519" t="s">
        <v>629</v>
      </c>
      <c r="F519" t="s">
        <v>55</v>
      </c>
      <c r="G519" t="s">
        <v>91</v>
      </c>
      <c r="H519" t="s">
        <v>120</v>
      </c>
      <c r="I519" t="s">
        <v>46</v>
      </c>
      <c r="J519" t="s">
        <v>47</v>
      </c>
      <c r="K519" t="s">
        <v>48</v>
      </c>
      <c r="L519">
        <v>4</v>
      </c>
      <c r="M519">
        <v>180</v>
      </c>
      <c r="N519">
        <v>10</v>
      </c>
      <c r="O519">
        <v>648</v>
      </c>
      <c r="P519">
        <v>231.26</v>
      </c>
      <c r="Q519" t="s">
        <v>121</v>
      </c>
      <c r="R519" t="s">
        <v>29</v>
      </c>
      <c r="S519" t="s">
        <v>86</v>
      </c>
      <c r="T519">
        <f>YEAR(Table1_1[[#This Row],[order_date]])</f>
        <v>2025</v>
      </c>
      <c r="U519">
        <f>MONTH(Table1_1[[#This Row],[order_date]])</f>
        <v>10</v>
      </c>
      <c r="V519" t="str">
        <f>TEXT(Table1_1[[#This Row],[order_date]],"mmm")</f>
        <v>Oct</v>
      </c>
      <c r="W519" t="str">
        <f>"Q"&amp;ROUNDUP(MONTH(Table1_1[[#This Row],[order_date]])/3,0)</f>
        <v>Q4</v>
      </c>
      <c r="X519" t="str">
        <f>TEXT(Table1_1[[#This Row],[order_date]],"yyyy-mm")</f>
        <v>2025-10</v>
      </c>
      <c r="Y519">
        <f>IF(Table1_1[[#This Row],[ship_date]]="","",Table1_1[[#This Row],[ship_date]]-Table1_1[[#This Row],[order_date]])</f>
        <v>5</v>
      </c>
      <c r="Z519">
        <f>ROUND(Table1_1[[#This Row],[profit]]/Table1_1[[#This Row],[sales_fix]]*100,2)</f>
        <v>35.69</v>
      </c>
    </row>
    <row r="520" spans="1:26" x14ac:dyDescent="0.3">
      <c r="A520" t="s">
        <v>2741</v>
      </c>
      <c r="B520" s="1">
        <v>45932</v>
      </c>
      <c r="C520" s="1">
        <v>45939</v>
      </c>
      <c r="D520" t="s">
        <v>1015</v>
      </c>
      <c r="E520" t="s">
        <v>1016</v>
      </c>
      <c r="F520" t="s">
        <v>23</v>
      </c>
      <c r="G520" t="s">
        <v>44</v>
      </c>
      <c r="H520" t="s">
        <v>45</v>
      </c>
      <c r="I520" t="s">
        <v>147</v>
      </c>
      <c r="J520" t="s">
        <v>148</v>
      </c>
      <c r="K520" t="s">
        <v>48</v>
      </c>
      <c r="L520">
        <v>3</v>
      </c>
      <c r="M520">
        <v>250</v>
      </c>
      <c r="N520">
        <v>0</v>
      </c>
      <c r="O520">
        <v>750</v>
      </c>
      <c r="P520">
        <v>305.95</v>
      </c>
      <c r="Q520" t="s">
        <v>28</v>
      </c>
      <c r="R520" t="s">
        <v>29</v>
      </c>
      <c r="S520" t="s">
        <v>110</v>
      </c>
      <c r="T520">
        <f>YEAR(Table1_1[[#This Row],[order_date]])</f>
        <v>2025</v>
      </c>
      <c r="U520">
        <f>MONTH(Table1_1[[#This Row],[order_date]])</f>
        <v>10</v>
      </c>
      <c r="V520" t="str">
        <f>TEXT(Table1_1[[#This Row],[order_date]],"mmm")</f>
        <v>Oct</v>
      </c>
      <c r="W520" t="str">
        <f>"Q"&amp;ROUNDUP(MONTH(Table1_1[[#This Row],[order_date]])/3,0)</f>
        <v>Q4</v>
      </c>
      <c r="X520" t="str">
        <f>TEXT(Table1_1[[#This Row],[order_date]],"yyyy-mm")</f>
        <v>2025-10</v>
      </c>
      <c r="Y520">
        <f>IF(Table1_1[[#This Row],[ship_date]]="","",Table1_1[[#This Row],[ship_date]]-Table1_1[[#This Row],[order_date]])</f>
        <v>7</v>
      </c>
      <c r="Z520">
        <f>ROUND(Table1_1[[#This Row],[profit]]/Table1_1[[#This Row],[sales_fix]]*100,2)</f>
        <v>40.79</v>
      </c>
    </row>
    <row r="521" spans="1:26" x14ac:dyDescent="0.3">
      <c r="A521" t="s">
        <v>1789</v>
      </c>
      <c r="B521" s="1">
        <v>45944</v>
      </c>
      <c r="C521" s="1">
        <v>45946</v>
      </c>
      <c r="D521" t="s">
        <v>409</v>
      </c>
      <c r="E521" t="s">
        <v>410</v>
      </c>
      <c r="F521" t="s">
        <v>23</v>
      </c>
      <c r="G521" t="s">
        <v>61</v>
      </c>
      <c r="H521" t="s">
        <v>125</v>
      </c>
      <c r="I521" t="s">
        <v>46</v>
      </c>
      <c r="J521" t="s">
        <v>47</v>
      </c>
      <c r="K521" t="s">
        <v>48</v>
      </c>
      <c r="L521">
        <v>2</v>
      </c>
      <c r="M521">
        <v>180</v>
      </c>
      <c r="N521">
        <v>15</v>
      </c>
      <c r="O521">
        <v>306</v>
      </c>
      <c r="P521">
        <v>111.9</v>
      </c>
      <c r="Q521" t="s">
        <v>74</v>
      </c>
      <c r="R521" t="s">
        <v>49</v>
      </c>
      <c r="S521" t="s">
        <v>40</v>
      </c>
      <c r="T521">
        <f>YEAR(Table1_1[[#This Row],[order_date]])</f>
        <v>2025</v>
      </c>
      <c r="U521">
        <f>MONTH(Table1_1[[#This Row],[order_date]])</f>
        <v>10</v>
      </c>
      <c r="V521" t="str">
        <f>TEXT(Table1_1[[#This Row],[order_date]],"mmm")</f>
        <v>Oct</v>
      </c>
      <c r="W521" t="str">
        <f>"Q"&amp;ROUNDUP(MONTH(Table1_1[[#This Row],[order_date]])/3,0)</f>
        <v>Q4</v>
      </c>
      <c r="X521" t="str">
        <f>TEXT(Table1_1[[#This Row],[order_date]],"yyyy-mm")</f>
        <v>2025-10</v>
      </c>
      <c r="Y521">
        <f>IF(Table1_1[[#This Row],[ship_date]]="","",Table1_1[[#This Row],[ship_date]]-Table1_1[[#This Row],[order_date]])</f>
        <v>2</v>
      </c>
      <c r="Z521">
        <f>ROUND(Table1_1[[#This Row],[profit]]/Table1_1[[#This Row],[sales_fix]]*100,2)</f>
        <v>36.57</v>
      </c>
    </row>
    <row r="522" spans="1:26" x14ac:dyDescent="0.3">
      <c r="A522" t="s">
        <v>2738</v>
      </c>
      <c r="B522" s="1">
        <v>45298</v>
      </c>
      <c r="C522" s="1">
        <v>45299</v>
      </c>
      <c r="D522" t="s">
        <v>1886</v>
      </c>
      <c r="E522" t="s">
        <v>1887</v>
      </c>
      <c r="F522" t="s">
        <v>23</v>
      </c>
      <c r="G522" t="s">
        <v>91</v>
      </c>
      <c r="H522" t="s">
        <v>120</v>
      </c>
      <c r="I522" t="s">
        <v>37</v>
      </c>
      <c r="J522" t="s">
        <v>38</v>
      </c>
      <c r="K522" t="s">
        <v>27</v>
      </c>
      <c r="L522">
        <v>1</v>
      </c>
      <c r="M522">
        <v>9500</v>
      </c>
      <c r="N522">
        <v>0</v>
      </c>
      <c r="O522">
        <v>9500</v>
      </c>
      <c r="P522">
        <v>1589.43</v>
      </c>
      <c r="Q522" t="s">
        <v>121</v>
      </c>
      <c r="R522" t="s">
        <v>29</v>
      </c>
      <c r="S522" t="s">
        <v>110</v>
      </c>
      <c r="T522">
        <f>YEAR(Table1_1[[#This Row],[order_date]])</f>
        <v>2024</v>
      </c>
      <c r="U522">
        <f>MONTH(Table1_1[[#This Row],[order_date]])</f>
        <v>1</v>
      </c>
      <c r="V522" t="str">
        <f>TEXT(Table1_1[[#This Row],[order_date]],"mmm")</f>
        <v>Jan</v>
      </c>
      <c r="W522" t="str">
        <f>"Q"&amp;ROUNDUP(MONTH(Table1_1[[#This Row],[order_date]])/3,0)</f>
        <v>Q1</v>
      </c>
      <c r="X522" t="str">
        <f>TEXT(Table1_1[[#This Row],[order_date]],"yyyy-mm")</f>
        <v>2024-01</v>
      </c>
      <c r="Y522">
        <f>IF(Table1_1[[#This Row],[ship_date]]="","",Table1_1[[#This Row],[ship_date]]-Table1_1[[#This Row],[order_date]])</f>
        <v>1</v>
      </c>
      <c r="Z522">
        <f>ROUND(Table1_1[[#This Row],[profit]]/Table1_1[[#This Row],[sales_fix]]*100,2)</f>
        <v>16.73</v>
      </c>
    </row>
    <row r="523" spans="1:26" x14ac:dyDescent="0.3">
      <c r="A523" t="s">
        <v>452</v>
      </c>
      <c r="B523" s="1">
        <v>45782</v>
      </c>
      <c r="C523" s="1">
        <v>45785</v>
      </c>
      <c r="D523" t="s">
        <v>453</v>
      </c>
      <c r="E523" t="s">
        <v>454</v>
      </c>
      <c r="F523" t="s">
        <v>55</v>
      </c>
      <c r="G523" t="s">
        <v>35</v>
      </c>
      <c r="H523" t="s">
        <v>187</v>
      </c>
      <c r="I523" t="s">
        <v>126</v>
      </c>
      <c r="J523" t="s">
        <v>127</v>
      </c>
      <c r="K523" t="s">
        <v>95</v>
      </c>
      <c r="L523">
        <v>5</v>
      </c>
      <c r="M523">
        <v>600</v>
      </c>
      <c r="N523">
        <v>20</v>
      </c>
      <c r="O523">
        <v>2400</v>
      </c>
      <c r="P523">
        <v>651.37</v>
      </c>
      <c r="Q523" t="s">
        <v>28</v>
      </c>
      <c r="R523" t="s">
        <v>29</v>
      </c>
      <c r="S523" t="s">
        <v>30</v>
      </c>
      <c r="T523">
        <f>YEAR(Table1_1[[#This Row],[order_date]])</f>
        <v>2025</v>
      </c>
      <c r="U523">
        <f>MONTH(Table1_1[[#This Row],[order_date]])</f>
        <v>5</v>
      </c>
      <c r="V523" t="str">
        <f>TEXT(Table1_1[[#This Row],[order_date]],"mmm")</f>
        <v>May</v>
      </c>
      <c r="W523" t="str">
        <f>"Q"&amp;ROUNDUP(MONTH(Table1_1[[#This Row],[order_date]])/3,0)</f>
        <v>Q2</v>
      </c>
      <c r="X523" t="str">
        <f>TEXT(Table1_1[[#This Row],[order_date]],"yyyy-mm")</f>
        <v>2025-05</v>
      </c>
      <c r="Y523">
        <f>IF(Table1_1[[#This Row],[ship_date]]="","",Table1_1[[#This Row],[ship_date]]-Table1_1[[#This Row],[order_date]])</f>
        <v>3</v>
      </c>
      <c r="Z523">
        <f>ROUND(Table1_1[[#This Row],[profit]]/Table1_1[[#This Row],[sales_fix]]*100,2)</f>
        <v>27.14</v>
      </c>
    </row>
    <row r="524" spans="1:26" x14ac:dyDescent="0.3">
      <c r="A524" t="s">
        <v>2352</v>
      </c>
      <c r="B524" s="1">
        <v>45765</v>
      </c>
      <c r="C524" s="1">
        <v>45766</v>
      </c>
      <c r="D524" t="s">
        <v>1796</v>
      </c>
      <c r="E524" t="s">
        <v>1797</v>
      </c>
      <c r="F524" t="s">
        <v>55</v>
      </c>
      <c r="G524" t="s">
        <v>44</v>
      </c>
      <c r="H524" t="s">
        <v>330</v>
      </c>
      <c r="I524" t="s">
        <v>37</v>
      </c>
      <c r="J524" t="s">
        <v>38</v>
      </c>
      <c r="K524" t="s">
        <v>27</v>
      </c>
      <c r="L524">
        <v>3</v>
      </c>
      <c r="M524">
        <v>9500</v>
      </c>
      <c r="N524">
        <v>5</v>
      </c>
      <c r="O524">
        <v>27075</v>
      </c>
      <c r="P524">
        <v>5800.09</v>
      </c>
      <c r="Q524" t="s">
        <v>3113</v>
      </c>
      <c r="R524" t="s">
        <v>49</v>
      </c>
      <c r="S524" t="s">
        <v>40</v>
      </c>
      <c r="T524">
        <f>YEAR(Table1_1[[#This Row],[order_date]])</f>
        <v>2025</v>
      </c>
      <c r="U524">
        <f>MONTH(Table1_1[[#This Row],[order_date]])</f>
        <v>4</v>
      </c>
      <c r="V524" t="str">
        <f>TEXT(Table1_1[[#This Row],[order_date]],"mmm")</f>
        <v>Apr</v>
      </c>
      <c r="W524" t="str">
        <f>"Q"&amp;ROUNDUP(MONTH(Table1_1[[#This Row],[order_date]])/3,0)</f>
        <v>Q2</v>
      </c>
      <c r="X524" t="str">
        <f>TEXT(Table1_1[[#This Row],[order_date]],"yyyy-mm")</f>
        <v>2025-04</v>
      </c>
      <c r="Y524">
        <f>IF(Table1_1[[#This Row],[ship_date]]="","",Table1_1[[#This Row],[ship_date]]-Table1_1[[#This Row],[order_date]])</f>
        <v>1</v>
      </c>
      <c r="Z524">
        <f>ROUND(Table1_1[[#This Row],[profit]]/Table1_1[[#This Row],[sales_fix]]*100,2)</f>
        <v>21.42</v>
      </c>
    </row>
    <row r="525" spans="1:26" x14ac:dyDescent="0.3">
      <c r="A525" t="s">
        <v>2754</v>
      </c>
      <c r="B525" s="1">
        <v>45840</v>
      </c>
      <c r="C525" s="1">
        <v>45846</v>
      </c>
      <c r="D525" t="s">
        <v>435</v>
      </c>
      <c r="E525" t="s">
        <v>436</v>
      </c>
      <c r="F525" t="s">
        <v>23</v>
      </c>
      <c r="G525" t="s">
        <v>44</v>
      </c>
      <c r="H525" t="s">
        <v>24</v>
      </c>
      <c r="I525" t="s">
        <v>46</v>
      </c>
      <c r="J525" t="s">
        <v>47</v>
      </c>
      <c r="K525" t="s">
        <v>48</v>
      </c>
      <c r="L525">
        <v>1</v>
      </c>
      <c r="M525">
        <v>180</v>
      </c>
      <c r="N525">
        <v>10</v>
      </c>
      <c r="O525">
        <v>162</v>
      </c>
      <c r="P525">
        <v>71.02</v>
      </c>
      <c r="Q525" t="s">
        <v>66</v>
      </c>
      <c r="R525" t="s">
        <v>29</v>
      </c>
      <c r="S525" t="s">
        <v>110</v>
      </c>
      <c r="T525">
        <f>YEAR(Table1_1[[#This Row],[order_date]])</f>
        <v>2025</v>
      </c>
      <c r="U525">
        <f>MONTH(Table1_1[[#This Row],[order_date]])</f>
        <v>7</v>
      </c>
      <c r="V525" t="str">
        <f>TEXT(Table1_1[[#This Row],[order_date]],"mmm")</f>
        <v>Jul</v>
      </c>
      <c r="W525" t="str">
        <f>"Q"&amp;ROUNDUP(MONTH(Table1_1[[#This Row],[order_date]])/3,0)</f>
        <v>Q3</v>
      </c>
      <c r="X525" t="str">
        <f>TEXT(Table1_1[[#This Row],[order_date]],"yyyy-mm")</f>
        <v>2025-07</v>
      </c>
      <c r="Y525">
        <f>IF(Table1_1[[#This Row],[ship_date]]="","",Table1_1[[#This Row],[ship_date]]-Table1_1[[#This Row],[order_date]])</f>
        <v>6</v>
      </c>
      <c r="Z525">
        <f>ROUND(Table1_1[[#This Row],[profit]]/Table1_1[[#This Row],[sales_fix]]*100,2)</f>
        <v>43.84</v>
      </c>
    </row>
    <row r="526" spans="1:26" x14ac:dyDescent="0.3">
      <c r="A526" t="s">
        <v>1341</v>
      </c>
      <c r="B526" s="1">
        <v>45676</v>
      </c>
      <c r="C526" s="1">
        <v>45683</v>
      </c>
      <c r="D526" t="s">
        <v>388</v>
      </c>
      <c r="E526" t="s">
        <v>389</v>
      </c>
      <c r="F526" t="s">
        <v>23</v>
      </c>
      <c r="G526" t="s">
        <v>44</v>
      </c>
      <c r="H526" t="s">
        <v>161</v>
      </c>
      <c r="I526" t="s">
        <v>37</v>
      </c>
      <c r="J526" t="s">
        <v>38</v>
      </c>
      <c r="K526" t="s">
        <v>27</v>
      </c>
      <c r="L526">
        <v>2</v>
      </c>
      <c r="M526">
        <v>9500</v>
      </c>
      <c r="N526">
        <v>20</v>
      </c>
      <c r="O526">
        <v>15200</v>
      </c>
      <c r="P526">
        <v>2329.8200000000002</v>
      </c>
      <c r="Q526" t="s">
        <v>121</v>
      </c>
      <c r="R526" t="s">
        <v>56</v>
      </c>
      <c r="S526" t="s">
        <v>86</v>
      </c>
      <c r="T526">
        <f>YEAR(Table1_1[[#This Row],[order_date]])</f>
        <v>2025</v>
      </c>
      <c r="U526">
        <f>MONTH(Table1_1[[#This Row],[order_date]])</f>
        <v>1</v>
      </c>
      <c r="V526" t="str">
        <f>TEXT(Table1_1[[#This Row],[order_date]],"mmm")</f>
        <v>Jan</v>
      </c>
      <c r="W526" t="str">
        <f>"Q"&amp;ROUNDUP(MONTH(Table1_1[[#This Row],[order_date]])/3,0)</f>
        <v>Q1</v>
      </c>
      <c r="X526" t="str">
        <f>TEXT(Table1_1[[#This Row],[order_date]],"yyyy-mm")</f>
        <v>2025-01</v>
      </c>
      <c r="Y526">
        <f>IF(Table1_1[[#This Row],[ship_date]]="","",Table1_1[[#This Row],[ship_date]]-Table1_1[[#This Row],[order_date]])</f>
        <v>7</v>
      </c>
      <c r="Z526">
        <f>ROUND(Table1_1[[#This Row],[profit]]/Table1_1[[#This Row],[sales_fix]]*100,2)</f>
        <v>15.33</v>
      </c>
    </row>
    <row r="527" spans="1:26" x14ac:dyDescent="0.3">
      <c r="A527" t="s">
        <v>1753</v>
      </c>
      <c r="B527" s="1">
        <v>45614</v>
      </c>
      <c r="C527" s="1">
        <v>45618</v>
      </c>
      <c r="D527" t="s">
        <v>682</v>
      </c>
      <c r="E527" t="s">
        <v>683</v>
      </c>
      <c r="F527" t="s">
        <v>55</v>
      </c>
      <c r="G527" t="s">
        <v>61</v>
      </c>
      <c r="H527" t="s">
        <v>125</v>
      </c>
      <c r="I527" t="s">
        <v>71</v>
      </c>
      <c r="J527" t="s">
        <v>72</v>
      </c>
      <c r="K527" t="s">
        <v>73</v>
      </c>
      <c r="L527">
        <v>1</v>
      </c>
      <c r="M527">
        <v>3500</v>
      </c>
      <c r="N527">
        <v>0</v>
      </c>
      <c r="O527">
        <v>3500</v>
      </c>
      <c r="P527">
        <v>1006.68</v>
      </c>
      <c r="Q527" t="s">
        <v>74</v>
      </c>
      <c r="R527" t="s">
        <v>49</v>
      </c>
      <c r="S527" t="s">
        <v>110</v>
      </c>
      <c r="T527">
        <f>YEAR(Table1_1[[#This Row],[order_date]])</f>
        <v>2024</v>
      </c>
      <c r="U527">
        <f>MONTH(Table1_1[[#This Row],[order_date]])</f>
        <v>11</v>
      </c>
      <c r="V527" t="str">
        <f>TEXT(Table1_1[[#This Row],[order_date]],"mmm")</f>
        <v>Nov</v>
      </c>
      <c r="W527" t="str">
        <f>"Q"&amp;ROUNDUP(MONTH(Table1_1[[#This Row],[order_date]])/3,0)</f>
        <v>Q4</v>
      </c>
      <c r="X527" t="str">
        <f>TEXT(Table1_1[[#This Row],[order_date]],"yyyy-mm")</f>
        <v>2024-11</v>
      </c>
      <c r="Y527">
        <f>IF(Table1_1[[#This Row],[ship_date]]="","",Table1_1[[#This Row],[ship_date]]-Table1_1[[#This Row],[order_date]])</f>
        <v>4</v>
      </c>
      <c r="Z527">
        <f>ROUND(Table1_1[[#This Row],[profit]]/Table1_1[[#This Row],[sales_fix]]*100,2)</f>
        <v>28.76</v>
      </c>
    </row>
    <row r="528" spans="1:26" x14ac:dyDescent="0.3">
      <c r="A528" t="s">
        <v>2123</v>
      </c>
      <c r="B528" s="1">
        <v>45601</v>
      </c>
      <c r="C528" s="1">
        <v>45603</v>
      </c>
      <c r="D528" t="s">
        <v>349</v>
      </c>
      <c r="E528" t="s">
        <v>350</v>
      </c>
      <c r="F528" t="s">
        <v>34</v>
      </c>
      <c r="G528" t="s">
        <v>91</v>
      </c>
      <c r="H528" t="s">
        <v>120</v>
      </c>
      <c r="I528" t="s">
        <v>46</v>
      </c>
      <c r="J528" t="s">
        <v>47</v>
      </c>
      <c r="K528" t="s">
        <v>48</v>
      </c>
      <c r="L528">
        <v>1</v>
      </c>
      <c r="M528">
        <v>180</v>
      </c>
      <c r="N528">
        <v>0</v>
      </c>
      <c r="O528">
        <v>180</v>
      </c>
      <c r="P528">
        <v>81.900000000000006</v>
      </c>
      <c r="Q528" t="s">
        <v>28</v>
      </c>
      <c r="R528" t="s">
        <v>56</v>
      </c>
      <c r="S528" t="s">
        <v>86</v>
      </c>
      <c r="T528">
        <f>YEAR(Table1_1[[#This Row],[order_date]])</f>
        <v>2024</v>
      </c>
      <c r="U528">
        <f>MONTH(Table1_1[[#This Row],[order_date]])</f>
        <v>11</v>
      </c>
      <c r="V528" t="str">
        <f>TEXT(Table1_1[[#This Row],[order_date]],"mmm")</f>
        <v>Nov</v>
      </c>
      <c r="W528" t="str">
        <f>"Q"&amp;ROUNDUP(MONTH(Table1_1[[#This Row],[order_date]])/3,0)</f>
        <v>Q4</v>
      </c>
      <c r="X528" t="str">
        <f>TEXT(Table1_1[[#This Row],[order_date]],"yyyy-mm")</f>
        <v>2024-11</v>
      </c>
      <c r="Y528">
        <f>IF(Table1_1[[#This Row],[ship_date]]="","",Table1_1[[#This Row],[ship_date]]-Table1_1[[#This Row],[order_date]])</f>
        <v>2</v>
      </c>
      <c r="Z528">
        <f>ROUND(Table1_1[[#This Row],[profit]]/Table1_1[[#This Row],[sales_fix]]*100,2)</f>
        <v>45.5</v>
      </c>
    </row>
    <row r="529" spans="1:26" x14ac:dyDescent="0.3">
      <c r="A529" t="s">
        <v>2453</v>
      </c>
      <c r="B529" s="1">
        <v>45449</v>
      </c>
      <c r="C529" s="1">
        <v>45454</v>
      </c>
      <c r="D529" t="s">
        <v>32</v>
      </c>
      <c r="E529" t="s">
        <v>33</v>
      </c>
      <c r="F529" t="s">
        <v>34</v>
      </c>
      <c r="G529" t="s">
        <v>35</v>
      </c>
      <c r="H529" t="s">
        <v>36</v>
      </c>
      <c r="I529" t="s">
        <v>46</v>
      </c>
      <c r="J529" t="s">
        <v>47</v>
      </c>
      <c r="K529" t="s">
        <v>48</v>
      </c>
      <c r="L529">
        <v>1</v>
      </c>
      <c r="M529">
        <v>180</v>
      </c>
      <c r="N529">
        <v>5</v>
      </c>
      <c r="O529">
        <v>171</v>
      </c>
      <c r="P529">
        <v>76.41</v>
      </c>
      <c r="Q529" t="s">
        <v>74</v>
      </c>
      <c r="R529" t="s">
        <v>29</v>
      </c>
      <c r="S529" t="s">
        <v>86</v>
      </c>
      <c r="T529">
        <f>YEAR(Table1_1[[#This Row],[order_date]])</f>
        <v>2024</v>
      </c>
      <c r="U529">
        <f>MONTH(Table1_1[[#This Row],[order_date]])</f>
        <v>6</v>
      </c>
      <c r="V529" t="str">
        <f>TEXT(Table1_1[[#This Row],[order_date]],"mmm")</f>
        <v>Jun</v>
      </c>
      <c r="W529" t="str">
        <f>"Q"&amp;ROUNDUP(MONTH(Table1_1[[#This Row],[order_date]])/3,0)</f>
        <v>Q2</v>
      </c>
      <c r="X529" t="str">
        <f>TEXT(Table1_1[[#This Row],[order_date]],"yyyy-mm")</f>
        <v>2024-06</v>
      </c>
      <c r="Y529">
        <f>IF(Table1_1[[#This Row],[ship_date]]="","",Table1_1[[#This Row],[ship_date]]-Table1_1[[#This Row],[order_date]])</f>
        <v>5</v>
      </c>
      <c r="Z529">
        <f>ROUND(Table1_1[[#This Row],[profit]]/Table1_1[[#This Row],[sales_fix]]*100,2)</f>
        <v>44.68</v>
      </c>
    </row>
    <row r="530" spans="1:26" x14ac:dyDescent="0.3">
      <c r="A530" t="s">
        <v>1699</v>
      </c>
      <c r="B530" s="1">
        <v>45427</v>
      </c>
      <c r="C530" s="1">
        <v>45429</v>
      </c>
      <c r="D530" t="s">
        <v>488</v>
      </c>
      <c r="E530" t="s">
        <v>489</v>
      </c>
      <c r="F530" t="s">
        <v>34</v>
      </c>
      <c r="G530" t="s">
        <v>35</v>
      </c>
      <c r="H530" t="s">
        <v>36</v>
      </c>
      <c r="I530" t="s">
        <v>126</v>
      </c>
      <c r="J530" t="s">
        <v>127</v>
      </c>
      <c r="K530" t="s">
        <v>95</v>
      </c>
      <c r="L530">
        <v>1</v>
      </c>
      <c r="M530">
        <v>600</v>
      </c>
      <c r="N530">
        <v>0</v>
      </c>
      <c r="O530">
        <v>600</v>
      </c>
      <c r="P530">
        <v>201.49</v>
      </c>
      <c r="Q530" t="s">
        <v>66</v>
      </c>
      <c r="R530" t="s">
        <v>49</v>
      </c>
      <c r="S530" t="s">
        <v>86</v>
      </c>
      <c r="T530">
        <f>YEAR(Table1_1[[#This Row],[order_date]])</f>
        <v>2024</v>
      </c>
      <c r="U530">
        <f>MONTH(Table1_1[[#This Row],[order_date]])</f>
        <v>5</v>
      </c>
      <c r="V530" t="str">
        <f>TEXT(Table1_1[[#This Row],[order_date]],"mmm")</f>
        <v>May</v>
      </c>
      <c r="W530" t="str">
        <f>"Q"&amp;ROUNDUP(MONTH(Table1_1[[#This Row],[order_date]])/3,0)</f>
        <v>Q2</v>
      </c>
      <c r="X530" t="str">
        <f>TEXT(Table1_1[[#This Row],[order_date]],"yyyy-mm")</f>
        <v>2024-05</v>
      </c>
      <c r="Y530">
        <f>IF(Table1_1[[#This Row],[ship_date]]="","",Table1_1[[#This Row],[ship_date]]-Table1_1[[#This Row],[order_date]])</f>
        <v>2</v>
      </c>
      <c r="Z530">
        <f>ROUND(Table1_1[[#This Row],[profit]]/Table1_1[[#This Row],[sales_fix]]*100,2)</f>
        <v>33.58</v>
      </c>
    </row>
    <row r="531" spans="1:26" x14ac:dyDescent="0.3">
      <c r="A531" t="s">
        <v>2332</v>
      </c>
      <c r="B531" s="1">
        <v>45770</v>
      </c>
      <c r="C531" s="1">
        <v>45775</v>
      </c>
      <c r="D531" t="s">
        <v>256</v>
      </c>
      <c r="E531" t="s">
        <v>257</v>
      </c>
      <c r="F531" t="s">
        <v>55</v>
      </c>
      <c r="G531" t="s">
        <v>35</v>
      </c>
      <c r="H531" t="s">
        <v>258</v>
      </c>
      <c r="I531" t="s">
        <v>37</v>
      </c>
      <c r="J531" t="s">
        <v>38</v>
      </c>
      <c r="K531" t="s">
        <v>27</v>
      </c>
      <c r="L531">
        <v>4</v>
      </c>
      <c r="M531">
        <v>9500</v>
      </c>
      <c r="N531">
        <v>0</v>
      </c>
      <c r="O531">
        <v>38000</v>
      </c>
      <c r="P531">
        <v>6902.56</v>
      </c>
      <c r="Q531" t="s">
        <v>66</v>
      </c>
      <c r="R531" t="s">
        <v>56</v>
      </c>
      <c r="S531" t="s">
        <v>110</v>
      </c>
      <c r="T531">
        <f>YEAR(Table1_1[[#This Row],[order_date]])</f>
        <v>2025</v>
      </c>
      <c r="U531">
        <f>MONTH(Table1_1[[#This Row],[order_date]])</f>
        <v>4</v>
      </c>
      <c r="V531" t="str">
        <f>TEXT(Table1_1[[#This Row],[order_date]],"mmm")</f>
        <v>Apr</v>
      </c>
      <c r="W531" t="str">
        <f>"Q"&amp;ROUNDUP(MONTH(Table1_1[[#This Row],[order_date]])/3,0)</f>
        <v>Q2</v>
      </c>
      <c r="X531" t="str">
        <f>TEXT(Table1_1[[#This Row],[order_date]],"yyyy-mm")</f>
        <v>2025-04</v>
      </c>
      <c r="Y531">
        <f>IF(Table1_1[[#This Row],[ship_date]]="","",Table1_1[[#This Row],[ship_date]]-Table1_1[[#This Row],[order_date]])</f>
        <v>5</v>
      </c>
      <c r="Z531">
        <f>ROUND(Table1_1[[#This Row],[profit]]/Table1_1[[#This Row],[sales_fix]]*100,2)</f>
        <v>18.16</v>
      </c>
    </row>
    <row r="532" spans="1:26" x14ac:dyDescent="0.3">
      <c r="A532" t="s">
        <v>641</v>
      </c>
      <c r="B532" s="1">
        <v>45497</v>
      </c>
      <c r="C532" s="1">
        <v>45505</v>
      </c>
      <c r="D532" t="s">
        <v>643</v>
      </c>
      <c r="E532" t="s">
        <v>644</v>
      </c>
      <c r="F532" t="s">
        <v>34</v>
      </c>
      <c r="G532" t="s">
        <v>61</v>
      </c>
      <c r="H532" t="s">
        <v>78</v>
      </c>
      <c r="I532" t="s">
        <v>37</v>
      </c>
      <c r="J532" t="s">
        <v>38</v>
      </c>
      <c r="K532" t="s">
        <v>27</v>
      </c>
      <c r="L532">
        <v>1</v>
      </c>
      <c r="M532">
        <v>9500</v>
      </c>
      <c r="N532">
        <v>0</v>
      </c>
      <c r="O532">
        <v>9500</v>
      </c>
      <c r="P532">
        <v>1734.53</v>
      </c>
      <c r="Q532" t="s">
        <v>156</v>
      </c>
      <c r="R532" t="s">
        <v>29</v>
      </c>
      <c r="S532" t="s">
        <v>110</v>
      </c>
      <c r="T532">
        <f>YEAR(Table1_1[[#This Row],[order_date]])</f>
        <v>2024</v>
      </c>
      <c r="U532">
        <f>MONTH(Table1_1[[#This Row],[order_date]])</f>
        <v>7</v>
      </c>
      <c r="V532" t="str">
        <f>TEXT(Table1_1[[#This Row],[order_date]],"mmm")</f>
        <v>Jul</v>
      </c>
      <c r="W532" t="str">
        <f>"Q"&amp;ROUNDUP(MONTH(Table1_1[[#This Row],[order_date]])/3,0)</f>
        <v>Q3</v>
      </c>
      <c r="X532" t="str">
        <f>TEXT(Table1_1[[#This Row],[order_date]],"yyyy-mm")</f>
        <v>2024-07</v>
      </c>
      <c r="Y532">
        <f>IF(Table1_1[[#This Row],[ship_date]]="","",Table1_1[[#This Row],[ship_date]]-Table1_1[[#This Row],[order_date]])</f>
        <v>8</v>
      </c>
      <c r="Z532">
        <f>ROUND(Table1_1[[#This Row],[profit]]/Table1_1[[#This Row],[sales_fix]]*100,2)</f>
        <v>18.260000000000002</v>
      </c>
    </row>
    <row r="533" spans="1:26" x14ac:dyDescent="0.3">
      <c r="A533" t="s">
        <v>2787</v>
      </c>
      <c r="B533" s="1">
        <v>45572</v>
      </c>
      <c r="C533" s="1">
        <v>45576</v>
      </c>
      <c r="D533" t="s">
        <v>1426</v>
      </c>
      <c r="E533" t="s">
        <v>1427</v>
      </c>
      <c r="F533" t="s">
        <v>23</v>
      </c>
      <c r="G533" t="s">
        <v>61</v>
      </c>
      <c r="H533" t="s">
        <v>62</v>
      </c>
      <c r="I533" t="s">
        <v>79</v>
      </c>
      <c r="J533" t="s">
        <v>80</v>
      </c>
      <c r="K533" t="s">
        <v>65</v>
      </c>
      <c r="L533">
        <v>5</v>
      </c>
      <c r="M533">
        <v>3000</v>
      </c>
      <c r="N533">
        <v>10</v>
      </c>
      <c r="O533">
        <v>13500</v>
      </c>
      <c r="P533">
        <v>3667.78</v>
      </c>
      <c r="Q533" t="s">
        <v>39</v>
      </c>
      <c r="R533" t="s">
        <v>49</v>
      </c>
      <c r="S533" t="s">
        <v>40</v>
      </c>
      <c r="T533">
        <f>YEAR(Table1_1[[#This Row],[order_date]])</f>
        <v>2024</v>
      </c>
      <c r="U533">
        <f>MONTH(Table1_1[[#This Row],[order_date]])</f>
        <v>10</v>
      </c>
      <c r="V533" t="str">
        <f>TEXT(Table1_1[[#This Row],[order_date]],"mmm")</f>
        <v>Oct</v>
      </c>
      <c r="W533" t="str">
        <f>"Q"&amp;ROUNDUP(MONTH(Table1_1[[#This Row],[order_date]])/3,0)</f>
        <v>Q4</v>
      </c>
      <c r="X533" t="str">
        <f>TEXT(Table1_1[[#This Row],[order_date]],"yyyy-mm")</f>
        <v>2024-10</v>
      </c>
      <c r="Y533">
        <f>IF(Table1_1[[#This Row],[ship_date]]="","",Table1_1[[#This Row],[ship_date]]-Table1_1[[#This Row],[order_date]])</f>
        <v>4</v>
      </c>
      <c r="Z533">
        <f>ROUND(Table1_1[[#This Row],[profit]]/Table1_1[[#This Row],[sales_fix]]*100,2)</f>
        <v>27.17</v>
      </c>
    </row>
    <row r="534" spans="1:26" x14ac:dyDescent="0.3">
      <c r="A534" t="s">
        <v>1196</v>
      </c>
      <c r="B534" s="1">
        <v>45436</v>
      </c>
      <c r="C534" s="1">
        <v>45440</v>
      </c>
      <c r="D534" t="s">
        <v>324</v>
      </c>
      <c r="E534" t="s">
        <v>325</v>
      </c>
      <c r="F534" t="s">
        <v>55</v>
      </c>
      <c r="G534" t="s">
        <v>91</v>
      </c>
      <c r="H534" t="s">
        <v>109</v>
      </c>
      <c r="I534" t="s">
        <v>25</v>
      </c>
      <c r="J534" t="s">
        <v>26</v>
      </c>
      <c r="K534" t="s">
        <v>27</v>
      </c>
      <c r="L534">
        <v>5</v>
      </c>
      <c r="M534">
        <v>7000</v>
      </c>
      <c r="N534">
        <v>20</v>
      </c>
      <c r="O534">
        <v>28000</v>
      </c>
      <c r="P534">
        <v>5009.97</v>
      </c>
      <c r="Q534" t="s">
        <v>121</v>
      </c>
      <c r="R534" t="s">
        <v>29</v>
      </c>
      <c r="S534" t="s">
        <v>110</v>
      </c>
      <c r="T534">
        <f>YEAR(Table1_1[[#This Row],[order_date]])</f>
        <v>2024</v>
      </c>
      <c r="U534">
        <f>MONTH(Table1_1[[#This Row],[order_date]])</f>
        <v>5</v>
      </c>
      <c r="V534" t="str">
        <f>TEXT(Table1_1[[#This Row],[order_date]],"mmm")</f>
        <v>May</v>
      </c>
      <c r="W534" t="str">
        <f>"Q"&amp;ROUNDUP(MONTH(Table1_1[[#This Row],[order_date]])/3,0)</f>
        <v>Q2</v>
      </c>
      <c r="X534" t="str">
        <f>TEXT(Table1_1[[#This Row],[order_date]],"yyyy-mm")</f>
        <v>2024-05</v>
      </c>
      <c r="Y534">
        <f>IF(Table1_1[[#This Row],[ship_date]]="","",Table1_1[[#This Row],[ship_date]]-Table1_1[[#This Row],[order_date]])</f>
        <v>4</v>
      </c>
      <c r="Z534">
        <f>ROUND(Table1_1[[#This Row],[profit]]/Table1_1[[#This Row],[sales_fix]]*100,2)</f>
        <v>17.89</v>
      </c>
    </row>
    <row r="535" spans="1:26" x14ac:dyDescent="0.3">
      <c r="A535" t="s">
        <v>1894</v>
      </c>
      <c r="B535" s="1">
        <v>45746</v>
      </c>
      <c r="C535" s="1">
        <v>45747</v>
      </c>
      <c r="D535" t="s">
        <v>453</v>
      </c>
      <c r="E535" t="s">
        <v>454</v>
      </c>
      <c r="F535" t="s">
        <v>55</v>
      </c>
      <c r="G535" t="s">
        <v>35</v>
      </c>
      <c r="H535" t="s">
        <v>187</v>
      </c>
      <c r="I535" t="s">
        <v>46</v>
      </c>
      <c r="J535" t="s">
        <v>47</v>
      </c>
      <c r="K535" t="s">
        <v>48</v>
      </c>
      <c r="L535">
        <v>1</v>
      </c>
      <c r="M535">
        <v>180</v>
      </c>
      <c r="N535">
        <v>0</v>
      </c>
      <c r="O535">
        <v>180</v>
      </c>
      <c r="P535">
        <v>71.95</v>
      </c>
      <c r="Q535" t="s">
        <v>66</v>
      </c>
      <c r="R535" t="s">
        <v>49</v>
      </c>
      <c r="S535" t="s">
        <v>86</v>
      </c>
      <c r="T535">
        <f>YEAR(Table1_1[[#This Row],[order_date]])</f>
        <v>2025</v>
      </c>
      <c r="U535">
        <f>MONTH(Table1_1[[#This Row],[order_date]])</f>
        <v>3</v>
      </c>
      <c r="V535" t="str">
        <f>TEXT(Table1_1[[#This Row],[order_date]],"mmm")</f>
        <v>Mar</v>
      </c>
      <c r="W535" t="str">
        <f>"Q"&amp;ROUNDUP(MONTH(Table1_1[[#This Row],[order_date]])/3,0)</f>
        <v>Q1</v>
      </c>
      <c r="X535" t="str">
        <f>TEXT(Table1_1[[#This Row],[order_date]],"yyyy-mm")</f>
        <v>2025-03</v>
      </c>
      <c r="Y535">
        <f>IF(Table1_1[[#This Row],[ship_date]]="","",Table1_1[[#This Row],[ship_date]]-Table1_1[[#This Row],[order_date]])</f>
        <v>1</v>
      </c>
      <c r="Z535">
        <f>ROUND(Table1_1[[#This Row],[profit]]/Table1_1[[#This Row],[sales_fix]]*100,2)</f>
        <v>39.97</v>
      </c>
    </row>
    <row r="536" spans="1:26" x14ac:dyDescent="0.3">
      <c r="A536" t="s">
        <v>254</v>
      </c>
      <c r="B536" s="1">
        <v>45693</v>
      </c>
      <c r="C536" s="1">
        <v>45701</v>
      </c>
      <c r="D536" t="s">
        <v>256</v>
      </c>
      <c r="E536" t="s">
        <v>257</v>
      </c>
      <c r="F536" t="s">
        <v>55</v>
      </c>
      <c r="G536" t="s">
        <v>35</v>
      </c>
      <c r="H536" t="s">
        <v>258</v>
      </c>
      <c r="I536" t="s">
        <v>134</v>
      </c>
      <c r="J536" t="s">
        <v>135</v>
      </c>
      <c r="K536" t="s">
        <v>27</v>
      </c>
      <c r="L536">
        <v>1</v>
      </c>
      <c r="M536">
        <v>6000</v>
      </c>
      <c r="N536">
        <v>10</v>
      </c>
      <c r="O536">
        <v>5400</v>
      </c>
      <c r="P536">
        <v>1369.24</v>
      </c>
      <c r="Q536" t="s">
        <v>39</v>
      </c>
      <c r="R536" t="s">
        <v>49</v>
      </c>
      <c r="S536" t="s">
        <v>110</v>
      </c>
      <c r="T536">
        <f>YEAR(Table1_1[[#This Row],[order_date]])</f>
        <v>2025</v>
      </c>
      <c r="U536">
        <f>MONTH(Table1_1[[#This Row],[order_date]])</f>
        <v>2</v>
      </c>
      <c r="V536" t="str">
        <f>TEXT(Table1_1[[#This Row],[order_date]],"mmm")</f>
        <v>Feb</v>
      </c>
      <c r="W536" t="str">
        <f>"Q"&amp;ROUNDUP(MONTH(Table1_1[[#This Row],[order_date]])/3,0)</f>
        <v>Q1</v>
      </c>
      <c r="X536" t="str">
        <f>TEXT(Table1_1[[#This Row],[order_date]],"yyyy-mm")</f>
        <v>2025-02</v>
      </c>
      <c r="Y536">
        <f>IF(Table1_1[[#This Row],[ship_date]]="","",Table1_1[[#This Row],[ship_date]]-Table1_1[[#This Row],[order_date]])</f>
        <v>8</v>
      </c>
      <c r="Z536">
        <f>ROUND(Table1_1[[#This Row],[profit]]/Table1_1[[#This Row],[sales_fix]]*100,2)</f>
        <v>25.36</v>
      </c>
    </row>
    <row r="537" spans="1:26" x14ac:dyDescent="0.3">
      <c r="A537" t="s">
        <v>2797</v>
      </c>
      <c r="B537" s="1">
        <v>45978</v>
      </c>
      <c r="C537" s="1">
        <v>45981</v>
      </c>
      <c r="D537" t="s">
        <v>1402</v>
      </c>
      <c r="E537" t="s">
        <v>1403</v>
      </c>
      <c r="F537" t="s">
        <v>23</v>
      </c>
      <c r="G537" t="s">
        <v>91</v>
      </c>
      <c r="H537" t="s">
        <v>177</v>
      </c>
      <c r="I537" t="s">
        <v>103</v>
      </c>
      <c r="J537" t="s">
        <v>104</v>
      </c>
      <c r="K537" t="s">
        <v>65</v>
      </c>
      <c r="L537">
        <v>1</v>
      </c>
      <c r="M537">
        <v>8000</v>
      </c>
      <c r="N537">
        <v>20</v>
      </c>
      <c r="O537">
        <v>6400</v>
      </c>
      <c r="P537">
        <v>1609.23</v>
      </c>
      <c r="Q537" t="s">
        <v>66</v>
      </c>
      <c r="R537" t="s">
        <v>56</v>
      </c>
      <c r="S537" t="s">
        <v>30</v>
      </c>
      <c r="T537">
        <f>YEAR(Table1_1[[#This Row],[order_date]])</f>
        <v>2025</v>
      </c>
      <c r="U537">
        <f>MONTH(Table1_1[[#This Row],[order_date]])</f>
        <v>11</v>
      </c>
      <c r="V537" t="str">
        <f>TEXT(Table1_1[[#This Row],[order_date]],"mmm")</f>
        <v>Nov</v>
      </c>
      <c r="W537" t="str">
        <f>"Q"&amp;ROUNDUP(MONTH(Table1_1[[#This Row],[order_date]])/3,0)</f>
        <v>Q4</v>
      </c>
      <c r="X537" t="str">
        <f>TEXT(Table1_1[[#This Row],[order_date]],"yyyy-mm")</f>
        <v>2025-11</v>
      </c>
      <c r="Y537">
        <f>IF(Table1_1[[#This Row],[ship_date]]="","",Table1_1[[#This Row],[ship_date]]-Table1_1[[#This Row],[order_date]])</f>
        <v>3</v>
      </c>
      <c r="Z537">
        <f>ROUND(Table1_1[[#This Row],[profit]]/Table1_1[[#This Row],[sales_fix]]*100,2)</f>
        <v>25.14</v>
      </c>
    </row>
    <row r="538" spans="1:26" x14ac:dyDescent="0.3">
      <c r="A538" t="s">
        <v>2880</v>
      </c>
      <c r="B538" s="1">
        <v>45609</v>
      </c>
      <c r="C538" s="1">
        <v>45613</v>
      </c>
      <c r="D538" t="s">
        <v>203</v>
      </c>
      <c r="E538" t="s">
        <v>204</v>
      </c>
      <c r="F538" t="s">
        <v>23</v>
      </c>
      <c r="G538" t="s">
        <v>44</v>
      </c>
      <c r="H538" t="s">
        <v>45</v>
      </c>
      <c r="I538" t="s">
        <v>147</v>
      </c>
      <c r="J538" t="s">
        <v>148</v>
      </c>
      <c r="K538" t="s">
        <v>48</v>
      </c>
      <c r="L538">
        <v>3</v>
      </c>
      <c r="M538">
        <v>250</v>
      </c>
      <c r="N538">
        <v>5</v>
      </c>
      <c r="O538">
        <v>712.5</v>
      </c>
      <c r="P538">
        <v>253.14</v>
      </c>
      <c r="Q538" t="s">
        <v>121</v>
      </c>
      <c r="R538" t="s">
        <v>56</v>
      </c>
      <c r="S538" t="s">
        <v>110</v>
      </c>
      <c r="T538">
        <f>YEAR(Table1_1[[#This Row],[order_date]])</f>
        <v>2024</v>
      </c>
      <c r="U538">
        <f>MONTH(Table1_1[[#This Row],[order_date]])</f>
        <v>11</v>
      </c>
      <c r="V538" t="str">
        <f>TEXT(Table1_1[[#This Row],[order_date]],"mmm")</f>
        <v>Nov</v>
      </c>
      <c r="W538" t="str">
        <f>"Q"&amp;ROUNDUP(MONTH(Table1_1[[#This Row],[order_date]])/3,0)</f>
        <v>Q4</v>
      </c>
      <c r="X538" t="str">
        <f>TEXT(Table1_1[[#This Row],[order_date]],"yyyy-mm")</f>
        <v>2024-11</v>
      </c>
      <c r="Y538">
        <f>IF(Table1_1[[#This Row],[ship_date]]="","",Table1_1[[#This Row],[ship_date]]-Table1_1[[#This Row],[order_date]])</f>
        <v>4</v>
      </c>
      <c r="Z538">
        <f>ROUND(Table1_1[[#This Row],[profit]]/Table1_1[[#This Row],[sales_fix]]*100,2)</f>
        <v>35.53</v>
      </c>
    </row>
    <row r="539" spans="1:26" x14ac:dyDescent="0.3">
      <c r="A539" t="s">
        <v>1513</v>
      </c>
      <c r="B539" s="1">
        <v>45479</v>
      </c>
      <c r="C539" s="1">
        <v>45485</v>
      </c>
      <c r="D539" t="s">
        <v>981</v>
      </c>
      <c r="E539" t="s">
        <v>982</v>
      </c>
      <c r="F539" t="s">
        <v>23</v>
      </c>
      <c r="G539" t="s">
        <v>91</v>
      </c>
      <c r="H539" t="s">
        <v>177</v>
      </c>
      <c r="I539" t="s">
        <v>134</v>
      </c>
      <c r="J539" t="s">
        <v>135</v>
      </c>
      <c r="K539" t="s">
        <v>27</v>
      </c>
      <c r="L539">
        <v>3</v>
      </c>
      <c r="M539">
        <v>6000</v>
      </c>
      <c r="N539">
        <v>15</v>
      </c>
      <c r="O539">
        <v>15300</v>
      </c>
      <c r="P539">
        <v>3055.59</v>
      </c>
      <c r="Q539" t="s">
        <v>28</v>
      </c>
      <c r="R539" t="s">
        <v>49</v>
      </c>
      <c r="S539" t="s">
        <v>86</v>
      </c>
      <c r="T539">
        <f>YEAR(Table1_1[[#This Row],[order_date]])</f>
        <v>2024</v>
      </c>
      <c r="U539">
        <f>MONTH(Table1_1[[#This Row],[order_date]])</f>
        <v>7</v>
      </c>
      <c r="V539" t="str">
        <f>TEXT(Table1_1[[#This Row],[order_date]],"mmm")</f>
        <v>Jul</v>
      </c>
      <c r="W539" t="str">
        <f>"Q"&amp;ROUNDUP(MONTH(Table1_1[[#This Row],[order_date]])/3,0)</f>
        <v>Q3</v>
      </c>
      <c r="X539" t="str">
        <f>TEXT(Table1_1[[#This Row],[order_date]],"yyyy-mm")</f>
        <v>2024-07</v>
      </c>
      <c r="Y539">
        <f>IF(Table1_1[[#This Row],[ship_date]]="","",Table1_1[[#This Row],[ship_date]]-Table1_1[[#This Row],[order_date]])</f>
        <v>6</v>
      </c>
      <c r="Z539">
        <f>ROUND(Table1_1[[#This Row],[profit]]/Table1_1[[#This Row],[sales_fix]]*100,2)</f>
        <v>19.97</v>
      </c>
    </row>
    <row r="540" spans="1:26" x14ac:dyDescent="0.3">
      <c r="A540" t="s">
        <v>1900</v>
      </c>
      <c r="B540" s="1">
        <v>45407</v>
      </c>
      <c r="C540" s="1">
        <v>45412</v>
      </c>
      <c r="D540" t="s">
        <v>138</v>
      </c>
      <c r="E540" t="s">
        <v>139</v>
      </c>
      <c r="F540" t="s">
        <v>55</v>
      </c>
      <c r="G540" t="s">
        <v>35</v>
      </c>
      <c r="H540" t="s">
        <v>36</v>
      </c>
      <c r="I540" t="s">
        <v>147</v>
      </c>
      <c r="J540" t="s">
        <v>148</v>
      </c>
      <c r="K540" t="s">
        <v>48</v>
      </c>
      <c r="L540">
        <v>1</v>
      </c>
      <c r="M540">
        <v>250</v>
      </c>
      <c r="N540">
        <v>5</v>
      </c>
      <c r="O540">
        <v>237.5</v>
      </c>
      <c r="P540">
        <v>98.64</v>
      </c>
      <c r="Q540" t="s">
        <v>74</v>
      </c>
      <c r="R540" t="s">
        <v>56</v>
      </c>
      <c r="S540" t="s">
        <v>40</v>
      </c>
      <c r="T540">
        <f>YEAR(Table1_1[[#This Row],[order_date]])</f>
        <v>2024</v>
      </c>
      <c r="U540">
        <f>MONTH(Table1_1[[#This Row],[order_date]])</f>
        <v>4</v>
      </c>
      <c r="V540" t="str">
        <f>TEXT(Table1_1[[#This Row],[order_date]],"mmm")</f>
        <v>Apr</v>
      </c>
      <c r="W540" t="str">
        <f>"Q"&amp;ROUNDUP(MONTH(Table1_1[[#This Row],[order_date]])/3,0)</f>
        <v>Q2</v>
      </c>
      <c r="X540" t="str">
        <f>TEXT(Table1_1[[#This Row],[order_date]],"yyyy-mm")</f>
        <v>2024-04</v>
      </c>
      <c r="Y540">
        <f>IF(Table1_1[[#This Row],[ship_date]]="","",Table1_1[[#This Row],[ship_date]]-Table1_1[[#This Row],[order_date]])</f>
        <v>5</v>
      </c>
      <c r="Z540">
        <f>ROUND(Table1_1[[#This Row],[profit]]/Table1_1[[#This Row],[sales_fix]]*100,2)</f>
        <v>41.53</v>
      </c>
    </row>
    <row r="541" spans="1:26" x14ac:dyDescent="0.3">
      <c r="A541" t="s">
        <v>1723</v>
      </c>
      <c r="B541" s="1">
        <v>45397</v>
      </c>
      <c r="C541" s="1">
        <v>45403</v>
      </c>
      <c r="D541" t="s">
        <v>150</v>
      </c>
      <c r="E541" t="s">
        <v>151</v>
      </c>
      <c r="F541" t="s">
        <v>34</v>
      </c>
      <c r="G541" t="s">
        <v>35</v>
      </c>
      <c r="H541" t="s">
        <v>36</v>
      </c>
      <c r="I541" t="s">
        <v>46</v>
      </c>
      <c r="J541" t="s">
        <v>47</v>
      </c>
      <c r="K541" t="s">
        <v>48</v>
      </c>
      <c r="L541">
        <v>2</v>
      </c>
      <c r="M541">
        <v>180</v>
      </c>
      <c r="N541">
        <v>15</v>
      </c>
      <c r="O541">
        <v>306</v>
      </c>
      <c r="P541">
        <v>140.28</v>
      </c>
      <c r="Q541" t="s">
        <v>39</v>
      </c>
      <c r="R541" t="s">
        <v>56</v>
      </c>
      <c r="S541" t="s">
        <v>86</v>
      </c>
      <c r="T541">
        <f>YEAR(Table1_1[[#This Row],[order_date]])</f>
        <v>2024</v>
      </c>
      <c r="U541">
        <f>MONTH(Table1_1[[#This Row],[order_date]])</f>
        <v>4</v>
      </c>
      <c r="V541" t="str">
        <f>TEXT(Table1_1[[#This Row],[order_date]],"mmm")</f>
        <v>Apr</v>
      </c>
      <c r="W541" t="str">
        <f>"Q"&amp;ROUNDUP(MONTH(Table1_1[[#This Row],[order_date]])/3,0)</f>
        <v>Q2</v>
      </c>
      <c r="X541" t="str">
        <f>TEXT(Table1_1[[#This Row],[order_date]],"yyyy-mm")</f>
        <v>2024-04</v>
      </c>
      <c r="Y541">
        <f>IF(Table1_1[[#This Row],[ship_date]]="","",Table1_1[[#This Row],[ship_date]]-Table1_1[[#This Row],[order_date]])</f>
        <v>6</v>
      </c>
      <c r="Z541">
        <f>ROUND(Table1_1[[#This Row],[profit]]/Table1_1[[#This Row],[sales_fix]]*100,2)</f>
        <v>45.84</v>
      </c>
    </row>
    <row r="542" spans="1:26" x14ac:dyDescent="0.3">
      <c r="A542" t="s">
        <v>222</v>
      </c>
      <c r="B542" s="1">
        <v>45764</v>
      </c>
      <c r="C542" s="1">
        <v>45768</v>
      </c>
      <c r="D542" t="s">
        <v>223</v>
      </c>
      <c r="E542" t="s">
        <v>224</v>
      </c>
      <c r="F542" t="s">
        <v>34</v>
      </c>
      <c r="G542" t="s">
        <v>35</v>
      </c>
      <c r="H542" t="s">
        <v>85</v>
      </c>
      <c r="I542" t="s">
        <v>46</v>
      </c>
      <c r="J542" t="s">
        <v>47</v>
      </c>
      <c r="K542" t="s">
        <v>48</v>
      </c>
      <c r="L542">
        <v>2</v>
      </c>
      <c r="M542">
        <v>180</v>
      </c>
      <c r="N542">
        <v>5</v>
      </c>
      <c r="O542">
        <v>342</v>
      </c>
      <c r="P542">
        <v>122.42</v>
      </c>
      <c r="Q542" t="s">
        <v>39</v>
      </c>
      <c r="R542" t="s">
        <v>29</v>
      </c>
      <c r="S542" t="s">
        <v>86</v>
      </c>
      <c r="T542">
        <f>YEAR(Table1_1[[#This Row],[order_date]])</f>
        <v>2025</v>
      </c>
      <c r="U542">
        <f>MONTH(Table1_1[[#This Row],[order_date]])</f>
        <v>4</v>
      </c>
      <c r="V542" t="str">
        <f>TEXT(Table1_1[[#This Row],[order_date]],"mmm")</f>
        <v>Apr</v>
      </c>
      <c r="W542" t="str">
        <f>"Q"&amp;ROUNDUP(MONTH(Table1_1[[#This Row],[order_date]])/3,0)</f>
        <v>Q2</v>
      </c>
      <c r="X542" t="str">
        <f>TEXT(Table1_1[[#This Row],[order_date]],"yyyy-mm")</f>
        <v>2025-04</v>
      </c>
      <c r="Y542">
        <f>IF(Table1_1[[#This Row],[ship_date]]="","",Table1_1[[#This Row],[ship_date]]-Table1_1[[#This Row],[order_date]])</f>
        <v>4</v>
      </c>
      <c r="Z542">
        <f>ROUND(Table1_1[[#This Row],[profit]]/Table1_1[[#This Row],[sales_fix]]*100,2)</f>
        <v>35.799999999999997</v>
      </c>
    </row>
    <row r="543" spans="1:26" x14ac:dyDescent="0.3">
      <c r="A543" t="s">
        <v>2537</v>
      </c>
      <c r="B543" s="1">
        <v>45640</v>
      </c>
      <c r="C543" s="1">
        <v>45647</v>
      </c>
      <c r="D543" t="s">
        <v>802</v>
      </c>
      <c r="E543" t="s">
        <v>803</v>
      </c>
      <c r="F543" t="s">
        <v>55</v>
      </c>
      <c r="G543" t="s">
        <v>35</v>
      </c>
      <c r="H543" t="s">
        <v>258</v>
      </c>
      <c r="I543" t="s">
        <v>63</v>
      </c>
      <c r="J543" t="s">
        <v>64</v>
      </c>
      <c r="K543" t="s">
        <v>65</v>
      </c>
      <c r="L543">
        <v>3</v>
      </c>
      <c r="M543">
        <v>25000</v>
      </c>
      <c r="N543">
        <v>5</v>
      </c>
      <c r="O543">
        <v>71250</v>
      </c>
      <c r="P543">
        <v>10834.19</v>
      </c>
      <c r="Q543" t="s">
        <v>39</v>
      </c>
      <c r="R543" t="s">
        <v>49</v>
      </c>
      <c r="S543" t="s">
        <v>40</v>
      </c>
      <c r="T543">
        <f>YEAR(Table1_1[[#This Row],[order_date]])</f>
        <v>2024</v>
      </c>
      <c r="U543">
        <f>MONTH(Table1_1[[#This Row],[order_date]])</f>
        <v>12</v>
      </c>
      <c r="V543" t="str">
        <f>TEXT(Table1_1[[#This Row],[order_date]],"mmm")</f>
        <v>Dec</v>
      </c>
      <c r="W543" t="str">
        <f>"Q"&amp;ROUNDUP(MONTH(Table1_1[[#This Row],[order_date]])/3,0)</f>
        <v>Q4</v>
      </c>
      <c r="X543" t="str">
        <f>TEXT(Table1_1[[#This Row],[order_date]],"yyyy-mm")</f>
        <v>2024-12</v>
      </c>
      <c r="Y543">
        <f>IF(Table1_1[[#This Row],[ship_date]]="","",Table1_1[[#This Row],[ship_date]]-Table1_1[[#This Row],[order_date]])</f>
        <v>7</v>
      </c>
      <c r="Z543">
        <f>ROUND(Table1_1[[#This Row],[profit]]/Table1_1[[#This Row],[sales_fix]]*100,2)</f>
        <v>15.21</v>
      </c>
    </row>
    <row r="544" spans="1:26" x14ac:dyDescent="0.3">
      <c r="A544" t="s">
        <v>2567</v>
      </c>
      <c r="B544" s="1">
        <v>45970</v>
      </c>
      <c r="C544" s="1">
        <v>45978</v>
      </c>
      <c r="D544" t="s">
        <v>973</v>
      </c>
      <c r="E544" t="s">
        <v>974</v>
      </c>
      <c r="F544" t="s">
        <v>34</v>
      </c>
      <c r="G544" t="s">
        <v>91</v>
      </c>
      <c r="H544" t="s">
        <v>177</v>
      </c>
      <c r="I544" t="s">
        <v>79</v>
      </c>
      <c r="J544" t="s">
        <v>80</v>
      </c>
      <c r="K544" t="s">
        <v>65</v>
      </c>
      <c r="L544">
        <v>3</v>
      </c>
      <c r="M544">
        <v>3000</v>
      </c>
      <c r="N544">
        <v>15</v>
      </c>
      <c r="O544">
        <v>7650</v>
      </c>
      <c r="P544">
        <v>2133.6</v>
      </c>
      <c r="Q544" t="s">
        <v>66</v>
      </c>
      <c r="R544" t="s">
        <v>56</v>
      </c>
      <c r="S544" t="s">
        <v>40</v>
      </c>
      <c r="T544">
        <f>YEAR(Table1_1[[#This Row],[order_date]])</f>
        <v>2025</v>
      </c>
      <c r="U544">
        <f>MONTH(Table1_1[[#This Row],[order_date]])</f>
        <v>11</v>
      </c>
      <c r="V544" t="str">
        <f>TEXT(Table1_1[[#This Row],[order_date]],"mmm")</f>
        <v>Nov</v>
      </c>
      <c r="W544" t="str">
        <f>"Q"&amp;ROUNDUP(MONTH(Table1_1[[#This Row],[order_date]])/3,0)</f>
        <v>Q4</v>
      </c>
      <c r="X544" t="str">
        <f>TEXT(Table1_1[[#This Row],[order_date]],"yyyy-mm")</f>
        <v>2025-11</v>
      </c>
      <c r="Y544">
        <f>IF(Table1_1[[#This Row],[ship_date]]="","",Table1_1[[#This Row],[ship_date]]-Table1_1[[#This Row],[order_date]])</f>
        <v>8</v>
      </c>
      <c r="Z544">
        <f>ROUND(Table1_1[[#This Row],[profit]]/Table1_1[[#This Row],[sales_fix]]*100,2)</f>
        <v>27.89</v>
      </c>
    </row>
    <row r="545" spans="1:26" x14ac:dyDescent="0.3">
      <c r="A545" t="s">
        <v>1770</v>
      </c>
      <c r="B545" s="1">
        <v>45860</v>
      </c>
      <c r="C545" s="1">
        <v>45867</v>
      </c>
      <c r="D545" t="s">
        <v>406</v>
      </c>
      <c r="E545" t="s">
        <v>407</v>
      </c>
      <c r="F545" t="s">
        <v>55</v>
      </c>
      <c r="G545" t="s">
        <v>91</v>
      </c>
      <c r="H545" t="s">
        <v>120</v>
      </c>
      <c r="I545" t="s">
        <v>37</v>
      </c>
      <c r="J545" t="s">
        <v>38</v>
      </c>
      <c r="K545" t="s">
        <v>27</v>
      </c>
      <c r="L545">
        <v>1</v>
      </c>
      <c r="M545">
        <v>9500</v>
      </c>
      <c r="N545">
        <v>5</v>
      </c>
      <c r="O545">
        <v>9025</v>
      </c>
      <c r="P545">
        <v>1390.7</v>
      </c>
      <c r="Q545" t="s">
        <v>66</v>
      </c>
      <c r="R545" t="s">
        <v>56</v>
      </c>
      <c r="S545" t="s">
        <v>86</v>
      </c>
      <c r="T545">
        <f>YEAR(Table1_1[[#This Row],[order_date]])</f>
        <v>2025</v>
      </c>
      <c r="U545">
        <f>MONTH(Table1_1[[#This Row],[order_date]])</f>
        <v>7</v>
      </c>
      <c r="V545" t="str">
        <f>TEXT(Table1_1[[#This Row],[order_date]],"mmm")</f>
        <v>Jul</v>
      </c>
      <c r="W545" t="str">
        <f>"Q"&amp;ROUNDUP(MONTH(Table1_1[[#This Row],[order_date]])/3,0)</f>
        <v>Q3</v>
      </c>
      <c r="X545" t="str">
        <f>TEXT(Table1_1[[#This Row],[order_date]],"yyyy-mm")</f>
        <v>2025-07</v>
      </c>
      <c r="Y545">
        <f>IF(Table1_1[[#This Row],[ship_date]]="","",Table1_1[[#This Row],[ship_date]]-Table1_1[[#This Row],[order_date]])</f>
        <v>7</v>
      </c>
      <c r="Z545">
        <f>ROUND(Table1_1[[#This Row],[profit]]/Table1_1[[#This Row],[sales_fix]]*100,2)</f>
        <v>15.41</v>
      </c>
    </row>
    <row r="546" spans="1:26" x14ac:dyDescent="0.3">
      <c r="A546" t="s">
        <v>1065</v>
      </c>
      <c r="B546" s="1">
        <v>45798</v>
      </c>
      <c r="C546" s="1">
        <v>45801</v>
      </c>
      <c r="D546" t="s">
        <v>1067</v>
      </c>
      <c r="E546" t="s">
        <v>1068</v>
      </c>
      <c r="F546" t="s">
        <v>23</v>
      </c>
      <c r="G546" t="s">
        <v>35</v>
      </c>
      <c r="H546" t="s">
        <v>85</v>
      </c>
      <c r="I546" t="s">
        <v>37</v>
      </c>
      <c r="J546" t="s">
        <v>38</v>
      </c>
      <c r="K546" t="s">
        <v>27</v>
      </c>
      <c r="L546">
        <v>2</v>
      </c>
      <c r="M546">
        <v>9500</v>
      </c>
      <c r="N546">
        <v>0</v>
      </c>
      <c r="O546">
        <v>19000</v>
      </c>
      <c r="P546">
        <v>2797.61</v>
      </c>
      <c r="Q546" t="s">
        <v>39</v>
      </c>
      <c r="R546" t="s">
        <v>56</v>
      </c>
      <c r="S546" t="s">
        <v>86</v>
      </c>
      <c r="T546">
        <f>YEAR(Table1_1[[#This Row],[order_date]])</f>
        <v>2025</v>
      </c>
      <c r="U546">
        <f>MONTH(Table1_1[[#This Row],[order_date]])</f>
        <v>5</v>
      </c>
      <c r="V546" t="str">
        <f>TEXT(Table1_1[[#This Row],[order_date]],"mmm")</f>
        <v>May</v>
      </c>
      <c r="W546" t="str">
        <f>"Q"&amp;ROUNDUP(MONTH(Table1_1[[#This Row],[order_date]])/3,0)</f>
        <v>Q2</v>
      </c>
      <c r="X546" t="str">
        <f>TEXT(Table1_1[[#This Row],[order_date]],"yyyy-mm")</f>
        <v>2025-05</v>
      </c>
      <c r="Y546">
        <f>IF(Table1_1[[#This Row],[ship_date]]="","",Table1_1[[#This Row],[ship_date]]-Table1_1[[#This Row],[order_date]])</f>
        <v>3</v>
      </c>
      <c r="Z546">
        <f>ROUND(Table1_1[[#This Row],[profit]]/Table1_1[[#This Row],[sales_fix]]*100,2)</f>
        <v>14.72</v>
      </c>
    </row>
    <row r="547" spans="1:26" x14ac:dyDescent="0.3">
      <c r="A547" t="s">
        <v>1089</v>
      </c>
      <c r="B547" s="1">
        <v>45444</v>
      </c>
      <c r="C547" s="1">
        <v>45452</v>
      </c>
      <c r="D547" t="s">
        <v>1090</v>
      </c>
      <c r="E547" t="s">
        <v>1091</v>
      </c>
      <c r="F547" t="s">
        <v>23</v>
      </c>
      <c r="G547" t="s">
        <v>61</v>
      </c>
      <c r="H547" t="s">
        <v>78</v>
      </c>
      <c r="I547" t="s">
        <v>126</v>
      </c>
      <c r="J547" t="s">
        <v>127</v>
      </c>
      <c r="K547" t="s">
        <v>95</v>
      </c>
      <c r="L547">
        <v>2</v>
      </c>
      <c r="M547">
        <v>600</v>
      </c>
      <c r="N547">
        <v>0</v>
      </c>
      <c r="O547">
        <v>1200</v>
      </c>
      <c r="P547">
        <v>390.33</v>
      </c>
      <c r="Q547" t="s">
        <v>121</v>
      </c>
      <c r="R547" t="s">
        <v>29</v>
      </c>
      <c r="S547" t="s">
        <v>110</v>
      </c>
      <c r="T547">
        <f>YEAR(Table1_1[[#This Row],[order_date]])</f>
        <v>2024</v>
      </c>
      <c r="U547">
        <f>MONTH(Table1_1[[#This Row],[order_date]])</f>
        <v>6</v>
      </c>
      <c r="V547" t="str">
        <f>TEXT(Table1_1[[#This Row],[order_date]],"mmm")</f>
        <v>Jun</v>
      </c>
      <c r="W547" t="str">
        <f>"Q"&amp;ROUNDUP(MONTH(Table1_1[[#This Row],[order_date]])/3,0)</f>
        <v>Q2</v>
      </c>
      <c r="X547" t="str">
        <f>TEXT(Table1_1[[#This Row],[order_date]],"yyyy-mm")</f>
        <v>2024-06</v>
      </c>
      <c r="Y547">
        <f>IF(Table1_1[[#This Row],[ship_date]]="","",Table1_1[[#This Row],[ship_date]]-Table1_1[[#This Row],[order_date]])</f>
        <v>8</v>
      </c>
      <c r="Z547">
        <f>ROUND(Table1_1[[#This Row],[profit]]/Table1_1[[#This Row],[sales_fix]]*100,2)</f>
        <v>32.53</v>
      </c>
    </row>
    <row r="548" spans="1:26" x14ac:dyDescent="0.3">
      <c r="A548" t="s">
        <v>1052</v>
      </c>
      <c r="B548" s="1">
        <v>45987</v>
      </c>
      <c r="C548" s="1">
        <v>45993</v>
      </c>
      <c r="D548" t="s">
        <v>163</v>
      </c>
      <c r="E548" t="s">
        <v>164</v>
      </c>
      <c r="F548" t="s">
        <v>55</v>
      </c>
      <c r="G548" t="s">
        <v>44</v>
      </c>
      <c r="H548" t="s">
        <v>45</v>
      </c>
      <c r="I548" t="s">
        <v>93</v>
      </c>
      <c r="J548" t="s">
        <v>94</v>
      </c>
      <c r="K548" t="s">
        <v>95</v>
      </c>
      <c r="L548">
        <v>5</v>
      </c>
      <c r="M548">
        <v>1800</v>
      </c>
      <c r="N548">
        <v>5</v>
      </c>
      <c r="O548">
        <v>8550</v>
      </c>
      <c r="P548">
        <v>2953.95</v>
      </c>
      <c r="Q548" t="s">
        <v>66</v>
      </c>
      <c r="R548" t="s">
        <v>56</v>
      </c>
      <c r="S548" t="s">
        <v>86</v>
      </c>
      <c r="T548">
        <f>YEAR(Table1_1[[#This Row],[order_date]])</f>
        <v>2025</v>
      </c>
      <c r="U548">
        <f>MONTH(Table1_1[[#This Row],[order_date]])</f>
        <v>11</v>
      </c>
      <c r="V548" t="str">
        <f>TEXT(Table1_1[[#This Row],[order_date]],"mmm")</f>
        <v>Nov</v>
      </c>
      <c r="W548" t="str">
        <f>"Q"&amp;ROUNDUP(MONTH(Table1_1[[#This Row],[order_date]])/3,0)</f>
        <v>Q4</v>
      </c>
      <c r="X548" t="str">
        <f>TEXT(Table1_1[[#This Row],[order_date]],"yyyy-mm")</f>
        <v>2025-11</v>
      </c>
      <c r="Y548">
        <f>IF(Table1_1[[#This Row],[ship_date]]="","",Table1_1[[#This Row],[ship_date]]-Table1_1[[#This Row],[order_date]])</f>
        <v>6</v>
      </c>
      <c r="Z548">
        <f>ROUND(Table1_1[[#This Row],[profit]]/Table1_1[[#This Row],[sales_fix]]*100,2)</f>
        <v>34.549999999999997</v>
      </c>
    </row>
    <row r="549" spans="1:26" x14ac:dyDescent="0.3">
      <c r="A549" t="s">
        <v>1846</v>
      </c>
      <c r="B549" s="1">
        <v>45422</v>
      </c>
      <c r="C549" s="1">
        <v>45423</v>
      </c>
      <c r="D549" t="s">
        <v>798</v>
      </c>
      <c r="E549" t="s">
        <v>799</v>
      </c>
      <c r="F549" t="s">
        <v>23</v>
      </c>
      <c r="G549" t="s">
        <v>44</v>
      </c>
      <c r="H549" t="s">
        <v>330</v>
      </c>
      <c r="I549" t="s">
        <v>134</v>
      </c>
      <c r="J549" t="s">
        <v>135</v>
      </c>
      <c r="K549" t="s">
        <v>27</v>
      </c>
      <c r="L549">
        <v>4</v>
      </c>
      <c r="M549">
        <v>6000</v>
      </c>
      <c r="N549">
        <v>0</v>
      </c>
      <c r="O549">
        <v>24000</v>
      </c>
      <c r="P549">
        <v>4882.6899999999996</v>
      </c>
      <c r="Q549" t="s">
        <v>66</v>
      </c>
      <c r="R549" t="s">
        <v>56</v>
      </c>
      <c r="S549" t="s">
        <v>40</v>
      </c>
      <c r="T549">
        <f>YEAR(Table1_1[[#This Row],[order_date]])</f>
        <v>2024</v>
      </c>
      <c r="U549">
        <f>MONTH(Table1_1[[#This Row],[order_date]])</f>
        <v>5</v>
      </c>
      <c r="V549" t="str">
        <f>TEXT(Table1_1[[#This Row],[order_date]],"mmm")</f>
        <v>May</v>
      </c>
      <c r="W549" t="str">
        <f>"Q"&amp;ROUNDUP(MONTH(Table1_1[[#This Row],[order_date]])/3,0)</f>
        <v>Q2</v>
      </c>
      <c r="X549" t="str">
        <f>TEXT(Table1_1[[#This Row],[order_date]],"yyyy-mm")</f>
        <v>2024-05</v>
      </c>
      <c r="Y549">
        <f>IF(Table1_1[[#This Row],[ship_date]]="","",Table1_1[[#This Row],[ship_date]]-Table1_1[[#This Row],[order_date]])</f>
        <v>1</v>
      </c>
      <c r="Z549">
        <f>ROUND(Table1_1[[#This Row],[profit]]/Table1_1[[#This Row],[sales_fix]]*100,2)</f>
        <v>20.34</v>
      </c>
    </row>
    <row r="550" spans="1:26" x14ac:dyDescent="0.3">
      <c r="A550" t="s">
        <v>2718</v>
      </c>
      <c r="B550" s="1">
        <v>45580</v>
      </c>
      <c r="C550" s="1">
        <v>45586</v>
      </c>
      <c r="D550" t="s">
        <v>517</v>
      </c>
      <c r="E550" t="s">
        <v>518</v>
      </c>
      <c r="F550" t="s">
        <v>34</v>
      </c>
      <c r="G550" t="s">
        <v>61</v>
      </c>
      <c r="H550" t="s">
        <v>125</v>
      </c>
      <c r="I550" t="s">
        <v>63</v>
      </c>
      <c r="J550" t="s">
        <v>64</v>
      </c>
      <c r="K550" t="s">
        <v>65</v>
      </c>
      <c r="L550">
        <v>1</v>
      </c>
      <c r="M550">
        <v>25000</v>
      </c>
      <c r="N550">
        <v>15</v>
      </c>
      <c r="O550">
        <v>21250</v>
      </c>
      <c r="P550">
        <v>2983.71</v>
      </c>
      <c r="Q550" t="s">
        <v>156</v>
      </c>
      <c r="R550" t="s">
        <v>49</v>
      </c>
      <c r="S550" t="s">
        <v>30</v>
      </c>
      <c r="T550">
        <f>YEAR(Table1_1[[#This Row],[order_date]])</f>
        <v>2024</v>
      </c>
      <c r="U550">
        <f>MONTH(Table1_1[[#This Row],[order_date]])</f>
        <v>10</v>
      </c>
      <c r="V550" t="str">
        <f>TEXT(Table1_1[[#This Row],[order_date]],"mmm")</f>
        <v>Oct</v>
      </c>
      <c r="W550" t="str">
        <f>"Q"&amp;ROUNDUP(MONTH(Table1_1[[#This Row],[order_date]])/3,0)</f>
        <v>Q4</v>
      </c>
      <c r="X550" t="str">
        <f>TEXT(Table1_1[[#This Row],[order_date]],"yyyy-mm")</f>
        <v>2024-10</v>
      </c>
      <c r="Y550">
        <f>IF(Table1_1[[#This Row],[ship_date]]="","",Table1_1[[#This Row],[ship_date]]-Table1_1[[#This Row],[order_date]])</f>
        <v>6</v>
      </c>
      <c r="Z550">
        <f>ROUND(Table1_1[[#This Row],[profit]]/Table1_1[[#This Row],[sales_fix]]*100,2)</f>
        <v>14.04</v>
      </c>
    </row>
    <row r="551" spans="1:26" x14ac:dyDescent="0.3">
      <c r="A551" t="s">
        <v>1917</v>
      </c>
      <c r="B551" s="1">
        <v>45850</v>
      </c>
      <c r="C551" s="1"/>
      <c r="D551" t="s">
        <v>159</v>
      </c>
      <c r="E551" t="s">
        <v>160</v>
      </c>
      <c r="F551" t="s">
        <v>34</v>
      </c>
      <c r="G551" t="s">
        <v>44</v>
      </c>
      <c r="H551" t="s">
        <v>161</v>
      </c>
      <c r="I551" t="s">
        <v>134</v>
      </c>
      <c r="J551" t="s">
        <v>135</v>
      </c>
      <c r="K551" t="s">
        <v>27</v>
      </c>
      <c r="L551">
        <v>1</v>
      </c>
      <c r="M551">
        <v>6000</v>
      </c>
      <c r="N551">
        <v>0</v>
      </c>
      <c r="O551">
        <v>6000</v>
      </c>
      <c r="P551">
        <v>1281.53</v>
      </c>
      <c r="Q551" t="s">
        <v>39</v>
      </c>
      <c r="R551" t="s">
        <v>49</v>
      </c>
      <c r="S551" t="s">
        <v>110</v>
      </c>
      <c r="T551">
        <f>YEAR(Table1_1[[#This Row],[order_date]])</f>
        <v>2025</v>
      </c>
      <c r="U551">
        <f>MONTH(Table1_1[[#This Row],[order_date]])</f>
        <v>7</v>
      </c>
      <c r="V551" t="str">
        <f>TEXT(Table1_1[[#This Row],[order_date]],"mmm")</f>
        <v>Jul</v>
      </c>
      <c r="W551" t="str">
        <f>"Q"&amp;ROUNDUP(MONTH(Table1_1[[#This Row],[order_date]])/3,0)</f>
        <v>Q3</v>
      </c>
      <c r="X551" t="str">
        <f>TEXT(Table1_1[[#This Row],[order_date]],"yyyy-mm")</f>
        <v>2025-07</v>
      </c>
      <c r="Y551" t="str">
        <f>IF(Table1_1[[#This Row],[ship_date]]="","",Table1_1[[#This Row],[ship_date]]-Table1_1[[#This Row],[order_date]])</f>
        <v/>
      </c>
      <c r="Z551">
        <f>ROUND(Table1_1[[#This Row],[profit]]/Table1_1[[#This Row],[sales_fix]]*100,2)</f>
        <v>21.36</v>
      </c>
    </row>
    <row r="552" spans="1:26" x14ac:dyDescent="0.3">
      <c r="A552" t="s">
        <v>2113</v>
      </c>
      <c r="B552" s="1">
        <v>45587</v>
      </c>
      <c r="C552" s="1">
        <v>45588</v>
      </c>
      <c r="D552" t="s">
        <v>318</v>
      </c>
      <c r="E552" t="s">
        <v>319</v>
      </c>
      <c r="F552" t="s">
        <v>55</v>
      </c>
      <c r="G552" t="s">
        <v>35</v>
      </c>
      <c r="H552" t="s">
        <v>36</v>
      </c>
      <c r="I552" t="s">
        <v>79</v>
      </c>
      <c r="J552" t="s">
        <v>80</v>
      </c>
      <c r="K552" t="s">
        <v>65</v>
      </c>
      <c r="L552">
        <v>3</v>
      </c>
      <c r="M552">
        <v>3000</v>
      </c>
      <c r="N552">
        <v>0</v>
      </c>
      <c r="O552">
        <v>9000</v>
      </c>
      <c r="P552">
        <v>1902.53</v>
      </c>
      <c r="Q552" t="s">
        <v>121</v>
      </c>
      <c r="R552" t="s">
        <v>56</v>
      </c>
      <c r="S552" t="s">
        <v>30</v>
      </c>
      <c r="T552">
        <f>YEAR(Table1_1[[#This Row],[order_date]])</f>
        <v>2024</v>
      </c>
      <c r="U552">
        <f>MONTH(Table1_1[[#This Row],[order_date]])</f>
        <v>10</v>
      </c>
      <c r="V552" t="str">
        <f>TEXT(Table1_1[[#This Row],[order_date]],"mmm")</f>
        <v>Oct</v>
      </c>
      <c r="W552" t="str">
        <f>"Q"&amp;ROUNDUP(MONTH(Table1_1[[#This Row],[order_date]])/3,0)</f>
        <v>Q4</v>
      </c>
      <c r="X552" t="str">
        <f>TEXT(Table1_1[[#This Row],[order_date]],"yyyy-mm")</f>
        <v>2024-10</v>
      </c>
      <c r="Y552">
        <f>IF(Table1_1[[#This Row],[ship_date]]="","",Table1_1[[#This Row],[ship_date]]-Table1_1[[#This Row],[order_date]])</f>
        <v>1</v>
      </c>
      <c r="Z552">
        <f>ROUND(Table1_1[[#This Row],[profit]]/Table1_1[[#This Row],[sales_fix]]*100,2)</f>
        <v>21.14</v>
      </c>
    </row>
    <row r="553" spans="1:26" x14ac:dyDescent="0.3">
      <c r="A553" t="s">
        <v>2636</v>
      </c>
      <c r="B553" s="1">
        <v>45378</v>
      </c>
      <c r="C553" s="1">
        <v>45386</v>
      </c>
      <c r="D553" t="s">
        <v>2290</v>
      </c>
      <c r="E553" t="s">
        <v>2291</v>
      </c>
      <c r="F553" t="s">
        <v>55</v>
      </c>
      <c r="G553" t="s">
        <v>35</v>
      </c>
      <c r="H553" t="s">
        <v>85</v>
      </c>
      <c r="I553" t="s">
        <v>79</v>
      </c>
      <c r="J553" t="s">
        <v>80</v>
      </c>
      <c r="K553" t="s">
        <v>65</v>
      </c>
      <c r="L553">
        <v>1</v>
      </c>
      <c r="M553">
        <v>3000</v>
      </c>
      <c r="N553">
        <v>20</v>
      </c>
      <c r="O553">
        <v>2400</v>
      </c>
      <c r="P553">
        <v>623.77</v>
      </c>
      <c r="Q553" t="s">
        <v>156</v>
      </c>
      <c r="R553" t="s">
        <v>56</v>
      </c>
      <c r="S553" t="s">
        <v>30</v>
      </c>
      <c r="T553">
        <f>YEAR(Table1_1[[#This Row],[order_date]])</f>
        <v>2024</v>
      </c>
      <c r="U553">
        <f>MONTH(Table1_1[[#This Row],[order_date]])</f>
        <v>3</v>
      </c>
      <c r="V553" t="str">
        <f>TEXT(Table1_1[[#This Row],[order_date]],"mmm")</f>
        <v>Mar</v>
      </c>
      <c r="W553" t="str">
        <f>"Q"&amp;ROUNDUP(MONTH(Table1_1[[#This Row],[order_date]])/3,0)</f>
        <v>Q1</v>
      </c>
      <c r="X553" t="str">
        <f>TEXT(Table1_1[[#This Row],[order_date]],"yyyy-mm")</f>
        <v>2024-03</v>
      </c>
      <c r="Y553">
        <f>IF(Table1_1[[#This Row],[ship_date]]="","",Table1_1[[#This Row],[ship_date]]-Table1_1[[#This Row],[order_date]])</f>
        <v>8</v>
      </c>
      <c r="Z553">
        <f>ROUND(Table1_1[[#This Row],[profit]]/Table1_1[[#This Row],[sales_fix]]*100,2)</f>
        <v>25.99</v>
      </c>
    </row>
    <row r="554" spans="1:26" x14ac:dyDescent="0.3">
      <c r="A554" t="s">
        <v>2879</v>
      </c>
      <c r="B554" s="1">
        <v>45813</v>
      </c>
      <c r="C554" s="1">
        <v>45819</v>
      </c>
      <c r="D554" t="s">
        <v>570</v>
      </c>
      <c r="E554" t="s">
        <v>571</v>
      </c>
      <c r="F554" t="s">
        <v>34</v>
      </c>
      <c r="G554" t="s">
        <v>44</v>
      </c>
      <c r="H554" t="s">
        <v>161</v>
      </c>
      <c r="I554" t="s">
        <v>147</v>
      </c>
      <c r="J554" t="s">
        <v>148</v>
      </c>
      <c r="K554" t="s">
        <v>48</v>
      </c>
      <c r="L554">
        <v>2</v>
      </c>
      <c r="M554">
        <v>250</v>
      </c>
      <c r="N554">
        <v>20</v>
      </c>
      <c r="O554">
        <v>400</v>
      </c>
      <c r="P554">
        <v>140.80000000000001</v>
      </c>
      <c r="Q554" t="s">
        <v>121</v>
      </c>
      <c r="R554" t="s">
        <v>29</v>
      </c>
      <c r="S554" t="s">
        <v>30</v>
      </c>
      <c r="T554">
        <f>YEAR(Table1_1[[#This Row],[order_date]])</f>
        <v>2025</v>
      </c>
      <c r="U554">
        <f>MONTH(Table1_1[[#This Row],[order_date]])</f>
        <v>6</v>
      </c>
      <c r="V554" t="str">
        <f>TEXT(Table1_1[[#This Row],[order_date]],"mmm")</f>
        <v>Jun</v>
      </c>
      <c r="W554" t="str">
        <f>"Q"&amp;ROUNDUP(MONTH(Table1_1[[#This Row],[order_date]])/3,0)</f>
        <v>Q2</v>
      </c>
      <c r="X554" t="str">
        <f>TEXT(Table1_1[[#This Row],[order_date]],"yyyy-mm")</f>
        <v>2025-06</v>
      </c>
      <c r="Y554">
        <f>IF(Table1_1[[#This Row],[ship_date]]="","",Table1_1[[#This Row],[ship_date]]-Table1_1[[#This Row],[order_date]])</f>
        <v>6</v>
      </c>
      <c r="Z554">
        <f>ROUND(Table1_1[[#This Row],[profit]]/Table1_1[[#This Row],[sales_fix]]*100,2)</f>
        <v>35.200000000000003</v>
      </c>
    </row>
    <row r="555" spans="1:26" x14ac:dyDescent="0.3">
      <c r="A555" t="s">
        <v>1083</v>
      </c>
      <c r="B555" s="1">
        <v>45802</v>
      </c>
      <c r="C555" s="1">
        <v>45807</v>
      </c>
      <c r="D555" t="s">
        <v>531</v>
      </c>
      <c r="E555" t="s">
        <v>532</v>
      </c>
      <c r="F555" t="s">
        <v>23</v>
      </c>
      <c r="G555" t="s">
        <v>44</v>
      </c>
      <c r="H555" t="s">
        <v>161</v>
      </c>
      <c r="I555" t="s">
        <v>93</v>
      </c>
      <c r="J555" t="s">
        <v>94</v>
      </c>
      <c r="K555" t="s">
        <v>95</v>
      </c>
      <c r="L555">
        <v>4</v>
      </c>
      <c r="M555">
        <v>1800</v>
      </c>
      <c r="N555">
        <v>0</v>
      </c>
      <c r="O555">
        <v>7200</v>
      </c>
      <c r="P555">
        <v>2481.83</v>
      </c>
      <c r="Q555" t="s">
        <v>28</v>
      </c>
      <c r="R555" t="s">
        <v>56</v>
      </c>
      <c r="S555" t="s">
        <v>40</v>
      </c>
      <c r="T555">
        <f>YEAR(Table1_1[[#This Row],[order_date]])</f>
        <v>2025</v>
      </c>
      <c r="U555">
        <f>MONTH(Table1_1[[#This Row],[order_date]])</f>
        <v>5</v>
      </c>
      <c r="V555" t="str">
        <f>TEXT(Table1_1[[#This Row],[order_date]],"mmm")</f>
        <v>May</v>
      </c>
      <c r="W555" t="str">
        <f>"Q"&amp;ROUNDUP(MONTH(Table1_1[[#This Row],[order_date]])/3,0)</f>
        <v>Q2</v>
      </c>
      <c r="X555" t="str">
        <f>TEXT(Table1_1[[#This Row],[order_date]],"yyyy-mm")</f>
        <v>2025-05</v>
      </c>
      <c r="Y555">
        <f>IF(Table1_1[[#This Row],[ship_date]]="","",Table1_1[[#This Row],[ship_date]]-Table1_1[[#This Row],[order_date]])</f>
        <v>5</v>
      </c>
      <c r="Z555">
        <f>ROUND(Table1_1[[#This Row],[profit]]/Table1_1[[#This Row],[sales_fix]]*100,2)</f>
        <v>34.47</v>
      </c>
    </row>
    <row r="556" spans="1:26" x14ac:dyDescent="0.3">
      <c r="A556" t="s">
        <v>1364</v>
      </c>
      <c r="B556" s="1">
        <v>45330</v>
      </c>
      <c r="C556" s="1">
        <v>45338</v>
      </c>
      <c r="D556" t="s">
        <v>990</v>
      </c>
      <c r="E556" t="s">
        <v>991</v>
      </c>
      <c r="F556" t="s">
        <v>23</v>
      </c>
      <c r="G556" t="s">
        <v>61</v>
      </c>
      <c r="H556" t="s">
        <v>62</v>
      </c>
      <c r="I556" t="s">
        <v>114</v>
      </c>
      <c r="J556" t="s">
        <v>115</v>
      </c>
      <c r="K556" t="s">
        <v>65</v>
      </c>
      <c r="L556">
        <v>2</v>
      </c>
      <c r="M556">
        <v>55000</v>
      </c>
      <c r="N556">
        <v>15</v>
      </c>
      <c r="O556">
        <v>93500</v>
      </c>
      <c r="P556">
        <v>14262.27</v>
      </c>
      <c r="Q556" t="s">
        <v>156</v>
      </c>
      <c r="R556" t="s">
        <v>29</v>
      </c>
      <c r="S556" t="s">
        <v>50</v>
      </c>
      <c r="T556">
        <f>YEAR(Table1_1[[#This Row],[order_date]])</f>
        <v>2024</v>
      </c>
      <c r="U556">
        <f>MONTH(Table1_1[[#This Row],[order_date]])</f>
        <v>2</v>
      </c>
      <c r="V556" t="str">
        <f>TEXT(Table1_1[[#This Row],[order_date]],"mmm")</f>
        <v>Feb</v>
      </c>
      <c r="W556" t="str">
        <f>"Q"&amp;ROUNDUP(MONTH(Table1_1[[#This Row],[order_date]])/3,0)</f>
        <v>Q1</v>
      </c>
      <c r="X556" t="str">
        <f>TEXT(Table1_1[[#This Row],[order_date]],"yyyy-mm")</f>
        <v>2024-02</v>
      </c>
      <c r="Y556">
        <f>IF(Table1_1[[#This Row],[ship_date]]="","",Table1_1[[#This Row],[ship_date]]-Table1_1[[#This Row],[order_date]])</f>
        <v>8</v>
      </c>
      <c r="Z556">
        <f>ROUND(Table1_1[[#This Row],[profit]]/Table1_1[[#This Row],[sales_fix]]*100,2)</f>
        <v>15.25</v>
      </c>
    </row>
    <row r="557" spans="1:26" x14ac:dyDescent="0.3">
      <c r="A557" t="s">
        <v>1629</v>
      </c>
      <c r="B557" s="1">
        <v>45768</v>
      </c>
      <c r="C557" s="1">
        <v>45770</v>
      </c>
      <c r="D557" t="s">
        <v>1380</v>
      </c>
      <c r="E557" t="s">
        <v>1381</v>
      </c>
      <c r="F557" t="s">
        <v>55</v>
      </c>
      <c r="G557" t="s">
        <v>61</v>
      </c>
      <c r="H557" t="s">
        <v>78</v>
      </c>
      <c r="I557" t="s">
        <v>25</v>
      </c>
      <c r="J557" t="s">
        <v>26</v>
      </c>
      <c r="K557" t="s">
        <v>27</v>
      </c>
      <c r="L557">
        <v>2</v>
      </c>
      <c r="M557">
        <v>7000</v>
      </c>
      <c r="N557">
        <v>10</v>
      </c>
      <c r="O557">
        <v>12600</v>
      </c>
      <c r="P557">
        <v>2927.14</v>
      </c>
      <c r="Q557" t="s">
        <v>121</v>
      </c>
      <c r="R557" t="s">
        <v>49</v>
      </c>
      <c r="S557" t="s">
        <v>86</v>
      </c>
      <c r="T557">
        <f>YEAR(Table1_1[[#This Row],[order_date]])</f>
        <v>2025</v>
      </c>
      <c r="U557">
        <f>MONTH(Table1_1[[#This Row],[order_date]])</f>
        <v>4</v>
      </c>
      <c r="V557" t="str">
        <f>TEXT(Table1_1[[#This Row],[order_date]],"mmm")</f>
        <v>Apr</v>
      </c>
      <c r="W557" t="str">
        <f>"Q"&amp;ROUNDUP(MONTH(Table1_1[[#This Row],[order_date]])/3,0)</f>
        <v>Q2</v>
      </c>
      <c r="X557" t="str">
        <f>TEXT(Table1_1[[#This Row],[order_date]],"yyyy-mm")</f>
        <v>2025-04</v>
      </c>
      <c r="Y557">
        <f>IF(Table1_1[[#This Row],[ship_date]]="","",Table1_1[[#This Row],[ship_date]]-Table1_1[[#This Row],[order_date]])</f>
        <v>2</v>
      </c>
      <c r="Z557">
        <f>ROUND(Table1_1[[#This Row],[profit]]/Table1_1[[#This Row],[sales_fix]]*100,2)</f>
        <v>23.23</v>
      </c>
    </row>
    <row r="558" spans="1:26" x14ac:dyDescent="0.3">
      <c r="A558" t="s">
        <v>1929</v>
      </c>
      <c r="B558" s="1">
        <v>45611</v>
      </c>
      <c r="C558" s="1">
        <v>45619</v>
      </c>
      <c r="D558" t="s">
        <v>1346</v>
      </c>
      <c r="E558" t="s">
        <v>1347</v>
      </c>
      <c r="F558" t="s">
        <v>55</v>
      </c>
      <c r="G558" t="s">
        <v>44</v>
      </c>
      <c r="H558" t="s">
        <v>155</v>
      </c>
      <c r="I558" t="s">
        <v>93</v>
      </c>
      <c r="J558" t="s">
        <v>94</v>
      </c>
      <c r="K558" t="s">
        <v>95</v>
      </c>
      <c r="L558">
        <v>5</v>
      </c>
      <c r="M558">
        <v>1800</v>
      </c>
      <c r="N558">
        <v>10</v>
      </c>
      <c r="O558">
        <v>8100</v>
      </c>
      <c r="P558">
        <v>2867.35</v>
      </c>
      <c r="Q558" t="s">
        <v>28</v>
      </c>
      <c r="R558" t="s">
        <v>56</v>
      </c>
      <c r="S558" t="s">
        <v>30</v>
      </c>
      <c r="T558">
        <f>YEAR(Table1_1[[#This Row],[order_date]])</f>
        <v>2024</v>
      </c>
      <c r="U558">
        <f>MONTH(Table1_1[[#This Row],[order_date]])</f>
        <v>11</v>
      </c>
      <c r="V558" t="str">
        <f>TEXT(Table1_1[[#This Row],[order_date]],"mmm")</f>
        <v>Nov</v>
      </c>
      <c r="W558" t="str">
        <f>"Q"&amp;ROUNDUP(MONTH(Table1_1[[#This Row],[order_date]])/3,0)</f>
        <v>Q4</v>
      </c>
      <c r="X558" t="str">
        <f>TEXT(Table1_1[[#This Row],[order_date]],"yyyy-mm")</f>
        <v>2024-11</v>
      </c>
      <c r="Y558">
        <f>IF(Table1_1[[#This Row],[ship_date]]="","",Table1_1[[#This Row],[ship_date]]-Table1_1[[#This Row],[order_date]])</f>
        <v>8</v>
      </c>
      <c r="Z558">
        <f>ROUND(Table1_1[[#This Row],[profit]]/Table1_1[[#This Row],[sales_fix]]*100,2)</f>
        <v>35.4</v>
      </c>
    </row>
    <row r="559" spans="1:26" x14ac:dyDescent="0.3">
      <c r="A559" t="s">
        <v>2207</v>
      </c>
      <c r="B559" s="1">
        <v>45631</v>
      </c>
      <c r="C559" s="1">
        <v>45634</v>
      </c>
      <c r="D559" t="s">
        <v>2104</v>
      </c>
      <c r="E559" t="s">
        <v>2105</v>
      </c>
      <c r="F559" t="s">
        <v>34</v>
      </c>
      <c r="G559" t="s">
        <v>91</v>
      </c>
      <c r="H559" t="s">
        <v>92</v>
      </c>
      <c r="I559" t="s">
        <v>71</v>
      </c>
      <c r="J559" t="s">
        <v>72</v>
      </c>
      <c r="K559" t="s">
        <v>73</v>
      </c>
      <c r="L559">
        <v>10</v>
      </c>
      <c r="M559">
        <v>3500</v>
      </c>
      <c r="N559">
        <v>20</v>
      </c>
      <c r="O559">
        <v>28000</v>
      </c>
      <c r="P559">
        <v>7327.91</v>
      </c>
      <c r="Q559" t="s">
        <v>66</v>
      </c>
      <c r="R559" t="s">
        <v>56</v>
      </c>
      <c r="S559" t="s">
        <v>40</v>
      </c>
      <c r="T559">
        <f>YEAR(Table1_1[[#This Row],[order_date]])</f>
        <v>2024</v>
      </c>
      <c r="U559">
        <f>MONTH(Table1_1[[#This Row],[order_date]])</f>
        <v>12</v>
      </c>
      <c r="V559" t="str">
        <f>TEXT(Table1_1[[#This Row],[order_date]],"mmm")</f>
        <v>Dec</v>
      </c>
      <c r="W559" t="str">
        <f>"Q"&amp;ROUNDUP(MONTH(Table1_1[[#This Row],[order_date]])/3,0)</f>
        <v>Q4</v>
      </c>
      <c r="X559" t="str">
        <f>TEXT(Table1_1[[#This Row],[order_date]],"yyyy-mm")</f>
        <v>2024-12</v>
      </c>
      <c r="Y559">
        <f>IF(Table1_1[[#This Row],[ship_date]]="","",Table1_1[[#This Row],[ship_date]]-Table1_1[[#This Row],[order_date]])</f>
        <v>3</v>
      </c>
      <c r="Z559">
        <f>ROUND(Table1_1[[#This Row],[profit]]/Table1_1[[#This Row],[sales_fix]]*100,2)</f>
        <v>26.17</v>
      </c>
    </row>
    <row r="560" spans="1:26" x14ac:dyDescent="0.3">
      <c r="A560" t="s">
        <v>899</v>
      </c>
      <c r="B560" s="1">
        <v>45869</v>
      </c>
      <c r="C560" s="1">
        <v>45872</v>
      </c>
      <c r="D560" t="s">
        <v>713</v>
      </c>
      <c r="E560" t="s">
        <v>714</v>
      </c>
      <c r="F560" t="s">
        <v>34</v>
      </c>
      <c r="G560" t="s">
        <v>35</v>
      </c>
      <c r="H560" t="s">
        <v>258</v>
      </c>
      <c r="I560" t="s">
        <v>71</v>
      </c>
      <c r="J560" t="s">
        <v>72</v>
      </c>
      <c r="K560" t="s">
        <v>73</v>
      </c>
      <c r="L560">
        <v>1</v>
      </c>
      <c r="M560">
        <v>3500</v>
      </c>
      <c r="N560">
        <v>15</v>
      </c>
      <c r="O560">
        <v>2975</v>
      </c>
      <c r="P560">
        <v>846.58</v>
      </c>
      <c r="Q560" t="s">
        <v>39</v>
      </c>
      <c r="R560" t="s">
        <v>29</v>
      </c>
      <c r="S560" t="s">
        <v>110</v>
      </c>
      <c r="T560">
        <f>YEAR(Table1_1[[#This Row],[order_date]])</f>
        <v>2025</v>
      </c>
      <c r="U560">
        <f>MONTH(Table1_1[[#This Row],[order_date]])</f>
        <v>7</v>
      </c>
      <c r="V560" t="str">
        <f>TEXT(Table1_1[[#This Row],[order_date]],"mmm")</f>
        <v>Jul</v>
      </c>
      <c r="W560" t="str">
        <f>"Q"&amp;ROUNDUP(MONTH(Table1_1[[#This Row],[order_date]])/3,0)</f>
        <v>Q3</v>
      </c>
      <c r="X560" t="str">
        <f>TEXT(Table1_1[[#This Row],[order_date]],"yyyy-mm")</f>
        <v>2025-07</v>
      </c>
      <c r="Y560">
        <f>IF(Table1_1[[#This Row],[ship_date]]="","",Table1_1[[#This Row],[ship_date]]-Table1_1[[#This Row],[order_date]])</f>
        <v>3</v>
      </c>
      <c r="Z560">
        <f>ROUND(Table1_1[[#This Row],[profit]]/Table1_1[[#This Row],[sales_fix]]*100,2)</f>
        <v>28.46</v>
      </c>
    </row>
    <row r="561" spans="1:26" x14ac:dyDescent="0.3">
      <c r="A561" t="s">
        <v>2205</v>
      </c>
      <c r="B561" s="1">
        <v>45788</v>
      </c>
      <c r="C561" s="1">
        <v>45793</v>
      </c>
      <c r="D561" t="s">
        <v>740</v>
      </c>
      <c r="E561" t="s">
        <v>741</v>
      </c>
      <c r="F561" t="s">
        <v>55</v>
      </c>
      <c r="G561" t="s">
        <v>35</v>
      </c>
      <c r="H561" t="s">
        <v>85</v>
      </c>
      <c r="I561" t="s">
        <v>25</v>
      </c>
      <c r="J561" t="s">
        <v>26</v>
      </c>
      <c r="K561" t="s">
        <v>27</v>
      </c>
      <c r="L561">
        <v>1</v>
      </c>
      <c r="M561">
        <v>7000</v>
      </c>
      <c r="N561">
        <v>10</v>
      </c>
      <c r="O561">
        <v>6300</v>
      </c>
      <c r="P561">
        <v>1012.81</v>
      </c>
      <c r="Q561" t="s">
        <v>74</v>
      </c>
      <c r="R561" t="s">
        <v>29</v>
      </c>
      <c r="S561" t="s">
        <v>40</v>
      </c>
      <c r="T561">
        <f>YEAR(Table1_1[[#This Row],[order_date]])</f>
        <v>2025</v>
      </c>
      <c r="U561">
        <f>MONTH(Table1_1[[#This Row],[order_date]])</f>
        <v>5</v>
      </c>
      <c r="V561" t="str">
        <f>TEXT(Table1_1[[#This Row],[order_date]],"mmm")</f>
        <v>May</v>
      </c>
      <c r="W561" t="str">
        <f>"Q"&amp;ROUNDUP(MONTH(Table1_1[[#This Row],[order_date]])/3,0)</f>
        <v>Q2</v>
      </c>
      <c r="X561" t="str">
        <f>TEXT(Table1_1[[#This Row],[order_date]],"yyyy-mm")</f>
        <v>2025-05</v>
      </c>
      <c r="Y561">
        <f>IF(Table1_1[[#This Row],[ship_date]]="","",Table1_1[[#This Row],[ship_date]]-Table1_1[[#This Row],[order_date]])</f>
        <v>5</v>
      </c>
      <c r="Z561">
        <f>ROUND(Table1_1[[#This Row],[profit]]/Table1_1[[#This Row],[sales_fix]]*100,2)</f>
        <v>16.079999999999998</v>
      </c>
    </row>
    <row r="562" spans="1:26" x14ac:dyDescent="0.3">
      <c r="A562" t="s">
        <v>1245</v>
      </c>
      <c r="B562" s="1">
        <v>45555</v>
      </c>
      <c r="C562" s="1">
        <v>45558</v>
      </c>
      <c r="D562" t="s">
        <v>1019</v>
      </c>
      <c r="E562" t="s">
        <v>1020</v>
      </c>
      <c r="F562" t="s">
        <v>55</v>
      </c>
      <c r="G562" t="s">
        <v>35</v>
      </c>
      <c r="H562" t="s">
        <v>187</v>
      </c>
      <c r="I562" t="s">
        <v>25</v>
      </c>
      <c r="J562" t="s">
        <v>26</v>
      </c>
      <c r="K562" t="s">
        <v>27</v>
      </c>
      <c r="L562">
        <v>1</v>
      </c>
      <c r="M562">
        <v>7000</v>
      </c>
      <c r="N562">
        <v>0</v>
      </c>
      <c r="O562">
        <v>7000</v>
      </c>
      <c r="P562">
        <v>1449.95</v>
      </c>
      <c r="Q562" t="s">
        <v>156</v>
      </c>
      <c r="R562" t="s">
        <v>49</v>
      </c>
      <c r="S562" t="s">
        <v>110</v>
      </c>
      <c r="T562">
        <f>YEAR(Table1_1[[#This Row],[order_date]])</f>
        <v>2024</v>
      </c>
      <c r="U562">
        <f>MONTH(Table1_1[[#This Row],[order_date]])</f>
        <v>9</v>
      </c>
      <c r="V562" t="str">
        <f>TEXT(Table1_1[[#This Row],[order_date]],"mmm")</f>
        <v>Sep</v>
      </c>
      <c r="W562" t="str">
        <f>"Q"&amp;ROUNDUP(MONTH(Table1_1[[#This Row],[order_date]])/3,0)</f>
        <v>Q3</v>
      </c>
      <c r="X562" t="str">
        <f>TEXT(Table1_1[[#This Row],[order_date]],"yyyy-mm")</f>
        <v>2024-09</v>
      </c>
      <c r="Y562">
        <f>IF(Table1_1[[#This Row],[ship_date]]="","",Table1_1[[#This Row],[ship_date]]-Table1_1[[#This Row],[order_date]])</f>
        <v>3</v>
      </c>
      <c r="Z562">
        <f>ROUND(Table1_1[[#This Row],[profit]]/Table1_1[[#This Row],[sales_fix]]*100,2)</f>
        <v>20.71</v>
      </c>
    </row>
    <row r="563" spans="1:26" x14ac:dyDescent="0.3">
      <c r="A563" t="s">
        <v>2241</v>
      </c>
      <c r="B563" s="1">
        <v>46009</v>
      </c>
      <c r="C563" s="1">
        <v>46015</v>
      </c>
      <c r="D563" t="s">
        <v>288</v>
      </c>
      <c r="E563" t="s">
        <v>289</v>
      </c>
      <c r="F563" t="s">
        <v>34</v>
      </c>
      <c r="G563" t="s">
        <v>44</v>
      </c>
      <c r="H563" t="s">
        <v>155</v>
      </c>
      <c r="I563" t="s">
        <v>25</v>
      </c>
      <c r="J563" t="s">
        <v>26</v>
      </c>
      <c r="K563" t="s">
        <v>27</v>
      </c>
      <c r="L563">
        <v>1</v>
      </c>
      <c r="M563">
        <v>7000</v>
      </c>
      <c r="N563">
        <v>10</v>
      </c>
      <c r="O563">
        <v>6300</v>
      </c>
      <c r="P563">
        <v>1448.1</v>
      </c>
      <c r="Q563" t="s">
        <v>66</v>
      </c>
      <c r="R563" t="s">
        <v>29</v>
      </c>
      <c r="S563" t="s">
        <v>40</v>
      </c>
      <c r="T563">
        <f>YEAR(Table1_1[[#This Row],[order_date]])</f>
        <v>2025</v>
      </c>
      <c r="U563">
        <f>MONTH(Table1_1[[#This Row],[order_date]])</f>
        <v>12</v>
      </c>
      <c r="V563" t="str">
        <f>TEXT(Table1_1[[#This Row],[order_date]],"mmm")</f>
        <v>Dec</v>
      </c>
      <c r="W563" t="str">
        <f>"Q"&amp;ROUNDUP(MONTH(Table1_1[[#This Row],[order_date]])/3,0)</f>
        <v>Q4</v>
      </c>
      <c r="X563" t="str">
        <f>TEXT(Table1_1[[#This Row],[order_date]],"yyyy-mm")</f>
        <v>2025-12</v>
      </c>
      <c r="Y563">
        <f>IF(Table1_1[[#This Row],[ship_date]]="","",Table1_1[[#This Row],[ship_date]]-Table1_1[[#This Row],[order_date]])</f>
        <v>6</v>
      </c>
      <c r="Z563">
        <f>ROUND(Table1_1[[#This Row],[profit]]/Table1_1[[#This Row],[sales_fix]]*100,2)</f>
        <v>22.99</v>
      </c>
    </row>
    <row r="564" spans="1:26" x14ac:dyDescent="0.3">
      <c r="A564" t="s">
        <v>2543</v>
      </c>
      <c r="B564" s="1">
        <v>45714</v>
      </c>
      <c r="C564" s="1">
        <v>45717</v>
      </c>
      <c r="D564" t="s">
        <v>1532</v>
      </c>
      <c r="E564" t="s">
        <v>1533</v>
      </c>
      <c r="F564" t="s">
        <v>34</v>
      </c>
      <c r="G564" t="s">
        <v>44</v>
      </c>
      <c r="H564" t="s">
        <v>24</v>
      </c>
      <c r="I564" t="s">
        <v>147</v>
      </c>
      <c r="J564" t="s">
        <v>148</v>
      </c>
      <c r="K564" t="s">
        <v>48</v>
      </c>
      <c r="L564">
        <v>3</v>
      </c>
      <c r="M564">
        <v>250</v>
      </c>
      <c r="N564">
        <v>0</v>
      </c>
      <c r="O564">
        <v>750</v>
      </c>
      <c r="P564">
        <v>289.27999999999997</v>
      </c>
      <c r="Q564" t="s">
        <v>121</v>
      </c>
      <c r="R564" t="s">
        <v>56</v>
      </c>
      <c r="S564" t="s">
        <v>110</v>
      </c>
      <c r="T564">
        <f>YEAR(Table1_1[[#This Row],[order_date]])</f>
        <v>2025</v>
      </c>
      <c r="U564">
        <f>MONTH(Table1_1[[#This Row],[order_date]])</f>
        <v>2</v>
      </c>
      <c r="V564" t="str">
        <f>TEXT(Table1_1[[#This Row],[order_date]],"mmm")</f>
        <v>Feb</v>
      </c>
      <c r="W564" t="str">
        <f>"Q"&amp;ROUNDUP(MONTH(Table1_1[[#This Row],[order_date]])/3,0)</f>
        <v>Q1</v>
      </c>
      <c r="X564" t="str">
        <f>TEXT(Table1_1[[#This Row],[order_date]],"yyyy-mm")</f>
        <v>2025-02</v>
      </c>
      <c r="Y564">
        <f>IF(Table1_1[[#This Row],[ship_date]]="","",Table1_1[[#This Row],[ship_date]]-Table1_1[[#This Row],[order_date]])</f>
        <v>3</v>
      </c>
      <c r="Z564">
        <f>ROUND(Table1_1[[#This Row],[profit]]/Table1_1[[#This Row],[sales_fix]]*100,2)</f>
        <v>38.57</v>
      </c>
    </row>
    <row r="565" spans="1:26" x14ac:dyDescent="0.3">
      <c r="A565" t="s">
        <v>2832</v>
      </c>
      <c r="B565" s="1">
        <v>45562</v>
      </c>
      <c r="C565" s="1">
        <v>45570</v>
      </c>
      <c r="D565" t="s">
        <v>1009</v>
      </c>
      <c r="E565" t="s">
        <v>1010</v>
      </c>
      <c r="F565" t="s">
        <v>23</v>
      </c>
      <c r="G565" t="s">
        <v>61</v>
      </c>
      <c r="H565" t="s">
        <v>62</v>
      </c>
      <c r="I565" t="s">
        <v>126</v>
      </c>
      <c r="J565" t="s">
        <v>127</v>
      </c>
      <c r="K565" t="s">
        <v>95</v>
      </c>
      <c r="L565">
        <v>3</v>
      </c>
      <c r="M565">
        <v>600</v>
      </c>
      <c r="N565">
        <v>0</v>
      </c>
      <c r="O565">
        <v>1800</v>
      </c>
      <c r="P565">
        <v>493.17</v>
      </c>
      <c r="Q565" t="s">
        <v>28</v>
      </c>
      <c r="R565" t="s">
        <v>49</v>
      </c>
      <c r="S565" t="s">
        <v>110</v>
      </c>
      <c r="T565">
        <f>YEAR(Table1_1[[#This Row],[order_date]])</f>
        <v>2024</v>
      </c>
      <c r="U565">
        <f>MONTH(Table1_1[[#This Row],[order_date]])</f>
        <v>9</v>
      </c>
      <c r="V565" t="str">
        <f>TEXT(Table1_1[[#This Row],[order_date]],"mmm")</f>
        <v>Sep</v>
      </c>
      <c r="W565" t="str">
        <f>"Q"&amp;ROUNDUP(MONTH(Table1_1[[#This Row],[order_date]])/3,0)</f>
        <v>Q3</v>
      </c>
      <c r="X565" t="str">
        <f>TEXT(Table1_1[[#This Row],[order_date]],"yyyy-mm")</f>
        <v>2024-09</v>
      </c>
      <c r="Y565">
        <f>IF(Table1_1[[#This Row],[ship_date]]="","",Table1_1[[#This Row],[ship_date]]-Table1_1[[#This Row],[order_date]])</f>
        <v>8</v>
      </c>
      <c r="Z565">
        <f>ROUND(Table1_1[[#This Row],[profit]]/Table1_1[[#This Row],[sales_fix]]*100,2)</f>
        <v>27.4</v>
      </c>
    </row>
    <row r="566" spans="1:26" x14ac:dyDescent="0.3">
      <c r="A566" t="s">
        <v>500</v>
      </c>
      <c r="B566" s="1">
        <v>45837</v>
      </c>
      <c r="C566" s="1">
        <v>45845</v>
      </c>
      <c r="D566" t="s">
        <v>123</v>
      </c>
      <c r="E566" t="s">
        <v>124</v>
      </c>
      <c r="F566" t="s">
        <v>34</v>
      </c>
      <c r="G566" t="s">
        <v>61</v>
      </c>
      <c r="H566" t="s">
        <v>125</v>
      </c>
      <c r="I566" t="s">
        <v>71</v>
      </c>
      <c r="J566" t="s">
        <v>72</v>
      </c>
      <c r="K566" t="s">
        <v>73</v>
      </c>
      <c r="L566">
        <v>1</v>
      </c>
      <c r="M566">
        <v>3500</v>
      </c>
      <c r="N566">
        <v>15</v>
      </c>
      <c r="O566">
        <v>2975</v>
      </c>
      <c r="P566">
        <v>935.1</v>
      </c>
      <c r="Q566" t="s">
        <v>74</v>
      </c>
      <c r="R566" t="s">
        <v>29</v>
      </c>
      <c r="S566" t="s">
        <v>40</v>
      </c>
      <c r="T566">
        <f>YEAR(Table1_1[[#This Row],[order_date]])</f>
        <v>2025</v>
      </c>
      <c r="U566">
        <f>MONTH(Table1_1[[#This Row],[order_date]])</f>
        <v>6</v>
      </c>
      <c r="V566" t="str">
        <f>TEXT(Table1_1[[#This Row],[order_date]],"mmm")</f>
        <v>Jun</v>
      </c>
      <c r="W566" t="str">
        <f>"Q"&amp;ROUNDUP(MONTH(Table1_1[[#This Row],[order_date]])/3,0)</f>
        <v>Q2</v>
      </c>
      <c r="X566" t="str">
        <f>TEXT(Table1_1[[#This Row],[order_date]],"yyyy-mm")</f>
        <v>2025-06</v>
      </c>
      <c r="Y566">
        <f>IF(Table1_1[[#This Row],[ship_date]]="","",Table1_1[[#This Row],[ship_date]]-Table1_1[[#This Row],[order_date]])</f>
        <v>8</v>
      </c>
      <c r="Z566">
        <f>ROUND(Table1_1[[#This Row],[profit]]/Table1_1[[#This Row],[sales_fix]]*100,2)</f>
        <v>31.43</v>
      </c>
    </row>
    <row r="567" spans="1:26" x14ac:dyDescent="0.3">
      <c r="A567" t="s">
        <v>198</v>
      </c>
      <c r="B567" s="1">
        <v>45587</v>
      </c>
      <c r="C567" s="1">
        <v>45588</v>
      </c>
      <c r="D567" t="s">
        <v>200</v>
      </c>
      <c r="E567" t="s">
        <v>201</v>
      </c>
      <c r="F567" t="s">
        <v>23</v>
      </c>
      <c r="G567" t="s">
        <v>35</v>
      </c>
      <c r="H567" t="s">
        <v>187</v>
      </c>
      <c r="I567" t="s">
        <v>114</v>
      </c>
      <c r="J567" t="s">
        <v>115</v>
      </c>
      <c r="K567" t="s">
        <v>65</v>
      </c>
      <c r="L567">
        <v>2</v>
      </c>
      <c r="M567">
        <v>55000</v>
      </c>
      <c r="N567">
        <v>15</v>
      </c>
      <c r="O567">
        <v>93500</v>
      </c>
      <c r="P567">
        <v>13906.22</v>
      </c>
      <c r="Q567" t="s">
        <v>66</v>
      </c>
      <c r="R567" t="s">
        <v>56</v>
      </c>
      <c r="S567" t="s">
        <v>110</v>
      </c>
      <c r="T567">
        <f>YEAR(Table1_1[[#This Row],[order_date]])</f>
        <v>2024</v>
      </c>
      <c r="U567">
        <f>MONTH(Table1_1[[#This Row],[order_date]])</f>
        <v>10</v>
      </c>
      <c r="V567" t="str">
        <f>TEXT(Table1_1[[#This Row],[order_date]],"mmm")</f>
        <v>Oct</v>
      </c>
      <c r="W567" t="str">
        <f>"Q"&amp;ROUNDUP(MONTH(Table1_1[[#This Row],[order_date]])/3,0)</f>
        <v>Q4</v>
      </c>
      <c r="X567" t="str">
        <f>TEXT(Table1_1[[#This Row],[order_date]],"yyyy-mm")</f>
        <v>2024-10</v>
      </c>
      <c r="Y567">
        <f>IF(Table1_1[[#This Row],[ship_date]]="","",Table1_1[[#This Row],[ship_date]]-Table1_1[[#This Row],[order_date]])</f>
        <v>1</v>
      </c>
      <c r="Z567">
        <f>ROUND(Table1_1[[#This Row],[profit]]/Table1_1[[#This Row],[sales_fix]]*100,2)</f>
        <v>14.87</v>
      </c>
    </row>
    <row r="568" spans="1:26" x14ac:dyDescent="0.3">
      <c r="A568" t="s">
        <v>1848</v>
      </c>
      <c r="B568" s="1">
        <v>45959</v>
      </c>
      <c r="C568" s="1">
        <v>45964</v>
      </c>
      <c r="D568" t="s">
        <v>634</v>
      </c>
      <c r="E568" t="s">
        <v>635</v>
      </c>
      <c r="F568" t="s">
        <v>23</v>
      </c>
      <c r="G568" t="s">
        <v>91</v>
      </c>
      <c r="H568" t="s">
        <v>177</v>
      </c>
      <c r="I568" t="s">
        <v>93</v>
      </c>
      <c r="J568" t="s">
        <v>94</v>
      </c>
      <c r="K568" t="s">
        <v>95</v>
      </c>
      <c r="L568">
        <v>1</v>
      </c>
      <c r="M568">
        <v>1800</v>
      </c>
      <c r="N568">
        <v>0</v>
      </c>
      <c r="O568">
        <v>1800</v>
      </c>
      <c r="P568">
        <v>643.17999999999995</v>
      </c>
      <c r="Q568" t="s">
        <v>156</v>
      </c>
      <c r="R568" t="s">
        <v>56</v>
      </c>
      <c r="S568" t="s">
        <v>30</v>
      </c>
      <c r="T568">
        <f>YEAR(Table1_1[[#This Row],[order_date]])</f>
        <v>2025</v>
      </c>
      <c r="U568">
        <f>MONTH(Table1_1[[#This Row],[order_date]])</f>
        <v>10</v>
      </c>
      <c r="V568" t="str">
        <f>TEXT(Table1_1[[#This Row],[order_date]],"mmm")</f>
        <v>Oct</v>
      </c>
      <c r="W568" t="str">
        <f>"Q"&amp;ROUNDUP(MONTH(Table1_1[[#This Row],[order_date]])/3,0)</f>
        <v>Q4</v>
      </c>
      <c r="X568" t="str">
        <f>TEXT(Table1_1[[#This Row],[order_date]],"yyyy-mm")</f>
        <v>2025-10</v>
      </c>
      <c r="Y568">
        <f>IF(Table1_1[[#This Row],[ship_date]]="","",Table1_1[[#This Row],[ship_date]]-Table1_1[[#This Row],[order_date]])</f>
        <v>5</v>
      </c>
      <c r="Z568">
        <f>ROUND(Table1_1[[#This Row],[profit]]/Table1_1[[#This Row],[sales_fix]]*100,2)</f>
        <v>35.729999999999997</v>
      </c>
    </row>
    <row r="569" spans="1:26" x14ac:dyDescent="0.3">
      <c r="A569" t="s">
        <v>2764</v>
      </c>
      <c r="B569" s="1">
        <v>45539</v>
      </c>
      <c r="C569" s="1">
        <v>45545</v>
      </c>
      <c r="D569" t="s">
        <v>2379</v>
      </c>
      <c r="E569" t="s">
        <v>2380</v>
      </c>
      <c r="F569" t="s">
        <v>34</v>
      </c>
      <c r="G569" t="s">
        <v>61</v>
      </c>
      <c r="H569" t="s">
        <v>211</v>
      </c>
      <c r="I569" t="s">
        <v>126</v>
      </c>
      <c r="J569" t="s">
        <v>127</v>
      </c>
      <c r="K569" t="s">
        <v>95</v>
      </c>
      <c r="L569">
        <v>3</v>
      </c>
      <c r="M569">
        <v>600</v>
      </c>
      <c r="N569">
        <v>10</v>
      </c>
      <c r="O569">
        <v>1620</v>
      </c>
      <c r="P569">
        <v>620.65</v>
      </c>
      <c r="Q569" t="s">
        <v>156</v>
      </c>
      <c r="R569" t="s">
        <v>56</v>
      </c>
      <c r="S569" t="s">
        <v>50</v>
      </c>
      <c r="T569">
        <f>YEAR(Table1_1[[#This Row],[order_date]])</f>
        <v>2024</v>
      </c>
      <c r="U569">
        <f>MONTH(Table1_1[[#This Row],[order_date]])</f>
        <v>9</v>
      </c>
      <c r="V569" t="str">
        <f>TEXT(Table1_1[[#This Row],[order_date]],"mmm")</f>
        <v>Sep</v>
      </c>
      <c r="W569" t="str">
        <f>"Q"&amp;ROUNDUP(MONTH(Table1_1[[#This Row],[order_date]])/3,0)</f>
        <v>Q3</v>
      </c>
      <c r="X569" t="str">
        <f>TEXT(Table1_1[[#This Row],[order_date]],"yyyy-mm")</f>
        <v>2024-09</v>
      </c>
      <c r="Y569">
        <f>IF(Table1_1[[#This Row],[ship_date]]="","",Table1_1[[#This Row],[ship_date]]-Table1_1[[#This Row],[order_date]])</f>
        <v>6</v>
      </c>
      <c r="Z569">
        <f>ROUND(Table1_1[[#This Row],[profit]]/Table1_1[[#This Row],[sales_fix]]*100,2)</f>
        <v>38.31</v>
      </c>
    </row>
    <row r="570" spans="1:26" x14ac:dyDescent="0.3">
      <c r="A570" t="s">
        <v>1618</v>
      </c>
      <c r="B570" s="1">
        <v>45302</v>
      </c>
      <c r="C570" s="1">
        <v>45309</v>
      </c>
      <c r="D570" t="s">
        <v>308</v>
      </c>
      <c r="E570" t="s">
        <v>309</v>
      </c>
      <c r="F570" t="s">
        <v>34</v>
      </c>
      <c r="G570" t="s">
        <v>91</v>
      </c>
      <c r="H570" t="s">
        <v>177</v>
      </c>
      <c r="I570" t="s">
        <v>46</v>
      </c>
      <c r="J570" t="s">
        <v>47</v>
      </c>
      <c r="K570" t="s">
        <v>48</v>
      </c>
      <c r="L570">
        <v>3</v>
      </c>
      <c r="M570">
        <v>180</v>
      </c>
      <c r="N570">
        <v>20</v>
      </c>
      <c r="O570">
        <v>432</v>
      </c>
      <c r="P570">
        <v>141.36000000000001</v>
      </c>
      <c r="Q570" t="s">
        <v>66</v>
      </c>
      <c r="R570" t="s">
        <v>56</v>
      </c>
      <c r="S570" t="s">
        <v>86</v>
      </c>
      <c r="T570">
        <f>YEAR(Table1_1[[#This Row],[order_date]])</f>
        <v>2024</v>
      </c>
      <c r="U570">
        <f>MONTH(Table1_1[[#This Row],[order_date]])</f>
        <v>1</v>
      </c>
      <c r="V570" t="str">
        <f>TEXT(Table1_1[[#This Row],[order_date]],"mmm")</f>
        <v>Jan</v>
      </c>
      <c r="W570" t="str">
        <f>"Q"&amp;ROUNDUP(MONTH(Table1_1[[#This Row],[order_date]])/3,0)</f>
        <v>Q1</v>
      </c>
      <c r="X570" t="str">
        <f>TEXT(Table1_1[[#This Row],[order_date]],"yyyy-mm")</f>
        <v>2024-01</v>
      </c>
      <c r="Y570">
        <f>IF(Table1_1[[#This Row],[ship_date]]="","",Table1_1[[#This Row],[ship_date]]-Table1_1[[#This Row],[order_date]])</f>
        <v>7</v>
      </c>
      <c r="Z570">
        <f>ROUND(Table1_1[[#This Row],[profit]]/Table1_1[[#This Row],[sales_fix]]*100,2)</f>
        <v>32.72</v>
      </c>
    </row>
    <row r="571" spans="1:26" x14ac:dyDescent="0.3">
      <c r="A571" t="s">
        <v>1970</v>
      </c>
      <c r="B571" s="1">
        <v>45516</v>
      </c>
      <c r="C571" s="1">
        <v>45517</v>
      </c>
      <c r="D571" t="s">
        <v>965</v>
      </c>
      <c r="E571" t="s">
        <v>966</v>
      </c>
      <c r="F571" t="s">
        <v>34</v>
      </c>
      <c r="G571" t="s">
        <v>44</v>
      </c>
      <c r="H571" t="s">
        <v>45</v>
      </c>
      <c r="I571" t="s">
        <v>37</v>
      </c>
      <c r="J571" t="s">
        <v>38</v>
      </c>
      <c r="K571" t="s">
        <v>27</v>
      </c>
      <c r="L571">
        <v>3</v>
      </c>
      <c r="M571">
        <v>9500</v>
      </c>
      <c r="N571">
        <v>0</v>
      </c>
      <c r="O571">
        <v>28500</v>
      </c>
      <c r="P571">
        <v>4430.22</v>
      </c>
      <c r="Q571" t="s">
        <v>39</v>
      </c>
      <c r="R571" t="s">
        <v>29</v>
      </c>
      <c r="S571" t="s">
        <v>86</v>
      </c>
      <c r="T571">
        <f>YEAR(Table1_1[[#This Row],[order_date]])</f>
        <v>2024</v>
      </c>
      <c r="U571">
        <f>MONTH(Table1_1[[#This Row],[order_date]])</f>
        <v>8</v>
      </c>
      <c r="V571" t="str">
        <f>TEXT(Table1_1[[#This Row],[order_date]],"mmm")</f>
        <v>Aug</v>
      </c>
      <c r="W571" t="str">
        <f>"Q"&amp;ROUNDUP(MONTH(Table1_1[[#This Row],[order_date]])/3,0)</f>
        <v>Q3</v>
      </c>
      <c r="X571" t="str">
        <f>TEXT(Table1_1[[#This Row],[order_date]],"yyyy-mm")</f>
        <v>2024-08</v>
      </c>
      <c r="Y571">
        <f>IF(Table1_1[[#This Row],[ship_date]]="","",Table1_1[[#This Row],[ship_date]]-Table1_1[[#This Row],[order_date]])</f>
        <v>1</v>
      </c>
      <c r="Z571">
        <f>ROUND(Table1_1[[#This Row],[profit]]/Table1_1[[#This Row],[sales_fix]]*100,2)</f>
        <v>15.54</v>
      </c>
    </row>
    <row r="572" spans="1:26" x14ac:dyDescent="0.3">
      <c r="A572" t="s">
        <v>368</v>
      </c>
      <c r="B572" s="1">
        <v>45945</v>
      </c>
      <c r="C572" s="1"/>
      <c r="D572" t="s">
        <v>343</v>
      </c>
      <c r="E572" t="s">
        <v>369</v>
      </c>
      <c r="F572" t="s">
        <v>34</v>
      </c>
      <c r="G572" t="s">
        <v>44</v>
      </c>
      <c r="H572" t="s">
        <v>45</v>
      </c>
      <c r="I572" t="s">
        <v>93</v>
      </c>
      <c r="J572" t="s">
        <v>94</v>
      </c>
      <c r="K572" t="s">
        <v>95</v>
      </c>
      <c r="L572">
        <v>5</v>
      </c>
      <c r="M572">
        <v>1800</v>
      </c>
      <c r="N572">
        <v>0</v>
      </c>
      <c r="O572">
        <v>9000</v>
      </c>
      <c r="P572">
        <v>3150</v>
      </c>
      <c r="Q572" t="s">
        <v>28</v>
      </c>
      <c r="R572" t="s">
        <v>56</v>
      </c>
      <c r="S572" t="s">
        <v>40</v>
      </c>
      <c r="T572">
        <f>YEAR(Table1_1[[#This Row],[order_date]])</f>
        <v>2025</v>
      </c>
      <c r="U572">
        <f>MONTH(Table1_1[[#This Row],[order_date]])</f>
        <v>10</v>
      </c>
      <c r="V572" t="str">
        <f>TEXT(Table1_1[[#This Row],[order_date]],"mmm")</f>
        <v>Oct</v>
      </c>
      <c r="W572" t="str">
        <f>"Q"&amp;ROUNDUP(MONTH(Table1_1[[#This Row],[order_date]])/3,0)</f>
        <v>Q4</v>
      </c>
      <c r="X572" t="str">
        <f>TEXT(Table1_1[[#This Row],[order_date]],"yyyy-mm")</f>
        <v>2025-10</v>
      </c>
      <c r="Y572" t="str">
        <f>IF(Table1_1[[#This Row],[ship_date]]="","",Table1_1[[#This Row],[ship_date]]-Table1_1[[#This Row],[order_date]])</f>
        <v/>
      </c>
      <c r="Z572">
        <f>ROUND(Table1_1[[#This Row],[profit]]/Table1_1[[#This Row],[sales_fix]]*100,2)</f>
        <v>35</v>
      </c>
    </row>
    <row r="573" spans="1:26" x14ac:dyDescent="0.3">
      <c r="A573" t="s">
        <v>1653</v>
      </c>
      <c r="B573" s="1">
        <v>46004</v>
      </c>
      <c r="C573" s="1">
        <v>46012</v>
      </c>
      <c r="D573" t="s">
        <v>129</v>
      </c>
      <c r="E573" t="s">
        <v>130</v>
      </c>
      <c r="F573" t="s">
        <v>34</v>
      </c>
      <c r="G573" t="s">
        <v>61</v>
      </c>
      <c r="H573" t="s">
        <v>78</v>
      </c>
      <c r="I573" t="s">
        <v>63</v>
      </c>
      <c r="J573" t="s">
        <v>64</v>
      </c>
      <c r="K573" t="s">
        <v>65</v>
      </c>
      <c r="L573">
        <v>1</v>
      </c>
      <c r="M573">
        <v>25000</v>
      </c>
      <c r="N573">
        <v>15</v>
      </c>
      <c r="O573">
        <v>21250</v>
      </c>
      <c r="P573">
        <v>3424.88</v>
      </c>
      <c r="Q573" t="s">
        <v>74</v>
      </c>
      <c r="R573" t="s">
        <v>49</v>
      </c>
      <c r="S573" t="s">
        <v>110</v>
      </c>
      <c r="T573">
        <f>YEAR(Table1_1[[#This Row],[order_date]])</f>
        <v>2025</v>
      </c>
      <c r="U573">
        <f>MONTH(Table1_1[[#This Row],[order_date]])</f>
        <v>12</v>
      </c>
      <c r="V573" t="str">
        <f>TEXT(Table1_1[[#This Row],[order_date]],"mmm")</f>
        <v>Dec</v>
      </c>
      <c r="W573" t="str">
        <f>"Q"&amp;ROUNDUP(MONTH(Table1_1[[#This Row],[order_date]])/3,0)</f>
        <v>Q4</v>
      </c>
      <c r="X573" t="str">
        <f>TEXT(Table1_1[[#This Row],[order_date]],"yyyy-mm")</f>
        <v>2025-12</v>
      </c>
      <c r="Y573">
        <f>IF(Table1_1[[#This Row],[ship_date]]="","",Table1_1[[#This Row],[ship_date]]-Table1_1[[#This Row],[order_date]])</f>
        <v>8</v>
      </c>
      <c r="Z573">
        <f>ROUND(Table1_1[[#This Row],[profit]]/Table1_1[[#This Row],[sales_fix]]*100,2)</f>
        <v>16.12</v>
      </c>
    </row>
    <row r="574" spans="1:26" x14ac:dyDescent="0.3">
      <c r="A574" t="s">
        <v>1248</v>
      </c>
      <c r="B574" s="1">
        <v>45367</v>
      </c>
      <c r="C574" s="1">
        <v>45373</v>
      </c>
      <c r="D574" t="s">
        <v>947</v>
      </c>
      <c r="E574" t="s">
        <v>948</v>
      </c>
      <c r="F574" t="s">
        <v>55</v>
      </c>
      <c r="G574" t="s">
        <v>35</v>
      </c>
      <c r="H574" t="s">
        <v>36</v>
      </c>
      <c r="I574" t="s">
        <v>79</v>
      </c>
      <c r="J574" t="s">
        <v>80</v>
      </c>
      <c r="K574" t="s">
        <v>65</v>
      </c>
      <c r="L574">
        <v>1</v>
      </c>
      <c r="M574">
        <v>3000</v>
      </c>
      <c r="N574">
        <v>0</v>
      </c>
      <c r="O574">
        <v>3000</v>
      </c>
      <c r="P574">
        <v>767.81</v>
      </c>
      <c r="Q574" t="s">
        <v>66</v>
      </c>
      <c r="R574" t="s">
        <v>49</v>
      </c>
      <c r="S574" t="s">
        <v>110</v>
      </c>
      <c r="T574">
        <f>YEAR(Table1_1[[#This Row],[order_date]])</f>
        <v>2024</v>
      </c>
      <c r="U574">
        <f>MONTH(Table1_1[[#This Row],[order_date]])</f>
        <v>3</v>
      </c>
      <c r="V574" t="str">
        <f>TEXT(Table1_1[[#This Row],[order_date]],"mmm")</f>
        <v>Mar</v>
      </c>
      <c r="W574" t="str">
        <f>"Q"&amp;ROUNDUP(MONTH(Table1_1[[#This Row],[order_date]])/3,0)</f>
        <v>Q1</v>
      </c>
      <c r="X574" t="str">
        <f>TEXT(Table1_1[[#This Row],[order_date]],"yyyy-mm")</f>
        <v>2024-03</v>
      </c>
      <c r="Y574">
        <f>IF(Table1_1[[#This Row],[ship_date]]="","",Table1_1[[#This Row],[ship_date]]-Table1_1[[#This Row],[order_date]])</f>
        <v>6</v>
      </c>
      <c r="Z574">
        <f>ROUND(Table1_1[[#This Row],[profit]]/Table1_1[[#This Row],[sales_fix]]*100,2)</f>
        <v>25.59</v>
      </c>
    </row>
    <row r="575" spans="1:26" x14ac:dyDescent="0.3">
      <c r="A575" t="s">
        <v>1242</v>
      </c>
      <c r="B575" s="1">
        <v>45363</v>
      </c>
      <c r="C575" s="1">
        <v>45366</v>
      </c>
      <c r="D575" t="s">
        <v>220</v>
      </c>
      <c r="E575" t="s">
        <v>221</v>
      </c>
      <c r="F575" t="s">
        <v>34</v>
      </c>
      <c r="G575" t="s">
        <v>44</v>
      </c>
      <c r="H575" t="s">
        <v>161</v>
      </c>
      <c r="I575" t="s">
        <v>147</v>
      </c>
      <c r="J575" t="s">
        <v>148</v>
      </c>
      <c r="K575" t="s">
        <v>48</v>
      </c>
      <c r="L575">
        <v>2</v>
      </c>
      <c r="M575">
        <v>250</v>
      </c>
      <c r="N575">
        <v>0</v>
      </c>
      <c r="O575">
        <v>500</v>
      </c>
      <c r="P575">
        <v>188.82</v>
      </c>
      <c r="Q575" t="s">
        <v>156</v>
      </c>
      <c r="R575" t="s">
        <v>49</v>
      </c>
      <c r="S575" t="s">
        <v>86</v>
      </c>
      <c r="T575">
        <f>YEAR(Table1_1[[#This Row],[order_date]])</f>
        <v>2024</v>
      </c>
      <c r="U575">
        <f>MONTH(Table1_1[[#This Row],[order_date]])</f>
        <v>3</v>
      </c>
      <c r="V575" t="str">
        <f>TEXT(Table1_1[[#This Row],[order_date]],"mmm")</f>
        <v>Mar</v>
      </c>
      <c r="W575" t="str">
        <f>"Q"&amp;ROUNDUP(MONTH(Table1_1[[#This Row],[order_date]])/3,0)</f>
        <v>Q1</v>
      </c>
      <c r="X575" t="str">
        <f>TEXT(Table1_1[[#This Row],[order_date]],"yyyy-mm")</f>
        <v>2024-03</v>
      </c>
      <c r="Y575">
        <f>IF(Table1_1[[#This Row],[ship_date]]="","",Table1_1[[#This Row],[ship_date]]-Table1_1[[#This Row],[order_date]])</f>
        <v>3</v>
      </c>
      <c r="Z575">
        <f>ROUND(Table1_1[[#This Row],[profit]]/Table1_1[[#This Row],[sales_fix]]*100,2)</f>
        <v>37.76</v>
      </c>
    </row>
    <row r="576" spans="1:26" x14ac:dyDescent="0.3">
      <c r="A576" t="s">
        <v>2733</v>
      </c>
      <c r="B576" s="1">
        <v>45733</v>
      </c>
      <c r="C576" s="1">
        <v>45741</v>
      </c>
      <c r="D576" t="s">
        <v>625</v>
      </c>
      <c r="E576" t="s">
        <v>626</v>
      </c>
      <c r="F576" t="s">
        <v>34</v>
      </c>
      <c r="G576" t="s">
        <v>61</v>
      </c>
      <c r="H576" t="s">
        <v>211</v>
      </c>
      <c r="I576" t="s">
        <v>46</v>
      </c>
      <c r="J576" t="s">
        <v>47</v>
      </c>
      <c r="K576" t="s">
        <v>48</v>
      </c>
      <c r="L576">
        <v>1</v>
      </c>
      <c r="M576">
        <v>180</v>
      </c>
      <c r="N576">
        <v>15</v>
      </c>
      <c r="O576">
        <v>153</v>
      </c>
      <c r="P576">
        <v>51.12</v>
      </c>
      <c r="Q576" t="s">
        <v>156</v>
      </c>
      <c r="R576" t="s">
        <v>49</v>
      </c>
      <c r="S576" t="s">
        <v>86</v>
      </c>
      <c r="T576">
        <f>YEAR(Table1_1[[#This Row],[order_date]])</f>
        <v>2025</v>
      </c>
      <c r="U576">
        <f>MONTH(Table1_1[[#This Row],[order_date]])</f>
        <v>3</v>
      </c>
      <c r="V576" t="str">
        <f>TEXT(Table1_1[[#This Row],[order_date]],"mmm")</f>
        <v>Mar</v>
      </c>
      <c r="W576" t="str">
        <f>"Q"&amp;ROUNDUP(MONTH(Table1_1[[#This Row],[order_date]])/3,0)</f>
        <v>Q1</v>
      </c>
      <c r="X576" t="str">
        <f>TEXT(Table1_1[[#This Row],[order_date]],"yyyy-mm")</f>
        <v>2025-03</v>
      </c>
      <c r="Y576">
        <f>IF(Table1_1[[#This Row],[ship_date]]="","",Table1_1[[#This Row],[ship_date]]-Table1_1[[#This Row],[order_date]])</f>
        <v>8</v>
      </c>
      <c r="Z576">
        <f>ROUND(Table1_1[[#This Row],[profit]]/Table1_1[[#This Row],[sales_fix]]*100,2)</f>
        <v>33.409999999999997</v>
      </c>
    </row>
    <row r="577" spans="1:26" x14ac:dyDescent="0.3">
      <c r="A577" t="s">
        <v>2177</v>
      </c>
      <c r="B577" s="1">
        <v>45364</v>
      </c>
      <c r="C577" s="1">
        <v>45365</v>
      </c>
      <c r="D577" t="s">
        <v>2178</v>
      </c>
      <c r="E577" t="s">
        <v>2179</v>
      </c>
      <c r="F577" t="s">
        <v>55</v>
      </c>
      <c r="G577" t="s">
        <v>44</v>
      </c>
      <c r="H577" t="s">
        <v>24</v>
      </c>
      <c r="I577" t="s">
        <v>63</v>
      </c>
      <c r="J577" t="s">
        <v>64</v>
      </c>
      <c r="K577" t="s">
        <v>65</v>
      </c>
      <c r="L577">
        <v>2</v>
      </c>
      <c r="M577">
        <v>25000</v>
      </c>
      <c r="N577">
        <v>0</v>
      </c>
      <c r="O577">
        <v>50000</v>
      </c>
      <c r="P577">
        <v>7581.71</v>
      </c>
      <c r="Q577" t="s">
        <v>28</v>
      </c>
      <c r="R577" t="s">
        <v>29</v>
      </c>
      <c r="S577" t="s">
        <v>86</v>
      </c>
      <c r="T577">
        <f>YEAR(Table1_1[[#This Row],[order_date]])</f>
        <v>2024</v>
      </c>
      <c r="U577">
        <f>MONTH(Table1_1[[#This Row],[order_date]])</f>
        <v>3</v>
      </c>
      <c r="V577" t="str">
        <f>TEXT(Table1_1[[#This Row],[order_date]],"mmm")</f>
        <v>Mar</v>
      </c>
      <c r="W577" t="str">
        <f>"Q"&amp;ROUNDUP(MONTH(Table1_1[[#This Row],[order_date]])/3,0)</f>
        <v>Q1</v>
      </c>
      <c r="X577" t="str">
        <f>TEXT(Table1_1[[#This Row],[order_date]],"yyyy-mm")</f>
        <v>2024-03</v>
      </c>
      <c r="Y577">
        <f>IF(Table1_1[[#This Row],[ship_date]]="","",Table1_1[[#This Row],[ship_date]]-Table1_1[[#This Row],[order_date]])</f>
        <v>1</v>
      </c>
      <c r="Z577">
        <f>ROUND(Table1_1[[#This Row],[profit]]/Table1_1[[#This Row],[sales_fix]]*100,2)</f>
        <v>15.16</v>
      </c>
    </row>
    <row r="578" spans="1:26" x14ac:dyDescent="0.3">
      <c r="A578" t="s">
        <v>876</v>
      </c>
      <c r="B578" s="1">
        <v>45691</v>
      </c>
      <c r="C578" s="1">
        <v>45698</v>
      </c>
      <c r="D578" t="s">
        <v>244</v>
      </c>
      <c r="E578" t="s">
        <v>245</v>
      </c>
      <c r="F578" t="s">
        <v>23</v>
      </c>
      <c r="G578" t="s">
        <v>61</v>
      </c>
      <c r="H578" t="s">
        <v>62</v>
      </c>
      <c r="I578" t="s">
        <v>126</v>
      </c>
      <c r="J578" t="s">
        <v>127</v>
      </c>
      <c r="K578" t="s">
        <v>95</v>
      </c>
      <c r="L578">
        <v>1</v>
      </c>
      <c r="M578">
        <v>600</v>
      </c>
      <c r="N578">
        <v>15</v>
      </c>
      <c r="O578">
        <v>510</v>
      </c>
      <c r="P578">
        <v>161.22999999999999</v>
      </c>
      <c r="Q578" t="s">
        <v>39</v>
      </c>
      <c r="R578" t="s">
        <v>29</v>
      </c>
      <c r="S578" t="s">
        <v>40</v>
      </c>
      <c r="T578">
        <f>YEAR(Table1_1[[#This Row],[order_date]])</f>
        <v>2025</v>
      </c>
      <c r="U578">
        <f>MONTH(Table1_1[[#This Row],[order_date]])</f>
        <v>2</v>
      </c>
      <c r="V578" t="str">
        <f>TEXT(Table1_1[[#This Row],[order_date]],"mmm")</f>
        <v>Feb</v>
      </c>
      <c r="W578" t="str">
        <f>"Q"&amp;ROUNDUP(MONTH(Table1_1[[#This Row],[order_date]])/3,0)</f>
        <v>Q1</v>
      </c>
      <c r="X578" t="str">
        <f>TEXT(Table1_1[[#This Row],[order_date]],"yyyy-mm")</f>
        <v>2025-02</v>
      </c>
      <c r="Y578">
        <f>IF(Table1_1[[#This Row],[ship_date]]="","",Table1_1[[#This Row],[ship_date]]-Table1_1[[#This Row],[order_date]])</f>
        <v>7</v>
      </c>
      <c r="Z578">
        <f>ROUND(Table1_1[[#This Row],[profit]]/Table1_1[[#This Row],[sales_fix]]*100,2)</f>
        <v>31.61</v>
      </c>
    </row>
    <row r="579" spans="1:26" x14ac:dyDescent="0.3">
      <c r="A579" t="s">
        <v>1224</v>
      </c>
      <c r="B579" s="1">
        <v>45738</v>
      </c>
      <c r="C579" s="1">
        <v>45740</v>
      </c>
      <c r="D579" t="s">
        <v>83</v>
      </c>
      <c r="E579" t="s">
        <v>84</v>
      </c>
      <c r="F579" t="s">
        <v>34</v>
      </c>
      <c r="G579" t="s">
        <v>35</v>
      </c>
      <c r="H579" t="s">
        <v>85</v>
      </c>
      <c r="I579" t="s">
        <v>147</v>
      </c>
      <c r="J579" t="s">
        <v>148</v>
      </c>
      <c r="K579" t="s">
        <v>48</v>
      </c>
      <c r="L579">
        <v>2</v>
      </c>
      <c r="M579">
        <v>250</v>
      </c>
      <c r="N579">
        <v>15</v>
      </c>
      <c r="O579">
        <v>425</v>
      </c>
      <c r="P579">
        <v>172.1</v>
      </c>
      <c r="Q579" t="s">
        <v>39</v>
      </c>
      <c r="R579" t="s">
        <v>29</v>
      </c>
      <c r="S579" t="s">
        <v>86</v>
      </c>
      <c r="T579">
        <f>YEAR(Table1_1[[#This Row],[order_date]])</f>
        <v>2025</v>
      </c>
      <c r="U579">
        <f>MONTH(Table1_1[[#This Row],[order_date]])</f>
        <v>3</v>
      </c>
      <c r="V579" t="str">
        <f>TEXT(Table1_1[[#This Row],[order_date]],"mmm")</f>
        <v>Mar</v>
      </c>
      <c r="W579" t="str">
        <f>"Q"&amp;ROUNDUP(MONTH(Table1_1[[#This Row],[order_date]])/3,0)</f>
        <v>Q1</v>
      </c>
      <c r="X579" t="str">
        <f>TEXT(Table1_1[[#This Row],[order_date]],"yyyy-mm")</f>
        <v>2025-03</v>
      </c>
      <c r="Y579">
        <f>IF(Table1_1[[#This Row],[ship_date]]="","",Table1_1[[#This Row],[ship_date]]-Table1_1[[#This Row],[order_date]])</f>
        <v>2</v>
      </c>
      <c r="Z579">
        <f>ROUND(Table1_1[[#This Row],[profit]]/Table1_1[[#This Row],[sales_fix]]*100,2)</f>
        <v>40.49</v>
      </c>
    </row>
    <row r="580" spans="1:26" x14ac:dyDescent="0.3">
      <c r="A580" t="s">
        <v>801</v>
      </c>
      <c r="B580" s="1">
        <v>45785</v>
      </c>
      <c r="C580" s="1">
        <v>45791</v>
      </c>
      <c r="D580" t="s">
        <v>802</v>
      </c>
      <c r="E580" t="s">
        <v>803</v>
      </c>
      <c r="F580" t="s">
        <v>55</v>
      </c>
      <c r="G580" t="s">
        <v>35</v>
      </c>
      <c r="H580" t="s">
        <v>258</v>
      </c>
      <c r="I580" t="s">
        <v>71</v>
      </c>
      <c r="J580" t="s">
        <v>72</v>
      </c>
      <c r="K580" t="s">
        <v>73</v>
      </c>
      <c r="L580">
        <v>1</v>
      </c>
      <c r="M580">
        <v>3500</v>
      </c>
      <c r="N580">
        <v>10</v>
      </c>
      <c r="O580">
        <v>3150</v>
      </c>
      <c r="P580">
        <v>1082.6099999999999</v>
      </c>
      <c r="Q580" t="s">
        <v>74</v>
      </c>
      <c r="R580" t="s">
        <v>56</v>
      </c>
      <c r="S580" t="s">
        <v>110</v>
      </c>
      <c r="T580">
        <f>YEAR(Table1_1[[#This Row],[order_date]])</f>
        <v>2025</v>
      </c>
      <c r="U580">
        <f>MONTH(Table1_1[[#This Row],[order_date]])</f>
        <v>5</v>
      </c>
      <c r="V580" t="str">
        <f>TEXT(Table1_1[[#This Row],[order_date]],"mmm")</f>
        <v>May</v>
      </c>
      <c r="W580" t="str">
        <f>"Q"&amp;ROUNDUP(MONTH(Table1_1[[#This Row],[order_date]])/3,0)</f>
        <v>Q2</v>
      </c>
      <c r="X580" t="str">
        <f>TEXT(Table1_1[[#This Row],[order_date]],"yyyy-mm")</f>
        <v>2025-05</v>
      </c>
      <c r="Y580">
        <f>IF(Table1_1[[#This Row],[ship_date]]="","",Table1_1[[#This Row],[ship_date]]-Table1_1[[#This Row],[order_date]])</f>
        <v>6</v>
      </c>
      <c r="Z580">
        <f>ROUND(Table1_1[[#This Row],[profit]]/Table1_1[[#This Row],[sales_fix]]*100,2)</f>
        <v>34.369999999999997</v>
      </c>
    </row>
    <row r="581" spans="1:26" x14ac:dyDescent="0.3">
      <c r="A581" t="s">
        <v>267</v>
      </c>
      <c r="B581" s="1">
        <v>45939</v>
      </c>
      <c r="C581" s="1">
        <v>45945</v>
      </c>
      <c r="D581" t="s">
        <v>269</v>
      </c>
      <c r="E581" t="s">
        <v>270</v>
      </c>
      <c r="F581" t="s">
        <v>23</v>
      </c>
      <c r="G581" t="s">
        <v>35</v>
      </c>
      <c r="H581" t="s">
        <v>36</v>
      </c>
      <c r="I581" t="s">
        <v>114</v>
      </c>
      <c r="J581" t="s">
        <v>115</v>
      </c>
      <c r="K581" t="s">
        <v>65</v>
      </c>
      <c r="L581">
        <v>2</v>
      </c>
      <c r="M581">
        <v>55000</v>
      </c>
      <c r="N581">
        <v>0</v>
      </c>
      <c r="O581">
        <v>110000</v>
      </c>
      <c r="P581">
        <v>18094.240000000002</v>
      </c>
      <c r="Q581" t="s">
        <v>66</v>
      </c>
      <c r="R581" t="s">
        <v>49</v>
      </c>
      <c r="S581" t="s">
        <v>110</v>
      </c>
      <c r="T581">
        <f>YEAR(Table1_1[[#This Row],[order_date]])</f>
        <v>2025</v>
      </c>
      <c r="U581">
        <f>MONTH(Table1_1[[#This Row],[order_date]])</f>
        <v>10</v>
      </c>
      <c r="V581" t="str">
        <f>TEXT(Table1_1[[#This Row],[order_date]],"mmm")</f>
        <v>Oct</v>
      </c>
      <c r="W581" t="str">
        <f>"Q"&amp;ROUNDUP(MONTH(Table1_1[[#This Row],[order_date]])/3,0)</f>
        <v>Q4</v>
      </c>
      <c r="X581" t="str">
        <f>TEXT(Table1_1[[#This Row],[order_date]],"yyyy-mm")</f>
        <v>2025-10</v>
      </c>
      <c r="Y581">
        <f>IF(Table1_1[[#This Row],[ship_date]]="","",Table1_1[[#This Row],[ship_date]]-Table1_1[[#This Row],[order_date]])</f>
        <v>6</v>
      </c>
      <c r="Z581">
        <f>ROUND(Table1_1[[#This Row],[profit]]/Table1_1[[#This Row],[sales_fix]]*100,2)</f>
        <v>16.45</v>
      </c>
    </row>
    <row r="582" spans="1:26" x14ac:dyDescent="0.3">
      <c r="A582" t="s">
        <v>1098</v>
      </c>
      <c r="B582" s="1">
        <v>45859</v>
      </c>
      <c r="C582" s="1">
        <v>45864</v>
      </c>
      <c r="D582" t="s">
        <v>1100</v>
      </c>
      <c r="E582" t="s">
        <v>1101</v>
      </c>
      <c r="F582" t="s">
        <v>23</v>
      </c>
      <c r="G582" t="s">
        <v>44</v>
      </c>
      <c r="H582" t="s">
        <v>161</v>
      </c>
      <c r="I582" t="s">
        <v>79</v>
      </c>
      <c r="J582" t="s">
        <v>80</v>
      </c>
      <c r="K582" t="s">
        <v>65</v>
      </c>
      <c r="L582">
        <v>1</v>
      </c>
      <c r="M582">
        <v>3000</v>
      </c>
      <c r="N582">
        <v>5</v>
      </c>
      <c r="O582">
        <v>2850</v>
      </c>
      <c r="P582">
        <v>824.47</v>
      </c>
      <c r="Q582" t="s">
        <v>156</v>
      </c>
      <c r="R582" t="s">
        <v>49</v>
      </c>
      <c r="S582" t="s">
        <v>86</v>
      </c>
      <c r="T582">
        <f>YEAR(Table1_1[[#This Row],[order_date]])</f>
        <v>2025</v>
      </c>
      <c r="U582">
        <f>MONTH(Table1_1[[#This Row],[order_date]])</f>
        <v>7</v>
      </c>
      <c r="V582" t="str">
        <f>TEXT(Table1_1[[#This Row],[order_date]],"mmm")</f>
        <v>Jul</v>
      </c>
      <c r="W582" t="str">
        <f>"Q"&amp;ROUNDUP(MONTH(Table1_1[[#This Row],[order_date]])/3,0)</f>
        <v>Q3</v>
      </c>
      <c r="X582" t="str">
        <f>TEXT(Table1_1[[#This Row],[order_date]],"yyyy-mm")</f>
        <v>2025-07</v>
      </c>
      <c r="Y582">
        <f>IF(Table1_1[[#This Row],[ship_date]]="","",Table1_1[[#This Row],[ship_date]]-Table1_1[[#This Row],[order_date]])</f>
        <v>5</v>
      </c>
      <c r="Z582">
        <f>ROUND(Table1_1[[#This Row],[profit]]/Table1_1[[#This Row],[sales_fix]]*100,2)</f>
        <v>28.93</v>
      </c>
    </row>
    <row r="583" spans="1:26" x14ac:dyDescent="0.3">
      <c r="A583" t="s">
        <v>516</v>
      </c>
      <c r="B583" s="1">
        <v>45378</v>
      </c>
      <c r="C583" s="1">
        <v>45381</v>
      </c>
      <c r="D583" t="s">
        <v>517</v>
      </c>
      <c r="E583" t="s">
        <v>518</v>
      </c>
      <c r="F583" t="s">
        <v>34</v>
      </c>
      <c r="G583" t="s">
        <v>61</v>
      </c>
      <c r="H583" t="s">
        <v>125</v>
      </c>
      <c r="I583" t="s">
        <v>147</v>
      </c>
      <c r="J583" t="s">
        <v>148</v>
      </c>
      <c r="K583" t="s">
        <v>48</v>
      </c>
      <c r="L583">
        <v>4</v>
      </c>
      <c r="M583">
        <v>250</v>
      </c>
      <c r="N583">
        <v>5</v>
      </c>
      <c r="O583">
        <v>950</v>
      </c>
      <c r="P583">
        <v>377.77</v>
      </c>
      <c r="Q583" t="s">
        <v>66</v>
      </c>
      <c r="R583" t="s">
        <v>29</v>
      </c>
      <c r="S583" t="s">
        <v>86</v>
      </c>
      <c r="T583">
        <f>YEAR(Table1_1[[#This Row],[order_date]])</f>
        <v>2024</v>
      </c>
      <c r="U583">
        <f>MONTH(Table1_1[[#This Row],[order_date]])</f>
        <v>3</v>
      </c>
      <c r="V583" t="str">
        <f>TEXT(Table1_1[[#This Row],[order_date]],"mmm")</f>
        <v>Mar</v>
      </c>
      <c r="W583" t="str">
        <f>"Q"&amp;ROUNDUP(MONTH(Table1_1[[#This Row],[order_date]])/3,0)</f>
        <v>Q1</v>
      </c>
      <c r="X583" t="str">
        <f>TEXT(Table1_1[[#This Row],[order_date]],"yyyy-mm")</f>
        <v>2024-03</v>
      </c>
      <c r="Y583">
        <f>IF(Table1_1[[#This Row],[ship_date]]="","",Table1_1[[#This Row],[ship_date]]-Table1_1[[#This Row],[order_date]])</f>
        <v>3</v>
      </c>
      <c r="Z583">
        <f>ROUND(Table1_1[[#This Row],[profit]]/Table1_1[[#This Row],[sales_fix]]*100,2)</f>
        <v>39.770000000000003</v>
      </c>
    </row>
    <row r="584" spans="1:26" x14ac:dyDescent="0.3">
      <c r="A584" t="s">
        <v>1368</v>
      </c>
      <c r="B584" s="1">
        <v>45690</v>
      </c>
      <c r="C584" s="1">
        <v>45698</v>
      </c>
      <c r="D584" t="s">
        <v>1369</v>
      </c>
      <c r="E584" t="s">
        <v>1370</v>
      </c>
      <c r="F584" t="s">
        <v>55</v>
      </c>
      <c r="G584" t="s">
        <v>44</v>
      </c>
      <c r="H584" t="s">
        <v>155</v>
      </c>
      <c r="I584" t="s">
        <v>147</v>
      </c>
      <c r="J584" t="s">
        <v>148</v>
      </c>
      <c r="K584" t="s">
        <v>48</v>
      </c>
      <c r="L584">
        <v>1</v>
      </c>
      <c r="M584">
        <v>250</v>
      </c>
      <c r="N584">
        <v>10</v>
      </c>
      <c r="O584">
        <v>225</v>
      </c>
      <c r="P584">
        <v>86.16</v>
      </c>
      <c r="Q584" t="s">
        <v>39</v>
      </c>
      <c r="R584" t="s">
        <v>49</v>
      </c>
      <c r="S584" t="s">
        <v>86</v>
      </c>
      <c r="T584">
        <f>YEAR(Table1_1[[#This Row],[order_date]])</f>
        <v>2025</v>
      </c>
      <c r="U584">
        <f>MONTH(Table1_1[[#This Row],[order_date]])</f>
        <v>2</v>
      </c>
      <c r="V584" t="str">
        <f>TEXT(Table1_1[[#This Row],[order_date]],"mmm")</f>
        <v>Feb</v>
      </c>
      <c r="W584" t="str">
        <f>"Q"&amp;ROUNDUP(MONTH(Table1_1[[#This Row],[order_date]])/3,0)</f>
        <v>Q1</v>
      </c>
      <c r="X584" t="str">
        <f>TEXT(Table1_1[[#This Row],[order_date]],"yyyy-mm")</f>
        <v>2025-02</v>
      </c>
      <c r="Y584">
        <f>IF(Table1_1[[#This Row],[ship_date]]="","",Table1_1[[#This Row],[ship_date]]-Table1_1[[#This Row],[order_date]])</f>
        <v>8</v>
      </c>
      <c r="Z584">
        <f>ROUND(Table1_1[[#This Row],[profit]]/Table1_1[[#This Row],[sales_fix]]*100,2)</f>
        <v>38.29</v>
      </c>
    </row>
    <row r="585" spans="1:26" x14ac:dyDescent="0.3">
      <c r="A585" t="s">
        <v>1382</v>
      </c>
      <c r="B585" s="1">
        <v>45349</v>
      </c>
      <c r="C585" s="1">
        <v>45351</v>
      </c>
      <c r="D585" t="s">
        <v>247</v>
      </c>
      <c r="E585" t="s">
        <v>248</v>
      </c>
      <c r="F585" t="s">
        <v>34</v>
      </c>
      <c r="G585" t="s">
        <v>61</v>
      </c>
      <c r="H585" t="s">
        <v>78</v>
      </c>
      <c r="I585" t="s">
        <v>37</v>
      </c>
      <c r="J585" t="s">
        <v>38</v>
      </c>
      <c r="K585" t="s">
        <v>27</v>
      </c>
      <c r="L585">
        <v>1</v>
      </c>
      <c r="M585">
        <v>9500</v>
      </c>
      <c r="N585">
        <v>15</v>
      </c>
      <c r="O585">
        <v>8075</v>
      </c>
      <c r="P585">
        <v>1158.1600000000001</v>
      </c>
      <c r="Q585" t="s">
        <v>121</v>
      </c>
      <c r="R585" t="s">
        <v>56</v>
      </c>
      <c r="S585" t="s">
        <v>40</v>
      </c>
      <c r="T585">
        <f>YEAR(Table1_1[[#This Row],[order_date]])</f>
        <v>2024</v>
      </c>
      <c r="U585">
        <f>MONTH(Table1_1[[#This Row],[order_date]])</f>
        <v>2</v>
      </c>
      <c r="V585" t="str">
        <f>TEXT(Table1_1[[#This Row],[order_date]],"mmm")</f>
        <v>Feb</v>
      </c>
      <c r="W585" t="str">
        <f>"Q"&amp;ROUNDUP(MONTH(Table1_1[[#This Row],[order_date]])/3,0)</f>
        <v>Q1</v>
      </c>
      <c r="X585" t="str">
        <f>TEXT(Table1_1[[#This Row],[order_date]],"yyyy-mm")</f>
        <v>2024-02</v>
      </c>
      <c r="Y585">
        <f>IF(Table1_1[[#This Row],[ship_date]]="","",Table1_1[[#This Row],[ship_date]]-Table1_1[[#This Row],[order_date]])</f>
        <v>2</v>
      </c>
      <c r="Z585">
        <f>ROUND(Table1_1[[#This Row],[profit]]/Table1_1[[#This Row],[sales_fix]]*100,2)</f>
        <v>14.34</v>
      </c>
    </row>
    <row r="586" spans="1:26" x14ac:dyDescent="0.3">
      <c r="A586" t="s">
        <v>2335</v>
      </c>
      <c r="B586" s="1">
        <v>45841</v>
      </c>
      <c r="C586" s="1">
        <v>45843</v>
      </c>
      <c r="D586" t="s">
        <v>494</v>
      </c>
      <c r="E586" t="s">
        <v>495</v>
      </c>
      <c r="F586" t="s">
        <v>34</v>
      </c>
      <c r="G586" t="s">
        <v>35</v>
      </c>
      <c r="H586" t="s">
        <v>258</v>
      </c>
      <c r="I586" t="s">
        <v>126</v>
      </c>
      <c r="J586" t="s">
        <v>127</v>
      </c>
      <c r="K586" t="s">
        <v>95</v>
      </c>
      <c r="L586">
        <v>1</v>
      </c>
      <c r="M586">
        <v>600</v>
      </c>
      <c r="N586">
        <v>10</v>
      </c>
      <c r="O586">
        <v>540</v>
      </c>
      <c r="P586">
        <v>162.76</v>
      </c>
      <c r="Q586" t="s">
        <v>66</v>
      </c>
      <c r="R586" t="s">
        <v>56</v>
      </c>
      <c r="S586" t="s">
        <v>50</v>
      </c>
      <c r="T586">
        <f>YEAR(Table1_1[[#This Row],[order_date]])</f>
        <v>2025</v>
      </c>
      <c r="U586">
        <f>MONTH(Table1_1[[#This Row],[order_date]])</f>
        <v>7</v>
      </c>
      <c r="V586" t="str">
        <f>TEXT(Table1_1[[#This Row],[order_date]],"mmm")</f>
        <v>Jul</v>
      </c>
      <c r="W586" t="str">
        <f>"Q"&amp;ROUNDUP(MONTH(Table1_1[[#This Row],[order_date]])/3,0)</f>
        <v>Q3</v>
      </c>
      <c r="X586" t="str">
        <f>TEXT(Table1_1[[#This Row],[order_date]],"yyyy-mm")</f>
        <v>2025-07</v>
      </c>
      <c r="Y586">
        <f>IF(Table1_1[[#This Row],[ship_date]]="","",Table1_1[[#This Row],[ship_date]]-Table1_1[[#This Row],[order_date]])</f>
        <v>2</v>
      </c>
      <c r="Z586">
        <f>ROUND(Table1_1[[#This Row],[profit]]/Table1_1[[#This Row],[sales_fix]]*100,2)</f>
        <v>30.14</v>
      </c>
    </row>
    <row r="587" spans="1:26" x14ac:dyDescent="0.3">
      <c r="A587" t="s">
        <v>1626</v>
      </c>
      <c r="B587" s="1">
        <v>45311</v>
      </c>
      <c r="C587" s="1">
        <v>45314</v>
      </c>
      <c r="D587" t="s">
        <v>731</v>
      </c>
      <c r="E587" t="s">
        <v>732</v>
      </c>
      <c r="F587" t="s">
        <v>34</v>
      </c>
      <c r="G587" t="s">
        <v>44</v>
      </c>
      <c r="H587" t="s">
        <v>155</v>
      </c>
      <c r="I587" t="s">
        <v>126</v>
      </c>
      <c r="J587" t="s">
        <v>127</v>
      </c>
      <c r="K587" t="s">
        <v>95</v>
      </c>
      <c r="L587">
        <v>2</v>
      </c>
      <c r="M587">
        <v>600</v>
      </c>
      <c r="N587">
        <v>10</v>
      </c>
      <c r="O587">
        <v>1080</v>
      </c>
      <c r="P587">
        <v>294.8</v>
      </c>
      <c r="Q587" t="s">
        <v>66</v>
      </c>
      <c r="R587" t="s">
        <v>29</v>
      </c>
      <c r="S587" t="s">
        <v>86</v>
      </c>
      <c r="T587">
        <f>YEAR(Table1_1[[#This Row],[order_date]])</f>
        <v>2024</v>
      </c>
      <c r="U587">
        <f>MONTH(Table1_1[[#This Row],[order_date]])</f>
        <v>1</v>
      </c>
      <c r="V587" t="str">
        <f>TEXT(Table1_1[[#This Row],[order_date]],"mmm")</f>
        <v>Jan</v>
      </c>
      <c r="W587" t="str">
        <f>"Q"&amp;ROUNDUP(MONTH(Table1_1[[#This Row],[order_date]])/3,0)</f>
        <v>Q1</v>
      </c>
      <c r="X587" t="str">
        <f>TEXT(Table1_1[[#This Row],[order_date]],"yyyy-mm")</f>
        <v>2024-01</v>
      </c>
      <c r="Y587">
        <f>IF(Table1_1[[#This Row],[ship_date]]="","",Table1_1[[#This Row],[ship_date]]-Table1_1[[#This Row],[order_date]])</f>
        <v>3</v>
      </c>
      <c r="Z587">
        <f>ROUND(Table1_1[[#This Row],[profit]]/Table1_1[[#This Row],[sales_fix]]*100,2)</f>
        <v>27.3</v>
      </c>
    </row>
    <row r="588" spans="1:26" x14ac:dyDescent="0.3">
      <c r="A588" t="s">
        <v>2032</v>
      </c>
      <c r="B588" s="1">
        <v>45759</v>
      </c>
      <c r="C588" s="1">
        <v>45761</v>
      </c>
      <c r="D588" t="s">
        <v>682</v>
      </c>
      <c r="E588" t="s">
        <v>683</v>
      </c>
      <c r="F588" t="s">
        <v>55</v>
      </c>
      <c r="G588" t="s">
        <v>61</v>
      </c>
      <c r="H588" t="s">
        <v>125</v>
      </c>
      <c r="I588" t="s">
        <v>63</v>
      </c>
      <c r="J588" t="s">
        <v>64</v>
      </c>
      <c r="K588" t="s">
        <v>65</v>
      </c>
      <c r="L588">
        <v>2</v>
      </c>
      <c r="M588">
        <v>25000</v>
      </c>
      <c r="N588">
        <v>20</v>
      </c>
      <c r="O588">
        <v>40000</v>
      </c>
      <c r="P588">
        <v>5618.5</v>
      </c>
      <c r="Q588" t="s">
        <v>66</v>
      </c>
      <c r="R588" t="s">
        <v>49</v>
      </c>
      <c r="S588" t="s">
        <v>40</v>
      </c>
      <c r="T588">
        <f>YEAR(Table1_1[[#This Row],[order_date]])</f>
        <v>2025</v>
      </c>
      <c r="U588">
        <f>MONTH(Table1_1[[#This Row],[order_date]])</f>
        <v>4</v>
      </c>
      <c r="V588" t="str">
        <f>TEXT(Table1_1[[#This Row],[order_date]],"mmm")</f>
        <v>Apr</v>
      </c>
      <c r="W588" t="str">
        <f>"Q"&amp;ROUNDUP(MONTH(Table1_1[[#This Row],[order_date]])/3,0)</f>
        <v>Q2</v>
      </c>
      <c r="X588" t="str">
        <f>TEXT(Table1_1[[#This Row],[order_date]],"yyyy-mm")</f>
        <v>2025-04</v>
      </c>
      <c r="Y588">
        <f>IF(Table1_1[[#This Row],[ship_date]]="","",Table1_1[[#This Row],[ship_date]]-Table1_1[[#This Row],[order_date]])</f>
        <v>2</v>
      </c>
      <c r="Z588">
        <f>ROUND(Table1_1[[#This Row],[profit]]/Table1_1[[#This Row],[sales_fix]]*100,2)</f>
        <v>14.05</v>
      </c>
    </row>
    <row r="589" spans="1:26" x14ac:dyDescent="0.3">
      <c r="A589" t="s">
        <v>1786</v>
      </c>
      <c r="B589" s="1">
        <v>45499</v>
      </c>
      <c r="C589" s="1">
        <v>45506</v>
      </c>
      <c r="D589" t="s">
        <v>896</v>
      </c>
      <c r="E589" t="s">
        <v>897</v>
      </c>
      <c r="F589" t="s">
        <v>55</v>
      </c>
      <c r="G589" t="s">
        <v>35</v>
      </c>
      <c r="H589" t="s">
        <v>258</v>
      </c>
      <c r="I589" t="s">
        <v>63</v>
      </c>
      <c r="J589" t="s">
        <v>64</v>
      </c>
      <c r="K589" t="s">
        <v>65</v>
      </c>
      <c r="L589">
        <v>2</v>
      </c>
      <c r="M589">
        <v>25000</v>
      </c>
      <c r="N589">
        <v>20</v>
      </c>
      <c r="O589">
        <v>40000</v>
      </c>
      <c r="P589">
        <v>6206.15</v>
      </c>
      <c r="Q589" t="s">
        <v>74</v>
      </c>
      <c r="R589" t="s">
        <v>29</v>
      </c>
      <c r="S589" t="s">
        <v>40</v>
      </c>
      <c r="T589">
        <f>YEAR(Table1_1[[#This Row],[order_date]])</f>
        <v>2024</v>
      </c>
      <c r="U589">
        <f>MONTH(Table1_1[[#This Row],[order_date]])</f>
        <v>7</v>
      </c>
      <c r="V589" t="str">
        <f>TEXT(Table1_1[[#This Row],[order_date]],"mmm")</f>
        <v>Jul</v>
      </c>
      <c r="W589" t="str">
        <f>"Q"&amp;ROUNDUP(MONTH(Table1_1[[#This Row],[order_date]])/3,0)</f>
        <v>Q3</v>
      </c>
      <c r="X589" t="str">
        <f>TEXT(Table1_1[[#This Row],[order_date]],"yyyy-mm")</f>
        <v>2024-07</v>
      </c>
      <c r="Y589">
        <f>IF(Table1_1[[#This Row],[ship_date]]="","",Table1_1[[#This Row],[ship_date]]-Table1_1[[#This Row],[order_date]])</f>
        <v>7</v>
      </c>
      <c r="Z589">
        <f>ROUND(Table1_1[[#This Row],[profit]]/Table1_1[[#This Row],[sales_fix]]*100,2)</f>
        <v>15.52</v>
      </c>
    </row>
    <row r="590" spans="1:26" x14ac:dyDescent="0.3">
      <c r="A590" t="s">
        <v>1178</v>
      </c>
      <c r="B590" s="1">
        <v>45621</v>
      </c>
      <c r="C590" s="1">
        <v>45624</v>
      </c>
      <c r="D590" t="s">
        <v>118</v>
      </c>
      <c r="E590" t="s">
        <v>119</v>
      </c>
      <c r="F590" t="s">
        <v>34</v>
      </c>
      <c r="G590" t="s">
        <v>91</v>
      </c>
      <c r="H590" t="s">
        <v>120</v>
      </c>
      <c r="I590" t="s">
        <v>79</v>
      </c>
      <c r="J590" t="s">
        <v>80</v>
      </c>
      <c r="K590" t="s">
        <v>65</v>
      </c>
      <c r="L590">
        <v>3</v>
      </c>
      <c r="M590">
        <v>3000</v>
      </c>
      <c r="N590">
        <v>20</v>
      </c>
      <c r="O590">
        <v>7200</v>
      </c>
      <c r="P590">
        <v>1551.39</v>
      </c>
      <c r="Q590" t="s">
        <v>74</v>
      </c>
      <c r="R590" t="s">
        <v>29</v>
      </c>
      <c r="S590" t="s">
        <v>86</v>
      </c>
      <c r="T590">
        <f>YEAR(Table1_1[[#This Row],[order_date]])</f>
        <v>2024</v>
      </c>
      <c r="U590">
        <f>MONTH(Table1_1[[#This Row],[order_date]])</f>
        <v>11</v>
      </c>
      <c r="V590" t="str">
        <f>TEXT(Table1_1[[#This Row],[order_date]],"mmm")</f>
        <v>Nov</v>
      </c>
      <c r="W590" t="str">
        <f>"Q"&amp;ROUNDUP(MONTH(Table1_1[[#This Row],[order_date]])/3,0)</f>
        <v>Q4</v>
      </c>
      <c r="X590" t="str">
        <f>TEXT(Table1_1[[#This Row],[order_date]],"yyyy-mm")</f>
        <v>2024-11</v>
      </c>
      <c r="Y590">
        <f>IF(Table1_1[[#This Row],[ship_date]]="","",Table1_1[[#This Row],[ship_date]]-Table1_1[[#This Row],[order_date]])</f>
        <v>3</v>
      </c>
      <c r="Z590">
        <f>ROUND(Table1_1[[#This Row],[profit]]/Table1_1[[#This Row],[sales_fix]]*100,2)</f>
        <v>21.55</v>
      </c>
    </row>
    <row r="591" spans="1:26" x14ac:dyDescent="0.3">
      <c r="A591" t="s">
        <v>1449</v>
      </c>
      <c r="B591" s="1">
        <v>45717</v>
      </c>
      <c r="C591" s="1">
        <v>45725</v>
      </c>
      <c r="D591" t="s">
        <v>1450</v>
      </c>
      <c r="E591" t="s">
        <v>1451</v>
      </c>
      <c r="F591" t="s">
        <v>23</v>
      </c>
      <c r="G591" t="s">
        <v>61</v>
      </c>
      <c r="H591" t="s">
        <v>78</v>
      </c>
      <c r="I591" t="s">
        <v>79</v>
      </c>
      <c r="J591" t="s">
        <v>80</v>
      </c>
      <c r="K591" t="s">
        <v>65</v>
      </c>
      <c r="L591">
        <v>1</v>
      </c>
      <c r="M591">
        <v>3000</v>
      </c>
      <c r="N591">
        <v>0</v>
      </c>
      <c r="O591">
        <v>3000</v>
      </c>
      <c r="P591">
        <v>829.23</v>
      </c>
      <c r="Q591" t="s">
        <v>121</v>
      </c>
      <c r="R591" t="s">
        <v>56</v>
      </c>
      <c r="S591" t="s">
        <v>86</v>
      </c>
      <c r="T591">
        <f>YEAR(Table1_1[[#This Row],[order_date]])</f>
        <v>2025</v>
      </c>
      <c r="U591">
        <f>MONTH(Table1_1[[#This Row],[order_date]])</f>
        <v>3</v>
      </c>
      <c r="V591" t="str">
        <f>TEXT(Table1_1[[#This Row],[order_date]],"mmm")</f>
        <v>Mar</v>
      </c>
      <c r="W591" t="str">
        <f>"Q"&amp;ROUNDUP(MONTH(Table1_1[[#This Row],[order_date]])/3,0)</f>
        <v>Q1</v>
      </c>
      <c r="X591" t="str">
        <f>TEXT(Table1_1[[#This Row],[order_date]],"yyyy-mm")</f>
        <v>2025-03</v>
      </c>
      <c r="Y591">
        <f>IF(Table1_1[[#This Row],[ship_date]]="","",Table1_1[[#This Row],[ship_date]]-Table1_1[[#This Row],[order_date]])</f>
        <v>8</v>
      </c>
      <c r="Z591">
        <f>ROUND(Table1_1[[#This Row],[profit]]/Table1_1[[#This Row],[sales_fix]]*100,2)</f>
        <v>27.64</v>
      </c>
    </row>
    <row r="592" spans="1:26" x14ac:dyDescent="0.3">
      <c r="A592" t="s">
        <v>2775</v>
      </c>
      <c r="B592" s="1">
        <v>45939</v>
      </c>
      <c r="C592" s="1">
        <v>45941</v>
      </c>
      <c r="D592" t="s">
        <v>457</v>
      </c>
      <c r="E592" t="s">
        <v>458</v>
      </c>
      <c r="F592" t="s">
        <v>55</v>
      </c>
      <c r="G592" t="s">
        <v>44</v>
      </c>
      <c r="H592" t="s">
        <v>24</v>
      </c>
      <c r="I592" t="s">
        <v>63</v>
      </c>
      <c r="J592" t="s">
        <v>64</v>
      </c>
      <c r="K592" t="s">
        <v>65</v>
      </c>
      <c r="L592">
        <v>3</v>
      </c>
      <c r="M592">
        <v>25000</v>
      </c>
      <c r="N592">
        <v>0</v>
      </c>
      <c r="O592">
        <v>75000</v>
      </c>
      <c r="P592">
        <v>11833.32</v>
      </c>
      <c r="Q592" t="s">
        <v>66</v>
      </c>
      <c r="R592" t="s">
        <v>29</v>
      </c>
      <c r="S592" t="s">
        <v>50</v>
      </c>
      <c r="T592">
        <f>YEAR(Table1_1[[#This Row],[order_date]])</f>
        <v>2025</v>
      </c>
      <c r="U592">
        <f>MONTH(Table1_1[[#This Row],[order_date]])</f>
        <v>10</v>
      </c>
      <c r="V592" t="str">
        <f>TEXT(Table1_1[[#This Row],[order_date]],"mmm")</f>
        <v>Oct</v>
      </c>
      <c r="W592" t="str">
        <f>"Q"&amp;ROUNDUP(MONTH(Table1_1[[#This Row],[order_date]])/3,0)</f>
        <v>Q4</v>
      </c>
      <c r="X592" t="str">
        <f>TEXT(Table1_1[[#This Row],[order_date]],"yyyy-mm")</f>
        <v>2025-10</v>
      </c>
      <c r="Y592">
        <f>IF(Table1_1[[#This Row],[ship_date]]="","",Table1_1[[#This Row],[ship_date]]-Table1_1[[#This Row],[order_date]])</f>
        <v>2</v>
      </c>
      <c r="Z592">
        <f>ROUND(Table1_1[[#This Row],[profit]]/Table1_1[[#This Row],[sales_fix]]*100,2)</f>
        <v>15.78</v>
      </c>
    </row>
    <row r="593" spans="1:26" x14ac:dyDescent="0.3">
      <c r="A593" t="s">
        <v>2026</v>
      </c>
      <c r="B593" s="1">
        <v>45959</v>
      </c>
      <c r="C593" s="1">
        <v>45967</v>
      </c>
      <c r="D593" t="s">
        <v>1579</v>
      </c>
      <c r="E593" t="s">
        <v>1580</v>
      </c>
      <c r="F593" t="s">
        <v>55</v>
      </c>
      <c r="G593" t="s">
        <v>44</v>
      </c>
      <c r="H593" t="s">
        <v>45</v>
      </c>
      <c r="I593" t="s">
        <v>71</v>
      </c>
      <c r="J593" t="s">
        <v>72</v>
      </c>
      <c r="K593" t="s">
        <v>73</v>
      </c>
      <c r="L593">
        <v>1</v>
      </c>
      <c r="M593">
        <v>3500</v>
      </c>
      <c r="N593">
        <v>15</v>
      </c>
      <c r="O593">
        <v>2975</v>
      </c>
      <c r="P593">
        <v>973.86</v>
      </c>
      <c r="Q593" t="s">
        <v>156</v>
      </c>
      <c r="R593" t="s">
        <v>29</v>
      </c>
      <c r="S593" t="s">
        <v>50</v>
      </c>
      <c r="T593">
        <f>YEAR(Table1_1[[#This Row],[order_date]])</f>
        <v>2025</v>
      </c>
      <c r="U593">
        <f>MONTH(Table1_1[[#This Row],[order_date]])</f>
        <v>10</v>
      </c>
      <c r="V593" t="str">
        <f>TEXT(Table1_1[[#This Row],[order_date]],"mmm")</f>
        <v>Oct</v>
      </c>
      <c r="W593" t="str">
        <f>"Q"&amp;ROUNDUP(MONTH(Table1_1[[#This Row],[order_date]])/3,0)</f>
        <v>Q4</v>
      </c>
      <c r="X593" t="str">
        <f>TEXT(Table1_1[[#This Row],[order_date]],"yyyy-mm")</f>
        <v>2025-10</v>
      </c>
      <c r="Y593">
        <f>IF(Table1_1[[#This Row],[ship_date]]="","",Table1_1[[#This Row],[ship_date]]-Table1_1[[#This Row],[order_date]])</f>
        <v>8</v>
      </c>
      <c r="Z593">
        <f>ROUND(Table1_1[[#This Row],[profit]]/Table1_1[[#This Row],[sales_fix]]*100,2)</f>
        <v>32.729999999999997</v>
      </c>
    </row>
    <row r="594" spans="1:26" x14ac:dyDescent="0.3">
      <c r="A594" t="s">
        <v>1933</v>
      </c>
      <c r="B594" s="1">
        <v>45569</v>
      </c>
      <c r="C594" s="1">
        <v>45570</v>
      </c>
      <c r="D594" t="s">
        <v>625</v>
      </c>
      <c r="E594" t="s">
        <v>626</v>
      </c>
      <c r="F594" t="s">
        <v>34</v>
      </c>
      <c r="G594" t="s">
        <v>61</v>
      </c>
      <c r="H594" t="s">
        <v>211</v>
      </c>
      <c r="I594" t="s">
        <v>126</v>
      </c>
      <c r="J594" t="s">
        <v>127</v>
      </c>
      <c r="K594" t="s">
        <v>95</v>
      </c>
      <c r="L594">
        <v>2</v>
      </c>
      <c r="M594">
        <v>600</v>
      </c>
      <c r="N594">
        <v>0</v>
      </c>
      <c r="O594">
        <v>1200</v>
      </c>
      <c r="P594">
        <v>430.56</v>
      </c>
      <c r="Q594" t="s">
        <v>39</v>
      </c>
      <c r="R594" t="s">
        <v>29</v>
      </c>
      <c r="S594" t="s">
        <v>30</v>
      </c>
      <c r="T594">
        <f>YEAR(Table1_1[[#This Row],[order_date]])</f>
        <v>2024</v>
      </c>
      <c r="U594">
        <f>MONTH(Table1_1[[#This Row],[order_date]])</f>
        <v>10</v>
      </c>
      <c r="V594" t="str">
        <f>TEXT(Table1_1[[#This Row],[order_date]],"mmm")</f>
        <v>Oct</v>
      </c>
      <c r="W594" t="str">
        <f>"Q"&amp;ROUNDUP(MONTH(Table1_1[[#This Row],[order_date]])/3,0)</f>
        <v>Q4</v>
      </c>
      <c r="X594" t="str">
        <f>TEXT(Table1_1[[#This Row],[order_date]],"yyyy-mm")</f>
        <v>2024-10</v>
      </c>
      <c r="Y594">
        <f>IF(Table1_1[[#This Row],[ship_date]]="","",Table1_1[[#This Row],[ship_date]]-Table1_1[[#This Row],[order_date]])</f>
        <v>1</v>
      </c>
      <c r="Z594">
        <f>ROUND(Table1_1[[#This Row],[profit]]/Table1_1[[#This Row],[sales_fix]]*100,2)</f>
        <v>35.880000000000003</v>
      </c>
    </row>
    <row r="595" spans="1:26" x14ac:dyDescent="0.3">
      <c r="A595" t="s">
        <v>1578</v>
      </c>
      <c r="B595" s="1">
        <v>45600</v>
      </c>
      <c r="C595" s="1">
        <v>45602</v>
      </c>
      <c r="D595" t="s">
        <v>1579</v>
      </c>
      <c r="E595" t="s">
        <v>1580</v>
      </c>
      <c r="F595" t="s">
        <v>55</v>
      </c>
      <c r="G595" t="s">
        <v>44</v>
      </c>
      <c r="H595" t="s">
        <v>45</v>
      </c>
      <c r="I595" t="s">
        <v>126</v>
      </c>
      <c r="J595" t="s">
        <v>127</v>
      </c>
      <c r="K595" t="s">
        <v>95</v>
      </c>
      <c r="L595">
        <v>1</v>
      </c>
      <c r="M595">
        <v>600</v>
      </c>
      <c r="N595">
        <v>0</v>
      </c>
      <c r="O595">
        <v>600</v>
      </c>
      <c r="P595">
        <v>177.1</v>
      </c>
      <c r="Q595" t="s">
        <v>39</v>
      </c>
      <c r="R595" t="s">
        <v>49</v>
      </c>
      <c r="S595" t="s">
        <v>40</v>
      </c>
      <c r="T595">
        <f>YEAR(Table1_1[[#This Row],[order_date]])</f>
        <v>2024</v>
      </c>
      <c r="U595">
        <f>MONTH(Table1_1[[#This Row],[order_date]])</f>
        <v>11</v>
      </c>
      <c r="V595" t="str">
        <f>TEXT(Table1_1[[#This Row],[order_date]],"mmm")</f>
        <v>Nov</v>
      </c>
      <c r="W595" t="str">
        <f>"Q"&amp;ROUNDUP(MONTH(Table1_1[[#This Row],[order_date]])/3,0)</f>
        <v>Q4</v>
      </c>
      <c r="X595" t="str">
        <f>TEXT(Table1_1[[#This Row],[order_date]],"yyyy-mm")</f>
        <v>2024-11</v>
      </c>
      <c r="Y595">
        <f>IF(Table1_1[[#This Row],[ship_date]]="","",Table1_1[[#This Row],[ship_date]]-Table1_1[[#This Row],[order_date]])</f>
        <v>2</v>
      </c>
      <c r="Z595">
        <f>ROUND(Table1_1[[#This Row],[profit]]/Table1_1[[#This Row],[sales_fix]]*100,2)</f>
        <v>29.52</v>
      </c>
    </row>
    <row r="596" spans="1:26" x14ac:dyDescent="0.3">
      <c r="A596" t="s">
        <v>3083</v>
      </c>
      <c r="B596" s="1">
        <v>45767</v>
      </c>
      <c r="C596" s="1">
        <v>45768</v>
      </c>
      <c r="D596" t="s">
        <v>864</v>
      </c>
      <c r="E596" t="s">
        <v>865</v>
      </c>
      <c r="F596" t="s">
        <v>34</v>
      </c>
      <c r="G596" t="s">
        <v>44</v>
      </c>
      <c r="H596" t="s">
        <v>155</v>
      </c>
      <c r="I596" t="s">
        <v>103</v>
      </c>
      <c r="J596" t="s">
        <v>104</v>
      </c>
      <c r="K596" t="s">
        <v>65</v>
      </c>
      <c r="L596">
        <v>3</v>
      </c>
      <c r="M596">
        <v>8000</v>
      </c>
      <c r="N596">
        <v>15</v>
      </c>
      <c r="O596">
        <v>20400</v>
      </c>
      <c r="P596">
        <v>5100</v>
      </c>
      <c r="Q596" t="s">
        <v>121</v>
      </c>
      <c r="R596" t="s">
        <v>29</v>
      </c>
      <c r="S596" t="s">
        <v>194</v>
      </c>
      <c r="T596">
        <f>YEAR(Table1_1[[#This Row],[order_date]])</f>
        <v>2025</v>
      </c>
      <c r="U596">
        <f>MONTH(Table1_1[[#This Row],[order_date]])</f>
        <v>4</v>
      </c>
      <c r="V596" t="str">
        <f>TEXT(Table1_1[[#This Row],[order_date]],"mmm")</f>
        <v>Apr</v>
      </c>
      <c r="W596" t="str">
        <f>"Q"&amp;ROUNDUP(MONTH(Table1_1[[#This Row],[order_date]])/3,0)</f>
        <v>Q2</v>
      </c>
      <c r="X596" t="str">
        <f>TEXT(Table1_1[[#This Row],[order_date]],"yyyy-mm")</f>
        <v>2025-04</v>
      </c>
      <c r="Y596">
        <f>IF(Table1_1[[#This Row],[ship_date]]="","",Table1_1[[#This Row],[ship_date]]-Table1_1[[#This Row],[order_date]])</f>
        <v>1</v>
      </c>
      <c r="Z596">
        <f>ROUND(Table1_1[[#This Row],[profit]]/Table1_1[[#This Row],[sales_fix]]*100,2)</f>
        <v>25</v>
      </c>
    </row>
    <row r="597" spans="1:26" x14ac:dyDescent="0.3">
      <c r="A597" t="s">
        <v>2927</v>
      </c>
      <c r="B597" s="1">
        <v>45472</v>
      </c>
      <c r="C597" s="1">
        <v>45478</v>
      </c>
      <c r="D597" t="s">
        <v>166</v>
      </c>
      <c r="E597" t="s">
        <v>167</v>
      </c>
      <c r="F597" t="s">
        <v>23</v>
      </c>
      <c r="G597" t="s">
        <v>44</v>
      </c>
      <c r="H597" t="s">
        <v>161</v>
      </c>
      <c r="I597" t="s">
        <v>147</v>
      </c>
      <c r="J597" t="s">
        <v>148</v>
      </c>
      <c r="K597" t="s">
        <v>48</v>
      </c>
      <c r="L597">
        <v>1</v>
      </c>
      <c r="M597">
        <v>250</v>
      </c>
      <c r="N597">
        <v>0</v>
      </c>
      <c r="O597">
        <v>250</v>
      </c>
      <c r="P597">
        <v>72.16</v>
      </c>
      <c r="Q597" t="s">
        <v>74</v>
      </c>
      <c r="R597" t="s">
        <v>29</v>
      </c>
      <c r="S597" t="s">
        <v>30</v>
      </c>
      <c r="T597">
        <f>YEAR(Table1_1[[#This Row],[order_date]])</f>
        <v>2024</v>
      </c>
      <c r="U597">
        <f>MONTH(Table1_1[[#This Row],[order_date]])</f>
        <v>6</v>
      </c>
      <c r="V597" t="str">
        <f>TEXT(Table1_1[[#This Row],[order_date]],"mmm")</f>
        <v>Jun</v>
      </c>
      <c r="W597" t="str">
        <f>"Q"&amp;ROUNDUP(MONTH(Table1_1[[#This Row],[order_date]])/3,0)</f>
        <v>Q2</v>
      </c>
      <c r="X597" t="str">
        <f>TEXT(Table1_1[[#This Row],[order_date]],"yyyy-mm")</f>
        <v>2024-06</v>
      </c>
      <c r="Y597">
        <f>IF(Table1_1[[#This Row],[ship_date]]="","",Table1_1[[#This Row],[ship_date]]-Table1_1[[#This Row],[order_date]])</f>
        <v>6</v>
      </c>
      <c r="Z597">
        <f>ROUND(Table1_1[[#This Row],[profit]]/Table1_1[[#This Row],[sales_fix]]*100,2)</f>
        <v>28.86</v>
      </c>
    </row>
    <row r="598" spans="1:26" x14ac:dyDescent="0.3">
      <c r="A598" t="s">
        <v>2969</v>
      </c>
      <c r="B598" s="1">
        <v>45923</v>
      </c>
      <c r="C598" s="1">
        <v>45925</v>
      </c>
      <c r="D598" t="s">
        <v>1418</v>
      </c>
      <c r="E598" t="s">
        <v>1419</v>
      </c>
      <c r="F598" t="s">
        <v>34</v>
      </c>
      <c r="G598" t="s">
        <v>61</v>
      </c>
      <c r="H598" t="s">
        <v>211</v>
      </c>
      <c r="I598" t="s">
        <v>37</v>
      </c>
      <c r="J598" t="s">
        <v>38</v>
      </c>
      <c r="K598" t="s">
        <v>27</v>
      </c>
      <c r="L598">
        <v>4</v>
      </c>
      <c r="M598">
        <v>9500</v>
      </c>
      <c r="N598">
        <v>20</v>
      </c>
      <c r="O598">
        <v>30400</v>
      </c>
      <c r="P598">
        <v>5358.06</v>
      </c>
      <c r="Q598" t="s">
        <v>156</v>
      </c>
      <c r="R598" t="s">
        <v>29</v>
      </c>
      <c r="S598" t="s">
        <v>40</v>
      </c>
      <c r="T598">
        <f>YEAR(Table1_1[[#This Row],[order_date]])</f>
        <v>2025</v>
      </c>
      <c r="U598">
        <f>MONTH(Table1_1[[#This Row],[order_date]])</f>
        <v>9</v>
      </c>
      <c r="V598" t="str">
        <f>TEXT(Table1_1[[#This Row],[order_date]],"mmm")</f>
        <v>Sep</v>
      </c>
      <c r="W598" t="str">
        <f>"Q"&amp;ROUNDUP(MONTH(Table1_1[[#This Row],[order_date]])/3,0)</f>
        <v>Q3</v>
      </c>
      <c r="X598" t="str">
        <f>TEXT(Table1_1[[#This Row],[order_date]],"yyyy-mm")</f>
        <v>2025-09</v>
      </c>
      <c r="Y598">
        <f>IF(Table1_1[[#This Row],[ship_date]]="","",Table1_1[[#This Row],[ship_date]]-Table1_1[[#This Row],[order_date]])</f>
        <v>2</v>
      </c>
      <c r="Z598">
        <f>ROUND(Table1_1[[#This Row],[profit]]/Table1_1[[#This Row],[sales_fix]]*100,2)</f>
        <v>17.63</v>
      </c>
    </row>
    <row r="599" spans="1:26" x14ac:dyDescent="0.3">
      <c r="A599" t="s">
        <v>2376</v>
      </c>
      <c r="B599" s="1">
        <v>45321</v>
      </c>
      <c r="C599" s="1">
        <v>45325</v>
      </c>
      <c r="D599" t="s">
        <v>153</v>
      </c>
      <c r="E599" t="s">
        <v>154</v>
      </c>
      <c r="F599" t="s">
        <v>23</v>
      </c>
      <c r="G599" t="s">
        <v>44</v>
      </c>
      <c r="H599" t="s">
        <v>155</v>
      </c>
      <c r="I599" t="s">
        <v>79</v>
      </c>
      <c r="J599" t="s">
        <v>80</v>
      </c>
      <c r="K599" t="s">
        <v>65</v>
      </c>
      <c r="L599">
        <v>2</v>
      </c>
      <c r="M599">
        <v>3000</v>
      </c>
      <c r="N599">
        <v>0</v>
      </c>
      <c r="O599">
        <v>6000</v>
      </c>
      <c r="P599">
        <v>1311.02</v>
      </c>
      <c r="Q599" t="s">
        <v>156</v>
      </c>
      <c r="R599" t="s">
        <v>49</v>
      </c>
      <c r="S599" t="s">
        <v>40</v>
      </c>
      <c r="T599">
        <f>YEAR(Table1_1[[#This Row],[order_date]])</f>
        <v>2024</v>
      </c>
      <c r="U599">
        <f>MONTH(Table1_1[[#This Row],[order_date]])</f>
        <v>1</v>
      </c>
      <c r="V599" t="str">
        <f>TEXT(Table1_1[[#This Row],[order_date]],"mmm")</f>
        <v>Jan</v>
      </c>
      <c r="W599" t="str">
        <f>"Q"&amp;ROUNDUP(MONTH(Table1_1[[#This Row],[order_date]])/3,0)</f>
        <v>Q1</v>
      </c>
      <c r="X599" t="str">
        <f>TEXT(Table1_1[[#This Row],[order_date]],"yyyy-mm")</f>
        <v>2024-01</v>
      </c>
      <c r="Y599">
        <f>IF(Table1_1[[#This Row],[ship_date]]="","",Table1_1[[#This Row],[ship_date]]-Table1_1[[#This Row],[order_date]])</f>
        <v>4</v>
      </c>
      <c r="Z599">
        <f>ROUND(Table1_1[[#This Row],[profit]]/Table1_1[[#This Row],[sales_fix]]*100,2)</f>
        <v>21.85</v>
      </c>
    </row>
    <row r="600" spans="1:26" x14ac:dyDescent="0.3">
      <c r="A600" t="s">
        <v>2252</v>
      </c>
      <c r="B600" s="1">
        <v>45721</v>
      </c>
      <c r="C600" s="1">
        <v>45725</v>
      </c>
      <c r="D600" t="s">
        <v>1482</v>
      </c>
      <c r="E600" t="s">
        <v>1483</v>
      </c>
      <c r="F600" t="s">
        <v>23</v>
      </c>
      <c r="G600" t="s">
        <v>44</v>
      </c>
      <c r="H600" t="s">
        <v>161</v>
      </c>
      <c r="I600" t="s">
        <v>37</v>
      </c>
      <c r="J600" t="s">
        <v>38</v>
      </c>
      <c r="K600" t="s">
        <v>27</v>
      </c>
      <c r="L600">
        <v>1</v>
      </c>
      <c r="M600">
        <v>9500</v>
      </c>
      <c r="N600">
        <v>15</v>
      </c>
      <c r="O600">
        <v>8075</v>
      </c>
      <c r="P600">
        <v>1710.85</v>
      </c>
      <c r="Q600" t="s">
        <v>66</v>
      </c>
      <c r="R600" t="s">
        <v>49</v>
      </c>
      <c r="S600" t="s">
        <v>50</v>
      </c>
      <c r="T600">
        <f>YEAR(Table1_1[[#This Row],[order_date]])</f>
        <v>2025</v>
      </c>
      <c r="U600">
        <f>MONTH(Table1_1[[#This Row],[order_date]])</f>
        <v>3</v>
      </c>
      <c r="V600" t="str">
        <f>TEXT(Table1_1[[#This Row],[order_date]],"mmm")</f>
        <v>Mar</v>
      </c>
      <c r="W600" t="str">
        <f>"Q"&amp;ROUNDUP(MONTH(Table1_1[[#This Row],[order_date]])/3,0)</f>
        <v>Q1</v>
      </c>
      <c r="X600" t="str">
        <f>TEXT(Table1_1[[#This Row],[order_date]],"yyyy-mm")</f>
        <v>2025-03</v>
      </c>
      <c r="Y600">
        <f>IF(Table1_1[[#This Row],[ship_date]]="","",Table1_1[[#This Row],[ship_date]]-Table1_1[[#This Row],[order_date]])</f>
        <v>4</v>
      </c>
      <c r="Z600">
        <f>ROUND(Table1_1[[#This Row],[profit]]/Table1_1[[#This Row],[sales_fix]]*100,2)</f>
        <v>21.19</v>
      </c>
    </row>
    <row r="601" spans="1:26" x14ac:dyDescent="0.3">
      <c r="A601" t="s">
        <v>2510</v>
      </c>
      <c r="B601" s="1">
        <v>45714</v>
      </c>
      <c r="C601" s="1">
        <v>45716</v>
      </c>
      <c r="D601" t="s">
        <v>473</v>
      </c>
      <c r="E601" t="s">
        <v>474</v>
      </c>
      <c r="F601" t="s">
        <v>34</v>
      </c>
      <c r="G601" t="s">
        <v>61</v>
      </c>
      <c r="H601" t="s">
        <v>62</v>
      </c>
      <c r="I601" t="s">
        <v>103</v>
      </c>
      <c r="J601" t="s">
        <v>104</v>
      </c>
      <c r="K601" t="s">
        <v>65</v>
      </c>
      <c r="L601">
        <v>4</v>
      </c>
      <c r="M601">
        <v>8000</v>
      </c>
      <c r="N601">
        <v>5</v>
      </c>
      <c r="O601">
        <v>30400</v>
      </c>
      <c r="P601">
        <v>7600</v>
      </c>
      <c r="Q601" t="s">
        <v>28</v>
      </c>
      <c r="R601" t="s">
        <v>56</v>
      </c>
      <c r="S601" t="s">
        <v>30</v>
      </c>
      <c r="T601">
        <f>YEAR(Table1_1[[#This Row],[order_date]])</f>
        <v>2025</v>
      </c>
      <c r="U601">
        <f>MONTH(Table1_1[[#This Row],[order_date]])</f>
        <v>2</v>
      </c>
      <c r="V601" t="str">
        <f>TEXT(Table1_1[[#This Row],[order_date]],"mmm")</f>
        <v>Feb</v>
      </c>
      <c r="W601" t="str">
        <f>"Q"&amp;ROUNDUP(MONTH(Table1_1[[#This Row],[order_date]])/3,0)</f>
        <v>Q1</v>
      </c>
      <c r="X601" t="str">
        <f>TEXT(Table1_1[[#This Row],[order_date]],"yyyy-mm")</f>
        <v>2025-02</v>
      </c>
      <c r="Y601">
        <f>IF(Table1_1[[#This Row],[ship_date]]="","",Table1_1[[#This Row],[ship_date]]-Table1_1[[#This Row],[order_date]])</f>
        <v>2</v>
      </c>
      <c r="Z601">
        <f>ROUND(Table1_1[[#This Row],[profit]]/Table1_1[[#This Row],[sales_fix]]*100,2)</f>
        <v>25</v>
      </c>
    </row>
    <row r="602" spans="1:26" x14ac:dyDescent="0.3">
      <c r="A602" t="s">
        <v>1685</v>
      </c>
      <c r="B602" s="1">
        <v>45440</v>
      </c>
      <c r="C602" s="1"/>
      <c r="D602" t="s">
        <v>1009</v>
      </c>
      <c r="E602" t="s">
        <v>1010</v>
      </c>
      <c r="F602" t="s">
        <v>23</v>
      </c>
      <c r="G602" t="s">
        <v>61</v>
      </c>
      <c r="H602" t="s">
        <v>62</v>
      </c>
      <c r="I602" t="s">
        <v>134</v>
      </c>
      <c r="J602" t="s">
        <v>135</v>
      </c>
      <c r="K602" t="s">
        <v>27</v>
      </c>
      <c r="L602">
        <v>1</v>
      </c>
      <c r="M602">
        <v>6000</v>
      </c>
      <c r="N602">
        <v>10</v>
      </c>
      <c r="O602">
        <v>5400</v>
      </c>
      <c r="P602">
        <v>1143.07</v>
      </c>
      <c r="Q602" t="s">
        <v>74</v>
      </c>
      <c r="R602" t="s">
        <v>29</v>
      </c>
      <c r="S602" t="s">
        <v>30</v>
      </c>
      <c r="T602">
        <f>YEAR(Table1_1[[#This Row],[order_date]])</f>
        <v>2024</v>
      </c>
      <c r="U602">
        <f>MONTH(Table1_1[[#This Row],[order_date]])</f>
        <v>5</v>
      </c>
      <c r="V602" t="str">
        <f>TEXT(Table1_1[[#This Row],[order_date]],"mmm")</f>
        <v>May</v>
      </c>
      <c r="W602" t="str">
        <f>"Q"&amp;ROUNDUP(MONTH(Table1_1[[#This Row],[order_date]])/3,0)</f>
        <v>Q2</v>
      </c>
      <c r="X602" t="str">
        <f>TEXT(Table1_1[[#This Row],[order_date]],"yyyy-mm")</f>
        <v>2024-05</v>
      </c>
      <c r="Y602" t="str">
        <f>IF(Table1_1[[#This Row],[ship_date]]="","",Table1_1[[#This Row],[ship_date]]-Table1_1[[#This Row],[order_date]])</f>
        <v/>
      </c>
      <c r="Z602">
        <f>ROUND(Table1_1[[#This Row],[profit]]/Table1_1[[#This Row],[sales_fix]]*100,2)</f>
        <v>21.17</v>
      </c>
    </row>
    <row r="603" spans="1:26" x14ac:dyDescent="0.3">
      <c r="A603" t="s">
        <v>1587</v>
      </c>
      <c r="B603" s="1">
        <v>45659</v>
      </c>
      <c r="C603" s="1">
        <v>45660</v>
      </c>
      <c r="D603" t="s">
        <v>1588</v>
      </c>
      <c r="E603" t="s">
        <v>1589</v>
      </c>
      <c r="F603" t="s">
        <v>34</v>
      </c>
      <c r="G603" t="s">
        <v>61</v>
      </c>
      <c r="H603" t="s">
        <v>78</v>
      </c>
      <c r="I603" t="s">
        <v>126</v>
      </c>
      <c r="J603" t="s">
        <v>127</v>
      </c>
      <c r="K603" t="s">
        <v>95</v>
      </c>
      <c r="L603">
        <v>10</v>
      </c>
      <c r="M603">
        <v>600</v>
      </c>
      <c r="N603">
        <v>0</v>
      </c>
      <c r="O603">
        <v>6000</v>
      </c>
      <c r="P603">
        <v>1902.33</v>
      </c>
      <c r="Q603" t="s">
        <v>156</v>
      </c>
      <c r="R603" t="s">
        <v>56</v>
      </c>
      <c r="S603" t="s">
        <v>86</v>
      </c>
      <c r="T603">
        <f>YEAR(Table1_1[[#This Row],[order_date]])</f>
        <v>2025</v>
      </c>
      <c r="U603">
        <f>MONTH(Table1_1[[#This Row],[order_date]])</f>
        <v>1</v>
      </c>
      <c r="V603" t="str">
        <f>TEXT(Table1_1[[#This Row],[order_date]],"mmm")</f>
        <v>Jan</v>
      </c>
      <c r="W603" t="str">
        <f>"Q"&amp;ROUNDUP(MONTH(Table1_1[[#This Row],[order_date]])/3,0)</f>
        <v>Q1</v>
      </c>
      <c r="X603" t="str">
        <f>TEXT(Table1_1[[#This Row],[order_date]],"yyyy-mm")</f>
        <v>2025-01</v>
      </c>
      <c r="Y603">
        <f>IF(Table1_1[[#This Row],[ship_date]]="","",Table1_1[[#This Row],[ship_date]]-Table1_1[[#This Row],[order_date]])</f>
        <v>1</v>
      </c>
      <c r="Z603">
        <f>ROUND(Table1_1[[#This Row],[profit]]/Table1_1[[#This Row],[sales_fix]]*100,2)</f>
        <v>31.71</v>
      </c>
    </row>
    <row r="604" spans="1:26" x14ac:dyDescent="0.3">
      <c r="A604" t="s">
        <v>1017</v>
      </c>
      <c r="B604" s="1">
        <v>45405</v>
      </c>
      <c r="C604" s="1">
        <v>45411</v>
      </c>
      <c r="D604" t="s">
        <v>1019</v>
      </c>
      <c r="E604" t="s">
        <v>1020</v>
      </c>
      <c r="F604" t="s">
        <v>55</v>
      </c>
      <c r="G604" t="s">
        <v>35</v>
      </c>
      <c r="H604" t="s">
        <v>187</v>
      </c>
      <c r="I604" t="s">
        <v>79</v>
      </c>
      <c r="J604" t="s">
        <v>80</v>
      </c>
      <c r="K604" t="s">
        <v>65</v>
      </c>
      <c r="L604">
        <v>4</v>
      </c>
      <c r="M604">
        <v>3000</v>
      </c>
      <c r="N604">
        <v>5</v>
      </c>
      <c r="O604">
        <v>11400</v>
      </c>
      <c r="P604">
        <v>2966.13</v>
      </c>
      <c r="Q604" t="s">
        <v>121</v>
      </c>
      <c r="R604" t="s">
        <v>49</v>
      </c>
      <c r="S604" t="s">
        <v>40</v>
      </c>
      <c r="T604">
        <f>YEAR(Table1_1[[#This Row],[order_date]])</f>
        <v>2024</v>
      </c>
      <c r="U604">
        <f>MONTH(Table1_1[[#This Row],[order_date]])</f>
        <v>4</v>
      </c>
      <c r="V604" t="str">
        <f>TEXT(Table1_1[[#This Row],[order_date]],"mmm")</f>
        <v>Apr</v>
      </c>
      <c r="W604" t="str">
        <f>"Q"&amp;ROUNDUP(MONTH(Table1_1[[#This Row],[order_date]])/3,0)</f>
        <v>Q2</v>
      </c>
      <c r="X604" t="str">
        <f>TEXT(Table1_1[[#This Row],[order_date]],"yyyy-mm")</f>
        <v>2024-04</v>
      </c>
      <c r="Y604">
        <f>IF(Table1_1[[#This Row],[ship_date]]="","",Table1_1[[#This Row],[ship_date]]-Table1_1[[#This Row],[order_date]])</f>
        <v>6</v>
      </c>
      <c r="Z604">
        <f>ROUND(Table1_1[[#This Row],[profit]]/Table1_1[[#This Row],[sales_fix]]*100,2)</f>
        <v>26.02</v>
      </c>
    </row>
    <row r="605" spans="1:26" x14ac:dyDescent="0.3">
      <c r="A605" t="s">
        <v>1306</v>
      </c>
      <c r="B605" s="1">
        <v>45918</v>
      </c>
      <c r="C605" s="1">
        <v>45922</v>
      </c>
      <c r="D605" t="s">
        <v>670</v>
      </c>
      <c r="E605" t="s">
        <v>1308</v>
      </c>
      <c r="F605" t="s">
        <v>23</v>
      </c>
      <c r="G605" t="s">
        <v>91</v>
      </c>
      <c r="H605" t="s">
        <v>177</v>
      </c>
      <c r="I605" t="s">
        <v>126</v>
      </c>
      <c r="J605" t="s">
        <v>127</v>
      </c>
      <c r="K605" t="s">
        <v>95</v>
      </c>
      <c r="L605">
        <v>5</v>
      </c>
      <c r="M605">
        <v>600</v>
      </c>
      <c r="N605">
        <v>10</v>
      </c>
      <c r="O605">
        <v>2700</v>
      </c>
      <c r="P605">
        <v>1116.3399999999999</v>
      </c>
      <c r="Q605" t="s">
        <v>66</v>
      </c>
      <c r="R605" t="s">
        <v>49</v>
      </c>
      <c r="S605" t="s">
        <v>40</v>
      </c>
      <c r="T605">
        <f>YEAR(Table1_1[[#This Row],[order_date]])</f>
        <v>2025</v>
      </c>
      <c r="U605">
        <f>MONTH(Table1_1[[#This Row],[order_date]])</f>
        <v>9</v>
      </c>
      <c r="V605" t="str">
        <f>TEXT(Table1_1[[#This Row],[order_date]],"mmm")</f>
        <v>Sep</v>
      </c>
      <c r="W605" t="str">
        <f>"Q"&amp;ROUNDUP(MONTH(Table1_1[[#This Row],[order_date]])/3,0)</f>
        <v>Q3</v>
      </c>
      <c r="X605" t="str">
        <f>TEXT(Table1_1[[#This Row],[order_date]],"yyyy-mm")</f>
        <v>2025-09</v>
      </c>
      <c r="Y605">
        <f>IF(Table1_1[[#This Row],[ship_date]]="","",Table1_1[[#This Row],[ship_date]]-Table1_1[[#This Row],[order_date]])</f>
        <v>4</v>
      </c>
      <c r="Z605">
        <f>ROUND(Table1_1[[#This Row],[profit]]/Table1_1[[#This Row],[sales_fix]]*100,2)</f>
        <v>41.35</v>
      </c>
    </row>
    <row r="606" spans="1:26" x14ac:dyDescent="0.3">
      <c r="A606" t="s">
        <v>1777</v>
      </c>
      <c r="B606" s="1">
        <v>45897</v>
      </c>
      <c r="C606" s="1">
        <v>45904</v>
      </c>
      <c r="D606" t="s">
        <v>731</v>
      </c>
      <c r="E606" t="s">
        <v>732</v>
      </c>
      <c r="F606" t="s">
        <v>34</v>
      </c>
      <c r="G606" t="s">
        <v>44</v>
      </c>
      <c r="H606" t="s">
        <v>155</v>
      </c>
      <c r="I606" t="s">
        <v>103</v>
      </c>
      <c r="J606" t="s">
        <v>104</v>
      </c>
      <c r="K606" t="s">
        <v>65</v>
      </c>
      <c r="L606">
        <v>2</v>
      </c>
      <c r="M606">
        <v>8000</v>
      </c>
      <c r="N606">
        <v>5</v>
      </c>
      <c r="O606">
        <v>15200</v>
      </c>
      <c r="P606">
        <v>3800</v>
      </c>
      <c r="Q606" t="s">
        <v>156</v>
      </c>
      <c r="R606" t="s">
        <v>29</v>
      </c>
      <c r="S606" t="s">
        <v>50</v>
      </c>
      <c r="T606">
        <f>YEAR(Table1_1[[#This Row],[order_date]])</f>
        <v>2025</v>
      </c>
      <c r="U606">
        <f>MONTH(Table1_1[[#This Row],[order_date]])</f>
        <v>8</v>
      </c>
      <c r="V606" t="str">
        <f>TEXT(Table1_1[[#This Row],[order_date]],"mmm")</f>
        <v>Aug</v>
      </c>
      <c r="W606" t="str">
        <f>"Q"&amp;ROUNDUP(MONTH(Table1_1[[#This Row],[order_date]])/3,0)</f>
        <v>Q3</v>
      </c>
      <c r="X606" t="str">
        <f>TEXT(Table1_1[[#This Row],[order_date]],"yyyy-mm")</f>
        <v>2025-08</v>
      </c>
      <c r="Y606">
        <f>IF(Table1_1[[#This Row],[ship_date]]="","",Table1_1[[#This Row],[ship_date]]-Table1_1[[#This Row],[order_date]])</f>
        <v>7</v>
      </c>
      <c r="Z606">
        <f>ROUND(Table1_1[[#This Row],[profit]]/Table1_1[[#This Row],[sales_fix]]*100,2)</f>
        <v>25</v>
      </c>
    </row>
    <row r="607" spans="1:26" x14ac:dyDescent="0.3">
      <c r="A607" t="s">
        <v>2000</v>
      </c>
      <c r="B607" s="1">
        <v>45885</v>
      </c>
      <c r="C607" s="1">
        <v>45886</v>
      </c>
      <c r="D607" t="s">
        <v>1398</v>
      </c>
      <c r="E607" t="s">
        <v>1399</v>
      </c>
      <c r="F607" t="s">
        <v>34</v>
      </c>
      <c r="G607" t="s">
        <v>91</v>
      </c>
      <c r="H607" t="s">
        <v>92</v>
      </c>
      <c r="I607" t="s">
        <v>134</v>
      </c>
      <c r="J607" t="s">
        <v>135</v>
      </c>
      <c r="K607" t="s">
        <v>27</v>
      </c>
      <c r="L607">
        <v>1</v>
      </c>
      <c r="M607">
        <v>6000</v>
      </c>
      <c r="N607">
        <v>10</v>
      </c>
      <c r="O607">
        <v>5400</v>
      </c>
      <c r="P607">
        <v>1397.74</v>
      </c>
      <c r="Q607" t="s">
        <v>28</v>
      </c>
      <c r="R607" t="s">
        <v>29</v>
      </c>
      <c r="S607" t="s">
        <v>86</v>
      </c>
      <c r="T607">
        <f>YEAR(Table1_1[[#This Row],[order_date]])</f>
        <v>2025</v>
      </c>
      <c r="U607">
        <f>MONTH(Table1_1[[#This Row],[order_date]])</f>
        <v>8</v>
      </c>
      <c r="V607" t="str">
        <f>TEXT(Table1_1[[#This Row],[order_date]],"mmm")</f>
        <v>Aug</v>
      </c>
      <c r="W607" t="str">
        <f>"Q"&amp;ROUNDUP(MONTH(Table1_1[[#This Row],[order_date]])/3,0)</f>
        <v>Q3</v>
      </c>
      <c r="X607" t="str">
        <f>TEXT(Table1_1[[#This Row],[order_date]],"yyyy-mm")</f>
        <v>2025-08</v>
      </c>
      <c r="Y607">
        <f>IF(Table1_1[[#This Row],[ship_date]]="","",Table1_1[[#This Row],[ship_date]]-Table1_1[[#This Row],[order_date]])</f>
        <v>1</v>
      </c>
      <c r="Z607">
        <f>ROUND(Table1_1[[#This Row],[profit]]/Table1_1[[#This Row],[sales_fix]]*100,2)</f>
        <v>25.88</v>
      </c>
    </row>
    <row r="608" spans="1:26" x14ac:dyDescent="0.3">
      <c r="A608" t="s">
        <v>2945</v>
      </c>
      <c r="B608" s="1">
        <v>45808</v>
      </c>
      <c r="C608" s="1">
        <v>45810</v>
      </c>
      <c r="D608" t="s">
        <v>311</v>
      </c>
      <c r="E608" t="s">
        <v>312</v>
      </c>
      <c r="F608" t="s">
        <v>34</v>
      </c>
      <c r="G608" t="s">
        <v>61</v>
      </c>
      <c r="H608" t="s">
        <v>78</v>
      </c>
      <c r="I608" t="s">
        <v>71</v>
      </c>
      <c r="J608" t="s">
        <v>72</v>
      </c>
      <c r="K608" t="s">
        <v>73</v>
      </c>
      <c r="L608">
        <v>1</v>
      </c>
      <c r="M608">
        <v>3500</v>
      </c>
      <c r="N608">
        <v>10</v>
      </c>
      <c r="O608">
        <v>3150</v>
      </c>
      <c r="P608">
        <v>864.59</v>
      </c>
      <c r="Q608" t="s">
        <v>28</v>
      </c>
      <c r="R608" t="s">
        <v>49</v>
      </c>
      <c r="S608" t="s">
        <v>50</v>
      </c>
      <c r="T608">
        <f>YEAR(Table1_1[[#This Row],[order_date]])</f>
        <v>2025</v>
      </c>
      <c r="U608">
        <f>MONTH(Table1_1[[#This Row],[order_date]])</f>
        <v>5</v>
      </c>
      <c r="V608" t="str">
        <f>TEXT(Table1_1[[#This Row],[order_date]],"mmm")</f>
        <v>May</v>
      </c>
      <c r="W608" t="str">
        <f>"Q"&amp;ROUNDUP(MONTH(Table1_1[[#This Row],[order_date]])/3,0)</f>
        <v>Q2</v>
      </c>
      <c r="X608" t="str">
        <f>TEXT(Table1_1[[#This Row],[order_date]],"yyyy-mm")</f>
        <v>2025-05</v>
      </c>
      <c r="Y608">
        <f>IF(Table1_1[[#This Row],[ship_date]]="","",Table1_1[[#This Row],[ship_date]]-Table1_1[[#This Row],[order_date]])</f>
        <v>2</v>
      </c>
      <c r="Z608">
        <f>ROUND(Table1_1[[#This Row],[profit]]/Table1_1[[#This Row],[sales_fix]]*100,2)</f>
        <v>27.45</v>
      </c>
    </row>
    <row r="609" spans="1:26" x14ac:dyDescent="0.3">
      <c r="A609" t="s">
        <v>2712</v>
      </c>
      <c r="B609" s="1">
        <v>45304</v>
      </c>
      <c r="C609" s="1">
        <v>45307</v>
      </c>
      <c r="D609" t="s">
        <v>1736</v>
      </c>
      <c r="E609" t="s">
        <v>1737</v>
      </c>
      <c r="F609" t="s">
        <v>34</v>
      </c>
      <c r="G609" t="s">
        <v>35</v>
      </c>
      <c r="H609" t="s">
        <v>36</v>
      </c>
      <c r="I609" t="s">
        <v>46</v>
      </c>
      <c r="J609" t="s">
        <v>47</v>
      </c>
      <c r="K609" t="s">
        <v>48</v>
      </c>
      <c r="L609">
        <v>3</v>
      </c>
      <c r="M609">
        <v>180</v>
      </c>
      <c r="N609">
        <v>5</v>
      </c>
      <c r="O609">
        <v>513</v>
      </c>
      <c r="P609">
        <v>249.31</v>
      </c>
      <c r="Q609" t="s">
        <v>74</v>
      </c>
      <c r="R609" t="s">
        <v>49</v>
      </c>
      <c r="S609" t="s">
        <v>50</v>
      </c>
      <c r="T609">
        <f>YEAR(Table1_1[[#This Row],[order_date]])</f>
        <v>2024</v>
      </c>
      <c r="U609">
        <f>MONTH(Table1_1[[#This Row],[order_date]])</f>
        <v>1</v>
      </c>
      <c r="V609" t="str">
        <f>TEXT(Table1_1[[#This Row],[order_date]],"mmm")</f>
        <v>Jan</v>
      </c>
      <c r="W609" t="str">
        <f>"Q"&amp;ROUNDUP(MONTH(Table1_1[[#This Row],[order_date]])/3,0)</f>
        <v>Q1</v>
      </c>
      <c r="X609" t="str">
        <f>TEXT(Table1_1[[#This Row],[order_date]],"yyyy-mm")</f>
        <v>2024-01</v>
      </c>
      <c r="Y609">
        <f>IF(Table1_1[[#This Row],[ship_date]]="","",Table1_1[[#This Row],[ship_date]]-Table1_1[[#This Row],[order_date]])</f>
        <v>3</v>
      </c>
      <c r="Z609">
        <f>ROUND(Table1_1[[#This Row],[profit]]/Table1_1[[#This Row],[sales_fix]]*100,2)</f>
        <v>48.6</v>
      </c>
    </row>
    <row r="610" spans="1:26" x14ac:dyDescent="0.3">
      <c r="A610" t="s">
        <v>2021</v>
      </c>
      <c r="B610" s="1">
        <v>45783</v>
      </c>
      <c r="C610" s="1">
        <v>45784</v>
      </c>
      <c r="D610" t="s">
        <v>1031</v>
      </c>
      <c r="E610" t="s">
        <v>1032</v>
      </c>
      <c r="F610" t="s">
        <v>23</v>
      </c>
      <c r="G610" t="s">
        <v>61</v>
      </c>
      <c r="H610" t="s">
        <v>211</v>
      </c>
      <c r="I610" t="s">
        <v>114</v>
      </c>
      <c r="J610" t="s">
        <v>115</v>
      </c>
      <c r="K610" t="s">
        <v>65</v>
      </c>
      <c r="L610">
        <v>3</v>
      </c>
      <c r="M610">
        <v>55000</v>
      </c>
      <c r="N610">
        <v>0</v>
      </c>
      <c r="O610">
        <v>165000</v>
      </c>
      <c r="P610">
        <v>29145.26</v>
      </c>
      <c r="Q610" t="s">
        <v>28</v>
      </c>
      <c r="R610" t="s">
        <v>49</v>
      </c>
      <c r="S610" t="s">
        <v>50</v>
      </c>
      <c r="T610">
        <f>YEAR(Table1_1[[#This Row],[order_date]])</f>
        <v>2025</v>
      </c>
      <c r="U610">
        <f>MONTH(Table1_1[[#This Row],[order_date]])</f>
        <v>5</v>
      </c>
      <c r="V610" t="str">
        <f>TEXT(Table1_1[[#This Row],[order_date]],"mmm")</f>
        <v>May</v>
      </c>
      <c r="W610" t="str">
        <f>"Q"&amp;ROUNDUP(MONTH(Table1_1[[#This Row],[order_date]])/3,0)</f>
        <v>Q2</v>
      </c>
      <c r="X610" t="str">
        <f>TEXT(Table1_1[[#This Row],[order_date]],"yyyy-mm")</f>
        <v>2025-05</v>
      </c>
      <c r="Y610">
        <f>IF(Table1_1[[#This Row],[ship_date]]="","",Table1_1[[#This Row],[ship_date]]-Table1_1[[#This Row],[order_date]])</f>
        <v>1</v>
      </c>
      <c r="Z610">
        <f>ROUND(Table1_1[[#This Row],[profit]]/Table1_1[[#This Row],[sales_fix]]*100,2)</f>
        <v>17.66</v>
      </c>
    </row>
    <row r="611" spans="1:26" x14ac:dyDescent="0.3">
      <c r="A611" t="s">
        <v>2363</v>
      </c>
      <c r="B611" s="1">
        <v>45671</v>
      </c>
      <c r="C611" s="1">
        <v>45673</v>
      </c>
      <c r="D611" t="s">
        <v>1055</v>
      </c>
      <c r="E611" t="s">
        <v>1056</v>
      </c>
      <c r="F611" t="s">
        <v>55</v>
      </c>
      <c r="G611" t="s">
        <v>61</v>
      </c>
      <c r="H611" t="s">
        <v>62</v>
      </c>
      <c r="I611" t="s">
        <v>79</v>
      </c>
      <c r="J611" t="s">
        <v>80</v>
      </c>
      <c r="K611" t="s">
        <v>65</v>
      </c>
      <c r="L611">
        <v>2</v>
      </c>
      <c r="M611">
        <v>3000</v>
      </c>
      <c r="N611">
        <v>15</v>
      </c>
      <c r="O611">
        <v>5100</v>
      </c>
      <c r="P611">
        <v>1458.64</v>
      </c>
      <c r="Q611" t="s">
        <v>28</v>
      </c>
      <c r="R611" t="s">
        <v>56</v>
      </c>
      <c r="S611" t="s">
        <v>110</v>
      </c>
      <c r="T611">
        <f>YEAR(Table1_1[[#This Row],[order_date]])</f>
        <v>2025</v>
      </c>
      <c r="U611">
        <f>MONTH(Table1_1[[#This Row],[order_date]])</f>
        <v>1</v>
      </c>
      <c r="V611" t="str">
        <f>TEXT(Table1_1[[#This Row],[order_date]],"mmm")</f>
        <v>Jan</v>
      </c>
      <c r="W611" t="str">
        <f>"Q"&amp;ROUNDUP(MONTH(Table1_1[[#This Row],[order_date]])/3,0)</f>
        <v>Q1</v>
      </c>
      <c r="X611" t="str">
        <f>TEXT(Table1_1[[#This Row],[order_date]],"yyyy-mm")</f>
        <v>2025-01</v>
      </c>
      <c r="Y611">
        <f>IF(Table1_1[[#This Row],[ship_date]]="","",Table1_1[[#This Row],[ship_date]]-Table1_1[[#This Row],[order_date]])</f>
        <v>2</v>
      </c>
      <c r="Z611">
        <f>ROUND(Table1_1[[#This Row],[profit]]/Table1_1[[#This Row],[sales_fix]]*100,2)</f>
        <v>28.6</v>
      </c>
    </row>
    <row r="612" spans="1:26" x14ac:dyDescent="0.3">
      <c r="A612" t="s">
        <v>2005</v>
      </c>
      <c r="B612" s="1">
        <v>45595</v>
      </c>
      <c r="C612" s="1">
        <v>45599</v>
      </c>
      <c r="D612" t="s">
        <v>692</v>
      </c>
      <c r="E612" t="s">
        <v>2006</v>
      </c>
      <c r="F612" t="s">
        <v>55</v>
      </c>
      <c r="G612" t="s">
        <v>91</v>
      </c>
      <c r="H612" t="s">
        <v>120</v>
      </c>
      <c r="I612" t="s">
        <v>114</v>
      </c>
      <c r="J612" t="s">
        <v>115</v>
      </c>
      <c r="K612" t="s">
        <v>65</v>
      </c>
      <c r="L612">
        <v>1</v>
      </c>
      <c r="M612">
        <v>55000</v>
      </c>
      <c r="N612">
        <v>10</v>
      </c>
      <c r="O612">
        <v>49500</v>
      </c>
      <c r="P612">
        <v>8170.24</v>
      </c>
      <c r="Q612" t="s">
        <v>156</v>
      </c>
      <c r="R612" t="s">
        <v>29</v>
      </c>
      <c r="S612" t="s">
        <v>40</v>
      </c>
      <c r="T612">
        <f>YEAR(Table1_1[[#This Row],[order_date]])</f>
        <v>2024</v>
      </c>
      <c r="U612">
        <f>MONTH(Table1_1[[#This Row],[order_date]])</f>
        <v>10</v>
      </c>
      <c r="V612" t="str">
        <f>TEXT(Table1_1[[#This Row],[order_date]],"mmm")</f>
        <v>Oct</v>
      </c>
      <c r="W612" t="str">
        <f>"Q"&amp;ROUNDUP(MONTH(Table1_1[[#This Row],[order_date]])/3,0)</f>
        <v>Q4</v>
      </c>
      <c r="X612" t="str">
        <f>TEXT(Table1_1[[#This Row],[order_date]],"yyyy-mm")</f>
        <v>2024-10</v>
      </c>
      <c r="Y612">
        <f>IF(Table1_1[[#This Row],[ship_date]]="","",Table1_1[[#This Row],[ship_date]]-Table1_1[[#This Row],[order_date]])</f>
        <v>4</v>
      </c>
      <c r="Z612">
        <f>ROUND(Table1_1[[#This Row],[profit]]/Table1_1[[#This Row],[sales_fix]]*100,2)</f>
        <v>16.510000000000002</v>
      </c>
    </row>
    <row r="613" spans="1:26" x14ac:dyDescent="0.3">
      <c r="A613" t="s">
        <v>1799</v>
      </c>
      <c r="B613" s="1">
        <v>45348</v>
      </c>
      <c r="C613" s="1">
        <v>45349</v>
      </c>
      <c r="D613" t="s">
        <v>1107</v>
      </c>
      <c r="E613" t="s">
        <v>1108</v>
      </c>
      <c r="F613" t="s">
        <v>55</v>
      </c>
      <c r="G613" t="s">
        <v>91</v>
      </c>
      <c r="H613" t="s">
        <v>109</v>
      </c>
      <c r="I613" t="s">
        <v>71</v>
      </c>
      <c r="J613" t="s">
        <v>72</v>
      </c>
      <c r="K613" t="s">
        <v>73</v>
      </c>
      <c r="L613">
        <v>2</v>
      </c>
      <c r="M613">
        <v>3500</v>
      </c>
      <c r="N613">
        <v>15</v>
      </c>
      <c r="O613">
        <v>5950</v>
      </c>
      <c r="P613">
        <v>1610.02</v>
      </c>
      <c r="Q613" t="s">
        <v>66</v>
      </c>
      <c r="R613" t="s">
        <v>49</v>
      </c>
      <c r="S613" t="s">
        <v>110</v>
      </c>
      <c r="T613">
        <f>YEAR(Table1_1[[#This Row],[order_date]])</f>
        <v>2024</v>
      </c>
      <c r="U613">
        <f>MONTH(Table1_1[[#This Row],[order_date]])</f>
        <v>2</v>
      </c>
      <c r="V613" t="str">
        <f>TEXT(Table1_1[[#This Row],[order_date]],"mmm")</f>
        <v>Feb</v>
      </c>
      <c r="W613" t="str">
        <f>"Q"&amp;ROUNDUP(MONTH(Table1_1[[#This Row],[order_date]])/3,0)</f>
        <v>Q1</v>
      </c>
      <c r="X613" t="str">
        <f>TEXT(Table1_1[[#This Row],[order_date]],"yyyy-mm")</f>
        <v>2024-02</v>
      </c>
      <c r="Y613">
        <f>IF(Table1_1[[#This Row],[ship_date]]="","",Table1_1[[#This Row],[ship_date]]-Table1_1[[#This Row],[order_date]])</f>
        <v>1</v>
      </c>
      <c r="Z613">
        <f>ROUND(Table1_1[[#This Row],[profit]]/Table1_1[[#This Row],[sales_fix]]*100,2)</f>
        <v>27.06</v>
      </c>
    </row>
    <row r="614" spans="1:26" x14ac:dyDescent="0.3">
      <c r="A614" t="s">
        <v>2326</v>
      </c>
      <c r="B614" s="1">
        <v>45333</v>
      </c>
      <c r="C614" s="1">
        <v>45335</v>
      </c>
      <c r="D614" t="s">
        <v>1732</v>
      </c>
      <c r="E614" t="s">
        <v>1733</v>
      </c>
      <c r="F614" t="s">
        <v>34</v>
      </c>
      <c r="G614" t="s">
        <v>35</v>
      </c>
      <c r="H614" t="s">
        <v>85</v>
      </c>
      <c r="I614" t="s">
        <v>93</v>
      </c>
      <c r="J614" t="s">
        <v>94</v>
      </c>
      <c r="K614" t="s">
        <v>95</v>
      </c>
      <c r="L614">
        <v>1</v>
      </c>
      <c r="M614">
        <v>1800</v>
      </c>
      <c r="N614">
        <v>0</v>
      </c>
      <c r="O614">
        <v>1800</v>
      </c>
      <c r="P614">
        <v>604.34</v>
      </c>
      <c r="Q614" t="s">
        <v>39</v>
      </c>
      <c r="R614" t="s">
        <v>56</v>
      </c>
      <c r="S614" t="s">
        <v>50</v>
      </c>
      <c r="T614">
        <f>YEAR(Table1_1[[#This Row],[order_date]])</f>
        <v>2024</v>
      </c>
      <c r="U614">
        <f>MONTH(Table1_1[[#This Row],[order_date]])</f>
        <v>2</v>
      </c>
      <c r="V614" t="str">
        <f>TEXT(Table1_1[[#This Row],[order_date]],"mmm")</f>
        <v>Feb</v>
      </c>
      <c r="W614" t="str">
        <f>"Q"&amp;ROUNDUP(MONTH(Table1_1[[#This Row],[order_date]])/3,0)</f>
        <v>Q1</v>
      </c>
      <c r="X614" t="str">
        <f>TEXT(Table1_1[[#This Row],[order_date]],"yyyy-mm")</f>
        <v>2024-02</v>
      </c>
      <c r="Y614">
        <f>IF(Table1_1[[#This Row],[ship_date]]="","",Table1_1[[#This Row],[ship_date]]-Table1_1[[#This Row],[order_date]])</f>
        <v>2</v>
      </c>
      <c r="Z614">
        <f>ROUND(Table1_1[[#This Row],[profit]]/Table1_1[[#This Row],[sales_fix]]*100,2)</f>
        <v>33.57</v>
      </c>
    </row>
    <row r="615" spans="1:26" x14ac:dyDescent="0.3">
      <c r="A615" t="s">
        <v>2696</v>
      </c>
      <c r="B615" s="1">
        <v>45536</v>
      </c>
      <c r="C615" s="1">
        <v>45540</v>
      </c>
      <c r="D615" t="s">
        <v>748</v>
      </c>
      <c r="E615" t="s">
        <v>749</v>
      </c>
      <c r="F615" t="s">
        <v>55</v>
      </c>
      <c r="G615" t="s">
        <v>91</v>
      </c>
      <c r="H615" t="s">
        <v>92</v>
      </c>
      <c r="I615" t="s">
        <v>37</v>
      </c>
      <c r="J615" t="s">
        <v>38</v>
      </c>
      <c r="K615" t="s">
        <v>27</v>
      </c>
      <c r="L615">
        <v>2</v>
      </c>
      <c r="M615">
        <v>9500</v>
      </c>
      <c r="N615">
        <v>15</v>
      </c>
      <c r="O615">
        <v>16150</v>
      </c>
      <c r="P615">
        <v>2879.21</v>
      </c>
      <c r="Q615" t="s">
        <v>156</v>
      </c>
      <c r="R615" t="s">
        <v>29</v>
      </c>
      <c r="S615" t="s">
        <v>110</v>
      </c>
      <c r="T615">
        <f>YEAR(Table1_1[[#This Row],[order_date]])</f>
        <v>2024</v>
      </c>
      <c r="U615">
        <f>MONTH(Table1_1[[#This Row],[order_date]])</f>
        <v>9</v>
      </c>
      <c r="V615" t="str">
        <f>TEXT(Table1_1[[#This Row],[order_date]],"mmm")</f>
        <v>Sep</v>
      </c>
      <c r="W615" t="str">
        <f>"Q"&amp;ROUNDUP(MONTH(Table1_1[[#This Row],[order_date]])/3,0)</f>
        <v>Q3</v>
      </c>
      <c r="X615" t="str">
        <f>TEXT(Table1_1[[#This Row],[order_date]],"yyyy-mm")</f>
        <v>2024-09</v>
      </c>
      <c r="Y615">
        <f>IF(Table1_1[[#This Row],[ship_date]]="","",Table1_1[[#This Row],[ship_date]]-Table1_1[[#This Row],[order_date]])</f>
        <v>4</v>
      </c>
      <c r="Z615">
        <f>ROUND(Table1_1[[#This Row],[profit]]/Table1_1[[#This Row],[sales_fix]]*100,2)</f>
        <v>17.829999999999998</v>
      </c>
    </row>
    <row r="616" spans="1:26" x14ac:dyDescent="0.3">
      <c r="A616" t="s">
        <v>2581</v>
      </c>
      <c r="B616" s="1">
        <v>45807</v>
      </c>
      <c r="C616" s="1">
        <v>45813</v>
      </c>
      <c r="D616" t="s">
        <v>599</v>
      </c>
      <c r="E616" t="s">
        <v>600</v>
      </c>
      <c r="F616" t="s">
        <v>23</v>
      </c>
      <c r="G616" t="s">
        <v>44</v>
      </c>
      <c r="H616" t="s">
        <v>161</v>
      </c>
      <c r="I616" t="s">
        <v>25</v>
      </c>
      <c r="J616" t="s">
        <v>26</v>
      </c>
      <c r="K616" t="s">
        <v>27</v>
      </c>
      <c r="L616">
        <v>3</v>
      </c>
      <c r="M616">
        <v>7000</v>
      </c>
      <c r="N616">
        <v>0</v>
      </c>
      <c r="O616">
        <v>21000</v>
      </c>
      <c r="P616">
        <v>3334.64</v>
      </c>
      <c r="Q616" t="s">
        <v>3113</v>
      </c>
      <c r="R616" t="s">
        <v>49</v>
      </c>
      <c r="S616" t="s">
        <v>30</v>
      </c>
      <c r="T616">
        <f>YEAR(Table1_1[[#This Row],[order_date]])</f>
        <v>2025</v>
      </c>
      <c r="U616">
        <f>MONTH(Table1_1[[#This Row],[order_date]])</f>
        <v>5</v>
      </c>
      <c r="V616" t="str">
        <f>TEXT(Table1_1[[#This Row],[order_date]],"mmm")</f>
        <v>May</v>
      </c>
      <c r="W616" t="str">
        <f>"Q"&amp;ROUNDUP(MONTH(Table1_1[[#This Row],[order_date]])/3,0)</f>
        <v>Q2</v>
      </c>
      <c r="X616" t="str">
        <f>TEXT(Table1_1[[#This Row],[order_date]],"yyyy-mm")</f>
        <v>2025-05</v>
      </c>
      <c r="Y616">
        <f>IF(Table1_1[[#This Row],[ship_date]]="","",Table1_1[[#This Row],[ship_date]]-Table1_1[[#This Row],[order_date]])</f>
        <v>6</v>
      </c>
      <c r="Z616">
        <f>ROUND(Table1_1[[#This Row],[profit]]/Table1_1[[#This Row],[sales_fix]]*100,2)</f>
        <v>15.88</v>
      </c>
    </row>
    <row r="617" spans="1:26" x14ac:dyDescent="0.3">
      <c r="A617" t="s">
        <v>2662</v>
      </c>
      <c r="B617" s="1">
        <v>45417</v>
      </c>
      <c r="C617" s="1">
        <v>45422</v>
      </c>
      <c r="D617" t="s">
        <v>314</v>
      </c>
      <c r="E617" t="s">
        <v>315</v>
      </c>
      <c r="F617" t="s">
        <v>55</v>
      </c>
      <c r="G617" t="s">
        <v>44</v>
      </c>
      <c r="H617" t="s">
        <v>161</v>
      </c>
      <c r="I617" t="s">
        <v>46</v>
      </c>
      <c r="J617" t="s">
        <v>47</v>
      </c>
      <c r="K617" t="s">
        <v>48</v>
      </c>
      <c r="L617">
        <v>2</v>
      </c>
      <c r="M617">
        <v>180</v>
      </c>
      <c r="N617">
        <v>10</v>
      </c>
      <c r="O617">
        <v>324</v>
      </c>
      <c r="P617">
        <v>141.62</v>
      </c>
      <c r="Q617" t="s">
        <v>28</v>
      </c>
      <c r="R617" t="s">
        <v>56</v>
      </c>
      <c r="S617" t="s">
        <v>110</v>
      </c>
      <c r="T617">
        <f>YEAR(Table1_1[[#This Row],[order_date]])</f>
        <v>2024</v>
      </c>
      <c r="U617">
        <f>MONTH(Table1_1[[#This Row],[order_date]])</f>
        <v>5</v>
      </c>
      <c r="V617" t="str">
        <f>TEXT(Table1_1[[#This Row],[order_date]],"mmm")</f>
        <v>May</v>
      </c>
      <c r="W617" t="str">
        <f>"Q"&amp;ROUNDUP(MONTH(Table1_1[[#This Row],[order_date]])/3,0)</f>
        <v>Q2</v>
      </c>
      <c r="X617" t="str">
        <f>TEXT(Table1_1[[#This Row],[order_date]],"yyyy-mm")</f>
        <v>2024-05</v>
      </c>
      <c r="Y617">
        <f>IF(Table1_1[[#This Row],[ship_date]]="","",Table1_1[[#This Row],[ship_date]]-Table1_1[[#This Row],[order_date]])</f>
        <v>5</v>
      </c>
      <c r="Z617">
        <f>ROUND(Table1_1[[#This Row],[profit]]/Table1_1[[#This Row],[sales_fix]]*100,2)</f>
        <v>43.71</v>
      </c>
    </row>
    <row r="618" spans="1:26" x14ac:dyDescent="0.3">
      <c r="A618" t="s">
        <v>1713</v>
      </c>
      <c r="B618" s="1">
        <v>45760</v>
      </c>
      <c r="C618" s="1">
        <v>45765</v>
      </c>
      <c r="D618" t="s">
        <v>138</v>
      </c>
      <c r="E618" t="s">
        <v>139</v>
      </c>
      <c r="F618" t="s">
        <v>55</v>
      </c>
      <c r="G618" t="s">
        <v>35</v>
      </c>
      <c r="H618" t="s">
        <v>36</v>
      </c>
      <c r="I618" t="s">
        <v>103</v>
      </c>
      <c r="J618" t="s">
        <v>104</v>
      </c>
      <c r="K618" t="s">
        <v>65</v>
      </c>
      <c r="L618">
        <v>1</v>
      </c>
      <c r="M618">
        <v>8000</v>
      </c>
      <c r="N618">
        <v>5</v>
      </c>
      <c r="O618">
        <v>7600</v>
      </c>
      <c r="P618">
        <v>2012.44</v>
      </c>
      <c r="Q618" t="s">
        <v>66</v>
      </c>
      <c r="R618" t="s">
        <v>29</v>
      </c>
      <c r="S618" t="s">
        <v>50</v>
      </c>
      <c r="T618">
        <f>YEAR(Table1_1[[#This Row],[order_date]])</f>
        <v>2025</v>
      </c>
      <c r="U618">
        <f>MONTH(Table1_1[[#This Row],[order_date]])</f>
        <v>4</v>
      </c>
      <c r="V618" t="str">
        <f>TEXT(Table1_1[[#This Row],[order_date]],"mmm")</f>
        <v>Apr</v>
      </c>
      <c r="W618" t="str">
        <f>"Q"&amp;ROUNDUP(MONTH(Table1_1[[#This Row],[order_date]])/3,0)</f>
        <v>Q2</v>
      </c>
      <c r="X618" t="str">
        <f>TEXT(Table1_1[[#This Row],[order_date]],"yyyy-mm")</f>
        <v>2025-04</v>
      </c>
      <c r="Y618">
        <f>IF(Table1_1[[#This Row],[ship_date]]="","",Table1_1[[#This Row],[ship_date]]-Table1_1[[#This Row],[order_date]])</f>
        <v>5</v>
      </c>
      <c r="Z618">
        <f>ROUND(Table1_1[[#This Row],[profit]]/Table1_1[[#This Row],[sales_fix]]*100,2)</f>
        <v>26.48</v>
      </c>
    </row>
    <row r="619" spans="1:26" x14ac:dyDescent="0.3">
      <c r="A619" t="s">
        <v>1603</v>
      </c>
      <c r="B619" s="1">
        <v>46005</v>
      </c>
      <c r="C619" s="1">
        <v>46006</v>
      </c>
      <c r="D619" t="s">
        <v>1604</v>
      </c>
      <c r="E619" t="s">
        <v>1605</v>
      </c>
      <c r="F619" t="s">
        <v>55</v>
      </c>
      <c r="G619" t="s">
        <v>44</v>
      </c>
      <c r="H619" t="s">
        <v>45</v>
      </c>
      <c r="I619" t="s">
        <v>63</v>
      </c>
      <c r="J619" t="s">
        <v>64</v>
      </c>
      <c r="K619" t="s">
        <v>65</v>
      </c>
      <c r="L619">
        <v>1</v>
      </c>
      <c r="M619">
        <v>25000</v>
      </c>
      <c r="N619">
        <v>0</v>
      </c>
      <c r="O619">
        <v>25000</v>
      </c>
      <c r="P619">
        <v>3406.03</v>
      </c>
      <c r="Q619" t="s">
        <v>74</v>
      </c>
      <c r="R619" t="s">
        <v>49</v>
      </c>
      <c r="S619" t="s">
        <v>40</v>
      </c>
      <c r="T619">
        <f>YEAR(Table1_1[[#This Row],[order_date]])</f>
        <v>2025</v>
      </c>
      <c r="U619">
        <f>MONTH(Table1_1[[#This Row],[order_date]])</f>
        <v>12</v>
      </c>
      <c r="V619" t="str">
        <f>TEXT(Table1_1[[#This Row],[order_date]],"mmm")</f>
        <v>Dec</v>
      </c>
      <c r="W619" t="str">
        <f>"Q"&amp;ROUNDUP(MONTH(Table1_1[[#This Row],[order_date]])/3,0)</f>
        <v>Q4</v>
      </c>
      <c r="X619" t="str">
        <f>TEXT(Table1_1[[#This Row],[order_date]],"yyyy-mm")</f>
        <v>2025-12</v>
      </c>
      <c r="Y619">
        <f>IF(Table1_1[[#This Row],[ship_date]]="","",Table1_1[[#This Row],[ship_date]]-Table1_1[[#This Row],[order_date]])</f>
        <v>1</v>
      </c>
      <c r="Z619">
        <f>ROUND(Table1_1[[#This Row],[profit]]/Table1_1[[#This Row],[sales_fix]]*100,2)</f>
        <v>13.62</v>
      </c>
    </row>
    <row r="620" spans="1:26" x14ac:dyDescent="0.3">
      <c r="A620" t="s">
        <v>2022</v>
      </c>
      <c r="B620" s="1">
        <v>45647</v>
      </c>
      <c r="C620" s="1">
        <v>45649</v>
      </c>
      <c r="D620" t="s">
        <v>1315</v>
      </c>
      <c r="E620" t="s">
        <v>1316</v>
      </c>
      <c r="F620" t="s">
        <v>34</v>
      </c>
      <c r="G620" t="s">
        <v>91</v>
      </c>
      <c r="H620" t="s">
        <v>92</v>
      </c>
      <c r="I620" t="s">
        <v>147</v>
      </c>
      <c r="J620" t="s">
        <v>148</v>
      </c>
      <c r="K620" t="s">
        <v>48</v>
      </c>
      <c r="L620">
        <v>3</v>
      </c>
      <c r="M620">
        <v>250</v>
      </c>
      <c r="N620">
        <v>0</v>
      </c>
      <c r="O620">
        <v>750</v>
      </c>
      <c r="P620">
        <v>244.98</v>
      </c>
      <c r="Q620" t="s">
        <v>66</v>
      </c>
      <c r="R620" t="s">
        <v>29</v>
      </c>
      <c r="S620" t="s">
        <v>40</v>
      </c>
      <c r="T620">
        <f>YEAR(Table1_1[[#This Row],[order_date]])</f>
        <v>2024</v>
      </c>
      <c r="U620">
        <f>MONTH(Table1_1[[#This Row],[order_date]])</f>
        <v>12</v>
      </c>
      <c r="V620" t="str">
        <f>TEXT(Table1_1[[#This Row],[order_date]],"mmm")</f>
        <v>Dec</v>
      </c>
      <c r="W620" t="str">
        <f>"Q"&amp;ROUNDUP(MONTH(Table1_1[[#This Row],[order_date]])/3,0)</f>
        <v>Q4</v>
      </c>
      <c r="X620" t="str">
        <f>TEXT(Table1_1[[#This Row],[order_date]],"yyyy-mm")</f>
        <v>2024-12</v>
      </c>
      <c r="Y620">
        <f>IF(Table1_1[[#This Row],[ship_date]]="","",Table1_1[[#This Row],[ship_date]]-Table1_1[[#This Row],[order_date]])</f>
        <v>2</v>
      </c>
      <c r="Z620">
        <f>ROUND(Table1_1[[#This Row],[profit]]/Table1_1[[#This Row],[sales_fix]]*100,2)</f>
        <v>32.659999999999997</v>
      </c>
    </row>
    <row r="621" spans="1:26" x14ac:dyDescent="0.3">
      <c r="A621" t="s">
        <v>1564</v>
      </c>
      <c r="B621" s="1">
        <v>45884</v>
      </c>
      <c r="C621" s="1">
        <v>45892</v>
      </c>
      <c r="D621" t="s">
        <v>1107</v>
      </c>
      <c r="E621" t="s">
        <v>1108</v>
      </c>
      <c r="F621" t="s">
        <v>55</v>
      </c>
      <c r="G621" t="s">
        <v>91</v>
      </c>
      <c r="H621" t="s">
        <v>109</v>
      </c>
      <c r="I621" t="s">
        <v>134</v>
      </c>
      <c r="J621" t="s">
        <v>135</v>
      </c>
      <c r="K621" t="s">
        <v>27</v>
      </c>
      <c r="L621">
        <v>1</v>
      </c>
      <c r="M621">
        <v>6000</v>
      </c>
      <c r="N621">
        <v>15</v>
      </c>
      <c r="O621">
        <v>5100</v>
      </c>
      <c r="P621">
        <v>1242.03</v>
      </c>
      <c r="Q621" t="s">
        <v>39</v>
      </c>
      <c r="R621" t="s">
        <v>56</v>
      </c>
      <c r="S621" t="s">
        <v>40</v>
      </c>
      <c r="T621">
        <f>YEAR(Table1_1[[#This Row],[order_date]])</f>
        <v>2025</v>
      </c>
      <c r="U621">
        <f>MONTH(Table1_1[[#This Row],[order_date]])</f>
        <v>8</v>
      </c>
      <c r="V621" t="str">
        <f>TEXT(Table1_1[[#This Row],[order_date]],"mmm")</f>
        <v>Aug</v>
      </c>
      <c r="W621" t="str">
        <f>"Q"&amp;ROUNDUP(MONTH(Table1_1[[#This Row],[order_date]])/3,0)</f>
        <v>Q3</v>
      </c>
      <c r="X621" t="str">
        <f>TEXT(Table1_1[[#This Row],[order_date]],"yyyy-mm")</f>
        <v>2025-08</v>
      </c>
      <c r="Y621">
        <f>IF(Table1_1[[#This Row],[ship_date]]="","",Table1_1[[#This Row],[ship_date]]-Table1_1[[#This Row],[order_date]])</f>
        <v>8</v>
      </c>
      <c r="Z621">
        <f>ROUND(Table1_1[[#This Row],[profit]]/Table1_1[[#This Row],[sales_fix]]*100,2)</f>
        <v>24.35</v>
      </c>
    </row>
    <row r="622" spans="1:26" x14ac:dyDescent="0.3">
      <c r="A622" t="s">
        <v>144</v>
      </c>
      <c r="B622" s="1">
        <v>45760</v>
      </c>
      <c r="C622" s="1">
        <v>45765</v>
      </c>
      <c r="D622" t="s">
        <v>145</v>
      </c>
      <c r="E622" t="s">
        <v>146</v>
      </c>
      <c r="F622" t="s">
        <v>34</v>
      </c>
      <c r="G622" t="s">
        <v>91</v>
      </c>
      <c r="H622" t="s">
        <v>92</v>
      </c>
      <c r="I622" t="s">
        <v>147</v>
      </c>
      <c r="J622" t="s">
        <v>148</v>
      </c>
      <c r="K622" t="s">
        <v>48</v>
      </c>
      <c r="L622">
        <v>1</v>
      </c>
      <c r="M622">
        <v>250</v>
      </c>
      <c r="N622">
        <v>0</v>
      </c>
      <c r="O622">
        <v>250</v>
      </c>
      <c r="P622">
        <v>105.93</v>
      </c>
      <c r="Q622" t="s">
        <v>121</v>
      </c>
      <c r="R622" t="s">
        <v>49</v>
      </c>
      <c r="S622" t="s">
        <v>50</v>
      </c>
      <c r="T622">
        <f>YEAR(Table1_1[[#This Row],[order_date]])</f>
        <v>2025</v>
      </c>
      <c r="U622">
        <f>MONTH(Table1_1[[#This Row],[order_date]])</f>
        <v>4</v>
      </c>
      <c r="V622" t="str">
        <f>TEXT(Table1_1[[#This Row],[order_date]],"mmm")</f>
        <v>Apr</v>
      </c>
      <c r="W622" t="str">
        <f>"Q"&amp;ROUNDUP(MONTH(Table1_1[[#This Row],[order_date]])/3,0)</f>
        <v>Q2</v>
      </c>
      <c r="X622" t="str">
        <f>TEXT(Table1_1[[#This Row],[order_date]],"yyyy-mm")</f>
        <v>2025-04</v>
      </c>
      <c r="Y622">
        <f>IF(Table1_1[[#This Row],[ship_date]]="","",Table1_1[[#This Row],[ship_date]]-Table1_1[[#This Row],[order_date]])</f>
        <v>5</v>
      </c>
      <c r="Z622">
        <f>ROUND(Table1_1[[#This Row],[profit]]/Table1_1[[#This Row],[sales_fix]]*100,2)</f>
        <v>42.37</v>
      </c>
    </row>
    <row r="623" spans="1:26" x14ac:dyDescent="0.3">
      <c r="A623" t="s">
        <v>31</v>
      </c>
      <c r="B623" s="1">
        <v>45587</v>
      </c>
      <c r="C623" s="1">
        <v>45590</v>
      </c>
      <c r="D623" t="s">
        <v>32</v>
      </c>
      <c r="E623" t="s">
        <v>33</v>
      </c>
      <c r="F623" t="s">
        <v>34</v>
      </c>
      <c r="G623" t="s">
        <v>35</v>
      </c>
      <c r="H623" t="s">
        <v>36</v>
      </c>
      <c r="I623" t="s">
        <v>37</v>
      </c>
      <c r="J623" t="s">
        <v>38</v>
      </c>
      <c r="K623" t="s">
        <v>27</v>
      </c>
      <c r="L623">
        <v>1</v>
      </c>
      <c r="M623">
        <v>9500</v>
      </c>
      <c r="N623">
        <v>0</v>
      </c>
      <c r="O623">
        <v>9500</v>
      </c>
      <c r="P623">
        <v>1546.13</v>
      </c>
      <c r="Q623" t="s">
        <v>39</v>
      </c>
      <c r="R623" t="s">
        <v>29</v>
      </c>
      <c r="S623" t="s">
        <v>40</v>
      </c>
      <c r="T623">
        <f>YEAR(Table1_1[[#This Row],[order_date]])</f>
        <v>2024</v>
      </c>
      <c r="U623">
        <f>MONTH(Table1_1[[#This Row],[order_date]])</f>
        <v>10</v>
      </c>
      <c r="V623" t="str">
        <f>TEXT(Table1_1[[#This Row],[order_date]],"mmm")</f>
        <v>Oct</v>
      </c>
      <c r="W623" t="str">
        <f>"Q"&amp;ROUNDUP(MONTH(Table1_1[[#This Row],[order_date]])/3,0)</f>
        <v>Q4</v>
      </c>
      <c r="X623" t="str">
        <f>TEXT(Table1_1[[#This Row],[order_date]],"yyyy-mm")</f>
        <v>2024-10</v>
      </c>
      <c r="Y623">
        <f>IF(Table1_1[[#This Row],[ship_date]]="","",Table1_1[[#This Row],[ship_date]]-Table1_1[[#This Row],[order_date]])</f>
        <v>3</v>
      </c>
      <c r="Z623">
        <f>ROUND(Table1_1[[#This Row],[profit]]/Table1_1[[#This Row],[sales_fix]]*100,2)</f>
        <v>16.28</v>
      </c>
    </row>
    <row r="624" spans="1:26" x14ac:dyDescent="0.3">
      <c r="A624" t="s">
        <v>2742</v>
      </c>
      <c r="B624" s="1">
        <v>45471</v>
      </c>
      <c r="C624" s="1">
        <v>45474</v>
      </c>
      <c r="D624" t="s">
        <v>1058</v>
      </c>
      <c r="E624" t="s">
        <v>1059</v>
      </c>
      <c r="F624" t="s">
        <v>55</v>
      </c>
      <c r="G624" t="s">
        <v>91</v>
      </c>
      <c r="H624" t="s">
        <v>92</v>
      </c>
      <c r="I624" t="s">
        <v>79</v>
      </c>
      <c r="J624" t="s">
        <v>80</v>
      </c>
      <c r="K624" t="s">
        <v>65</v>
      </c>
      <c r="L624">
        <v>4</v>
      </c>
      <c r="M624">
        <v>3000</v>
      </c>
      <c r="N624">
        <v>15</v>
      </c>
      <c r="O624">
        <v>10200</v>
      </c>
      <c r="P624">
        <v>3249.37</v>
      </c>
      <c r="Q624" t="s">
        <v>121</v>
      </c>
      <c r="R624" t="s">
        <v>29</v>
      </c>
      <c r="S624" t="s">
        <v>86</v>
      </c>
      <c r="T624">
        <f>YEAR(Table1_1[[#This Row],[order_date]])</f>
        <v>2024</v>
      </c>
      <c r="U624">
        <f>MONTH(Table1_1[[#This Row],[order_date]])</f>
        <v>6</v>
      </c>
      <c r="V624" t="str">
        <f>TEXT(Table1_1[[#This Row],[order_date]],"mmm")</f>
        <v>Jun</v>
      </c>
      <c r="W624" t="str">
        <f>"Q"&amp;ROUNDUP(MONTH(Table1_1[[#This Row],[order_date]])/3,0)</f>
        <v>Q2</v>
      </c>
      <c r="X624" t="str">
        <f>TEXT(Table1_1[[#This Row],[order_date]],"yyyy-mm")</f>
        <v>2024-06</v>
      </c>
      <c r="Y624">
        <f>IF(Table1_1[[#This Row],[ship_date]]="","",Table1_1[[#This Row],[ship_date]]-Table1_1[[#This Row],[order_date]])</f>
        <v>3</v>
      </c>
      <c r="Z624">
        <f>ROUND(Table1_1[[#This Row],[profit]]/Table1_1[[#This Row],[sales_fix]]*100,2)</f>
        <v>31.86</v>
      </c>
    </row>
    <row r="625" spans="1:26" x14ac:dyDescent="0.3">
      <c r="A625" t="s">
        <v>2491</v>
      </c>
      <c r="B625" s="1">
        <v>45880</v>
      </c>
      <c r="C625" s="1">
        <v>45884</v>
      </c>
      <c r="D625" t="s">
        <v>767</v>
      </c>
      <c r="E625" t="s">
        <v>768</v>
      </c>
      <c r="F625" t="s">
        <v>23</v>
      </c>
      <c r="G625" t="s">
        <v>35</v>
      </c>
      <c r="H625" t="s">
        <v>258</v>
      </c>
      <c r="I625" t="s">
        <v>37</v>
      </c>
      <c r="J625" t="s">
        <v>38</v>
      </c>
      <c r="K625" t="s">
        <v>27</v>
      </c>
      <c r="L625">
        <v>1</v>
      </c>
      <c r="M625">
        <v>9500</v>
      </c>
      <c r="N625">
        <v>0</v>
      </c>
      <c r="O625">
        <v>9500</v>
      </c>
      <c r="P625">
        <v>1610.95</v>
      </c>
      <c r="Q625" t="s">
        <v>39</v>
      </c>
      <c r="R625" t="s">
        <v>56</v>
      </c>
      <c r="S625" t="s">
        <v>86</v>
      </c>
      <c r="T625">
        <f>YEAR(Table1_1[[#This Row],[order_date]])</f>
        <v>2025</v>
      </c>
      <c r="U625">
        <f>MONTH(Table1_1[[#This Row],[order_date]])</f>
        <v>8</v>
      </c>
      <c r="V625" t="str">
        <f>TEXT(Table1_1[[#This Row],[order_date]],"mmm")</f>
        <v>Aug</v>
      </c>
      <c r="W625" t="str">
        <f>"Q"&amp;ROUNDUP(MONTH(Table1_1[[#This Row],[order_date]])/3,0)</f>
        <v>Q3</v>
      </c>
      <c r="X625" t="str">
        <f>TEXT(Table1_1[[#This Row],[order_date]],"yyyy-mm")</f>
        <v>2025-08</v>
      </c>
      <c r="Y625">
        <f>IF(Table1_1[[#This Row],[ship_date]]="","",Table1_1[[#This Row],[ship_date]]-Table1_1[[#This Row],[order_date]])</f>
        <v>4</v>
      </c>
      <c r="Z625">
        <f>ROUND(Table1_1[[#This Row],[profit]]/Table1_1[[#This Row],[sales_fix]]*100,2)</f>
        <v>16.96</v>
      </c>
    </row>
    <row r="626" spans="1:26" x14ac:dyDescent="0.3">
      <c r="A626" t="s">
        <v>2763</v>
      </c>
      <c r="B626" s="1">
        <v>45443</v>
      </c>
      <c r="C626" s="1">
        <v>45448</v>
      </c>
      <c r="D626" t="s">
        <v>1152</v>
      </c>
      <c r="E626" t="s">
        <v>1153</v>
      </c>
      <c r="F626" t="s">
        <v>55</v>
      </c>
      <c r="G626" t="s">
        <v>61</v>
      </c>
      <c r="H626" t="s">
        <v>211</v>
      </c>
      <c r="I626" t="s">
        <v>37</v>
      </c>
      <c r="J626" t="s">
        <v>38</v>
      </c>
      <c r="K626" t="s">
        <v>27</v>
      </c>
      <c r="L626">
        <v>1</v>
      </c>
      <c r="M626">
        <v>9500</v>
      </c>
      <c r="N626">
        <v>10</v>
      </c>
      <c r="O626">
        <v>8550</v>
      </c>
      <c r="P626">
        <v>1864.22</v>
      </c>
      <c r="Q626" t="s">
        <v>66</v>
      </c>
      <c r="R626" t="s">
        <v>29</v>
      </c>
      <c r="S626" t="s">
        <v>30</v>
      </c>
      <c r="T626">
        <f>YEAR(Table1_1[[#This Row],[order_date]])</f>
        <v>2024</v>
      </c>
      <c r="U626">
        <f>MONTH(Table1_1[[#This Row],[order_date]])</f>
        <v>5</v>
      </c>
      <c r="V626" t="str">
        <f>TEXT(Table1_1[[#This Row],[order_date]],"mmm")</f>
        <v>May</v>
      </c>
      <c r="W626" t="str">
        <f>"Q"&amp;ROUNDUP(MONTH(Table1_1[[#This Row],[order_date]])/3,0)</f>
        <v>Q2</v>
      </c>
      <c r="X626" t="str">
        <f>TEXT(Table1_1[[#This Row],[order_date]],"yyyy-mm")</f>
        <v>2024-05</v>
      </c>
      <c r="Y626">
        <f>IF(Table1_1[[#This Row],[ship_date]]="","",Table1_1[[#This Row],[ship_date]]-Table1_1[[#This Row],[order_date]])</f>
        <v>5</v>
      </c>
      <c r="Z626">
        <f>ROUND(Table1_1[[#This Row],[profit]]/Table1_1[[#This Row],[sales_fix]]*100,2)</f>
        <v>21.8</v>
      </c>
    </row>
    <row r="627" spans="1:26" x14ac:dyDescent="0.3">
      <c r="A627" t="s">
        <v>2646</v>
      </c>
      <c r="B627" s="1">
        <v>45761</v>
      </c>
      <c r="C627" s="1">
        <v>45767</v>
      </c>
      <c r="D627" t="s">
        <v>498</v>
      </c>
      <c r="E627" t="s">
        <v>499</v>
      </c>
      <c r="F627" t="s">
        <v>55</v>
      </c>
      <c r="G627" t="s">
        <v>91</v>
      </c>
      <c r="H627" t="s">
        <v>120</v>
      </c>
      <c r="I627" t="s">
        <v>79</v>
      </c>
      <c r="J627" t="s">
        <v>80</v>
      </c>
      <c r="K627" t="s">
        <v>65</v>
      </c>
      <c r="L627">
        <v>5</v>
      </c>
      <c r="M627">
        <v>3000</v>
      </c>
      <c r="N627">
        <v>0</v>
      </c>
      <c r="O627">
        <v>15000</v>
      </c>
      <c r="P627">
        <v>3157.73</v>
      </c>
      <c r="Q627" t="s">
        <v>156</v>
      </c>
      <c r="R627" t="s">
        <v>56</v>
      </c>
      <c r="S627" t="s">
        <v>110</v>
      </c>
      <c r="T627">
        <f>YEAR(Table1_1[[#This Row],[order_date]])</f>
        <v>2025</v>
      </c>
      <c r="U627">
        <f>MONTH(Table1_1[[#This Row],[order_date]])</f>
        <v>4</v>
      </c>
      <c r="V627" t="str">
        <f>TEXT(Table1_1[[#This Row],[order_date]],"mmm")</f>
        <v>Apr</v>
      </c>
      <c r="W627" t="str">
        <f>"Q"&amp;ROUNDUP(MONTH(Table1_1[[#This Row],[order_date]])/3,0)</f>
        <v>Q2</v>
      </c>
      <c r="X627" t="str">
        <f>TEXT(Table1_1[[#This Row],[order_date]],"yyyy-mm")</f>
        <v>2025-04</v>
      </c>
      <c r="Y627">
        <f>IF(Table1_1[[#This Row],[ship_date]]="","",Table1_1[[#This Row],[ship_date]]-Table1_1[[#This Row],[order_date]])</f>
        <v>6</v>
      </c>
      <c r="Z627">
        <f>ROUND(Table1_1[[#This Row],[profit]]/Table1_1[[#This Row],[sales_fix]]*100,2)</f>
        <v>21.05</v>
      </c>
    </row>
    <row r="628" spans="1:26" x14ac:dyDescent="0.3">
      <c r="A628" t="s">
        <v>952</v>
      </c>
      <c r="B628" s="1">
        <v>45879</v>
      </c>
      <c r="C628" s="1">
        <v>45887</v>
      </c>
      <c r="D628" t="s">
        <v>166</v>
      </c>
      <c r="E628" t="s">
        <v>167</v>
      </c>
      <c r="F628" t="s">
        <v>23</v>
      </c>
      <c r="G628" t="s">
        <v>44</v>
      </c>
      <c r="H628" t="s">
        <v>161</v>
      </c>
      <c r="I628" t="s">
        <v>25</v>
      </c>
      <c r="J628" t="s">
        <v>26</v>
      </c>
      <c r="K628" t="s">
        <v>27</v>
      </c>
      <c r="L628">
        <v>3</v>
      </c>
      <c r="M628">
        <v>7000</v>
      </c>
      <c r="N628">
        <v>20</v>
      </c>
      <c r="O628">
        <v>16800</v>
      </c>
      <c r="P628">
        <v>3422.84</v>
      </c>
      <c r="Q628" t="s">
        <v>74</v>
      </c>
      <c r="R628" t="s">
        <v>56</v>
      </c>
      <c r="S628" t="s">
        <v>86</v>
      </c>
      <c r="T628">
        <f>YEAR(Table1_1[[#This Row],[order_date]])</f>
        <v>2025</v>
      </c>
      <c r="U628">
        <f>MONTH(Table1_1[[#This Row],[order_date]])</f>
        <v>8</v>
      </c>
      <c r="V628" t="str">
        <f>TEXT(Table1_1[[#This Row],[order_date]],"mmm")</f>
        <v>Aug</v>
      </c>
      <c r="W628" t="str">
        <f>"Q"&amp;ROUNDUP(MONTH(Table1_1[[#This Row],[order_date]])/3,0)</f>
        <v>Q3</v>
      </c>
      <c r="X628" t="str">
        <f>TEXT(Table1_1[[#This Row],[order_date]],"yyyy-mm")</f>
        <v>2025-08</v>
      </c>
      <c r="Y628">
        <f>IF(Table1_1[[#This Row],[ship_date]]="","",Table1_1[[#This Row],[ship_date]]-Table1_1[[#This Row],[order_date]])</f>
        <v>8</v>
      </c>
      <c r="Z628">
        <f>ROUND(Table1_1[[#This Row],[profit]]/Table1_1[[#This Row],[sales_fix]]*100,2)</f>
        <v>20.37</v>
      </c>
    </row>
    <row r="629" spans="1:26" x14ac:dyDescent="0.3">
      <c r="A629" t="s">
        <v>2134</v>
      </c>
      <c r="B629" s="1">
        <v>45434</v>
      </c>
      <c r="C629" s="1">
        <v>45441</v>
      </c>
      <c r="D629" t="s">
        <v>89</v>
      </c>
      <c r="E629" t="s">
        <v>90</v>
      </c>
      <c r="F629" t="s">
        <v>23</v>
      </c>
      <c r="G629" t="s">
        <v>91</v>
      </c>
      <c r="H629" t="s">
        <v>92</v>
      </c>
      <c r="I629" t="s">
        <v>114</v>
      </c>
      <c r="J629" t="s">
        <v>115</v>
      </c>
      <c r="K629" t="s">
        <v>65</v>
      </c>
      <c r="L629">
        <v>3</v>
      </c>
      <c r="M629">
        <v>55000</v>
      </c>
      <c r="N629">
        <v>0</v>
      </c>
      <c r="O629">
        <v>165000</v>
      </c>
      <c r="P629">
        <v>24450.02</v>
      </c>
      <c r="Q629" t="s">
        <v>39</v>
      </c>
      <c r="R629" t="s">
        <v>29</v>
      </c>
      <c r="S629" t="s">
        <v>30</v>
      </c>
      <c r="T629">
        <f>YEAR(Table1_1[[#This Row],[order_date]])</f>
        <v>2024</v>
      </c>
      <c r="U629">
        <f>MONTH(Table1_1[[#This Row],[order_date]])</f>
        <v>5</v>
      </c>
      <c r="V629" t="str">
        <f>TEXT(Table1_1[[#This Row],[order_date]],"mmm")</f>
        <v>May</v>
      </c>
      <c r="W629" t="str">
        <f>"Q"&amp;ROUNDUP(MONTH(Table1_1[[#This Row],[order_date]])/3,0)</f>
        <v>Q2</v>
      </c>
      <c r="X629" t="str">
        <f>TEXT(Table1_1[[#This Row],[order_date]],"yyyy-mm")</f>
        <v>2024-05</v>
      </c>
      <c r="Y629">
        <f>IF(Table1_1[[#This Row],[ship_date]]="","",Table1_1[[#This Row],[ship_date]]-Table1_1[[#This Row],[order_date]])</f>
        <v>7</v>
      </c>
      <c r="Z629">
        <f>ROUND(Table1_1[[#This Row],[profit]]/Table1_1[[#This Row],[sales_fix]]*100,2)</f>
        <v>14.82</v>
      </c>
    </row>
    <row r="630" spans="1:26" x14ac:dyDescent="0.3">
      <c r="A630" t="s">
        <v>1724</v>
      </c>
      <c r="B630" s="1">
        <v>45626</v>
      </c>
      <c r="C630" s="1">
        <v>45631</v>
      </c>
      <c r="D630" t="s">
        <v>1265</v>
      </c>
      <c r="E630" t="s">
        <v>1266</v>
      </c>
      <c r="F630" t="s">
        <v>23</v>
      </c>
      <c r="G630" t="s">
        <v>35</v>
      </c>
      <c r="H630" t="s">
        <v>36</v>
      </c>
      <c r="I630" t="s">
        <v>63</v>
      </c>
      <c r="J630" t="s">
        <v>64</v>
      </c>
      <c r="K630" t="s">
        <v>65</v>
      </c>
      <c r="L630">
        <v>2</v>
      </c>
      <c r="M630">
        <v>25000</v>
      </c>
      <c r="N630">
        <v>10</v>
      </c>
      <c r="O630">
        <v>45000</v>
      </c>
      <c r="P630">
        <v>6146.37</v>
      </c>
      <c r="Q630" t="s">
        <v>121</v>
      </c>
      <c r="R630" t="s">
        <v>29</v>
      </c>
      <c r="S630" t="s">
        <v>86</v>
      </c>
      <c r="T630">
        <f>YEAR(Table1_1[[#This Row],[order_date]])</f>
        <v>2024</v>
      </c>
      <c r="U630">
        <f>MONTH(Table1_1[[#This Row],[order_date]])</f>
        <v>11</v>
      </c>
      <c r="V630" t="str">
        <f>TEXT(Table1_1[[#This Row],[order_date]],"mmm")</f>
        <v>Nov</v>
      </c>
      <c r="W630" t="str">
        <f>"Q"&amp;ROUNDUP(MONTH(Table1_1[[#This Row],[order_date]])/3,0)</f>
        <v>Q4</v>
      </c>
      <c r="X630" t="str">
        <f>TEXT(Table1_1[[#This Row],[order_date]],"yyyy-mm")</f>
        <v>2024-11</v>
      </c>
      <c r="Y630">
        <f>IF(Table1_1[[#This Row],[ship_date]]="","",Table1_1[[#This Row],[ship_date]]-Table1_1[[#This Row],[order_date]])</f>
        <v>5</v>
      </c>
      <c r="Z630">
        <f>ROUND(Table1_1[[#This Row],[profit]]/Table1_1[[#This Row],[sales_fix]]*100,2)</f>
        <v>13.66</v>
      </c>
    </row>
    <row r="631" spans="1:26" x14ac:dyDescent="0.3">
      <c r="A631" t="s">
        <v>1880</v>
      </c>
      <c r="B631" s="1">
        <v>45985</v>
      </c>
      <c r="C631" s="1">
        <v>45993</v>
      </c>
      <c r="D631" t="s">
        <v>822</v>
      </c>
      <c r="E631" t="s">
        <v>823</v>
      </c>
      <c r="F631" t="s">
        <v>34</v>
      </c>
      <c r="G631" t="s">
        <v>35</v>
      </c>
      <c r="H631" t="s">
        <v>187</v>
      </c>
      <c r="I631" t="s">
        <v>147</v>
      </c>
      <c r="J631" t="s">
        <v>148</v>
      </c>
      <c r="K631" t="s">
        <v>48</v>
      </c>
      <c r="L631">
        <v>1</v>
      </c>
      <c r="M631">
        <v>250</v>
      </c>
      <c r="N631">
        <v>10</v>
      </c>
      <c r="O631">
        <v>225</v>
      </c>
      <c r="P631">
        <v>77.2</v>
      </c>
      <c r="Q631" t="s">
        <v>74</v>
      </c>
      <c r="R631" t="s">
        <v>56</v>
      </c>
      <c r="S631" t="s">
        <v>40</v>
      </c>
      <c r="T631">
        <f>YEAR(Table1_1[[#This Row],[order_date]])</f>
        <v>2025</v>
      </c>
      <c r="U631">
        <f>MONTH(Table1_1[[#This Row],[order_date]])</f>
        <v>11</v>
      </c>
      <c r="V631" t="str">
        <f>TEXT(Table1_1[[#This Row],[order_date]],"mmm")</f>
        <v>Nov</v>
      </c>
      <c r="W631" t="str">
        <f>"Q"&amp;ROUNDUP(MONTH(Table1_1[[#This Row],[order_date]])/3,0)</f>
        <v>Q4</v>
      </c>
      <c r="X631" t="str">
        <f>TEXT(Table1_1[[#This Row],[order_date]],"yyyy-mm")</f>
        <v>2025-11</v>
      </c>
      <c r="Y631">
        <f>IF(Table1_1[[#This Row],[ship_date]]="","",Table1_1[[#This Row],[ship_date]]-Table1_1[[#This Row],[order_date]])</f>
        <v>8</v>
      </c>
      <c r="Z631">
        <f>ROUND(Table1_1[[#This Row],[profit]]/Table1_1[[#This Row],[sales_fix]]*100,2)</f>
        <v>34.31</v>
      </c>
    </row>
    <row r="632" spans="1:26" x14ac:dyDescent="0.3">
      <c r="A632" t="s">
        <v>1012</v>
      </c>
      <c r="B632" s="1">
        <v>45974</v>
      </c>
      <c r="C632" s="1">
        <v>45981</v>
      </c>
      <c r="D632" t="s">
        <v>798</v>
      </c>
      <c r="E632" t="s">
        <v>799</v>
      </c>
      <c r="F632" t="s">
        <v>23</v>
      </c>
      <c r="G632" t="s">
        <v>44</v>
      </c>
      <c r="H632" t="s">
        <v>330</v>
      </c>
      <c r="I632" t="s">
        <v>114</v>
      </c>
      <c r="J632" t="s">
        <v>115</v>
      </c>
      <c r="K632" t="s">
        <v>65</v>
      </c>
      <c r="L632">
        <v>1</v>
      </c>
      <c r="M632">
        <v>55000</v>
      </c>
      <c r="N632">
        <v>20</v>
      </c>
      <c r="O632">
        <v>44000</v>
      </c>
      <c r="P632">
        <v>6898.77</v>
      </c>
      <c r="Q632" t="s">
        <v>74</v>
      </c>
      <c r="R632" t="s">
        <v>29</v>
      </c>
      <c r="S632" t="s">
        <v>110</v>
      </c>
      <c r="T632">
        <f>YEAR(Table1_1[[#This Row],[order_date]])</f>
        <v>2025</v>
      </c>
      <c r="U632">
        <f>MONTH(Table1_1[[#This Row],[order_date]])</f>
        <v>11</v>
      </c>
      <c r="V632" t="str">
        <f>TEXT(Table1_1[[#This Row],[order_date]],"mmm")</f>
        <v>Nov</v>
      </c>
      <c r="W632" t="str">
        <f>"Q"&amp;ROUNDUP(MONTH(Table1_1[[#This Row],[order_date]])/3,0)</f>
        <v>Q4</v>
      </c>
      <c r="X632" t="str">
        <f>TEXT(Table1_1[[#This Row],[order_date]],"yyyy-mm")</f>
        <v>2025-11</v>
      </c>
      <c r="Y632">
        <f>IF(Table1_1[[#This Row],[ship_date]]="","",Table1_1[[#This Row],[ship_date]]-Table1_1[[#This Row],[order_date]])</f>
        <v>7</v>
      </c>
      <c r="Z632">
        <f>ROUND(Table1_1[[#This Row],[profit]]/Table1_1[[#This Row],[sales_fix]]*100,2)</f>
        <v>15.68</v>
      </c>
    </row>
    <row r="633" spans="1:26" x14ac:dyDescent="0.3">
      <c r="A633" t="s">
        <v>3076</v>
      </c>
      <c r="B633" s="1">
        <v>45607</v>
      </c>
      <c r="C633" s="1">
        <v>45615</v>
      </c>
      <c r="D633" t="s">
        <v>539</v>
      </c>
      <c r="E633" t="s">
        <v>540</v>
      </c>
      <c r="F633" t="s">
        <v>34</v>
      </c>
      <c r="G633" t="s">
        <v>61</v>
      </c>
      <c r="H633" t="s">
        <v>211</v>
      </c>
      <c r="I633" t="s">
        <v>37</v>
      </c>
      <c r="J633" t="s">
        <v>38</v>
      </c>
      <c r="K633" t="s">
        <v>27</v>
      </c>
      <c r="L633">
        <v>4</v>
      </c>
      <c r="M633">
        <v>9500</v>
      </c>
      <c r="N633">
        <v>0</v>
      </c>
      <c r="O633">
        <v>38000</v>
      </c>
      <c r="P633">
        <v>5975.71</v>
      </c>
      <c r="Q633" t="s">
        <v>156</v>
      </c>
      <c r="R633" t="s">
        <v>49</v>
      </c>
      <c r="S633" t="s">
        <v>30</v>
      </c>
      <c r="T633">
        <f>YEAR(Table1_1[[#This Row],[order_date]])</f>
        <v>2024</v>
      </c>
      <c r="U633">
        <f>MONTH(Table1_1[[#This Row],[order_date]])</f>
        <v>11</v>
      </c>
      <c r="V633" t="str">
        <f>TEXT(Table1_1[[#This Row],[order_date]],"mmm")</f>
        <v>Nov</v>
      </c>
      <c r="W633" t="str">
        <f>"Q"&amp;ROUNDUP(MONTH(Table1_1[[#This Row],[order_date]])/3,0)</f>
        <v>Q4</v>
      </c>
      <c r="X633" t="str">
        <f>TEXT(Table1_1[[#This Row],[order_date]],"yyyy-mm")</f>
        <v>2024-11</v>
      </c>
      <c r="Y633">
        <f>IF(Table1_1[[#This Row],[ship_date]]="","",Table1_1[[#This Row],[ship_date]]-Table1_1[[#This Row],[order_date]])</f>
        <v>8</v>
      </c>
      <c r="Z633">
        <f>ROUND(Table1_1[[#This Row],[profit]]/Table1_1[[#This Row],[sales_fix]]*100,2)</f>
        <v>15.73</v>
      </c>
    </row>
    <row r="634" spans="1:26" x14ac:dyDescent="0.3">
      <c r="A634" t="s">
        <v>326</v>
      </c>
      <c r="B634" s="1">
        <v>45726</v>
      </c>
      <c r="C634" s="1">
        <v>45728</v>
      </c>
      <c r="D634" t="s">
        <v>285</v>
      </c>
      <c r="E634" t="s">
        <v>286</v>
      </c>
      <c r="F634" t="s">
        <v>23</v>
      </c>
      <c r="G634" t="s">
        <v>61</v>
      </c>
      <c r="H634" t="s">
        <v>78</v>
      </c>
      <c r="I634" t="s">
        <v>79</v>
      </c>
      <c r="J634" t="s">
        <v>80</v>
      </c>
      <c r="K634" t="s">
        <v>65</v>
      </c>
      <c r="L634">
        <v>3</v>
      </c>
      <c r="M634">
        <v>3000</v>
      </c>
      <c r="N634">
        <v>5</v>
      </c>
      <c r="O634">
        <v>8550</v>
      </c>
      <c r="P634">
        <v>1938.7</v>
      </c>
      <c r="Q634" t="s">
        <v>121</v>
      </c>
      <c r="R634" t="s">
        <v>29</v>
      </c>
      <c r="S634" t="s">
        <v>110</v>
      </c>
      <c r="T634">
        <f>YEAR(Table1_1[[#This Row],[order_date]])</f>
        <v>2025</v>
      </c>
      <c r="U634">
        <f>MONTH(Table1_1[[#This Row],[order_date]])</f>
        <v>3</v>
      </c>
      <c r="V634" t="str">
        <f>TEXT(Table1_1[[#This Row],[order_date]],"mmm")</f>
        <v>Mar</v>
      </c>
      <c r="W634" t="str">
        <f>"Q"&amp;ROUNDUP(MONTH(Table1_1[[#This Row],[order_date]])/3,0)</f>
        <v>Q1</v>
      </c>
      <c r="X634" t="str">
        <f>TEXT(Table1_1[[#This Row],[order_date]],"yyyy-mm")</f>
        <v>2025-03</v>
      </c>
      <c r="Y634">
        <f>IF(Table1_1[[#This Row],[ship_date]]="","",Table1_1[[#This Row],[ship_date]]-Table1_1[[#This Row],[order_date]])</f>
        <v>2</v>
      </c>
      <c r="Z634">
        <f>ROUND(Table1_1[[#This Row],[profit]]/Table1_1[[#This Row],[sales_fix]]*100,2)</f>
        <v>22.67</v>
      </c>
    </row>
    <row r="635" spans="1:26" x14ac:dyDescent="0.3">
      <c r="A635" t="s">
        <v>543</v>
      </c>
      <c r="B635" s="1">
        <v>45635</v>
      </c>
      <c r="C635" s="1">
        <v>45636</v>
      </c>
      <c r="D635" t="s">
        <v>123</v>
      </c>
      <c r="E635" t="s">
        <v>124</v>
      </c>
      <c r="F635" t="s">
        <v>34</v>
      </c>
      <c r="G635" t="s">
        <v>61</v>
      </c>
      <c r="H635" t="s">
        <v>125</v>
      </c>
      <c r="I635" t="s">
        <v>46</v>
      </c>
      <c r="J635" t="s">
        <v>47</v>
      </c>
      <c r="K635" t="s">
        <v>48</v>
      </c>
      <c r="L635">
        <v>10</v>
      </c>
      <c r="M635">
        <v>180</v>
      </c>
      <c r="N635">
        <v>20</v>
      </c>
      <c r="O635">
        <v>1440</v>
      </c>
      <c r="P635">
        <v>551</v>
      </c>
      <c r="Q635" t="s">
        <v>28</v>
      </c>
      <c r="R635" t="s">
        <v>56</v>
      </c>
      <c r="S635" t="s">
        <v>110</v>
      </c>
      <c r="T635">
        <f>YEAR(Table1_1[[#This Row],[order_date]])</f>
        <v>2024</v>
      </c>
      <c r="U635">
        <f>MONTH(Table1_1[[#This Row],[order_date]])</f>
        <v>12</v>
      </c>
      <c r="V635" t="str">
        <f>TEXT(Table1_1[[#This Row],[order_date]],"mmm")</f>
        <v>Dec</v>
      </c>
      <c r="W635" t="str">
        <f>"Q"&amp;ROUNDUP(MONTH(Table1_1[[#This Row],[order_date]])/3,0)</f>
        <v>Q4</v>
      </c>
      <c r="X635" t="str">
        <f>TEXT(Table1_1[[#This Row],[order_date]],"yyyy-mm")</f>
        <v>2024-12</v>
      </c>
      <c r="Y635">
        <f>IF(Table1_1[[#This Row],[ship_date]]="","",Table1_1[[#This Row],[ship_date]]-Table1_1[[#This Row],[order_date]])</f>
        <v>1</v>
      </c>
      <c r="Z635">
        <f>ROUND(Table1_1[[#This Row],[profit]]/Table1_1[[#This Row],[sales_fix]]*100,2)</f>
        <v>38.26</v>
      </c>
    </row>
    <row r="636" spans="1:26" x14ac:dyDescent="0.3">
      <c r="A636" t="s">
        <v>2222</v>
      </c>
      <c r="B636" s="1">
        <v>45861</v>
      </c>
      <c r="C636" s="1">
        <v>45864</v>
      </c>
      <c r="D636" t="s">
        <v>520</v>
      </c>
      <c r="E636" t="s">
        <v>521</v>
      </c>
      <c r="F636" t="s">
        <v>23</v>
      </c>
      <c r="G636" t="s">
        <v>91</v>
      </c>
      <c r="H636" t="s">
        <v>109</v>
      </c>
      <c r="I636" t="s">
        <v>79</v>
      </c>
      <c r="J636" t="s">
        <v>80</v>
      </c>
      <c r="K636" t="s">
        <v>65</v>
      </c>
      <c r="L636">
        <v>2</v>
      </c>
      <c r="M636">
        <v>3000</v>
      </c>
      <c r="N636">
        <v>10</v>
      </c>
      <c r="O636">
        <v>5400</v>
      </c>
      <c r="P636">
        <v>1623.4</v>
      </c>
      <c r="Q636" t="s">
        <v>121</v>
      </c>
      <c r="R636" t="s">
        <v>49</v>
      </c>
      <c r="S636" t="s">
        <v>30</v>
      </c>
      <c r="T636">
        <f>YEAR(Table1_1[[#This Row],[order_date]])</f>
        <v>2025</v>
      </c>
      <c r="U636">
        <f>MONTH(Table1_1[[#This Row],[order_date]])</f>
        <v>7</v>
      </c>
      <c r="V636" t="str">
        <f>TEXT(Table1_1[[#This Row],[order_date]],"mmm")</f>
        <v>Jul</v>
      </c>
      <c r="W636" t="str">
        <f>"Q"&amp;ROUNDUP(MONTH(Table1_1[[#This Row],[order_date]])/3,0)</f>
        <v>Q3</v>
      </c>
      <c r="X636" t="str">
        <f>TEXT(Table1_1[[#This Row],[order_date]],"yyyy-mm")</f>
        <v>2025-07</v>
      </c>
      <c r="Y636">
        <f>IF(Table1_1[[#This Row],[ship_date]]="","",Table1_1[[#This Row],[ship_date]]-Table1_1[[#This Row],[order_date]])</f>
        <v>3</v>
      </c>
      <c r="Z636">
        <f>ROUND(Table1_1[[#This Row],[profit]]/Table1_1[[#This Row],[sales_fix]]*100,2)</f>
        <v>30.06</v>
      </c>
    </row>
    <row r="637" spans="1:26" x14ac:dyDescent="0.3">
      <c r="A637" t="s">
        <v>2170</v>
      </c>
      <c r="B637" s="1">
        <v>45794</v>
      </c>
      <c r="C637" s="1">
        <v>45799</v>
      </c>
      <c r="D637" t="s">
        <v>514</v>
      </c>
      <c r="E637" t="s">
        <v>515</v>
      </c>
      <c r="F637" t="s">
        <v>23</v>
      </c>
      <c r="G637" t="s">
        <v>44</v>
      </c>
      <c r="H637" t="s">
        <v>45</v>
      </c>
      <c r="I637" t="s">
        <v>46</v>
      </c>
      <c r="J637" t="s">
        <v>47</v>
      </c>
      <c r="K637" t="s">
        <v>48</v>
      </c>
      <c r="L637">
        <v>1</v>
      </c>
      <c r="M637">
        <v>180</v>
      </c>
      <c r="N637">
        <v>20</v>
      </c>
      <c r="O637">
        <v>144</v>
      </c>
      <c r="P637">
        <v>53.19</v>
      </c>
      <c r="Q637" t="s">
        <v>28</v>
      </c>
      <c r="R637" t="s">
        <v>56</v>
      </c>
      <c r="S637" t="s">
        <v>86</v>
      </c>
      <c r="T637">
        <f>YEAR(Table1_1[[#This Row],[order_date]])</f>
        <v>2025</v>
      </c>
      <c r="U637">
        <f>MONTH(Table1_1[[#This Row],[order_date]])</f>
        <v>5</v>
      </c>
      <c r="V637" t="str">
        <f>TEXT(Table1_1[[#This Row],[order_date]],"mmm")</f>
        <v>May</v>
      </c>
      <c r="W637" t="str">
        <f>"Q"&amp;ROUNDUP(MONTH(Table1_1[[#This Row],[order_date]])/3,0)</f>
        <v>Q2</v>
      </c>
      <c r="X637" t="str">
        <f>TEXT(Table1_1[[#This Row],[order_date]],"yyyy-mm")</f>
        <v>2025-05</v>
      </c>
      <c r="Y637">
        <f>IF(Table1_1[[#This Row],[ship_date]]="","",Table1_1[[#This Row],[ship_date]]-Table1_1[[#This Row],[order_date]])</f>
        <v>5</v>
      </c>
      <c r="Z637">
        <f>ROUND(Table1_1[[#This Row],[profit]]/Table1_1[[#This Row],[sales_fix]]*100,2)</f>
        <v>36.94</v>
      </c>
    </row>
    <row r="638" spans="1:26" x14ac:dyDescent="0.3">
      <c r="A638" t="s">
        <v>2413</v>
      </c>
      <c r="B638" s="1">
        <v>45294</v>
      </c>
      <c r="C638" s="1">
        <v>45302</v>
      </c>
      <c r="D638" t="s">
        <v>1202</v>
      </c>
      <c r="E638" t="s">
        <v>1203</v>
      </c>
      <c r="F638" t="s">
        <v>34</v>
      </c>
      <c r="G638" t="s">
        <v>44</v>
      </c>
      <c r="H638" t="s">
        <v>24</v>
      </c>
      <c r="I638" t="s">
        <v>114</v>
      </c>
      <c r="J638" t="s">
        <v>115</v>
      </c>
      <c r="K638" t="s">
        <v>65</v>
      </c>
      <c r="L638">
        <v>1</v>
      </c>
      <c r="M638">
        <v>55000</v>
      </c>
      <c r="N638">
        <v>0</v>
      </c>
      <c r="O638">
        <v>55000</v>
      </c>
      <c r="P638">
        <v>10715.87</v>
      </c>
      <c r="Q638" t="s">
        <v>66</v>
      </c>
      <c r="R638" t="s">
        <v>56</v>
      </c>
      <c r="S638" t="s">
        <v>110</v>
      </c>
      <c r="T638">
        <f>YEAR(Table1_1[[#This Row],[order_date]])</f>
        <v>2024</v>
      </c>
      <c r="U638">
        <f>MONTH(Table1_1[[#This Row],[order_date]])</f>
        <v>1</v>
      </c>
      <c r="V638" t="str">
        <f>TEXT(Table1_1[[#This Row],[order_date]],"mmm")</f>
        <v>Jan</v>
      </c>
      <c r="W638" t="str">
        <f>"Q"&amp;ROUNDUP(MONTH(Table1_1[[#This Row],[order_date]])/3,0)</f>
        <v>Q1</v>
      </c>
      <c r="X638" t="str">
        <f>TEXT(Table1_1[[#This Row],[order_date]],"yyyy-mm")</f>
        <v>2024-01</v>
      </c>
      <c r="Y638">
        <f>IF(Table1_1[[#This Row],[ship_date]]="","",Table1_1[[#This Row],[ship_date]]-Table1_1[[#This Row],[order_date]])</f>
        <v>8</v>
      </c>
      <c r="Z638">
        <f>ROUND(Table1_1[[#This Row],[profit]]/Table1_1[[#This Row],[sales_fix]]*100,2)</f>
        <v>19.48</v>
      </c>
    </row>
    <row r="639" spans="1:26" x14ac:dyDescent="0.3">
      <c r="A639" t="s">
        <v>1277</v>
      </c>
      <c r="B639" s="1">
        <v>45795</v>
      </c>
      <c r="C639" s="1">
        <v>45797</v>
      </c>
      <c r="D639" t="s">
        <v>318</v>
      </c>
      <c r="E639" t="s">
        <v>319</v>
      </c>
      <c r="F639" t="s">
        <v>55</v>
      </c>
      <c r="G639" t="s">
        <v>35</v>
      </c>
      <c r="H639" t="s">
        <v>36</v>
      </c>
      <c r="I639" t="s">
        <v>79</v>
      </c>
      <c r="J639" t="s">
        <v>80</v>
      </c>
      <c r="K639" t="s">
        <v>65</v>
      </c>
      <c r="L639">
        <v>5</v>
      </c>
      <c r="M639">
        <v>3000</v>
      </c>
      <c r="N639">
        <v>15</v>
      </c>
      <c r="O639">
        <v>12750</v>
      </c>
      <c r="P639">
        <v>3051.97</v>
      </c>
      <c r="Q639" t="s">
        <v>74</v>
      </c>
      <c r="R639" t="s">
        <v>49</v>
      </c>
      <c r="S639" t="s">
        <v>86</v>
      </c>
      <c r="T639">
        <f>YEAR(Table1_1[[#This Row],[order_date]])</f>
        <v>2025</v>
      </c>
      <c r="U639">
        <f>MONTH(Table1_1[[#This Row],[order_date]])</f>
        <v>5</v>
      </c>
      <c r="V639" t="str">
        <f>TEXT(Table1_1[[#This Row],[order_date]],"mmm")</f>
        <v>May</v>
      </c>
      <c r="W639" t="str">
        <f>"Q"&amp;ROUNDUP(MONTH(Table1_1[[#This Row],[order_date]])/3,0)</f>
        <v>Q2</v>
      </c>
      <c r="X639" t="str">
        <f>TEXT(Table1_1[[#This Row],[order_date]],"yyyy-mm")</f>
        <v>2025-05</v>
      </c>
      <c r="Y639">
        <f>IF(Table1_1[[#This Row],[ship_date]]="","",Table1_1[[#This Row],[ship_date]]-Table1_1[[#This Row],[order_date]])</f>
        <v>2</v>
      </c>
      <c r="Z639">
        <f>ROUND(Table1_1[[#This Row],[profit]]/Table1_1[[#This Row],[sales_fix]]*100,2)</f>
        <v>23.94</v>
      </c>
    </row>
    <row r="640" spans="1:26" x14ac:dyDescent="0.3">
      <c r="A640" t="s">
        <v>2574</v>
      </c>
      <c r="B640" s="1">
        <v>45784</v>
      </c>
      <c r="C640" s="1">
        <v>45792</v>
      </c>
      <c r="D640" t="s">
        <v>2360</v>
      </c>
      <c r="E640" t="s">
        <v>2361</v>
      </c>
      <c r="F640" t="s">
        <v>23</v>
      </c>
      <c r="G640" t="s">
        <v>44</v>
      </c>
      <c r="H640" t="s">
        <v>330</v>
      </c>
      <c r="I640" t="s">
        <v>93</v>
      </c>
      <c r="J640" t="s">
        <v>94</v>
      </c>
      <c r="K640" t="s">
        <v>95</v>
      </c>
      <c r="L640">
        <v>2</v>
      </c>
      <c r="M640">
        <v>1800</v>
      </c>
      <c r="N640">
        <v>20</v>
      </c>
      <c r="O640">
        <v>2880</v>
      </c>
      <c r="P640">
        <v>809.59</v>
      </c>
      <c r="Q640" t="s">
        <v>156</v>
      </c>
      <c r="R640" t="s">
        <v>29</v>
      </c>
      <c r="S640" t="s">
        <v>110</v>
      </c>
      <c r="T640">
        <f>YEAR(Table1_1[[#This Row],[order_date]])</f>
        <v>2025</v>
      </c>
      <c r="U640">
        <f>MONTH(Table1_1[[#This Row],[order_date]])</f>
        <v>5</v>
      </c>
      <c r="V640" t="str">
        <f>TEXT(Table1_1[[#This Row],[order_date]],"mmm")</f>
        <v>May</v>
      </c>
      <c r="W640" t="str">
        <f>"Q"&amp;ROUNDUP(MONTH(Table1_1[[#This Row],[order_date]])/3,0)</f>
        <v>Q2</v>
      </c>
      <c r="X640" t="str">
        <f>TEXT(Table1_1[[#This Row],[order_date]],"yyyy-mm")</f>
        <v>2025-05</v>
      </c>
      <c r="Y640">
        <f>IF(Table1_1[[#This Row],[ship_date]]="","",Table1_1[[#This Row],[ship_date]]-Table1_1[[#This Row],[order_date]])</f>
        <v>8</v>
      </c>
      <c r="Z640">
        <f>ROUND(Table1_1[[#This Row],[profit]]/Table1_1[[#This Row],[sales_fix]]*100,2)</f>
        <v>28.11</v>
      </c>
    </row>
    <row r="641" spans="1:26" x14ac:dyDescent="0.3">
      <c r="A641" t="s">
        <v>1878</v>
      </c>
      <c r="B641" s="1">
        <v>45881</v>
      </c>
      <c r="C641" s="1">
        <v>45882</v>
      </c>
      <c r="D641" t="s">
        <v>275</v>
      </c>
      <c r="E641" t="s">
        <v>276</v>
      </c>
      <c r="F641" t="s">
        <v>34</v>
      </c>
      <c r="G641" t="s">
        <v>91</v>
      </c>
      <c r="H641" t="s">
        <v>120</v>
      </c>
      <c r="I641" t="s">
        <v>71</v>
      </c>
      <c r="J641" t="s">
        <v>72</v>
      </c>
      <c r="K641" t="s">
        <v>73</v>
      </c>
      <c r="L641">
        <v>1</v>
      </c>
      <c r="M641">
        <v>3500</v>
      </c>
      <c r="N641">
        <v>0</v>
      </c>
      <c r="O641">
        <v>3500</v>
      </c>
      <c r="P641">
        <v>856.96</v>
      </c>
      <c r="Q641" t="s">
        <v>121</v>
      </c>
      <c r="R641" t="s">
        <v>49</v>
      </c>
      <c r="S641" t="s">
        <v>30</v>
      </c>
      <c r="T641">
        <f>YEAR(Table1_1[[#This Row],[order_date]])</f>
        <v>2025</v>
      </c>
      <c r="U641">
        <f>MONTH(Table1_1[[#This Row],[order_date]])</f>
        <v>8</v>
      </c>
      <c r="V641" t="str">
        <f>TEXT(Table1_1[[#This Row],[order_date]],"mmm")</f>
        <v>Aug</v>
      </c>
      <c r="W641" t="str">
        <f>"Q"&amp;ROUNDUP(MONTH(Table1_1[[#This Row],[order_date]])/3,0)</f>
        <v>Q3</v>
      </c>
      <c r="X641" t="str">
        <f>TEXT(Table1_1[[#This Row],[order_date]],"yyyy-mm")</f>
        <v>2025-08</v>
      </c>
      <c r="Y641">
        <f>IF(Table1_1[[#This Row],[ship_date]]="","",Table1_1[[#This Row],[ship_date]]-Table1_1[[#This Row],[order_date]])</f>
        <v>1</v>
      </c>
      <c r="Z641">
        <f>ROUND(Table1_1[[#This Row],[profit]]/Table1_1[[#This Row],[sales_fix]]*100,2)</f>
        <v>24.48</v>
      </c>
    </row>
    <row r="642" spans="1:26" x14ac:dyDescent="0.3">
      <c r="A642" t="s">
        <v>2487</v>
      </c>
      <c r="B642" s="1">
        <v>45459</v>
      </c>
      <c r="C642" s="1">
        <v>45465</v>
      </c>
      <c r="D642" t="s">
        <v>189</v>
      </c>
      <c r="E642" t="s">
        <v>190</v>
      </c>
      <c r="F642" t="s">
        <v>23</v>
      </c>
      <c r="G642" t="s">
        <v>91</v>
      </c>
      <c r="H642" t="s">
        <v>120</v>
      </c>
      <c r="I642" t="s">
        <v>37</v>
      </c>
      <c r="J642" t="s">
        <v>38</v>
      </c>
      <c r="K642" t="s">
        <v>27</v>
      </c>
      <c r="L642">
        <v>1</v>
      </c>
      <c r="M642">
        <v>9500</v>
      </c>
      <c r="N642">
        <v>0</v>
      </c>
      <c r="O642">
        <v>9500</v>
      </c>
      <c r="P642">
        <v>1648.83</v>
      </c>
      <c r="Q642" t="s">
        <v>66</v>
      </c>
      <c r="R642" t="s">
        <v>49</v>
      </c>
      <c r="S642" t="s">
        <v>110</v>
      </c>
      <c r="T642">
        <f>YEAR(Table1_1[[#This Row],[order_date]])</f>
        <v>2024</v>
      </c>
      <c r="U642">
        <f>MONTH(Table1_1[[#This Row],[order_date]])</f>
        <v>6</v>
      </c>
      <c r="V642" t="str">
        <f>TEXT(Table1_1[[#This Row],[order_date]],"mmm")</f>
        <v>Jun</v>
      </c>
      <c r="W642" t="str">
        <f>"Q"&amp;ROUNDUP(MONTH(Table1_1[[#This Row],[order_date]])/3,0)</f>
        <v>Q2</v>
      </c>
      <c r="X642" t="str">
        <f>TEXT(Table1_1[[#This Row],[order_date]],"yyyy-mm")</f>
        <v>2024-06</v>
      </c>
      <c r="Y642">
        <f>IF(Table1_1[[#This Row],[ship_date]]="","",Table1_1[[#This Row],[ship_date]]-Table1_1[[#This Row],[order_date]])</f>
        <v>6</v>
      </c>
      <c r="Z642">
        <f>ROUND(Table1_1[[#This Row],[profit]]/Table1_1[[#This Row],[sales_fix]]*100,2)</f>
        <v>17.36</v>
      </c>
    </row>
    <row r="643" spans="1:26" x14ac:dyDescent="0.3">
      <c r="A643" t="s">
        <v>2693</v>
      </c>
      <c r="B643" s="1">
        <v>45370</v>
      </c>
      <c r="C643" s="1">
        <v>45372</v>
      </c>
      <c r="D643" t="s">
        <v>692</v>
      </c>
      <c r="E643" t="s">
        <v>2006</v>
      </c>
      <c r="F643" t="s">
        <v>55</v>
      </c>
      <c r="G643" t="s">
        <v>91</v>
      </c>
      <c r="H643" t="s">
        <v>120</v>
      </c>
      <c r="I643" t="s">
        <v>126</v>
      </c>
      <c r="J643" t="s">
        <v>127</v>
      </c>
      <c r="K643" t="s">
        <v>95</v>
      </c>
      <c r="L643">
        <v>2</v>
      </c>
      <c r="M643">
        <v>600</v>
      </c>
      <c r="N643">
        <v>20</v>
      </c>
      <c r="O643">
        <v>960</v>
      </c>
      <c r="P643">
        <v>347</v>
      </c>
      <c r="Q643" t="s">
        <v>39</v>
      </c>
      <c r="R643" t="s">
        <v>29</v>
      </c>
      <c r="S643" t="s">
        <v>40</v>
      </c>
      <c r="T643">
        <f>YEAR(Table1_1[[#This Row],[order_date]])</f>
        <v>2024</v>
      </c>
      <c r="U643">
        <f>MONTH(Table1_1[[#This Row],[order_date]])</f>
        <v>3</v>
      </c>
      <c r="V643" t="str">
        <f>TEXT(Table1_1[[#This Row],[order_date]],"mmm")</f>
        <v>Mar</v>
      </c>
      <c r="W643" t="str">
        <f>"Q"&amp;ROUNDUP(MONTH(Table1_1[[#This Row],[order_date]])/3,0)</f>
        <v>Q1</v>
      </c>
      <c r="X643" t="str">
        <f>TEXT(Table1_1[[#This Row],[order_date]],"yyyy-mm")</f>
        <v>2024-03</v>
      </c>
      <c r="Y643">
        <f>IF(Table1_1[[#This Row],[ship_date]]="","",Table1_1[[#This Row],[ship_date]]-Table1_1[[#This Row],[order_date]])</f>
        <v>2</v>
      </c>
      <c r="Z643">
        <f>ROUND(Table1_1[[#This Row],[profit]]/Table1_1[[#This Row],[sales_fix]]*100,2)</f>
        <v>36.15</v>
      </c>
    </row>
    <row r="644" spans="1:26" x14ac:dyDescent="0.3">
      <c r="A644" t="s">
        <v>2183</v>
      </c>
      <c r="B644" s="1">
        <v>45993</v>
      </c>
      <c r="C644" s="1">
        <v>45995</v>
      </c>
      <c r="D644" t="s">
        <v>2043</v>
      </c>
      <c r="E644" t="s">
        <v>2044</v>
      </c>
      <c r="F644" t="s">
        <v>55</v>
      </c>
      <c r="G644" t="s">
        <v>61</v>
      </c>
      <c r="H644" t="s">
        <v>125</v>
      </c>
      <c r="I644" t="s">
        <v>37</v>
      </c>
      <c r="J644" t="s">
        <v>38</v>
      </c>
      <c r="K644" t="s">
        <v>27</v>
      </c>
      <c r="L644">
        <v>1</v>
      </c>
      <c r="M644">
        <v>9500</v>
      </c>
      <c r="N644">
        <v>15</v>
      </c>
      <c r="O644">
        <v>8075</v>
      </c>
      <c r="P644">
        <v>1575.17</v>
      </c>
      <c r="Q644" t="s">
        <v>39</v>
      </c>
      <c r="R644" t="s">
        <v>56</v>
      </c>
      <c r="S644" t="s">
        <v>110</v>
      </c>
      <c r="T644">
        <f>YEAR(Table1_1[[#This Row],[order_date]])</f>
        <v>2025</v>
      </c>
      <c r="U644">
        <f>MONTH(Table1_1[[#This Row],[order_date]])</f>
        <v>12</v>
      </c>
      <c r="V644" t="str">
        <f>TEXT(Table1_1[[#This Row],[order_date]],"mmm")</f>
        <v>Dec</v>
      </c>
      <c r="W644" t="str">
        <f>"Q"&amp;ROUNDUP(MONTH(Table1_1[[#This Row],[order_date]])/3,0)</f>
        <v>Q4</v>
      </c>
      <c r="X644" t="str">
        <f>TEXT(Table1_1[[#This Row],[order_date]],"yyyy-mm")</f>
        <v>2025-12</v>
      </c>
      <c r="Y644">
        <f>IF(Table1_1[[#This Row],[ship_date]]="","",Table1_1[[#This Row],[ship_date]]-Table1_1[[#This Row],[order_date]])</f>
        <v>2</v>
      </c>
      <c r="Z644">
        <f>ROUND(Table1_1[[#This Row],[profit]]/Table1_1[[#This Row],[sales_fix]]*100,2)</f>
        <v>19.510000000000002</v>
      </c>
    </row>
    <row r="645" spans="1:26" x14ac:dyDescent="0.3">
      <c r="A645" t="s">
        <v>623</v>
      </c>
      <c r="B645" s="1">
        <v>45432</v>
      </c>
      <c r="C645" s="1">
        <v>45439</v>
      </c>
      <c r="D645" t="s">
        <v>625</v>
      </c>
      <c r="E645" t="s">
        <v>626</v>
      </c>
      <c r="F645" t="s">
        <v>34</v>
      </c>
      <c r="G645" t="s">
        <v>61</v>
      </c>
      <c r="H645" t="s">
        <v>211</v>
      </c>
      <c r="I645" t="s">
        <v>114</v>
      </c>
      <c r="J645" t="s">
        <v>115</v>
      </c>
      <c r="K645" t="s">
        <v>65</v>
      </c>
      <c r="L645">
        <v>2</v>
      </c>
      <c r="M645">
        <v>55000</v>
      </c>
      <c r="N645">
        <v>0</v>
      </c>
      <c r="O645">
        <v>110000</v>
      </c>
      <c r="P645">
        <v>20028.16</v>
      </c>
      <c r="Q645" t="s">
        <v>74</v>
      </c>
      <c r="R645" t="s">
        <v>29</v>
      </c>
      <c r="S645" t="s">
        <v>86</v>
      </c>
      <c r="T645">
        <f>YEAR(Table1_1[[#This Row],[order_date]])</f>
        <v>2024</v>
      </c>
      <c r="U645">
        <f>MONTH(Table1_1[[#This Row],[order_date]])</f>
        <v>5</v>
      </c>
      <c r="V645" t="str">
        <f>TEXT(Table1_1[[#This Row],[order_date]],"mmm")</f>
        <v>May</v>
      </c>
      <c r="W645" t="str">
        <f>"Q"&amp;ROUNDUP(MONTH(Table1_1[[#This Row],[order_date]])/3,0)</f>
        <v>Q2</v>
      </c>
      <c r="X645" t="str">
        <f>TEXT(Table1_1[[#This Row],[order_date]],"yyyy-mm")</f>
        <v>2024-05</v>
      </c>
      <c r="Y645">
        <f>IF(Table1_1[[#This Row],[ship_date]]="","",Table1_1[[#This Row],[ship_date]]-Table1_1[[#This Row],[order_date]])</f>
        <v>7</v>
      </c>
      <c r="Z645">
        <f>ROUND(Table1_1[[#This Row],[profit]]/Table1_1[[#This Row],[sales_fix]]*100,2)</f>
        <v>18.21</v>
      </c>
    </row>
    <row r="646" spans="1:26" x14ac:dyDescent="0.3">
      <c r="A646" t="s">
        <v>2610</v>
      </c>
      <c r="B646" s="1">
        <v>45807</v>
      </c>
      <c r="C646" s="1">
        <v>45809</v>
      </c>
      <c r="D646" t="s">
        <v>343</v>
      </c>
      <c r="E646" t="s">
        <v>369</v>
      </c>
      <c r="F646" t="s">
        <v>34</v>
      </c>
      <c r="G646" t="s">
        <v>44</v>
      </c>
      <c r="H646" t="s">
        <v>45</v>
      </c>
      <c r="I646" t="s">
        <v>79</v>
      </c>
      <c r="J646" t="s">
        <v>80</v>
      </c>
      <c r="K646" t="s">
        <v>65</v>
      </c>
      <c r="L646">
        <v>1</v>
      </c>
      <c r="M646">
        <v>3000</v>
      </c>
      <c r="N646">
        <v>0</v>
      </c>
      <c r="O646">
        <v>3000</v>
      </c>
      <c r="P646">
        <v>916.24</v>
      </c>
      <c r="Q646" t="s">
        <v>28</v>
      </c>
      <c r="R646" t="s">
        <v>49</v>
      </c>
      <c r="S646" t="s">
        <v>86</v>
      </c>
      <c r="T646">
        <f>YEAR(Table1_1[[#This Row],[order_date]])</f>
        <v>2025</v>
      </c>
      <c r="U646">
        <f>MONTH(Table1_1[[#This Row],[order_date]])</f>
        <v>5</v>
      </c>
      <c r="V646" t="str">
        <f>TEXT(Table1_1[[#This Row],[order_date]],"mmm")</f>
        <v>May</v>
      </c>
      <c r="W646" t="str">
        <f>"Q"&amp;ROUNDUP(MONTH(Table1_1[[#This Row],[order_date]])/3,0)</f>
        <v>Q2</v>
      </c>
      <c r="X646" t="str">
        <f>TEXT(Table1_1[[#This Row],[order_date]],"yyyy-mm")</f>
        <v>2025-05</v>
      </c>
      <c r="Y646">
        <f>IF(Table1_1[[#This Row],[ship_date]]="","",Table1_1[[#This Row],[ship_date]]-Table1_1[[#This Row],[order_date]])</f>
        <v>2</v>
      </c>
      <c r="Z646">
        <f>ROUND(Table1_1[[#This Row],[profit]]/Table1_1[[#This Row],[sales_fix]]*100,2)</f>
        <v>30.54</v>
      </c>
    </row>
    <row r="647" spans="1:26" x14ac:dyDescent="0.3">
      <c r="A647" t="s">
        <v>556</v>
      </c>
      <c r="B647" s="1">
        <v>45309</v>
      </c>
      <c r="C647" s="1">
        <v>45312</v>
      </c>
      <c r="D647" t="s">
        <v>557</v>
      </c>
      <c r="E647" t="s">
        <v>558</v>
      </c>
      <c r="F647" t="s">
        <v>23</v>
      </c>
      <c r="G647" t="s">
        <v>61</v>
      </c>
      <c r="H647" t="s">
        <v>62</v>
      </c>
      <c r="I647" t="s">
        <v>79</v>
      </c>
      <c r="J647" t="s">
        <v>80</v>
      </c>
      <c r="K647" t="s">
        <v>65</v>
      </c>
      <c r="L647">
        <v>2</v>
      </c>
      <c r="M647">
        <v>3000</v>
      </c>
      <c r="N647">
        <v>0</v>
      </c>
      <c r="O647">
        <v>6000</v>
      </c>
      <c r="P647">
        <v>1757.56</v>
      </c>
      <c r="Q647" t="s">
        <v>28</v>
      </c>
      <c r="R647" t="s">
        <v>56</v>
      </c>
      <c r="S647" t="s">
        <v>40</v>
      </c>
      <c r="T647">
        <f>YEAR(Table1_1[[#This Row],[order_date]])</f>
        <v>2024</v>
      </c>
      <c r="U647">
        <f>MONTH(Table1_1[[#This Row],[order_date]])</f>
        <v>1</v>
      </c>
      <c r="V647" t="str">
        <f>TEXT(Table1_1[[#This Row],[order_date]],"mmm")</f>
        <v>Jan</v>
      </c>
      <c r="W647" t="str">
        <f>"Q"&amp;ROUNDUP(MONTH(Table1_1[[#This Row],[order_date]])/3,0)</f>
        <v>Q1</v>
      </c>
      <c r="X647" t="str">
        <f>TEXT(Table1_1[[#This Row],[order_date]],"yyyy-mm")</f>
        <v>2024-01</v>
      </c>
      <c r="Y647">
        <f>IF(Table1_1[[#This Row],[ship_date]]="","",Table1_1[[#This Row],[ship_date]]-Table1_1[[#This Row],[order_date]])</f>
        <v>3</v>
      </c>
      <c r="Z647">
        <f>ROUND(Table1_1[[#This Row],[profit]]/Table1_1[[#This Row],[sales_fix]]*100,2)</f>
        <v>29.29</v>
      </c>
    </row>
    <row r="648" spans="1:26" x14ac:dyDescent="0.3">
      <c r="A648" t="s">
        <v>1439</v>
      </c>
      <c r="B648" s="1">
        <v>46018</v>
      </c>
      <c r="C648" s="1">
        <v>46021</v>
      </c>
      <c r="D648" t="s">
        <v>1135</v>
      </c>
      <c r="E648" t="s">
        <v>1136</v>
      </c>
      <c r="F648" t="s">
        <v>55</v>
      </c>
      <c r="G648" t="s">
        <v>61</v>
      </c>
      <c r="H648" t="s">
        <v>125</v>
      </c>
      <c r="I648" t="s">
        <v>79</v>
      </c>
      <c r="J648" t="s">
        <v>80</v>
      </c>
      <c r="K648" t="s">
        <v>65</v>
      </c>
      <c r="L648">
        <v>3</v>
      </c>
      <c r="M648">
        <v>3000</v>
      </c>
      <c r="N648">
        <v>0</v>
      </c>
      <c r="O648">
        <v>9000</v>
      </c>
      <c r="P648">
        <v>2130.15</v>
      </c>
      <c r="Q648" t="s">
        <v>156</v>
      </c>
      <c r="R648" t="s">
        <v>29</v>
      </c>
      <c r="S648" t="s">
        <v>110</v>
      </c>
      <c r="T648">
        <f>YEAR(Table1_1[[#This Row],[order_date]])</f>
        <v>2025</v>
      </c>
      <c r="U648">
        <f>MONTH(Table1_1[[#This Row],[order_date]])</f>
        <v>12</v>
      </c>
      <c r="V648" t="str">
        <f>TEXT(Table1_1[[#This Row],[order_date]],"mmm")</f>
        <v>Dec</v>
      </c>
      <c r="W648" t="str">
        <f>"Q"&amp;ROUNDUP(MONTH(Table1_1[[#This Row],[order_date]])/3,0)</f>
        <v>Q4</v>
      </c>
      <c r="X648" t="str">
        <f>TEXT(Table1_1[[#This Row],[order_date]],"yyyy-mm")</f>
        <v>2025-12</v>
      </c>
      <c r="Y648">
        <f>IF(Table1_1[[#This Row],[ship_date]]="","",Table1_1[[#This Row],[ship_date]]-Table1_1[[#This Row],[order_date]])</f>
        <v>3</v>
      </c>
      <c r="Z648">
        <f>ROUND(Table1_1[[#This Row],[profit]]/Table1_1[[#This Row],[sales_fix]]*100,2)</f>
        <v>23.67</v>
      </c>
    </row>
    <row r="649" spans="1:26" x14ac:dyDescent="0.3">
      <c r="A649" t="s">
        <v>2216</v>
      </c>
      <c r="B649" s="1">
        <v>45425</v>
      </c>
      <c r="C649" s="1">
        <v>45427</v>
      </c>
      <c r="D649" t="s">
        <v>755</v>
      </c>
      <c r="E649" t="s">
        <v>756</v>
      </c>
      <c r="F649" t="s">
        <v>34</v>
      </c>
      <c r="G649" t="s">
        <v>44</v>
      </c>
      <c r="H649" t="s">
        <v>161</v>
      </c>
      <c r="I649" t="s">
        <v>103</v>
      </c>
      <c r="J649" t="s">
        <v>104</v>
      </c>
      <c r="K649" t="s">
        <v>65</v>
      </c>
      <c r="L649">
        <v>10</v>
      </c>
      <c r="M649">
        <v>8000</v>
      </c>
      <c r="N649">
        <v>5</v>
      </c>
      <c r="O649">
        <v>76000</v>
      </c>
      <c r="P649">
        <v>18550.22</v>
      </c>
      <c r="Q649" t="s">
        <v>66</v>
      </c>
      <c r="R649" t="s">
        <v>29</v>
      </c>
      <c r="S649" t="s">
        <v>30</v>
      </c>
      <c r="T649">
        <f>YEAR(Table1_1[[#This Row],[order_date]])</f>
        <v>2024</v>
      </c>
      <c r="U649">
        <f>MONTH(Table1_1[[#This Row],[order_date]])</f>
        <v>5</v>
      </c>
      <c r="V649" t="str">
        <f>TEXT(Table1_1[[#This Row],[order_date]],"mmm")</f>
        <v>May</v>
      </c>
      <c r="W649" t="str">
        <f>"Q"&amp;ROUNDUP(MONTH(Table1_1[[#This Row],[order_date]])/3,0)</f>
        <v>Q2</v>
      </c>
      <c r="X649" t="str">
        <f>TEXT(Table1_1[[#This Row],[order_date]],"yyyy-mm")</f>
        <v>2024-05</v>
      </c>
      <c r="Y649">
        <f>IF(Table1_1[[#This Row],[ship_date]]="","",Table1_1[[#This Row],[ship_date]]-Table1_1[[#This Row],[order_date]])</f>
        <v>2</v>
      </c>
      <c r="Z649">
        <f>ROUND(Table1_1[[#This Row],[profit]]/Table1_1[[#This Row],[sales_fix]]*100,2)</f>
        <v>24.41</v>
      </c>
    </row>
    <row r="650" spans="1:26" x14ac:dyDescent="0.3">
      <c r="A650" t="s">
        <v>835</v>
      </c>
      <c r="B650" s="1">
        <v>45493</v>
      </c>
      <c r="C650" s="1">
        <v>45494</v>
      </c>
      <c r="D650" t="s">
        <v>575</v>
      </c>
      <c r="E650" t="s">
        <v>836</v>
      </c>
      <c r="F650" t="s">
        <v>34</v>
      </c>
      <c r="G650" t="s">
        <v>91</v>
      </c>
      <c r="H650" t="s">
        <v>120</v>
      </c>
      <c r="I650" t="s">
        <v>114</v>
      </c>
      <c r="J650" t="s">
        <v>115</v>
      </c>
      <c r="K650" t="s">
        <v>65</v>
      </c>
      <c r="L650">
        <v>1</v>
      </c>
      <c r="M650">
        <v>55000</v>
      </c>
      <c r="N650">
        <v>20</v>
      </c>
      <c r="O650">
        <v>44000</v>
      </c>
      <c r="P650">
        <v>7634.21</v>
      </c>
      <c r="Q650" t="s">
        <v>3113</v>
      </c>
      <c r="R650" t="s">
        <v>29</v>
      </c>
      <c r="S650" t="s">
        <v>110</v>
      </c>
      <c r="T650">
        <f>YEAR(Table1_1[[#This Row],[order_date]])</f>
        <v>2024</v>
      </c>
      <c r="U650">
        <f>MONTH(Table1_1[[#This Row],[order_date]])</f>
        <v>7</v>
      </c>
      <c r="V650" t="str">
        <f>TEXT(Table1_1[[#This Row],[order_date]],"mmm")</f>
        <v>Jul</v>
      </c>
      <c r="W650" t="str">
        <f>"Q"&amp;ROUNDUP(MONTH(Table1_1[[#This Row],[order_date]])/3,0)</f>
        <v>Q3</v>
      </c>
      <c r="X650" t="str">
        <f>TEXT(Table1_1[[#This Row],[order_date]],"yyyy-mm")</f>
        <v>2024-07</v>
      </c>
      <c r="Y650">
        <f>IF(Table1_1[[#This Row],[ship_date]]="","",Table1_1[[#This Row],[ship_date]]-Table1_1[[#This Row],[order_date]])</f>
        <v>1</v>
      </c>
      <c r="Z650">
        <f>ROUND(Table1_1[[#This Row],[profit]]/Table1_1[[#This Row],[sales_fix]]*100,2)</f>
        <v>17.350000000000001</v>
      </c>
    </row>
    <row r="651" spans="1:26" x14ac:dyDescent="0.3">
      <c r="A651" t="s">
        <v>2932</v>
      </c>
      <c r="B651" s="1">
        <v>45600</v>
      </c>
      <c r="C651" s="1">
        <v>45604</v>
      </c>
      <c r="D651" t="s">
        <v>592</v>
      </c>
      <c r="E651" t="s">
        <v>593</v>
      </c>
      <c r="F651" t="s">
        <v>55</v>
      </c>
      <c r="G651" t="s">
        <v>35</v>
      </c>
      <c r="H651" t="s">
        <v>258</v>
      </c>
      <c r="I651" t="s">
        <v>63</v>
      </c>
      <c r="J651" t="s">
        <v>64</v>
      </c>
      <c r="K651" t="s">
        <v>65</v>
      </c>
      <c r="L651">
        <v>3</v>
      </c>
      <c r="M651">
        <v>25000</v>
      </c>
      <c r="N651">
        <v>20</v>
      </c>
      <c r="O651">
        <v>60000</v>
      </c>
      <c r="P651">
        <v>6745.66</v>
      </c>
      <c r="Q651" t="s">
        <v>39</v>
      </c>
      <c r="R651" t="s">
        <v>29</v>
      </c>
      <c r="S651" t="s">
        <v>50</v>
      </c>
      <c r="T651">
        <f>YEAR(Table1_1[[#This Row],[order_date]])</f>
        <v>2024</v>
      </c>
      <c r="U651">
        <f>MONTH(Table1_1[[#This Row],[order_date]])</f>
        <v>11</v>
      </c>
      <c r="V651" t="str">
        <f>TEXT(Table1_1[[#This Row],[order_date]],"mmm")</f>
        <v>Nov</v>
      </c>
      <c r="W651" t="str">
        <f>"Q"&amp;ROUNDUP(MONTH(Table1_1[[#This Row],[order_date]])/3,0)</f>
        <v>Q4</v>
      </c>
      <c r="X651" t="str">
        <f>TEXT(Table1_1[[#This Row],[order_date]],"yyyy-mm")</f>
        <v>2024-11</v>
      </c>
      <c r="Y651">
        <f>IF(Table1_1[[#This Row],[ship_date]]="","",Table1_1[[#This Row],[ship_date]]-Table1_1[[#This Row],[order_date]])</f>
        <v>4</v>
      </c>
      <c r="Z651">
        <f>ROUND(Table1_1[[#This Row],[profit]]/Table1_1[[#This Row],[sales_fix]]*100,2)</f>
        <v>11.24</v>
      </c>
    </row>
    <row r="652" spans="1:26" x14ac:dyDescent="0.3">
      <c r="A652" t="s">
        <v>2460</v>
      </c>
      <c r="B652" s="1">
        <v>45384</v>
      </c>
      <c r="C652" s="1">
        <v>45390</v>
      </c>
      <c r="D652" t="s">
        <v>409</v>
      </c>
      <c r="E652" t="s">
        <v>410</v>
      </c>
      <c r="F652" t="s">
        <v>23</v>
      </c>
      <c r="G652" t="s">
        <v>61</v>
      </c>
      <c r="H652" t="s">
        <v>125</v>
      </c>
      <c r="I652" t="s">
        <v>114</v>
      </c>
      <c r="J652" t="s">
        <v>115</v>
      </c>
      <c r="K652" t="s">
        <v>65</v>
      </c>
      <c r="L652">
        <v>1</v>
      </c>
      <c r="M652">
        <v>55000</v>
      </c>
      <c r="N652">
        <v>15</v>
      </c>
      <c r="O652">
        <v>46750</v>
      </c>
      <c r="P652">
        <v>9060.75</v>
      </c>
      <c r="Q652" t="s">
        <v>74</v>
      </c>
      <c r="R652" t="s">
        <v>29</v>
      </c>
      <c r="S652" t="s">
        <v>40</v>
      </c>
      <c r="T652">
        <f>YEAR(Table1_1[[#This Row],[order_date]])</f>
        <v>2024</v>
      </c>
      <c r="U652">
        <f>MONTH(Table1_1[[#This Row],[order_date]])</f>
        <v>4</v>
      </c>
      <c r="V652" t="str">
        <f>TEXT(Table1_1[[#This Row],[order_date]],"mmm")</f>
        <v>Apr</v>
      </c>
      <c r="W652" t="str">
        <f>"Q"&amp;ROUNDUP(MONTH(Table1_1[[#This Row],[order_date]])/3,0)</f>
        <v>Q2</v>
      </c>
      <c r="X652" t="str">
        <f>TEXT(Table1_1[[#This Row],[order_date]],"yyyy-mm")</f>
        <v>2024-04</v>
      </c>
      <c r="Y652">
        <f>IF(Table1_1[[#This Row],[ship_date]]="","",Table1_1[[#This Row],[ship_date]]-Table1_1[[#This Row],[order_date]])</f>
        <v>6</v>
      </c>
      <c r="Z652">
        <f>ROUND(Table1_1[[#This Row],[profit]]/Table1_1[[#This Row],[sales_fix]]*100,2)</f>
        <v>19.38</v>
      </c>
    </row>
    <row r="653" spans="1:26" x14ac:dyDescent="0.3">
      <c r="A653" t="s">
        <v>2963</v>
      </c>
      <c r="B653" s="1">
        <v>45875</v>
      </c>
      <c r="C653" s="1">
        <v>45876</v>
      </c>
      <c r="D653" t="s">
        <v>101</v>
      </c>
      <c r="E653" t="s">
        <v>102</v>
      </c>
      <c r="F653" t="s">
        <v>55</v>
      </c>
      <c r="G653" t="s">
        <v>35</v>
      </c>
      <c r="H653" t="s">
        <v>36</v>
      </c>
      <c r="I653" t="s">
        <v>46</v>
      </c>
      <c r="J653" t="s">
        <v>47</v>
      </c>
      <c r="K653" t="s">
        <v>48</v>
      </c>
      <c r="L653">
        <v>1</v>
      </c>
      <c r="M653">
        <v>180</v>
      </c>
      <c r="N653">
        <v>20</v>
      </c>
      <c r="O653">
        <v>144</v>
      </c>
      <c r="P653">
        <v>60.35</v>
      </c>
      <c r="Q653" t="s">
        <v>39</v>
      </c>
      <c r="R653" t="s">
        <v>29</v>
      </c>
      <c r="S653" t="s">
        <v>50</v>
      </c>
      <c r="T653">
        <f>YEAR(Table1_1[[#This Row],[order_date]])</f>
        <v>2025</v>
      </c>
      <c r="U653">
        <f>MONTH(Table1_1[[#This Row],[order_date]])</f>
        <v>8</v>
      </c>
      <c r="V653" t="str">
        <f>TEXT(Table1_1[[#This Row],[order_date]],"mmm")</f>
        <v>Aug</v>
      </c>
      <c r="W653" t="str">
        <f>"Q"&amp;ROUNDUP(MONTH(Table1_1[[#This Row],[order_date]])/3,0)</f>
        <v>Q3</v>
      </c>
      <c r="X653" t="str">
        <f>TEXT(Table1_1[[#This Row],[order_date]],"yyyy-mm")</f>
        <v>2025-08</v>
      </c>
      <c r="Y653">
        <f>IF(Table1_1[[#This Row],[ship_date]]="","",Table1_1[[#This Row],[ship_date]]-Table1_1[[#This Row],[order_date]])</f>
        <v>1</v>
      </c>
      <c r="Z653">
        <f>ROUND(Table1_1[[#This Row],[profit]]/Table1_1[[#This Row],[sales_fix]]*100,2)</f>
        <v>41.91</v>
      </c>
    </row>
    <row r="654" spans="1:26" x14ac:dyDescent="0.3">
      <c r="A654" t="s">
        <v>632</v>
      </c>
      <c r="B654" s="1">
        <v>45842</v>
      </c>
      <c r="C654" s="1">
        <v>45846</v>
      </c>
      <c r="D654" t="s">
        <v>132</v>
      </c>
      <c r="E654" t="s">
        <v>133</v>
      </c>
      <c r="F654" t="s">
        <v>23</v>
      </c>
      <c r="G654" t="s">
        <v>91</v>
      </c>
      <c r="H654" t="s">
        <v>120</v>
      </c>
      <c r="I654" t="s">
        <v>79</v>
      </c>
      <c r="J654" t="s">
        <v>80</v>
      </c>
      <c r="K654" t="s">
        <v>65</v>
      </c>
      <c r="L654">
        <v>1</v>
      </c>
      <c r="M654">
        <v>3000</v>
      </c>
      <c r="N654">
        <v>15</v>
      </c>
      <c r="O654">
        <v>2550</v>
      </c>
      <c r="P654">
        <v>565.70000000000005</v>
      </c>
      <c r="Q654" t="s">
        <v>39</v>
      </c>
      <c r="R654" t="s">
        <v>56</v>
      </c>
      <c r="S654" t="s">
        <v>30</v>
      </c>
      <c r="T654">
        <f>YEAR(Table1_1[[#This Row],[order_date]])</f>
        <v>2025</v>
      </c>
      <c r="U654">
        <f>MONTH(Table1_1[[#This Row],[order_date]])</f>
        <v>7</v>
      </c>
      <c r="V654" t="str">
        <f>TEXT(Table1_1[[#This Row],[order_date]],"mmm")</f>
        <v>Jul</v>
      </c>
      <c r="W654" t="str">
        <f>"Q"&amp;ROUNDUP(MONTH(Table1_1[[#This Row],[order_date]])/3,0)</f>
        <v>Q3</v>
      </c>
      <c r="X654" t="str">
        <f>TEXT(Table1_1[[#This Row],[order_date]],"yyyy-mm")</f>
        <v>2025-07</v>
      </c>
      <c r="Y654">
        <f>IF(Table1_1[[#This Row],[ship_date]]="","",Table1_1[[#This Row],[ship_date]]-Table1_1[[#This Row],[order_date]])</f>
        <v>4</v>
      </c>
      <c r="Z654">
        <f>ROUND(Table1_1[[#This Row],[profit]]/Table1_1[[#This Row],[sales_fix]]*100,2)</f>
        <v>22.18</v>
      </c>
    </row>
    <row r="655" spans="1:26" x14ac:dyDescent="0.3">
      <c r="A655" t="s">
        <v>2645</v>
      </c>
      <c r="B655" s="1">
        <v>45895</v>
      </c>
      <c r="C655" s="1">
        <v>45898</v>
      </c>
      <c r="D655" t="s">
        <v>990</v>
      </c>
      <c r="E655" t="s">
        <v>991</v>
      </c>
      <c r="F655" t="s">
        <v>23</v>
      </c>
      <c r="G655" t="s">
        <v>61</v>
      </c>
      <c r="H655" t="s">
        <v>62</v>
      </c>
      <c r="I655" t="s">
        <v>71</v>
      </c>
      <c r="J655" t="s">
        <v>72</v>
      </c>
      <c r="K655" t="s">
        <v>73</v>
      </c>
      <c r="L655">
        <v>1</v>
      </c>
      <c r="M655">
        <v>3500</v>
      </c>
      <c r="N655">
        <v>15</v>
      </c>
      <c r="O655">
        <v>2975</v>
      </c>
      <c r="P655">
        <v>952</v>
      </c>
      <c r="Q655" t="s">
        <v>74</v>
      </c>
      <c r="R655" t="s">
        <v>49</v>
      </c>
      <c r="S655" t="s">
        <v>30</v>
      </c>
      <c r="T655">
        <f>YEAR(Table1_1[[#This Row],[order_date]])</f>
        <v>2025</v>
      </c>
      <c r="U655">
        <f>MONTH(Table1_1[[#This Row],[order_date]])</f>
        <v>8</v>
      </c>
      <c r="V655" t="str">
        <f>TEXT(Table1_1[[#This Row],[order_date]],"mmm")</f>
        <v>Aug</v>
      </c>
      <c r="W655" t="str">
        <f>"Q"&amp;ROUNDUP(MONTH(Table1_1[[#This Row],[order_date]])/3,0)</f>
        <v>Q3</v>
      </c>
      <c r="X655" t="str">
        <f>TEXT(Table1_1[[#This Row],[order_date]],"yyyy-mm")</f>
        <v>2025-08</v>
      </c>
      <c r="Y655">
        <f>IF(Table1_1[[#This Row],[ship_date]]="","",Table1_1[[#This Row],[ship_date]]-Table1_1[[#This Row],[order_date]])</f>
        <v>3</v>
      </c>
      <c r="Z655">
        <f>ROUND(Table1_1[[#This Row],[profit]]/Table1_1[[#This Row],[sales_fix]]*100,2)</f>
        <v>32</v>
      </c>
    </row>
    <row r="656" spans="1:26" x14ac:dyDescent="0.3">
      <c r="A656" t="s">
        <v>955</v>
      </c>
      <c r="B656" s="1">
        <v>45525</v>
      </c>
      <c r="C656" s="1">
        <v>45527</v>
      </c>
      <c r="D656" t="s">
        <v>956</v>
      </c>
      <c r="E656" t="s">
        <v>1086</v>
      </c>
      <c r="F656" t="s">
        <v>55</v>
      </c>
      <c r="G656" t="s">
        <v>44</v>
      </c>
      <c r="H656" t="s">
        <v>24</v>
      </c>
      <c r="I656" t="s">
        <v>46</v>
      </c>
      <c r="J656" t="s">
        <v>47</v>
      </c>
      <c r="K656" t="s">
        <v>48</v>
      </c>
      <c r="L656">
        <v>2</v>
      </c>
      <c r="M656">
        <v>180</v>
      </c>
      <c r="N656">
        <v>20</v>
      </c>
      <c r="O656">
        <v>288</v>
      </c>
      <c r="P656">
        <v>141.76</v>
      </c>
      <c r="Q656" t="s">
        <v>28</v>
      </c>
      <c r="R656" t="s">
        <v>29</v>
      </c>
      <c r="S656" t="s">
        <v>40</v>
      </c>
      <c r="T656">
        <f>YEAR(Table1_1[[#This Row],[order_date]])</f>
        <v>2024</v>
      </c>
      <c r="U656">
        <f>MONTH(Table1_1[[#This Row],[order_date]])</f>
        <v>8</v>
      </c>
      <c r="V656" t="str">
        <f>TEXT(Table1_1[[#This Row],[order_date]],"mmm")</f>
        <v>Aug</v>
      </c>
      <c r="W656" t="str">
        <f>"Q"&amp;ROUNDUP(MONTH(Table1_1[[#This Row],[order_date]])/3,0)</f>
        <v>Q3</v>
      </c>
      <c r="X656" t="str">
        <f>TEXT(Table1_1[[#This Row],[order_date]],"yyyy-mm")</f>
        <v>2024-08</v>
      </c>
      <c r="Y656">
        <f>IF(Table1_1[[#This Row],[ship_date]]="","",Table1_1[[#This Row],[ship_date]]-Table1_1[[#This Row],[order_date]])</f>
        <v>2</v>
      </c>
      <c r="Z656">
        <f>ROUND(Table1_1[[#This Row],[profit]]/Table1_1[[#This Row],[sales_fix]]*100,2)</f>
        <v>49.22</v>
      </c>
    </row>
    <row r="657" spans="1:26" x14ac:dyDescent="0.3">
      <c r="A657" t="s">
        <v>188</v>
      </c>
      <c r="B657" s="1">
        <v>45661</v>
      </c>
      <c r="C657" s="1">
        <v>45663</v>
      </c>
      <c r="D657" t="s">
        <v>189</v>
      </c>
      <c r="E657" t="s">
        <v>190</v>
      </c>
      <c r="F657" t="s">
        <v>23</v>
      </c>
      <c r="G657" t="s">
        <v>91</v>
      </c>
      <c r="H657" t="s">
        <v>120</v>
      </c>
      <c r="I657" t="s">
        <v>147</v>
      </c>
      <c r="J657" t="s">
        <v>148</v>
      </c>
      <c r="K657" t="s">
        <v>48</v>
      </c>
      <c r="L657">
        <v>3</v>
      </c>
      <c r="M657">
        <v>250</v>
      </c>
      <c r="N657">
        <v>10</v>
      </c>
      <c r="O657">
        <v>675</v>
      </c>
      <c r="P657">
        <v>266.99</v>
      </c>
      <c r="Q657" t="s">
        <v>3113</v>
      </c>
      <c r="R657" t="s">
        <v>49</v>
      </c>
      <c r="S657" t="s">
        <v>86</v>
      </c>
      <c r="T657">
        <f>YEAR(Table1_1[[#This Row],[order_date]])</f>
        <v>2025</v>
      </c>
      <c r="U657">
        <f>MONTH(Table1_1[[#This Row],[order_date]])</f>
        <v>1</v>
      </c>
      <c r="V657" t="str">
        <f>TEXT(Table1_1[[#This Row],[order_date]],"mmm")</f>
        <v>Jan</v>
      </c>
      <c r="W657" t="str">
        <f>"Q"&amp;ROUNDUP(MONTH(Table1_1[[#This Row],[order_date]])/3,0)</f>
        <v>Q1</v>
      </c>
      <c r="X657" t="str">
        <f>TEXT(Table1_1[[#This Row],[order_date]],"yyyy-mm")</f>
        <v>2025-01</v>
      </c>
      <c r="Y657">
        <f>IF(Table1_1[[#This Row],[ship_date]]="","",Table1_1[[#This Row],[ship_date]]-Table1_1[[#This Row],[order_date]])</f>
        <v>2</v>
      </c>
      <c r="Z657">
        <f>ROUND(Table1_1[[#This Row],[profit]]/Table1_1[[#This Row],[sales_fix]]*100,2)</f>
        <v>39.549999999999997</v>
      </c>
    </row>
    <row r="658" spans="1:26" x14ac:dyDescent="0.3">
      <c r="A658" t="s">
        <v>2308</v>
      </c>
      <c r="B658" s="1">
        <v>45759</v>
      </c>
      <c r="C658" s="1">
        <v>45767</v>
      </c>
      <c r="D658" t="s">
        <v>301</v>
      </c>
      <c r="E658" t="s">
        <v>302</v>
      </c>
      <c r="F658" t="s">
        <v>34</v>
      </c>
      <c r="G658" t="s">
        <v>44</v>
      </c>
      <c r="H658" t="s">
        <v>24</v>
      </c>
      <c r="I658" t="s">
        <v>25</v>
      </c>
      <c r="J658" t="s">
        <v>26</v>
      </c>
      <c r="K658" t="s">
        <v>27</v>
      </c>
      <c r="L658">
        <v>2</v>
      </c>
      <c r="M658">
        <v>7000</v>
      </c>
      <c r="N658">
        <v>0</v>
      </c>
      <c r="O658">
        <v>14000</v>
      </c>
      <c r="P658">
        <v>3002.44</v>
      </c>
      <c r="Q658" t="s">
        <v>121</v>
      </c>
      <c r="R658" t="s">
        <v>56</v>
      </c>
      <c r="S658" t="s">
        <v>30</v>
      </c>
      <c r="T658">
        <f>YEAR(Table1_1[[#This Row],[order_date]])</f>
        <v>2025</v>
      </c>
      <c r="U658">
        <f>MONTH(Table1_1[[#This Row],[order_date]])</f>
        <v>4</v>
      </c>
      <c r="V658" t="str">
        <f>TEXT(Table1_1[[#This Row],[order_date]],"mmm")</f>
        <v>Apr</v>
      </c>
      <c r="W658" t="str">
        <f>"Q"&amp;ROUNDUP(MONTH(Table1_1[[#This Row],[order_date]])/3,0)</f>
        <v>Q2</v>
      </c>
      <c r="X658" t="str">
        <f>TEXT(Table1_1[[#This Row],[order_date]],"yyyy-mm")</f>
        <v>2025-04</v>
      </c>
      <c r="Y658">
        <f>IF(Table1_1[[#This Row],[ship_date]]="","",Table1_1[[#This Row],[ship_date]]-Table1_1[[#This Row],[order_date]])</f>
        <v>8</v>
      </c>
      <c r="Z658">
        <f>ROUND(Table1_1[[#This Row],[profit]]/Table1_1[[#This Row],[sales_fix]]*100,2)</f>
        <v>21.45</v>
      </c>
    </row>
    <row r="659" spans="1:26" x14ac:dyDescent="0.3">
      <c r="A659" t="s">
        <v>1034</v>
      </c>
      <c r="B659" s="1">
        <v>45485</v>
      </c>
      <c r="C659" s="1">
        <v>45491</v>
      </c>
      <c r="D659" t="s">
        <v>514</v>
      </c>
      <c r="E659" t="s">
        <v>515</v>
      </c>
      <c r="F659" t="s">
        <v>23</v>
      </c>
      <c r="G659" t="s">
        <v>44</v>
      </c>
      <c r="H659" t="s">
        <v>45</v>
      </c>
      <c r="I659" t="s">
        <v>134</v>
      </c>
      <c r="J659" t="s">
        <v>135</v>
      </c>
      <c r="K659" t="s">
        <v>27</v>
      </c>
      <c r="L659">
        <v>4</v>
      </c>
      <c r="M659">
        <v>6000</v>
      </c>
      <c r="N659">
        <v>20</v>
      </c>
      <c r="O659">
        <v>19200</v>
      </c>
      <c r="P659">
        <v>4704.6499999999996</v>
      </c>
      <c r="Q659" t="s">
        <v>121</v>
      </c>
      <c r="R659" t="s">
        <v>29</v>
      </c>
      <c r="S659" t="s">
        <v>30</v>
      </c>
      <c r="T659">
        <f>YEAR(Table1_1[[#This Row],[order_date]])</f>
        <v>2024</v>
      </c>
      <c r="U659">
        <f>MONTH(Table1_1[[#This Row],[order_date]])</f>
        <v>7</v>
      </c>
      <c r="V659" t="str">
        <f>TEXT(Table1_1[[#This Row],[order_date]],"mmm")</f>
        <v>Jul</v>
      </c>
      <c r="W659" t="str">
        <f>"Q"&amp;ROUNDUP(MONTH(Table1_1[[#This Row],[order_date]])/3,0)</f>
        <v>Q3</v>
      </c>
      <c r="X659" t="str">
        <f>TEXT(Table1_1[[#This Row],[order_date]],"yyyy-mm")</f>
        <v>2024-07</v>
      </c>
      <c r="Y659">
        <f>IF(Table1_1[[#This Row],[ship_date]]="","",Table1_1[[#This Row],[ship_date]]-Table1_1[[#This Row],[order_date]])</f>
        <v>6</v>
      </c>
      <c r="Z659">
        <f>ROUND(Table1_1[[#This Row],[profit]]/Table1_1[[#This Row],[sales_fix]]*100,2)</f>
        <v>24.5</v>
      </c>
    </row>
    <row r="660" spans="1:26" x14ac:dyDescent="0.3">
      <c r="A660" t="s">
        <v>1761</v>
      </c>
      <c r="B660" s="1">
        <v>45740</v>
      </c>
      <c r="C660" s="1">
        <v>45743</v>
      </c>
      <c r="D660" t="s">
        <v>774</v>
      </c>
      <c r="E660" t="s">
        <v>775</v>
      </c>
      <c r="F660" t="s">
        <v>55</v>
      </c>
      <c r="G660" t="s">
        <v>61</v>
      </c>
      <c r="H660" t="s">
        <v>211</v>
      </c>
      <c r="I660" t="s">
        <v>134</v>
      </c>
      <c r="J660" t="s">
        <v>135</v>
      </c>
      <c r="K660" t="s">
        <v>27</v>
      </c>
      <c r="L660">
        <v>2</v>
      </c>
      <c r="M660">
        <v>6000</v>
      </c>
      <c r="N660">
        <v>15</v>
      </c>
      <c r="O660">
        <v>10200</v>
      </c>
      <c r="P660">
        <v>1796.84</v>
      </c>
      <c r="Q660" t="s">
        <v>28</v>
      </c>
      <c r="R660" t="s">
        <v>49</v>
      </c>
      <c r="S660" t="s">
        <v>40</v>
      </c>
      <c r="T660">
        <f>YEAR(Table1_1[[#This Row],[order_date]])</f>
        <v>2025</v>
      </c>
      <c r="U660">
        <f>MONTH(Table1_1[[#This Row],[order_date]])</f>
        <v>3</v>
      </c>
      <c r="V660" t="str">
        <f>TEXT(Table1_1[[#This Row],[order_date]],"mmm")</f>
        <v>Mar</v>
      </c>
      <c r="W660" t="str">
        <f>"Q"&amp;ROUNDUP(MONTH(Table1_1[[#This Row],[order_date]])/3,0)</f>
        <v>Q1</v>
      </c>
      <c r="X660" t="str">
        <f>TEXT(Table1_1[[#This Row],[order_date]],"yyyy-mm")</f>
        <v>2025-03</v>
      </c>
      <c r="Y660">
        <f>IF(Table1_1[[#This Row],[ship_date]]="","",Table1_1[[#This Row],[ship_date]]-Table1_1[[#This Row],[order_date]])</f>
        <v>3</v>
      </c>
      <c r="Z660">
        <f>ROUND(Table1_1[[#This Row],[profit]]/Table1_1[[#This Row],[sales_fix]]*100,2)</f>
        <v>17.62</v>
      </c>
    </row>
    <row r="661" spans="1:26" x14ac:dyDescent="0.3">
      <c r="A661" t="s">
        <v>2268</v>
      </c>
      <c r="B661" s="1">
        <v>45464</v>
      </c>
      <c r="C661" s="1">
        <v>45471</v>
      </c>
      <c r="D661" t="s">
        <v>1184</v>
      </c>
      <c r="E661" t="s">
        <v>1185</v>
      </c>
      <c r="F661" t="s">
        <v>55</v>
      </c>
      <c r="G661" t="s">
        <v>91</v>
      </c>
      <c r="H661" t="s">
        <v>109</v>
      </c>
      <c r="I661" t="s">
        <v>71</v>
      </c>
      <c r="J661" t="s">
        <v>72</v>
      </c>
      <c r="K661" t="s">
        <v>73</v>
      </c>
      <c r="L661">
        <v>1</v>
      </c>
      <c r="M661">
        <v>3500</v>
      </c>
      <c r="N661">
        <v>0</v>
      </c>
      <c r="O661">
        <v>3500</v>
      </c>
      <c r="P661">
        <v>935.71</v>
      </c>
      <c r="Q661" t="s">
        <v>66</v>
      </c>
      <c r="R661" t="s">
        <v>29</v>
      </c>
      <c r="S661" t="s">
        <v>30</v>
      </c>
      <c r="T661">
        <f>YEAR(Table1_1[[#This Row],[order_date]])</f>
        <v>2024</v>
      </c>
      <c r="U661">
        <f>MONTH(Table1_1[[#This Row],[order_date]])</f>
        <v>6</v>
      </c>
      <c r="V661" t="str">
        <f>TEXT(Table1_1[[#This Row],[order_date]],"mmm")</f>
        <v>Jun</v>
      </c>
      <c r="W661" t="str">
        <f>"Q"&amp;ROUNDUP(MONTH(Table1_1[[#This Row],[order_date]])/3,0)</f>
        <v>Q2</v>
      </c>
      <c r="X661" t="str">
        <f>TEXT(Table1_1[[#This Row],[order_date]],"yyyy-mm")</f>
        <v>2024-06</v>
      </c>
      <c r="Y661">
        <f>IF(Table1_1[[#This Row],[ship_date]]="","",Table1_1[[#This Row],[ship_date]]-Table1_1[[#This Row],[order_date]])</f>
        <v>7</v>
      </c>
      <c r="Z661">
        <f>ROUND(Table1_1[[#This Row],[profit]]/Table1_1[[#This Row],[sales_fix]]*100,2)</f>
        <v>26.73</v>
      </c>
    </row>
    <row r="662" spans="1:26" x14ac:dyDescent="0.3">
      <c r="A662" t="s">
        <v>2950</v>
      </c>
      <c r="B662" s="1">
        <v>45887</v>
      </c>
      <c r="C662" s="1">
        <v>45894</v>
      </c>
      <c r="D662" t="s">
        <v>498</v>
      </c>
      <c r="E662" t="s">
        <v>499</v>
      </c>
      <c r="F662" t="s">
        <v>55</v>
      </c>
      <c r="G662" t="s">
        <v>91</v>
      </c>
      <c r="H662" t="s">
        <v>120</v>
      </c>
      <c r="I662" t="s">
        <v>25</v>
      </c>
      <c r="J662" t="s">
        <v>26</v>
      </c>
      <c r="K662" t="s">
        <v>27</v>
      </c>
      <c r="L662">
        <v>2</v>
      </c>
      <c r="M662">
        <v>7000</v>
      </c>
      <c r="N662">
        <v>20</v>
      </c>
      <c r="O662">
        <v>11200</v>
      </c>
      <c r="P662">
        <v>2502.92</v>
      </c>
      <c r="Q662" t="s">
        <v>74</v>
      </c>
      <c r="R662" t="s">
        <v>49</v>
      </c>
      <c r="S662" t="s">
        <v>40</v>
      </c>
      <c r="T662">
        <f>YEAR(Table1_1[[#This Row],[order_date]])</f>
        <v>2025</v>
      </c>
      <c r="U662">
        <f>MONTH(Table1_1[[#This Row],[order_date]])</f>
        <v>8</v>
      </c>
      <c r="V662" t="str">
        <f>TEXT(Table1_1[[#This Row],[order_date]],"mmm")</f>
        <v>Aug</v>
      </c>
      <c r="W662" t="str">
        <f>"Q"&amp;ROUNDUP(MONTH(Table1_1[[#This Row],[order_date]])/3,0)</f>
        <v>Q3</v>
      </c>
      <c r="X662" t="str">
        <f>TEXT(Table1_1[[#This Row],[order_date]],"yyyy-mm")</f>
        <v>2025-08</v>
      </c>
      <c r="Y662">
        <f>IF(Table1_1[[#This Row],[ship_date]]="","",Table1_1[[#This Row],[ship_date]]-Table1_1[[#This Row],[order_date]])</f>
        <v>7</v>
      </c>
      <c r="Z662">
        <f>ROUND(Table1_1[[#This Row],[profit]]/Table1_1[[#This Row],[sales_fix]]*100,2)</f>
        <v>22.35</v>
      </c>
    </row>
    <row r="663" spans="1:26" x14ac:dyDescent="0.3">
      <c r="A663" t="s">
        <v>1520</v>
      </c>
      <c r="B663" s="1">
        <v>45815</v>
      </c>
      <c r="C663" s="1">
        <v>45817</v>
      </c>
      <c r="D663" t="s">
        <v>1055</v>
      </c>
      <c r="E663" t="s">
        <v>1056</v>
      </c>
      <c r="F663" t="s">
        <v>55</v>
      </c>
      <c r="G663" t="s">
        <v>61</v>
      </c>
      <c r="H663" t="s">
        <v>62</v>
      </c>
      <c r="I663" t="s">
        <v>147</v>
      </c>
      <c r="J663" t="s">
        <v>148</v>
      </c>
      <c r="K663" t="s">
        <v>48</v>
      </c>
      <c r="L663">
        <v>1</v>
      </c>
      <c r="M663">
        <v>250</v>
      </c>
      <c r="N663">
        <v>20</v>
      </c>
      <c r="O663">
        <v>200</v>
      </c>
      <c r="P663">
        <v>70.55</v>
      </c>
      <c r="Q663" t="s">
        <v>74</v>
      </c>
      <c r="R663" t="s">
        <v>49</v>
      </c>
      <c r="S663" t="s">
        <v>30</v>
      </c>
      <c r="T663">
        <f>YEAR(Table1_1[[#This Row],[order_date]])</f>
        <v>2025</v>
      </c>
      <c r="U663">
        <f>MONTH(Table1_1[[#This Row],[order_date]])</f>
        <v>6</v>
      </c>
      <c r="V663" t="str">
        <f>TEXT(Table1_1[[#This Row],[order_date]],"mmm")</f>
        <v>Jun</v>
      </c>
      <c r="W663" t="str">
        <f>"Q"&amp;ROUNDUP(MONTH(Table1_1[[#This Row],[order_date]])/3,0)</f>
        <v>Q2</v>
      </c>
      <c r="X663" t="str">
        <f>TEXT(Table1_1[[#This Row],[order_date]],"yyyy-mm")</f>
        <v>2025-06</v>
      </c>
      <c r="Y663">
        <f>IF(Table1_1[[#This Row],[ship_date]]="","",Table1_1[[#This Row],[ship_date]]-Table1_1[[#This Row],[order_date]])</f>
        <v>2</v>
      </c>
      <c r="Z663">
        <f>ROUND(Table1_1[[#This Row],[profit]]/Table1_1[[#This Row],[sales_fix]]*100,2)</f>
        <v>35.28</v>
      </c>
    </row>
    <row r="664" spans="1:26" x14ac:dyDescent="0.3">
      <c r="A664" t="s">
        <v>2958</v>
      </c>
      <c r="B664" s="1">
        <v>45429</v>
      </c>
      <c r="C664" s="1">
        <v>45431</v>
      </c>
      <c r="D664" t="s">
        <v>1205</v>
      </c>
      <c r="E664" t="s">
        <v>1206</v>
      </c>
      <c r="F664" t="s">
        <v>34</v>
      </c>
      <c r="G664" t="s">
        <v>44</v>
      </c>
      <c r="H664" t="s">
        <v>45</v>
      </c>
      <c r="I664" t="s">
        <v>126</v>
      </c>
      <c r="J664" t="s">
        <v>127</v>
      </c>
      <c r="K664" t="s">
        <v>95</v>
      </c>
      <c r="L664">
        <v>1</v>
      </c>
      <c r="M664">
        <v>600</v>
      </c>
      <c r="N664">
        <v>15</v>
      </c>
      <c r="O664">
        <v>510</v>
      </c>
      <c r="P664">
        <v>139.76</v>
      </c>
      <c r="Q664" t="s">
        <v>28</v>
      </c>
      <c r="R664" t="s">
        <v>56</v>
      </c>
      <c r="S664" t="s">
        <v>86</v>
      </c>
      <c r="T664">
        <f>YEAR(Table1_1[[#This Row],[order_date]])</f>
        <v>2024</v>
      </c>
      <c r="U664">
        <f>MONTH(Table1_1[[#This Row],[order_date]])</f>
        <v>5</v>
      </c>
      <c r="V664" t="str">
        <f>TEXT(Table1_1[[#This Row],[order_date]],"mmm")</f>
        <v>May</v>
      </c>
      <c r="W664" t="str">
        <f>"Q"&amp;ROUNDUP(MONTH(Table1_1[[#This Row],[order_date]])/3,0)</f>
        <v>Q2</v>
      </c>
      <c r="X664" t="str">
        <f>TEXT(Table1_1[[#This Row],[order_date]],"yyyy-mm")</f>
        <v>2024-05</v>
      </c>
      <c r="Y664">
        <f>IF(Table1_1[[#This Row],[ship_date]]="","",Table1_1[[#This Row],[ship_date]]-Table1_1[[#This Row],[order_date]])</f>
        <v>2</v>
      </c>
      <c r="Z664">
        <f>ROUND(Table1_1[[#This Row],[profit]]/Table1_1[[#This Row],[sales_fix]]*100,2)</f>
        <v>27.4</v>
      </c>
    </row>
    <row r="665" spans="1:26" x14ac:dyDescent="0.3">
      <c r="A665" t="s">
        <v>2496</v>
      </c>
      <c r="B665" s="1">
        <v>45911</v>
      </c>
      <c r="C665" s="1">
        <v>45913</v>
      </c>
      <c r="D665" t="s">
        <v>220</v>
      </c>
      <c r="E665" t="s">
        <v>221</v>
      </c>
      <c r="F665" t="s">
        <v>34</v>
      </c>
      <c r="G665" t="s">
        <v>44</v>
      </c>
      <c r="H665" t="s">
        <v>161</v>
      </c>
      <c r="I665" t="s">
        <v>134</v>
      </c>
      <c r="J665" t="s">
        <v>135</v>
      </c>
      <c r="K665" t="s">
        <v>27</v>
      </c>
      <c r="L665">
        <v>3</v>
      </c>
      <c r="M665">
        <v>6000</v>
      </c>
      <c r="N665">
        <v>0</v>
      </c>
      <c r="O665">
        <v>18000</v>
      </c>
      <c r="P665">
        <v>3547.16</v>
      </c>
      <c r="Q665" t="s">
        <v>66</v>
      </c>
      <c r="R665" t="s">
        <v>56</v>
      </c>
      <c r="S665" t="s">
        <v>40</v>
      </c>
      <c r="T665">
        <f>YEAR(Table1_1[[#This Row],[order_date]])</f>
        <v>2025</v>
      </c>
      <c r="U665">
        <f>MONTH(Table1_1[[#This Row],[order_date]])</f>
        <v>9</v>
      </c>
      <c r="V665" t="str">
        <f>TEXT(Table1_1[[#This Row],[order_date]],"mmm")</f>
        <v>Sep</v>
      </c>
      <c r="W665" t="str">
        <f>"Q"&amp;ROUNDUP(MONTH(Table1_1[[#This Row],[order_date]])/3,0)</f>
        <v>Q3</v>
      </c>
      <c r="X665" t="str">
        <f>TEXT(Table1_1[[#This Row],[order_date]],"yyyy-mm")</f>
        <v>2025-09</v>
      </c>
      <c r="Y665">
        <f>IF(Table1_1[[#This Row],[ship_date]]="","",Table1_1[[#This Row],[ship_date]]-Table1_1[[#This Row],[order_date]])</f>
        <v>2</v>
      </c>
      <c r="Z665">
        <f>ROUND(Table1_1[[#This Row],[profit]]/Table1_1[[#This Row],[sales_fix]]*100,2)</f>
        <v>19.71</v>
      </c>
    </row>
    <row r="666" spans="1:26" x14ac:dyDescent="0.3">
      <c r="A666" t="s">
        <v>1493</v>
      </c>
      <c r="B666" s="1">
        <v>45498</v>
      </c>
      <c r="C666" s="1">
        <v>45503</v>
      </c>
      <c r="D666" t="s">
        <v>936</v>
      </c>
      <c r="E666" t="s">
        <v>937</v>
      </c>
      <c r="F666" t="s">
        <v>23</v>
      </c>
      <c r="G666" t="s">
        <v>44</v>
      </c>
      <c r="H666" t="s">
        <v>161</v>
      </c>
      <c r="I666" t="s">
        <v>147</v>
      </c>
      <c r="J666" t="s">
        <v>148</v>
      </c>
      <c r="K666" t="s">
        <v>48</v>
      </c>
      <c r="L666">
        <v>1</v>
      </c>
      <c r="M666">
        <v>250</v>
      </c>
      <c r="N666">
        <v>5</v>
      </c>
      <c r="O666">
        <v>237.5</v>
      </c>
      <c r="P666">
        <v>85.13</v>
      </c>
      <c r="Q666" t="s">
        <v>39</v>
      </c>
      <c r="R666" t="s">
        <v>49</v>
      </c>
      <c r="S666" t="s">
        <v>40</v>
      </c>
      <c r="T666">
        <f>YEAR(Table1_1[[#This Row],[order_date]])</f>
        <v>2024</v>
      </c>
      <c r="U666">
        <f>MONTH(Table1_1[[#This Row],[order_date]])</f>
        <v>7</v>
      </c>
      <c r="V666" t="str">
        <f>TEXT(Table1_1[[#This Row],[order_date]],"mmm")</f>
        <v>Jul</v>
      </c>
      <c r="W666" t="str">
        <f>"Q"&amp;ROUNDUP(MONTH(Table1_1[[#This Row],[order_date]])/3,0)</f>
        <v>Q3</v>
      </c>
      <c r="X666" t="str">
        <f>TEXT(Table1_1[[#This Row],[order_date]],"yyyy-mm")</f>
        <v>2024-07</v>
      </c>
      <c r="Y666">
        <f>IF(Table1_1[[#This Row],[ship_date]]="","",Table1_1[[#This Row],[ship_date]]-Table1_1[[#This Row],[order_date]])</f>
        <v>5</v>
      </c>
      <c r="Z666">
        <f>ROUND(Table1_1[[#This Row],[profit]]/Table1_1[[#This Row],[sales_fix]]*100,2)</f>
        <v>35.840000000000003</v>
      </c>
    </row>
    <row r="667" spans="1:26" x14ac:dyDescent="0.3">
      <c r="A667" t="s">
        <v>2985</v>
      </c>
      <c r="B667" s="1">
        <v>45324</v>
      </c>
      <c r="C667" s="1">
        <v>45330</v>
      </c>
      <c r="D667" t="s">
        <v>118</v>
      </c>
      <c r="E667" t="s">
        <v>119</v>
      </c>
      <c r="F667" t="s">
        <v>34</v>
      </c>
      <c r="G667" t="s">
        <v>91</v>
      </c>
      <c r="H667" t="s">
        <v>120</v>
      </c>
      <c r="I667" t="s">
        <v>114</v>
      </c>
      <c r="J667" t="s">
        <v>115</v>
      </c>
      <c r="K667" t="s">
        <v>65</v>
      </c>
      <c r="L667">
        <v>10</v>
      </c>
      <c r="M667">
        <v>55000</v>
      </c>
      <c r="N667">
        <v>0</v>
      </c>
      <c r="O667">
        <v>550000</v>
      </c>
      <c r="P667">
        <v>84491.74</v>
      </c>
      <c r="Q667" t="s">
        <v>28</v>
      </c>
      <c r="R667" t="s">
        <v>49</v>
      </c>
      <c r="S667" t="s">
        <v>30</v>
      </c>
      <c r="T667">
        <f>YEAR(Table1_1[[#This Row],[order_date]])</f>
        <v>2024</v>
      </c>
      <c r="U667">
        <f>MONTH(Table1_1[[#This Row],[order_date]])</f>
        <v>2</v>
      </c>
      <c r="V667" t="str">
        <f>TEXT(Table1_1[[#This Row],[order_date]],"mmm")</f>
        <v>Feb</v>
      </c>
      <c r="W667" t="str">
        <f>"Q"&amp;ROUNDUP(MONTH(Table1_1[[#This Row],[order_date]])/3,0)</f>
        <v>Q1</v>
      </c>
      <c r="X667" t="str">
        <f>TEXT(Table1_1[[#This Row],[order_date]],"yyyy-mm")</f>
        <v>2024-02</v>
      </c>
      <c r="Y667">
        <f>IF(Table1_1[[#This Row],[ship_date]]="","",Table1_1[[#This Row],[ship_date]]-Table1_1[[#This Row],[order_date]])</f>
        <v>6</v>
      </c>
      <c r="Z667">
        <f>ROUND(Table1_1[[#This Row],[profit]]/Table1_1[[#This Row],[sales_fix]]*100,2)</f>
        <v>15.36</v>
      </c>
    </row>
    <row r="668" spans="1:26" x14ac:dyDescent="0.3">
      <c r="A668" t="s">
        <v>1590</v>
      </c>
      <c r="B668" s="1">
        <v>45473</v>
      </c>
      <c r="C668" s="1">
        <v>45476</v>
      </c>
      <c r="D668" t="s">
        <v>247</v>
      </c>
      <c r="E668" t="s">
        <v>248</v>
      </c>
      <c r="F668" t="s">
        <v>34</v>
      </c>
      <c r="G668" t="s">
        <v>61</v>
      </c>
      <c r="H668" t="s">
        <v>78</v>
      </c>
      <c r="I668" t="s">
        <v>114</v>
      </c>
      <c r="J668" t="s">
        <v>115</v>
      </c>
      <c r="K668" t="s">
        <v>65</v>
      </c>
      <c r="L668">
        <v>2</v>
      </c>
      <c r="M668">
        <v>55000</v>
      </c>
      <c r="N668">
        <v>20</v>
      </c>
      <c r="O668">
        <v>88000</v>
      </c>
      <c r="P668">
        <v>16026.17</v>
      </c>
      <c r="Q668" t="s">
        <v>28</v>
      </c>
      <c r="R668" t="s">
        <v>49</v>
      </c>
      <c r="S668" t="s">
        <v>50</v>
      </c>
      <c r="T668">
        <f>YEAR(Table1_1[[#This Row],[order_date]])</f>
        <v>2024</v>
      </c>
      <c r="U668">
        <f>MONTH(Table1_1[[#This Row],[order_date]])</f>
        <v>6</v>
      </c>
      <c r="V668" t="str">
        <f>TEXT(Table1_1[[#This Row],[order_date]],"mmm")</f>
        <v>Jun</v>
      </c>
      <c r="W668" t="str">
        <f>"Q"&amp;ROUNDUP(MONTH(Table1_1[[#This Row],[order_date]])/3,0)</f>
        <v>Q2</v>
      </c>
      <c r="X668" t="str">
        <f>TEXT(Table1_1[[#This Row],[order_date]],"yyyy-mm")</f>
        <v>2024-06</v>
      </c>
      <c r="Y668">
        <f>IF(Table1_1[[#This Row],[ship_date]]="","",Table1_1[[#This Row],[ship_date]]-Table1_1[[#This Row],[order_date]])</f>
        <v>3</v>
      </c>
      <c r="Z668">
        <f>ROUND(Table1_1[[#This Row],[profit]]/Table1_1[[#This Row],[sales_fix]]*100,2)</f>
        <v>18.21</v>
      </c>
    </row>
    <row r="669" spans="1:26" x14ac:dyDescent="0.3">
      <c r="A669" t="s">
        <v>1908</v>
      </c>
      <c r="B669" s="1">
        <v>45690</v>
      </c>
      <c r="C669" s="1">
        <v>45698</v>
      </c>
      <c r="D669" t="s">
        <v>830</v>
      </c>
      <c r="E669" t="s">
        <v>831</v>
      </c>
      <c r="F669" t="s">
        <v>23</v>
      </c>
      <c r="G669" t="s">
        <v>61</v>
      </c>
      <c r="H669" t="s">
        <v>125</v>
      </c>
      <c r="I669" t="s">
        <v>71</v>
      </c>
      <c r="J669" t="s">
        <v>72</v>
      </c>
      <c r="K669" t="s">
        <v>73</v>
      </c>
      <c r="L669">
        <v>2</v>
      </c>
      <c r="M669">
        <v>3500</v>
      </c>
      <c r="N669">
        <v>0</v>
      </c>
      <c r="O669">
        <v>7000</v>
      </c>
      <c r="P669">
        <v>2077.69</v>
      </c>
      <c r="Q669" t="s">
        <v>156</v>
      </c>
      <c r="R669" t="s">
        <v>56</v>
      </c>
      <c r="S669" t="s">
        <v>40</v>
      </c>
      <c r="T669">
        <f>YEAR(Table1_1[[#This Row],[order_date]])</f>
        <v>2025</v>
      </c>
      <c r="U669">
        <f>MONTH(Table1_1[[#This Row],[order_date]])</f>
        <v>2</v>
      </c>
      <c r="V669" t="str">
        <f>TEXT(Table1_1[[#This Row],[order_date]],"mmm")</f>
        <v>Feb</v>
      </c>
      <c r="W669" t="str">
        <f>"Q"&amp;ROUNDUP(MONTH(Table1_1[[#This Row],[order_date]])/3,0)</f>
        <v>Q1</v>
      </c>
      <c r="X669" t="str">
        <f>TEXT(Table1_1[[#This Row],[order_date]],"yyyy-mm")</f>
        <v>2025-02</v>
      </c>
      <c r="Y669">
        <f>IF(Table1_1[[#This Row],[ship_date]]="","",Table1_1[[#This Row],[ship_date]]-Table1_1[[#This Row],[order_date]])</f>
        <v>8</v>
      </c>
      <c r="Z669">
        <f>ROUND(Table1_1[[#This Row],[profit]]/Table1_1[[#This Row],[sales_fix]]*100,2)</f>
        <v>29.68</v>
      </c>
    </row>
    <row r="670" spans="1:26" x14ac:dyDescent="0.3">
      <c r="A670" t="s">
        <v>2772</v>
      </c>
      <c r="B670" s="1">
        <v>45779</v>
      </c>
      <c r="C670" s="1">
        <v>45786</v>
      </c>
      <c r="D670" t="s">
        <v>272</v>
      </c>
      <c r="E670" t="s">
        <v>273</v>
      </c>
      <c r="F670" t="s">
        <v>23</v>
      </c>
      <c r="G670" t="s">
        <v>35</v>
      </c>
      <c r="H670" t="s">
        <v>258</v>
      </c>
      <c r="I670" t="s">
        <v>147</v>
      </c>
      <c r="J670" t="s">
        <v>148</v>
      </c>
      <c r="K670" t="s">
        <v>48</v>
      </c>
      <c r="L670">
        <v>2</v>
      </c>
      <c r="M670">
        <v>250</v>
      </c>
      <c r="N670">
        <v>0</v>
      </c>
      <c r="O670">
        <v>500</v>
      </c>
      <c r="P670">
        <v>180.53</v>
      </c>
      <c r="Q670" t="s">
        <v>74</v>
      </c>
      <c r="R670" t="s">
        <v>49</v>
      </c>
      <c r="S670" t="s">
        <v>40</v>
      </c>
      <c r="T670">
        <f>YEAR(Table1_1[[#This Row],[order_date]])</f>
        <v>2025</v>
      </c>
      <c r="U670">
        <f>MONTH(Table1_1[[#This Row],[order_date]])</f>
        <v>5</v>
      </c>
      <c r="V670" t="str">
        <f>TEXT(Table1_1[[#This Row],[order_date]],"mmm")</f>
        <v>May</v>
      </c>
      <c r="W670" t="str">
        <f>"Q"&amp;ROUNDUP(MONTH(Table1_1[[#This Row],[order_date]])/3,0)</f>
        <v>Q2</v>
      </c>
      <c r="X670" t="str">
        <f>TEXT(Table1_1[[#This Row],[order_date]],"yyyy-mm")</f>
        <v>2025-05</v>
      </c>
      <c r="Y670">
        <f>IF(Table1_1[[#This Row],[ship_date]]="","",Table1_1[[#This Row],[ship_date]]-Table1_1[[#This Row],[order_date]])</f>
        <v>7</v>
      </c>
      <c r="Z670">
        <f>ROUND(Table1_1[[#This Row],[profit]]/Table1_1[[#This Row],[sales_fix]]*100,2)</f>
        <v>36.11</v>
      </c>
    </row>
    <row r="671" spans="1:26" x14ac:dyDescent="0.3">
      <c r="A671" t="s">
        <v>615</v>
      </c>
      <c r="B671" s="1">
        <v>45984</v>
      </c>
      <c r="C671" s="1">
        <v>45985</v>
      </c>
      <c r="D671" t="s">
        <v>617</v>
      </c>
      <c r="E671" t="s">
        <v>618</v>
      </c>
      <c r="F671" t="s">
        <v>23</v>
      </c>
      <c r="G671" t="s">
        <v>91</v>
      </c>
      <c r="H671" t="s">
        <v>120</v>
      </c>
      <c r="I671" t="s">
        <v>93</v>
      </c>
      <c r="J671" t="s">
        <v>94</v>
      </c>
      <c r="K671" t="s">
        <v>95</v>
      </c>
      <c r="L671">
        <v>10</v>
      </c>
      <c r="M671">
        <v>1800</v>
      </c>
      <c r="N671">
        <v>0</v>
      </c>
      <c r="O671">
        <v>18000</v>
      </c>
      <c r="P671">
        <v>4564.79</v>
      </c>
      <c r="Q671" t="s">
        <v>121</v>
      </c>
      <c r="R671" t="s">
        <v>49</v>
      </c>
      <c r="S671" t="s">
        <v>110</v>
      </c>
      <c r="T671">
        <f>YEAR(Table1_1[[#This Row],[order_date]])</f>
        <v>2025</v>
      </c>
      <c r="U671">
        <f>MONTH(Table1_1[[#This Row],[order_date]])</f>
        <v>11</v>
      </c>
      <c r="V671" t="str">
        <f>TEXT(Table1_1[[#This Row],[order_date]],"mmm")</f>
        <v>Nov</v>
      </c>
      <c r="W671" t="str">
        <f>"Q"&amp;ROUNDUP(MONTH(Table1_1[[#This Row],[order_date]])/3,0)</f>
        <v>Q4</v>
      </c>
      <c r="X671" t="str">
        <f>TEXT(Table1_1[[#This Row],[order_date]],"yyyy-mm")</f>
        <v>2025-11</v>
      </c>
      <c r="Y671">
        <f>IF(Table1_1[[#This Row],[ship_date]]="","",Table1_1[[#This Row],[ship_date]]-Table1_1[[#This Row],[order_date]])</f>
        <v>1</v>
      </c>
      <c r="Z671">
        <f>ROUND(Table1_1[[#This Row],[profit]]/Table1_1[[#This Row],[sales_fix]]*100,2)</f>
        <v>25.36</v>
      </c>
    </row>
    <row r="672" spans="1:26" x14ac:dyDescent="0.3">
      <c r="A672" t="s">
        <v>1471</v>
      </c>
      <c r="B672" s="1">
        <v>45932</v>
      </c>
      <c r="C672" s="1">
        <v>45939</v>
      </c>
      <c r="D672" t="s">
        <v>1461</v>
      </c>
      <c r="E672" t="s">
        <v>1462</v>
      </c>
      <c r="F672" t="s">
        <v>55</v>
      </c>
      <c r="G672" t="s">
        <v>91</v>
      </c>
      <c r="H672" t="s">
        <v>109</v>
      </c>
      <c r="I672" t="s">
        <v>114</v>
      </c>
      <c r="J672" t="s">
        <v>115</v>
      </c>
      <c r="K672" t="s">
        <v>65</v>
      </c>
      <c r="L672">
        <v>1</v>
      </c>
      <c r="M672">
        <v>55000</v>
      </c>
      <c r="N672">
        <v>0</v>
      </c>
      <c r="O672">
        <v>55000</v>
      </c>
      <c r="P672">
        <v>10858.1</v>
      </c>
      <c r="Q672" t="s">
        <v>74</v>
      </c>
      <c r="R672" t="s">
        <v>29</v>
      </c>
      <c r="S672" t="s">
        <v>50</v>
      </c>
      <c r="T672">
        <f>YEAR(Table1_1[[#This Row],[order_date]])</f>
        <v>2025</v>
      </c>
      <c r="U672">
        <f>MONTH(Table1_1[[#This Row],[order_date]])</f>
        <v>10</v>
      </c>
      <c r="V672" t="str">
        <f>TEXT(Table1_1[[#This Row],[order_date]],"mmm")</f>
        <v>Oct</v>
      </c>
      <c r="W672" t="str">
        <f>"Q"&amp;ROUNDUP(MONTH(Table1_1[[#This Row],[order_date]])/3,0)</f>
        <v>Q4</v>
      </c>
      <c r="X672" t="str">
        <f>TEXT(Table1_1[[#This Row],[order_date]],"yyyy-mm")</f>
        <v>2025-10</v>
      </c>
      <c r="Y672">
        <f>IF(Table1_1[[#This Row],[ship_date]]="","",Table1_1[[#This Row],[ship_date]]-Table1_1[[#This Row],[order_date]])</f>
        <v>7</v>
      </c>
      <c r="Z672">
        <f>ROUND(Table1_1[[#This Row],[profit]]/Table1_1[[#This Row],[sales_fix]]*100,2)</f>
        <v>19.739999999999998</v>
      </c>
    </row>
    <row r="673" spans="1:26" x14ac:dyDescent="0.3">
      <c r="A673" t="s">
        <v>1892</v>
      </c>
      <c r="B673" s="1">
        <v>45955</v>
      </c>
      <c r="C673" s="1">
        <v>45960</v>
      </c>
      <c r="D673" t="s">
        <v>1343</v>
      </c>
      <c r="E673" t="s">
        <v>1344</v>
      </c>
      <c r="F673" t="s">
        <v>34</v>
      </c>
      <c r="G673" t="s">
        <v>91</v>
      </c>
      <c r="H673" t="s">
        <v>177</v>
      </c>
      <c r="I673" t="s">
        <v>103</v>
      </c>
      <c r="J673" t="s">
        <v>104</v>
      </c>
      <c r="K673" t="s">
        <v>65</v>
      </c>
      <c r="L673">
        <v>1</v>
      </c>
      <c r="M673">
        <v>8000</v>
      </c>
      <c r="N673">
        <v>15</v>
      </c>
      <c r="O673">
        <v>6800</v>
      </c>
      <c r="P673">
        <v>1234.54</v>
      </c>
      <c r="Q673" t="s">
        <v>66</v>
      </c>
      <c r="R673" t="s">
        <v>49</v>
      </c>
      <c r="S673" t="s">
        <v>50</v>
      </c>
      <c r="T673">
        <f>YEAR(Table1_1[[#This Row],[order_date]])</f>
        <v>2025</v>
      </c>
      <c r="U673">
        <f>MONTH(Table1_1[[#This Row],[order_date]])</f>
        <v>10</v>
      </c>
      <c r="V673" t="str">
        <f>TEXT(Table1_1[[#This Row],[order_date]],"mmm")</f>
        <v>Oct</v>
      </c>
      <c r="W673" t="str">
        <f>"Q"&amp;ROUNDUP(MONTH(Table1_1[[#This Row],[order_date]])/3,0)</f>
        <v>Q4</v>
      </c>
      <c r="X673" t="str">
        <f>TEXT(Table1_1[[#This Row],[order_date]],"yyyy-mm")</f>
        <v>2025-10</v>
      </c>
      <c r="Y673">
        <f>IF(Table1_1[[#This Row],[ship_date]]="","",Table1_1[[#This Row],[ship_date]]-Table1_1[[#This Row],[order_date]])</f>
        <v>5</v>
      </c>
      <c r="Z673">
        <f>ROUND(Table1_1[[#This Row],[profit]]/Table1_1[[#This Row],[sales_fix]]*100,2)</f>
        <v>18.16</v>
      </c>
    </row>
    <row r="674" spans="1:26" x14ac:dyDescent="0.3">
      <c r="A674" t="s">
        <v>1530</v>
      </c>
      <c r="B674" s="1">
        <v>45625</v>
      </c>
      <c r="C674" s="1">
        <v>45632</v>
      </c>
      <c r="D674" t="s">
        <v>1036</v>
      </c>
      <c r="E674" t="s">
        <v>1037</v>
      </c>
      <c r="F674" t="s">
        <v>23</v>
      </c>
      <c r="G674" t="s">
        <v>61</v>
      </c>
      <c r="H674" t="s">
        <v>211</v>
      </c>
      <c r="I674" t="s">
        <v>46</v>
      </c>
      <c r="J674" t="s">
        <v>47</v>
      </c>
      <c r="K674" t="s">
        <v>48</v>
      </c>
      <c r="L674">
        <v>3</v>
      </c>
      <c r="M674">
        <v>180</v>
      </c>
      <c r="N674">
        <v>5</v>
      </c>
      <c r="O674">
        <v>513</v>
      </c>
      <c r="P674">
        <v>214.05</v>
      </c>
      <c r="Q674" t="s">
        <v>74</v>
      </c>
      <c r="R674" t="s">
        <v>29</v>
      </c>
      <c r="S674" t="s">
        <v>30</v>
      </c>
      <c r="T674">
        <f>YEAR(Table1_1[[#This Row],[order_date]])</f>
        <v>2024</v>
      </c>
      <c r="U674">
        <f>MONTH(Table1_1[[#This Row],[order_date]])</f>
        <v>11</v>
      </c>
      <c r="V674" t="str">
        <f>TEXT(Table1_1[[#This Row],[order_date]],"mmm")</f>
        <v>Nov</v>
      </c>
      <c r="W674" t="str">
        <f>"Q"&amp;ROUNDUP(MONTH(Table1_1[[#This Row],[order_date]])/3,0)</f>
        <v>Q4</v>
      </c>
      <c r="X674" t="str">
        <f>TEXT(Table1_1[[#This Row],[order_date]],"yyyy-mm")</f>
        <v>2024-11</v>
      </c>
      <c r="Y674">
        <f>IF(Table1_1[[#This Row],[ship_date]]="","",Table1_1[[#This Row],[ship_date]]-Table1_1[[#This Row],[order_date]])</f>
        <v>7</v>
      </c>
      <c r="Z674">
        <f>ROUND(Table1_1[[#This Row],[profit]]/Table1_1[[#This Row],[sales_fix]]*100,2)</f>
        <v>41.73</v>
      </c>
    </row>
    <row r="675" spans="1:26" x14ac:dyDescent="0.3">
      <c r="A675" t="s">
        <v>734</v>
      </c>
      <c r="B675" s="1">
        <v>45678</v>
      </c>
      <c r="C675" s="1">
        <v>45686</v>
      </c>
      <c r="D675" t="s">
        <v>735</v>
      </c>
      <c r="E675" t="s">
        <v>736</v>
      </c>
      <c r="F675" t="s">
        <v>23</v>
      </c>
      <c r="G675" t="s">
        <v>44</v>
      </c>
      <c r="H675" t="s">
        <v>24</v>
      </c>
      <c r="I675" t="s">
        <v>37</v>
      </c>
      <c r="J675" t="s">
        <v>38</v>
      </c>
      <c r="K675" t="s">
        <v>27</v>
      </c>
      <c r="L675">
        <v>2</v>
      </c>
      <c r="M675">
        <v>9500</v>
      </c>
      <c r="N675">
        <v>0</v>
      </c>
      <c r="O675">
        <v>19000</v>
      </c>
      <c r="P675">
        <v>3530.26</v>
      </c>
      <c r="Q675" t="s">
        <v>66</v>
      </c>
      <c r="R675" t="s">
        <v>56</v>
      </c>
      <c r="S675" t="s">
        <v>50</v>
      </c>
      <c r="T675">
        <f>YEAR(Table1_1[[#This Row],[order_date]])</f>
        <v>2025</v>
      </c>
      <c r="U675">
        <f>MONTH(Table1_1[[#This Row],[order_date]])</f>
        <v>1</v>
      </c>
      <c r="V675" t="str">
        <f>TEXT(Table1_1[[#This Row],[order_date]],"mmm")</f>
        <v>Jan</v>
      </c>
      <c r="W675" t="str">
        <f>"Q"&amp;ROUNDUP(MONTH(Table1_1[[#This Row],[order_date]])/3,0)</f>
        <v>Q1</v>
      </c>
      <c r="X675" t="str">
        <f>TEXT(Table1_1[[#This Row],[order_date]],"yyyy-mm")</f>
        <v>2025-01</v>
      </c>
      <c r="Y675">
        <f>IF(Table1_1[[#This Row],[ship_date]]="","",Table1_1[[#This Row],[ship_date]]-Table1_1[[#This Row],[order_date]])</f>
        <v>8</v>
      </c>
      <c r="Z675">
        <f>ROUND(Table1_1[[#This Row],[profit]]/Table1_1[[#This Row],[sales_fix]]*100,2)</f>
        <v>18.579999999999998</v>
      </c>
    </row>
    <row r="676" spans="1:26" x14ac:dyDescent="0.3">
      <c r="A676" t="s">
        <v>837</v>
      </c>
      <c r="B676" s="1">
        <v>45806</v>
      </c>
      <c r="C676" s="1">
        <v>45811</v>
      </c>
      <c r="D676" t="s">
        <v>838</v>
      </c>
      <c r="E676" t="s">
        <v>839</v>
      </c>
      <c r="F676" t="s">
        <v>23</v>
      </c>
      <c r="G676" t="s">
        <v>35</v>
      </c>
      <c r="H676" t="s">
        <v>258</v>
      </c>
      <c r="I676" t="s">
        <v>147</v>
      </c>
      <c r="J676" t="s">
        <v>148</v>
      </c>
      <c r="K676" t="s">
        <v>48</v>
      </c>
      <c r="L676">
        <v>4</v>
      </c>
      <c r="M676">
        <v>250</v>
      </c>
      <c r="N676">
        <v>15</v>
      </c>
      <c r="O676">
        <v>850</v>
      </c>
      <c r="P676">
        <v>284.18</v>
      </c>
      <c r="Q676" t="s">
        <v>74</v>
      </c>
      <c r="R676" t="s">
        <v>49</v>
      </c>
      <c r="S676" t="s">
        <v>50</v>
      </c>
      <c r="T676">
        <f>YEAR(Table1_1[[#This Row],[order_date]])</f>
        <v>2025</v>
      </c>
      <c r="U676">
        <f>MONTH(Table1_1[[#This Row],[order_date]])</f>
        <v>5</v>
      </c>
      <c r="V676" t="str">
        <f>TEXT(Table1_1[[#This Row],[order_date]],"mmm")</f>
        <v>May</v>
      </c>
      <c r="W676" t="str">
        <f>"Q"&amp;ROUNDUP(MONTH(Table1_1[[#This Row],[order_date]])/3,0)</f>
        <v>Q2</v>
      </c>
      <c r="X676" t="str">
        <f>TEXT(Table1_1[[#This Row],[order_date]],"yyyy-mm")</f>
        <v>2025-05</v>
      </c>
      <c r="Y676">
        <f>IF(Table1_1[[#This Row],[ship_date]]="","",Table1_1[[#This Row],[ship_date]]-Table1_1[[#This Row],[order_date]])</f>
        <v>5</v>
      </c>
      <c r="Z676">
        <f>ROUND(Table1_1[[#This Row],[profit]]/Table1_1[[#This Row],[sales_fix]]*100,2)</f>
        <v>33.43</v>
      </c>
    </row>
    <row r="677" spans="1:26" x14ac:dyDescent="0.3">
      <c r="A677" t="s">
        <v>2920</v>
      </c>
      <c r="B677" s="1">
        <v>45369</v>
      </c>
      <c r="C677" s="1">
        <v>45374</v>
      </c>
      <c r="D677" t="s">
        <v>628</v>
      </c>
      <c r="E677" t="s">
        <v>629</v>
      </c>
      <c r="F677" t="s">
        <v>55</v>
      </c>
      <c r="G677" t="s">
        <v>91</v>
      </c>
      <c r="H677" t="s">
        <v>120</v>
      </c>
      <c r="I677" t="s">
        <v>126</v>
      </c>
      <c r="J677" t="s">
        <v>127</v>
      </c>
      <c r="K677" t="s">
        <v>95</v>
      </c>
      <c r="L677">
        <v>4</v>
      </c>
      <c r="M677">
        <v>600</v>
      </c>
      <c r="N677">
        <v>10</v>
      </c>
      <c r="O677">
        <v>2160</v>
      </c>
      <c r="P677">
        <v>644.85</v>
      </c>
      <c r="Q677" t="s">
        <v>66</v>
      </c>
      <c r="R677" t="s">
        <v>49</v>
      </c>
      <c r="S677" t="s">
        <v>40</v>
      </c>
      <c r="T677">
        <f>YEAR(Table1_1[[#This Row],[order_date]])</f>
        <v>2024</v>
      </c>
      <c r="U677">
        <f>MONTH(Table1_1[[#This Row],[order_date]])</f>
        <v>3</v>
      </c>
      <c r="V677" t="str">
        <f>TEXT(Table1_1[[#This Row],[order_date]],"mmm")</f>
        <v>Mar</v>
      </c>
      <c r="W677" t="str">
        <f>"Q"&amp;ROUNDUP(MONTH(Table1_1[[#This Row],[order_date]])/3,0)</f>
        <v>Q1</v>
      </c>
      <c r="X677" t="str">
        <f>TEXT(Table1_1[[#This Row],[order_date]],"yyyy-mm")</f>
        <v>2024-03</v>
      </c>
      <c r="Y677">
        <f>IF(Table1_1[[#This Row],[ship_date]]="","",Table1_1[[#This Row],[ship_date]]-Table1_1[[#This Row],[order_date]])</f>
        <v>5</v>
      </c>
      <c r="Z677">
        <f>ROUND(Table1_1[[#This Row],[profit]]/Table1_1[[#This Row],[sales_fix]]*100,2)</f>
        <v>29.85</v>
      </c>
    </row>
    <row r="678" spans="1:26" x14ac:dyDescent="0.3">
      <c r="A678" t="s">
        <v>2736</v>
      </c>
      <c r="B678" s="1">
        <v>45931</v>
      </c>
      <c r="C678" s="1">
        <v>45937</v>
      </c>
      <c r="D678" t="s">
        <v>269</v>
      </c>
      <c r="E678" t="s">
        <v>270</v>
      </c>
      <c r="F678" t="s">
        <v>23</v>
      </c>
      <c r="G678" t="s">
        <v>35</v>
      </c>
      <c r="H678" t="s">
        <v>36</v>
      </c>
      <c r="I678" t="s">
        <v>103</v>
      </c>
      <c r="J678" t="s">
        <v>104</v>
      </c>
      <c r="K678" t="s">
        <v>65</v>
      </c>
      <c r="L678">
        <v>1</v>
      </c>
      <c r="M678">
        <v>8000</v>
      </c>
      <c r="N678">
        <v>20</v>
      </c>
      <c r="O678">
        <v>6400</v>
      </c>
      <c r="P678">
        <v>1490.04</v>
      </c>
      <c r="Q678" t="s">
        <v>74</v>
      </c>
      <c r="R678" t="s">
        <v>29</v>
      </c>
      <c r="S678" t="s">
        <v>40</v>
      </c>
      <c r="T678">
        <f>YEAR(Table1_1[[#This Row],[order_date]])</f>
        <v>2025</v>
      </c>
      <c r="U678">
        <f>MONTH(Table1_1[[#This Row],[order_date]])</f>
        <v>10</v>
      </c>
      <c r="V678" t="str">
        <f>TEXT(Table1_1[[#This Row],[order_date]],"mmm")</f>
        <v>Oct</v>
      </c>
      <c r="W678" t="str">
        <f>"Q"&amp;ROUNDUP(MONTH(Table1_1[[#This Row],[order_date]])/3,0)</f>
        <v>Q4</v>
      </c>
      <c r="X678" t="str">
        <f>TEXT(Table1_1[[#This Row],[order_date]],"yyyy-mm")</f>
        <v>2025-10</v>
      </c>
      <c r="Y678">
        <f>IF(Table1_1[[#This Row],[ship_date]]="","",Table1_1[[#This Row],[ship_date]]-Table1_1[[#This Row],[order_date]])</f>
        <v>6</v>
      </c>
      <c r="Z678">
        <f>ROUND(Table1_1[[#This Row],[profit]]/Table1_1[[#This Row],[sales_fix]]*100,2)</f>
        <v>23.28</v>
      </c>
    </row>
    <row r="679" spans="1:26" x14ac:dyDescent="0.3">
      <c r="A679" t="s">
        <v>2557</v>
      </c>
      <c r="B679" s="1">
        <v>45729</v>
      </c>
      <c r="C679" s="1">
        <v>45734</v>
      </c>
      <c r="D679" t="s">
        <v>692</v>
      </c>
      <c r="E679" t="s">
        <v>2006</v>
      </c>
      <c r="F679" t="s">
        <v>55</v>
      </c>
      <c r="G679" t="s">
        <v>91</v>
      </c>
      <c r="H679" t="s">
        <v>120</v>
      </c>
      <c r="I679" t="s">
        <v>147</v>
      </c>
      <c r="J679" t="s">
        <v>148</v>
      </c>
      <c r="K679" t="s">
        <v>48</v>
      </c>
      <c r="L679">
        <v>1</v>
      </c>
      <c r="M679">
        <v>250</v>
      </c>
      <c r="N679">
        <v>20</v>
      </c>
      <c r="O679">
        <v>200</v>
      </c>
      <c r="P679">
        <v>58.45</v>
      </c>
      <c r="Q679" t="s">
        <v>39</v>
      </c>
      <c r="R679" t="s">
        <v>49</v>
      </c>
      <c r="S679" t="s">
        <v>30</v>
      </c>
      <c r="T679">
        <f>YEAR(Table1_1[[#This Row],[order_date]])</f>
        <v>2025</v>
      </c>
      <c r="U679">
        <f>MONTH(Table1_1[[#This Row],[order_date]])</f>
        <v>3</v>
      </c>
      <c r="V679" t="str">
        <f>TEXT(Table1_1[[#This Row],[order_date]],"mmm")</f>
        <v>Mar</v>
      </c>
      <c r="W679" t="str">
        <f>"Q"&amp;ROUNDUP(MONTH(Table1_1[[#This Row],[order_date]])/3,0)</f>
        <v>Q1</v>
      </c>
      <c r="X679" t="str">
        <f>TEXT(Table1_1[[#This Row],[order_date]],"yyyy-mm")</f>
        <v>2025-03</v>
      </c>
      <c r="Y679">
        <f>IF(Table1_1[[#This Row],[ship_date]]="","",Table1_1[[#This Row],[ship_date]]-Table1_1[[#This Row],[order_date]])</f>
        <v>5</v>
      </c>
      <c r="Z679">
        <f>ROUND(Table1_1[[#This Row],[profit]]/Table1_1[[#This Row],[sales_fix]]*100,2)</f>
        <v>29.23</v>
      </c>
    </row>
    <row r="680" spans="1:26" x14ac:dyDescent="0.3">
      <c r="A680" t="s">
        <v>2339</v>
      </c>
      <c r="B680" s="1">
        <v>45496</v>
      </c>
      <c r="C680" s="1">
        <v>45504</v>
      </c>
      <c r="D680" t="s">
        <v>1346</v>
      </c>
      <c r="E680" t="s">
        <v>1347</v>
      </c>
      <c r="F680" t="s">
        <v>55</v>
      </c>
      <c r="G680" t="s">
        <v>44</v>
      </c>
      <c r="H680" t="s">
        <v>155</v>
      </c>
      <c r="I680" t="s">
        <v>37</v>
      </c>
      <c r="J680" t="s">
        <v>38</v>
      </c>
      <c r="K680" t="s">
        <v>27</v>
      </c>
      <c r="L680">
        <v>2</v>
      </c>
      <c r="M680">
        <v>9500</v>
      </c>
      <c r="N680">
        <v>0</v>
      </c>
      <c r="O680">
        <v>19000</v>
      </c>
      <c r="P680">
        <v>3609.95</v>
      </c>
      <c r="Q680" t="s">
        <v>156</v>
      </c>
      <c r="R680" t="s">
        <v>56</v>
      </c>
      <c r="S680" t="s">
        <v>50</v>
      </c>
      <c r="T680">
        <f>YEAR(Table1_1[[#This Row],[order_date]])</f>
        <v>2024</v>
      </c>
      <c r="U680">
        <f>MONTH(Table1_1[[#This Row],[order_date]])</f>
        <v>7</v>
      </c>
      <c r="V680" t="str">
        <f>TEXT(Table1_1[[#This Row],[order_date]],"mmm")</f>
        <v>Jul</v>
      </c>
      <c r="W680" t="str">
        <f>"Q"&amp;ROUNDUP(MONTH(Table1_1[[#This Row],[order_date]])/3,0)</f>
        <v>Q3</v>
      </c>
      <c r="X680" t="str">
        <f>TEXT(Table1_1[[#This Row],[order_date]],"yyyy-mm")</f>
        <v>2024-07</v>
      </c>
      <c r="Y680">
        <f>IF(Table1_1[[#This Row],[ship_date]]="","",Table1_1[[#This Row],[ship_date]]-Table1_1[[#This Row],[order_date]])</f>
        <v>8</v>
      </c>
      <c r="Z680">
        <f>ROUND(Table1_1[[#This Row],[profit]]/Table1_1[[#This Row],[sales_fix]]*100,2)</f>
        <v>19</v>
      </c>
    </row>
    <row r="681" spans="1:26" x14ac:dyDescent="0.3">
      <c r="A681" t="s">
        <v>841</v>
      </c>
      <c r="B681" s="1">
        <v>46012</v>
      </c>
      <c r="C681" s="1">
        <v>46020</v>
      </c>
      <c r="D681" t="s">
        <v>842</v>
      </c>
      <c r="E681" t="s">
        <v>843</v>
      </c>
      <c r="F681" t="s">
        <v>23</v>
      </c>
      <c r="G681" t="s">
        <v>91</v>
      </c>
      <c r="H681" t="s">
        <v>120</v>
      </c>
      <c r="I681" t="s">
        <v>126</v>
      </c>
      <c r="J681" t="s">
        <v>127</v>
      </c>
      <c r="K681" t="s">
        <v>95</v>
      </c>
      <c r="L681">
        <v>1</v>
      </c>
      <c r="M681">
        <v>600</v>
      </c>
      <c r="N681">
        <v>5</v>
      </c>
      <c r="O681">
        <v>570</v>
      </c>
      <c r="P681">
        <v>170.07</v>
      </c>
      <c r="Q681" t="s">
        <v>74</v>
      </c>
      <c r="R681" t="s">
        <v>56</v>
      </c>
      <c r="S681" t="s">
        <v>40</v>
      </c>
      <c r="T681">
        <f>YEAR(Table1_1[[#This Row],[order_date]])</f>
        <v>2025</v>
      </c>
      <c r="U681">
        <f>MONTH(Table1_1[[#This Row],[order_date]])</f>
        <v>12</v>
      </c>
      <c r="V681" t="str">
        <f>TEXT(Table1_1[[#This Row],[order_date]],"mmm")</f>
        <v>Dec</v>
      </c>
      <c r="W681" t="str">
        <f>"Q"&amp;ROUNDUP(MONTH(Table1_1[[#This Row],[order_date]])/3,0)</f>
        <v>Q4</v>
      </c>
      <c r="X681" t="str">
        <f>TEXT(Table1_1[[#This Row],[order_date]],"yyyy-mm")</f>
        <v>2025-12</v>
      </c>
      <c r="Y681">
        <f>IF(Table1_1[[#This Row],[ship_date]]="","",Table1_1[[#This Row],[ship_date]]-Table1_1[[#This Row],[order_date]])</f>
        <v>8</v>
      </c>
      <c r="Z681">
        <f>ROUND(Table1_1[[#This Row],[profit]]/Table1_1[[#This Row],[sales_fix]]*100,2)</f>
        <v>29.84</v>
      </c>
    </row>
    <row r="682" spans="1:26" x14ac:dyDescent="0.3">
      <c r="A682" t="s">
        <v>563</v>
      </c>
      <c r="B682" s="1">
        <v>45933</v>
      </c>
      <c r="C682" s="1">
        <v>45936</v>
      </c>
      <c r="D682" t="s">
        <v>200</v>
      </c>
      <c r="E682" t="s">
        <v>201</v>
      </c>
      <c r="F682" t="s">
        <v>23</v>
      </c>
      <c r="G682" t="s">
        <v>35</v>
      </c>
      <c r="H682" t="s">
        <v>187</v>
      </c>
      <c r="I682" t="s">
        <v>93</v>
      </c>
      <c r="J682" t="s">
        <v>94</v>
      </c>
      <c r="K682" t="s">
        <v>95</v>
      </c>
      <c r="L682">
        <v>1</v>
      </c>
      <c r="M682">
        <v>1800</v>
      </c>
      <c r="N682">
        <v>5</v>
      </c>
      <c r="O682">
        <v>1710</v>
      </c>
      <c r="P682">
        <v>454.32</v>
      </c>
      <c r="Q682" t="s">
        <v>156</v>
      </c>
      <c r="R682" t="s">
        <v>56</v>
      </c>
      <c r="S682" t="s">
        <v>110</v>
      </c>
      <c r="T682">
        <f>YEAR(Table1_1[[#This Row],[order_date]])</f>
        <v>2025</v>
      </c>
      <c r="U682">
        <f>MONTH(Table1_1[[#This Row],[order_date]])</f>
        <v>10</v>
      </c>
      <c r="V682" t="str">
        <f>TEXT(Table1_1[[#This Row],[order_date]],"mmm")</f>
        <v>Oct</v>
      </c>
      <c r="W682" t="str">
        <f>"Q"&amp;ROUNDUP(MONTH(Table1_1[[#This Row],[order_date]])/3,0)</f>
        <v>Q4</v>
      </c>
      <c r="X682" t="str">
        <f>TEXT(Table1_1[[#This Row],[order_date]],"yyyy-mm")</f>
        <v>2025-10</v>
      </c>
      <c r="Y682">
        <f>IF(Table1_1[[#This Row],[ship_date]]="","",Table1_1[[#This Row],[ship_date]]-Table1_1[[#This Row],[order_date]])</f>
        <v>3</v>
      </c>
      <c r="Z682">
        <f>ROUND(Table1_1[[#This Row],[profit]]/Table1_1[[#This Row],[sales_fix]]*100,2)</f>
        <v>26.57</v>
      </c>
    </row>
    <row r="683" spans="1:26" x14ac:dyDescent="0.3">
      <c r="A683" t="s">
        <v>1498</v>
      </c>
      <c r="B683" s="1">
        <v>45618</v>
      </c>
      <c r="C683" s="1">
        <v>45625</v>
      </c>
      <c r="D683" t="s">
        <v>200</v>
      </c>
      <c r="E683" t="s">
        <v>201</v>
      </c>
      <c r="F683" t="s">
        <v>23</v>
      </c>
      <c r="G683" t="s">
        <v>35</v>
      </c>
      <c r="H683" t="s">
        <v>187</v>
      </c>
      <c r="I683" t="s">
        <v>134</v>
      </c>
      <c r="J683" t="s">
        <v>135</v>
      </c>
      <c r="K683" t="s">
        <v>27</v>
      </c>
      <c r="L683">
        <v>5</v>
      </c>
      <c r="M683">
        <v>6000</v>
      </c>
      <c r="N683">
        <v>15</v>
      </c>
      <c r="O683">
        <v>25500</v>
      </c>
      <c r="P683">
        <v>4782.3100000000004</v>
      </c>
      <c r="Q683" t="s">
        <v>74</v>
      </c>
      <c r="R683" t="s">
        <v>49</v>
      </c>
      <c r="S683" t="s">
        <v>50</v>
      </c>
      <c r="T683">
        <f>YEAR(Table1_1[[#This Row],[order_date]])</f>
        <v>2024</v>
      </c>
      <c r="U683">
        <f>MONTH(Table1_1[[#This Row],[order_date]])</f>
        <v>11</v>
      </c>
      <c r="V683" t="str">
        <f>TEXT(Table1_1[[#This Row],[order_date]],"mmm")</f>
        <v>Nov</v>
      </c>
      <c r="W683" t="str">
        <f>"Q"&amp;ROUNDUP(MONTH(Table1_1[[#This Row],[order_date]])/3,0)</f>
        <v>Q4</v>
      </c>
      <c r="X683" t="str">
        <f>TEXT(Table1_1[[#This Row],[order_date]],"yyyy-mm")</f>
        <v>2024-11</v>
      </c>
      <c r="Y683">
        <f>IF(Table1_1[[#This Row],[ship_date]]="","",Table1_1[[#This Row],[ship_date]]-Table1_1[[#This Row],[order_date]])</f>
        <v>7</v>
      </c>
      <c r="Z683">
        <f>ROUND(Table1_1[[#This Row],[profit]]/Table1_1[[#This Row],[sales_fix]]*100,2)</f>
        <v>18.75</v>
      </c>
    </row>
    <row r="684" spans="1:26" x14ac:dyDescent="0.3">
      <c r="A684" t="s">
        <v>1339</v>
      </c>
      <c r="B684" s="1">
        <v>45907</v>
      </c>
      <c r="C684" s="1">
        <v>45911</v>
      </c>
      <c r="D684" t="s">
        <v>947</v>
      </c>
      <c r="E684" t="s">
        <v>948</v>
      </c>
      <c r="F684" t="s">
        <v>55</v>
      </c>
      <c r="G684" t="s">
        <v>35</v>
      </c>
      <c r="H684" t="s">
        <v>36</v>
      </c>
      <c r="I684" t="s">
        <v>126</v>
      </c>
      <c r="J684" t="s">
        <v>127</v>
      </c>
      <c r="K684" t="s">
        <v>95</v>
      </c>
      <c r="L684">
        <v>1</v>
      </c>
      <c r="M684">
        <v>600</v>
      </c>
      <c r="N684">
        <v>0</v>
      </c>
      <c r="O684">
        <v>600</v>
      </c>
      <c r="P684">
        <v>169.96</v>
      </c>
      <c r="Q684" t="s">
        <v>66</v>
      </c>
      <c r="R684" t="s">
        <v>29</v>
      </c>
      <c r="S684" t="s">
        <v>50</v>
      </c>
      <c r="T684">
        <f>YEAR(Table1_1[[#This Row],[order_date]])</f>
        <v>2025</v>
      </c>
      <c r="U684">
        <f>MONTH(Table1_1[[#This Row],[order_date]])</f>
        <v>9</v>
      </c>
      <c r="V684" t="str">
        <f>TEXT(Table1_1[[#This Row],[order_date]],"mmm")</f>
        <v>Sep</v>
      </c>
      <c r="W684" t="str">
        <f>"Q"&amp;ROUNDUP(MONTH(Table1_1[[#This Row],[order_date]])/3,0)</f>
        <v>Q3</v>
      </c>
      <c r="X684" t="str">
        <f>TEXT(Table1_1[[#This Row],[order_date]],"yyyy-mm")</f>
        <v>2025-09</v>
      </c>
      <c r="Y684">
        <f>IF(Table1_1[[#This Row],[ship_date]]="","",Table1_1[[#This Row],[ship_date]]-Table1_1[[#This Row],[order_date]])</f>
        <v>4</v>
      </c>
      <c r="Z684">
        <f>ROUND(Table1_1[[#This Row],[profit]]/Table1_1[[#This Row],[sales_fix]]*100,2)</f>
        <v>28.33</v>
      </c>
    </row>
    <row r="685" spans="1:26" x14ac:dyDescent="0.3">
      <c r="A685" t="s">
        <v>1241</v>
      </c>
      <c r="B685" s="1">
        <v>45865</v>
      </c>
      <c r="C685" s="1">
        <v>45866</v>
      </c>
      <c r="D685" t="s">
        <v>406</v>
      </c>
      <c r="E685" t="s">
        <v>407</v>
      </c>
      <c r="F685" t="s">
        <v>55</v>
      </c>
      <c r="G685" t="s">
        <v>91</v>
      </c>
      <c r="H685" t="s">
        <v>120</v>
      </c>
      <c r="I685" t="s">
        <v>147</v>
      </c>
      <c r="J685" t="s">
        <v>148</v>
      </c>
      <c r="K685" t="s">
        <v>48</v>
      </c>
      <c r="L685">
        <v>10</v>
      </c>
      <c r="M685">
        <v>250</v>
      </c>
      <c r="N685">
        <v>5</v>
      </c>
      <c r="O685">
        <v>2375</v>
      </c>
      <c r="P685">
        <v>910.83</v>
      </c>
      <c r="Q685" t="s">
        <v>121</v>
      </c>
      <c r="R685" t="s">
        <v>29</v>
      </c>
      <c r="S685" t="s">
        <v>110</v>
      </c>
      <c r="T685">
        <f>YEAR(Table1_1[[#This Row],[order_date]])</f>
        <v>2025</v>
      </c>
      <c r="U685">
        <f>MONTH(Table1_1[[#This Row],[order_date]])</f>
        <v>7</v>
      </c>
      <c r="V685" t="str">
        <f>TEXT(Table1_1[[#This Row],[order_date]],"mmm")</f>
        <v>Jul</v>
      </c>
      <c r="W685" t="str">
        <f>"Q"&amp;ROUNDUP(MONTH(Table1_1[[#This Row],[order_date]])/3,0)</f>
        <v>Q3</v>
      </c>
      <c r="X685" t="str">
        <f>TEXT(Table1_1[[#This Row],[order_date]],"yyyy-mm")</f>
        <v>2025-07</v>
      </c>
      <c r="Y685">
        <f>IF(Table1_1[[#This Row],[ship_date]]="","",Table1_1[[#This Row],[ship_date]]-Table1_1[[#This Row],[order_date]])</f>
        <v>1</v>
      </c>
      <c r="Z685">
        <f>ROUND(Table1_1[[#This Row],[profit]]/Table1_1[[#This Row],[sales_fix]]*100,2)</f>
        <v>38.35</v>
      </c>
    </row>
    <row r="686" spans="1:26" x14ac:dyDescent="0.3">
      <c r="A686" t="s">
        <v>1142</v>
      </c>
      <c r="B686" s="1">
        <v>45556</v>
      </c>
      <c r="C686" s="1">
        <v>45559</v>
      </c>
      <c r="D686" t="s">
        <v>189</v>
      </c>
      <c r="E686" t="s">
        <v>190</v>
      </c>
      <c r="F686" t="s">
        <v>23</v>
      </c>
      <c r="G686" t="s">
        <v>91</v>
      </c>
      <c r="H686" t="s">
        <v>120</v>
      </c>
      <c r="I686" t="s">
        <v>114</v>
      </c>
      <c r="J686" t="s">
        <v>115</v>
      </c>
      <c r="K686" t="s">
        <v>65</v>
      </c>
      <c r="L686">
        <v>3</v>
      </c>
      <c r="M686">
        <v>55000</v>
      </c>
      <c r="N686">
        <v>0</v>
      </c>
      <c r="O686">
        <v>165000</v>
      </c>
      <c r="P686">
        <v>28615.01</v>
      </c>
      <c r="Q686" t="s">
        <v>156</v>
      </c>
      <c r="R686" t="s">
        <v>29</v>
      </c>
      <c r="S686" t="s">
        <v>30</v>
      </c>
      <c r="T686">
        <f>YEAR(Table1_1[[#This Row],[order_date]])</f>
        <v>2024</v>
      </c>
      <c r="U686">
        <f>MONTH(Table1_1[[#This Row],[order_date]])</f>
        <v>9</v>
      </c>
      <c r="V686" t="str">
        <f>TEXT(Table1_1[[#This Row],[order_date]],"mmm")</f>
        <v>Sep</v>
      </c>
      <c r="W686" t="str">
        <f>"Q"&amp;ROUNDUP(MONTH(Table1_1[[#This Row],[order_date]])/3,0)</f>
        <v>Q3</v>
      </c>
      <c r="X686" t="str">
        <f>TEXT(Table1_1[[#This Row],[order_date]],"yyyy-mm")</f>
        <v>2024-09</v>
      </c>
      <c r="Y686">
        <f>IF(Table1_1[[#This Row],[ship_date]]="","",Table1_1[[#This Row],[ship_date]]-Table1_1[[#This Row],[order_date]])</f>
        <v>3</v>
      </c>
      <c r="Z686">
        <f>ROUND(Table1_1[[#This Row],[profit]]/Table1_1[[#This Row],[sales_fix]]*100,2)</f>
        <v>17.34</v>
      </c>
    </row>
    <row r="687" spans="1:26" x14ac:dyDescent="0.3">
      <c r="A687" t="s">
        <v>1035</v>
      </c>
      <c r="B687" s="1">
        <v>45377</v>
      </c>
      <c r="C687" s="1">
        <v>45384</v>
      </c>
      <c r="D687" t="s">
        <v>1036</v>
      </c>
      <c r="E687" t="s">
        <v>1037</v>
      </c>
      <c r="F687" t="s">
        <v>23</v>
      </c>
      <c r="G687" t="s">
        <v>61</v>
      </c>
      <c r="H687" t="s">
        <v>211</v>
      </c>
      <c r="I687" t="s">
        <v>114</v>
      </c>
      <c r="J687" t="s">
        <v>115</v>
      </c>
      <c r="K687" t="s">
        <v>65</v>
      </c>
      <c r="L687">
        <v>1</v>
      </c>
      <c r="M687">
        <v>55000</v>
      </c>
      <c r="N687">
        <v>0</v>
      </c>
      <c r="O687">
        <v>55000</v>
      </c>
      <c r="P687">
        <v>10364</v>
      </c>
      <c r="Q687" t="s">
        <v>74</v>
      </c>
      <c r="R687" t="s">
        <v>56</v>
      </c>
      <c r="S687" t="s">
        <v>86</v>
      </c>
      <c r="T687">
        <f>YEAR(Table1_1[[#This Row],[order_date]])</f>
        <v>2024</v>
      </c>
      <c r="U687">
        <f>MONTH(Table1_1[[#This Row],[order_date]])</f>
        <v>3</v>
      </c>
      <c r="V687" t="str">
        <f>TEXT(Table1_1[[#This Row],[order_date]],"mmm")</f>
        <v>Mar</v>
      </c>
      <c r="W687" t="str">
        <f>"Q"&amp;ROUNDUP(MONTH(Table1_1[[#This Row],[order_date]])/3,0)</f>
        <v>Q1</v>
      </c>
      <c r="X687" t="str">
        <f>TEXT(Table1_1[[#This Row],[order_date]],"yyyy-mm")</f>
        <v>2024-03</v>
      </c>
      <c r="Y687">
        <f>IF(Table1_1[[#This Row],[ship_date]]="","",Table1_1[[#This Row],[ship_date]]-Table1_1[[#This Row],[order_date]])</f>
        <v>7</v>
      </c>
      <c r="Z687">
        <f>ROUND(Table1_1[[#This Row],[profit]]/Table1_1[[#This Row],[sales_fix]]*100,2)</f>
        <v>18.84</v>
      </c>
    </row>
    <row r="688" spans="1:26" x14ac:dyDescent="0.3">
      <c r="A688" t="s">
        <v>2595</v>
      </c>
      <c r="B688" s="1">
        <v>45435</v>
      </c>
      <c r="C688" s="1">
        <v>45437</v>
      </c>
      <c r="D688" t="s">
        <v>609</v>
      </c>
      <c r="E688" t="s">
        <v>610</v>
      </c>
      <c r="F688" t="s">
        <v>23</v>
      </c>
      <c r="G688" t="s">
        <v>44</v>
      </c>
      <c r="H688" t="s">
        <v>155</v>
      </c>
      <c r="I688" t="s">
        <v>71</v>
      </c>
      <c r="J688" t="s">
        <v>72</v>
      </c>
      <c r="K688" t="s">
        <v>73</v>
      </c>
      <c r="L688">
        <v>1</v>
      </c>
      <c r="M688">
        <v>3500</v>
      </c>
      <c r="N688">
        <v>10</v>
      </c>
      <c r="O688">
        <v>3150</v>
      </c>
      <c r="P688">
        <v>1001.74</v>
      </c>
      <c r="Q688" t="s">
        <v>39</v>
      </c>
      <c r="R688" t="s">
        <v>56</v>
      </c>
      <c r="S688" t="s">
        <v>40</v>
      </c>
      <c r="T688">
        <f>YEAR(Table1_1[[#This Row],[order_date]])</f>
        <v>2024</v>
      </c>
      <c r="U688">
        <f>MONTH(Table1_1[[#This Row],[order_date]])</f>
        <v>5</v>
      </c>
      <c r="V688" t="str">
        <f>TEXT(Table1_1[[#This Row],[order_date]],"mmm")</f>
        <v>May</v>
      </c>
      <c r="W688" t="str">
        <f>"Q"&amp;ROUNDUP(MONTH(Table1_1[[#This Row],[order_date]])/3,0)</f>
        <v>Q2</v>
      </c>
      <c r="X688" t="str">
        <f>TEXT(Table1_1[[#This Row],[order_date]],"yyyy-mm")</f>
        <v>2024-05</v>
      </c>
      <c r="Y688">
        <f>IF(Table1_1[[#This Row],[ship_date]]="","",Table1_1[[#This Row],[ship_date]]-Table1_1[[#This Row],[order_date]])</f>
        <v>2</v>
      </c>
      <c r="Z688">
        <f>ROUND(Table1_1[[#This Row],[profit]]/Table1_1[[#This Row],[sales_fix]]*100,2)</f>
        <v>31.8</v>
      </c>
    </row>
    <row r="689" spans="1:26" x14ac:dyDescent="0.3">
      <c r="A689" t="s">
        <v>2411</v>
      </c>
      <c r="B689" s="1">
        <v>45800</v>
      </c>
      <c r="C689" s="1">
        <v>45806</v>
      </c>
      <c r="D689" t="s">
        <v>460</v>
      </c>
      <c r="E689" t="s">
        <v>461</v>
      </c>
      <c r="F689" t="s">
        <v>34</v>
      </c>
      <c r="G689" t="s">
        <v>61</v>
      </c>
      <c r="H689" t="s">
        <v>62</v>
      </c>
      <c r="I689" t="s">
        <v>25</v>
      </c>
      <c r="J689" t="s">
        <v>26</v>
      </c>
      <c r="K689" t="s">
        <v>27</v>
      </c>
      <c r="L689">
        <v>4</v>
      </c>
      <c r="M689">
        <v>7000</v>
      </c>
      <c r="N689">
        <v>0</v>
      </c>
      <c r="O689">
        <v>28000</v>
      </c>
      <c r="P689">
        <v>5789.96</v>
      </c>
      <c r="Q689" t="s">
        <v>74</v>
      </c>
      <c r="R689" t="s">
        <v>56</v>
      </c>
      <c r="S689" t="s">
        <v>30</v>
      </c>
      <c r="T689">
        <f>YEAR(Table1_1[[#This Row],[order_date]])</f>
        <v>2025</v>
      </c>
      <c r="U689">
        <f>MONTH(Table1_1[[#This Row],[order_date]])</f>
        <v>5</v>
      </c>
      <c r="V689" t="str">
        <f>TEXT(Table1_1[[#This Row],[order_date]],"mmm")</f>
        <v>May</v>
      </c>
      <c r="W689" t="str">
        <f>"Q"&amp;ROUNDUP(MONTH(Table1_1[[#This Row],[order_date]])/3,0)</f>
        <v>Q2</v>
      </c>
      <c r="X689" t="str">
        <f>TEXT(Table1_1[[#This Row],[order_date]],"yyyy-mm")</f>
        <v>2025-05</v>
      </c>
      <c r="Y689">
        <f>IF(Table1_1[[#This Row],[ship_date]]="","",Table1_1[[#This Row],[ship_date]]-Table1_1[[#This Row],[order_date]])</f>
        <v>6</v>
      </c>
      <c r="Z689">
        <f>ROUND(Table1_1[[#This Row],[profit]]/Table1_1[[#This Row],[sales_fix]]*100,2)</f>
        <v>20.68</v>
      </c>
    </row>
    <row r="690" spans="1:26" x14ac:dyDescent="0.3">
      <c r="A690" t="s">
        <v>2420</v>
      </c>
      <c r="B690" s="1">
        <v>45515</v>
      </c>
      <c r="C690" s="1">
        <v>45520</v>
      </c>
      <c r="D690" t="s">
        <v>973</v>
      </c>
      <c r="E690" t="s">
        <v>974</v>
      </c>
      <c r="F690" t="s">
        <v>34</v>
      </c>
      <c r="G690" t="s">
        <v>91</v>
      </c>
      <c r="H690" t="s">
        <v>177</v>
      </c>
      <c r="I690" t="s">
        <v>134</v>
      </c>
      <c r="J690" t="s">
        <v>135</v>
      </c>
      <c r="K690" t="s">
        <v>27</v>
      </c>
      <c r="L690">
        <v>1</v>
      </c>
      <c r="M690">
        <v>6000</v>
      </c>
      <c r="N690">
        <v>0</v>
      </c>
      <c r="O690">
        <v>6000</v>
      </c>
      <c r="P690">
        <v>1131.33</v>
      </c>
      <c r="Q690" t="s">
        <v>28</v>
      </c>
      <c r="R690" t="s">
        <v>49</v>
      </c>
      <c r="S690" t="s">
        <v>110</v>
      </c>
      <c r="T690">
        <f>YEAR(Table1_1[[#This Row],[order_date]])</f>
        <v>2024</v>
      </c>
      <c r="U690">
        <f>MONTH(Table1_1[[#This Row],[order_date]])</f>
        <v>8</v>
      </c>
      <c r="V690" t="str">
        <f>TEXT(Table1_1[[#This Row],[order_date]],"mmm")</f>
        <v>Aug</v>
      </c>
      <c r="W690" t="str">
        <f>"Q"&amp;ROUNDUP(MONTH(Table1_1[[#This Row],[order_date]])/3,0)</f>
        <v>Q3</v>
      </c>
      <c r="X690" t="str">
        <f>TEXT(Table1_1[[#This Row],[order_date]],"yyyy-mm")</f>
        <v>2024-08</v>
      </c>
      <c r="Y690">
        <f>IF(Table1_1[[#This Row],[ship_date]]="","",Table1_1[[#This Row],[ship_date]]-Table1_1[[#This Row],[order_date]])</f>
        <v>5</v>
      </c>
      <c r="Z690">
        <f>ROUND(Table1_1[[#This Row],[profit]]/Table1_1[[#This Row],[sales_fix]]*100,2)</f>
        <v>18.86</v>
      </c>
    </row>
    <row r="691" spans="1:26" x14ac:dyDescent="0.3">
      <c r="A691" t="s">
        <v>595</v>
      </c>
      <c r="B691" s="1">
        <v>45838</v>
      </c>
      <c r="C691" s="1">
        <v>45845</v>
      </c>
      <c r="D691" t="s">
        <v>596</v>
      </c>
      <c r="E691" t="s">
        <v>597</v>
      </c>
      <c r="F691" t="s">
        <v>34</v>
      </c>
      <c r="G691" t="s">
        <v>91</v>
      </c>
      <c r="H691" t="s">
        <v>120</v>
      </c>
      <c r="I691" t="s">
        <v>147</v>
      </c>
      <c r="J691" t="s">
        <v>148</v>
      </c>
      <c r="K691" t="s">
        <v>48</v>
      </c>
      <c r="L691">
        <v>1</v>
      </c>
      <c r="M691">
        <v>250</v>
      </c>
      <c r="N691">
        <v>0</v>
      </c>
      <c r="O691">
        <v>250</v>
      </c>
      <c r="P691">
        <v>82.66</v>
      </c>
      <c r="Q691" t="s">
        <v>28</v>
      </c>
      <c r="R691" t="s">
        <v>56</v>
      </c>
      <c r="S691" t="s">
        <v>50</v>
      </c>
      <c r="T691">
        <f>YEAR(Table1_1[[#This Row],[order_date]])</f>
        <v>2025</v>
      </c>
      <c r="U691">
        <f>MONTH(Table1_1[[#This Row],[order_date]])</f>
        <v>6</v>
      </c>
      <c r="V691" t="str">
        <f>TEXT(Table1_1[[#This Row],[order_date]],"mmm")</f>
        <v>Jun</v>
      </c>
      <c r="W691" t="str">
        <f>"Q"&amp;ROUNDUP(MONTH(Table1_1[[#This Row],[order_date]])/3,0)</f>
        <v>Q2</v>
      </c>
      <c r="X691" t="str">
        <f>TEXT(Table1_1[[#This Row],[order_date]],"yyyy-mm")</f>
        <v>2025-06</v>
      </c>
      <c r="Y691">
        <f>IF(Table1_1[[#This Row],[ship_date]]="","",Table1_1[[#This Row],[ship_date]]-Table1_1[[#This Row],[order_date]])</f>
        <v>7</v>
      </c>
      <c r="Z691">
        <f>ROUND(Table1_1[[#This Row],[profit]]/Table1_1[[#This Row],[sales_fix]]*100,2)</f>
        <v>33.06</v>
      </c>
    </row>
    <row r="692" spans="1:26" x14ac:dyDescent="0.3">
      <c r="A692" t="s">
        <v>2657</v>
      </c>
      <c r="B692" s="1">
        <v>45663</v>
      </c>
      <c r="C692" s="1">
        <v>45664</v>
      </c>
      <c r="D692" t="s">
        <v>1855</v>
      </c>
      <c r="E692" t="s">
        <v>1856</v>
      </c>
      <c r="F692" t="s">
        <v>55</v>
      </c>
      <c r="G692" t="s">
        <v>35</v>
      </c>
      <c r="H692" t="s">
        <v>85</v>
      </c>
      <c r="I692" t="s">
        <v>79</v>
      </c>
      <c r="J692" t="s">
        <v>80</v>
      </c>
      <c r="K692" t="s">
        <v>65</v>
      </c>
      <c r="L692">
        <v>2</v>
      </c>
      <c r="M692">
        <v>3000</v>
      </c>
      <c r="N692">
        <v>0</v>
      </c>
      <c r="O692">
        <v>6000</v>
      </c>
      <c r="P692">
        <v>1851.38</v>
      </c>
      <c r="Q692" t="s">
        <v>156</v>
      </c>
      <c r="R692" t="s">
        <v>56</v>
      </c>
      <c r="S692" t="s">
        <v>86</v>
      </c>
      <c r="T692">
        <f>YEAR(Table1_1[[#This Row],[order_date]])</f>
        <v>2025</v>
      </c>
      <c r="U692">
        <f>MONTH(Table1_1[[#This Row],[order_date]])</f>
        <v>1</v>
      </c>
      <c r="V692" t="str">
        <f>TEXT(Table1_1[[#This Row],[order_date]],"mmm")</f>
        <v>Jan</v>
      </c>
      <c r="W692" t="str">
        <f>"Q"&amp;ROUNDUP(MONTH(Table1_1[[#This Row],[order_date]])/3,0)</f>
        <v>Q1</v>
      </c>
      <c r="X692" t="str">
        <f>TEXT(Table1_1[[#This Row],[order_date]],"yyyy-mm")</f>
        <v>2025-01</v>
      </c>
      <c r="Y692">
        <f>IF(Table1_1[[#This Row],[ship_date]]="","",Table1_1[[#This Row],[ship_date]]-Table1_1[[#This Row],[order_date]])</f>
        <v>1</v>
      </c>
      <c r="Z692">
        <f>ROUND(Table1_1[[#This Row],[profit]]/Table1_1[[#This Row],[sales_fix]]*100,2)</f>
        <v>30.86</v>
      </c>
    </row>
    <row r="693" spans="1:26" x14ac:dyDescent="0.3">
      <c r="A693" t="s">
        <v>1008</v>
      </c>
      <c r="B693" s="1">
        <v>45979</v>
      </c>
      <c r="C693" s="1">
        <v>45985</v>
      </c>
      <c r="D693" t="s">
        <v>1009</v>
      </c>
      <c r="E693" t="s">
        <v>1010</v>
      </c>
      <c r="F693" t="s">
        <v>23</v>
      </c>
      <c r="G693" t="s">
        <v>61</v>
      </c>
      <c r="H693" t="s">
        <v>62</v>
      </c>
      <c r="I693" t="s">
        <v>71</v>
      </c>
      <c r="J693" t="s">
        <v>72</v>
      </c>
      <c r="K693" t="s">
        <v>73</v>
      </c>
      <c r="L693">
        <v>2</v>
      </c>
      <c r="M693">
        <v>3500</v>
      </c>
      <c r="N693">
        <v>0</v>
      </c>
      <c r="O693">
        <v>7000</v>
      </c>
      <c r="P693">
        <v>2140.5</v>
      </c>
      <c r="Q693" t="s">
        <v>156</v>
      </c>
      <c r="R693" t="s">
        <v>29</v>
      </c>
      <c r="S693" t="s">
        <v>40</v>
      </c>
      <c r="T693">
        <f>YEAR(Table1_1[[#This Row],[order_date]])</f>
        <v>2025</v>
      </c>
      <c r="U693">
        <f>MONTH(Table1_1[[#This Row],[order_date]])</f>
        <v>11</v>
      </c>
      <c r="V693" t="str">
        <f>TEXT(Table1_1[[#This Row],[order_date]],"mmm")</f>
        <v>Nov</v>
      </c>
      <c r="W693" t="str">
        <f>"Q"&amp;ROUNDUP(MONTH(Table1_1[[#This Row],[order_date]])/3,0)</f>
        <v>Q4</v>
      </c>
      <c r="X693" t="str">
        <f>TEXT(Table1_1[[#This Row],[order_date]],"yyyy-mm")</f>
        <v>2025-11</v>
      </c>
      <c r="Y693">
        <f>IF(Table1_1[[#This Row],[ship_date]]="","",Table1_1[[#This Row],[ship_date]]-Table1_1[[#This Row],[order_date]])</f>
        <v>6</v>
      </c>
      <c r="Z693">
        <f>ROUND(Table1_1[[#This Row],[profit]]/Table1_1[[#This Row],[sales_fix]]*100,2)</f>
        <v>30.58</v>
      </c>
    </row>
    <row r="694" spans="1:26" x14ac:dyDescent="0.3">
      <c r="A694" t="s">
        <v>232</v>
      </c>
      <c r="B694" s="1">
        <v>45689</v>
      </c>
      <c r="C694" s="1">
        <v>45694</v>
      </c>
      <c r="D694" t="s">
        <v>233</v>
      </c>
      <c r="E694" t="s">
        <v>234</v>
      </c>
      <c r="F694" t="s">
        <v>23</v>
      </c>
      <c r="G694" t="s">
        <v>61</v>
      </c>
      <c r="H694" t="s">
        <v>211</v>
      </c>
      <c r="I694" t="s">
        <v>147</v>
      </c>
      <c r="J694" t="s">
        <v>148</v>
      </c>
      <c r="K694" t="s">
        <v>48</v>
      </c>
      <c r="L694">
        <v>1</v>
      </c>
      <c r="M694">
        <v>250</v>
      </c>
      <c r="N694">
        <v>5</v>
      </c>
      <c r="O694">
        <v>237.5</v>
      </c>
      <c r="P694">
        <v>101.75</v>
      </c>
      <c r="Q694" t="s">
        <v>74</v>
      </c>
      <c r="R694" t="s">
        <v>29</v>
      </c>
      <c r="S694" t="s">
        <v>50</v>
      </c>
      <c r="T694">
        <f>YEAR(Table1_1[[#This Row],[order_date]])</f>
        <v>2025</v>
      </c>
      <c r="U694">
        <f>MONTH(Table1_1[[#This Row],[order_date]])</f>
        <v>2</v>
      </c>
      <c r="V694" t="str">
        <f>TEXT(Table1_1[[#This Row],[order_date]],"mmm")</f>
        <v>Feb</v>
      </c>
      <c r="W694" t="str">
        <f>"Q"&amp;ROUNDUP(MONTH(Table1_1[[#This Row],[order_date]])/3,0)</f>
        <v>Q1</v>
      </c>
      <c r="X694" t="str">
        <f>TEXT(Table1_1[[#This Row],[order_date]],"yyyy-mm")</f>
        <v>2025-02</v>
      </c>
      <c r="Y694">
        <f>IF(Table1_1[[#This Row],[ship_date]]="","",Table1_1[[#This Row],[ship_date]]-Table1_1[[#This Row],[order_date]])</f>
        <v>5</v>
      </c>
      <c r="Z694">
        <f>ROUND(Table1_1[[#This Row],[profit]]/Table1_1[[#This Row],[sales_fix]]*100,2)</f>
        <v>42.84</v>
      </c>
    </row>
    <row r="695" spans="1:26" x14ac:dyDescent="0.3">
      <c r="A695" t="s">
        <v>2077</v>
      </c>
      <c r="B695" s="1">
        <v>45456</v>
      </c>
      <c r="C695" s="1">
        <v>45463</v>
      </c>
      <c r="D695" t="s">
        <v>886</v>
      </c>
      <c r="E695" t="s">
        <v>887</v>
      </c>
      <c r="F695" t="s">
        <v>55</v>
      </c>
      <c r="G695" t="s">
        <v>91</v>
      </c>
      <c r="H695" t="s">
        <v>177</v>
      </c>
      <c r="I695" t="s">
        <v>103</v>
      </c>
      <c r="J695" t="s">
        <v>104</v>
      </c>
      <c r="K695" t="s">
        <v>65</v>
      </c>
      <c r="L695">
        <v>5</v>
      </c>
      <c r="M695">
        <v>8000</v>
      </c>
      <c r="N695">
        <v>15</v>
      </c>
      <c r="O695">
        <v>34000</v>
      </c>
      <c r="P695">
        <v>7028.43</v>
      </c>
      <c r="Q695" t="s">
        <v>66</v>
      </c>
      <c r="R695" t="s">
        <v>49</v>
      </c>
      <c r="S695" t="s">
        <v>86</v>
      </c>
      <c r="T695">
        <f>YEAR(Table1_1[[#This Row],[order_date]])</f>
        <v>2024</v>
      </c>
      <c r="U695">
        <f>MONTH(Table1_1[[#This Row],[order_date]])</f>
        <v>6</v>
      </c>
      <c r="V695" t="str">
        <f>TEXT(Table1_1[[#This Row],[order_date]],"mmm")</f>
        <v>Jun</v>
      </c>
      <c r="W695" t="str">
        <f>"Q"&amp;ROUNDUP(MONTH(Table1_1[[#This Row],[order_date]])/3,0)</f>
        <v>Q2</v>
      </c>
      <c r="X695" t="str">
        <f>TEXT(Table1_1[[#This Row],[order_date]],"yyyy-mm")</f>
        <v>2024-06</v>
      </c>
      <c r="Y695">
        <f>IF(Table1_1[[#This Row],[ship_date]]="","",Table1_1[[#This Row],[ship_date]]-Table1_1[[#This Row],[order_date]])</f>
        <v>7</v>
      </c>
      <c r="Z695">
        <f>ROUND(Table1_1[[#This Row],[profit]]/Table1_1[[#This Row],[sales_fix]]*100,2)</f>
        <v>20.67</v>
      </c>
    </row>
    <row r="696" spans="1:26" x14ac:dyDescent="0.3">
      <c r="A696" t="s">
        <v>212</v>
      </c>
      <c r="B696" s="1">
        <v>45714</v>
      </c>
      <c r="C696" s="1"/>
      <c r="D696" t="s">
        <v>83</v>
      </c>
      <c r="E696" t="s">
        <v>84</v>
      </c>
      <c r="F696" t="s">
        <v>34</v>
      </c>
      <c r="G696" t="s">
        <v>35</v>
      </c>
      <c r="H696" t="s">
        <v>85</v>
      </c>
      <c r="I696" t="s">
        <v>147</v>
      </c>
      <c r="J696" t="s">
        <v>148</v>
      </c>
      <c r="K696" t="s">
        <v>48</v>
      </c>
      <c r="L696">
        <v>5</v>
      </c>
      <c r="M696">
        <v>250</v>
      </c>
      <c r="N696">
        <v>0</v>
      </c>
      <c r="O696">
        <v>1250</v>
      </c>
      <c r="P696">
        <v>493.48</v>
      </c>
      <c r="Q696" t="s">
        <v>121</v>
      </c>
      <c r="R696" t="s">
        <v>56</v>
      </c>
      <c r="S696" t="s">
        <v>110</v>
      </c>
      <c r="T696">
        <f>YEAR(Table1_1[[#This Row],[order_date]])</f>
        <v>2025</v>
      </c>
      <c r="U696">
        <f>MONTH(Table1_1[[#This Row],[order_date]])</f>
        <v>2</v>
      </c>
      <c r="V696" t="str">
        <f>TEXT(Table1_1[[#This Row],[order_date]],"mmm")</f>
        <v>Feb</v>
      </c>
      <c r="W696" t="str">
        <f>"Q"&amp;ROUNDUP(MONTH(Table1_1[[#This Row],[order_date]])/3,0)</f>
        <v>Q1</v>
      </c>
      <c r="X696" t="str">
        <f>TEXT(Table1_1[[#This Row],[order_date]],"yyyy-mm")</f>
        <v>2025-02</v>
      </c>
      <c r="Y696" t="str">
        <f>IF(Table1_1[[#This Row],[ship_date]]="","",Table1_1[[#This Row],[ship_date]]-Table1_1[[#This Row],[order_date]])</f>
        <v/>
      </c>
      <c r="Z696">
        <f>ROUND(Table1_1[[#This Row],[profit]]/Table1_1[[#This Row],[sales_fix]]*100,2)</f>
        <v>39.479999999999997</v>
      </c>
    </row>
    <row r="697" spans="1:26" x14ac:dyDescent="0.3">
      <c r="A697" t="s">
        <v>2297</v>
      </c>
      <c r="B697" s="1">
        <v>45652</v>
      </c>
      <c r="C697" s="1">
        <v>45660</v>
      </c>
      <c r="D697" t="s">
        <v>864</v>
      </c>
      <c r="E697" t="s">
        <v>865</v>
      </c>
      <c r="F697" t="s">
        <v>34</v>
      </c>
      <c r="G697" t="s">
        <v>44</v>
      </c>
      <c r="H697" t="s">
        <v>155</v>
      </c>
      <c r="I697" t="s">
        <v>63</v>
      </c>
      <c r="J697" t="s">
        <v>64</v>
      </c>
      <c r="K697" t="s">
        <v>65</v>
      </c>
      <c r="L697">
        <v>3</v>
      </c>
      <c r="M697">
        <v>25000</v>
      </c>
      <c r="N697">
        <v>10</v>
      </c>
      <c r="O697">
        <v>67500</v>
      </c>
      <c r="P697">
        <v>10075.530000000001</v>
      </c>
      <c r="Q697" t="s">
        <v>156</v>
      </c>
      <c r="R697" t="s">
        <v>29</v>
      </c>
      <c r="S697" t="s">
        <v>86</v>
      </c>
      <c r="T697">
        <f>YEAR(Table1_1[[#This Row],[order_date]])</f>
        <v>2024</v>
      </c>
      <c r="U697">
        <f>MONTH(Table1_1[[#This Row],[order_date]])</f>
        <v>12</v>
      </c>
      <c r="V697" t="str">
        <f>TEXT(Table1_1[[#This Row],[order_date]],"mmm")</f>
        <v>Dec</v>
      </c>
      <c r="W697" t="str">
        <f>"Q"&amp;ROUNDUP(MONTH(Table1_1[[#This Row],[order_date]])/3,0)</f>
        <v>Q4</v>
      </c>
      <c r="X697" t="str">
        <f>TEXT(Table1_1[[#This Row],[order_date]],"yyyy-mm")</f>
        <v>2024-12</v>
      </c>
      <c r="Y697">
        <f>IF(Table1_1[[#This Row],[ship_date]]="","",Table1_1[[#This Row],[ship_date]]-Table1_1[[#This Row],[order_date]])</f>
        <v>8</v>
      </c>
      <c r="Z697">
        <f>ROUND(Table1_1[[#This Row],[profit]]/Table1_1[[#This Row],[sales_fix]]*100,2)</f>
        <v>14.93</v>
      </c>
    </row>
    <row r="698" spans="1:26" x14ac:dyDescent="0.3">
      <c r="A698" t="s">
        <v>2846</v>
      </c>
      <c r="B698" s="1">
        <v>45746</v>
      </c>
      <c r="C698" s="1">
        <v>45750</v>
      </c>
      <c r="D698" t="s">
        <v>129</v>
      </c>
      <c r="E698" t="s">
        <v>130</v>
      </c>
      <c r="F698" t="s">
        <v>34</v>
      </c>
      <c r="G698" t="s">
        <v>61</v>
      </c>
      <c r="H698" t="s">
        <v>78</v>
      </c>
      <c r="I698" t="s">
        <v>126</v>
      </c>
      <c r="J698" t="s">
        <v>127</v>
      </c>
      <c r="K698" t="s">
        <v>95</v>
      </c>
      <c r="L698">
        <v>3</v>
      </c>
      <c r="M698">
        <v>600</v>
      </c>
      <c r="N698">
        <v>0</v>
      </c>
      <c r="O698">
        <v>1800</v>
      </c>
      <c r="P698">
        <v>479.64</v>
      </c>
      <c r="Q698" t="s">
        <v>156</v>
      </c>
      <c r="R698" t="s">
        <v>49</v>
      </c>
      <c r="S698" t="s">
        <v>110</v>
      </c>
      <c r="T698">
        <f>YEAR(Table1_1[[#This Row],[order_date]])</f>
        <v>2025</v>
      </c>
      <c r="U698">
        <f>MONTH(Table1_1[[#This Row],[order_date]])</f>
        <v>3</v>
      </c>
      <c r="V698" t="str">
        <f>TEXT(Table1_1[[#This Row],[order_date]],"mmm")</f>
        <v>Mar</v>
      </c>
      <c r="W698" t="str">
        <f>"Q"&amp;ROUNDUP(MONTH(Table1_1[[#This Row],[order_date]])/3,0)</f>
        <v>Q1</v>
      </c>
      <c r="X698" t="str">
        <f>TEXT(Table1_1[[#This Row],[order_date]],"yyyy-mm")</f>
        <v>2025-03</v>
      </c>
      <c r="Y698">
        <f>IF(Table1_1[[#This Row],[ship_date]]="","",Table1_1[[#This Row],[ship_date]]-Table1_1[[#This Row],[order_date]])</f>
        <v>4</v>
      </c>
      <c r="Z698">
        <f>ROUND(Table1_1[[#This Row],[profit]]/Table1_1[[#This Row],[sales_fix]]*100,2)</f>
        <v>26.65</v>
      </c>
    </row>
    <row r="699" spans="1:26" x14ac:dyDescent="0.3">
      <c r="A699" t="s">
        <v>476</v>
      </c>
      <c r="B699" s="1">
        <v>45405</v>
      </c>
      <c r="C699" s="1">
        <v>45408</v>
      </c>
      <c r="D699" t="s">
        <v>477</v>
      </c>
      <c r="E699" t="s">
        <v>478</v>
      </c>
      <c r="F699" t="s">
        <v>34</v>
      </c>
      <c r="G699" t="s">
        <v>44</v>
      </c>
      <c r="H699" t="s">
        <v>161</v>
      </c>
      <c r="I699" t="s">
        <v>63</v>
      </c>
      <c r="J699" t="s">
        <v>64</v>
      </c>
      <c r="K699" t="s">
        <v>65</v>
      </c>
      <c r="L699">
        <v>1</v>
      </c>
      <c r="M699">
        <v>25000</v>
      </c>
      <c r="N699">
        <v>10</v>
      </c>
      <c r="O699">
        <v>22500</v>
      </c>
      <c r="P699">
        <v>3325.81</v>
      </c>
      <c r="Q699" t="s">
        <v>39</v>
      </c>
      <c r="R699" t="s">
        <v>56</v>
      </c>
      <c r="S699" t="s">
        <v>30</v>
      </c>
      <c r="T699">
        <f>YEAR(Table1_1[[#This Row],[order_date]])</f>
        <v>2024</v>
      </c>
      <c r="U699">
        <f>MONTH(Table1_1[[#This Row],[order_date]])</f>
        <v>4</v>
      </c>
      <c r="V699" t="str">
        <f>TEXT(Table1_1[[#This Row],[order_date]],"mmm")</f>
        <v>Apr</v>
      </c>
      <c r="W699" t="str">
        <f>"Q"&amp;ROUNDUP(MONTH(Table1_1[[#This Row],[order_date]])/3,0)</f>
        <v>Q2</v>
      </c>
      <c r="X699" t="str">
        <f>TEXT(Table1_1[[#This Row],[order_date]],"yyyy-mm")</f>
        <v>2024-04</v>
      </c>
      <c r="Y699">
        <f>IF(Table1_1[[#This Row],[ship_date]]="","",Table1_1[[#This Row],[ship_date]]-Table1_1[[#This Row],[order_date]])</f>
        <v>3</v>
      </c>
      <c r="Z699">
        <f>ROUND(Table1_1[[#This Row],[profit]]/Table1_1[[#This Row],[sales_fix]]*100,2)</f>
        <v>14.78</v>
      </c>
    </row>
    <row r="700" spans="1:26" x14ac:dyDescent="0.3">
      <c r="A700" t="s">
        <v>323</v>
      </c>
      <c r="B700" s="1">
        <v>45781</v>
      </c>
      <c r="C700" s="1">
        <v>45787</v>
      </c>
      <c r="D700" t="s">
        <v>324</v>
      </c>
      <c r="E700" t="s">
        <v>325</v>
      </c>
      <c r="F700" t="s">
        <v>55</v>
      </c>
      <c r="G700" t="s">
        <v>91</v>
      </c>
      <c r="H700" t="s">
        <v>109</v>
      </c>
      <c r="I700" t="s">
        <v>147</v>
      </c>
      <c r="J700" t="s">
        <v>148</v>
      </c>
      <c r="K700" t="s">
        <v>48</v>
      </c>
      <c r="L700">
        <v>4</v>
      </c>
      <c r="M700">
        <v>250</v>
      </c>
      <c r="N700">
        <v>0</v>
      </c>
      <c r="O700">
        <v>1000</v>
      </c>
      <c r="P700">
        <v>321.70999999999998</v>
      </c>
      <c r="Q700" t="s">
        <v>3113</v>
      </c>
      <c r="R700" t="s">
        <v>29</v>
      </c>
      <c r="S700" t="s">
        <v>86</v>
      </c>
      <c r="T700">
        <f>YEAR(Table1_1[[#This Row],[order_date]])</f>
        <v>2025</v>
      </c>
      <c r="U700">
        <f>MONTH(Table1_1[[#This Row],[order_date]])</f>
        <v>5</v>
      </c>
      <c r="V700" t="str">
        <f>TEXT(Table1_1[[#This Row],[order_date]],"mmm")</f>
        <v>May</v>
      </c>
      <c r="W700" t="str">
        <f>"Q"&amp;ROUNDUP(MONTH(Table1_1[[#This Row],[order_date]])/3,0)</f>
        <v>Q2</v>
      </c>
      <c r="X700" t="str">
        <f>TEXT(Table1_1[[#This Row],[order_date]],"yyyy-mm")</f>
        <v>2025-05</v>
      </c>
      <c r="Y700">
        <f>IF(Table1_1[[#This Row],[ship_date]]="","",Table1_1[[#This Row],[ship_date]]-Table1_1[[#This Row],[order_date]])</f>
        <v>6</v>
      </c>
      <c r="Z700">
        <f>ROUND(Table1_1[[#This Row],[profit]]/Table1_1[[#This Row],[sales_fix]]*100,2)</f>
        <v>32.17</v>
      </c>
    </row>
    <row r="701" spans="1:26" x14ac:dyDescent="0.3">
      <c r="A701" t="s">
        <v>2957</v>
      </c>
      <c r="B701" s="1">
        <v>45478</v>
      </c>
      <c r="C701" s="1">
        <v>45482</v>
      </c>
      <c r="D701" t="s">
        <v>520</v>
      </c>
      <c r="E701" t="s">
        <v>521</v>
      </c>
      <c r="F701" t="s">
        <v>23</v>
      </c>
      <c r="G701" t="s">
        <v>91</v>
      </c>
      <c r="H701" t="s">
        <v>109</v>
      </c>
      <c r="I701" t="s">
        <v>37</v>
      </c>
      <c r="J701" t="s">
        <v>38</v>
      </c>
      <c r="K701" t="s">
        <v>27</v>
      </c>
      <c r="L701">
        <v>1</v>
      </c>
      <c r="M701">
        <v>9500</v>
      </c>
      <c r="N701">
        <v>5</v>
      </c>
      <c r="O701">
        <v>9025</v>
      </c>
      <c r="P701">
        <v>1945.61</v>
      </c>
      <c r="Q701" t="s">
        <v>66</v>
      </c>
      <c r="R701" t="s">
        <v>29</v>
      </c>
      <c r="S701" t="s">
        <v>40</v>
      </c>
      <c r="T701">
        <f>YEAR(Table1_1[[#This Row],[order_date]])</f>
        <v>2024</v>
      </c>
      <c r="U701">
        <f>MONTH(Table1_1[[#This Row],[order_date]])</f>
        <v>7</v>
      </c>
      <c r="V701" t="str">
        <f>TEXT(Table1_1[[#This Row],[order_date]],"mmm")</f>
        <v>Jul</v>
      </c>
      <c r="W701" t="str">
        <f>"Q"&amp;ROUNDUP(MONTH(Table1_1[[#This Row],[order_date]])/3,0)</f>
        <v>Q3</v>
      </c>
      <c r="X701" t="str">
        <f>TEXT(Table1_1[[#This Row],[order_date]],"yyyy-mm")</f>
        <v>2024-07</v>
      </c>
      <c r="Y701">
        <f>IF(Table1_1[[#This Row],[ship_date]]="","",Table1_1[[#This Row],[ship_date]]-Table1_1[[#This Row],[order_date]])</f>
        <v>4</v>
      </c>
      <c r="Z701">
        <f>ROUND(Table1_1[[#This Row],[profit]]/Table1_1[[#This Row],[sales_fix]]*100,2)</f>
        <v>21.56</v>
      </c>
    </row>
    <row r="702" spans="1:26" x14ac:dyDescent="0.3">
      <c r="A702" t="s">
        <v>2509</v>
      </c>
      <c r="B702" s="1">
        <v>45765</v>
      </c>
      <c r="C702" s="1">
        <v>45766</v>
      </c>
      <c r="D702" t="s">
        <v>1115</v>
      </c>
      <c r="E702" t="s">
        <v>1116</v>
      </c>
      <c r="F702" t="s">
        <v>23</v>
      </c>
      <c r="G702" t="s">
        <v>44</v>
      </c>
      <c r="H702" t="s">
        <v>45</v>
      </c>
      <c r="I702" t="s">
        <v>63</v>
      </c>
      <c r="J702" t="s">
        <v>64</v>
      </c>
      <c r="K702" t="s">
        <v>65</v>
      </c>
      <c r="L702">
        <v>1</v>
      </c>
      <c r="M702">
        <v>25000</v>
      </c>
      <c r="N702">
        <v>15</v>
      </c>
      <c r="O702">
        <v>21250</v>
      </c>
      <c r="P702">
        <v>3317.33</v>
      </c>
      <c r="Q702" t="s">
        <v>28</v>
      </c>
      <c r="R702" t="s">
        <v>56</v>
      </c>
      <c r="S702" t="s">
        <v>30</v>
      </c>
      <c r="T702">
        <f>YEAR(Table1_1[[#This Row],[order_date]])</f>
        <v>2025</v>
      </c>
      <c r="U702">
        <f>MONTH(Table1_1[[#This Row],[order_date]])</f>
        <v>4</v>
      </c>
      <c r="V702" t="str">
        <f>TEXT(Table1_1[[#This Row],[order_date]],"mmm")</f>
        <v>Apr</v>
      </c>
      <c r="W702" t="str">
        <f>"Q"&amp;ROUNDUP(MONTH(Table1_1[[#This Row],[order_date]])/3,0)</f>
        <v>Q2</v>
      </c>
      <c r="X702" t="str">
        <f>TEXT(Table1_1[[#This Row],[order_date]],"yyyy-mm")</f>
        <v>2025-04</v>
      </c>
      <c r="Y702">
        <f>IF(Table1_1[[#This Row],[ship_date]]="","",Table1_1[[#This Row],[ship_date]]-Table1_1[[#This Row],[order_date]])</f>
        <v>1</v>
      </c>
      <c r="Z702">
        <f>ROUND(Table1_1[[#This Row],[profit]]/Table1_1[[#This Row],[sales_fix]]*100,2)</f>
        <v>15.61</v>
      </c>
    </row>
    <row r="703" spans="1:26" x14ac:dyDescent="0.3">
      <c r="A703" t="s">
        <v>1834</v>
      </c>
      <c r="B703" s="1">
        <v>45383</v>
      </c>
      <c r="C703" s="1">
        <v>45385</v>
      </c>
      <c r="D703" t="s">
        <v>808</v>
      </c>
      <c r="E703" t="s">
        <v>809</v>
      </c>
      <c r="F703" t="s">
        <v>55</v>
      </c>
      <c r="G703" t="s">
        <v>35</v>
      </c>
      <c r="H703" t="s">
        <v>258</v>
      </c>
      <c r="I703" t="s">
        <v>79</v>
      </c>
      <c r="J703" t="s">
        <v>80</v>
      </c>
      <c r="K703" t="s">
        <v>65</v>
      </c>
      <c r="L703">
        <v>5</v>
      </c>
      <c r="M703">
        <v>3000</v>
      </c>
      <c r="N703">
        <v>0</v>
      </c>
      <c r="O703">
        <v>15000</v>
      </c>
      <c r="P703">
        <v>4855.04</v>
      </c>
      <c r="Q703" t="s">
        <v>66</v>
      </c>
      <c r="R703" t="s">
        <v>56</v>
      </c>
      <c r="S703" t="s">
        <v>40</v>
      </c>
      <c r="T703">
        <f>YEAR(Table1_1[[#This Row],[order_date]])</f>
        <v>2024</v>
      </c>
      <c r="U703">
        <f>MONTH(Table1_1[[#This Row],[order_date]])</f>
        <v>4</v>
      </c>
      <c r="V703" t="str">
        <f>TEXT(Table1_1[[#This Row],[order_date]],"mmm")</f>
        <v>Apr</v>
      </c>
      <c r="W703" t="str">
        <f>"Q"&amp;ROUNDUP(MONTH(Table1_1[[#This Row],[order_date]])/3,0)</f>
        <v>Q2</v>
      </c>
      <c r="X703" t="str">
        <f>TEXT(Table1_1[[#This Row],[order_date]],"yyyy-mm")</f>
        <v>2024-04</v>
      </c>
      <c r="Y703">
        <f>IF(Table1_1[[#This Row],[ship_date]]="","",Table1_1[[#This Row],[ship_date]]-Table1_1[[#This Row],[order_date]])</f>
        <v>2</v>
      </c>
      <c r="Z703">
        <f>ROUND(Table1_1[[#This Row],[profit]]/Table1_1[[#This Row],[sales_fix]]*100,2)</f>
        <v>32.369999999999997</v>
      </c>
    </row>
    <row r="704" spans="1:26" x14ac:dyDescent="0.3">
      <c r="A704" t="s">
        <v>1935</v>
      </c>
      <c r="B704" s="1">
        <v>45981</v>
      </c>
      <c r="C704" s="1">
        <v>45986</v>
      </c>
      <c r="D704" t="s">
        <v>200</v>
      </c>
      <c r="E704" t="s">
        <v>201</v>
      </c>
      <c r="F704" t="s">
        <v>23</v>
      </c>
      <c r="G704" t="s">
        <v>35</v>
      </c>
      <c r="H704" t="s">
        <v>187</v>
      </c>
      <c r="I704" t="s">
        <v>147</v>
      </c>
      <c r="J704" t="s">
        <v>148</v>
      </c>
      <c r="K704" t="s">
        <v>48</v>
      </c>
      <c r="L704">
        <v>1</v>
      </c>
      <c r="M704">
        <v>250</v>
      </c>
      <c r="N704">
        <v>0</v>
      </c>
      <c r="O704">
        <v>250</v>
      </c>
      <c r="P704">
        <v>77.62</v>
      </c>
      <c r="Q704" t="s">
        <v>74</v>
      </c>
      <c r="R704" t="s">
        <v>56</v>
      </c>
      <c r="S704" t="s">
        <v>30</v>
      </c>
      <c r="T704">
        <f>YEAR(Table1_1[[#This Row],[order_date]])</f>
        <v>2025</v>
      </c>
      <c r="U704">
        <f>MONTH(Table1_1[[#This Row],[order_date]])</f>
        <v>11</v>
      </c>
      <c r="V704" t="str">
        <f>TEXT(Table1_1[[#This Row],[order_date]],"mmm")</f>
        <v>Nov</v>
      </c>
      <c r="W704" t="str">
        <f>"Q"&amp;ROUNDUP(MONTH(Table1_1[[#This Row],[order_date]])/3,0)</f>
        <v>Q4</v>
      </c>
      <c r="X704" t="str">
        <f>TEXT(Table1_1[[#This Row],[order_date]],"yyyy-mm")</f>
        <v>2025-11</v>
      </c>
      <c r="Y704">
        <f>IF(Table1_1[[#This Row],[ship_date]]="","",Table1_1[[#This Row],[ship_date]]-Table1_1[[#This Row],[order_date]])</f>
        <v>5</v>
      </c>
      <c r="Z704">
        <f>ROUND(Table1_1[[#This Row],[profit]]/Table1_1[[#This Row],[sales_fix]]*100,2)</f>
        <v>31.05</v>
      </c>
    </row>
    <row r="705" spans="1:26" x14ac:dyDescent="0.3">
      <c r="A705" t="s">
        <v>2580</v>
      </c>
      <c r="B705" s="1">
        <v>45733</v>
      </c>
      <c r="C705" s="1">
        <v>45738</v>
      </c>
      <c r="D705" t="s">
        <v>159</v>
      </c>
      <c r="E705" t="s">
        <v>160</v>
      </c>
      <c r="F705" t="s">
        <v>34</v>
      </c>
      <c r="G705" t="s">
        <v>44</v>
      </c>
      <c r="H705" t="s">
        <v>161</v>
      </c>
      <c r="I705" t="s">
        <v>79</v>
      </c>
      <c r="J705" t="s">
        <v>80</v>
      </c>
      <c r="K705" t="s">
        <v>65</v>
      </c>
      <c r="L705">
        <v>4</v>
      </c>
      <c r="M705">
        <v>3000</v>
      </c>
      <c r="N705">
        <v>10</v>
      </c>
      <c r="O705">
        <v>10800</v>
      </c>
      <c r="P705">
        <v>2547.37</v>
      </c>
      <c r="Q705" t="s">
        <v>156</v>
      </c>
      <c r="R705" t="s">
        <v>56</v>
      </c>
      <c r="S705" t="s">
        <v>50</v>
      </c>
      <c r="T705">
        <f>YEAR(Table1_1[[#This Row],[order_date]])</f>
        <v>2025</v>
      </c>
      <c r="U705">
        <f>MONTH(Table1_1[[#This Row],[order_date]])</f>
        <v>3</v>
      </c>
      <c r="V705" t="str">
        <f>TEXT(Table1_1[[#This Row],[order_date]],"mmm")</f>
        <v>Mar</v>
      </c>
      <c r="W705" t="str">
        <f>"Q"&amp;ROUNDUP(MONTH(Table1_1[[#This Row],[order_date]])/3,0)</f>
        <v>Q1</v>
      </c>
      <c r="X705" t="str">
        <f>TEXT(Table1_1[[#This Row],[order_date]],"yyyy-mm")</f>
        <v>2025-03</v>
      </c>
      <c r="Y705">
        <f>IF(Table1_1[[#This Row],[ship_date]]="","",Table1_1[[#This Row],[ship_date]]-Table1_1[[#This Row],[order_date]])</f>
        <v>5</v>
      </c>
      <c r="Z705">
        <f>ROUND(Table1_1[[#This Row],[profit]]/Table1_1[[#This Row],[sales_fix]]*100,2)</f>
        <v>23.59</v>
      </c>
    </row>
    <row r="706" spans="1:26" x14ac:dyDescent="0.3">
      <c r="A706" t="s">
        <v>2527</v>
      </c>
      <c r="B706" s="1">
        <v>45710</v>
      </c>
      <c r="C706" s="1">
        <v>45715</v>
      </c>
      <c r="D706" t="s">
        <v>1376</v>
      </c>
      <c r="E706" t="s">
        <v>1377</v>
      </c>
      <c r="F706" t="s">
        <v>34</v>
      </c>
      <c r="G706" t="s">
        <v>61</v>
      </c>
      <c r="H706" t="s">
        <v>125</v>
      </c>
      <c r="I706" t="s">
        <v>79</v>
      </c>
      <c r="J706" t="s">
        <v>80</v>
      </c>
      <c r="K706" t="s">
        <v>65</v>
      </c>
      <c r="L706">
        <v>3</v>
      </c>
      <c r="M706">
        <v>3000</v>
      </c>
      <c r="N706">
        <v>0</v>
      </c>
      <c r="O706">
        <v>9000</v>
      </c>
      <c r="P706">
        <v>2203.41</v>
      </c>
      <c r="Q706" t="s">
        <v>121</v>
      </c>
      <c r="R706" t="s">
        <v>56</v>
      </c>
      <c r="S706" t="s">
        <v>30</v>
      </c>
      <c r="T706">
        <f>YEAR(Table1_1[[#This Row],[order_date]])</f>
        <v>2025</v>
      </c>
      <c r="U706">
        <f>MONTH(Table1_1[[#This Row],[order_date]])</f>
        <v>2</v>
      </c>
      <c r="V706" t="str">
        <f>TEXT(Table1_1[[#This Row],[order_date]],"mmm")</f>
        <v>Feb</v>
      </c>
      <c r="W706" t="str">
        <f>"Q"&amp;ROUNDUP(MONTH(Table1_1[[#This Row],[order_date]])/3,0)</f>
        <v>Q1</v>
      </c>
      <c r="X706" t="str">
        <f>TEXT(Table1_1[[#This Row],[order_date]],"yyyy-mm")</f>
        <v>2025-02</v>
      </c>
      <c r="Y706">
        <f>IF(Table1_1[[#This Row],[ship_date]]="","",Table1_1[[#This Row],[ship_date]]-Table1_1[[#This Row],[order_date]])</f>
        <v>5</v>
      </c>
      <c r="Z706">
        <f>ROUND(Table1_1[[#This Row],[profit]]/Table1_1[[#This Row],[sales_fix]]*100,2)</f>
        <v>24.48</v>
      </c>
    </row>
    <row r="707" spans="1:26" x14ac:dyDescent="0.3">
      <c r="A707" t="s">
        <v>2823</v>
      </c>
      <c r="B707" s="1">
        <v>45888</v>
      </c>
      <c r="C707" s="1">
        <v>45896</v>
      </c>
      <c r="D707" t="s">
        <v>418</v>
      </c>
      <c r="E707" t="s">
        <v>419</v>
      </c>
      <c r="F707" t="s">
        <v>23</v>
      </c>
      <c r="G707" t="s">
        <v>91</v>
      </c>
      <c r="H707" t="s">
        <v>120</v>
      </c>
      <c r="I707" t="s">
        <v>37</v>
      </c>
      <c r="J707" t="s">
        <v>38</v>
      </c>
      <c r="K707" t="s">
        <v>27</v>
      </c>
      <c r="L707">
        <v>3</v>
      </c>
      <c r="M707">
        <v>9500</v>
      </c>
      <c r="N707">
        <v>5</v>
      </c>
      <c r="O707">
        <v>27075</v>
      </c>
      <c r="P707">
        <v>3976.21</v>
      </c>
      <c r="Q707" t="s">
        <v>121</v>
      </c>
      <c r="R707" t="s">
        <v>49</v>
      </c>
      <c r="S707" t="s">
        <v>30</v>
      </c>
      <c r="T707">
        <f>YEAR(Table1_1[[#This Row],[order_date]])</f>
        <v>2025</v>
      </c>
      <c r="U707">
        <f>MONTH(Table1_1[[#This Row],[order_date]])</f>
        <v>8</v>
      </c>
      <c r="V707" t="str">
        <f>TEXT(Table1_1[[#This Row],[order_date]],"mmm")</f>
        <v>Aug</v>
      </c>
      <c r="W707" t="str">
        <f>"Q"&amp;ROUNDUP(MONTH(Table1_1[[#This Row],[order_date]])/3,0)</f>
        <v>Q3</v>
      </c>
      <c r="X707" t="str">
        <f>TEXT(Table1_1[[#This Row],[order_date]],"yyyy-mm")</f>
        <v>2025-08</v>
      </c>
      <c r="Y707">
        <f>IF(Table1_1[[#This Row],[ship_date]]="","",Table1_1[[#This Row],[ship_date]]-Table1_1[[#This Row],[order_date]])</f>
        <v>8</v>
      </c>
      <c r="Z707">
        <f>ROUND(Table1_1[[#This Row],[profit]]/Table1_1[[#This Row],[sales_fix]]*100,2)</f>
        <v>14.69</v>
      </c>
    </row>
    <row r="708" spans="1:26" x14ac:dyDescent="0.3">
      <c r="A708" t="s">
        <v>1779</v>
      </c>
      <c r="B708" s="1">
        <v>45684</v>
      </c>
      <c r="C708" s="1">
        <v>45686</v>
      </c>
      <c r="D708" t="s">
        <v>606</v>
      </c>
      <c r="E708" t="s">
        <v>607</v>
      </c>
      <c r="F708" t="s">
        <v>23</v>
      </c>
      <c r="G708" t="s">
        <v>35</v>
      </c>
      <c r="H708" t="s">
        <v>36</v>
      </c>
      <c r="I708" t="s">
        <v>71</v>
      </c>
      <c r="J708" t="s">
        <v>72</v>
      </c>
      <c r="K708" t="s">
        <v>73</v>
      </c>
      <c r="L708">
        <v>3</v>
      </c>
      <c r="M708">
        <v>3500</v>
      </c>
      <c r="N708">
        <v>15</v>
      </c>
      <c r="O708">
        <v>8925</v>
      </c>
      <c r="P708">
        <v>2681.44</v>
      </c>
      <c r="Q708" t="s">
        <v>66</v>
      </c>
      <c r="R708" t="s">
        <v>56</v>
      </c>
      <c r="S708" t="s">
        <v>86</v>
      </c>
      <c r="T708">
        <f>YEAR(Table1_1[[#This Row],[order_date]])</f>
        <v>2025</v>
      </c>
      <c r="U708">
        <f>MONTH(Table1_1[[#This Row],[order_date]])</f>
        <v>1</v>
      </c>
      <c r="V708" t="str">
        <f>TEXT(Table1_1[[#This Row],[order_date]],"mmm")</f>
        <v>Jan</v>
      </c>
      <c r="W708" t="str">
        <f>"Q"&amp;ROUNDUP(MONTH(Table1_1[[#This Row],[order_date]])/3,0)</f>
        <v>Q1</v>
      </c>
      <c r="X708" t="str">
        <f>TEXT(Table1_1[[#This Row],[order_date]],"yyyy-mm")</f>
        <v>2025-01</v>
      </c>
      <c r="Y708">
        <f>IF(Table1_1[[#This Row],[ship_date]]="","",Table1_1[[#This Row],[ship_date]]-Table1_1[[#This Row],[order_date]])</f>
        <v>2</v>
      </c>
      <c r="Z708">
        <f>ROUND(Table1_1[[#This Row],[profit]]/Table1_1[[#This Row],[sales_fix]]*100,2)</f>
        <v>30.04</v>
      </c>
    </row>
    <row r="709" spans="1:26" x14ac:dyDescent="0.3">
      <c r="A709" t="s">
        <v>2606</v>
      </c>
      <c r="B709" s="1">
        <v>45532</v>
      </c>
      <c r="C709" s="1">
        <v>45533</v>
      </c>
      <c r="D709" t="s">
        <v>871</v>
      </c>
      <c r="E709" t="s">
        <v>872</v>
      </c>
      <c r="F709" t="s">
        <v>34</v>
      </c>
      <c r="G709" t="s">
        <v>61</v>
      </c>
      <c r="H709" t="s">
        <v>78</v>
      </c>
      <c r="I709" t="s">
        <v>37</v>
      </c>
      <c r="J709" t="s">
        <v>38</v>
      </c>
      <c r="K709" t="s">
        <v>27</v>
      </c>
      <c r="L709">
        <v>2</v>
      </c>
      <c r="M709">
        <v>9500</v>
      </c>
      <c r="N709">
        <v>0</v>
      </c>
      <c r="O709">
        <v>19000</v>
      </c>
      <c r="P709">
        <v>4175.04</v>
      </c>
      <c r="Q709" t="s">
        <v>66</v>
      </c>
      <c r="R709" t="s">
        <v>49</v>
      </c>
      <c r="S709" t="s">
        <v>40</v>
      </c>
      <c r="T709">
        <f>YEAR(Table1_1[[#This Row],[order_date]])</f>
        <v>2024</v>
      </c>
      <c r="U709">
        <f>MONTH(Table1_1[[#This Row],[order_date]])</f>
        <v>8</v>
      </c>
      <c r="V709" t="str">
        <f>TEXT(Table1_1[[#This Row],[order_date]],"mmm")</f>
        <v>Aug</v>
      </c>
      <c r="W709" t="str">
        <f>"Q"&amp;ROUNDUP(MONTH(Table1_1[[#This Row],[order_date]])/3,0)</f>
        <v>Q3</v>
      </c>
      <c r="X709" t="str">
        <f>TEXT(Table1_1[[#This Row],[order_date]],"yyyy-mm")</f>
        <v>2024-08</v>
      </c>
      <c r="Y709">
        <f>IF(Table1_1[[#This Row],[ship_date]]="","",Table1_1[[#This Row],[ship_date]]-Table1_1[[#This Row],[order_date]])</f>
        <v>1</v>
      </c>
      <c r="Z709">
        <f>ROUND(Table1_1[[#This Row],[profit]]/Table1_1[[#This Row],[sales_fix]]*100,2)</f>
        <v>21.97</v>
      </c>
    </row>
    <row r="710" spans="1:26" x14ac:dyDescent="0.3">
      <c r="A710" t="s">
        <v>1421</v>
      </c>
      <c r="B710" s="1">
        <v>45696</v>
      </c>
      <c r="C710" s="1">
        <v>45697</v>
      </c>
      <c r="D710" t="s">
        <v>159</v>
      </c>
      <c r="E710" t="s">
        <v>160</v>
      </c>
      <c r="F710" t="s">
        <v>34</v>
      </c>
      <c r="G710" t="s">
        <v>44</v>
      </c>
      <c r="H710" t="s">
        <v>161</v>
      </c>
      <c r="I710" t="s">
        <v>25</v>
      </c>
      <c r="J710" t="s">
        <v>26</v>
      </c>
      <c r="K710" t="s">
        <v>27</v>
      </c>
      <c r="L710">
        <v>3</v>
      </c>
      <c r="M710">
        <v>7000</v>
      </c>
      <c r="N710">
        <v>0</v>
      </c>
      <c r="O710">
        <v>21000</v>
      </c>
      <c r="P710">
        <v>5022.97</v>
      </c>
      <c r="Q710" t="s">
        <v>39</v>
      </c>
      <c r="R710" t="s">
        <v>29</v>
      </c>
      <c r="S710" t="s">
        <v>110</v>
      </c>
      <c r="T710">
        <f>YEAR(Table1_1[[#This Row],[order_date]])</f>
        <v>2025</v>
      </c>
      <c r="U710">
        <f>MONTH(Table1_1[[#This Row],[order_date]])</f>
        <v>2</v>
      </c>
      <c r="V710" t="str">
        <f>TEXT(Table1_1[[#This Row],[order_date]],"mmm")</f>
        <v>Feb</v>
      </c>
      <c r="W710" t="str">
        <f>"Q"&amp;ROUNDUP(MONTH(Table1_1[[#This Row],[order_date]])/3,0)</f>
        <v>Q1</v>
      </c>
      <c r="X710" t="str">
        <f>TEXT(Table1_1[[#This Row],[order_date]],"yyyy-mm")</f>
        <v>2025-02</v>
      </c>
      <c r="Y710">
        <f>IF(Table1_1[[#This Row],[ship_date]]="","",Table1_1[[#This Row],[ship_date]]-Table1_1[[#This Row],[order_date]])</f>
        <v>1</v>
      </c>
      <c r="Z710">
        <f>ROUND(Table1_1[[#This Row],[profit]]/Table1_1[[#This Row],[sales_fix]]*100,2)</f>
        <v>23.92</v>
      </c>
    </row>
    <row r="711" spans="1:26" x14ac:dyDescent="0.3">
      <c r="A711" t="s">
        <v>2251</v>
      </c>
      <c r="B711" s="1">
        <v>45796</v>
      </c>
      <c r="C711" s="1">
        <v>45802</v>
      </c>
      <c r="D711" t="s">
        <v>428</v>
      </c>
      <c r="E711" t="s">
        <v>429</v>
      </c>
      <c r="F711" t="s">
        <v>34</v>
      </c>
      <c r="G711" t="s">
        <v>44</v>
      </c>
      <c r="H711" t="s">
        <v>45</v>
      </c>
      <c r="I711" t="s">
        <v>46</v>
      </c>
      <c r="J711" t="s">
        <v>47</v>
      </c>
      <c r="K711" t="s">
        <v>48</v>
      </c>
      <c r="L711">
        <v>5</v>
      </c>
      <c r="M711">
        <v>180</v>
      </c>
      <c r="N711">
        <v>5</v>
      </c>
      <c r="O711">
        <v>855</v>
      </c>
      <c r="P711">
        <v>289.63</v>
      </c>
      <c r="Q711" t="s">
        <v>156</v>
      </c>
      <c r="R711" t="s">
        <v>56</v>
      </c>
      <c r="S711" t="s">
        <v>30</v>
      </c>
      <c r="T711">
        <f>YEAR(Table1_1[[#This Row],[order_date]])</f>
        <v>2025</v>
      </c>
      <c r="U711">
        <f>MONTH(Table1_1[[#This Row],[order_date]])</f>
        <v>5</v>
      </c>
      <c r="V711" t="str">
        <f>TEXT(Table1_1[[#This Row],[order_date]],"mmm")</f>
        <v>May</v>
      </c>
      <c r="W711" t="str">
        <f>"Q"&amp;ROUNDUP(MONTH(Table1_1[[#This Row],[order_date]])/3,0)</f>
        <v>Q2</v>
      </c>
      <c r="X711" t="str">
        <f>TEXT(Table1_1[[#This Row],[order_date]],"yyyy-mm")</f>
        <v>2025-05</v>
      </c>
      <c r="Y711">
        <f>IF(Table1_1[[#This Row],[ship_date]]="","",Table1_1[[#This Row],[ship_date]]-Table1_1[[#This Row],[order_date]])</f>
        <v>6</v>
      </c>
      <c r="Z711">
        <f>ROUND(Table1_1[[#This Row],[profit]]/Table1_1[[#This Row],[sales_fix]]*100,2)</f>
        <v>33.869999999999997</v>
      </c>
    </row>
    <row r="712" spans="1:26" x14ac:dyDescent="0.3">
      <c r="A712" t="s">
        <v>738</v>
      </c>
      <c r="B712" s="1">
        <v>45411</v>
      </c>
      <c r="C712" s="1">
        <v>45416</v>
      </c>
      <c r="D712" t="s">
        <v>657</v>
      </c>
      <c r="E712" t="s">
        <v>658</v>
      </c>
      <c r="F712" t="s">
        <v>34</v>
      </c>
      <c r="G712" t="s">
        <v>91</v>
      </c>
      <c r="H712" t="s">
        <v>120</v>
      </c>
      <c r="I712" t="s">
        <v>25</v>
      </c>
      <c r="J712" t="s">
        <v>26</v>
      </c>
      <c r="K712" t="s">
        <v>27</v>
      </c>
      <c r="L712">
        <v>1</v>
      </c>
      <c r="M712">
        <v>7000</v>
      </c>
      <c r="N712">
        <v>0</v>
      </c>
      <c r="O712">
        <v>7000</v>
      </c>
      <c r="P712">
        <v>1385.51</v>
      </c>
      <c r="Q712" t="s">
        <v>156</v>
      </c>
      <c r="R712" t="s">
        <v>49</v>
      </c>
      <c r="S712" t="s">
        <v>30</v>
      </c>
      <c r="T712">
        <f>YEAR(Table1_1[[#This Row],[order_date]])</f>
        <v>2024</v>
      </c>
      <c r="U712">
        <f>MONTH(Table1_1[[#This Row],[order_date]])</f>
        <v>4</v>
      </c>
      <c r="V712" t="str">
        <f>TEXT(Table1_1[[#This Row],[order_date]],"mmm")</f>
        <v>Apr</v>
      </c>
      <c r="W712" t="str">
        <f>"Q"&amp;ROUNDUP(MONTH(Table1_1[[#This Row],[order_date]])/3,0)</f>
        <v>Q2</v>
      </c>
      <c r="X712" t="str">
        <f>TEXT(Table1_1[[#This Row],[order_date]],"yyyy-mm")</f>
        <v>2024-04</v>
      </c>
      <c r="Y712">
        <f>IF(Table1_1[[#This Row],[ship_date]]="","",Table1_1[[#This Row],[ship_date]]-Table1_1[[#This Row],[order_date]])</f>
        <v>5</v>
      </c>
      <c r="Z712">
        <f>ROUND(Table1_1[[#This Row],[profit]]/Table1_1[[#This Row],[sales_fix]]*100,2)</f>
        <v>19.79</v>
      </c>
    </row>
    <row r="713" spans="1:26" x14ac:dyDescent="0.3">
      <c r="A713" t="s">
        <v>263</v>
      </c>
      <c r="B713" s="1">
        <v>45919</v>
      </c>
      <c r="C713" s="1">
        <v>45926</v>
      </c>
      <c r="D713" t="s">
        <v>132</v>
      </c>
      <c r="E713" t="s">
        <v>133</v>
      </c>
      <c r="F713" t="s">
        <v>23</v>
      </c>
      <c r="G713" t="s">
        <v>91</v>
      </c>
      <c r="H713" t="s">
        <v>120</v>
      </c>
      <c r="I713" t="s">
        <v>25</v>
      </c>
      <c r="J713" t="s">
        <v>26</v>
      </c>
      <c r="K713" t="s">
        <v>27</v>
      </c>
      <c r="L713">
        <v>4</v>
      </c>
      <c r="M713">
        <v>7000</v>
      </c>
      <c r="N713">
        <v>0</v>
      </c>
      <c r="O713">
        <v>28000</v>
      </c>
      <c r="P713">
        <v>5585.82</v>
      </c>
      <c r="Q713" t="s">
        <v>121</v>
      </c>
      <c r="R713" t="s">
        <v>49</v>
      </c>
      <c r="S713" t="s">
        <v>30</v>
      </c>
      <c r="T713">
        <f>YEAR(Table1_1[[#This Row],[order_date]])</f>
        <v>2025</v>
      </c>
      <c r="U713">
        <f>MONTH(Table1_1[[#This Row],[order_date]])</f>
        <v>9</v>
      </c>
      <c r="V713" t="str">
        <f>TEXT(Table1_1[[#This Row],[order_date]],"mmm")</f>
        <v>Sep</v>
      </c>
      <c r="W713" t="str">
        <f>"Q"&amp;ROUNDUP(MONTH(Table1_1[[#This Row],[order_date]])/3,0)</f>
        <v>Q3</v>
      </c>
      <c r="X713" t="str">
        <f>TEXT(Table1_1[[#This Row],[order_date]],"yyyy-mm")</f>
        <v>2025-09</v>
      </c>
      <c r="Y713">
        <f>IF(Table1_1[[#This Row],[ship_date]]="","",Table1_1[[#This Row],[ship_date]]-Table1_1[[#This Row],[order_date]])</f>
        <v>7</v>
      </c>
      <c r="Z713">
        <f>ROUND(Table1_1[[#This Row],[profit]]/Table1_1[[#This Row],[sales_fix]]*100,2)</f>
        <v>19.95</v>
      </c>
    </row>
    <row r="714" spans="1:26" x14ac:dyDescent="0.3">
      <c r="A714" t="s">
        <v>2202</v>
      </c>
      <c r="B714" s="1">
        <v>45965</v>
      </c>
      <c r="C714" s="1">
        <v>45969</v>
      </c>
      <c r="D714" t="s">
        <v>1609</v>
      </c>
      <c r="E714" t="s">
        <v>1610</v>
      </c>
      <c r="F714" t="s">
        <v>55</v>
      </c>
      <c r="G714" t="s">
        <v>44</v>
      </c>
      <c r="H714" t="s">
        <v>24</v>
      </c>
      <c r="I714" t="s">
        <v>46</v>
      </c>
      <c r="J714" t="s">
        <v>47</v>
      </c>
      <c r="K714" t="s">
        <v>48</v>
      </c>
      <c r="L714">
        <v>2</v>
      </c>
      <c r="M714">
        <v>180</v>
      </c>
      <c r="N714">
        <v>0</v>
      </c>
      <c r="O714">
        <v>360</v>
      </c>
      <c r="P714">
        <v>123.03</v>
      </c>
      <c r="Q714" t="s">
        <v>121</v>
      </c>
      <c r="R714" t="s">
        <v>29</v>
      </c>
      <c r="S714" t="s">
        <v>30</v>
      </c>
      <c r="T714">
        <f>YEAR(Table1_1[[#This Row],[order_date]])</f>
        <v>2025</v>
      </c>
      <c r="U714">
        <f>MONTH(Table1_1[[#This Row],[order_date]])</f>
        <v>11</v>
      </c>
      <c r="V714" t="str">
        <f>TEXT(Table1_1[[#This Row],[order_date]],"mmm")</f>
        <v>Nov</v>
      </c>
      <c r="W714" t="str">
        <f>"Q"&amp;ROUNDUP(MONTH(Table1_1[[#This Row],[order_date]])/3,0)</f>
        <v>Q4</v>
      </c>
      <c r="X714" t="str">
        <f>TEXT(Table1_1[[#This Row],[order_date]],"yyyy-mm")</f>
        <v>2025-11</v>
      </c>
      <c r="Y714">
        <f>IF(Table1_1[[#This Row],[ship_date]]="","",Table1_1[[#This Row],[ship_date]]-Table1_1[[#This Row],[order_date]])</f>
        <v>4</v>
      </c>
      <c r="Z714">
        <f>ROUND(Table1_1[[#This Row],[profit]]/Table1_1[[#This Row],[sales_fix]]*100,2)</f>
        <v>34.18</v>
      </c>
    </row>
    <row r="715" spans="1:26" x14ac:dyDescent="0.3">
      <c r="A715" t="s">
        <v>2511</v>
      </c>
      <c r="B715" s="1">
        <v>46014</v>
      </c>
      <c r="C715" s="1">
        <v>46020</v>
      </c>
      <c r="D715" t="s">
        <v>808</v>
      </c>
      <c r="E715" t="s">
        <v>809</v>
      </c>
      <c r="F715" t="s">
        <v>55</v>
      </c>
      <c r="G715" t="s">
        <v>35</v>
      </c>
      <c r="H715" t="s">
        <v>258</v>
      </c>
      <c r="I715" t="s">
        <v>79</v>
      </c>
      <c r="J715" t="s">
        <v>80</v>
      </c>
      <c r="K715" t="s">
        <v>65</v>
      </c>
      <c r="L715">
        <v>1</v>
      </c>
      <c r="M715">
        <v>3000</v>
      </c>
      <c r="N715">
        <v>5</v>
      </c>
      <c r="O715">
        <v>2850</v>
      </c>
      <c r="P715">
        <v>612.45000000000005</v>
      </c>
      <c r="Q715" t="s">
        <v>156</v>
      </c>
      <c r="R715" t="s">
        <v>56</v>
      </c>
      <c r="S715" t="s">
        <v>30</v>
      </c>
      <c r="T715">
        <f>YEAR(Table1_1[[#This Row],[order_date]])</f>
        <v>2025</v>
      </c>
      <c r="U715">
        <f>MONTH(Table1_1[[#This Row],[order_date]])</f>
        <v>12</v>
      </c>
      <c r="V715" t="str">
        <f>TEXT(Table1_1[[#This Row],[order_date]],"mmm")</f>
        <v>Dec</v>
      </c>
      <c r="W715" t="str">
        <f>"Q"&amp;ROUNDUP(MONTH(Table1_1[[#This Row],[order_date]])/3,0)</f>
        <v>Q4</v>
      </c>
      <c r="X715" t="str">
        <f>TEXT(Table1_1[[#This Row],[order_date]],"yyyy-mm")</f>
        <v>2025-12</v>
      </c>
      <c r="Y715">
        <f>IF(Table1_1[[#This Row],[ship_date]]="","",Table1_1[[#This Row],[ship_date]]-Table1_1[[#This Row],[order_date]])</f>
        <v>6</v>
      </c>
      <c r="Z715">
        <f>ROUND(Table1_1[[#This Row],[profit]]/Table1_1[[#This Row],[sales_fix]]*100,2)</f>
        <v>21.49</v>
      </c>
    </row>
    <row r="716" spans="1:26" x14ac:dyDescent="0.3">
      <c r="A716" t="s">
        <v>1767</v>
      </c>
      <c r="B716" s="1">
        <v>45407</v>
      </c>
      <c r="C716" s="1">
        <v>45413</v>
      </c>
      <c r="D716" t="s">
        <v>494</v>
      </c>
      <c r="E716" t="s">
        <v>495</v>
      </c>
      <c r="F716" t="s">
        <v>34</v>
      </c>
      <c r="G716" t="s">
        <v>35</v>
      </c>
      <c r="H716" t="s">
        <v>258</v>
      </c>
      <c r="I716" t="s">
        <v>147</v>
      </c>
      <c r="J716" t="s">
        <v>148</v>
      </c>
      <c r="K716" t="s">
        <v>48</v>
      </c>
      <c r="L716">
        <v>4</v>
      </c>
      <c r="M716">
        <v>250</v>
      </c>
      <c r="N716">
        <v>20</v>
      </c>
      <c r="O716">
        <v>800</v>
      </c>
      <c r="P716">
        <v>320</v>
      </c>
      <c r="Q716" t="s">
        <v>66</v>
      </c>
      <c r="R716" t="s">
        <v>29</v>
      </c>
      <c r="S716" t="s">
        <v>110</v>
      </c>
      <c r="T716">
        <f>YEAR(Table1_1[[#This Row],[order_date]])</f>
        <v>2024</v>
      </c>
      <c r="U716">
        <f>MONTH(Table1_1[[#This Row],[order_date]])</f>
        <v>4</v>
      </c>
      <c r="V716" t="str">
        <f>TEXT(Table1_1[[#This Row],[order_date]],"mmm")</f>
        <v>Apr</v>
      </c>
      <c r="W716" t="str">
        <f>"Q"&amp;ROUNDUP(MONTH(Table1_1[[#This Row],[order_date]])/3,0)</f>
        <v>Q2</v>
      </c>
      <c r="X716" t="str">
        <f>TEXT(Table1_1[[#This Row],[order_date]],"yyyy-mm")</f>
        <v>2024-04</v>
      </c>
      <c r="Y716">
        <f>IF(Table1_1[[#This Row],[ship_date]]="","",Table1_1[[#This Row],[ship_date]]-Table1_1[[#This Row],[order_date]])</f>
        <v>6</v>
      </c>
      <c r="Z716">
        <f>ROUND(Table1_1[[#This Row],[profit]]/Table1_1[[#This Row],[sales_fix]]*100,2)</f>
        <v>40</v>
      </c>
    </row>
    <row r="717" spans="1:26" x14ac:dyDescent="0.3">
      <c r="A717" t="s">
        <v>2868</v>
      </c>
      <c r="B717" s="1">
        <v>45812</v>
      </c>
      <c r="C717" s="1">
        <v>45816</v>
      </c>
      <c r="D717" t="s">
        <v>570</v>
      </c>
      <c r="E717" t="s">
        <v>571</v>
      </c>
      <c r="F717" t="s">
        <v>34</v>
      </c>
      <c r="G717" t="s">
        <v>44</v>
      </c>
      <c r="H717" t="s">
        <v>161</v>
      </c>
      <c r="I717" t="s">
        <v>79</v>
      </c>
      <c r="J717" t="s">
        <v>80</v>
      </c>
      <c r="K717" t="s">
        <v>65</v>
      </c>
      <c r="L717">
        <v>4</v>
      </c>
      <c r="M717">
        <v>3000</v>
      </c>
      <c r="N717">
        <v>10</v>
      </c>
      <c r="O717">
        <v>10800</v>
      </c>
      <c r="P717">
        <v>3422.6</v>
      </c>
      <c r="Q717" t="s">
        <v>39</v>
      </c>
      <c r="R717" t="s">
        <v>29</v>
      </c>
      <c r="S717" t="s">
        <v>40</v>
      </c>
      <c r="T717">
        <f>YEAR(Table1_1[[#This Row],[order_date]])</f>
        <v>2025</v>
      </c>
      <c r="U717">
        <f>MONTH(Table1_1[[#This Row],[order_date]])</f>
        <v>6</v>
      </c>
      <c r="V717" t="str">
        <f>TEXT(Table1_1[[#This Row],[order_date]],"mmm")</f>
        <v>Jun</v>
      </c>
      <c r="W717" t="str">
        <f>"Q"&amp;ROUNDUP(MONTH(Table1_1[[#This Row],[order_date]])/3,0)</f>
        <v>Q2</v>
      </c>
      <c r="X717" t="str">
        <f>TEXT(Table1_1[[#This Row],[order_date]],"yyyy-mm")</f>
        <v>2025-06</v>
      </c>
      <c r="Y717">
        <f>IF(Table1_1[[#This Row],[ship_date]]="","",Table1_1[[#This Row],[ship_date]]-Table1_1[[#This Row],[order_date]])</f>
        <v>4</v>
      </c>
      <c r="Z717">
        <f>ROUND(Table1_1[[#This Row],[profit]]/Table1_1[[#This Row],[sales_fix]]*100,2)</f>
        <v>31.69</v>
      </c>
    </row>
    <row r="718" spans="1:26" x14ac:dyDescent="0.3">
      <c r="A718" t="s">
        <v>2513</v>
      </c>
      <c r="B718" s="1">
        <v>45718</v>
      </c>
      <c r="C718" s="1">
        <v>45720</v>
      </c>
      <c r="D718" t="s">
        <v>272</v>
      </c>
      <c r="E718" t="s">
        <v>273</v>
      </c>
      <c r="F718" t="s">
        <v>23</v>
      </c>
      <c r="G718" t="s">
        <v>35</v>
      </c>
      <c r="H718" t="s">
        <v>258</v>
      </c>
      <c r="I718" t="s">
        <v>79</v>
      </c>
      <c r="J718" t="s">
        <v>80</v>
      </c>
      <c r="K718" t="s">
        <v>65</v>
      </c>
      <c r="L718">
        <v>5</v>
      </c>
      <c r="M718">
        <v>3000</v>
      </c>
      <c r="N718">
        <v>0</v>
      </c>
      <c r="O718">
        <v>15000</v>
      </c>
      <c r="P718">
        <v>4532.8599999999997</v>
      </c>
      <c r="Q718" t="s">
        <v>74</v>
      </c>
      <c r="R718" t="s">
        <v>29</v>
      </c>
      <c r="S718" t="s">
        <v>110</v>
      </c>
      <c r="T718">
        <f>YEAR(Table1_1[[#This Row],[order_date]])</f>
        <v>2025</v>
      </c>
      <c r="U718">
        <f>MONTH(Table1_1[[#This Row],[order_date]])</f>
        <v>3</v>
      </c>
      <c r="V718" t="str">
        <f>TEXT(Table1_1[[#This Row],[order_date]],"mmm")</f>
        <v>Mar</v>
      </c>
      <c r="W718" t="str">
        <f>"Q"&amp;ROUNDUP(MONTH(Table1_1[[#This Row],[order_date]])/3,0)</f>
        <v>Q1</v>
      </c>
      <c r="X718" t="str">
        <f>TEXT(Table1_1[[#This Row],[order_date]],"yyyy-mm")</f>
        <v>2025-03</v>
      </c>
      <c r="Y718">
        <f>IF(Table1_1[[#This Row],[ship_date]]="","",Table1_1[[#This Row],[ship_date]]-Table1_1[[#This Row],[order_date]])</f>
        <v>2</v>
      </c>
      <c r="Z718">
        <f>ROUND(Table1_1[[#This Row],[profit]]/Table1_1[[#This Row],[sales_fix]]*100,2)</f>
        <v>30.22</v>
      </c>
    </row>
    <row r="719" spans="1:26" x14ac:dyDescent="0.3">
      <c r="A719" t="s">
        <v>1657</v>
      </c>
      <c r="B719" s="1">
        <v>45674</v>
      </c>
      <c r="C719" s="1"/>
      <c r="D719" t="s">
        <v>1659</v>
      </c>
      <c r="E719" t="s">
        <v>1660</v>
      </c>
      <c r="F719" t="s">
        <v>34</v>
      </c>
      <c r="G719" t="s">
        <v>44</v>
      </c>
      <c r="H719" t="s">
        <v>24</v>
      </c>
      <c r="I719" t="s">
        <v>134</v>
      </c>
      <c r="J719" t="s">
        <v>135</v>
      </c>
      <c r="K719" t="s">
        <v>27</v>
      </c>
      <c r="L719">
        <v>2</v>
      </c>
      <c r="M719">
        <v>6000</v>
      </c>
      <c r="N719">
        <v>0</v>
      </c>
      <c r="O719">
        <v>12000</v>
      </c>
      <c r="P719">
        <v>2980.2</v>
      </c>
      <c r="Q719" t="s">
        <v>66</v>
      </c>
      <c r="R719" t="s">
        <v>29</v>
      </c>
      <c r="S719" t="s">
        <v>30</v>
      </c>
      <c r="T719">
        <f>YEAR(Table1_1[[#This Row],[order_date]])</f>
        <v>2025</v>
      </c>
      <c r="U719">
        <f>MONTH(Table1_1[[#This Row],[order_date]])</f>
        <v>1</v>
      </c>
      <c r="V719" t="str">
        <f>TEXT(Table1_1[[#This Row],[order_date]],"mmm")</f>
        <v>Jan</v>
      </c>
      <c r="W719" t="str">
        <f>"Q"&amp;ROUNDUP(MONTH(Table1_1[[#This Row],[order_date]])/3,0)</f>
        <v>Q1</v>
      </c>
      <c r="X719" t="str">
        <f>TEXT(Table1_1[[#This Row],[order_date]],"yyyy-mm")</f>
        <v>2025-01</v>
      </c>
      <c r="Y719" t="str">
        <f>IF(Table1_1[[#This Row],[ship_date]]="","",Table1_1[[#This Row],[ship_date]]-Table1_1[[#This Row],[order_date]])</f>
        <v/>
      </c>
      <c r="Z719">
        <f>ROUND(Table1_1[[#This Row],[profit]]/Table1_1[[#This Row],[sales_fix]]*100,2)</f>
        <v>24.84</v>
      </c>
    </row>
    <row r="720" spans="1:26" x14ac:dyDescent="0.3">
      <c r="A720" t="s">
        <v>2903</v>
      </c>
      <c r="B720" s="1">
        <v>45935</v>
      </c>
      <c r="C720" s="1">
        <v>45936</v>
      </c>
      <c r="D720" t="s">
        <v>89</v>
      </c>
      <c r="E720" t="s">
        <v>90</v>
      </c>
      <c r="F720" t="s">
        <v>23</v>
      </c>
      <c r="G720" t="s">
        <v>91</v>
      </c>
      <c r="H720" t="s">
        <v>92</v>
      </c>
      <c r="I720" t="s">
        <v>147</v>
      </c>
      <c r="J720" t="s">
        <v>148</v>
      </c>
      <c r="K720" t="s">
        <v>48</v>
      </c>
      <c r="L720">
        <v>2</v>
      </c>
      <c r="M720">
        <v>250</v>
      </c>
      <c r="N720">
        <v>0</v>
      </c>
      <c r="O720">
        <v>500</v>
      </c>
      <c r="P720">
        <v>166.35</v>
      </c>
      <c r="Q720" t="s">
        <v>156</v>
      </c>
      <c r="R720" t="s">
        <v>56</v>
      </c>
      <c r="S720" t="s">
        <v>30</v>
      </c>
      <c r="T720">
        <f>YEAR(Table1_1[[#This Row],[order_date]])</f>
        <v>2025</v>
      </c>
      <c r="U720">
        <f>MONTH(Table1_1[[#This Row],[order_date]])</f>
        <v>10</v>
      </c>
      <c r="V720" t="str">
        <f>TEXT(Table1_1[[#This Row],[order_date]],"mmm")</f>
        <v>Oct</v>
      </c>
      <c r="W720" t="str">
        <f>"Q"&amp;ROUNDUP(MONTH(Table1_1[[#This Row],[order_date]])/3,0)</f>
        <v>Q4</v>
      </c>
      <c r="X720" t="str">
        <f>TEXT(Table1_1[[#This Row],[order_date]],"yyyy-mm")</f>
        <v>2025-10</v>
      </c>
      <c r="Y720">
        <f>IF(Table1_1[[#This Row],[ship_date]]="","",Table1_1[[#This Row],[ship_date]]-Table1_1[[#This Row],[order_date]])</f>
        <v>1</v>
      </c>
      <c r="Z720">
        <f>ROUND(Table1_1[[#This Row],[profit]]/Table1_1[[#This Row],[sales_fix]]*100,2)</f>
        <v>33.270000000000003</v>
      </c>
    </row>
    <row r="721" spans="1:26" x14ac:dyDescent="0.3">
      <c r="A721" t="s">
        <v>2592</v>
      </c>
      <c r="B721" s="1">
        <v>45874</v>
      </c>
      <c r="C721" s="1">
        <v>45879</v>
      </c>
      <c r="D721" t="s">
        <v>856</v>
      </c>
      <c r="E721" t="s">
        <v>857</v>
      </c>
      <c r="F721" t="s">
        <v>55</v>
      </c>
      <c r="G721" t="s">
        <v>35</v>
      </c>
      <c r="H721" t="s">
        <v>36</v>
      </c>
      <c r="I721" t="s">
        <v>71</v>
      </c>
      <c r="J721" t="s">
        <v>72</v>
      </c>
      <c r="K721" t="s">
        <v>73</v>
      </c>
      <c r="L721">
        <v>1</v>
      </c>
      <c r="M721">
        <v>3500</v>
      </c>
      <c r="N721">
        <v>20</v>
      </c>
      <c r="O721">
        <v>2800</v>
      </c>
      <c r="P721">
        <v>644.65</v>
      </c>
      <c r="Q721" t="s">
        <v>74</v>
      </c>
      <c r="R721" t="s">
        <v>29</v>
      </c>
      <c r="S721" t="s">
        <v>86</v>
      </c>
      <c r="T721">
        <f>YEAR(Table1_1[[#This Row],[order_date]])</f>
        <v>2025</v>
      </c>
      <c r="U721">
        <f>MONTH(Table1_1[[#This Row],[order_date]])</f>
        <v>8</v>
      </c>
      <c r="V721" t="str">
        <f>TEXT(Table1_1[[#This Row],[order_date]],"mmm")</f>
        <v>Aug</v>
      </c>
      <c r="W721" t="str">
        <f>"Q"&amp;ROUNDUP(MONTH(Table1_1[[#This Row],[order_date]])/3,0)</f>
        <v>Q3</v>
      </c>
      <c r="X721" t="str">
        <f>TEXT(Table1_1[[#This Row],[order_date]],"yyyy-mm")</f>
        <v>2025-08</v>
      </c>
      <c r="Y721">
        <f>IF(Table1_1[[#This Row],[ship_date]]="","",Table1_1[[#This Row],[ship_date]]-Table1_1[[#This Row],[order_date]])</f>
        <v>5</v>
      </c>
      <c r="Z721">
        <f>ROUND(Table1_1[[#This Row],[profit]]/Table1_1[[#This Row],[sales_fix]]*100,2)</f>
        <v>23.02</v>
      </c>
    </row>
    <row r="722" spans="1:26" x14ac:dyDescent="0.3">
      <c r="A722" t="s">
        <v>1639</v>
      </c>
      <c r="B722" s="1">
        <v>45682</v>
      </c>
      <c r="C722" s="1">
        <v>45689</v>
      </c>
      <c r="D722" t="s">
        <v>145</v>
      </c>
      <c r="E722" t="s">
        <v>146</v>
      </c>
      <c r="F722" t="s">
        <v>34</v>
      </c>
      <c r="G722" t="s">
        <v>91</v>
      </c>
      <c r="H722" t="s">
        <v>92</v>
      </c>
      <c r="I722" t="s">
        <v>93</v>
      </c>
      <c r="J722" t="s">
        <v>94</v>
      </c>
      <c r="K722" t="s">
        <v>95</v>
      </c>
      <c r="L722">
        <v>1</v>
      </c>
      <c r="M722">
        <v>1800</v>
      </c>
      <c r="N722">
        <v>0</v>
      </c>
      <c r="O722">
        <v>1800</v>
      </c>
      <c r="P722">
        <v>485.86</v>
      </c>
      <c r="Q722" t="s">
        <v>66</v>
      </c>
      <c r="R722" t="s">
        <v>29</v>
      </c>
      <c r="S722" t="s">
        <v>50</v>
      </c>
      <c r="T722">
        <f>YEAR(Table1_1[[#This Row],[order_date]])</f>
        <v>2025</v>
      </c>
      <c r="U722">
        <f>MONTH(Table1_1[[#This Row],[order_date]])</f>
        <v>1</v>
      </c>
      <c r="V722" t="str">
        <f>TEXT(Table1_1[[#This Row],[order_date]],"mmm")</f>
        <v>Jan</v>
      </c>
      <c r="W722" t="str">
        <f>"Q"&amp;ROUNDUP(MONTH(Table1_1[[#This Row],[order_date]])/3,0)</f>
        <v>Q1</v>
      </c>
      <c r="X722" t="str">
        <f>TEXT(Table1_1[[#This Row],[order_date]],"yyyy-mm")</f>
        <v>2025-01</v>
      </c>
      <c r="Y722">
        <f>IF(Table1_1[[#This Row],[ship_date]]="","",Table1_1[[#This Row],[ship_date]]-Table1_1[[#This Row],[order_date]])</f>
        <v>7</v>
      </c>
      <c r="Z722">
        <f>ROUND(Table1_1[[#This Row],[profit]]/Table1_1[[#This Row],[sales_fix]]*100,2)</f>
        <v>26.99</v>
      </c>
    </row>
    <row r="723" spans="1:26" x14ac:dyDescent="0.3">
      <c r="A723" t="s">
        <v>2907</v>
      </c>
      <c r="B723" s="1">
        <v>45704</v>
      </c>
      <c r="C723" s="1">
        <v>45707</v>
      </c>
      <c r="D723" t="s">
        <v>431</v>
      </c>
      <c r="E723" t="s">
        <v>432</v>
      </c>
      <c r="F723" t="s">
        <v>23</v>
      </c>
      <c r="G723" t="s">
        <v>91</v>
      </c>
      <c r="H723" t="s">
        <v>120</v>
      </c>
      <c r="I723" t="s">
        <v>134</v>
      </c>
      <c r="J723" t="s">
        <v>135</v>
      </c>
      <c r="K723" t="s">
        <v>27</v>
      </c>
      <c r="L723">
        <v>1</v>
      </c>
      <c r="M723">
        <v>6000</v>
      </c>
      <c r="N723">
        <v>20</v>
      </c>
      <c r="O723">
        <v>4800</v>
      </c>
      <c r="P723">
        <v>1246.2</v>
      </c>
      <c r="Q723" t="s">
        <v>66</v>
      </c>
      <c r="R723" t="s">
        <v>49</v>
      </c>
      <c r="S723" t="s">
        <v>30</v>
      </c>
      <c r="T723">
        <f>YEAR(Table1_1[[#This Row],[order_date]])</f>
        <v>2025</v>
      </c>
      <c r="U723">
        <f>MONTH(Table1_1[[#This Row],[order_date]])</f>
        <v>2</v>
      </c>
      <c r="V723" t="str">
        <f>TEXT(Table1_1[[#This Row],[order_date]],"mmm")</f>
        <v>Feb</v>
      </c>
      <c r="W723" t="str">
        <f>"Q"&amp;ROUNDUP(MONTH(Table1_1[[#This Row],[order_date]])/3,0)</f>
        <v>Q1</v>
      </c>
      <c r="X723" t="str">
        <f>TEXT(Table1_1[[#This Row],[order_date]],"yyyy-mm")</f>
        <v>2025-02</v>
      </c>
      <c r="Y723">
        <f>IF(Table1_1[[#This Row],[ship_date]]="","",Table1_1[[#This Row],[ship_date]]-Table1_1[[#This Row],[order_date]])</f>
        <v>3</v>
      </c>
      <c r="Z723">
        <f>ROUND(Table1_1[[#This Row],[profit]]/Table1_1[[#This Row],[sales_fix]]*100,2)</f>
        <v>25.96</v>
      </c>
    </row>
    <row r="724" spans="1:26" x14ac:dyDescent="0.3">
      <c r="A724" t="s">
        <v>2547</v>
      </c>
      <c r="B724" s="1">
        <v>45609</v>
      </c>
      <c r="C724" s="1">
        <v>45615</v>
      </c>
      <c r="D724" t="s">
        <v>634</v>
      </c>
      <c r="E724" t="s">
        <v>635</v>
      </c>
      <c r="F724" t="s">
        <v>23</v>
      </c>
      <c r="G724" t="s">
        <v>91</v>
      </c>
      <c r="H724" t="s">
        <v>177</v>
      </c>
      <c r="I724" t="s">
        <v>71</v>
      </c>
      <c r="J724" t="s">
        <v>72</v>
      </c>
      <c r="K724" t="s">
        <v>73</v>
      </c>
      <c r="L724">
        <v>2</v>
      </c>
      <c r="M724">
        <v>3500</v>
      </c>
      <c r="N724">
        <v>0</v>
      </c>
      <c r="O724">
        <v>7000</v>
      </c>
      <c r="P724">
        <v>2164.31</v>
      </c>
      <c r="Q724" t="s">
        <v>39</v>
      </c>
      <c r="R724" t="s">
        <v>29</v>
      </c>
      <c r="S724" t="s">
        <v>30</v>
      </c>
      <c r="T724">
        <f>YEAR(Table1_1[[#This Row],[order_date]])</f>
        <v>2024</v>
      </c>
      <c r="U724">
        <f>MONTH(Table1_1[[#This Row],[order_date]])</f>
        <v>11</v>
      </c>
      <c r="V724" t="str">
        <f>TEXT(Table1_1[[#This Row],[order_date]],"mmm")</f>
        <v>Nov</v>
      </c>
      <c r="W724" t="str">
        <f>"Q"&amp;ROUNDUP(MONTH(Table1_1[[#This Row],[order_date]])/3,0)</f>
        <v>Q4</v>
      </c>
      <c r="X724" t="str">
        <f>TEXT(Table1_1[[#This Row],[order_date]],"yyyy-mm")</f>
        <v>2024-11</v>
      </c>
      <c r="Y724">
        <f>IF(Table1_1[[#This Row],[ship_date]]="","",Table1_1[[#This Row],[ship_date]]-Table1_1[[#This Row],[order_date]])</f>
        <v>6</v>
      </c>
      <c r="Z724">
        <f>ROUND(Table1_1[[#This Row],[profit]]/Table1_1[[#This Row],[sales_fix]]*100,2)</f>
        <v>30.92</v>
      </c>
    </row>
    <row r="725" spans="1:26" x14ac:dyDescent="0.3">
      <c r="A725" t="s">
        <v>2708</v>
      </c>
      <c r="B725" s="1">
        <v>45779</v>
      </c>
      <c r="C725" s="1">
        <v>45786</v>
      </c>
      <c r="D725" t="s">
        <v>965</v>
      </c>
      <c r="E725" t="s">
        <v>966</v>
      </c>
      <c r="F725" t="s">
        <v>34</v>
      </c>
      <c r="G725" t="s">
        <v>44</v>
      </c>
      <c r="H725" t="s">
        <v>45</v>
      </c>
      <c r="I725" t="s">
        <v>134</v>
      </c>
      <c r="J725" t="s">
        <v>135</v>
      </c>
      <c r="K725" t="s">
        <v>27</v>
      </c>
      <c r="L725">
        <v>1</v>
      </c>
      <c r="M725">
        <v>6000</v>
      </c>
      <c r="N725">
        <v>10</v>
      </c>
      <c r="O725">
        <v>5400</v>
      </c>
      <c r="P725">
        <v>1126.52</v>
      </c>
      <c r="Q725" t="s">
        <v>74</v>
      </c>
      <c r="R725" t="s">
        <v>56</v>
      </c>
      <c r="S725" t="s">
        <v>50</v>
      </c>
      <c r="T725">
        <f>YEAR(Table1_1[[#This Row],[order_date]])</f>
        <v>2025</v>
      </c>
      <c r="U725">
        <f>MONTH(Table1_1[[#This Row],[order_date]])</f>
        <v>5</v>
      </c>
      <c r="V725" t="str">
        <f>TEXT(Table1_1[[#This Row],[order_date]],"mmm")</f>
        <v>May</v>
      </c>
      <c r="W725" t="str">
        <f>"Q"&amp;ROUNDUP(MONTH(Table1_1[[#This Row],[order_date]])/3,0)</f>
        <v>Q2</v>
      </c>
      <c r="X725" t="str">
        <f>TEXT(Table1_1[[#This Row],[order_date]],"yyyy-mm")</f>
        <v>2025-05</v>
      </c>
      <c r="Y725">
        <f>IF(Table1_1[[#This Row],[ship_date]]="","",Table1_1[[#This Row],[ship_date]]-Table1_1[[#This Row],[order_date]])</f>
        <v>7</v>
      </c>
      <c r="Z725">
        <f>ROUND(Table1_1[[#This Row],[profit]]/Table1_1[[#This Row],[sales_fix]]*100,2)</f>
        <v>20.86</v>
      </c>
    </row>
    <row r="726" spans="1:26" x14ac:dyDescent="0.3">
      <c r="A726" t="s">
        <v>2723</v>
      </c>
      <c r="B726" s="1">
        <v>45728</v>
      </c>
      <c r="C726" s="1">
        <v>45736</v>
      </c>
      <c r="D726" t="s">
        <v>200</v>
      </c>
      <c r="E726" t="s">
        <v>201</v>
      </c>
      <c r="F726" t="s">
        <v>23</v>
      </c>
      <c r="G726" t="s">
        <v>35</v>
      </c>
      <c r="H726" t="s">
        <v>187</v>
      </c>
      <c r="I726" t="s">
        <v>126</v>
      </c>
      <c r="J726" t="s">
        <v>127</v>
      </c>
      <c r="K726" t="s">
        <v>95</v>
      </c>
      <c r="L726">
        <v>1</v>
      </c>
      <c r="M726">
        <v>600</v>
      </c>
      <c r="N726">
        <v>10</v>
      </c>
      <c r="O726">
        <v>540</v>
      </c>
      <c r="P726">
        <v>171.69</v>
      </c>
      <c r="Q726" t="s">
        <v>156</v>
      </c>
      <c r="R726" t="s">
        <v>29</v>
      </c>
      <c r="S726" t="s">
        <v>50</v>
      </c>
      <c r="T726">
        <f>YEAR(Table1_1[[#This Row],[order_date]])</f>
        <v>2025</v>
      </c>
      <c r="U726">
        <f>MONTH(Table1_1[[#This Row],[order_date]])</f>
        <v>3</v>
      </c>
      <c r="V726" t="str">
        <f>TEXT(Table1_1[[#This Row],[order_date]],"mmm")</f>
        <v>Mar</v>
      </c>
      <c r="W726" t="str">
        <f>"Q"&amp;ROUNDUP(MONTH(Table1_1[[#This Row],[order_date]])/3,0)</f>
        <v>Q1</v>
      </c>
      <c r="X726" t="str">
        <f>TEXT(Table1_1[[#This Row],[order_date]],"yyyy-mm")</f>
        <v>2025-03</v>
      </c>
      <c r="Y726">
        <f>IF(Table1_1[[#This Row],[ship_date]]="","",Table1_1[[#This Row],[ship_date]]-Table1_1[[#This Row],[order_date]])</f>
        <v>8</v>
      </c>
      <c r="Z726">
        <f>ROUND(Table1_1[[#This Row],[profit]]/Table1_1[[#This Row],[sales_fix]]*100,2)</f>
        <v>31.79</v>
      </c>
    </row>
    <row r="727" spans="1:26" x14ac:dyDescent="0.3">
      <c r="A727" t="s">
        <v>2589</v>
      </c>
      <c r="B727" s="1">
        <v>45936</v>
      </c>
      <c r="C727" s="1">
        <v>45944</v>
      </c>
      <c r="D727" t="s">
        <v>1965</v>
      </c>
      <c r="E727" t="s">
        <v>1966</v>
      </c>
      <c r="F727" t="s">
        <v>23</v>
      </c>
      <c r="G727" t="s">
        <v>61</v>
      </c>
      <c r="H727" t="s">
        <v>125</v>
      </c>
      <c r="I727" t="s">
        <v>46</v>
      </c>
      <c r="J727" t="s">
        <v>47</v>
      </c>
      <c r="K727" t="s">
        <v>48</v>
      </c>
      <c r="L727">
        <v>1</v>
      </c>
      <c r="M727">
        <v>180</v>
      </c>
      <c r="N727">
        <v>5</v>
      </c>
      <c r="O727">
        <v>171</v>
      </c>
      <c r="P727">
        <v>67.33</v>
      </c>
      <c r="Q727" t="s">
        <v>74</v>
      </c>
      <c r="R727" t="s">
        <v>29</v>
      </c>
      <c r="S727" t="s">
        <v>50</v>
      </c>
      <c r="T727">
        <f>YEAR(Table1_1[[#This Row],[order_date]])</f>
        <v>2025</v>
      </c>
      <c r="U727">
        <f>MONTH(Table1_1[[#This Row],[order_date]])</f>
        <v>10</v>
      </c>
      <c r="V727" t="str">
        <f>TEXT(Table1_1[[#This Row],[order_date]],"mmm")</f>
        <v>Oct</v>
      </c>
      <c r="W727" t="str">
        <f>"Q"&amp;ROUNDUP(MONTH(Table1_1[[#This Row],[order_date]])/3,0)</f>
        <v>Q4</v>
      </c>
      <c r="X727" t="str">
        <f>TEXT(Table1_1[[#This Row],[order_date]],"yyyy-mm")</f>
        <v>2025-10</v>
      </c>
      <c r="Y727">
        <f>IF(Table1_1[[#This Row],[ship_date]]="","",Table1_1[[#This Row],[ship_date]]-Table1_1[[#This Row],[order_date]])</f>
        <v>8</v>
      </c>
      <c r="Z727">
        <f>ROUND(Table1_1[[#This Row],[profit]]/Table1_1[[#This Row],[sales_fix]]*100,2)</f>
        <v>39.369999999999997</v>
      </c>
    </row>
    <row r="728" spans="1:26" x14ac:dyDescent="0.3">
      <c r="A728" t="s">
        <v>162</v>
      </c>
      <c r="B728" s="1">
        <v>45827</v>
      </c>
      <c r="C728" s="1">
        <v>45829</v>
      </c>
      <c r="D728" t="s">
        <v>163</v>
      </c>
      <c r="E728" t="s">
        <v>164</v>
      </c>
      <c r="F728" t="s">
        <v>55</v>
      </c>
      <c r="G728" t="s">
        <v>44</v>
      </c>
      <c r="H728" t="s">
        <v>45</v>
      </c>
      <c r="I728" t="s">
        <v>103</v>
      </c>
      <c r="J728" t="s">
        <v>104</v>
      </c>
      <c r="K728" t="s">
        <v>65</v>
      </c>
      <c r="L728">
        <v>2</v>
      </c>
      <c r="M728">
        <v>8000</v>
      </c>
      <c r="N728">
        <v>10</v>
      </c>
      <c r="O728">
        <v>14400</v>
      </c>
      <c r="P728">
        <v>2588.73</v>
      </c>
      <c r="Q728" t="s">
        <v>66</v>
      </c>
      <c r="R728" t="s">
        <v>56</v>
      </c>
      <c r="S728" t="s">
        <v>86</v>
      </c>
      <c r="T728">
        <f>YEAR(Table1_1[[#This Row],[order_date]])</f>
        <v>2025</v>
      </c>
      <c r="U728">
        <f>MONTH(Table1_1[[#This Row],[order_date]])</f>
        <v>6</v>
      </c>
      <c r="V728" t="str">
        <f>TEXT(Table1_1[[#This Row],[order_date]],"mmm")</f>
        <v>Jun</v>
      </c>
      <c r="W728" t="str">
        <f>"Q"&amp;ROUNDUP(MONTH(Table1_1[[#This Row],[order_date]])/3,0)</f>
        <v>Q2</v>
      </c>
      <c r="X728" t="str">
        <f>TEXT(Table1_1[[#This Row],[order_date]],"yyyy-mm")</f>
        <v>2025-06</v>
      </c>
      <c r="Y728">
        <f>IF(Table1_1[[#This Row],[ship_date]]="","",Table1_1[[#This Row],[ship_date]]-Table1_1[[#This Row],[order_date]])</f>
        <v>2</v>
      </c>
      <c r="Z728">
        <f>ROUND(Table1_1[[#This Row],[profit]]/Table1_1[[#This Row],[sales_fix]]*100,2)</f>
        <v>17.98</v>
      </c>
    </row>
    <row r="729" spans="1:26" x14ac:dyDescent="0.3">
      <c r="A729" t="s">
        <v>1778</v>
      </c>
      <c r="B729" s="1">
        <v>45714</v>
      </c>
      <c r="C729" s="1">
        <v>45719</v>
      </c>
      <c r="D729" t="s">
        <v>798</v>
      </c>
      <c r="E729" t="s">
        <v>799</v>
      </c>
      <c r="F729" t="s">
        <v>23</v>
      </c>
      <c r="G729" t="s">
        <v>44</v>
      </c>
      <c r="H729" t="s">
        <v>330</v>
      </c>
      <c r="I729" t="s">
        <v>134</v>
      </c>
      <c r="J729" t="s">
        <v>135</v>
      </c>
      <c r="K729" t="s">
        <v>27</v>
      </c>
      <c r="L729">
        <v>1</v>
      </c>
      <c r="M729">
        <v>6000</v>
      </c>
      <c r="N729">
        <v>15</v>
      </c>
      <c r="O729">
        <v>5100</v>
      </c>
      <c r="P729">
        <v>1209.46</v>
      </c>
      <c r="Q729" t="s">
        <v>74</v>
      </c>
      <c r="R729" t="s">
        <v>49</v>
      </c>
      <c r="S729" t="s">
        <v>40</v>
      </c>
      <c r="T729">
        <f>YEAR(Table1_1[[#This Row],[order_date]])</f>
        <v>2025</v>
      </c>
      <c r="U729">
        <f>MONTH(Table1_1[[#This Row],[order_date]])</f>
        <v>2</v>
      </c>
      <c r="V729" t="str">
        <f>TEXT(Table1_1[[#This Row],[order_date]],"mmm")</f>
        <v>Feb</v>
      </c>
      <c r="W729" t="str">
        <f>"Q"&amp;ROUNDUP(MONTH(Table1_1[[#This Row],[order_date]])/3,0)</f>
        <v>Q1</v>
      </c>
      <c r="X729" t="str">
        <f>TEXT(Table1_1[[#This Row],[order_date]],"yyyy-mm")</f>
        <v>2025-02</v>
      </c>
      <c r="Y729">
        <f>IF(Table1_1[[#This Row],[ship_date]]="","",Table1_1[[#This Row],[ship_date]]-Table1_1[[#This Row],[order_date]])</f>
        <v>5</v>
      </c>
      <c r="Z729">
        <f>ROUND(Table1_1[[#This Row],[profit]]/Table1_1[[#This Row],[sales_fix]]*100,2)</f>
        <v>23.71</v>
      </c>
    </row>
    <row r="730" spans="1:26" x14ac:dyDescent="0.3">
      <c r="A730" t="s">
        <v>1334</v>
      </c>
      <c r="B730" s="1">
        <v>45308</v>
      </c>
      <c r="C730" s="1">
        <v>45311</v>
      </c>
      <c r="D730" t="s">
        <v>524</v>
      </c>
      <c r="E730" t="s">
        <v>525</v>
      </c>
      <c r="F730" t="s">
        <v>34</v>
      </c>
      <c r="G730" t="s">
        <v>35</v>
      </c>
      <c r="H730" t="s">
        <v>187</v>
      </c>
      <c r="I730" t="s">
        <v>46</v>
      </c>
      <c r="J730" t="s">
        <v>47</v>
      </c>
      <c r="K730" t="s">
        <v>48</v>
      </c>
      <c r="L730">
        <v>1</v>
      </c>
      <c r="M730">
        <v>180</v>
      </c>
      <c r="N730">
        <v>15</v>
      </c>
      <c r="O730">
        <v>153</v>
      </c>
      <c r="P730">
        <v>60.94</v>
      </c>
      <c r="Q730" t="s">
        <v>28</v>
      </c>
      <c r="R730" t="s">
        <v>29</v>
      </c>
      <c r="S730" t="s">
        <v>86</v>
      </c>
      <c r="T730">
        <f>YEAR(Table1_1[[#This Row],[order_date]])</f>
        <v>2024</v>
      </c>
      <c r="U730">
        <f>MONTH(Table1_1[[#This Row],[order_date]])</f>
        <v>1</v>
      </c>
      <c r="V730" t="str">
        <f>TEXT(Table1_1[[#This Row],[order_date]],"mmm")</f>
        <v>Jan</v>
      </c>
      <c r="W730" t="str">
        <f>"Q"&amp;ROUNDUP(MONTH(Table1_1[[#This Row],[order_date]])/3,0)</f>
        <v>Q1</v>
      </c>
      <c r="X730" t="str">
        <f>TEXT(Table1_1[[#This Row],[order_date]],"yyyy-mm")</f>
        <v>2024-01</v>
      </c>
      <c r="Y730">
        <f>IF(Table1_1[[#This Row],[ship_date]]="","",Table1_1[[#This Row],[ship_date]]-Table1_1[[#This Row],[order_date]])</f>
        <v>3</v>
      </c>
      <c r="Z730">
        <f>ROUND(Table1_1[[#This Row],[profit]]/Table1_1[[#This Row],[sales_fix]]*100,2)</f>
        <v>39.83</v>
      </c>
    </row>
    <row r="731" spans="1:26" x14ac:dyDescent="0.3">
      <c r="A731" t="s">
        <v>3064</v>
      </c>
      <c r="B731" s="1">
        <v>45596</v>
      </c>
      <c r="C731" s="1">
        <v>45601</v>
      </c>
      <c r="D731" t="s">
        <v>318</v>
      </c>
      <c r="E731" t="s">
        <v>319</v>
      </c>
      <c r="F731" t="s">
        <v>55</v>
      </c>
      <c r="G731" t="s">
        <v>35</v>
      </c>
      <c r="H731" t="s">
        <v>36</v>
      </c>
      <c r="I731" t="s">
        <v>71</v>
      </c>
      <c r="J731" t="s">
        <v>72</v>
      </c>
      <c r="K731" t="s">
        <v>73</v>
      </c>
      <c r="L731">
        <v>3</v>
      </c>
      <c r="M731">
        <v>3500</v>
      </c>
      <c r="N731">
        <v>20</v>
      </c>
      <c r="O731">
        <v>8400</v>
      </c>
      <c r="P731">
        <v>2602.2600000000002</v>
      </c>
      <c r="Q731" t="s">
        <v>74</v>
      </c>
      <c r="R731" t="s">
        <v>29</v>
      </c>
      <c r="S731" t="s">
        <v>50</v>
      </c>
      <c r="T731">
        <f>YEAR(Table1_1[[#This Row],[order_date]])</f>
        <v>2024</v>
      </c>
      <c r="U731">
        <f>MONTH(Table1_1[[#This Row],[order_date]])</f>
        <v>10</v>
      </c>
      <c r="V731" t="str">
        <f>TEXT(Table1_1[[#This Row],[order_date]],"mmm")</f>
        <v>Oct</v>
      </c>
      <c r="W731" t="str">
        <f>"Q"&amp;ROUNDUP(MONTH(Table1_1[[#This Row],[order_date]])/3,0)</f>
        <v>Q4</v>
      </c>
      <c r="X731" t="str">
        <f>TEXT(Table1_1[[#This Row],[order_date]],"yyyy-mm")</f>
        <v>2024-10</v>
      </c>
      <c r="Y731">
        <f>IF(Table1_1[[#This Row],[ship_date]]="","",Table1_1[[#This Row],[ship_date]]-Table1_1[[#This Row],[order_date]])</f>
        <v>5</v>
      </c>
      <c r="Z731">
        <f>ROUND(Table1_1[[#This Row],[profit]]/Table1_1[[#This Row],[sales_fix]]*100,2)</f>
        <v>30.98</v>
      </c>
    </row>
    <row r="732" spans="1:26" x14ac:dyDescent="0.3">
      <c r="A732" t="s">
        <v>128</v>
      </c>
      <c r="B732" s="1">
        <v>45910</v>
      </c>
      <c r="C732" s="1">
        <v>45911</v>
      </c>
      <c r="D732" t="s">
        <v>129</v>
      </c>
      <c r="E732" t="s">
        <v>130</v>
      </c>
      <c r="F732" t="s">
        <v>34</v>
      </c>
      <c r="G732" t="s">
        <v>61</v>
      </c>
      <c r="H732" t="s">
        <v>78</v>
      </c>
      <c r="I732" t="s">
        <v>63</v>
      </c>
      <c r="J732" t="s">
        <v>64</v>
      </c>
      <c r="K732" t="s">
        <v>65</v>
      </c>
      <c r="L732">
        <v>1</v>
      </c>
      <c r="M732">
        <v>25000</v>
      </c>
      <c r="N732">
        <v>15</v>
      </c>
      <c r="O732">
        <v>21250</v>
      </c>
      <c r="P732">
        <v>2366.8200000000002</v>
      </c>
      <c r="Q732" t="s">
        <v>66</v>
      </c>
      <c r="R732" t="s">
        <v>49</v>
      </c>
      <c r="S732" t="s">
        <v>86</v>
      </c>
      <c r="T732">
        <f>YEAR(Table1_1[[#This Row],[order_date]])</f>
        <v>2025</v>
      </c>
      <c r="U732">
        <f>MONTH(Table1_1[[#This Row],[order_date]])</f>
        <v>9</v>
      </c>
      <c r="V732" t="str">
        <f>TEXT(Table1_1[[#This Row],[order_date]],"mmm")</f>
        <v>Sep</v>
      </c>
      <c r="W732" t="str">
        <f>"Q"&amp;ROUNDUP(MONTH(Table1_1[[#This Row],[order_date]])/3,0)</f>
        <v>Q3</v>
      </c>
      <c r="X732" t="str">
        <f>TEXT(Table1_1[[#This Row],[order_date]],"yyyy-mm")</f>
        <v>2025-09</v>
      </c>
      <c r="Y732">
        <f>IF(Table1_1[[#This Row],[ship_date]]="","",Table1_1[[#This Row],[ship_date]]-Table1_1[[#This Row],[order_date]])</f>
        <v>1</v>
      </c>
      <c r="Z732">
        <f>ROUND(Table1_1[[#This Row],[profit]]/Table1_1[[#This Row],[sales_fix]]*100,2)</f>
        <v>11.14</v>
      </c>
    </row>
    <row r="733" spans="1:26" x14ac:dyDescent="0.3">
      <c r="A733" t="s">
        <v>769</v>
      </c>
      <c r="B733" s="1">
        <v>45963</v>
      </c>
      <c r="C733" s="1">
        <v>45971</v>
      </c>
      <c r="D733" t="s">
        <v>770</v>
      </c>
      <c r="E733" t="s">
        <v>771</v>
      </c>
      <c r="F733" t="s">
        <v>34</v>
      </c>
      <c r="G733" t="s">
        <v>44</v>
      </c>
      <c r="H733" t="s">
        <v>161</v>
      </c>
      <c r="I733" t="s">
        <v>79</v>
      </c>
      <c r="J733" t="s">
        <v>80</v>
      </c>
      <c r="K733" t="s">
        <v>65</v>
      </c>
      <c r="L733">
        <v>3</v>
      </c>
      <c r="M733">
        <v>3000</v>
      </c>
      <c r="N733">
        <v>20</v>
      </c>
      <c r="O733">
        <v>7200</v>
      </c>
      <c r="P733">
        <v>2080.27</v>
      </c>
      <c r="Q733" t="s">
        <v>74</v>
      </c>
      <c r="R733" t="s">
        <v>56</v>
      </c>
      <c r="S733" t="s">
        <v>40</v>
      </c>
      <c r="T733">
        <f>YEAR(Table1_1[[#This Row],[order_date]])</f>
        <v>2025</v>
      </c>
      <c r="U733">
        <f>MONTH(Table1_1[[#This Row],[order_date]])</f>
        <v>11</v>
      </c>
      <c r="V733" t="str">
        <f>TEXT(Table1_1[[#This Row],[order_date]],"mmm")</f>
        <v>Nov</v>
      </c>
      <c r="W733" t="str">
        <f>"Q"&amp;ROUNDUP(MONTH(Table1_1[[#This Row],[order_date]])/3,0)</f>
        <v>Q4</v>
      </c>
      <c r="X733" t="str">
        <f>TEXT(Table1_1[[#This Row],[order_date]],"yyyy-mm")</f>
        <v>2025-11</v>
      </c>
      <c r="Y733">
        <f>IF(Table1_1[[#This Row],[ship_date]]="","",Table1_1[[#This Row],[ship_date]]-Table1_1[[#This Row],[order_date]])</f>
        <v>8</v>
      </c>
      <c r="Z733">
        <f>ROUND(Table1_1[[#This Row],[profit]]/Table1_1[[#This Row],[sales_fix]]*100,2)</f>
        <v>28.89</v>
      </c>
    </row>
    <row r="734" spans="1:26" x14ac:dyDescent="0.3">
      <c r="A734" t="s">
        <v>3026</v>
      </c>
      <c r="B734" s="1">
        <v>45981</v>
      </c>
      <c r="C734" s="1">
        <v>45984</v>
      </c>
      <c r="D734" t="s">
        <v>112</v>
      </c>
      <c r="E734" t="s">
        <v>113</v>
      </c>
      <c r="F734" t="s">
        <v>23</v>
      </c>
      <c r="G734" t="s">
        <v>35</v>
      </c>
      <c r="H734" t="s">
        <v>36</v>
      </c>
      <c r="I734" t="s">
        <v>71</v>
      </c>
      <c r="J734" t="s">
        <v>72</v>
      </c>
      <c r="K734" t="s">
        <v>73</v>
      </c>
      <c r="L734">
        <v>3</v>
      </c>
      <c r="M734">
        <v>3500</v>
      </c>
      <c r="N734">
        <v>20</v>
      </c>
      <c r="O734">
        <v>8400</v>
      </c>
      <c r="P734">
        <v>2207.02</v>
      </c>
      <c r="Q734" t="s">
        <v>121</v>
      </c>
      <c r="R734" t="s">
        <v>29</v>
      </c>
      <c r="S734" t="s">
        <v>50</v>
      </c>
      <c r="T734">
        <f>YEAR(Table1_1[[#This Row],[order_date]])</f>
        <v>2025</v>
      </c>
      <c r="U734">
        <f>MONTH(Table1_1[[#This Row],[order_date]])</f>
        <v>11</v>
      </c>
      <c r="V734" t="str">
        <f>TEXT(Table1_1[[#This Row],[order_date]],"mmm")</f>
        <v>Nov</v>
      </c>
      <c r="W734" t="str">
        <f>"Q"&amp;ROUNDUP(MONTH(Table1_1[[#This Row],[order_date]])/3,0)</f>
        <v>Q4</v>
      </c>
      <c r="X734" t="str">
        <f>TEXT(Table1_1[[#This Row],[order_date]],"yyyy-mm")</f>
        <v>2025-11</v>
      </c>
      <c r="Y734">
        <f>IF(Table1_1[[#This Row],[ship_date]]="","",Table1_1[[#This Row],[ship_date]]-Table1_1[[#This Row],[order_date]])</f>
        <v>3</v>
      </c>
      <c r="Z734">
        <f>ROUND(Table1_1[[#This Row],[profit]]/Table1_1[[#This Row],[sales_fix]]*100,2)</f>
        <v>26.27</v>
      </c>
    </row>
    <row r="735" spans="1:26" x14ac:dyDescent="0.3">
      <c r="A735" t="s">
        <v>2540</v>
      </c>
      <c r="B735" s="1">
        <v>46004</v>
      </c>
      <c r="C735" s="1">
        <v>46007</v>
      </c>
      <c r="D735" t="s">
        <v>639</v>
      </c>
      <c r="E735" t="s">
        <v>640</v>
      </c>
      <c r="F735" t="s">
        <v>55</v>
      </c>
      <c r="G735" t="s">
        <v>35</v>
      </c>
      <c r="H735" t="s">
        <v>36</v>
      </c>
      <c r="I735" t="s">
        <v>114</v>
      </c>
      <c r="J735" t="s">
        <v>115</v>
      </c>
      <c r="K735" t="s">
        <v>65</v>
      </c>
      <c r="L735">
        <v>4</v>
      </c>
      <c r="M735">
        <v>55000</v>
      </c>
      <c r="N735">
        <v>0</v>
      </c>
      <c r="O735">
        <v>220000</v>
      </c>
      <c r="P735">
        <v>35340.9</v>
      </c>
      <c r="Q735" t="s">
        <v>156</v>
      </c>
      <c r="R735" t="s">
        <v>29</v>
      </c>
      <c r="S735" t="s">
        <v>30</v>
      </c>
      <c r="T735">
        <f>YEAR(Table1_1[[#This Row],[order_date]])</f>
        <v>2025</v>
      </c>
      <c r="U735">
        <f>MONTH(Table1_1[[#This Row],[order_date]])</f>
        <v>12</v>
      </c>
      <c r="V735" t="str">
        <f>TEXT(Table1_1[[#This Row],[order_date]],"mmm")</f>
        <v>Dec</v>
      </c>
      <c r="W735" t="str">
        <f>"Q"&amp;ROUNDUP(MONTH(Table1_1[[#This Row],[order_date]])/3,0)</f>
        <v>Q4</v>
      </c>
      <c r="X735" t="str">
        <f>TEXT(Table1_1[[#This Row],[order_date]],"yyyy-mm")</f>
        <v>2025-12</v>
      </c>
      <c r="Y735">
        <f>IF(Table1_1[[#This Row],[ship_date]]="","",Table1_1[[#This Row],[ship_date]]-Table1_1[[#This Row],[order_date]])</f>
        <v>3</v>
      </c>
      <c r="Z735">
        <f>ROUND(Table1_1[[#This Row],[profit]]/Table1_1[[#This Row],[sales_fix]]*100,2)</f>
        <v>16.059999999999999</v>
      </c>
    </row>
    <row r="736" spans="1:26" x14ac:dyDescent="0.3">
      <c r="A736" t="s">
        <v>821</v>
      </c>
      <c r="B736" s="1">
        <v>45380</v>
      </c>
      <c r="C736" s="1">
        <v>45387</v>
      </c>
      <c r="D736" t="s">
        <v>822</v>
      </c>
      <c r="E736" t="s">
        <v>823</v>
      </c>
      <c r="F736" t="s">
        <v>34</v>
      </c>
      <c r="G736" t="s">
        <v>35</v>
      </c>
      <c r="H736" t="s">
        <v>187</v>
      </c>
      <c r="I736" t="s">
        <v>103</v>
      </c>
      <c r="J736" t="s">
        <v>104</v>
      </c>
      <c r="K736" t="s">
        <v>65</v>
      </c>
      <c r="L736">
        <v>1</v>
      </c>
      <c r="M736">
        <v>8000</v>
      </c>
      <c r="N736">
        <v>5</v>
      </c>
      <c r="O736">
        <v>7600</v>
      </c>
      <c r="P736">
        <v>1442.61</v>
      </c>
      <c r="Q736" t="s">
        <v>66</v>
      </c>
      <c r="R736" t="s">
        <v>29</v>
      </c>
      <c r="S736" t="s">
        <v>50</v>
      </c>
      <c r="T736">
        <f>YEAR(Table1_1[[#This Row],[order_date]])</f>
        <v>2024</v>
      </c>
      <c r="U736">
        <f>MONTH(Table1_1[[#This Row],[order_date]])</f>
        <v>3</v>
      </c>
      <c r="V736" t="str">
        <f>TEXT(Table1_1[[#This Row],[order_date]],"mmm")</f>
        <v>Mar</v>
      </c>
      <c r="W736" t="str">
        <f>"Q"&amp;ROUNDUP(MONTH(Table1_1[[#This Row],[order_date]])/3,0)</f>
        <v>Q1</v>
      </c>
      <c r="X736" t="str">
        <f>TEXT(Table1_1[[#This Row],[order_date]],"yyyy-mm")</f>
        <v>2024-03</v>
      </c>
      <c r="Y736">
        <f>IF(Table1_1[[#This Row],[ship_date]]="","",Table1_1[[#This Row],[ship_date]]-Table1_1[[#This Row],[order_date]])</f>
        <v>7</v>
      </c>
      <c r="Z736">
        <f>ROUND(Table1_1[[#This Row],[profit]]/Table1_1[[#This Row],[sales_fix]]*100,2)</f>
        <v>18.98</v>
      </c>
    </row>
    <row r="737" spans="1:26" x14ac:dyDescent="0.3">
      <c r="A737" t="s">
        <v>2260</v>
      </c>
      <c r="B737" s="1">
        <v>46011</v>
      </c>
      <c r="C737" s="1">
        <v>46015</v>
      </c>
      <c r="D737" t="s">
        <v>1532</v>
      </c>
      <c r="E737" t="s">
        <v>1533</v>
      </c>
      <c r="F737" t="s">
        <v>34</v>
      </c>
      <c r="G737" t="s">
        <v>44</v>
      </c>
      <c r="H737" t="s">
        <v>24</v>
      </c>
      <c r="I737" t="s">
        <v>71</v>
      </c>
      <c r="J737" t="s">
        <v>72</v>
      </c>
      <c r="K737" t="s">
        <v>73</v>
      </c>
      <c r="L737">
        <v>2</v>
      </c>
      <c r="M737">
        <v>3500</v>
      </c>
      <c r="N737">
        <v>0</v>
      </c>
      <c r="O737">
        <v>7000</v>
      </c>
      <c r="P737">
        <v>2338.38</v>
      </c>
      <c r="Q737" t="s">
        <v>121</v>
      </c>
      <c r="R737" t="s">
        <v>49</v>
      </c>
      <c r="S737" t="s">
        <v>40</v>
      </c>
      <c r="T737">
        <f>YEAR(Table1_1[[#This Row],[order_date]])</f>
        <v>2025</v>
      </c>
      <c r="U737">
        <f>MONTH(Table1_1[[#This Row],[order_date]])</f>
        <v>12</v>
      </c>
      <c r="V737" t="str">
        <f>TEXT(Table1_1[[#This Row],[order_date]],"mmm")</f>
        <v>Dec</v>
      </c>
      <c r="W737" t="str">
        <f>"Q"&amp;ROUNDUP(MONTH(Table1_1[[#This Row],[order_date]])/3,0)</f>
        <v>Q4</v>
      </c>
      <c r="X737" t="str">
        <f>TEXT(Table1_1[[#This Row],[order_date]],"yyyy-mm")</f>
        <v>2025-12</v>
      </c>
      <c r="Y737">
        <f>IF(Table1_1[[#This Row],[ship_date]]="","",Table1_1[[#This Row],[ship_date]]-Table1_1[[#This Row],[order_date]])</f>
        <v>4</v>
      </c>
      <c r="Z737">
        <f>ROUND(Table1_1[[#This Row],[profit]]/Table1_1[[#This Row],[sales_fix]]*100,2)</f>
        <v>33.409999999999997</v>
      </c>
    </row>
    <row r="738" spans="1:26" x14ac:dyDescent="0.3">
      <c r="A738" t="s">
        <v>1556</v>
      </c>
      <c r="B738" s="1">
        <v>45633</v>
      </c>
      <c r="C738" s="1">
        <v>45640</v>
      </c>
      <c r="D738" t="s">
        <v>674</v>
      </c>
      <c r="E738" t="s">
        <v>675</v>
      </c>
      <c r="F738" t="s">
        <v>55</v>
      </c>
      <c r="G738" t="s">
        <v>91</v>
      </c>
      <c r="H738" t="s">
        <v>109</v>
      </c>
      <c r="I738" t="s">
        <v>114</v>
      </c>
      <c r="J738" t="s">
        <v>115</v>
      </c>
      <c r="K738" t="s">
        <v>65</v>
      </c>
      <c r="L738">
        <v>2</v>
      </c>
      <c r="M738">
        <v>55000</v>
      </c>
      <c r="N738">
        <v>15</v>
      </c>
      <c r="O738">
        <v>93500</v>
      </c>
      <c r="P738">
        <v>14687.8</v>
      </c>
      <c r="Q738" t="s">
        <v>28</v>
      </c>
      <c r="R738" t="s">
        <v>56</v>
      </c>
      <c r="S738" t="s">
        <v>40</v>
      </c>
      <c r="T738">
        <f>YEAR(Table1_1[[#This Row],[order_date]])</f>
        <v>2024</v>
      </c>
      <c r="U738">
        <f>MONTH(Table1_1[[#This Row],[order_date]])</f>
        <v>12</v>
      </c>
      <c r="V738" t="str">
        <f>TEXT(Table1_1[[#This Row],[order_date]],"mmm")</f>
        <v>Dec</v>
      </c>
      <c r="W738" t="str">
        <f>"Q"&amp;ROUNDUP(MONTH(Table1_1[[#This Row],[order_date]])/3,0)</f>
        <v>Q4</v>
      </c>
      <c r="X738" t="str">
        <f>TEXT(Table1_1[[#This Row],[order_date]],"yyyy-mm")</f>
        <v>2024-12</v>
      </c>
      <c r="Y738">
        <f>IF(Table1_1[[#This Row],[ship_date]]="","",Table1_1[[#This Row],[ship_date]]-Table1_1[[#This Row],[order_date]])</f>
        <v>7</v>
      </c>
      <c r="Z738">
        <f>ROUND(Table1_1[[#This Row],[profit]]/Table1_1[[#This Row],[sales_fix]]*100,2)</f>
        <v>15.71</v>
      </c>
    </row>
    <row r="739" spans="1:26" x14ac:dyDescent="0.3">
      <c r="A739" t="s">
        <v>370</v>
      </c>
      <c r="B739" s="1">
        <v>45329</v>
      </c>
      <c r="C739" s="1">
        <v>45337</v>
      </c>
      <c r="D739" t="s">
        <v>346</v>
      </c>
      <c r="E739" t="s">
        <v>347</v>
      </c>
      <c r="F739" t="s">
        <v>23</v>
      </c>
      <c r="G739" t="s">
        <v>44</v>
      </c>
      <c r="H739" t="s">
        <v>155</v>
      </c>
      <c r="I739" t="s">
        <v>25</v>
      </c>
      <c r="J739" t="s">
        <v>26</v>
      </c>
      <c r="K739" t="s">
        <v>27</v>
      </c>
      <c r="L739">
        <v>2</v>
      </c>
      <c r="M739">
        <v>7000</v>
      </c>
      <c r="N739">
        <v>5</v>
      </c>
      <c r="O739">
        <v>13300</v>
      </c>
      <c r="P739">
        <v>2649.03</v>
      </c>
      <c r="Q739" t="s">
        <v>121</v>
      </c>
      <c r="R739" t="s">
        <v>56</v>
      </c>
      <c r="S739" t="s">
        <v>86</v>
      </c>
      <c r="T739">
        <f>YEAR(Table1_1[[#This Row],[order_date]])</f>
        <v>2024</v>
      </c>
      <c r="U739">
        <f>MONTH(Table1_1[[#This Row],[order_date]])</f>
        <v>2</v>
      </c>
      <c r="V739" t="str">
        <f>TEXT(Table1_1[[#This Row],[order_date]],"mmm")</f>
        <v>Feb</v>
      </c>
      <c r="W739" t="str">
        <f>"Q"&amp;ROUNDUP(MONTH(Table1_1[[#This Row],[order_date]])/3,0)</f>
        <v>Q1</v>
      </c>
      <c r="X739" t="str">
        <f>TEXT(Table1_1[[#This Row],[order_date]],"yyyy-mm")</f>
        <v>2024-02</v>
      </c>
      <c r="Y739">
        <f>IF(Table1_1[[#This Row],[ship_date]]="","",Table1_1[[#This Row],[ship_date]]-Table1_1[[#This Row],[order_date]])</f>
        <v>8</v>
      </c>
      <c r="Z739">
        <f>ROUND(Table1_1[[#This Row],[profit]]/Table1_1[[#This Row],[sales_fix]]*100,2)</f>
        <v>19.920000000000002</v>
      </c>
    </row>
    <row r="740" spans="1:26" x14ac:dyDescent="0.3">
      <c r="A740" t="s">
        <v>1546</v>
      </c>
      <c r="B740" s="1">
        <v>45724</v>
      </c>
      <c r="C740" s="1">
        <v>45731</v>
      </c>
      <c r="D740" t="s">
        <v>910</v>
      </c>
      <c r="E740" t="s">
        <v>911</v>
      </c>
      <c r="F740" t="s">
        <v>34</v>
      </c>
      <c r="G740" t="s">
        <v>35</v>
      </c>
      <c r="H740" t="s">
        <v>36</v>
      </c>
      <c r="I740" t="s">
        <v>114</v>
      </c>
      <c r="J740" t="s">
        <v>115</v>
      </c>
      <c r="K740" t="s">
        <v>65</v>
      </c>
      <c r="L740">
        <v>2</v>
      </c>
      <c r="M740">
        <v>55000</v>
      </c>
      <c r="N740">
        <v>10</v>
      </c>
      <c r="O740">
        <v>99000</v>
      </c>
      <c r="P740">
        <v>12926.7</v>
      </c>
      <c r="Q740" t="s">
        <v>28</v>
      </c>
      <c r="R740" t="s">
        <v>29</v>
      </c>
      <c r="S740" t="s">
        <v>30</v>
      </c>
      <c r="T740">
        <f>YEAR(Table1_1[[#This Row],[order_date]])</f>
        <v>2025</v>
      </c>
      <c r="U740">
        <f>MONTH(Table1_1[[#This Row],[order_date]])</f>
        <v>3</v>
      </c>
      <c r="V740" t="str">
        <f>TEXT(Table1_1[[#This Row],[order_date]],"mmm")</f>
        <v>Mar</v>
      </c>
      <c r="W740" t="str">
        <f>"Q"&amp;ROUNDUP(MONTH(Table1_1[[#This Row],[order_date]])/3,0)</f>
        <v>Q1</v>
      </c>
      <c r="X740" t="str">
        <f>TEXT(Table1_1[[#This Row],[order_date]],"yyyy-mm")</f>
        <v>2025-03</v>
      </c>
      <c r="Y740">
        <f>IF(Table1_1[[#This Row],[ship_date]]="","",Table1_1[[#This Row],[ship_date]]-Table1_1[[#This Row],[order_date]])</f>
        <v>7</v>
      </c>
      <c r="Z740">
        <f>ROUND(Table1_1[[#This Row],[profit]]/Table1_1[[#This Row],[sales_fix]]*100,2)</f>
        <v>13.06</v>
      </c>
    </row>
    <row r="741" spans="1:26" x14ac:dyDescent="0.3">
      <c r="A741" t="s">
        <v>2887</v>
      </c>
      <c r="B741" s="1">
        <v>46006</v>
      </c>
      <c r="C741" s="1">
        <v>46012</v>
      </c>
      <c r="D741" t="s">
        <v>793</v>
      </c>
      <c r="E741" t="s">
        <v>794</v>
      </c>
      <c r="F741" t="s">
        <v>23</v>
      </c>
      <c r="G741" t="s">
        <v>91</v>
      </c>
      <c r="H741" t="s">
        <v>92</v>
      </c>
      <c r="I741" t="s">
        <v>147</v>
      </c>
      <c r="J741" t="s">
        <v>148</v>
      </c>
      <c r="K741" t="s">
        <v>48</v>
      </c>
      <c r="L741">
        <v>1</v>
      </c>
      <c r="M741">
        <v>250</v>
      </c>
      <c r="N741">
        <v>15</v>
      </c>
      <c r="O741">
        <v>212.5</v>
      </c>
      <c r="P741">
        <v>66.03</v>
      </c>
      <c r="Q741" t="s">
        <v>28</v>
      </c>
      <c r="R741" t="s">
        <v>29</v>
      </c>
      <c r="S741" t="s">
        <v>40</v>
      </c>
      <c r="T741">
        <f>YEAR(Table1_1[[#This Row],[order_date]])</f>
        <v>2025</v>
      </c>
      <c r="U741">
        <f>MONTH(Table1_1[[#This Row],[order_date]])</f>
        <v>12</v>
      </c>
      <c r="V741" t="str">
        <f>TEXT(Table1_1[[#This Row],[order_date]],"mmm")</f>
        <v>Dec</v>
      </c>
      <c r="W741" t="str">
        <f>"Q"&amp;ROUNDUP(MONTH(Table1_1[[#This Row],[order_date]])/3,0)</f>
        <v>Q4</v>
      </c>
      <c r="X741" t="str">
        <f>TEXT(Table1_1[[#This Row],[order_date]],"yyyy-mm")</f>
        <v>2025-12</v>
      </c>
      <c r="Y741">
        <f>IF(Table1_1[[#This Row],[ship_date]]="","",Table1_1[[#This Row],[ship_date]]-Table1_1[[#This Row],[order_date]])</f>
        <v>6</v>
      </c>
      <c r="Z741">
        <f>ROUND(Table1_1[[#This Row],[profit]]/Table1_1[[#This Row],[sales_fix]]*100,2)</f>
        <v>31.07</v>
      </c>
    </row>
    <row r="742" spans="1:26" x14ac:dyDescent="0.3">
      <c r="A742" t="s">
        <v>2349</v>
      </c>
      <c r="B742" s="1">
        <v>45993</v>
      </c>
      <c r="C742" s="1">
        <v>46001</v>
      </c>
      <c r="D742" t="s">
        <v>896</v>
      </c>
      <c r="E742" t="s">
        <v>897</v>
      </c>
      <c r="F742" t="s">
        <v>55</v>
      </c>
      <c r="G742" t="s">
        <v>35</v>
      </c>
      <c r="H742" t="s">
        <v>258</v>
      </c>
      <c r="I742" t="s">
        <v>93</v>
      </c>
      <c r="J742" t="s">
        <v>94</v>
      </c>
      <c r="K742" t="s">
        <v>95</v>
      </c>
      <c r="L742">
        <v>2</v>
      </c>
      <c r="M742">
        <v>1800</v>
      </c>
      <c r="N742">
        <v>20</v>
      </c>
      <c r="O742">
        <v>2880</v>
      </c>
      <c r="P742">
        <v>993.97</v>
      </c>
      <c r="Q742" t="s">
        <v>121</v>
      </c>
      <c r="R742" t="s">
        <v>49</v>
      </c>
      <c r="S742" t="s">
        <v>30</v>
      </c>
      <c r="T742">
        <f>YEAR(Table1_1[[#This Row],[order_date]])</f>
        <v>2025</v>
      </c>
      <c r="U742">
        <f>MONTH(Table1_1[[#This Row],[order_date]])</f>
        <v>12</v>
      </c>
      <c r="V742" t="str">
        <f>TEXT(Table1_1[[#This Row],[order_date]],"mmm")</f>
        <v>Dec</v>
      </c>
      <c r="W742" t="str">
        <f>"Q"&amp;ROUNDUP(MONTH(Table1_1[[#This Row],[order_date]])/3,0)</f>
        <v>Q4</v>
      </c>
      <c r="X742" t="str">
        <f>TEXT(Table1_1[[#This Row],[order_date]],"yyyy-mm")</f>
        <v>2025-12</v>
      </c>
      <c r="Y742">
        <f>IF(Table1_1[[#This Row],[ship_date]]="","",Table1_1[[#This Row],[ship_date]]-Table1_1[[#This Row],[order_date]])</f>
        <v>8</v>
      </c>
      <c r="Z742">
        <f>ROUND(Table1_1[[#This Row],[profit]]/Table1_1[[#This Row],[sales_fix]]*100,2)</f>
        <v>34.51</v>
      </c>
    </row>
    <row r="743" spans="1:26" x14ac:dyDescent="0.3">
      <c r="A743" t="s">
        <v>2746</v>
      </c>
      <c r="B743" s="1">
        <v>45960</v>
      </c>
      <c r="C743" s="1">
        <v>45963</v>
      </c>
      <c r="D743" t="s">
        <v>318</v>
      </c>
      <c r="E743" t="s">
        <v>319</v>
      </c>
      <c r="F743" t="s">
        <v>55</v>
      </c>
      <c r="G743" t="s">
        <v>35</v>
      </c>
      <c r="H743" t="s">
        <v>36</v>
      </c>
      <c r="I743" t="s">
        <v>126</v>
      </c>
      <c r="J743" t="s">
        <v>127</v>
      </c>
      <c r="K743" t="s">
        <v>95</v>
      </c>
      <c r="L743">
        <v>3</v>
      </c>
      <c r="M743">
        <v>600</v>
      </c>
      <c r="N743">
        <v>20</v>
      </c>
      <c r="O743">
        <v>1440</v>
      </c>
      <c r="P743">
        <v>595.55999999999995</v>
      </c>
      <c r="Q743" t="s">
        <v>39</v>
      </c>
      <c r="R743" t="s">
        <v>29</v>
      </c>
      <c r="S743" t="s">
        <v>110</v>
      </c>
      <c r="T743">
        <f>YEAR(Table1_1[[#This Row],[order_date]])</f>
        <v>2025</v>
      </c>
      <c r="U743">
        <f>MONTH(Table1_1[[#This Row],[order_date]])</f>
        <v>10</v>
      </c>
      <c r="V743" t="str">
        <f>TEXT(Table1_1[[#This Row],[order_date]],"mmm")</f>
        <v>Oct</v>
      </c>
      <c r="W743" t="str">
        <f>"Q"&amp;ROUNDUP(MONTH(Table1_1[[#This Row],[order_date]])/3,0)</f>
        <v>Q4</v>
      </c>
      <c r="X743" t="str">
        <f>TEXT(Table1_1[[#This Row],[order_date]],"yyyy-mm")</f>
        <v>2025-10</v>
      </c>
      <c r="Y743">
        <f>IF(Table1_1[[#This Row],[ship_date]]="","",Table1_1[[#This Row],[ship_date]]-Table1_1[[#This Row],[order_date]])</f>
        <v>3</v>
      </c>
      <c r="Z743">
        <f>ROUND(Table1_1[[#This Row],[profit]]/Table1_1[[#This Row],[sales_fix]]*100,2)</f>
        <v>41.36</v>
      </c>
    </row>
    <row r="744" spans="1:26" x14ac:dyDescent="0.3">
      <c r="A744" t="s">
        <v>992</v>
      </c>
      <c r="B744" s="1">
        <v>45786</v>
      </c>
      <c r="C744" s="1">
        <v>45794</v>
      </c>
      <c r="D744" t="s">
        <v>256</v>
      </c>
      <c r="E744" t="s">
        <v>257</v>
      </c>
      <c r="F744" t="s">
        <v>55</v>
      </c>
      <c r="G744" t="s">
        <v>35</v>
      </c>
      <c r="H744" t="s">
        <v>258</v>
      </c>
      <c r="I744" t="s">
        <v>126</v>
      </c>
      <c r="J744" t="s">
        <v>127</v>
      </c>
      <c r="K744" t="s">
        <v>95</v>
      </c>
      <c r="L744">
        <v>1</v>
      </c>
      <c r="M744">
        <v>600</v>
      </c>
      <c r="N744">
        <v>0</v>
      </c>
      <c r="O744">
        <v>600</v>
      </c>
      <c r="P744">
        <v>173.86</v>
      </c>
      <c r="Q744" t="s">
        <v>66</v>
      </c>
      <c r="R744" t="s">
        <v>49</v>
      </c>
      <c r="S744" t="s">
        <v>30</v>
      </c>
      <c r="T744">
        <f>YEAR(Table1_1[[#This Row],[order_date]])</f>
        <v>2025</v>
      </c>
      <c r="U744">
        <f>MONTH(Table1_1[[#This Row],[order_date]])</f>
        <v>5</v>
      </c>
      <c r="V744" t="str">
        <f>TEXT(Table1_1[[#This Row],[order_date]],"mmm")</f>
        <v>May</v>
      </c>
      <c r="W744" t="str">
        <f>"Q"&amp;ROUNDUP(MONTH(Table1_1[[#This Row],[order_date]])/3,0)</f>
        <v>Q2</v>
      </c>
      <c r="X744" t="str">
        <f>TEXT(Table1_1[[#This Row],[order_date]],"yyyy-mm")</f>
        <v>2025-05</v>
      </c>
      <c r="Y744">
        <f>IF(Table1_1[[#This Row],[ship_date]]="","",Table1_1[[#This Row],[ship_date]]-Table1_1[[#This Row],[order_date]])</f>
        <v>8</v>
      </c>
      <c r="Z744">
        <f>ROUND(Table1_1[[#This Row],[profit]]/Table1_1[[#This Row],[sales_fix]]*100,2)</f>
        <v>28.98</v>
      </c>
    </row>
    <row r="745" spans="1:26" x14ac:dyDescent="0.3">
      <c r="A745" t="s">
        <v>934</v>
      </c>
      <c r="B745" s="1">
        <v>45506</v>
      </c>
      <c r="C745" s="1">
        <v>45511</v>
      </c>
      <c r="D745" t="s">
        <v>713</v>
      </c>
      <c r="E745" t="s">
        <v>714</v>
      </c>
      <c r="F745" t="s">
        <v>34</v>
      </c>
      <c r="G745" t="s">
        <v>35</v>
      </c>
      <c r="H745" t="s">
        <v>258</v>
      </c>
      <c r="I745" t="s">
        <v>103</v>
      </c>
      <c r="J745" t="s">
        <v>104</v>
      </c>
      <c r="K745" t="s">
        <v>65</v>
      </c>
      <c r="L745">
        <v>2</v>
      </c>
      <c r="M745">
        <v>8000</v>
      </c>
      <c r="N745">
        <v>0</v>
      </c>
      <c r="O745">
        <v>16000</v>
      </c>
      <c r="P745">
        <v>3374.06</v>
      </c>
      <c r="Q745" t="s">
        <v>74</v>
      </c>
      <c r="R745" t="s">
        <v>56</v>
      </c>
      <c r="S745" t="s">
        <v>50</v>
      </c>
      <c r="T745">
        <f>YEAR(Table1_1[[#This Row],[order_date]])</f>
        <v>2024</v>
      </c>
      <c r="U745">
        <f>MONTH(Table1_1[[#This Row],[order_date]])</f>
        <v>8</v>
      </c>
      <c r="V745" t="str">
        <f>TEXT(Table1_1[[#This Row],[order_date]],"mmm")</f>
        <v>Aug</v>
      </c>
      <c r="W745" t="str">
        <f>"Q"&amp;ROUNDUP(MONTH(Table1_1[[#This Row],[order_date]])/3,0)</f>
        <v>Q3</v>
      </c>
      <c r="X745" t="str">
        <f>TEXT(Table1_1[[#This Row],[order_date]],"yyyy-mm")</f>
        <v>2024-08</v>
      </c>
      <c r="Y745">
        <f>IF(Table1_1[[#This Row],[ship_date]]="","",Table1_1[[#This Row],[ship_date]]-Table1_1[[#This Row],[order_date]])</f>
        <v>5</v>
      </c>
      <c r="Z745">
        <f>ROUND(Table1_1[[#This Row],[profit]]/Table1_1[[#This Row],[sales_fix]]*100,2)</f>
        <v>21.09</v>
      </c>
    </row>
    <row r="746" spans="1:26" x14ac:dyDescent="0.3">
      <c r="A746" t="s">
        <v>2781</v>
      </c>
      <c r="B746" s="1">
        <v>45324</v>
      </c>
      <c r="C746" s="1">
        <v>45328</v>
      </c>
      <c r="D746" t="s">
        <v>288</v>
      </c>
      <c r="E746" t="s">
        <v>289</v>
      </c>
      <c r="F746" t="s">
        <v>34</v>
      </c>
      <c r="G746" t="s">
        <v>44</v>
      </c>
      <c r="H746" t="s">
        <v>155</v>
      </c>
      <c r="I746" t="s">
        <v>46</v>
      </c>
      <c r="J746" t="s">
        <v>47</v>
      </c>
      <c r="K746" t="s">
        <v>48</v>
      </c>
      <c r="L746">
        <v>4</v>
      </c>
      <c r="M746">
        <v>180</v>
      </c>
      <c r="N746">
        <v>0</v>
      </c>
      <c r="O746">
        <v>720</v>
      </c>
      <c r="P746">
        <v>282.61</v>
      </c>
      <c r="Q746" t="s">
        <v>66</v>
      </c>
      <c r="R746" t="s">
        <v>56</v>
      </c>
      <c r="S746" t="s">
        <v>50</v>
      </c>
      <c r="T746">
        <f>YEAR(Table1_1[[#This Row],[order_date]])</f>
        <v>2024</v>
      </c>
      <c r="U746">
        <f>MONTH(Table1_1[[#This Row],[order_date]])</f>
        <v>2</v>
      </c>
      <c r="V746" t="str">
        <f>TEXT(Table1_1[[#This Row],[order_date]],"mmm")</f>
        <v>Feb</v>
      </c>
      <c r="W746" t="str">
        <f>"Q"&amp;ROUNDUP(MONTH(Table1_1[[#This Row],[order_date]])/3,0)</f>
        <v>Q1</v>
      </c>
      <c r="X746" t="str">
        <f>TEXT(Table1_1[[#This Row],[order_date]],"yyyy-mm")</f>
        <v>2024-02</v>
      </c>
      <c r="Y746">
        <f>IF(Table1_1[[#This Row],[ship_date]]="","",Table1_1[[#This Row],[ship_date]]-Table1_1[[#This Row],[order_date]])</f>
        <v>4</v>
      </c>
      <c r="Z746">
        <f>ROUND(Table1_1[[#This Row],[profit]]/Table1_1[[#This Row],[sales_fix]]*100,2)</f>
        <v>39.25</v>
      </c>
    </row>
    <row r="747" spans="1:26" x14ac:dyDescent="0.3">
      <c r="A747" t="s">
        <v>1453</v>
      </c>
      <c r="B747" s="1">
        <v>45640</v>
      </c>
      <c r="C747" s="1">
        <v>45645</v>
      </c>
      <c r="D747" t="s">
        <v>230</v>
      </c>
      <c r="E747" t="s">
        <v>231</v>
      </c>
      <c r="F747" t="s">
        <v>55</v>
      </c>
      <c r="G747" t="s">
        <v>44</v>
      </c>
      <c r="H747" t="s">
        <v>161</v>
      </c>
      <c r="I747" t="s">
        <v>25</v>
      </c>
      <c r="J747" t="s">
        <v>26</v>
      </c>
      <c r="K747" t="s">
        <v>27</v>
      </c>
      <c r="L747">
        <v>3</v>
      </c>
      <c r="M747">
        <v>7000</v>
      </c>
      <c r="N747">
        <v>20</v>
      </c>
      <c r="O747">
        <v>16800</v>
      </c>
      <c r="P747">
        <v>3884.81</v>
      </c>
      <c r="Q747" t="s">
        <v>121</v>
      </c>
      <c r="R747" t="s">
        <v>56</v>
      </c>
      <c r="S747" t="s">
        <v>40</v>
      </c>
      <c r="T747">
        <f>YEAR(Table1_1[[#This Row],[order_date]])</f>
        <v>2024</v>
      </c>
      <c r="U747">
        <f>MONTH(Table1_1[[#This Row],[order_date]])</f>
        <v>12</v>
      </c>
      <c r="V747" t="str">
        <f>TEXT(Table1_1[[#This Row],[order_date]],"mmm")</f>
        <v>Dec</v>
      </c>
      <c r="W747" t="str">
        <f>"Q"&amp;ROUNDUP(MONTH(Table1_1[[#This Row],[order_date]])/3,0)</f>
        <v>Q4</v>
      </c>
      <c r="X747" t="str">
        <f>TEXT(Table1_1[[#This Row],[order_date]],"yyyy-mm")</f>
        <v>2024-12</v>
      </c>
      <c r="Y747">
        <f>IF(Table1_1[[#This Row],[ship_date]]="","",Table1_1[[#This Row],[ship_date]]-Table1_1[[#This Row],[order_date]])</f>
        <v>5</v>
      </c>
      <c r="Z747">
        <f>ROUND(Table1_1[[#This Row],[profit]]/Table1_1[[#This Row],[sales_fix]]*100,2)</f>
        <v>23.12</v>
      </c>
    </row>
    <row r="748" spans="1:26" x14ac:dyDescent="0.3">
      <c r="A748" t="s">
        <v>1898</v>
      </c>
      <c r="B748" s="1">
        <v>45343</v>
      </c>
      <c r="C748" s="1">
        <v>45345</v>
      </c>
      <c r="D748" t="s">
        <v>774</v>
      </c>
      <c r="E748" t="s">
        <v>775</v>
      </c>
      <c r="F748" t="s">
        <v>55</v>
      </c>
      <c r="G748" t="s">
        <v>61</v>
      </c>
      <c r="H748" t="s">
        <v>211</v>
      </c>
      <c r="I748" t="s">
        <v>71</v>
      </c>
      <c r="J748" t="s">
        <v>72</v>
      </c>
      <c r="K748" t="s">
        <v>73</v>
      </c>
      <c r="L748">
        <v>5</v>
      </c>
      <c r="M748">
        <v>3500</v>
      </c>
      <c r="N748">
        <v>5</v>
      </c>
      <c r="O748">
        <v>16625</v>
      </c>
      <c r="P748">
        <v>5424.24</v>
      </c>
      <c r="Q748" t="s">
        <v>66</v>
      </c>
      <c r="R748" t="s">
        <v>56</v>
      </c>
      <c r="S748" t="s">
        <v>40</v>
      </c>
      <c r="T748">
        <f>YEAR(Table1_1[[#This Row],[order_date]])</f>
        <v>2024</v>
      </c>
      <c r="U748">
        <f>MONTH(Table1_1[[#This Row],[order_date]])</f>
        <v>2</v>
      </c>
      <c r="V748" t="str">
        <f>TEXT(Table1_1[[#This Row],[order_date]],"mmm")</f>
        <v>Feb</v>
      </c>
      <c r="W748" t="str">
        <f>"Q"&amp;ROUNDUP(MONTH(Table1_1[[#This Row],[order_date]])/3,0)</f>
        <v>Q1</v>
      </c>
      <c r="X748" t="str">
        <f>TEXT(Table1_1[[#This Row],[order_date]],"yyyy-mm")</f>
        <v>2024-02</v>
      </c>
      <c r="Y748">
        <f>IF(Table1_1[[#This Row],[ship_date]]="","",Table1_1[[#This Row],[ship_date]]-Table1_1[[#This Row],[order_date]])</f>
        <v>2</v>
      </c>
      <c r="Z748">
        <f>ROUND(Table1_1[[#This Row],[profit]]/Table1_1[[#This Row],[sales_fix]]*100,2)</f>
        <v>32.630000000000003</v>
      </c>
    </row>
    <row r="749" spans="1:26" x14ac:dyDescent="0.3">
      <c r="A749" t="s">
        <v>2683</v>
      </c>
      <c r="B749" s="1">
        <v>45334</v>
      </c>
      <c r="C749" s="1">
        <v>45338</v>
      </c>
      <c r="D749" t="s">
        <v>1184</v>
      </c>
      <c r="E749" t="s">
        <v>1185</v>
      </c>
      <c r="F749" t="s">
        <v>55</v>
      </c>
      <c r="G749" t="s">
        <v>91</v>
      </c>
      <c r="H749" t="s">
        <v>109</v>
      </c>
      <c r="I749" t="s">
        <v>46</v>
      </c>
      <c r="J749" t="s">
        <v>47</v>
      </c>
      <c r="K749" t="s">
        <v>48</v>
      </c>
      <c r="L749">
        <v>2</v>
      </c>
      <c r="M749">
        <v>180</v>
      </c>
      <c r="N749">
        <v>0</v>
      </c>
      <c r="O749">
        <v>360</v>
      </c>
      <c r="P749">
        <v>154.22</v>
      </c>
      <c r="Q749" t="s">
        <v>74</v>
      </c>
      <c r="R749" t="s">
        <v>29</v>
      </c>
      <c r="S749" t="s">
        <v>194</v>
      </c>
      <c r="T749">
        <f>YEAR(Table1_1[[#This Row],[order_date]])</f>
        <v>2024</v>
      </c>
      <c r="U749">
        <f>MONTH(Table1_1[[#This Row],[order_date]])</f>
        <v>2</v>
      </c>
      <c r="V749" t="str">
        <f>TEXT(Table1_1[[#This Row],[order_date]],"mmm")</f>
        <v>Feb</v>
      </c>
      <c r="W749" t="str">
        <f>"Q"&amp;ROUNDUP(MONTH(Table1_1[[#This Row],[order_date]])/3,0)</f>
        <v>Q1</v>
      </c>
      <c r="X749" t="str">
        <f>TEXT(Table1_1[[#This Row],[order_date]],"yyyy-mm")</f>
        <v>2024-02</v>
      </c>
      <c r="Y749">
        <f>IF(Table1_1[[#This Row],[ship_date]]="","",Table1_1[[#This Row],[ship_date]]-Table1_1[[#This Row],[order_date]])</f>
        <v>4</v>
      </c>
      <c r="Z749">
        <f>ROUND(Table1_1[[#This Row],[profit]]/Table1_1[[#This Row],[sales_fix]]*100,2)</f>
        <v>42.84</v>
      </c>
    </row>
    <row r="750" spans="1:26" x14ac:dyDescent="0.3">
      <c r="A750" t="s">
        <v>851</v>
      </c>
      <c r="B750" s="1">
        <v>45802</v>
      </c>
      <c r="C750" s="1">
        <v>45808</v>
      </c>
      <c r="D750" t="s">
        <v>853</v>
      </c>
      <c r="E750" t="s">
        <v>854</v>
      </c>
      <c r="F750" t="s">
        <v>55</v>
      </c>
      <c r="G750" t="s">
        <v>61</v>
      </c>
      <c r="H750" t="s">
        <v>125</v>
      </c>
      <c r="I750" t="s">
        <v>46</v>
      </c>
      <c r="J750" t="s">
        <v>47</v>
      </c>
      <c r="K750" t="s">
        <v>48</v>
      </c>
      <c r="L750">
        <v>3</v>
      </c>
      <c r="M750">
        <v>180</v>
      </c>
      <c r="N750">
        <v>0</v>
      </c>
      <c r="O750">
        <v>540</v>
      </c>
      <c r="P750">
        <v>185.1</v>
      </c>
      <c r="Q750" t="s">
        <v>74</v>
      </c>
      <c r="R750" t="s">
        <v>29</v>
      </c>
      <c r="S750" t="s">
        <v>86</v>
      </c>
      <c r="T750">
        <f>YEAR(Table1_1[[#This Row],[order_date]])</f>
        <v>2025</v>
      </c>
      <c r="U750">
        <f>MONTH(Table1_1[[#This Row],[order_date]])</f>
        <v>5</v>
      </c>
      <c r="V750" t="str">
        <f>TEXT(Table1_1[[#This Row],[order_date]],"mmm")</f>
        <v>May</v>
      </c>
      <c r="W750" t="str">
        <f>"Q"&amp;ROUNDUP(MONTH(Table1_1[[#This Row],[order_date]])/3,0)</f>
        <v>Q2</v>
      </c>
      <c r="X750" t="str">
        <f>TEXT(Table1_1[[#This Row],[order_date]],"yyyy-mm")</f>
        <v>2025-05</v>
      </c>
      <c r="Y750">
        <f>IF(Table1_1[[#This Row],[ship_date]]="","",Table1_1[[#This Row],[ship_date]]-Table1_1[[#This Row],[order_date]])</f>
        <v>6</v>
      </c>
      <c r="Z750">
        <f>ROUND(Table1_1[[#This Row],[profit]]/Table1_1[[#This Row],[sales_fix]]*100,2)</f>
        <v>34.28</v>
      </c>
    </row>
    <row r="751" spans="1:26" x14ac:dyDescent="0.3">
      <c r="A751" t="s">
        <v>1213</v>
      </c>
      <c r="B751" s="1">
        <v>45717</v>
      </c>
      <c r="C751" s="1">
        <v>45725</v>
      </c>
      <c r="D751" t="s">
        <v>1100</v>
      </c>
      <c r="E751" t="s">
        <v>1101</v>
      </c>
      <c r="F751" t="s">
        <v>23</v>
      </c>
      <c r="G751" t="s">
        <v>44</v>
      </c>
      <c r="H751" t="s">
        <v>161</v>
      </c>
      <c r="I751" t="s">
        <v>147</v>
      </c>
      <c r="J751" t="s">
        <v>148</v>
      </c>
      <c r="K751" t="s">
        <v>48</v>
      </c>
      <c r="L751">
        <v>3</v>
      </c>
      <c r="M751">
        <v>250</v>
      </c>
      <c r="N751">
        <v>0</v>
      </c>
      <c r="O751">
        <v>750</v>
      </c>
      <c r="P751">
        <v>239.44</v>
      </c>
      <c r="Q751" t="s">
        <v>74</v>
      </c>
      <c r="R751" t="s">
        <v>49</v>
      </c>
      <c r="S751" t="s">
        <v>40</v>
      </c>
      <c r="T751">
        <f>YEAR(Table1_1[[#This Row],[order_date]])</f>
        <v>2025</v>
      </c>
      <c r="U751">
        <f>MONTH(Table1_1[[#This Row],[order_date]])</f>
        <v>3</v>
      </c>
      <c r="V751" t="str">
        <f>TEXT(Table1_1[[#This Row],[order_date]],"mmm")</f>
        <v>Mar</v>
      </c>
      <c r="W751" t="str">
        <f>"Q"&amp;ROUNDUP(MONTH(Table1_1[[#This Row],[order_date]])/3,0)</f>
        <v>Q1</v>
      </c>
      <c r="X751" t="str">
        <f>TEXT(Table1_1[[#This Row],[order_date]],"yyyy-mm")</f>
        <v>2025-03</v>
      </c>
      <c r="Y751">
        <f>IF(Table1_1[[#This Row],[ship_date]]="","",Table1_1[[#This Row],[ship_date]]-Table1_1[[#This Row],[order_date]])</f>
        <v>8</v>
      </c>
      <c r="Z751">
        <f>ROUND(Table1_1[[#This Row],[profit]]/Table1_1[[#This Row],[sales_fix]]*100,2)</f>
        <v>31.93</v>
      </c>
    </row>
    <row r="752" spans="1:26" x14ac:dyDescent="0.3">
      <c r="A752" t="s">
        <v>2362</v>
      </c>
      <c r="B752" s="1">
        <v>45564</v>
      </c>
      <c r="C752" s="1">
        <v>45568</v>
      </c>
      <c r="D752" t="s">
        <v>847</v>
      </c>
      <c r="E752" t="s">
        <v>848</v>
      </c>
      <c r="F752" t="s">
        <v>23</v>
      </c>
      <c r="G752" t="s">
        <v>44</v>
      </c>
      <c r="H752" t="s">
        <v>161</v>
      </c>
      <c r="I752" t="s">
        <v>63</v>
      </c>
      <c r="J752" t="s">
        <v>64</v>
      </c>
      <c r="K752" t="s">
        <v>65</v>
      </c>
      <c r="L752">
        <v>1</v>
      </c>
      <c r="M752">
        <v>25000</v>
      </c>
      <c r="N752">
        <v>20</v>
      </c>
      <c r="O752">
        <v>20000</v>
      </c>
      <c r="P752">
        <v>2598.0100000000002</v>
      </c>
      <c r="Q752" t="s">
        <v>121</v>
      </c>
      <c r="R752" t="s">
        <v>56</v>
      </c>
      <c r="S752" t="s">
        <v>30</v>
      </c>
      <c r="T752">
        <f>YEAR(Table1_1[[#This Row],[order_date]])</f>
        <v>2024</v>
      </c>
      <c r="U752">
        <f>MONTH(Table1_1[[#This Row],[order_date]])</f>
        <v>9</v>
      </c>
      <c r="V752" t="str">
        <f>TEXT(Table1_1[[#This Row],[order_date]],"mmm")</f>
        <v>Sep</v>
      </c>
      <c r="W752" t="str">
        <f>"Q"&amp;ROUNDUP(MONTH(Table1_1[[#This Row],[order_date]])/3,0)</f>
        <v>Q3</v>
      </c>
      <c r="X752" t="str">
        <f>TEXT(Table1_1[[#This Row],[order_date]],"yyyy-mm")</f>
        <v>2024-09</v>
      </c>
      <c r="Y752">
        <f>IF(Table1_1[[#This Row],[ship_date]]="","",Table1_1[[#This Row],[ship_date]]-Table1_1[[#This Row],[order_date]])</f>
        <v>4</v>
      </c>
      <c r="Z752">
        <f>ROUND(Table1_1[[#This Row],[profit]]/Table1_1[[#This Row],[sales_fix]]*100,2)</f>
        <v>12.99</v>
      </c>
    </row>
    <row r="753" spans="1:26" x14ac:dyDescent="0.3">
      <c r="A753" t="s">
        <v>358</v>
      </c>
      <c r="B753" s="1">
        <v>45731</v>
      </c>
      <c r="C753" s="1">
        <v>45737</v>
      </c>
      <c r="D753" t="s">
        <v>359</v>
      </c>
      <c r="E753" t="s">
        <v>360</v>
      </c>
      <c r="F753" t="s">
        <v>34</v>
      </c>
      <c r="G753" t="s">
        <v>61</v>
      </c>
      <c r="H753" t="s">
        <v>125</v>
      </c>
      <c r="I753" t="s">
        <v>79</v>
      </c>
      <c r="J753" t="s">
        <v>80</v>
      </c>
      <c r="K753" t="s">
        <v>65</v>
      </c>
      <c r="L753">
        <v>2</v>
      </c>
      <c r="M753">
        <v>3000</v>
      </c>
      <c r="N753">
        <v>5</v>
      </c>
      <c r="O753">
        <v>5700</v>
      </c>
      <c r="P753">
        <v>1811.28</v>
      </c>
      <c r="Q753" t="s">
        <v>66</v>
      </c>
      <c r="R753" t="s">
        <v>49</v>
      </c>
      <c r="S753" t="s">
        <v>50</v>
      </c>
      <c r="T753">
        <f>YEAR(Table1_1[[#This Row],[order_date]])</f>
        <v>2025</v>
      </c>
      <c r="U753">
        <f>MONTH(Table1_1[[#This Row],[order_date]])</f>
        <v>3</v>
      </c>
      <c r="V753" t="str">
        <f>TEXT(Table1_1[[#This Row],[order_date]],"mmm")</f>
        <v>Mar</v>
      </c>
      <c r="W753" t="str">
        <f>"Q"&amp;ROUNDUP(MONTH(Table1_1[[#This Row],[order_date]])/3,0)</f>
        <v>Q1</v>
      </c>
      <c r="X753" t="str">
        <f>TEXT(Table1_1[[#This Row],[order_date]],"yyyy-mm")</f>
        <v>2025-03</v>
      </c>
      <c r="Y753">
        <f>IF(Table1_1[[#This Row],[ship_date]]="","",Table1_1[[#This Row],[ship_date]]-Table1_1[[#This Row],[order_date]])</f>
        <v>6</v>
      </c>
      <c r="Z753">
        <f>ROUND(Table1_1[[#This Row],[profit]]/Table1_1[[#This Row],[sales_fix]]*100,2)</f>
        <v>31.78</v>
      </c>
    </row>
    <row r="754" spans="1:26" x14ac:dyDescent="0.3">
      <c r="A754" t="s">
        <v>2759</v>
      </c>
      <c r="B754" s="1">
        <v>45821</v>
      </c>
      <c r="C754" s="1">
        <v>45828</v>
      </c>
      <c r="D754" t="s">
        <v>613</v>
      </c>
      <c r="E754" t="s">
        <v>614</v>
      </c>
      <c r="F754" t="s">
        <v>55</v>
      </c>
      <c r="G754" t="s">
        <v>61</v>
      </c>
      <c r="H754" t="s">
        <v>211</v>
      </c>
      <c r="I754" t="s">
        <v>71</v>
      </c>
      <c r="J754" t="s">
        <v>72</v>
      </c>
      <c r="K754" t="s">
        <v>73</v>
      </c>
      <c r="L754">
        <v>5</v>
      </c>
      <c r="M754">
        <v>3500</v>
      </c>
      <c r="N754">
        <v>0</v>
      </c>
      <c r="O754">
        <v>17500</v>
      </c>
      <c r="P754">
        <v>4677.8</v>
      </c>
      <c r="Q754" t="s">
        <v>121</v>
      </c>
      <c r="R754" t="s">
        <v>49</v>
      </c>
      <c r="S754" t="s">
        <v>86</v>
      </c>
      <c r="T754">
        <f>YEAR(Table1_1[[#This Row],[order_date]])</f>
        <v>2025</v>
      </c>
      <c r="U754">
        <f>MONTH(Table1_1[[#This Row],[order_date]])</f>
        <v>6</v>
      </c>
      <c r="V754" t="str">
        <f>TEXT(Table1_1[[#This Row],[order_date]],"mmm")</f>
        <v>Jun</v>
      </c>
      <c r="W754" t="str">
        <f>"Q"&amp;ROUNDUP(MONTH(Table1_1[[#This Row],[order_date]])/3,0)</f>
        <v>Q2</v>
      </c>
      <c r="X754" t="str">
        <f>TEXT(Table1_1[[#This Row],[order_date]],"yyyy-mm")</f>
        <v>2025-06</v>
      </c>
      <c r="Y754">
        <f>IF(Table1_1[[#This Row],[ship_date]]="","",Table1_1[[#This Row],[ship_date]]-Table1_1[[#This Row],[order_date]])</f>
        <v>7</v>
      </c>
      <c r="Z754">
        <f>ROUND(Table1_1[[#This Row],[profit]]/Table1_1[[#This Row],[sales_fix]]*100,2)</f>
        <v>26.73</v>
      </c>
    </row>
    <row r="755" spans="1:26" x14ac:dyDescent="0.3">
      <c r="A755" t="s">
        <v>1378</v>
      </c>
      <c r="B755" s="1">
        <v>45968</v>
      </c>
      <c r="C755" s="1">
        <v>45973</v>
      </c>
      <c r="D755" t="s">
        <v>1075</v>
      </c>
      <c r="E755" t="s">
        <v>1076</v>
      </c>
      <c r="F755" t="s">
        <v>55</v>
      </c>
      <c r="G755" t="s">
        <v>61</v>
      </c>
      <c r="H755" t="s">
        <v>125</v>
      </c>
      <c r="I755" t="s">
        <v>114</v>
      </c>
      <c r="J755" t="s">
        <v>115</v>
      </c>
      <c r="K755" t="s">
        <v>65</v>
      </c>
      <c r="L755">
        <v>1</v>
      </c>
      <c r="M755">
        <v>55000</v>
      </c>
      <c r="N755">
        <v>10</v>
      </c>
      <c r="O755">
        <v>49500</v>
      </c>
      <c r="P755">
        <v>6443.03</v>
      </c>
      <c r="Q755" t="s">
        <v>28</v>
      </c>
      <c r="R755" t="s">
        <v>49</v>
      </c>
      <c r="S755" t="s">
        <v>40</v>
      </c>
      <c r="T755">
        <f>YEAR(Table1_1[[#This Row],[order_date]])</f>
        <v>2025</v>
      </c>
      <c r="U755">
        <f>MONTH(Table1_1[[#This Row],[order_date]])</f>
        <v>11</v>
      </c>
      <c r="V755" t="str">
        <f>TEXT(Table1_1[[#This Row],[order_date]],"mmm")</f>
        <v>Nov</v>
      </c>
      <c r="W755" t="str">
        <f>"Q"&amp;ROUNDUP(MONTH(Table1_1[[#This Row],[order_date]])/3,0)</f>
        <v>Q4</v>
      </c>
      <c r="X755" t="str">
        <f>TEXT(Table1_1[[#This Row],[order_date]],"yyyy-mm")</f>
        <v>2025-11</v>
      </c>
      <c r="Y755">
        <f>IF(Table1_1[[#This Row],[ship_date]]="","",Table1_1[[#This Row],[ship_date]]-Table1_1[[#This Row],[order_date]])</f>
        <v>5</v>
      </c>
      <c r="Z755">
        <f>ROUND(Table1_1[[#This Row],[profit]]/Table1_1[[#This Row],[sales_fix]]*100,2)</f>
        <v>13.02</v>
      </c>
    </row>
    <row r="756" spans="1:26" x14ac:dyDescent="0.3">
      <c r="A756" t="s">
        <v>1409</v>
      </c>
      <c r="B756" s="1">
        <v>45613</v>
      </c>
      <c r="C756" s="1">
        <v>45616</v>
      </c>
      <c r="D756" t="s">
        <v>713</v>
      </c>
      <c r="E756" t="s">
        <v>714</v>
      </c>
      <c r="F756" t="s">
        <v>34</v>
      </c>
      <c r="G756" t="s">
        <v>35</v>
      </c>
      <c r="H756" t="s">
        <v>258</v>
      </c>
      <c r="I756" t="s">
        <v>71</v>
      </c>
      <c r="J756" t="s">
        <v>72</v>
      </c>
      <c r="K756" t="s">
        <v>73</v>
      </c>
      <c r="L756">
        <v>1</v>
      </c>
      <c r="M756">
        <v>3500</v>
      </c>
      <c r="N756">
        <v>0</v>
      </c>
      <c r="O756">
        <v>3500</v>
      </c>
      <c r="P756">
        <v>1187.29</v>
      </c>
      <c r="Q756" t="s">
        <v>156</v>
      </c>
      <c r="R756" t="s">
        <v>49</v>
      </c>
      <c r="S756" t="s">
        <v>30</v>
      </c>
      <c r="T756">
        <f>YEAR(Table1_1[[#This Row],[order_date]])</f>
        <v>2024</v>
      </c>
      <c r="U756">
        <f>MONTH(Table1_1[[#This Row],[order_date]])</f>
        <v>11</v>
      </c>
      <c r="V756" t="str">
        <f>TEXT(Table1_1[[#This Row],[order_date]],"mmm")</f>
        <v>Nov</v>
      </c>
      <c r="W756" t="str">
        <f>"Q"&amp;ROUNDUP(MONTH(Table1_1[[#This Row],[order_date]])/3,0)</f>
        <v>Q4</v>
      </c>
      <c r="X756" t="str">
        <f>TEXT(Table1_1[[#This Row],[order_date]],"yyyy-mm")</f>
        <v>2024-11</v>
      </c>
      <c r="Y756">
        <f>IF(Table1_1[[#This Row],[ship_date]]="","",Table1_1[[#This Row],[ship_date]]-Table1_1[[#This Row],[order_date]])</f>
        <v>3</v>
      </c>
      <c r="Z756">
        <f>ROUND(Table1_1[[#This Row],[profit]]/Table1_1[[#This Row],[sales_fix]]*100,2)</f>
        <v>33.92</v>
      </c>
    </row>
    <row r="757" spans="1:26" x14ac:dyDescent="0.3">
      <c r="A757" t="s">
        <v>1850</v>
      </c>
      <c r="B757" s="1">
        <v>45931</v>
      </c>
      <c r="C757" s="1">
        <v>45938</v>
      </c>
      <c r="D757" t="s">
        <v>882</v>
      </c>
      <c r="E757" t="s">
        <v>1545</v>
      </c>
      <c r="F757" t="s">
        <v>55</v>
      </c>
      <c r="G757" t="s">
        <v>44</v>
      </c>
      <c r="H757" t="s">
        <v>24</v>
      </c>
      <c r="I757" t="s">
        <v>46</v>
      </c>
      <c r="J757" t="s">
        <v>47</v>
      </c>
      <c r="K757" t="s">
        <v>48</v>
      </c>
      <c r="L757">
        <v>3</v>
      </c>
      <c r="M757">
        <v>180</v>
      </c>
      <c r="N757">
        <v>15</v>
      </c>
      <c r="O757">
        <v>459</v>
      </c>
      <c r="P757">
        <v>173.11</v>
      </c>
      <c r="Q757" t="s">
        <v>121</v>
      </c>
      <c r="R757" t="s">
        <v>49</v>
      </c>
      <c r="S757" t="s">
        <v>86</v>
      </c>
      <c r="T757">
        <f>YEAR(Table1_1[[#This Row],[order_date]])</f>
        <v>2025</v>
      </c>
      <c r="U757">
        <f>MONTH(Table1_1[[#This Row],[order_date]])</f>
        <v>10</v>
      </c>
      <c r="V757" t="str">
        <f>TEXT(Table1_1[[#This Row],[order_date]],"mmm")</f>
        <v>Oct</v>
      </c>
      <c r="W757" t="str">
        <f>"Q"&amp;ROUNDUP(MONTH(Table1_1[[#This Row],[order_date]])/3,0)</f>
        <v>Q4</v>
      </c>
      <c r="X757" t="str">
        <f>TEXT(Table1_1[[#This Row],[order_date]],"yyyy-mm")</f>
        <v>2025-10</v>
      </c>
      <c r="Y757">
        <f>IF(Table1_1[[#This Row],[ship_date]]="","",Table1_1[[#This Row],[ship_date]]-Table1_1[[#This Row],[order_date]])</f>
        <v>7</v>
      </c>
      <c r="Z757">
        <f>ROUND(Table1_1[[#This Row],[profit]]/Table1_1[[#This Row],[sales_fix]]*100,2)</f>
        <v>37.71</v>
      </c>
    </row>
    <row r="758" spans="1:26" x14ac:dyDescent="0.3">
      <c r="A758" t="s">
        <v>2936</v>
      </c>
      <c r="B758" s="1">
        <v>45634</v>
      </c>
      <c r="C758" s="1">
        <v>45639</v>
      </c>
      <c r="D758" t="s">
        <v>247</v>
      </c>
      <c r="E758" t="s">
        <v>248</v>
      </c>
      <c r="F758" t="s">
        <v>34</v>
      </c>
      <c r="G758" t="s">
        <v>61</v>
      </c>
      <c r="H758" t="s">
        <v>78</v>
      </c>
      <c r="I758" t="s">
        <v>46</v>
      </c>
      <c r="J758" t="s">
        <v>47</v>
      </c>
      <c r="K758" t="s">
        <v>48</v>
      </c>
      <c r="L758">
        <v>3</v>
      </c>
      <c r="M758">
        <v>180</v>
      </c>
      <c r="N758">
        <v>0</v>
      </c>
      <c r="O758">
        <v>540</v>
      </c>
      <c r="P758">
        <v>220.69</v>
      </c>
      <c r="Q758" t="s">
        <v>121</v>
      </c>
      <c r="R758" t="s">
        <v>29</v>
      </c>
      <c r="S758" t="s">
        <v>40</v>
      </c>
      <c r="T758">
        <f>YEAR(Table1_1[[#This Row],[order_date]])</f>
        <v>2024</v>
      </c>
      <c r="U758">
        <f>MONTH(Table1_1[[#This Row],[order_date]])</f>
        <v>12</v>
      </c>
      <c r="V758" t="str">
        <f>TEXT(Table1_1[[#This Row],[order_date]],"mmm")</f>
        <v>Dec</v>
      </c>
      <c r="W758" t="str">
        <f>"Q"&amp;ROUNDUP(MONTH(Table1_1[[#This Row],[order_date]])/3,0)</f>
        <v>Q4</v>
      </c>
      <c r="X758" t="str">
        <f>TEXT(Table1_1[[#This Row],[order_date]],"yyyy-mm")</f>
        <v>2024-12</v>
      </c>
      <c r="Y758">
        <f>IF(Table1_1[[#This Row],[ship_date]]="","",Table1_1[[#This Row],[ship_date]]-Table1_1[[#This Row],[order_date]])</f>
        <v>5</v>
      </c>
      <c r="Z758">
        <f>ROUND(Table1_1[[#This Row],[profit]]/Table1_1[[#This Row],[sales_fix]]*100,2)</f>
        <v>40.869999999999997</v>
      </c>
    </row>
    <row r="759" spans="1:26" x14ac:dyDescent="0.3">
      <c r="A759" t="s">
        <v>1656</v>
      </c>
      <c r="B759" s="1">
        <v>45825</v>
      </c>
      <c r="C759" s="1">
        <v>45826</v>
      </c>
      <c r="D759" t="s">
        <v>291</v>
      </c>
      <c r="E759" t="s">
        <v>292</v>
      </c>
      <c r="F759" t="s">
        <v>55</v>
      </c>
      <c r="G759" t="s">
        <v>35</v>
      </c>
      <c r="H759" t="s">
        <v>187</v>
      </c>
      <c r="I759" t="s">
        <v>25</v>
      </c>
      <c r="J759" t="s">
        <v>26</v>
      </c>
      <c r="K759" t="s">
        <v>27</v>
      </c>
      <c r="L759">
        <v>1</v>
      </c>
      <c r="M759">
        <v>7000</v>
      </c>
      <c r="N759">
        <v>15</v>
      </c>
      <c r="O759">
        <v>5950</v>
      </c>
      <c r="P759">
        <v>1000.09</v>
      </c>
      <c r="Q759" t="s">
        <v>39</v>
      </c>
      <c r="R759" t="s">
        <v>56</v>
      </c>
      <c r="S759" t="s">
        <v>110</v>
      </c>
      <c r="T759">
        <f>YEAR(Table1_1[[#This Row],[order_date]])</f>
        <v>2025</v>
      </c>
      <c r="U759">
        <f>MONTH(Table1_1[[#This Row],[order_date]])</f>
        <v>6</v>
      </c>
      <c r="V759" t="str">
        <f>TEXT(Table1_1[[#This Row],[order_date]],"mmm")</f>
        <v>Jun</v>
      </c>
      <c r="W759" t="str">
        <f>"Q"&amp;ROUNDUP(MONTH(Table1_1[[#This Row],[order_date]])/3,0)</f>
        <v>Q2</v>
      </c>
      <c r="X759" t="str">
        <f>TEXT(Table1_1[[#This Row],[order_date]],"yyyy-mm")</f>
        <v>2025-06</v>
      </c>
      <c r="Y759">
        <f>IF(Table1_1[[#This Row],[ship_date]]="","",Table1_1[[#This Row],[ship_date]]-Table1_1[[#This Row],[order_date]])</f>
        <v>1</v>
      </c>
      <c r="Z759">
        <f>ROUND(Table1_1[[#This Row],[profit]]/Table1_1[[#This Row],[sales_fix]]*100,2)</f>
        <v>16.809999999999999</v>
      </c>
    </row>
    <row r="760" spans="1:26" x14ac:dyDescent="0.3">
      <c r="A760" t="s">
        <v>888</v>
      </c>
      <c r="B760" s="1">
        <v>45724</v>
      </c>
      <c r="C760" s="1">
        <v>45730</v>
      </c>
      <c r="D760" t="s">
        <v>101</v>
      </c>
      <c r="E760" t="s">
        <v>102</v>
      </c>
      <c r="F760" t="s">
        <v>55</v>
      </c>
      <c r="G760" t="s">
        <v>35</v>
      </c>
      <c r="H760" t="s">
        <v>36</v>
      </c>
      <c r="I760" t="s">
        <v>25</v>
      </c>
      <c r="J760" t="s">
        <v>26</v>
      </c>
      <c r="K760" t="s">
        <v>27</v>
      </c>
      <c r="L760">
        <v>10</v>
      </c>
      <c r="M760">
        <v>7000</v>
      </c>
      <c r="N760">
        <v>0</v>
      </c>
      <c r="O760">
        <v>70000</v>
      </c>
      <c r="P760">
        <v>15289.03</v>
      </c>
      <c r="Q760" t="s">
        <v>74</v>
      </c>
      <c r="R760" t="s">
        <v>56</v>
      </c>
      <c r="S760" t="s">
        <v>40</v>
      </c>
      <c r="T760">
        <f>YEAR(Table1_1[[#This Row],[order_date]])</f>
        <v>2025</v>
      </c>
      <c r="U760">
        <f>MONTH(Table1_1[[#This Row],[order_date]])</f>
        <v>3</v>
      </c>
      <c r="V760" t="str">
        <f>TEXT(Table1_1[[#This Row],[order_date]],"mmm")</f>
        <v>Mar</v>
      </c>
      <c r="W760" t="str">
        <f>"Q"&amp;ROUNDUP(MONTH(Table1_1[[#This Row],[order_date]])/3,0)</f>
        <v>Q1</v>
      </c>
      <c r="X760" t="str">
        <f>TEXT(Table1_1[[#This Row],[order_date]],"yyyy-mm")</f>
        <v>2025-03</v>
      </c>
      <c r="Y760">
        <f>IF(Table1_1[[#This Row],[ship_date]]="","",Table1_1[[#This Row],[ship_date]]-Table1_1[[#This Row],[order_date]])</f>
        <v>6</v>
      </c>
      <c r="Z760">
        <f>ROUND(Table1_1[[#This Row],[profit]]/Table1_1[[#This Row],[sales_fix]]*100,2)</f>
        <v>21.84</v>
      </c>
    </row>
    <row r="761" spans="1:26" x14ac:dyDescent="0.3">
      <c r="A761" t="s">
        <v>2348</v>
      </c>
      <c r="B761" s="1">
        <v>45340</v>
      </c>
      <c r="C761" s="1">
        <v>45341</v>
      </c>
      <c r="D761" t="s">
        <v>1464</v>
      </c>
      <c r="E761" t="s">
        <v>1465</v>
      </c>
      <c r="F761" t="s">
        <v>23</v>
      </c>
      <c r="G761" t="s">
        <v>91</v>
      </c>
      <c r="H761" t="s">
        <v>109</v>
      </c>
      <c r="I761" t="s">
        <v>63</v>
      </c>
      <c r="J761" t="s">
        <v>64</v>
      </c>
      <c r="K761" t="s">
        <v>65</v>
      </c>
      <c r="L761">
        <v>3</v>
      </c>
      <c r="M761">
        <v>25000</v>
      </c>
      <c r="N761">
        <v>0</v>
      </c>
      <c r="O761">
        <v>75000</v>
      </c>
      <c r="P761">
        <v>9894.32</v>
      </c>
      <c r="Q761" t="s">
        <v>3113</v>
      </c>
      <c r="R761" t="s">
        <v>49</v>
      </c>
      <c r="S761" t="s">
        <v>50</v>
      </c>
      <c r="T761">
        <f>YEAR(Table1_1[[#This Row],[order_date]])</f>
        <v>2024</v>
      </c>
      <c r="U761">
        <f>MONTH(Table1_1[[#This Row],[order_date]])</f>
        <v>2</v>
      </c>
      <c r="V761" t="str">
        <f>TEXT(Table1_1[[#This Row],[order_date]],"mmm")</f>
        <v>Feb</v>
      </c>
      <c r="W761" t="str">
        <f>"Q"&amp;ROUNDUP(MONTH(Table1_1[[#This Row],[order_date]])/3,0)</f>
        <v>Q1</v>
      </c>
      <c r="X761" t="str">
        <f>TEXT(Table1_1[[#This Row],[order_date]],"yyyy-mm")</f>
        <v>2024-02</v>
      </c>
      <c r="Y761">
        <f>IF(Table1_1[[#This Row],[ship_date]]="","",Table1_1[[#This Row],[ship_date]]-Table1_1[[#This Row],[order_date]])</f>
        <v>1</v>
      </c>
      <c r="Z761">
        <f>ROUND(Table1_1[[#This Row],[profit]]/Table1_1[[#This Row],[sales_fix]]*100,2)</f>
        <v>13.19</v>
      </c>
    </row>
    <row r="762" spans="1:26" x14ac:dyDescent="0.3">
      <c r="A762" t="s">
        <v>2095</v>
      </c>
      <c r="B762" s="1">
        <v>45934</v>
      </c>
      <c r="C762" s="1">
        <v>45939</v>
      </c>
      <c r="D762" t="s">
        <v>827</v>
      </c>
      <c r="E762" t="s">
        <v>828</v>
      </c>
      <c r="F762" t="s">
        <v>34</v>
      </c>
      <c r="G762" t="s">
        <v>44</v>
      </c>
      <c r="H762" t="s">
        <v>155</v>
      </c>
      <c r="I762" t="s">
        <v>93</v>
      </c>
      <c r="J762" t="s">
        <v>94</v>
      </c>
      <c r="K762" t="s">
        <v>95</v>
      </c>
      <c r="L762">
        <v>4</v>
      </c>
      <c r="M762">
        <v>1800</v>
      </c>
      <c r="N762">
        <v>0</v>
      </c>
      <c r="O762">
        <v>7200</v>
      </c>
      <c r="P762">
        <v>2117.14</v>
      </c>
      <c r="Q762" t="s">
        <v>156</v>
      </c>
      <c r="R762" t="s">
        <v>56</v>
      </c>
      <c r="S762" t="s">
        <v>40</v>
      </c>
      <c r="T762">
        <f>YEAR(Table1_1[[#This Row],[order_date]])</f>
        <v>2025</v>
      </c>
      <c r="U762">
        <f>MONTH(Table1_1[[#This Row],[order_date]])</f>
        <v>10</v>
      </c>
      <c r="V762" t="str">
        <f>TEXT(Table1_1[[#This Row],[order_date]],"mmm")</f>
        <v>Oct</v>
      </c>
      <c r="W762" t="str">
        <f>"Q"&amp;ROUNDUP(MONTH(Table1_1[[#This Row],[order_date]])/3,0)</f>
        <v>Q4</v>
      </c>
      <c r="X762" t="str">
        <f>TEXT(Table1_1[[#This Row],[order_date]],"yyyy-mm")</f>
        <v>2025-10</v>
      </c>
      <c r="Y762">
        <f>IF(Table1_1[[#This Row],[ship_date]]="","",Table1_1[[#This Row],[ship_date]]-Table1_1[[#This Row],[order_date]])</f>
        <v>5</v>
      </c>
      <c r="Z762">
        <f>ROUND(Table1_1[[#This Row],[profit]]/Table1_1[[#This Row],[sales_fix]]*100,2)</f>
        <v>29.4</v>
      </c>
    </row>
    <row r="763" spans="1:26" x14ac:dyDescent="0.3">
      <c r="A763" t="s">
        <v>1149</v>
      </c>
      <c r="B763" s="1">
        <v>45678</v>
      </c>
      <c r="C763" s="1">
        <v>45682</v>
      </c>
      <c r="D763" t="s">
        <v>378</v>
      </c>
      <c r="E763" t="s">
        <v>379</v>
      </c>
      <c r="F763" t="s">
        <v>34</v>
      </c>
      <c r="G763" t="s">
        <v>44</v>
      </c>
      <c r="H763" t="s">
        <v>24</v>
      </c>
      <c r="I763" t="s">
        <v>71</v>
      </c>
      <c r="J763" t="s">
        <v>72</v>
      </c>
      <c r="K763" t="s">
        <v>73</v>
      </c>
      <c r="L763">
        <v>2</v>
      </c>
      <c r="M763">
        <v>3500</v>
      </c>
      <c r="N763">
        <v>0</v>
      </c>
      <c r="O763">
        <v>7000</v>
      </c>
      <c r="P763">
        <v>1662.28</v>
      </c>
      <c r="Q763" t="s">
        <v>74</v>
      </c>
      <c r="R763" t="s">
        <v>49</v>
      </c>
      <c r="S763" t="s">
        <v>86</v>
      </c>
      <c r="T763">
        <f>YEAR(Table1_1[[#This Row],[order_date]])</f>
        <v>2025</v>
      </c>
      <c r="U763">
        <f>MONTH(Table1_1[[#This Row],[order_date]])</f>
        <v>1</v>
      </c>
      <c r="V763" t="str">
        <f>TEXT(Table1_1[[#This Row],[order_date]],"mmm")</f>
        <v>Jan</v>
      </c>
      <c r="W763" t="str">
        <f>"Q"&amp;ROUNDUP(MONTH(Table1_1[[#This Row],[order_date]])/3,0)</f>
        <v>Q1</v>
      </c>
      <c r="X763" t="str">
        <f>TEXT(Table1_1[[#This Row],[order_date]],"yyyy-mm")</f>
        <v>2025-01</v>
      </c>
      <c r="Y763">
        <f>IF(Table1_1[[#This Row],[ship_date]]="","",Table1_1[[#This Row],[ship_date]]-Table1_1[[#This Row],[order_date]])</f>
        <v>4</v>
      </c>
      <c r="Z763">
        <f>ROUND(Table1_1[[#This Row],[profit]]/Table1_1[[#This Row],[sales_fix]]*100,2)</f>
        <v>23.75</v>
      </c>
    </row>
    <row r="764" spans="1:26" x14ac:dyDescent="0.3">
      <c r="A764" t="s">
        <v>2320</v>
      </c>
      <c r="B764" s="1">
        <v>45727</v>
      </c>
      <c r="C764" s="1">
        <v>45734</v>
      </c>
      <c r="D764" t="s">
        <v>1090</v>
      </c>
      <c r="E764" t="s">
        <v>1091</v>
      </c>
      <c r="F764" t="s">
        <v>23</v>
      </c>
      <c r="G764" t="s">
        <v>61</v>
      </c>
      <c r="H764" t="s">
        <v>78</v>
      </c>
      <c r="I764" t="s">
        <v>71</v>
      </c>
      <c r="J764" t="s">
        <v>72</v>
      </c>
      <c r="K764" t="s">
        <v>73</v>
      </c>
      <c r="L764">
        <v>4</v>
      </c>
      <c r="M764">
        <v>3500</v>
      </c>
      <c r="N764">
        <v>0</v>
      </c>
      <c r="O764">
        <v>14000</v>
      </c>
      <c r="P764">
        <v>3301.31</v>
      </c>
      <c r="Q764" t="s">
        <v>121</v>
      </c>
      <c r="R764" t="s">
        <v>49</v>
      </c>
      <c r="S764" t="s">
        <v>50</v>
      </c>
      <c r="T764">
        <f>YEAR(Table1_1[[#This Row],[order_date]])</f>
        <v>2025</v>
      </c>
      <c r="U764">
        <f>MONTH(Table1_1[[#This Row],[order_date]])</f>
        <v>3</v>
      </c>
      <c r="V764" t="str">
        <f>TEXT(Table1_1[[#This Row],[order_date]],"mmm")</f>
        <v>Mar</v>
      </c>
      <c r="W764" t="str">
        <f>"Q"&amp;ROUNDUP(MONTH(Table1_1[[#This Row],[order_date]])/3,0)</f>
        <v>Q1</v>
      </c>
      <c r="X764" t="str">
        <f>TEXT(Table1_1[[#This Row],[order_date]],"yyyy-mm")</f>
        <v>2025-03</v>
      </c>
      <c r="Y764">
        <f>IF(Table1_1[[#This Row],[ship_date]]="","",Table1_1[[#This Row],[ship_date]]-Table1_1[[#This Row],[order_date]])</f>
        <v>7</v>
      </c>
      <c r="Z764">
        <f>ROUND(Table1_1[[#This Row],[profit]]/Table1_1[[#This Row],[sales_fix]]*100,2)</f>
        <v>23.58</v>
      </c>
    </row>
    <row r="765" spans="1:26" x14ac:dyDescent="0.3">
      <c r="A765" t="s">
        <v>2740</v>
      </c>
      <c r="B765" s="1">
        <v>45670</v>
      </c>
      <c r="C765" s="1">
        <v>45677</v>
      </c>
      <c r="D765" t="s">
        <v>965</v>
      </c>
      <c r="E765" t="s">
        <v>966</v>
      </c>
      <c r="F765" t="s">
        <v>34</v>
      </c>
      <c r="G765" t="s">
        <v>44</v>
      </c>
      <c r="H765" t="s">
        <v>45</v>
      </c>
      <c r="I765" t="s">
        <v>63</v>
      </c>
      <c r="J765" t="s">
        <v>64</v>
      </c>
      <c r="K765" t="s">
        <v>65</v>
      </c>
      <c r="L765">
        <v>3</v>
      </c>
      <c r="M765">
        <v>25000</v>
      </c>
      <c r="N765">
        <v>5</v>
      </c>
      <c r="O765">
        <v>71250</v>
      </c>
      <c r="P765">
        <v>9995.9699999999993</v>
      </c>
      <c r="Q765" t="s">
        <v>74</v>
      </c>
      <c r="R765" t="s">
        <v>56</v>
      </c>
      <c r="S765" t="s">
        <v>30</v>
      </c>
      <c r="T765">
        <f>YEAR(Table1_1[[#This Row],[order_date]])</f>
        <v>2025</v>
      </c>
      <c r="U765">
        <f>MONTH(Table1_1[[#This Row],[order_date]])</f>
        <v>1</v>
      </c>
      <c r="V765" t="str">
        <f>TEXT(Table1_1[[#This Row],[order_date]],"mmm")</f>
        <v>Jan</v>
      </c>
      <c r="W765" t="str">
        <f>"Q"&amp;ROUNDUP(MONTH(Table1_1[[#This Row],[order_date]])/3,0)</f>
        <v>Q1</v>
      </c>
      <c r="X765" t="str">
        <f>TEXT(Table1_1[[#This Row],[order_date]],"yyyy-mm")</f>
        <v>2025-01</v>
      </c>
      <c r="Y765">
        <f>IF(Table1_1[[#This Row],[ship_date]]="","",Table1_1[[#This Row],[ship_date]]-Table1_1[[#This Row],[order_date]])</f>
        <v>7</v>
      </c>
      <c r="Z765">
        <f>ROUND(Table1_1[[#This Row],[profit]]/Table1_1[[#This Row],[sales_fix]]*100,2)</f>
        <v>14.03</v>
      </c>
    </row>
    <row r="766" spans="1:26" x14ac:dyDescent="0.3">
      <c r="A766" t="s">
        <v>2246</v>
      </c>
      <c r="B766" s="1">
        <v>45997</v>
      </c>
      <c r="C766" s="1">
        <v>46000</v>
      </c>
      <c r="D766" t="s">
        <v>1301</v>
      </c>
      <c r="E766" t="s">
        <v>1302</v>
      </c>
      <c r="F766" t="s">
        <v>23</v>
      </c>
      <c r="G766" t="s">
        <v>91</v>
      </c>
      <c r="H766" t="s">
        <v>120</v>
      </c>
      <c r="I766" t="s">
        <v>147</v>
      </c>
      <c r="J766" t="s">
        <v>148</v>
      </c>
      <c r="K766" t="s">
        <v>48</v>
      </c>
      <c r="L766">
        <v>2</v>
      </c>
      <c r="M766">
        <v>250</v>
      </c>
      <c r="N766">
        <v>5</v>
      </c>
      <c r="O766">
        <v>475</v>
      </c>
      <c r="P766">
        <v>195.61</v>
      </c>
      <c r="Q766" t="s">
        <v>39</v>
      </c>
      <c r="R766" t="s">
        <v>29</v>
      </c>
      <c r="S766" t="s">
        <v>30</v>
      </c>
      <c r="T766">
        <f>YEAR(Table1_1[[#This Row],[order_date]])</f>
        <v>2025</v>
      </c>
      <c r="U766">
        <f>MONTH(Table1_1[[#This Row],[order_date]])</f>
        <v>12</v>
      </c>
      <c r="V766" t="str">
        <f>TEXT(Table1_1[[#This Row],[order_date]],"mmm")</f>
        <v>Dec</v>
      </c>
      <c r="W766" t="str">
        <f>"Q"&amp;ROUNDUP(MONTH(Table1_1[[#This Row],[order_date]])/3,0)</f>
        <v>Q4</v>
      </c>
      <c r="X766" t="str">
        <f>TEXT(Table1_1[[#This Row],[order_date]],"yyyy-mm")</f>
        <v>2025-12</v>
      </c>
      <c r="Y766">
        <f>IF(Table1_1[[#This Row],[ship_date]]="","",Table1_1[[#This Row],[ship_date]]-Table1_1[[#This Row],[order_date]])</f>
        <v>3</v>
      </c>
      <c r="Z766">
        <f>ROUND(Table1_1[[#This Row],[profit]]/Table1_1[[#This Row],[sales_fix]]*100,2)</f>
        <v>41.18</v>
      </c>
    </row>
    <row r="767" spans="1:26" x14ac:dyDescent="0.3">
      <c r="A767" t="s">
        <v>493</v>
      </c>
      <c r="B767" s="1">
        <v>46013</v>
      </c>
      <c r="C767" s="1">
        <v>46021</v>
      </c>
      <c r="D767" t="s">
        <v>494</v>
      </c>
      <c r="E767" t="s">
        <v>495</v>
      </c>
      <c r="F767" t="s">
        <v>34</v>
      </c>
      <c r="G767" t="s">
        <v>35</v>
      </c>
      <c r="H767" t="s">
        <v>258</v>
      </c>
      <c r="I767" t="s">
        <v>79</v>
      </c>
      <c r="J767" t="s">
        <v>80</v>
      </c>
      <c r="K767" t="s">
        <v>65</v>
      </c>
      <c r="L767">
        <v>2</v>
      </c>
      <c r="M767">
        <v>3000</v>
      </c>
      <c r="N767">
        <v>15</v>
      </c>
      <c r="O767">
        <v>5100</v>
      </c>
      <c r="P767">
        <v>1201.1400000000001</v>
      </c>
      <c r="Q767" t="s">
        <v>66</v>
      </c>
      <c r="R767" t="s">
        <v>56</v>
      </c>
      <c r="S767" t="s">
        <v>50</v>
      </c>
      <c r="T767">
        <f>YEAR(Table1_1[[#This Row],[order_date]])</f>
        <v>2025</v>
      </c>
      <c r="U767">
        <f>MONTH(Table1_1[[#This Row],[order_date]])</f>
        <v>12</v>
      </c>
      <c r="V767" t="str">
        <f>TEXT(Table1_1[[#This Row],[order_date]],"mmm")</f>
        <v>Dec</v>
      </c>
      <c r="W767" t="str">
        <f>"Q"&amp;ROUNDUP(MONTH(Table1_1[[#This Row],[order_date]])/3,0)</f>
        <v>Q4</v>
      </c>
      <c r="X767" t="str">
        <f>TEXT(Table1_1[[#This Row],[order_date]],"yyyy-mm")</f>
        <v>2025-12</v>
      </c>
      <c r="Y767">
        <f>IF(Table1_1[[#This Row],[ship_date]]="","",Table1_1[[#This Row],[ship_date]]-Table1_1[[#This Row],[order_date]])</f>
        <v>8</v>
      </c>
      <c r="Z767">
        <f>ROUND(Table1_1[[#This Row],[profit]]/Table1_1[[#This Row],[sales_fix]]*100,2)</f>
        <v>23.55</v>
      </c>
    </row>
    <row r="768" spans="1:26" x14ac:dyDescent="0.3">
      <c r="A768" t="s">
        <v>921</v>
      </c>
      <c r="B768" s="1">
        <v>45413</v>
      </c>
      <c r="C768" s="1">
        <v>45419</v>
      </c>
      <c r="D768" t="s">
        <v>42</v>
      </c>
      <c r="E768" t="s">
        <v>43</v>
      </c>
      <c r="F768" t="s">
        <v>23</v>
      </c>
      <c r="G768" t="s">
        <v>44</v>
      </c>
      <c r="H768" t="s">
        <v>45</v>
      </c>
      <c r="I768" t="s">
        <v>37</v>
      </c>
      <c r="J768" t="s">
        <v>38</v>
      </c>
      <c r="K768" t="s">
        <v>27</v>
      </c>
      <c r="L768">
        <v>2</v>
      </c>
      <c r="M768">
        <v>9500</v>
      </c>
      <c r="N768">
        <v>5</v>
      </c>
      <c r="O768">
        <v>18050</v>
      </c>
      <c r="P768">
        <v>2686.33</v>
      </c>
      <c r="Q768" t="s">
        <v>39</v>
      </c>
      <c r="R768" t="s">
        <v>49</v>
      </c>
      <c r="S768" t="s">
        <v>86</v>
      </c>
      <c r="T768">
        <f>YEAR(Table1_1[[#This Row],[order_date]])</f>
        <v>2024</v>
      </c>
      <c r="U768">
        <f>MONTH(Table1_1[[#This Row],[order_date]])</f>
        <v>5</v>
      </c>
      <c r="V768" t="str">
        <f>TEXT(Table1_1[[#This Row],[order_date]],"mmm")</f>
        <v>May</v>
      </c>
      <c r="W768" t="str">
        <f>"Q"&amp;ROUNDUP(MONTH(Table1_1[[#This Row],[order_date]])/3,0)</f>
        <v>Q2</v>
      </c>
      <c r="X768" t="str">
        <f>TEXT(Table1_1[[#This Row],[order_date]],"yyyy-mm")</f>
        <v>2024-05</v>
      </c>
      <c r="Y768">
        <f>IF(Table1_1[[#This Row],[ship_date]]="","",Table1_1[[#This Row],[ship_date]]-Table1_1[[#This Row],[order_date]])</f>
        <v>6</v>
      </c>
      <c r="Z768">
        <f>ROUND(Table1_1[[#This Row],[profit]]/Table1_1[[#This Row],[sales_fix]]*100,2)</f>
        <v>14.88</v>
      </c>
    </row>
    <row r="769" spans="1:26" x14ac:dyDescent="0.3">
      <c r="A769" t="s">
        <v>2457</v>
      </c>
      <c r="B769" s="1">
        <v>45412</v>
      </c>
      <c r="C769" s="1">
        <v>45420</v>
      </c>
      <c r="D769" t="s">
        <v>1191</v>
      </c>
      <c r="E769" t="s">
        <v>1192</v>
      </c>
      <c r="F769" t="s">
        <v>23</v>
      </c>
      <c r="G769" t="s">
        <v>61</v>
      </c>
      <c r="H769" t="s">
        <v>211</v>
      </c>
      <c r="I769" t="s">
        <v>79</v>
      </c>
      <c r="J769" t="s">
        <v>80</v>
      </c>
      <c r="K769" t="s">
        <v>65</v>
      </c>
      <c r="L769">
        <v>1</v>
      </c>
      <c r="M769">
        <v>3000</v>
      </c>
      <c r="N769">
        <v>0</v>
      </c>
      <c r="O769">
        <v>3000</v>
      </c>
      <c r="P769">
        <v>739.17</v>
      </c>
      <c r="Q769" t="s">
        <v>66</v>
      </c>
      <c r="R769" t="s">
        <v>29</v>
      </c>
      <c r="S769" t="s">
        <v>50</v>
      </c>
      <c r="T769">
        <f>YEAR(Table1_1[[#This Row],[order_date]])</f>
        <v>2024</v>
      </c>
      <c r="U769">
        <f>MONTH(Table1_1[[#This Row],[order_date]])</f>
        <v>4</v>
      </c>
      <c r="V769" t="str">
        <f>TEXT(Table1_1[[#This Row],[order_date]],"mmm")</f>
        <v>Apr</v>
      </c>
      <c r="W769" t="str">
        <f>"Q"&amp;ROUNDUP(MONTH(Table1_1[[#This Row],[order_date]])/3,0)</f>
        <v>Q2</v>
      </c>
      <c r="X769" t="str">
        <f>TEXT(Table1_1[[#This Row],[order_date]],"yyyy-mm")</f>
        <v>2024-04</v>
      </c>
      <c r="Y769">
        <f>IF(Table1_1[[#This Row],[ship_date]]="","",Table1_1[[#This Row],[ship_date]]-Table1_1[[#This Row],[order_date]])</f>
        <v>8</v>
      </c>
      <c r="Z769">
        <f>ROUND(Table1_1[[#This Row],[profit]]/Table1_1[[#This Row],[sales_fix]]*100,2)</f>
        <v>24.64</v>
      </c>
    </row>
    <row r="770" spans="1:26" x14ac:dyDescent="0.3">
      <c r="A770" t="s">
        <v>2176</v>
      </c>
      <c r="B770" s="1">
        <v>45604</v>
      </c>
      <c r="C770" s="1">
        <v>45605</v>
      </c>
      <c r="D770" t="s">
        <v>699</v>
      </c>
      <c r="E770" t="s">
        <v>700</v>
      </c>
      <c r="F770" t="s">
        <v>23</v>
      </c>
      <c r="G770" t="s">
        <v>35</v>
      </c>
      <c r="H770" t="s">
        <v>36</v>
      </c>
      <c r="I770" t="s">
        <v>114</v>
      </c>
      <c r="J770" t="s">
        <v>115</v>
      </c>
      <c r="K770" t="s">
        <v>65</v>
      </c>
      <c r="L770">
        <v>1</v>
      </c>
      <c r="M770">
        <v>55000</v>
      </c>
      <c r="N770">
        <v>20</v>
      </c>
      <c r="O770">
        <v>44000</v>
      </c>
      <c r="P770">
        <v>7887.24</v>
      </c>
      <c r="Q770" t="s">
        <v>66</v>
      </c>
      <c r="R770" t="s">
        <v>56</v>
      </c>
      <c r="S770" t="s">
        <v>110</v>
      </c>
      <c r="T770">
        <f>YEAR(Table1_1[[#This Row],[order_date]])</f>
        <v>2024</v>
      </c>
      <c r="U770">
        <f>MONTH(Table1_1[[#This Row],[order_date]])</f>
        <v>11</v>
      </c>
      <c r="V770" t="str">
        <f>TEXT(Table1_1[[#This Row],[order_date]],"mmm")</f>
        <v>Nov</v>
      </c>
      <c r="W770" t="str">
        <f>"Q"&amp;ROUNDUP(MONTH(Table1_1[[#This Row],[order_date]])/3,0)</f>
        <v>Q4</v>
      </c>
      <c r="X770" t="str">
        <f>TEXT(Table1_1[[#This Row],[order_date]],"yyyy-mm")</f>
        <v>2024-11</v>
      </c>
      <c r="Y770">
        <f>IF(Table1_1[[#This Row],[ship_date]]="","",Table1_1[[#This Row],[ship_date]]-Table1_1[[#This Row],[order_date]])</f>
        <v>1</v>
      </c>
      <c r="Z770">
        <f>ROUND(Table1_1[[#This Row],[profit]]/Table1_1[[#This Row],[sales_fix]]*100,2)</f>
        <v>17.93</v>
      </c>
    </row>
    <row r="771" spans="1:26" x14ac:dyDescent="0.3">
      <c r="A771" t="s">
        <v>195</v>
      </c>
      <c r="B771" s="1">
        <v>45719</v>
      </c>
      <c r="C771" s="1">
        <v>45725</v>
      </c>
      <c r="D771" t="s">
        <v>196</v>
      </c>
      <c r="E771" t="s">
        <v>197</v>
      </c>
      <c r="F771" t="s">
        <v>34</v>
      </c>
      <c r="G771" t="s">
        <v>91</v>
      </c>
      <c r="H771" t="s">
        <v>120</v>
      </c>
      <c r="I771" t="s">
        <v>114</v>
      </c>
      <c r="J771" t="s">
        <v>115</v>
      </c>
      <c r="K771" t="s">
        <v>65</v>
      </c>
      <c r="L771">
        <v>2</v>
      </c>
      <c r="M771">
        <v>55000</v>
      </c>
      <c r="N771">
        <v>0</v>
      </c>
      <c r="O771">
        <v>110000</v>
      </c>
      <c r="P771">
        <v>18340.849999999999</v>
      </c>
      <c r="Q771" t="s">
        <v>28</v>
      </c>
      <c r="R771" t="s">
        <v>49</v>
      </c>
      <c r="S771" t="s">
        <v>40</v>
      </c>
      <c r="T771">
        <f>YEAR(Table1_1[[#This Row],[order_date]])</f>
        <v>2025</v>
      </c>
      <c r="U771">
        <f>MONTH(Table1_1[[#This Row],[order_date]])</f>
        <v>3</v>
      </c>
      <c r="V771" t="str">
        <f>TEXT(Table1_1[[#This Row],[order_date]],"mmm")</f>
        <v>Mar</v>
      </c>
      <c r="W771" t="str">
        <f>"Q"&amp;ROUNDUP(MONTH(Table1_1[[#This Row],[order_date]])/3,0)</f>
        <v>Q1</v>
      </c>
      <c r="X771" t="str">
        <f>TEXT(Table1_1[[#This Row],[order_date]],"yyyy-mm")</f>
        <v>2025-03</v>
      </c>
      <c r="Y771">
        <f>IF(Table1_1[[#This Row],[ship_date]]="","",Table1_1[[#This Row],[ship_date]]-Table1_1[[#This Row],[order_date]])</f>
        <v>6</v>
      </c>
      <c r="Z771">
        <f>ROUND(Table1_1[[#This Row],[profit]]/Table1_1[[#This Row],[sales_fix]]*100,2)</f>
        <v>16.670000000000002</v>
      </c>
    </row>
    <row r="772" spans="1:26" x14ac:dyDescent="0.3">
      <c r="A772" t="s">
        <v>1314</v>
      </c>
      <c r="B772" s="1">
        <v>45808</v>
      </c>
      <c r="C772" s="1">
        <v>45816</v>
      </c>
      <c r="D772" t="s">
        <v>1315</v>
      </c>
      <c r="E772" t="s">
        <v>1316</v>
      </c>
      <c r="F772" t="s">
        <v>34</v>
      </c>
      <c r="G772" t="s">
        <v>91</v>
      </c>
      <c r="H772" t="s">
        <v>92</v>
      </c>
      <c r="I772" t="s">
        <v>79</v>
      </c>
      <c r="J772" t="s">
        <v>80</v>
      </c>
      <c r="K772" t="s">
        <v>65</v>
      </c>
      <c r="L772">
        <v>2</v>
      </c>
      <c r="M772">
        <v>3000</v>
      </c>
      <c r="N772">
        <v>20</v>
      </c>
      <c r="O772">
        <v>4800</v>
      </c>
      <c r="P772">
        <v>1267.1600000000001</v>
      </c>
      <c r="Q772" t="s">
        <v>121</v>
      </c>
      <c r="R772" t="s">
        <v>56</v>
      </c>
      <c r="S772" t="s">
        <v>110</v>
      </c>
      <c r="T772">
        <f>YEAR(Table1_1[[#This Row],[order_date]])</f>
        <v>2025</v>
      </c>
      <c r="U772">
        <f>MONTH(Table1_1[[#This Row],[order_date]])</f>
        <v>5</v>
      </c>
      <c r="V772" t="str">
        <f>TEXT(Table1_1[[#This Row],[order_date]],"mmm")</f>
        <v>May</v>
      </c>
      <c r="W772" t="str">
        <f>"Q"&amp;ROUNDUP(MONTH(Table1_1[[#This Row],[order_date]])/3,0)</f>
        <v>Q2</v>
      </c>
      <c r="X772" t="str">
        <f>TEXT(Table1_1[[#This Row],[order_date]],"yyyy-mm")</f>
        <v>2025-05</v>
      </c>
      <c r="Y772">
        <f>IF(Table1_1[[#This Row],[ship_date]]="","",Table1_1[[#This Row],[ship_date]]-Table1_1[[#This Row],[order_date]])</f>
        <v>8</v>
      </c>
      <c r="Z772">
        <f>ROUND(Table1_1[[#This Row],[profit]]/Table1_1[[#This Row],[sales_fix]]*100,2)</f>
        <v>26.4</v>
      </c>
    </row>
    <row r="773" spans="1:26" x14ac:dyDescent="0.3">
      <c r="A773" t="s">
        <v>1804</v>
      </c>
      <c r="B773" s="1">
        <v>45972</v>
      </c>
      <c r="C773" s="1">
        <v>45973</v>
      </c>
      <c r="D773" t="s">
        <v>1579</v>
      </c>
      <c r="E773" t="s">
        <v>1580</v>
      </c>
      <c r="F773" t="s">
        <v>55</v>
      </c>
      <c r="G773" t="s">
        <v>44</v>
      </c>
      <c r="H773" t="s">
        <v>45</v>
      </c>
      <c r="I773" t="s">
        <v>93</v>
      </c>
      <c r="J773" t="s">
        <v>94</v>
      </c>
      <c r="K773" t="s">
        <v>95</v>
      </c>
      <c r="L773">
        <v>1</v>
      </c>
      <c r="M773">
        <v>1800</v>
      </c>
      <c r="N773">
        <v>5</v>
      </c>
      <c r="O773">
        <v>1710</v>
      </c>
      <c r="P773">
        <v>500.11</v>
      </c>
      <c r="Q773" t="s">
        <v>156</v>
      </c>
      <c r="R773" t="s">
        <v>49</v>
      </c>
      <c r="S773" t="s">
        <v>110</v>
      </c>
      <c r="T773">
        <f>YEAR(Table1_1[[#This Row],[order_date]])</f>
        <v>2025</v>
      </c>
      <c r="U773">
        <f>MONTH(Table1_1[[#This Row],[order_date]])</f>
        <v>11</v>
      </c>
      <c r="V773" t="str">
        <f>TEXT(Table1_1[[#This Row],[order_date]],"mmm")</f>
        <v>Nov</v>
      </c>
      <c r="W773" t="str">
        <f>"Q"&amp;ROUNDUP(MONTH(Table1_1[[#This Row],[order_date]])/3,0)</f>
        <v>Q4</v>
      </c>
      <c r="X773" t="str">
        <f>TEXT(Table1_1[[#This Row],[order_date]],"yyyy-mm")</f>
        <v>2025-11</v>
      </c>
      <c r="Y773">
        <f>IF(Table1_1[[#This Row],[ship_date]]="","",Table1_1[[#This Row],[ship_date]]-Table1_1[[#This Row],[order_date]])</f>
        <v>1</v>
      </c>
      <c r="Z773">
        <f>ROUND(Table1_1[[#This Row],[profit]]/Table1_1[[#This Row],[sales_fix]]*100,2)</f>
        <v>29.25</v>
      </c>
    </row>
    <row r="774" spans="1:26" x14ac:dyDescent="0.3">
      <c r="A774" t="s">
        <v>2233</v>
      </c>
      <c r="B774" s="1">
        <v>46016</v>
      </c>
      <c r="C774" s="1">
        <v>46018</v>
      </c>
      <c r="D774" t="s">
        <v>1579</v>
      </c>
      <c r="E774" t="s">
        <v>1580</v>
      </c>
      <c r="F774" t="s">
        <v>55</v>
      </c>
      <c r="G774" t="s">
        <v>44</v>
      </c>
      <c r="H774" t="s">
        <v>45</v>
      </c>
      <c r="I774" t="s">
        <v>79</v>
      </c>
      <c r="J774" t="s">
        <v>80</v>
      </c>
      <c r="K774" t="s">
        <v>65</v>
      </c>
      <c r="L774">
        <v>2</v>
      </c>
      <c r="M774">
        <v>3000</v>
      </c>
      <c r="N774">
        <v>20</v>
      </c>
      <c r="O774">
        <v>4800</v>
      </c>
      <c r="P774">
        <v>1415.46</v>
      </c>
      <c r="Q774" t="s">
        <v>156</v>
      </c>
      <c r="R774" t="s">
        <v>56</v>
      </c>
      <c r="S774" t="s">
        <v>86</v>
      </c>
      <c r="T774">
        <f>YEAR(Table1_1[[#This Row],[order_date]])</f>
        <v>2025</v>
      </c>
      <c r="U774">
        <f>MONTH(Table1_1[[#This Row],[order_date]])</f>
        <v>12</v>
      </c>
      <c r="V774" t="str">
        <f>TEXT(Table1_1[[#This Row],[order_date]],"mmm")</f>
        <v>Dec</v>
      </c>
      <c r="W774" t="str">
        <f>"Q"&amp;ROUNDUP(MONTH(Table1_1[[#This Row],[order_date]])/3,0)</f>
        <v>Q4</v>
      </c>
      <c r="X774" t="str">
        <f>TEXT(Table1_1[[#This Row],[order_date]],"yyyy-mm")</f>
        <v>2025-12</v>
      </c>
      <c r="Y774">
        <f>IF(Table1_1[[#This Row],[ship_date]]="","",Table1_1[[#This Row],[ship_date]]-Table1_1[[#This Row],[order_date]])</f>
        <v>2</v>
      </c>
      <c r="Z774">
        <f>ROUND(Table1_1[[#This Row],[profit]]/Table1_1[[#This Row],[sales_fix]]*100,2)</f>
        <v>29.49</v>
      </c>
    </row>
    <row r="775" spans="1:26" x14ac:dyDescent="0.3">
      <c r="A775" t="s">
        <v>205</v>
      </c>
      <c r="B775" s="1">
        <v>45846</v>
      </c>
      <c r="C775" s="1">
        <v>45850</v>
      </c>
      <c r="D775" t="s">
        <v>206</v>
      </c>
      <c r="E775" t="s">
        <v>207</v>
      </c>
      <c r="F775" t="s">
        <v>55</v>
      </c>
      <c r="G775" t="s">
        <v>44</v>
      </c>
      <c r="H775" t="s">
        <v>24</v>
      </c>
      <c r="I775" t="s">
        <v>93</v>
      </c>
      <c r="J775" t="s">
        <v>94</v>
      </c>
      <c r="K775" t="s">
        <v>95</v>
      </c>
      <c r="L775">
        <v>2</v>
      </c>
      <c r="M775">
        <v>1800</v>
      </c>
      <c r="N775">
        <v>0</v>
      </c>
      <c r="O775">
        <v>3600</v>
      </c>
      <c r="P775">
        <v>1364.48</v>
      </c>
      <c r="Q775" t="s">
        <v>28</v>
      </c>
      <c r="R775" t="s">
        <v>56</v>
      </c>
      <c r="S775" t="s">
        <v>86</v>
      </c>
      <c r="T775">
        <f>YEAR(Table1_1[[#This Row],[order_date]])</f>
        <v>2025</v>
      </c>
      <c r="U775">
        <f>MONTH(Table1_1[[#This Row],[order_date]])</f>
        <v>7</v>
      </c>
      <c r="V775" t="str">
        <f>TEXT(Table1_1[[#This Row],[order_date]],"mmm")</f>
        <v>Jul</v>
      </c>
      <c r="W775" t="str">
        <f>"Q"&amp;ROUNDUP(MONTH(Table1_1[[#This Row],[order_date]])/3,0)</f>
        <v>Q3</v>
      </c>
      <c r="X775" t="str">
        <f>TEXT(Table1_1[[#This Row],[order_date]],"yyyy-mm")</f>
        <v>2025-07</v>
      </c>
      <c r="Y775">
        <f>IF(Table1_1[[#This Row],[ship_date]]="","",Table1_1[[#This Row],[ship_date]]-Table1_1[[#This Row],[order_date]])</f>
        <v>4</v>
      </c>
      <c r="Z775">
        <f>ROUND(Table1_1[[#This Row],[profit]]/Table1_1[[#This Row],[sales_fix]]*100,2)</f>
        <v>37.9</v>
      </c>
    </row>
    <row r="776" spans="1:26" x14ac:dyDescent="0.3">
      <c r="A776" t="s">
        <v>420</v>
      </c>
      <c r="B776" s="1">
        <v>45836</v>
      </c>
      <c r="C776" s="1">
        <v>45840</v>
      </c>
      <c r="D776" t="s">
        <v>421</v>
      </c>
      <c r="E776" t="s">
        <v>422</v>
      </c>
      <c r="F776" t="s">
        <v>34</v>
      </c>
      <c r="G776" t="s">
        <v>61</v>
      </c>
      <c r="H776" t="s">
        <v>211</v>
      </c>
      <c r="I776" t="s">
        <v>126</v>
      </c>
      <c r="J776" t="s">
        <v>127</v>
      </c>
      <c r="K776" t="s">
        <v>95</v>
      </c>
      <c r="L776">
        <v>1</v>
      </c>
      <c r="M776">
        <v>600</v>
      </c>
      <c r="N776">
        <v>0</v>
      </c>
      <c r="O776">
        <v>600</v>
      </c>
      <c r="P776">
        <v>184.68</v>
      </c>
      <c r="Q776" t="s">
        <v>121</v>
      </c>
      <c r="R776" t="s">
        <v>56</v>
      </c>
      <c r="S776" t="s">
        <v>40</v>
      </c>
      <c r="T776">
        <f>YEAR(Table1_1[[#This Row],[order_date]])</f>
        <v>2025</v>
      </c>
      <c r="U776">
        <f>MONTH(Table1_1[[#This Row],[order_date]])</f>
        <v>6</v>
      </c>
      <c r="V776" t="str">
        <f>TEXT(Table1_1[[#This Row],[order_date]],"mmm")</f>
        <v>Jun</v>
      </c>
      <c r="W776" t="str">
        <f>"Q"&amp;ROUNDUP(MONTH(Table1_1[[#This Row],[order_date]])/3,0)</f>
        <v>Q2</v>
      </c>
      <c r="X776" t="str">
        <f>TEXT(Table1_1[[#This Row],[order_date]],"yyyy-mm")</f>
        <v>2025-06</v>
      </c>
      <c r="Y776">
        <f>IF(Table1_1[[#This Row],[ship_date]]="","",Table1_1[[#This Row],[ship_date]]-Table1_1[[#This Row],[order_date]])</f>
        <v>4</v>
      </c>
      <c r="Z776">
        <f>ROUND(Table1_1[[#This Row],[profit]]/Table1_1[[#This Row],[sales_fix]]*100,2)</f>
        <v>30.78</v>
      </c>
    </row>
    <row r="777" spans="1:26" x14ac:dyDescent="0.3">
      <c r="A777" t="s">
        <v>2346</v>
      </c>
      <c r="B777" s="1">
        <v>45838</v>
      </c>
      <c r="C777" s="1">
        <v>45846</v>
      </c>
      <c r="D777" t="s">
        <v>546</v>
      </c>
      <c r="E777" t="s">
        <v>547</v>
      </c>
      <c r="F777" t="s">
        <v>34</v>
      </c>
      <c r="G777" t="s">
        <v>91</v>
      </c>
      <c r="H777" t="s">
        <v>92</v>
      </c>
      <c r="I777" t="s">
        <v>63</v>
      </c>
      <c r="J777" t="s">
        <v>64</v>
      </c>
      <c r="K777" t="s">
        <v>65</v>
      </c>
      <c r="L777">
        <v>2</v>
      </c>
      <c r="M777">
        <v>25000</v>
      </c>
      <c r="N777">
        <v>5</v>
      </c>
      <c r="O777">
        <v>47500</v>
      </c>
      <c r="P777">
        <v>6665.85</v>
      </c>
      <c r="Q777" t="s">
        <v>66</v>
      </c>
      <c r="R777" t="s">
        <v>49</v>
      </c>
      <c r="S777" t="s">
        <v>30</v>
      </c>
      <c r="T777">
        <f>YEAR(Table1_1[[#This Row],[order_date]])</f>
        <v>2025</v>
      </c>
      <c r="U777">
        <f>MONTH(Table1_1[[#This Row],[order_date]])</f>
        <v>6</v>
      </c>
      <c r="V777" t="str">
        <f>TEXT(Table1_1[[#This Row],[order_date]],"mmm")</f>
        <v>Jun</v>
      </c>
      <c r="W777" t="str">
        <f>"Q"&amp;ROUNDUP(MONTH(Table1_1[[#This Row],[order_date]])/3,0)</f>
        <v>Q2</v>
      </c>
      <c r="X777" t="str">
        <f>TEXT(Table1_1[[#This Row],[order_date]],"yyyy-mm")</f>
        <v>2025-06</v>
      </c>
      <c r="Y777">
        <f>IF(Table1_1[[#This Row],[ship_date]]="","",Table1_1[[#This Row],[ship_date]]-Table1_1[[#This Row],[order_date]])</f>
        <v>8</v>
      </c>
      <c r="Z777">
        <f>ROUND(Table1_1[[#This Row],[profit]]/Table1_1[[#This Row],[sales_fix]]*100,2)</f>
        <v>14.03</v>
      </c>
    </row>
    <row r="778" spans="1:26" x14ac:dyDescent="0.3">
      <c r="A778" t="s">
        <v>1683</v>
      </c>
      <c r="B778" s="1">
        <v>45316</v>
      </c>
      <c r="C778" s="1">
        <v>45318</v>
      </c>
      <c r="D778" t="s">
        <v>570</v>
      </c>
      <c r="E778" t="s">
        <v>571</v>
      </c>
      <c r="F778" t="s">
        <v>34</v>
      </c>
      <c r="G778" t="s">
        <v>44</v>
      </c>
      <c r="H778" t="s">
        <v>161</v>
      </c>
      <c r="I778" t="s">
        <v>134</v>
      </c>
      <c r="J778" t="s">
        <v>135</v>
      </c>
      <c r="K778" t="s">
        <v>27</v>
      </c>
      <c r="L778">
        <v>4</v>
      </c>
      <c r="M778">
        <v>6000</v>
      </c>
      <c r="N778">
        <v>0</v>
      </c>
      <c r="O778">
        <v>24000</v>
      </c>
      <c r="P778">
        <v>4912.1499999999996</v>
      </c>
      <c r="Q778" t="s">
        <v>66</v>
      </c>
      <c r="R778" t="s">
        <v>29</v>
      </c>
      <c r="S778" t="s">
        <v>40</v>
      </c>
      <c r="T778">
        <f>YEAR(Table1_1[[#This Row],[order_date]])</f>
        <v>2024</v>
      </c>
      <c r="U778">
        <f>MONTH(Table1_1[[#This Row],[order_date]])</f>
        <v>1</v>
      </c>
      <c r="V778" t="str">
        <f>TEXT(Table1_1[[#This Row],[order_date]],"mmm")</f>
        <v>Jan</v>
      </c>
      <c r="W778" t="str">
        <f>"Q"&amp;ROUNDUP(MONTH(Table1_1[[#This Row],[order_date]])/3,0)</f>
        <v>Q1</v>
      </c>
      <c r="X778" t="str">
        <f>TEXT(Table1_1[[#This Row],[order_date]],"yyyy-mm")</f>
        <v>2024-01</v>
      </c>
      <c r="Y778">
        <f>IF(Table1_1[[#This Row],[ship_date]]="","",Table1_1[[#This Row],[ship_date]]-Table1_1[[#This Row],[order_date]])</f>
        <v>2</v>
      </c>
      <c r="Z778">
        <f>ROUND(Table1_1[[#This Row],[profit]]/Table1_1[[#This Row],[sales_fix]]*100,2)</f>
        <v>20.47</v>
      </c>
    </row>
    <row r="779" spans="1:26" x14ac:dyDescent="0.3">
      <c r="A779" t="s">
        <v>1420</v>
      </c>
      <c r="B779" s="1">
        <v>45439</v>
      </c>
      <c r="C779" s="1">
        <v>45444</v>
      </c>
      <c r="D779" t="s">
        <v>428</v>
      </c>
      <c r="E779" t="s">
        <v>429</v>
      </c>
      <c r="F779" t="s">
        <v>34</v>
      </c>
      <c r="G779" t="s">
        <v>44</v>
      </c>
      <c r="H779" t="s">
        <v>45</v>
      </c>
      <c r="I779" t="s">
        <v>25</v>
      </c>
      <c r="J779" t="s">
        <v>26</v>
      </c>
      <c r="K779" t="s">
        <v>27</v>
      </c>
      <c r="L779">
        <v>1</v>
      </c>
      <c r="M779">
        <v>7000</v>
      </c>
      <c r="N779">
        <v>20</v>
      </c>
      <c r="O779">
        <v>5600</v>
      </c>
      <c r="P779">
        <v>906.57</v>
      </c>
      <c r="Q779" t="s">
        <v>28</v>
      </c>
      <c r="R779" t="s">
        <v>56</v>
      </c>
      <c r="S779" t="s">
        <v>50</v>
      </c>
      <c r="T779">
        <f>YEAR(Table1_1[[#This Row],[order_date]])</f>
        <v>2024</v>
      </c>
      <c r="U779">
        <f>MONTH(Table1_1[[#This Row],[order_date]])</f>
        <v>5</v>
      </c>
      <c r="V779" t="str">
        <f>TEXT(Table1_1[[#This Row],[order_date]],"mmm")</f>
        <v>May</v>
      </c>
      <c r="W779" t="str">
        <f>"Q"&amp;ROUNDUP(MONTH(Table1_1[[#This Row],[order_date]])/3,0)</f>
        <v>Q2</v>
      </c>
      <c r="X779" t="str">
        <f>TEXT(Table1_1[[#This Row],[order_date]],"yyyy-mm")</f>
        <v>2024-05</v>
      </c>
      <c r="Y779">
        <f>IF(Table1_1[[#This Row],[ship_date]]="","",Table1_1[[#This Row],[ship_date]]-Table1_1[[#This Row],[order_date]])</f>
        <v>5</v>
      </c>
      <c r="Z779">
        <f>ROUND(Table1_1[[#This Row],[profit]]/Table1_1[[#This Row],[sales_fix]]*100,2)</f>
        <v>16.190000000000001</v>
      </c>
    </row>
    <row r="780" spans="1:26" x14ac:dyDescent="0.3">
      <c r="A780" t="s">
        <v>2946</v>
      </c>
      <c r="B780" s="1">
        <v>45625</v>
      </c>
      <c r="C780" s="1">
        <v>45631</v>
      </c>
      <c r="D780" t="s">
        <v>392</v>
      </c>
      <c r="E780" t="s">
        <v>393</v>
      </c>
      <c r="F780" t="s">
        <v>55</v>
      </c>
      <c r="G780" t="s">
        <v>91</v>
      </c>
      <c r="H780" t="s">
        <v>92</v>
      </c>
      <c r="I780" t="s">
        <v>93</v>
      </c>
      <c r="J780" t="s">
        <v>94</v>
      </c>
      <c r="K780" t="s">
        <v>95</v>
      </c>
      <c r="L780">
        <v>3</v>
      </c>
      <c r="M780">
        <v>1800</v>
      </c>
      <c r="N780">
        <v>0</v>
      </c>
      <c r="O780">
        <v>5400</v>
      </c>
      <c r="P780">
        <v>1617.79</v>
      </c>
      <c r="Q780" t="s">
        <v>121</v>
      </c>
      <c r="R780" t="s">
        <v>49</v>
      </c>
      <c r="S780" t="s">
        <v>110</v>
      </c>
      <c r="T780">
        <f>YEAR(Table1_1[[#This Row],[order_date]])</f>
        <v>2024</v>
      </c>
      <c r="U780">
        <f>MONTH(Table1_1[[#This Row],[order_date]])</f>
        <v>11</v>
      </c>
      <c r="V780" t="str">
        <f>TEXT(Table1_1[[#This Row],[order_date]],"mmm")</f>
        <v>Nov</v>
      </c>
      <c r="W780" t="str">
        <f>"Q"&amp;ROUNDUP(MONTH(Table1_1[[#This Row],[order_date]])/3,0)</f>
        <v>Q4</v>
      </c>
      <c r="X780" t="str">
        <f>TEXT(Table1_1[[#This Row],[order_date]],"yyyy-mm")</f>
        <v>2024-11</v>
      </c>
      <c r="Y780">
        <f>IF(Table1_1[[#This Row],[ship_date]]="","",Table1_1[[#This Row],[ship_date]]-Table1_1[[#This Row],[order_date]])</f>
        <v>6</v>
      </c>
      <c r="Z780">
        <f>ROUND(Table1_1[[#This Row],[profit]]/Table1_1[[#This Row],[sales_fix]]*100,2)</f>
        <v>29.96</v>
      </c>
    </row>
    <row r="781" spans="1:26" x14ac:dyDescent="0.3">
      <c r="A781" t="s">
        <v>2750</v>
      </c>
      <c r="B781" s="1">
        <v>45415</v>
      </c>
      <c r="C781" s="1">
        <v>45419</v>
      </c>
      <c r="D781" t="s">
        <v>438</v>
      </c>
      <c r="E781" t="s">
        <v>439</v>
      </c>
      <c r="F781" t="s">
        <v>34</v>
      </c>
      <c r="G781" t="s">
        <v>35</v>
      </c>
      <c r="H781" t="s">
        <v>85</v>
      </c>
      <c r="I781" t="s">
        <v>134</v>
      </c>
      <c r="J781" t="s">
        <v>135</v>
      </c>
      <c r="K781" t="s">
        <v>27</v>
      </c>
      <c r="L781">
        <v>1</v>
      </c>
      <c r="M781">
        <v>6000</v>
      </c>
      <c r="N781">
        <v>0</v>
      </c>
      <c r="O781">
        <v>6000</v>
      </c>
      <c r="P781">
        <v>1441.23</v>
      </c>
      <c r="Q781" t="s">
        <v>28</v>
      </c>
      <c r="R781" t="s">
        <v>56</v>
      </c>
      <c r="S781" t="s">
        <v>40</v>
      </c>
      <c r="T781">
        <f>YEAR(Table1_1[[#This Row],[order_date]])</f>
        <v>2024</v>
      </c>
      <c r="U781">
        <f>MONTH(Table1_1[[#This Row],[order_date]])</f>
        <v>5</v>
      </c>
      <c r="V781" t="str">
        <f>TEXT(Table1_1[[#This Row],[order_date]],"mmm")</f>
        <v>May</v>
      </c>
      <c r="W781" t="str">
        <f>"Q"&amp;ROUNDUP(MONTH(Table1_1[[#This Row],[order_date]])/3,0)</f>
        <v>Q2</v>
      </c>
      <c r="X781" t="str">
        <f>TEXT(Table1_1[[#This Row],[order_date]],"yyyy-mm")</f>
        <v>2024-05</v>
      </c>
      <c r="Y781">
        <f>IF(Table1_1[[#This Row],[ship_date]]="","",Table1_1[[#This Row],[ship_date]]-Table1_1[[#This Row],[order_date]])</f>
        <v>4</v>
      </c>
      <c r="Z781">
        <f>ROUND(Table1_1[[#This Row],[profit]]/Table1_1[[#This Row],[sales_fix]]*100,2)</f>
        <v>24.02</v>
      </c>
    </row>
    <row r="782" spans="1:26" x14ac:dyDescent="0.3">
      <c r="A782" t="s">
        <v>2019</v>
      </c>
      <c r="B782" s="1">
        <v>45567</v>
      </c>
      <c r="C782" s="1">
        <v>45568</v>
      </c>
      <c r="D782" t="s">
        <v>301</v>
      </c>
      <c r="E782" t="s">
        <v>302</v>
      </c>
      <c r="F782" t="s">
        <v>34</v>
      </c>
      <c r="G782" t="s">
        <v>44</v>
      </c>
      <c r="H782" t="s">
        <v>24</v>
      </c>
      <c r="I782" t="s">
        <v>63</v>
      </c>
      <c r="J782" t="s">
        <v>64</v>
      </c>
      <c r="K782" t="s">
        <v>65</v>
      </c>
      <c r="L782">
        <v>2</v>
      </c>
      <c r="M782">
        <v>25000</v>
      </c>
      <c r="N782">
        <v>5</v>
      </c>
      <c r="O782">
        <v>47500</v>
      </c>
      <c r="P782">
        <v>5174.0600000000004</v>
      </c>
      <c r="Q782" t="s">
        <v>28</v>
      </c>
      <c r="R782" t="s">
        <v>56</v>
      </c>
      <c r="S782" t="s">
        <v>50</v>
      </c>
      <c r="T782">
        <f>YEAR(Table1_1[[#This Row],[order_date]])</f>
        <v>2024</v>
      </c>
      <c r="U782">
        <f>MONTH(Table1_1[[#This Row],[order_date]])</f>
        <v>10</v>
      </c>
      <c r="V782" t="str">
        <f>TEXT(Table1_1[[#This Row],[order_date]],"mmm")</f>
        <v>Oct</v>
      </c>
      <c r="W782" t="str">
        <f>"Q"&amp;ROUNDUP(MONTH(Table1_1[[#This Row],[order_date]])/3,0)</f>
        <v>Q4</v>
      </c>
      <c r="X782" t="str">
        <f>TEXT(Table1_1[[#This Row],[order_date]],"yyyy-mm")</f>
        <v>2024-10</v>
      </c>
      <c r="Y782">
        <f>IF(Table1_1[[#This Row],[ship_date]]="","",Table1_1[[#This Row],[ship_date]]-Table1_1[[#This Row],[order_date]])</f>
        <v>1</v>
      </c>
      <c r="Z782">
        <f>ROUND(Table1_1[[#This Row],[profit]]/Table1_1[[#This Row],[sales_fix]]*100,2)</f>
        <v>10.89</v>
      </c>
    </row>
    <row r="783" spans="1:26" x14ac:dyDescent="0.3">
      <c r="A783" t="s">
        <v>2048</v>
      </c>
      <c r="B783" s="1">
        <v>45859</v>
      </c>
      <c r="C783" s="1">
        <v>45862</v>
      </c>
      <c r="D783" t="s">
        <v>842</v>
      </c>
      <c r="E783" t="s">
        <v>843</v>
      </c>
      <c r="F783" t="s">
        <v>23</v>
      </c>
      <c r="G783" t="s">
        <v>91</v>
      </c>
      <c r="H783" t="s">
        <v>120</v>
      </c>
      <c r="I783" t="s">
        <v>25</v>
      </c>
      <c r="J783" t="s">
        <v>26</v>
      </c>
      <c r="K783" t="s">
        <v>27</v>
      </c>
      <c r="L783">
        <v>10</v>
      </c>
      <c r="M783">
        <v>7000</v>
      </c>
      <c r="N783">
        <v>15</v>
      </c>
      <c r="O783">
        <v>59500</v>
      </c>
      <c r="P783">
        <v>9694.5</v>
      </c>
      <c r="Q783" t="s">
        <v>74</v>
      </c>
      <c r="R783" t="s">
        <v>56</v>
      </c>
      <c r="S783" t="s">
        <v>30</v>
      </c>
      <c r="T783">
        <f>YEAR(Table1_1[[#This Row],[order_date]])</f>
        <v>2025</v>
      </c>
      <c r="U783">
        <f>MONTH(Table1_1[[#This Row],[order_date]])</f>
        <v>7</v>
      </c>
      <c r="V783" t="str">
        <f>TEXT(Table1_1[[#This Row],[order_date]],"mmm")</f>
        <v>Jul</v>
      </c>
      <c r="W783" t="str">
        <f>"Q"&amp;ROUNDUP(MONTH(Table1_1[[#This Row],[order_date]])/3,0)</f>
        <v>Q3</v>
      </c>
      <c r="X783" t="str">
        <f>TEXT(Table1_1[[#This Row],[order_date]],"yyyy-mm")</f>
        <v>2025-07</v>
      </c>
      <c r="Y783">
        <f>IF(Table1_1[[#This Row],[ship_date]]="","",Table1_1[[#This Row],[ship_date]]-Table1_1[[#This Row],[order_date]])</f>
        <v>3</v>
      </c>
      <c r="Z783">
        <f>ROUND(Table1_1[[#This Row],[profit]]/Table1_1[[#This Row],[sales_fix]]*100,2)</f>
        <v>16.29</v>
      </c>
    </row>
    <row r="784" spans="1:26" x14ac:dyDescent="0.3">
      <c r="A784" t="s">
        <v>1572</v>
      </c>
      <c r="B784" s="1">
        <v>45943</v>
      </c>
      <c r="C784" s="1">
        <v>45946</v>
      </c>
      <c r="D784" t="s">
        <v>965</v>
      </c>
      <c r="E784" t="s">
        <v>966</v>
      </c>
      <c r="F784" t="s">
        <v>34</v>
      </c>
      <c r="G784" t="s">
        <v>44</v>
      </c>
      <c r="H784" t="s">
        <v>45</v>
      </c>
      <c r="I784" t="s">
        <v>63</v>
      </c>
      <c r="J784" t="s">
        <v>64</v>
      </c>
      <c r="K784" t="s">
        <v>65</v>
      </c>
      <c r="L784">
        <v>3</v>
      </c>
      <c r="M784">
        <v>25000</v>
      </c>
      <c r="N784">
        <v>0</v>
      </c>
      <c r="O784">
        <v>75000</v>
      </c>
      <c r="P784">
        <v>9554.8700000000008</v>
      </c>
      <c r="Q784" t="s">
        <v>121</v>
      </c>
      <c r="R784" t="s">
        <v>56</v>
      </c>
      <c r="S784" t="s">
        <v>30</v>
      </c>
      <c r="T784">
        <f>YEAR(Table1_1[[#This Row],[order_date]])</f>
        <v>2025</v>
      </c>
      <c r="U784">
        <f>MONTH(Table1_1[[#This Row],[order_date]])</f>
        <v>10</v>
      </c>
      <c r="V784" t="str">
        <f>TEXT(Table1_1[[#This Row],[order_date]],"mmm")</f>
        <v>Oct</v>
      </c>
      <c r="W784" t="str">
        <f>"Q"&amp;ROUNDUP(MONTH(Table1_1[[#This Row],[order_date]])/3,0)</f>
        <v>Q4</v>
      </c>
      <c r="X784" t="str">
        <f>TEXT(Table1_1[[#This Row],[order_date]],"yyyy-mm")</f>
        <v>2025-10</v>
      </c>
      <c r="Y784">
        <f>IF(Table1_1[[#This Row],[ship_date]]="","",Table1_1[[#This Row],[ship_date]]-Table1_1[[#This Row],[order_date]])</f>
        <v>3</v>
      </c>
      <c r="Z784">
        <f>ROUND(Table1_1[[#This Row],[profit]]/Table1_1[[#This Row],[sales_fix]]*100,2)</f>
        <v>12.74</v>
      </c>
    </row>
    <row r="785" spans="1:26" x14ac:dyDescent="0.3">
      <c r="A785" t="s">
        <v>1551</v>
      </c>
      <c r="B785" s="1">
        <v>45334</v>
      </c>
      <c r="C785" s="1">
        <v>45339</v>
      </c>
      <c r="D785" t="s">
        <v>784</v>
      </c>
      <c r="E785" t="s">
        <v>785</v>
      </c>
      <c r="F785" t="s">
        <v>23</v>
      </c>
      <c r="G785" t="s">
        <v>91</v>
      </c>
      <c r="H785" t="s">
        <v>92</v>
      </c>
      <c r="I785" t="s">
        <v>147</v>
      </c>
      <c r="J785" t="s">
        <v>148</v>
      </c>
      <c r="K785" t="s">
        <v>48</v>
      </c>
      <c r="L785">
        <v>1</v>
      </c>
      <c r="M785">
        <v>250</v>
      </c>
      <c r="N785">
        <v>5</v>
      </c>
      <c r="O785">
        <v>237.5</v>
      </c>
      <c r="P785">
        <v>103.02</v>
      </c>
      <c r="Q785" t="s">
        <v>156</v>
      </c>
      <c r="R785" t="s">
        <v>29</v>
      </c>
      <c r="S785" t="s">
        <v>86</v>
      </c>
      <c r="T785">
        <f>YEAR(Table1_1[[#This Row],[order_date]])</f>
        <v>2024</v>
      </c>
      <c r="U785">
        <f>MONTH(Table1_1[[#This Row],[order_date]])</f>
        <v>2</v>
      </c>
      <c r="V785" t="str">
        <f>TEXT(Table1_1[[#This Row],[order_date]],"mmm")</f>
        <v>Feb</v>
      </c>
      <c r="W785" t="str">
        <f>"Q"&amp;ROUNDUP(MONTH(Table1_1[[#This Row],[order_date]])/3,0)</f>
        <v>Q1</v>
      </c>
      <c r="X785" t="str">
        <f>TEXT(Table1_1[[#This Row],[order_date]],"yyyy-mm")</f>
        <v>2024-02</v>
      </c>
      <c r="Y785">
        <f>IF(Table1_1[[#This Row],[ship_date]]="","",Table1_1[[#This Row],[ship_date]]-Table1_1[[#This Row],[order_date]])</f>
        <v>5</v>
      </c>
      <c r="Z785">
        <f>ROUND(Table1_1[[#This Row],[profit]]/Table1_1[[#This Row],[sales_fix]]*100,2)</f>
        <v>43.38</v>
      </c>
    </row>
    <row r="786" spans="1:26" x14ac:dyDescent="0.3">
      <c r="A786" t="s">
        <v>552</v>
      </c>
      <c r="B786" s="1">
        <v>45571</v>
      </c>
      <c r="C786" s="1">
        <v>45575</v>
      </c>
      <c r="D786" t="s">
        <v>392</v>
      </c>
      <c r="E786" t="s">
        <v>393</v>
      </c>
      <c r="F786" t="s">
        <v>55</v>
      </c>
      <c r="G786" t="s">
        <v>91</v>
      </c>
      <c r="H786" t="s">
        <v>92</v>
      </c>
      <c r="I786" t="s">
        <v>147</v>
      </c>
      <c r="J786" t="s">
        <v>148</v>
      </c>
      <c r="K786" t="s">
        <v>48</v>
      </c>
      <c r="L786">
        <v>4</v>
      </c>
      <c r="M786">
        <v>250</v>
      </c>
      <c r="N786">
        <v>5</v>
      </c>
      <c r="O786">
        <v>950</v>
      </c>
      <c r="P786">
        <v>417.88</v>
      </c>
      <c r="Q786" t="s">
        <v>39</v>
      </c>
      <c r="R786" t="s">
        <v>56</v>
      </c>
      <c r="S786" t="s">
        <v>110</v>
      </c>
      <c r="T786">
        <f>YEAR(Table1_1[[#This Row],[order_date]])</f>
        <v>2024</v>
      </c>
      <c r="U786">
        <f>MONTH(Table1_1[[#This Row],[order_date]])</f>
        <v>10</v>
      </c>
      <c r="V786" t="str">
        <f>TEXT(Table1_1[[#This Row],[order_date]],"mmm")</f>
        <v>Oct</v>
      </c>
      <c r="W786" t="str">
        <f>"Q"&amp;ROUNDUP(MONTH(Table1_1[[#This Row],[order_date]])/3,0)</f>
        <v>Q4</v>
      </c>
      <c r="X786" t="str">
        <f>TEXT(Table1_1[[#This Row],[order_date]],"yyyy-mm")</f>
        <v>2024-10</v>
      </c>
      <c r="Y786">
        <f>IF(Table1_1[[#This Row],[ship_date]]="","",Table1_1[[#This Row],[ship_date]]-Table1_1[[#This Row],[order_date]])</f>
        <v>4</v>
      </c>
      <c r="Z786">
        <f>ROUND(Table1_1[[#This Row],[profit]]/Table1_1[[#This Row],[sales_fix]]*100,2)</f>
        <v>43.99</v>
      </c>
    </row>
    <row r="787" spans="1:26" x14ac:dyDescent="0.3">
      <c r="A787" t="s">
        <v>1949</v>
      </c>
      <c r="B787" s="1">
        <v>45838</v>
      </c>
      <c r="C787" s="1">
        <v>45840</v>
      </c>
      <c r="D787" t="s">
        <v>1950</v>
      </c>
      <c r="E787" t="s">
        <v>1951</v>
      </c>
      <c r="F787" t="s">
        <v>55</v>
      </c>
      <c r="G787" t="s">
        <v>35</v>
      </c>
      <c r="H787" t="s">
        <v>85</v>
      </c>
      <c r="I787" t="s">
        <v>79</v>
      </c>
      <c r="J787" t="s">
        <v>80</v>
      </c>
      <c r="K787" t="s">
        <v>65</v>
      </c>
      <c r="L787">
        <v>2</v>
      </c>
      <c r="M787">
        <v>3000</v>
      </c>
      <c r="N787">
        <v>0</v>
      </c>
      <c r="O787">
        <v>6000</v>
      </c>
      <c r="P787">
        <v>1324.59</v>
      </c>
      <c r="Q787" t="s">
        <v>121</v>
      </c>
      <c r="R787" t="s">
        <v>56</v>
      </c>
      <c r="S787" t="s">
        <v>40</v>
      </c>
      <c r="T787">
        <f>YEAR(Table1_1[[#This Row],[order_date]])</f>
        <v>2025</v>
      </c>
      <c r="U787">
        <f>MONTH(Table1_1[[#This Row],[order_date]])</f>
        <v>6</v>
      </c>
      <c r="V787" t="str">
        <f>TEXT(Table1_1[[#This Row],[order_date]],"mmm")</f>
        <v>Jun</v>
      </c>
      <c r="W787" t="str">
        <f>"Q"&amp;ROUNDUP(MONTH(Table1_1[[#This Row],[order_date]])/3,0)</f>
        <v>Q2</v>
      </c>
      <c r="X787" t="str">
        <f>TEXT(Table1_1[[#This Row],[order_date]],"yyyy-mm")</f>
        <v>2025-06</v>
      </c>
      <c r="Y787">
        <f>IF(Table1_1[[#This Row],[ship_date]]="","",Table1_1[[#This Row],[ship_date]]-Table1_1[[#This Row],[order_date]])</f>
        <v>2</v>
      </c>
      <c r="Z787">
        <f>ROUND(Table1_1[[#This Row],[profit]]/Table1_1[[#This Row],[sales_fix]]*100,2)</f>
        <v>22.08</v>
      </c>
    </row>
    <row r="788" spans="1:26" x14ac:dyDescent="0.3">
      <c r="A788" t="s">
        <v>1077</v>
      </c>
      <c r="B788" s="1">
        <v>45507</v>
      </c>
      <c r="C788" s="1"/>
      <c r="D788" t="s">
        <v>1019</v>
      </c>
      <c r="E788" t="s">
        <v>1020</v>
      </c>
      <c r="F788" t="s">
        <v>55</v>
      </c>
      <c r="G788" t="s">
        <v>35</v>
      </c>
      <c r="H788" t="s">
        <v>187</v>
      </c>
      <c r="I788" t="s">
        <v>134</v>
      </c>
      <c r="J788" t="s">
        <v>135</v>
      </c>
      <c r="K788" t="s">
        <v>27</v>
      </c>
      <c r="L788">
        <v>2</v>
      </c>
      <c r="M788">
        <v>6000</v>
      </c>
      <c r="N788">
        <v>20</v>
      </c>
      <c r="O788">
        <v>9600</v>
      </c>
      <c r="P788">
        <v>1906.15</v>
      </c>
      <c r="Q788" t="s">
        <v>3113</v>
      </c>
      <c r="R788" t="s">
        <v>49</v>
      </c>
      <c r="S788" t="s">
        <v>30</v>
      </c>
      <c r="T788">
        <f>YEAR(Table1_1[[#This Row],[order_date]])</f>
        <v>2024</v>
      </c>
      <c r="U788">
        <f>MONTH(Table1_1[[#This Row],[order_date]])</f>
        <v>8</v>
      </c>
      <c r="V788" t="str">
        <f>TEXT(Table1_1[[#This Row],[order_date]],"mmm")</f>
        <v>Aug</v>
      </c>
      <c r="W788" t="str">
        <f>"Q"&amp;ROUNDUP(MONTH(Table1_1[[#This Row],[order_date]])/3,0)</f>
        <v>Q3</v>
      </c>
      <c r="X788" t="str">
        <f>TEXT(Table1_1[[#This Row],[order_date]],"yyyy-mm")</f>
        <v>2024-08</v>
      </c>
      <c r="Y788" t="str">
        <f>IF(Table1_1[[#This Row],[ship_date]]="","",Table1_1[[#This Row],[ship_date]]-Table1_1[[#This Row],[order_date]])</f>
        <v/>
      </c>
      <c r="Z788">
        <f>ROUND(Table1_1[[#This Row],[profit]]/Table1_1[[#This Row],[sales_fix]]*100,2)</f>
        <v>19.86</v>
      </c>
    </row>
    <row r="789" spans="1:26" x14ac:dyDescent="0.3">
      <c r="A789" t="s">
        <v>2808</v>
      </c>
      <c r="B789" s="1">
        <v>45970</v>
      </c>
      <c r="C789" s="1">
        <v>45976</v>
      </c>
      <c r="D789" t="s">
        <v>621</v>
      </c>
      <c r="E789" t="s">
        <v>622</v>
      </c>
      <c r="F789" t="s">
        <v>55</v>
      </c>
      <c r="G789" t="s">
        <v>91</v>
      </c>
      <c r="H789" t="s">
        <v>109</v>
      </c>
      <c r="I789" t="s">
        <v>103</v>
      </c>
      <c r="J789" t="s">
        <v>104</v>
      </c>
      <c r="K789" t="s">
        <v>65</v>
      </c>
      <c r="L789">
        <v>1</v>
      </c>
      <c r="M789">
        <v>8000</v>
      </c>
      <c r="N789">
        <v>5</v>
      </c>
      <c r="O789">
        <v>7600</v>
      </c>
      <c r="P789">
        <v>2058.83</v>
      </c>
      <c r="Q789" t="s">
        <v>66</v>
      </c>
      <c r="R789" t="s">
        <v>56</v>
      </c>
      <c r="S789" t="s">
        <v>50</v>
      </c>
      <c r="T789">
        <f>YEAR(Table1_1[[#This Row],[order_date]])</f>
        <v>2025</v>
      </c>
      <c r="U789">
        <f>MONTH(Table1_1[[#This Row],[order_date]])</f>
        <v>11</v>
      </c>
      <c r="V789" t="str">
        <f>TEXT(Table1_1[[#This Row],[order_date]],"mmm")</f>
        <v>Nov</v>
      </c>
      <c r="W789" t="str">
        <f>"Q"&amp;ROUNDUP(MONTH(Table1_1[[#This Row],[order_date]])/3,0)</f>
        <v>Q4</v>
      </c>
      <c r="X789" t="str">
        <f>TEXT(Table1_1[[#This Row],[order_date]],"yyyy-mm")</f>
        <v>2025-11</v>
      </c>
      <c r="Y789">
        <f>IF(Table1_1[[#This Row],[ship_date]]="","",Table1_1[[#This Row],[ship_date]]-Table1_1[[#This Row],[order_date]])</f>
        <v>6</v>
      </c>
      <c r="Z789">
        <f>ROUND(Table1_1[[#This Row],[profit]]/Table1_1[[#This Row],[sales_fix]]*100,2)</f>
        <v>27.09</v>
      </c>
    </row>
    <row r="790" spans="1:26" x14ac:dyDescent="0.3">
      <c r="A790" t="s">
        <v>2793</v>
      </c>
      <c r="B790" s="1">
        <v>45779</v>
      </c>
      <c r="C790" s="1">
        <v>45786</v>
      </c>
      <c r="D790" t="s">
        <v>721</v>
      </c>
      <c r="E790" t="s">
        <v>722</v>
      </c>
      <c r="F790" t="s">
        <v>34</v>
      </c>
      <c r="G790" t="s">
        <v>35</v>
      </c>
      <c r="H790" t="s">
        <v>258</v>
      </c>
      <c r="I790" t="s">
        <v>93</v>
      </c>
      <c r="J790" t="s">
        <v>94</v>
      </c>
      <c r="K790" t="s">
        <v>95</v>
      </c>
      <c r="L790">
        <v>1</v>
      </c>
      <c r="M790">
        <v>1800</v>
      </c>
      <c r="N790">
        <v>0</v>
      </c>
      <c r="O790">
        <v>1800</v>
      </c>
      <c r="P790">
        <v>610.52</v>
      </c>
      <c r="Q790" t="s">
        <v>39</v>
      </c>
      <c r="R790" t="s">
        <v>56</v>
      </c>
      <c r="S790" t="s">
        <v>30</v>
      </c>
      <c r="T790">
        <f>YEAR(Table1_1[[#This Row],[order_date]])</f>
        <v>2025</v>
      </c>
      <c r="U790">
        <f>MONTH(Table1_1[[#This Row],[order_date]])</f>
        <v>5</v>
      </c>
      <c r="V790" t="str">
        <f>TEXT(Table1_1[[#This Row],[order_date]],"mmm")</f>
        <v>May</v>
      </c>
      <c r="W790" t="str">
        <f>"Q"&amp;ROUNDUP(MONTH(Table1_1[[#This Row],[order_date]])/3,0)</f>
        <v>Q2</v>
      </c>
      <c r="X790" t="str">
        <f>TEXT(Table1_1[[#This Row],[order_date]],"yyyy-mm")</f>
        <v>2025-05</v>
      </c>
      <c r="Y790">
        <f>IF(Table1_1[[#This Row],[ship_date]]="","",Table1_1[[#This Row],[ship_date]]-Table1_1[[#This Row],[order_date]])</f>
        <v>7</v>
      </c>
      <c r="Z790">
        <f>ROUND(Table1_1[[#This Row],[profit]]/Table1_1[[#This Row],[sales_fix]]*100,2)</f>
        <v>33.92</v>
      </c>
    </row>
    <row r="791" spans="1:26" x14ac:dyDescent="0.3">
      <c r="A791" t="s">
        <v>2466</v>
      </c>
      <c r="B791" s="1">
        <v>45375</v>
      </c>
      <c r="C791" s="1">
        <v>45376</v>
      </c>
      <c r="D791" t="s">
        <v>1075</v>
      </c>
      <c r="E791" t="s">
        <v>1076</v>
      </c>
      <c r="F791" t="s">
        <v>55</v>
      </c>
      <c r="G791" t="s">
        <v>61</v>
      </c>
      <c r="H791" t="s">
        <v>125</v>
      </c>
      <c r="I791" t="s">
        <v>46</v>
      </c>
      <c r="J791" t="s">
        <v>47</v>
      </c>
      <c r="K791" t="s">
        <v>48</v>
      </c>
      <c r="L791">
        <v>3</v>
      </c>
      <c r="M791">
        <v>180</v>
      </c>
      <c r="N791">
        <v>15</v>
      </c>
      <c r="O791">
        <v>459</v>
      </c>
      <c r="P791">
        <v>198.39</v>
      </c>
      <c r="Q791" t="s">
        <v>156</v>
      </c>
      <c r="R791" t="s">
        <v>49</v>
      </c>
      <c r="S791" t="s">
        <v>86</v>
      </c>
      <c r="T791">
        <f>YEAR(Table1_1[[#This Row],[order_date]])</f>
        <v>2024</v>
      </c>
      <c r="U791">
        <f>MONTH(Table1_1[[#This Row],[order_date]])</f>
        <v>3</v>
      </c>
      <c r="V791" t="str">
        <f>TEXT(Table1_1[[#This Row],[order_date]],"mmm")</f>
        <v>Mar</v>
      </c>
      <c r="W791" t="str">
        <f>"Q"&amp;ROUNDUP(MONTH(Table1_1[[#This Row],[order_date]])/3,0)</f>
        <v>Q1</v>
      </c>
      <c r="X791" t="str">
        <f>TEXT(Table1_1[[#This Row],[order_date]],"yyyy-mm")</f>
        <v>2024-03</v>
      </c>
      <c r="Y791">
        <f>IF(Table1_1[[#This Row],[ship_date]]="","",Table1_1[[#This Row],[ship_date]]-Table1_1[[#This Row],[order_date]])</f>
        <v>1</v>
      </c>
      <c r="Z791">
        <f>ROUND(Table1_1[[#This Row],[profit]]/Table1_1[[#This Row],[sales_fix]]*100,2)</f>
        <v>43.22</v>
      </c>
    </row>
    <row r="792" spans="1:26" x14ac:dyDescent="0.3">
      <c r="A792" t="s">
        <v>598</v>
      </c>
      <c r="B792" s="1">
        <v>45907</v>
      </c>
      <c r="C792" s="1">
        <v>45908</v>
      </c>
      <c r="D792" t="s">
        <v>599</v>
      </c>
      <c r="E792" t="s">
        <v>600</v>
      </c>
      <c r="F792" t="s">
        <v>23</v>
      </c>
      <c r="G792" t="s">
        <v>44</v>
      </c>
      <c r="H792" t="s">
        <v>161</v>
      </c>
      <c r="I792" t="s">
        <v>134</v>
      </c>
      <c r="J792" t="s">
        <v>135</v>
      </c>
      <c r="K792" t="s">
        <v>27</v>
      </c>
      <c r="L792">
        <v>1</v>
      </c>
      <c r="M792">
        <v>6000</v>
      </c>
      <c r="N792">
        <v>0</v>
      </c>
      <c r="O792">
        <v>6000</v>
      </c>
      <c r="P792">
        <v>1491.35</v>
      </c>
      <c r="Q792" t="s">
        <v>66</v>
      </c>
      <c r="R792" t="s">
        <v>49</v>
      </c>
      <c r="S792" t="s">
        <v>110</v>
      </c>
      <c r="T792">
        <f>YEAR(Table1_1[[#This Row],[order_date]])</f>
        <v>2025</v>
      </c>
      <c r="U792">
        <f>MONTH(Table1_1[[#This Row],[order_date]])</f>
        <v>9</v>
      </c>
      <c r="V792" t="str">
        <f>TEXT(Table1_1[[#This Row],[order_date]],"mmm")</f>
        <v>Sep</v>
      </c>
      <c r="W792" t="str">
        <f>"Q"&amp;ROUNDUP(MONTH(Table1_1[[#This Row],[order_date]])/3,0)</f>
        <v>Q3</v>
      </c>
      <c r="X792" t="str">
        <f>TEXT(Table1_1[[#This Row],[order_date]],"yyyy-mm")</f>
        <v>2025-09</v>
      </c>
      <c r="Y792">
        <f>IF(Table1_1[[#This Row],[ship_date]]="","",Table1_1[[#This Row],[ship_date]]-Table1_1[[#This Row],[order_date]])</f>
        <v>1</v>
      </c>
      <c r="Z792">
        <f>ROUND(Table1_1[[#This Row],[profit]]/Table1_1[[#This Row],[sales_fix]]*100,2)</f>
        <v>24.86</v>
      </c>
    </row>
    <row r="793" spans="1:26" x14ac:dyDescent="0.3">
      <c r="A793" t="s">
        <v>1910</v>
      </c>
      <c r="B793" s="1">
        <v>45301</v>
      </c>
      <c r="C793" s="1">
        <v>45307</v>
      </c>
      <c r="D793" t="s">
        <v>206</v>
      </c>
      <c r="E793" t="s">
        <v>207</v>
      </c>
      <c r="F793" t="s">
        <v>55</v>
      </c>
      <c r="G793" t="s">
        <v>44</v>
      </c>
      <c r="H793" t="s">
        <v>24</v>
      </c>
      <c r="I793" t="s">
        <v>147</v>
      </c>
      <c r="J793" t="s">
        <v>148</v>
      </c>
      <c r="K793" t="s">
        <v>48</v>
      </c>
      <c r="L793">
        <v>1</v>
      </c>
      <c r="M793">
        <v>250</v>
      </c>
      <c r="N793">
        <v>0</v>
      </c>
      <c r="O793">
        <v>250</v>
      </c>
      <c r="P793">
        <v>100.34</v>
      </c>
      <c r="Q793" t="s">
        <v>121</v>
      </c>
      <c r="R793" t="s">
        <v>29</v>
      </c>
      <c r="S793" t="s">
        <v>40</v>
      </c>
      <c r="T793">
        <f>YEAR(Table1_1[[#This Row],[order_date]])</f>
        <v>2024</v>
      </c>
      <c r="U793">
        <f>MONTH(Table1_1[[#This Row],[order_date]])</f>
        <v>1</v>
      </c>
      <c r="V793" t="str">
        <f>TEXT(Table1_1[[#This Row],[order_date]],"mmm")</f>
        <v>Jan</v>
      </c>
      <c r="W793" t="str">
        <f>"Q"&amp;ROUNDUP(MONTH(Table1_1[[#This Row],[order_date]])/3,0)</f>
        <v>Q1</v>
      </c>
      <c r="X793" t="str">
        <f>TEXT(Table1_1[[#This Row],[order_date]],"yyyy-mm")</f>
        <v>2024-01</v>
      </c>
      <c r="Y793">
        <f>IF(Table1_1[[#This Row],[ship_date]]="","",Table1_1[[#This Row],[ship_date]]-Table1_1[[#This Row],[order_date]])</f>
        <v>6</v>
      </c>
      <c r="Z793">
        <f>ROUND(Table1_1[[#This Row],[profit]]/Table1_1[[#This Row],[sales_fix]]*100,2)</f>
        <v>40.14</v>
      </c>
    </row>
    <row r="794" spans="1:26" x14ac:dyDescent="0.3">
      <c r="A794" t="s">
        <v>2153</v>
      </c>
      <c r="B794" s="1">
        <v>45518</v>
      </c>
      <c r="C794" s="1">
        <v>45519</v>
      </c>
      <c r="D794" t="s">
        <v>713</v>
      </c>
      <c r="E794" t="s">
        <v>714</v>
      </c>
      <c r="F794" t="s">
        <v>34</v>
      </c>
      <c r="G794" t="s">
        <v>35</v>
      </c>
      <c r="H794" t="s">
        <v>258</v>
      </c>
      <c r="I794" t="s">
        <v>71</v>
      </c>
      <c r="J794" t="s">
        <v>72</v>
      </c>
      <c r="K794" t="s">
        <v>73</v>
      </c>
      <c r="L794">
        <v>1</v>
      </c>
      <c r="M794">
        <v>3500</v>
      </c>
      <c r="N794">
        <v>5</v>
      </c>
      <c r="O794">
        <v>3325</v>
      </c>
      <c r="P794">
        <v>1156.48</v>
      </c>
      <c r="Q794" t="s">
        <v>74</v>
      </c>
      <c r="R794" t="s">
        <v>49</v>
      </c>
      <c r="S794" t="s">
        <v>40</v>
      </c>
      <c r="T794">
        <f>YEAR(Table1_1[[#This Row],[order_date]])</f>
        <v>2024</v>
      </c>
      <c r="U794">
        <f>MONTH(Table1_1[[#This Row],[order_date]])</f>
        <v>8</v>
      </c>
      <c r="V794" t="str">
        <f>TEXT(Table1_1[[#This Row],[order_date]],"mmm")</f>
        <v>Aug</v>
      </c>
      <c r="W794" t="str">
        <f>"Q"&amp;ROUNDUP(MONTH(Table1_1[[#This Row],[order_date]])/3,0)</f>
        <v>Q3</v>
      </c>
      <c r="X794" t="str">
        <f>TEXT(Table1_1[[#This Row],[order_date]],"yyyy-mm")</f>
        <v>2024-08</v>
      </c>
      <c r="Y794">
        <f>IF(Table1_1[[#This Row],[ship_date]]="","",Table1_1[[#This Row],[ship_date]]-Table1_1[[#This Row],[order_date]])</f>
        <v>1</v>
      </c>
      <c r="Z794">
        <f>ROUND(Table1_1[[#This Row],[profit]]/Table1_1[[#This Row],[sales_fix]]*100,2)</f>
        <v>34.78</v>
      </c>
    </row>
    <row r="795" spans="1:26" x14ac:dyDescent="0.3">
      <c r="A795" t="s">
        <v>2921</v>
      </c>
      <c r="B795" s="1">
        <v>45492</v>
      </c>
      <c r="C795" s="1">
        <v>45497</v>
      </c>
      <c r="D795" t="s">
        <v>643</v>
      </c>
      <c r="E795" t="s">
        <v>644</v>
      </c>
      <c r="F795" t="s">
        <v>34</v>
      </c>
      <c r="G795" t="s">
        <v>61</v>
      </c>
      <c r="H795" t="s">
        <v>78</v>
      </c>
      <c r="I795" t="s">
        <v>114</v>
      </c>
      <c r="J795" t="s">
        <v>115</v>
      </c>
      <c r="K795" t="s">
        <v>65</v>
      </c>
      <c r="L795">
        <v>10</v>
      </c>
      <c r="M795">
        <v>55000</v>
      </c>
      <c r="N795">
        <v>15</v>
      </c>
      <c r="O795">
        <v>467500</v>
      </c>
      <c r="P795">
        <v>72237.259999999995</v>
      </c>
      <c r="Q795" t="s">
        <v>39</v>
      </c>
      <c r="R795" t="s">
        <v>56</v>
      </c>
      <c r="S795" t="s">
        <v>30</v>
      </c>
      <c r="T795">
        <f>YEAR(Table1_1[[#This Row],[order_date]])</f>
        <v>2024</v>
      </c>
      <c r="U795">
        <f>MONTH(Table1_1[[#This Row],[order_date]])</f>
        <v>7</v>
      </c>
      <c r="V795" t="str">
        <f>TEXT(Table1_1[[#This Row],[order_date]],"mmm")</f>
        <v>Jul</v>
      </c>
      <c r="W795" t="str">
        <f>"Q"&amp;ROUNDUP(MONTH(Table1_1[[#This Row],[order_date]])/3,0)</f>
        <v>Q3</v>
      </c>
      <c r="X795" t="str">
        <f>TEXT(Table1_1[[#This Row],[order_date]],"yyyy-mm")</f>
        <v>2024-07</v>
      </c>
      <c r="Y795">
        <f>IF(Table1_1[[#This Row],[ship_date]]="","",Table1_1[[#This Row],[ship_date]]-Table1_1[[#This Row],[order_date]])</f>
        <v>5</v>
      </c>
      <c r="Z795">
        <f>ROUND(Table1_1[[#This Row],[profit]]/Table1_1[[#This Row],[sales_fix]]*100,2)</f>
        <v>15.45</v>
      </c>
    </row>
    <row r="796" spans="1:26" x14ac:dyDescent="0.3">
      <c r="A796" t="s">
        <v>845</v>
      </c>
      <c r="B796" s="1">
        <v>45490</v>
      </c>
      <c r="C796" s="1">
        <v>45493</v>
      </c>
      <c r="D796" t="s">
        <v>847</v>
      </c>
      <c r="E796" t="s">
        <v>848</v>
      </c>
      <c r="F796" t="s">
        <v>23</v>
      </c>
      <c r="G796" t="s">
        <v>44</v>
      </c>
      <c r="H796" t="s">
        <v>161</v>
      </c>
      <c r="I796" t="s">
        <v>46</v>
      </c>
      <c r="J796" t="s">
        <v>47</v>
      </c>
      <c r="K796" t="s">
        <v>48</v>
      </c>
      <c r="L796">
        <v>3</v>
      </c>
      <c r="M796">
        <v>180</v>
      </c>
      <c r="N796">
        <v>10</v>
      </c>
      <c r="O796">
        <v>486</v>
      </c>
      <c r="P796">
        <v>211.89</v>
      </c>
      <c r="Q796" t="s">
        <v>66</v>
      </c>
      <c r="R796" t="s">
        <v>56</v>
      </c>
      <c r="S796" t="s">
        <v>50</v>
      </c>
      <c r="T796">
        <f>YEAR(Table1_1[[#This Row],[order_date]])</f>
        <v>2024</v>
      </c>
      <c r="U796">
        <f>MONTH(Table1_1[[#This Row],[order_date]])</f>
        <v>7</v>
      </c>
      <c r="V796" t="str">
        <f>TEXT(Table1_1[[#This Row],[order_date]],"mmm")</f>
        <v>Jul</v>
      </c>
      <c r="W796" t="str">
        <f>"Q"&amp;ROUNDUP(MONTH(Table1_1[[#This Row],[order_date]])/3,0)</f>
        <v>Q3</v>
      </c>
      <c r="X796" t="str">
        <f>TEXT(Table1_1[[#This Row],[order_date]],"yyyy-mm")</f>
        <v>2024-07</v>
      </c>
      <c r="Y796">
        <f>IF(Table1_1[[#This Row],[ship_date]]="","",Table1_1[[#This Row],[ship_date]]-Table1_1[[#This Row],[order_date]])</f>
        <v>3</v>
      </c>
      <c r="Z796">
        <f>ROUND(Table1_1[[#This Row],[profit]]/Table1_1[[#This Row],[sales_fix]]*100,2)</f>
        <v>43.6</v>
      </c>
    </row>
    <row r="797" spans="1:26" x14ac:dyDescent="0.3">
      <c r="A797" t="s">
        <v>1987</v>
      </c>
      <c r="B797" s="1">
        <v>45557</v>
      </c>
      <c r="C797" s="1">
        <v>45562</v>
      </c>
      <c r="D797" t="s">
        <v>138</v>
      </c>
      <c r="E797" t="s">
        <v>139</v>
      </c>
      <c r="F797" t="s">
        <v>55</v>
      </c>
      <c r="G797" t="s">
        <v>35</v>
      </c>
      <c r="H797" t="s">
        <v>36</v>
      </c>
      <c r="I797" t="s">
        <v>79</v>
      </c>
      <c r="J797" t="s">
        <v>80</v>
      </c>
      <c r="K797" t="s">
        <v>65</v>
      </c>
      <c r="L797">
        <v>5</v>
      </c>
      <c r="M797">
        <v>3000</v>
      </c>
      <c r="N797">
        <v>20</v>
      </c>
      <c r="O797">
        <v>12000</v>
      </c>
      <c r="P797">
        <v>2848.27</v>
      </c>
      <c r="Q797" t="s">
        <v>121</v>
      </c>
      <c r="R797" t="s">
        <v>56</v>
      </c>
      <c r="S797" t="s">
        <v>86</v>
      </c>
      <c r="T797">
        <f>YEAR(Table1_1[[#This Row],[order_date]])</f>
        <v>2024</v>
      </c>
      <c r="U797">
        <f>MONTH(Table1_1[[#This Row],[order_date]])</f>
        <v>9</v>
      </c>
      <c r="V797" t="str">
        <f>TEXT(Table1_1[[#This Row],[order_date]],"mmm")</f>
        <v>Sep</v>
      </c>
      <c r="W797" t="str">
        <f>"Q"&amp;ROUNDUP(MONTH(Table1_1[[#This Row],[order_date]])/3,0)</f>
        <v>Q3</v>
      </c>
      <c r="X797" t="str">
        <f>TEXT(Table1_1[[#This Row],[order_date]],"yyyy-mm")</f>
        <v>2024-09</v>
      </c>
      <c r="Y797">
        <f>IF(Table1_1[[#This Row],[ship_date]]="","",Table1_1[[#This Row],[ship_date]]-Table1_1[[#This Row],[order_date]])</f>
        <v>5</v>
      </c>
      <c r="Z797">
        <f>ROUND(Table1_1[[#This Row],[profit]]/Table1_1[[#This Row],[sales_fix]]*100,2)</f>
        <v>23.74</v>
      </c>
    </row>
    <row r="798" spans="1:26" x14ac:dyDescent="0.3">
      <c r="A798" t="s">
        <v>367</v>
      </c>
      <c r="B798" s="1">
        <v>45550</v>
      </c>
      <c r="C798" s="1">
        <v>45557</v>
      </c>
      <c r="D798" t="s">
        <v>241</v>
      </c>
      <c r="E798" t="s">
        <v>242</v>
      </c>
      <c r="F798" t="s">
        <v>55</v>
      </c>
      <c r="G798" t="s">
        <v>91</v>
      </c>
      <c r="H798" t="s">
        <v>120</v>
      </c>
      <c r="I798" t="s">
        <v>93</v>
      </c>
      <c r="J798" t="s">
        <v>94</v>
      </c>
      <c r="K798" t="s">
        <v>95</v>
      </c>
      <c r="L798">
        <v>3</v>
      </c>
      <c r="M798">
        <v>1800</v>
      </c>
      <c r="N798">
        <v>5</v>
      </c>
      <c r="O798">
        <v>5130</v>
      </c>
      <c r="P798">
        <v>1258.25</v>
      </c>
      <c r="Q798" t="s">
        <v>156</v>
      </c>
      <c r="R798" t="s">
        <v>56</v>
      </c>
      <c r="S798" t="s">
        <v>86</v>
      </c>
      <c r="T798">
        <f>YEAR(Table1_1[[#This Row],[order_date]])</f>
        <v>2024</v>
      </c>
      <c r="U798">
        <f>MONTH(Table1_1[[#This Row],[order_date]])</f>
        <v>9</v>
      </c>
      <c r="V798" t="str">
        <f>TEXT(Table1_1[[#This Row],[order_date]],"mmm")</f>
        <v>Sep</v>
      </c>
      <c r="W798" t="str">
        <f>"Q"&amp;ROUNDUP(MONTH(Table1_1[[#This Row],[order_date]])/3,0)</f>
        <v>Q3</v>
      </c>
      <c r="X798" t="str">
        <f>TEXT(Table1_1[[#This Row],[order_date]],"yyyy-mm")</f>
        <v>2024-09</v>
      </c>
      <c r="Y798">
        <f>IF(Table1_1[[#This Row],[ship_date]]="","",Table1_1[[#This Row],[ship_date]]-Table1_1[[#This Row],[order_date]])</f>
        <v>7</v>
      </c>
      <c r="Z798">
        <f>ROUND(Table1_1[[#This Row],[profit]]/Table1_1[[#This Row],[sales_fix]]*100,2)</f>
        <v>24.53</v>
      </c>
    </row>
    <row r="799" spans="1:26" x14ac:dyDescent="0.3">
      <c r="A799" t="s">
        <v>2075</v>
      </c>
      <c r="B799" s="1">
        <v>45708</v>
      </c>
      <c r="C799" s="1">
        <v>45716</v>
      </c>
      <c r="D799" t="s">
        <v>2043</v>
      </c>
      <c r="E799" t="s">
        <v>2044</v>
      </c>
      <c r="F799" t="s">
        <v>55</v>
      </c>
      <c r="G799" t="s">
        <v>61</v>
      </c>
      <c r="H799" t="s">
        <v>125</v>
      </c>
      <c r="I799" t="s">
        <v>134</v>
      </c>
      <c r="J799" t="s">
        <v>135</v>
      </c>
      <c r="K799" t="s">
        <v>27</v>
      </c>
      <c r="L799">
        <v>1</v>
      </c>
      <c r="M799">
        <v>6000</v>
      </c>
      <c r="N799">
        <v>15</v>
      </c>
      <c r="O799">
        <v>5100</v>
      </c>
      <c r="P799">
        <v>1110.56</v>
      </c>
      <c r="Q799" t="s">
        <v>74</v>
      </c>
      <c r="R799" t="s">
        <v>56</v>
      </c>
      <c r="S799" t="s">
        <v>86</v>
      </c>
      <c r="T799">
        <f>YEAR(Table1_1[[#This Row],[order_date]])</f>
        <v>2025</v>
      </c>
      <c r="U799">
        <f>MONTH(Table1_1[[#This Row],[order_date]])</f>
        <v>2</v>
      </c>
      <c r="V799" t="str">
        <f>TEXT(Table1_1[[#This Row],[order_date]],"mmm")</f>
        <v>Feb</v>
      </c>
      <c r="W799" t="str">
        <f>"Q"&amp;ROUNDUP(MONTH(Table1_1[[#This Row],[order_date]])/3,0)</f>
        <v>Q1</v>
      </c>
      <c r="X799" t="str">
        <f>TEXT(Table1_1[[#This Row],[order_date]],"yyyy-mm")</f>
        <v>2025-02</v>
      </c>
      <c r="Y799">
        <f>IF(Table1_1[[#This Row],[ship_date]]="","",Table1_1[[#This Row],[ship_date]]-Table1_1[[#This Row],[order_date]])</f>
        <v>8</v>
      </c>
      <c r="Z799">
        <f>ROUND(Table1_1[[#This Row],[profit]]/Table1_1[[#This Row],[sales_fix]]*100,2)</f>
        <v>21.78</v>
      </c>
    </row>
    <row r="800" spans="1:26" x14ac:dyDescent="0.3">
      <c r="A800" t="s">
        <v>2298</v>
      </c>
      <c r="B800" s="1">
        <v>45576</v>
      </c>
      <c r="C800" s="1">
        <v>45580</v>
      </c>
      <c r="D800" t="s">
        <v>1202</v>
      </c>
      <c r="E800" t="s">
        <v>1203</v>
      </c>
      <c r="F800" t="s">
        <v>34</v>
      </c>
      <c r="G800" t="s">
        <v>44</v>
      </c>
      <c r="H800" t="s">
        <v>24</v>
      </c>
      <c r="I800" t="s">
        <v>114</v>
      </c>
      <c r="J800" t="s">
        <v>115</v>
      </c>
      <c r="K800" t="s">
        <v>65</v>
      </c>
      <c r="L800">
        <v>2</v>
      </c>
      <c r="M800">
        <v>55000</v>
      </c>
      <c r="N800">
        <v>0</v>
      </c>
      <c r="O800">
        <v>110000</v>
      </c>
      <c r="P800">
        <v>19800</v>
      </c>
      <c r="Q800" t="s">
        <v>74</v>
      </c>
      <c r="R800" t="s">
        <v>29</v>
      </c>
      <c r="S800" t="s">
        <v>40</v>
      </c>
      <c r="T800">
        <f>YEAR(Table1_1[[#This Row],[order_date]])</f>
        <v>2024</v>
      </c>
      <c r="U800">
        <f>MONTH(Table1_1[[#This Row],[order_date]])</f>
        <v>10</v>
      </c>
      <c r="V800" t="str">
        <f>TEXT(Table1_1[[#This Row],[order_date]],"mmm")</f>
        <v>Oct</v>
      </c>
      <c r="W800" t="str">
        <f>"Q"&amp;ROUNDUP(MONTH(Table1_1[[#This Row],[order_date]])/3,0)</f>
        <v>Q4</v>
      </c>
      <c r="X800" t="str">
        <f>TEXT(Table1_1[[#This Row],[order_date]],"yyyy-mm")</f>
        <v>2024-10</v>
      </c>
      <c r="Y800">
        <f>IF(Table1_1[[#This Row],[ship_date]]="","",Table1_1[[#This Row],[ship_date]]-Table1_1[[#This Row],[order_date]])</f>
        <v>4</v>
      </c>
      <c r="Z800">
        <f>ROUND(Table1_1[[#This Row],[profit]]/Table1_1[[#This Row],[sales_fix]]*100,2)</f>
        <v>18</v>
      </c>
    </row>
    <row r="801" spans="1:26" x14ac:dyDescent="0.3">
      <c r="A801" t="s">
        <v>1371</v>
      </c>
      <c r="B801" s="1">
        <v>45523</v>
      </c>
      <c r="C801" s="1">
        <v>45527</v>
      </c>
      <c r="D801" t="s">
        <v>1015</v>
      </c>
      <c r="E801" t="s">
        <v>1016</v>
      </c>
      <c r="F801" t="s">
        <v>23</v>
      </c>
      <c r="G801" t="s">
        <v>44</v>
      </c>
      <c r="H801" t="s">
        <v>45</v>
      </c>
      <c r="I801" t="s">
        <v>71</v>
      </c>
      <c r="J801" t="s">
        <v>72</v>
      </c>
      <c r="K801" t="s">
        <v>73</v>
      </c>
      <c r="L801">
        <v>10</v>
      </c>
      <c r="M801">
        <v>3500</v>
      </c>
      <c r="N801">
        <v>5</v>
      </c>
      <c r="O801">
        <v>33250</v>
      </c>
      <c r="P801">
        <v>11524.29</v>
      </c>
      <c r="Q801" t="s">
        <v>121</v>
      </c>
      <c r="R801" t="s">
        <v>29</v>
      </c>
      <c r="S801" t="s">
        <v>110</v>
      </c>
      <c r="T801">
        <f>YEAR(Table1_1[[#This Row],[order_date]])</f>
        <v>2024</v>
      </c>
      <c r="U801">
        <f>MONTH(Table1_1[[#This Row],[order_date]])</f>
        <v>8</v>
      </c>
      <c r="V801" t="str">
        <f>TEXT(Table1_1[[#This Row],[order_date]],"mmm")</f>
        <v>Aug</v>
      </c>
      <c r="W801" t="str">
        <f>"Q"&amp;ROUNDUP(MONTH(Table1_1[[#This Row],[order_date]])/3,0)</f>
        <v>Q3</v>
      </c>
      <c r="X801" t="str">
        <f>TEXT(Table1_1[[#This Row],[order_date]],"yyyy-mm")</f>
        <v>2024-08</v>
      </c>
      <c r="Y801">
        <f>IF(Table1_1[[#This Row],[ship_date]]="","",Table1_1[[#This Row],[ship_date]]-Table1_1[[#This Row],[order_date]])</f>
        <v>4</v>
      </c>
      <c r="Z801">
        <f>ROUND(Table1_1[[#This Row],[profit]]/Table1_1[[#This Row],[sales_fix]]*100,2)</f>
        <v>34.659999999999997</v>
      </c>
    </row>
    <row r="802" spans="1:26" x14ac:dyDescent="0.3">
      <c r="A802" t="s">
        <v>2762</v>
      </c>
      <c r="B802" s="1">
        <v>45933</v>
      </c>
      <c r="C802" s="1">
        <v>45939</v>
      </c>
      <c r="D802" t="s">
        <v>830</v>
      </c>
      <c r="E802" t="s">
        <v>831</v>
      </c>
      <c r="F802" t="s">
        <v>23</v>
      </c>
      <c r="G802" t="s">
        <v>61</v>
      </c>
      <c r="H802" t="s">
        <v>125</v>
      </c>
      <c r="I802" t="s">
        <v>63</v>
      </c>
      <c r="J802" t="s">
        <v>64</v>
      </c>
      <c r="K802" t="s">
        <v>65</v>
      </c>
      <c r="L802">
        <v>1</v>
      </c>
      <c r="M802">
        <v>25000</v>
      </c>
      <c r="N802">
        <v>5</v>
      </c>
      <c r="O802">
        <v>23750</v>
      </c>
      <c r="P802">
        <v>3645.23</v>
      </c>
      <c r="Q802" t="s">
        <v>74</v>
      </c>
      <c r="R802" t="s">
        <v>29</v>
      </c>
      <c r="S802" t="s">
        <v>86</v>
      </c>
      <c r="T802">
        <f>YEAR(Table1_1[[#This Row],[order_date]])</f>
        <v>2025</v>
      </c>
      <c r="U802">
        <f>MONTH(Table1_1[[#This Row],[order_date]])</f>
        <v>10</v>
      </c>
      <c r="V802" t="str">
        <f>TEXT(Table1_1[[#This Row],[order_date]],"mmm")</f>
        <v>Oct</v>
      </c>
      <c r="W802" t="str">
        <f>"Q"&amp;ROUNDUP(MONTH(Table1_1[[#This Row],[order_date]])/3,0)</f>
        <v>Q4</v>
      </c>
      <c r="X802" t="str">
        <f>TEXT(Table1_1[[#This Row],[order_date]],"yyyy-mm")</f>
        <v>2025-10</v>
      </c>
      <c r="Y802">
        <f>IF(Table1_1[[#This Row],[ship_date]]="","",Table1_1[[#This Row],[ship_date]]-Table1_1[[#This Row],[order_date]])</f>
        <v>6</v>
      </c>
      <c r="Z802">
        <f>ROUND(Table1_1[[#This Row],[profit]]/Table1_1[[#This Row],[sales_fix]]*100,2)</f>
        <v>15.35</v>
      </c>
    </row>
    <row r="803" spans="1:26" x14ac:dyDescent="0.3">
      <c r="A803" t="s">
        <v>2838</v>
      </c>
      <c r="B803" s="1">
        <v>45640</v>
      </c>
      <c r="C803" s="1">
        <v>45642</v>
      </c>
      <c r="D803" t="s">
        <v>166</v>
      </c>
      <c r="E803" t="s">
        <v>167</v>
      </c>
      <c r="F803" t="s">
        <v>23</v>
      </c>
      <c r="G803" t="s">
        <v>44</v>
      </c>
      <c r="H803" t="s">
        <v>161</v>
      </c>
      <c r="I803" t="s">
        <v>103</v>
      </c>
      <c r="J803" t="s">
        <v>104</v>
      </c>
      <c r="K803" t="s">
        <v>65</v>
      </c>
      <c r="L803">
        <v>4</v>
      </c>
      <c r="M803">
        <v>8000</v>
      </c>
      <c r="N803">
        <v>10</v>
      </c>
      <c r="O803">
        <v>28800</v>
      </c>
      <c r="P803">
        <v>7327.04</v>
      </c>
      <c r="Q803" t="s">
        <v>39</v>
      </c>
      <c r="R803" t="s">
        <v>56</v>
      </c>
      <c r="S803" t="s">
        <v>30</v>
      </c>
      <c r="T803">
        <f>YEAR(Table1_1[[#This Row],[order_date]])</f>
        <v>2024</v>
      </c>
      <c r="U803">
        <f>MONTH(Table1_1[[#This Row],[order_date]])</f>
        <v>12</v>
      </c>
      <c r="V803" t="str">
        <f>TEXT(Table1_1[[#This Row],[order_date]],"mmm")</f>
        <v>Dec</v>
      </c>
      <c r="W803" t="str">
        <f>"Q"&amp;ROUNDUP(MONTH(Table1_1[[#This Row],[order_date]])/3,0)</f>
        <v>Q4</v>
      </c>
      <c r="X803" t="str">
        <f>TEXT(Table1_1[[#This Row],[order_date]],"yyyy-mm")</f>
        <v>2024-12</v>
      </c>
      <c r="Y803">
        <f>IF(Table1_1[[#This Row],[ship_date]]="","",Table1_1[[#This Row],[ship_date]]-Table1_1[[#This Row],[order_date]])</f>
        <v>2</v>
      </c>
      <c r="Z803">
        <f>ROUND(Table1_1[[#This Row],[profit]]/Table1_1[[#This Row],[sales_fix]]*100,2)</f>
        <v>25.44</v>
      </c>
    </row>
    <row r="804" spans="1:26" x14ac:dyDescent="0.3">
      <c r="A804" t="s">
        <v>2697</v>
      </c>
      <c r="B804" s="1">
        <v>45749</v>
      </c>
      <c r="C804" s="1">
        <v>45750</v>
      </c>
      <c r="D804" t="s">
        <v>890</v>
      </c>
      <c r="E804" t="s">
        <v>891</v>
      </c>
      <c r="F804" t="s">
        <v>34</v>
      </c>
      <c r="G804" t="s">
        <v>35</v>
      </c>
      <c r="H804" t="s">
        <v>36</v>
      </c>
      <c r="I804" t="s">
        <v>126</v>
      </c>
      <c r="J804" t="s">
        <v>127</v>
      </c>
      <c r="K804" t="s">
        <v>95</v>
      </c>
      <c r="L804">
        <v>2</v>
      </c>
      <c r="M804">
        <v>600</v>
      </c>
      <c r="N804">
        <v>0</v>
      </c>
      <c r="O804">
        <v>1200</v>
      </c>
      <c r="P804">
        <v>496.95</v>
      </c>
      <c r="Q804" t="s">
        <v>28</v>
      </c>
      <c r="R804" t="s">
        <v>49</v>
      </c>
      <c r="S804" t="s">
        <v>86</v>
      </c>
      <c r="T804">
        <f>YEAR(Table1_1[[#This Row],[order_date]])</f>
        <v>2025</v>
      </c>
      <c r="U804">
        <f>MONTH(Table1_1[[#This Row],[order_date]])</f>
        <v>4</v>
      </c>
      <c r="V804" t="str">
        <f>TEXT(Table1_1[[#This Row],[order_date]],"mmm")</f>
        <v>Apr</v>
      </c>
      <c r="W804" t="str">
        <f>"Q"&amp;ROUNDUP(MONTH(Table1_1[[#This Row],[order_date]])/3,0)</f>
        <v>Q2</v>
      </c>
      <c r="X804" t="str">
        <f>TEXT(Table1_1[[#This Row],[order_date]],"yyyy-mm")</f>
        <v>2025-04</v>
      </c>
      <c r="Y804">
        <f>IF(Table1_1[[#This Row],[ship_date]]="","",Table1_1[[#This Row],[ship_date]]-Table1_1[[#This Row],[order_date]])</f>
        <v>1</v>
      </c>
      <c r="Z804">
        <f>ROUND(Table1_1[[#This Row],[profit]]/Table1_1[[#This Row],[sales_fix]]*100,2)</f>
        <v>41.41</v>
      </c>
    </row>
    <row r="805" spans="1:26" x14ac:dyDescent="0.3">
      <c r="A805" t="s">
        <v>2438</v>
      </c>
      <c r="B805" s="1">
        <v>45744</v>
      </c>
      <c r="C805" s="1">
        <v>45746</v>
      </c>
      <c r="D805" t="s">
        <v>150</v>
      </c>
      <c r="E805" t="s">
        <v>151</v>
      </c>
      <c r="F805" t="s">
        <v>34</v>
      </c>
      <c r="G805" t="s">
        <v>35</v>
      </c>
      <c r="H805" t="s">
        <v>36</v>
      </c>
      <c r="I805" t="s">
        <v>114</v>
      </c>
      <c r="J805" t="s">
        <v>115</v>
      </c>
      <c r="K805" t="s">
        <v>65</v>
      </c>
      <c r="L805">
        <v>1</v>
      </c>
      <c r="M805">
        <v>55000</v>
      </c>
      <c r="N805">
        <v>10</v>
      </c>
      <c r="O805">
        <v>49500</v>
      </c>
      <c r="P805">
        <v>8468.7199999999993</v>
      </c>
      <c r="Q805" t="s">
        <v>66</v>
      </c>
      <c r="R805" t="s">
        <v>56</v>
      </c>
      <c r="S805" t="s">
        <v>86</v>
      </c>
      <c r="T805">
        <f>YEAR(Table1_1[[#This Row],[order_date]])</f>
        <v>2025</v>
      </c>
      <c r="U805">
        <f>MONTH(Table1_1[[#This Row],[order_date]])</f>
        <v>3</v>
      </c>
      <c r="V805" t="str">
        <f>TEXT(Table1_1[[#This Row],[order_date]],"mmm")</f>
        <v>Mar</v>
      </c>
      <c r="W805" t="str">
        <f>"Q"&amp;ROUNDUP(MONTH(Table1_1[[#This Row],[order_date]])/3,0)</f>
        <v>Q1</v>
      </c>
      <c r="X805" t="str">
        <f>TEXT(Table1_1[[#This Row],[order_date]],"yyyy-mm")</f>
        <v>2025-03</v>
      </c>
      <c r="Y805">
        <f>IF(Table1_1[[#This Row],[ship_date]]="","",Table1_1[[#This Row],[ship_date]]-Table1_1[[#This Row],[order_date]])</f>
        <v>2</v>
      </c>
      <c r="Z805">
        <f>ROUND(Table1_1[[#This Row],[profit]]/Table1_1[[#This Row],[sales_fix]]*100,2)</f>
        <v>17.11</v>
      </c>
    </row>
    <row r="806" spans="1:26" x14ac:dyDescent="0.3">
      <c r="A806" t="s">
        <v>745</v>
      </c>
      <c r="B806" s="1">
        <v>45593</v>
      </c>
      <c r="C806" s="1">
        <v>45597</v>
      </c>
      <c r="D806" t="s">
        <v>42</v>
      </c>
      <c r="E806" t="s">
        <v>43</v>
      </c>
      <c r="F806" t="s">
        <v>23</v>
      </c>
      <c r="G806" t="s">
        <v>44</v>
      </c>
      <c r="H806" t="s">
        <v>45</v>
      </c>
      <c r="I806" t="s">
        <v>114</v>
      </c>
      <c r="J806" t="s">
        <v>115</v>
      </c>
      <c r="K806" t="s">
        <v>65</v>
      </c>
      <c r="L806">
        <v>2</v>
      </c>
      <c r="M806">
        <v>55000</v>
      </c>
      <c r="N806">
        <v>10</v>
      </c>
      <c r="O806">
        <v>99000</v>
      </c>
      <c r="P806">
        <v>17833.990000000002</v>
      </c>
      <c r="Q806" t="s">
        <v>39</v>
      </c>
      <c r="R806" t="s">
        <v>56</v>
      </c>
      <c r="S806" t="s">
        <v>50</v>
      </c>
      <c r="T806">
        <f>YEAR(Table1_1[[#This Row],[order_date]])</f>
        <v>2024</v>
      </c>
      <c r="U806">
        <f>MONTH(Table1_1[[#This Row],[order_date]])</f>
        <v>10</v>
      </c>
      <c r="V806" t="str">
        <f>TEXT(Table1_1[[#This Row],[order_date]],"mmm")</f>
        <v>Oct</v>
      </c>
      <c r="W806" t="str">
        <f>"Q"&amp;ROUNDUP(MONTH(Table1_1[[#This Row],[order_date]])/3,0)</f>
        <v>Q4</v>
      </c>
      <c r="X806" t="str">
        <f>TEXT(Table1_1[[#This Row],[order_date]],"yyyy-mm")</f>
        <v>2024-10</v>
      </c>
      <c r="Y806">
        <f>IF(Table1_1[[#This Row],[ship_date]]="","",Table1_1[[#This Row],[ship_date]]-Table1_1[[#This Row],[order_date]])</f>
        <v>4</v>
      </c>
      <c r="Z806">
        <f>ROUND(Table1_1[[#This Row],[profit]]/Table1_1[[#This Row],[sales_fix]]*100,2)</f>
        <v>18.010000000000002</v>
      </c>
    </row>
    <row r="807" spans="1:26" x14ac:dyDescent="0.3">
      <c r="A807" t="s">
        <v>758</v>
      </c>
      <c r="B807" s="1">
        <v>45685</v>
      </c>
      <c r="C807" s="1">
        <v>45687</v>
      </c>
      <c r="D807" t="s">
        <v>613</v>
      </c>
      <c r="E807" t="s">
        <v>614</v>
      </c>
      <c r="F807" t="s">
        <v>55</v>
      </c>
      <c r="G807" t="s">
        <v>61</v>
      </c>
      <c r="H807" t="s">
        <v>211</v>
      </c>
      <c r="I807" t="s">
        <v>147</v>
      </c>
      <c r="J807" t="s">
        <v>148</v>
      </c>
      <c r="K807" t="s">
        <v>48</v>
      </c>
      <c r="L807">
        <v>2</v>
      </c>
      <c r="M807">
        <v>250</v>
      </c>
      <c r="N807">
        <v>5</v>
      </c>
      <c r="O807">
        <v>475</v>
      </c>
      <c r="P807">
        <v>199.88</v>
      </c>
      <c r="Q807" t="s">
        <v>74</v>
      </c>
      <c r="R807" t="s">
        <v>56</v>
      </c>
      <c r="S807" t="s">
        <v>86</v>
      </c>
      <c r="T807">
        <f>YEAR(Table1_1[[#This Row],[order_date]])</f>
        <v>2025</v>
      </c>
      <c r="U807">
        <f>MONTH(Table1_1[[#This Row],[order_date]])</f>
        <v>1</v>
      </c>
      <c r="V807" t="str">
        <f>TEXT(Table1_1[[#This Row],[order_date]],"mmm")</f>
        <v>Jan</v>
      </c>
      <c r="W807" t="str">
        <f>"Q"&amp;ROUNDUP(MONTH(Table1_1[[#This Row],[order_date]])/3,0)</f>
        <v>Q1</v>
      </c>
      <c r="X807" t="str">
        <f>TEXT(Table1_1[[#This Row],[order_date]],"yyyy-mm")</f>
        <v>2025-01</v>
      </c>
      <c r="Y807">
        <f>IF(Table1_1[[#This Row],[ship_date]]="","",Table1_1[[#This Row],[ship_date]]-Table1_1[[#This Row],[order_date]])</f>
        <v>2</v>
      </c>
      <c r="Z807">
        <f>ROUND(Table1_1[[#This Row],[profit]]/Table1_1[[#This Row],[sales_fix]]*100,2)</f>
        <v>42.08</v>
      </c>
    </row>
    <row r="808" spans="1:26" x14ac:dyDescent="0.3">
      <c r="A808" t="s">
        <v>1233</v>
      </c>
      <c r="B808" s="1">
        <v>45628</v>
      </c>
      <c r="C808" s="1">
        <v>45630</v>
      </c>
      <c r="D808" t="s">
        <v>185</v>
      </c>
      <c r="E808" t="s">
        <v>186</v>
      </c>
      <c r="F808" t="s">
        <v>55</v>
      </c>
      <c r="G808" t="s">
        <v>35</v>
      </c>
      <c r="H808" t="s">
        <v>187</v>
      </c>
      <c r="I808" t="s">
        <v>46</v>
      </c>
      <c r="J808" t="s">
        <v>47</v>
      </c>
      <c r="K808" t="s">
        <v>48</v>
      </c>
      <c r="L808">
        <v>1</v>
      </c>
      <c r="M808">
        <v>180</v>
      </c>
      <c r="N808">
        <v>0</v>
      </c>
      <c r="O808">
        <v>180</v>
      </c>
      <c r="P808">
        <v>75.98</v>
      </c>
      <c r="Q808" t="s">
        <v>39</v>
      </c>
      <c r="R808" t="s">
        <v>29</v>
      </c>
      <c r="S808" t="s">
        <v>40</v>
      </c>
      <c r="T808">
        <f>YEAR(Table1_1[[#This Row],[order_date]])</f>
        <v>2024</v>
      </c>
      <c r="U808">
        <f>MONTH(Table1_1[[#This Row],[order_date]])</f>
        <v>12</v>
      </c>
      <c r="V808" t="str">
        <f>TEXT(Table1_1[[#This Row],[order_date]],"mmm")</f>
        <v>Dec</v>
      </c>
      <c r="W808" t="str">
        <f>"Q"&amp;ROUNDUP(MONTH(Table1_1[[#This Row],[order_date]])/3,0)</f>
        <v>Q4</v>
      </c>
      <c r="X808" t="str">
        <f>TEXT(Table1_1[[#This Row],[order_date]],"yyyy-mm")</f>
        <v>2024-12</v>
      </c>
      <c r="Y808">
        <f>IF(Table1_1[[#This Row],[ship_date]]="","",Table1_1[[#This Row],[ship_date]]-Table1_1[[#This Row],[order_date]])</f>
        <v>2</v>
      </c>
      <c r="Z808">
        <f>ROUND(Table1_1[[#This Row],[profit]]/Table1_1[[#This Row],[sales_fix]]*100,2)</f>
        <v>42.21</v>
      </c>
    </row>
    <row r="809" spans="1:26" x14ac:dyDescent="0.3">
      <c r="A809" t="s">
        <v>1081</v>
      </c>
      <c r="B809" s="1">
        <v>45813</v>
      </c>
      <c r="C809" s="1">
        <v>45821</v>
      </c>
      <c r="D809" t="s">
        <v>755</v>
      </c>
      <c r="E809" t="s">
        <v>756</v>
      </c>
      <c r="F809" t="s">
        <v>34</v>
      </c>
      <c r="G809" t="s">
        <v>44</v>
      </c>
      <c r="H809" t="s">
        <v>161</v>
      </c>
      <c r="I809" t="s">
        <v>126</v>
      </c>
      <c r="J809" t="s">
        <v>127</v>
      </c>
      <c r="K809" t="s">
        <v>95</v>
      </c>
      <c r="L809">
        <v>1</v>
      </c>
      <c r="M809">
        <v>600</v>
      </c>
      <c r="N809">
        <v>5</v>
      </c>
      <c r="O809">
        <v>570</v>
      </c>
      <c r="P809">
        <v>193.33</v>
      </c>
      <c r="Q809" t="s">
        <v>121</v>
      </c>
      <c r="R809" t="s">
        <v>29</v>
      </c>
      <c r="S809" t="s">
        <v>50</v>
      </c>
      <c r="T809">
        <f>YEAR(Table1_1[[#This Row],[order_date]])</f>
        <v>2025</v>
      </c>
      <c r="U809">
        <f>MONTH(Table1_1[[#This Row],[order_date]])</f>
        <v>6</v>
      </c>
      <c r="V809" t="str">
        <f>TEXT(Table1_1[[#This Row],[order_date]],"mmm")</f>
        <v>Jun</v>
      </c>
      <c r="W809" t="str">
        <f>"Q"&amp;ROUNDUP(MONTH(Table1_1[[#This Row],[order_date]])/3,0)</f>
        <v>Q2</v>
      </c>
      <c r="X809" t="str">
        <f>TEXT(Table1_1[[#This Row],[order_date]],"yyyy-mm")</f>
        <v>2025-06</v>
      </c>
      <c r="Y809">
        <f>IF(Table1_1[[#This Row],[ship_date]]="","",Table1_1[[#This Row],[ship_date]]-Table1_1[[#This Row],[order_date]])</f>
        <v>8</v>
      </c>
      <c r="Z809">
        <f>ROUND(Table1_1[[#This Row],[profit]]/Table1_1[[#This Row],[sales_fix]]*100,2)</f>
        <v>33.92</v>
      </c>
    </row>
    <row r="810" spans="1:26" x14ac:dyDescent="0.3">
      <c r="A810" t="s">
        <v>757</v>
      </c>
      <c r="B810" s="1">
        <v>45422</v>
      </c>
      <c r="C810" s="1">
        <v>45428</v>
      </c>
      <c r="D810" t="s">
        <v>592</v>
      </c>
      <c r="E810" t="s">
        <v>593</v>
      </c>
      <c r="F810" t="s">
        <v>55</v>
      </c>
      <c r="G810" t="s">
        <v>35</v>
      </c>
      <c r="H810" t="s">
        <v>258</v>
      </c>
      <c r="I810" t="s">
        <v>114</v>
      </c>
      <c r="J810" t="s">
        <v>115</v>
      </c>
      <c r="K810" t="s">
        <v>65</v>
      </c>
      <c r="L810">
        <v>1</v>
      </c>
      <c r="M810">
        <v>55000</v>
      </c>
      <c r="N810">
        <v>5</v>
      </c>
      <c r="O810">
        <v>52250</v>
      </c>
      <c r="P810">
        <v>8513.8799999999992</v>
      </c>
      <c r="Q810" t="s">
        <v>74</v>
      </c>
      <c r="R810" t="s">
        <v>56</v>
      </c>
      <c r="S810" t="s">
        <v>40</v>
      </c>
      <c r="T810">
        <f>YEAR(Table1_1[[#This Row],[order_date]])</f>
        <v>2024</v>
      </c>
      <c r="U810">
        <f>MONTH(Table1_1[[#This Row],[order_date]])</f>
        <v>5</v>
      </c>
      <c r="V810" t="str">
        <f>TEXT(Table1_1[[#This Row],[order_date]],"mmm")</f>
        <v>May</v>
      </c>
      <c r="W810" t="str">
        <f>"Q"&amp;ROUNDUP(MONTH(Table1_1[[#This Row],[order_date]])/3,0)</f>
        <v>Q2</v>
      </c>
      <c r="X810" t="str">
        <f>TEXT(Table1_1[[#This Row],[order_date]],"yyyy-mm")</f>
        <v>2024-05</v>
      </c>
      <c r="Y810">
        <f>IF(Table1_1[[#This Row],[ship_date]]="","",Table1_1[[#This Row],[ship_date]]-Table1_1[[#This Row],[order_date]])</f>
        <v>6</v>
      </c>
      <c r="Z810">
        <f>ROUND(Table1_1[[#This Row],[profit]]/Table1_1[[#This Row],[sales_fix]]*100,2)</f>
        <v>16.29</v>
      </c>
    </row>
    <row r="811" spans="1:26" x14ac:dyDescent="0.3">
      <c r="A811" t="s">
        <v>2987</v>
      </c>
      <c r="B811" s="1">
        <v>45772</v>
      </c>
      <c r="C811" s="1">
        <v>45773</v>
      </c>
      <c r="D811" t="s">
        <v>2323</v>
      </c>
      <c r="E811" t="s">
        <v>2324</v>
      </c>
      <c r="F811" t="s">
        <v>23</v>
      </c>
      <c r="G811" t="s">
        <v>91</v>
      </c>
      <c r="H811" t="s">
        <v>177</v>
      </c>
      <c r="I811" t="s">
        <v>79</v>
      </c>
      <c r="J811" t="s">
        <v>80</v>
      </c>
      <c r="K811" t="s">
        <v>65</v>
      </c>
      <c r="L811">
        <v>1</v>
      </c>
      <c r="M811">
        <v>3000</v>
      </c>
      <c r="N811">
        <v>0</v>
      </c>
      <c r="O811">
        <v>3000</v>
      </c>
      <c r="P811">
        <v>734.78</v>
      </c>
      <c r="Q811" t="s">
        <v>39</v>
      </c>
      <c r="R811" t="s">
        <v>56</v>
      </c>
      <c r="S811" t="s">
        <v>50</v>
      </c>
      <c r="T811">
        <f>YEAR(Table1_1[[#This Row],[order_date]])</f>
        <v>2025</v>
      </c>
      <c r="U811">
        <f>MONTH(Table1_1[[#This Row],[order_date]])</f>
        <v>4</v>
      </c>
      <c r="V811" t="str">
        <f>TEXT(Table1_1[[#This Row],[order_date]],"mmm")</f>
        <v>Apr</v>
      </c>
      <c r="W811" t="str">
        <f>"Q"&amp;ROUNDUP(MONTH(Table1_1[[#This Row],[order_date]])/3,0)</f>
        <v>Q2</v>
      </c>
      <c r="X811" t="str">
        <f>TEXT(Table1_1[[#This Row],[order_date]],"yyyy-mm")</f>
        <v>2025-04</v>
      </c>
      <c r="Y811">
        <f>IF(Table1_1[[#This Row],[ship_date]]="","",Table1_1[[#This Row],[ship_date]]-Table1_1[[#This Row],[order_date]])</f>
        <v>1</v>
      </c>
      <c r="Z811">
        <f>ROUND(Table1_1[[#This Row],[profit]]/Table1_1[[#This Row],[sales_fix]]*100,2)</f>
        <v>24.49</v>
      </c>
    </row>
    <row r="812" spans="1:26" x14ac:dyDescent="0.3">
      <c r="A812" t="s">
        <v>465</v>
      </c>
      <c r="B812" s="1">
        <v>45811</v>
      </c>
      <c r="C812" s="1">
        <v>45818</v>
      </c>
      <c r="D812" t="s">
        <v>466</v>
      </c>
      <c r="E812" t="s">
        <v>467</v>
      </c>
      <c r="F812" t="s">
        <v>34</v>
      </c>
      <c r="G812" t="s">
        <v>61</v>
      </c>
      <c r="H812" t="s">
        <v>78</v>
      </c>
      <c r="I812" t="s">
        <v>103</v>
      </c>
      <c r="J812" t="s">
        <v>104</v>
      </c>
      <c r="K812" t="s">
        <v>65</v>
      </c>
      <c r="L812">
        <v>4</v>
      </c>
      <c r="M812">
        <v>8000</v>
      </c>
      <c r="N812">
        <v>10</v>
      </c>
      <c r="O812">
        <v>28800</v>
      </c>
      <c r="P812">
        <v>7513.06</v>
      </c>
      <c r="Q812" t="s">
        <v>74</v>
      </c>
      <c r="R812" t="s">
        <v>29</v>
      </c>
      <c r="S812" t="s">
        <v>50</v>
      </c>
      <c r="T812">
        <f>YEAR(Table1_1[[#This Row],[order_date]])</f>
        <v>2025</v>
      </c>
      <c r="U812">
        <f>MONTH(Table1_1[[#This Row],[order_date]])</f>
        <v>6</v>
      </c>
      <c r="V812" t="str">
        <f>TEXT(Table1_1[[#This Row],[order_date]],"mmm")</f>
        <v>Jun</v>
      </c>
      <c r="W812" t="str">
        <f>"Q"&amp;ROUNDUP(MONTH(Table1_1[[#This Row],[order_date]])/3,0)</f>
        <v>Q2</v>
      </c>
      <c r="X812" t="str">
        <f>TEXT(Table1_1[[#This Row],[order_date]],"yyyy-mm")</f>
        <v>2025-06</v>
      </c>
      <c r="Y812">
        <f>IF(Table1_1[[#This Row],[ship_date]]="","",Table1_1[[#This Row],[ship_date]]-Table1_1[[#This Row],[order_date]])</f>
        <v>7</v>
      </c>
      <c r="Z812">
        <f>ROUND(Table1_1[[#This Row],[profit]]/Table1_1[[#This Row],[sales_fix]]*100,2)</f>
        <v>26.09</v>
      </c>
    </row>
    <row r="813" spans="1:26" x14ac:dyDescent="0.3">
      <c r="A813" t="s">
        <v>2904</v>
      </c>
      <c r="B813" s="1">
        <v>45641</v>
      </c>
      <c r="C813" s="1">
        <v>45647</v>
      </c>
      <c r="D813" t="s">
        <v>1100</v>
      </c>
      <c r="E813" t="s">
        <v>1101</v>
      </c>
      <c r="F813" t="s">
        <v>23</v>
      </c>
      <c r="G813" t="s">
        <v>44</v>
      </c>
      <c r="H813" t="s">
        <v>161</v>
      </c>
      <c r="I813" t="s">
        <v>63</v>
      </c>
      <c r="J813" t="s">
        <v>64</v>
      </c>
      <c r="K813" t="s">
        <v>65</v>
      </c>
      <c r="L813">
        <v>2</v>
      </c>
      <c r="M813">
        <v>25000</v>
      </c>
      <c r="N813">
        <v>15</v>
      </c>
      <c r="O813">
        <v>42500</v>
      </c>
      <c r="P813">
        <v>6966.4</v>
      </c>
      <c r="Q813" t="s">
        <v>39</v>
      </c>
      <c r="R813" t="s">
        <v>56</v>
      </c>
      <c r="S813" t="s">
        <v>110</v>
      </c>
      <c r="T813">
        <f>YEAR(Table1_1[[#This Row],[order_date]])</f>
        <v>2024</v>
      </c>
      <c r="U813">
        <f>MONTH(Table1_1[[#This Row],[order_date]])</f>
        <v>12</v>
      </c>
      <c r="V813" t="str">
        <f>TEXT(Table1_1[[#This Row],[order_date]],"mmm")</f>
        <v>Dec</v>
      </c>
      <c r="W813" t="str">
        <f>"Q"&amp;ROUNDUP(MONTH(Table1_1[[#This Row],[order_date]])/3,0)</f>
        <v>Q4</v>
      </c>
      <c r="X813" t="str">
        <f>TEXT(Table1_1[[#This Row],[order_date]],"yyyy-mm")</f>
        <v>2024-12</v>
      </c>
      <c r="Y813">
        <f>IF(Table1_1[[#This Row],[ship_date]]="","",Table1_1[[#This Row],[ship_date]]-Table1_1[[#This Row],[order_date]])</f>
        <v>6</v>
      </c>
      <c r="Z813">
        <f>ROUND(Table1_1[[#This Row],[profit]]/Table1_1[[#This Row],[sales_fix]]*100,2)</f>
        <v>16.39</v>
      </c>
    </row>
    <row r="814" spans="1:26" x14ac:dyDescent="0.3">
      <c r="A814" t="s">
        <v>3020</v>
      </c>
      <c r="B814" s="1">
        <v>45628</v>
      </c>
      <c r="C814" s="1">
        <v>45636</v>
      </c>
      <c r="D814" t="s">
        <v>163</v>
      </c>
      <c r="E814" t="s">
        <v>164</v>
      </c>
      <c r="F814" t="s">
        <v>55</v>
      </c>
      <c r="G814" t="s">
        <v>44</v>
      </c>
      <c r="H814" t="s">
        <v>45</v>
      </c>
      <c r="I814" t="s">
        <v>134</v>
      </c>
      <c r="J814" t="s">
        <v>135</v>
      </c>
      <c r="K814" t="s">
        <v>27</v>
      </c>
      <c r="L814">
        <v>2</v>
      </c>
      <c r="M814">
        <v>6000</v>
      </c>
      <c r="N814">
        <v>20</v>
      </c>
      <c r="O814">
        <v>9600</v>
      </c>
      <c r="P814">
        <v>2451.96</v>
      </c>
      <c r="Q814" t="s">
        <v>121</v>
      </c>
      <c r="R814" t="s">
        <v>29</v>
      </c>
      <c r="S814" t="s">
        <v>50</v>
      </c>
      <c r="T814">
        <f>YEAR(Table1_1[[#This Row],[order_date]])</f>
        <v>2024</v>
      </c>
      <c r="U814">
        <f>MONTH(Table1_1[[#This Row],[order_date]])</f>
        <v>12</v>
      </c>
      <c r="V814" t="str">
        <f>TEXT(Table1_1[[#This Row],[order_date]],"mmm")</f>
        <v>Dec</v>
      </c>
      <c r="W814" t="str">
        <f>"Q"&amp;ROUNDUP(MONTH(Table1_1[[#This Row],[order_date]])/3,0)</f>
        <v>Q4</v>
      </c>
      <c r="X814" t="str">
        <f>TEXT(Table1_1[[#This Row],[order_date]],"yyyy-mm")</f>
        <v>2024-12</v>
      </c>
      <c r="Y814">
        <f>IF(Table1_1[[#This Row],[ship_date]]="","",Table1_1[[#This Row],[ship_date]]-Table1_1[[#This Row],[order_date]])</f>
        <v>8</v>
      </c>
      <c r="Z814">
        <f>ROUND(Table1_1[[#This Row],[profit]]/Table1_1[[#This Row],[sales_fix]]*100,2)</f>
        <v>25.54</v>
      </c>
    </row>
    <row r="815" spans="1:26" x14ac:dyDescent="0.3">
      <c r="A815" t="s">
        <v>2990</v>
      </c>
      <c r="B815" s="1">
        <v>45930</v>
      </c>
      <c r="C815" s="1">
        <v>45936</v>
      </c>
      <c r="D815" t="s">
        <v>1115</v>
      </c>
      <c r="E815" t="s">
        <v>1116</v>
      </c>
      <c r="F815" t="s">
        <v>23</v>
      </c>
      <c r="G815" t="s">
        <v>44</v>
      </c>
      <c r="H815" t="s">
        <v>45</v>
      </c>
      <c r="I815" t="s">
        <v>147</v>
      </c>
      <c r="J815" t="s">
        <v>148</v>
      </c>
      <c r="K815" t="s">
        <v>48</v>
      </c>
      <c r="L815">
        <v>1</v>
      </c>
      <c r="M815">
        <v>250</v>
      </c>
      <c r="N815">
        <v>5</v>
      </c>
      <c r="O815">
        <v>237.5</v>
      </c>
      <c r="P815">
        <v>94.41</v>
      </c>
      <c r="Q815" t="s">
        <v>156</v>
      </c>
      <c r="R815" t="s">
        <v>49</v>
      </c>
      <c r="S815" t="s">
        <v>50</v>
      </c>
      <c r="T815">
        <f>YEAR(Table1_1[[#This Row],[order_date]])</f>
        <v>2025</v>
      </c>
      <c r="U815">
        <f>MONTH(Table1_1[[#This Row],[order_date]])</f>
        <v>9</v>
      </c>
      <c r="V815" t="str">
        <f>TEXT(Table1_1[[#This Row],[order_date]],"mmm")</f>
        <v>Sep</v>
      </c>
      <c r="W815" t="str">
        <f>"Q"&amp;ROUNDUP(MONTH(Table1_1[[#This Row],[order_date]])/3,0)</f>
        <v>Q3</v>
      </c>
      <c r="X815" t="str">
        <f>TEXT(Table1_1[[#This Row],[order_date]],"yyyy-mm")</f>
        <v>2025-09</v>
      </c>
      <c r="Y815">
        <f>IF(Table1_1[[#This Row],[ship_date]]="","",Table1_1[[#This Row],[ship_date]]-Table1_1[[#This Row],[order_date]])</f>
        <v>6</v>
      </c>
      <c r="Z815">
        <f>ROUND(Table1_1[[#This Row],[profit]]/Table1_1[[#This Row],[sales_fix]]*100,2)</f>
        <v>39.75</v>
      </c>
    </row>
    <row r="816" spans="1:26" x14ac:dyDescent="0.3">
      <c r="A816" t="s">
        <v>1750</v>
      </c>
      <c r="B816" s="1">
        <v>45298</v>
      </c>
      <c r="C816" s="1">
        <v>45300</v>
      </c>
      <c r="D816" t="s">
        <v>1751</v>
      </c>
      <c r="E816" t="s">
        <v>1752</v>
      </c>
      <c r="F816" t="s">
        <v>34</v>
      </c>
      <c r="G816" t="s">
        <v>44</v>
      </c>
      <c r="H816" t="s">
        <v>161</v>
      </c>
      <c r="I816" t="s">
        <v>79</v>
      </c>
      <c r="J816" t="s">
        <v>80</v>
      </c>
      <c r="K816" t="s">
        <v>65</v>
      </c>
      <c r="L816">
        <v>1</v>
      </c>
      <c r="M816">
        <v>3000</v>
      </c>
      <c r="N816">
        <v>0</v>
      </c>
      <c r="O816">
        <v>3000</v>
      </c>
      <c r="P816">
        <v>758.84</v>
      </c>
      <c r="Q816" t="s">
        <v>121</v>
      </c>
      <c r="R816" t="s">
        <v>49</v>
      </c>
      <c r="S816" t="s">
        <v>30</v>
      </c>
      <c r="T816">
        <f>YEAR(Table1_1[[#This Row],[order_date]])</f>
        <v>2024</v>
      </c>
      <c r="U816">
        <f>MONTH(Table1_1[[#This Row],[order_date]])</f>
        <v>1</v>
      </c>
      <c r="V816" t="str">
        <f>TEXT(Table1_1[[#This Row],[order_date]],"mmm")</f>
        <v>Jan</v>
      </c>
      <c r="W816" t="str">
        <f>"Q"&amp;ROUNDUP(MONTH(Table1_1[[#This Row],[order_date]])/3,0)</f>
        <v>Q1</v>
      </c>
      <c r="X816" t="str">
        <f>TEXT(Table1_1[[#This Row],[order_date]],"yyyy-mm")</f>
        <v>2024-01</v>
      </c>
      <c r="Y816">
        <f>IF(Table1_1[[#This Row],[ship_date]]="","",Table1_1[[#This Row],[ship_date]]-Table1_1[[#This Row],[order_date]])</f>
        <v>2</v>
      </c>
      <c r="Z816">
        <f>ROUND(Table1_1[[#This Row],[profit]]/Table1_1[[#This Row],[sales_fix]]*100,2)</f>
        <v>25.29</v>
      </c>
    </row>
    <row r="817" spans="1:26" x14ac:dyDescent="0.3">
      <c r="A817" t="s">
        <v>3046</v>
      </c>
      <c r="B817" s="1">
        <v>45891</v>
      </c>
      <c r="C817" s="1">
        <v>45892</v>
      </c>
      <c r="D817" t="s">
        <v>1588</v>
      </c>
      <c r="E817" t="s">
        <v>1589</v>
      </c>
      <c r="F817" t="s">
        <v>34</v>
      </c>
      <c r="G817" t="s">
        <v>61</v>
      </c>
      <c r="H817" t="s">
        <v>78</v>
      </c>
      <c r="I817" t="s">
        <v>126</v>
      </c>
      <c r="J817" t="s">
        <v>127</v>
      </c>
      <c r="K817" t="s">
        <v>95</v>
      </c>
      <c r="L817">
        <v>5</v>
      </c>
      <c r="M817">
        <v>600</v>
      </c>
      <c r="N817">
        <v>0</v>
      </c>
      <c r="O817">
        <v>3000</v>
      </c>
      <c r="P817">
        <v>818.02</v>
      </c>
      <c r="Q817" t="s">
        <v>121</v>
      </c>
      <c r="R817" t="s">
        <v>29</v>
      </c>
      <c r="S817" t="s">
        <v>110</v>
      </c>
      <c r="T817">
        <f>YEAR(Table1_1[[#This Row],[order_date]])</f>
        <v>2025</v>
      </c>
      <c r="U817">
        <f>MONTH(Table1_1[[#This Row],[order_date]])</f>
        <v>8</v>
      </c>
      <c r="V817" t="str">
        <f>TEXT(Table1_1[[#This Row],[order_date]],"mmm")</f>
        <v>Aug</v>
      </c>
      <c r="W817" t="str">
        <f>"Q"&amp;ROUNDUP(MONTH(Table1_1[[#This Row],[order_date]])/3,0)</f>
        <v>Q3</v>
      </c>
      <c r="X817" t="str">
        <f>TEXT(Table1_1[[#This Row],[order_date]],"yyyy-mm")</f>
        <v>2025-08</v>
      </c>
      <c r="Y817">
        <f>IF(Table1_1[[#This Row],[ship_date]]="","",Table1_1[[#This Row],[ship_date]]-Table1_1[[#This Row],[order_date]])</f>
        <v>1</v>
      </c>
      <c r="Z817">
        <f>ROUND(Table1_1[[#This Row],[profit]]/Table1_1[[#This Row],[sales_fix]]*100,2)</f>
        <v>27.27</v>
      </c>
    </row>
    <row r="818" spans="1:26" x14ac:dyDescent="0.3">
      <c r="A818" t="s">
        <v>928</v>
      </c>
      <c r="B818" s="1">
        <v>45560</v>
      </c>
      <c r="C818" s="1"/>
      <c r="D818" t="s">
        <v>288</v>
      </c>
      <c r="E818" t="s">
        <v>289</v>
      </c>
      <c r="F818" t="s">
        <v>34</v>
      </c>
      <c r="G818" t="s">
        <v>44</v>
      </c>
      <c r="H818" t="s">
        <v>155</v>
      </c>
      <c r="I818" t="s">
        <v>103</v>
      </c>
      <c r="J818" t="s">
        <v>104</v>
      </c>
      <c r="K818" t="s">
        <v>65</v>
      </c>
      <c r="L818">
        <v>3</v>
      </c>
      <c r="M818">
        <v>8000</v>
      </c>
      <c r="N818">
        <v>0</v>
      </c>
      <c r="O818">
        <v>24000</v>
      </c>
      <c r="P818">
        <v>6234.08</v>
      </c>
      <c r="Q818" t="s">
        <v>121</v>
      </c>
      <c r="R818" t="s">
        <v>29</v>
      </c>
      <c r="S818" t="s">
        <v>86</v>
      </c>
      <c r="T818">
        <f>YEAR(Table1_1[[#This Row],[order_date]])</f>
        <v>2024</v>
      </c>
      <c r="U818">
        <f>MONTH(Table1_1[[#This Row],[order_date]])</f>
        <v>9</v>
      </c>
      <c r="V818" t="str">
        <f>TEXT(Table1_1[[#This Row],[order_date]],"mmm")</f>
        <v>Sep</v>
      </c>
      <c r="W818" t="str">
        <f>"Q"&amp;ROUNDUP(MONTH(Table1_1[[#This Row],[order_date]])/3,0)</f>
        <v>Q3</v>
      </c>
      <c r="X818" t="str">
        <f>TEXT(Table1_1[[#This Row],[order_date]],"yyyy-mm")</f>
        <v>2024-09</v>
      </c>
      <c r="Y818" t="str">
        <f>IF(Table1_1[[#This Row],[ship_date]]="","",Table1_1[[#This Row],[ship_date]]-Table1_1[[#This Row],[order_date]])</f>
        <v/>
      </c>
      <c r="Z818">
        <f>ROUND(Table1_1[[#This Row],[profit]]/Table1_1[[#This Row],[sales_fix]]*100,2)</f>
        <v>25.98</v>
      </c>
    </row>
    <row r="819" spans="1:26" x14ac:dyDescent="0.3">
      <c r="A819" t="s">
        <v>630</v>
      </c>
      <c r="B819" s="1">
        <v>45395</v>
      </c>
      <c r="C819" s="1">
        <v>45397</v>
      </c>
      <c r="D819" t="s">
        <v>153</v>
      </c>
      <c r="E819" t="s">
        <v>154</v>
      </c>
      <c r="F819" t="s">
        <v>23</v>
      </c>
      <c r="G819" t="s">
        <v>44</v>
      </c>
      <c r="H819" t="s">
        <v>155</v>
      </c>
      <c r="I819" t="s">
        <v>25</v>
      </c>
      <c r="J819" t="s">
        <v>26</v>
      </c>
      <c r="K819" t="s">
        <v>27</v>
      </c>
      <c r="L819">
        <v>1</v>
      </c>
      <c r="M819">
        <v>7000</v>
      </c>
      <c r="N819">
        <v>15</v>
      </c>
      <c r="O819">
        <v>5950</v>
      </c>
      <c r="P819">
        <v>988.16</v>
      </c>
      <c r="Q819" t="s">
        <v>74</v>
      </c>
      <c r="R819" t="s">
        <v>29</v>
      </c>
      <c r="S819" t="s">
        <v>110</v>
      </c>
      <c r="T819">
        <f>YEAR(Table1_1[[#This Row],[order_date]])</f>
        <v>2024</v>
      </c>
      <c r="U819">
        <f>MONTH(Table1_1[[#This Row],[order_date]])</f>
        <v>4</v>
      </c>
      <c r="V819" t="str">
        <f>TEXT(Table1_1[[#This Row],[order_date]],"mmm")</f>
        <v>Apr</v>
      </c>
      <c r="W819" t="str">
        <f>"Q"&amp;ROUNDUP(MONTH(Table1_1[[#This Row],[order_date]])/3,0)</f>
        <v>Q2</v>
      </c>
      <c r="X819" t="str">
        <f>TEXT(Table1_1[[#This Row],[order_date]],"yyyy-mm")</f>
        <v>2024-04</v>
      </c>
      <c r="Y819">
        <f>IF(Table1_1[[#This Row],[ship_date]]="","",Table1_1[[#This Row],[ship_date]]-Table1_1[[#This Row],[order_date]])</f>
        <v>2</v>
      </c>
      <c r="Z819">
        <f>ROUND(Table1_1[[#This Row],[profit]]/Table1_1[[#This Row],[sales_fix]]*100,2)</f>
        <v>16.61</v>
      </c>
    </row>
    <row r="820" spans="1:26" x14ac:dyDescent="0.3">
      <c r="A820" t="s">
        <v>2214</v>
      </c>
      <c r="B820" s="1">
        <v>45670</v>
      </c>
      <c r="C820" s="1">
        <v>45677</v>
      </c>
      <c r="D820" t="s">
        <v>509</v>
      </c>
      <c r="E820" t="s">
        <v>510</v>
      </c>
      <c r="F820" t="s">
        <v>23</v>
      </c>
      <c r="G820" t="s">
        <v>91</v>
      </c>
      <c r="H820" t="s">
        <v>120</v>
      </c>
      <c r="I820" t="s">
        <v>103</v>
      </c>
      <c r="J820" t="s">
        <v>104</v>
      </c>
      <c r="K820" t="s">
        <v>65</v>
      </c>
      <c r="L820">
        <v>4</v>
      </c>
      <c r="M820">
        <v>8000</v>
      </c>
      <c r="N820">
        <v>15</v>
      </c>
      <c r="O820">
        <v>27200</v>
      </c>
      <c r="P820">
        <v>5226.1000000000004</v>
      </c>
      <c r="Q820" t="s">
        <v>156</v>
      </c>
      <c r="R820" t="s">
        <v>29</v>
      </c>
      <c r="S820" t="s">
        <v>86</v>
      </c>
      <c r="T820">
        <f>YEAR(Table1_1[[#This Row],[order_date]])</f>
        <v>2025</v>
      </c>
      <c r="U820">
        <f>MONTH(Table1_1[[#This Row],[order_date]])</f>
        <v>1</v>
      </c>
      <c r="V820" t="str">
        <f>TEXT(Table1_1[[#This Row],[order_date]],"mmm")</f>
        <v>Jan</v>
      </c>
      <c r="W820" t="str">
        <f>"Q"&amp;ROUNDUP(MONTH(Table1_1[[#This Row],[order_date]])/3,0)</f>
        <v>Q1</v>
      </c>
      <c r="X820" t="str">
        <f>TEXT(Table1_1[[#This Row],[order_date]],"yyyy-mm")</f>
        <v>2025-01</v>
      </c>
      <c r="Y820">
        <f>IF(Table1_1[[#This Row],[ship_date]]="","",Table1_1[[#This Row],[ship_date]]-Table1_1[[#This Row],[order_date]])</f>
        <v>7</v>
      </c>
      <c r="Z820">
        <f>ROUND(Table1_1[[#This Row],[profit]]/Table1_1[[#This Row],[sales_fix]]*100,2)</f>
        <v>19.21</v>
      </c>
    </row>
    <row r="821" spans="1:26" x14ac:dyDescent="0.3">
      <c r="A821" t="s">
        <v>1061</v>
      </c>
      <c r="B821" s="1">
        <v>45486</v>
      </c>
      <c r="C821" s="1">
        <v>45492</v>
      </c>
      <c r="D821" t="s">
        <v>625</v>
      </c>
      <c r="E821" t="s">
        <v>626</v>
      </c>
      <c r="F821" t="s">
        <v>34</v>
      </c>
      <c r="G821" t="s">
        <v>61</v>
      </c>
      <c r="H821" t="s">
        <v>211</v>
      </c>
      <c r="I821" t="s">
        <v>79</v>
      </c>
      <c r="J821" t="s">
        <v>80</v>
      </c>
      <c r="K821" t="s">
        <v>65</v>
      </c>
      <c r="L821">
        <v>1</v>
      </c>
      <c r="M821">
        <v>3000</v>
      </c>
      <c r="N821">
        <v>5</v>
      </c>
      <c r="O821">
        <v>2850</v>
      </c>
      <c r="P821">
        <v>835.97</v>
      </c>
      <c r="Q821" t="s">
        <v>39</v>
      </c>
      <c r="R821" t="s">
        <v>49</v>
      </c>
      <c r="S821" t="s">
        <v>50</v>
      </c>
      <c r="T821">
        <f>YEAR(Table1_1[[#This Row],[order_date]])</f>
        <v>2024</v>
      </c>
      <c r="U821">
        <f>MONTH(Table1_1[[#This Row],[order_date]])</f>
        <v>7</v>
      </c>
      <c r="V821" t="str">
        <f>TEXT(Table1_1[[#This Row],[order_date]],"mmm")</f>
        <v>Jul</v>
      </c>
      <c r="W821" t="str">
        <f>"Q"&amp;ROUNDUP(MONTH(Table1_1[[#This Row],[order_date]])/3,0)</f>
        <v>Q3</v>
      </c>
      <c r="X821" t="str">
        <f>TEXT(Table1_1[[#This Row],[order_date]],"yyyy-mm")</f>
        <v>2024-07</v>
      </c>
      <c r="Y821">
        <f>IF(Table1_1[[#This Row],[ship_date]]="","",Table1_1[[#This Row],[ship_date]]-Table1_1[[#This Row],[order_date]])</f>
        <v>6</v>
      </c>
      <c r="Z821">
        <f>ROUND(Table1_1[[#This Row],[profit]]/Table1_1[[#This Row],[sales_fix]]*100,2)</f>
        <v>29.33</v>
      </c>
    </row>
    <row r="822" spans="1:26" x14ac:dyDescent="0.3">
      <c r="A822" t="s">
        <v>2364</v>
      </c>
      <c r="B822" s="1">
        <v>45893</v>
      </c>
      <c r="C822" s="1">
        <v>45896</v>
      </c>
      <c r="D822" t="s">
        <v>1950</v>
      </c>
      <c r="E822" t="s">
        <v>1951</v>
      </c>
      <c r="F822" t="s">
        <v>55</v>
      </c>
      <c r="G822" t="s">
        <v>35</v>
      </c>
      <c r="H822" t="s">
        <v>85</v>
      </c>
      <c r="I822" t="s">
        <v>93</v>
      </c>
      <c r="J822" t="s">
        <v>94</v>
      </c>
      <c r="K822" t="s">
        <v>95</v>
      </c>
      <c r="L822">
        <v>1</v>
      </c>
      <c r="M822">
        <v>1800</v>
      </c>
      <c r="N822">
        <v>10</v>
      </c>
      <c r="O822">
        <v>1620</v>
      </c>
      <c r="P822">
        <v>463.62</v>
      </c>
      <c r="Q822" t="s">
        <v>74</v>
      </c>
      <c r="R822" t="s">
        <v>29</v>
      </c>
      <c r="S822" t="s">
        <v>86</v>
      </c>
      <c r="T822">
        <f>YEAR(Table1_1[[#This Row],[order_date]])</f>
        <v>2025</v>
      </c>
      <c r="U822">
        <f>MONTH(Table1_1[[#This Row],[order_date]])</f>
        <v>8</v>
      </c>
      <c r="V822" t="str">
        <f>TEXT(Table1_1[[#This Row],[order_date]],"mmm")</f>
        <v>Aug</v>
      </c>
      <c r="W822" t="str">
        <f>"Q"&amp;ROUNDUP(MONTH(Table1_1[[#This Row],[order_date]])/3,0)</f>
        <v>Q3</v>
      </c>
      <c r="X822" t="str">
        <f>TEXT(Table1_1[[#This Row],[order_date]],"yyyy-mm")</f>
        <v>2025-08</v>
      </c>
      <c r="Y822">
        <f>IF(Table1_1[[#This Row],[ship_date]]="","",Table1_1[[#This Row],[ship_date]]-Table1_1[[#This Row],[order_date]])</f>
        <v>3</v>
      </c>
      <c r="Z822">
        <f>ROUND(Table1_1[[#This Row],[profit]]/Table1_1[[#This Row],[sales_fix]]*100,2)</f>
        <v>28.62</v>
      </c>
    </row>
    <row r="823" spans="1:26" x14ac:dyDescent="0.3">
      <c r="A823" t="s">
        <v>2635</v>
      </c>
      <c r="B823" s="1">
        <v>45812</v>
      </c>
      <c r="C823" s="1">
        <v>45814</v>
      </c>
      <c r="D823" t="s">
        <v>1019</v>
      </c>
      <c r="E823" t="s">
        <v>1020</v>
      </c>
      <c r="F823" t="s">
        <v>55</v>
      </c>
      <c r="G823" t="s">
        <v>35</v>
      </c>
      <c r="H823" t="s">
        <v>187</v>
      </c>
      <c r="I823" t="s">
        <v>79</v>
      </c>
      <c r="J823" t="s">
        <v>80</v>
      </c>
      <c r="K823" t="s">
        <v>65</v>
      </c>
      <c r="L823">
        <v>10</v>
      </c>
      <c r="M823">
        <v>3000</v>
      </c>
      <c r="N823">
        <v>5</v>
      </c>
      <c r="O823">
        <v>28500</v>
      </c>
      <c r="P823">
        <v>6700.59</v>
      </c>
      <c r="Q823" t="s">
        <v>28</v>
      </c>
      <c r="R823" t="s">
        <v>56</v>
      </c>
      <c r="S823" t="s">
        <v>40</v>
      </c>
      <c r="T823">
        <f>YEAR(Table1_1[[#This Row],[order_date]])</f>
        <v>2025</v>
      </c>
      <c r="U823">
        <f>MONTH(Table1_1[[#This Row],[order_date]])</f>
        <v>6</v>
      </c>
      <c r="V823" t="str">
        <f>TEXT(Table1_1[[#This Row],[order_date]],"mmm")</f>
        <v>Jun</v>
      </c>
      <c r="W823" t="str">
        <f>"Q"&amp;ROUNDUP(MONTH(Table1_1[[#This Row],[order_date]])/3,0)</f>
        <v>Q2</v>
      </c>
      <c r="X823" t="str">
        <f>TEXT(Table1_1[[#This Row],[order_date]],"yyyy-mm")</f>
        <v>2025-06</v>
      </c>
      <c r="Y823">
        <f>IF(Table1_1[[#This Row],[ship_date]]="","",Table1_1[[#This Row],[ship_date]]-Table1_1[[#This Row],[order_date]])</f>
        <v>2</v>
      </c>
      <c r="Z823">
        <f>ROUND(Table1_1[[#This Row],[profit]]/Table1_1[[#This Row],[sales_fix]]*100,2)</f>
        <v>23.51</v>
      </c>
    </row>
    <row r="824" spans="1:26" x14ac:dyDescent="0.3">
      <c r="A824" t="s">
        <v>3012</v>
      </c>
      <c r="B824" s="1">
        <v>45812</v>
      </c>
      <c r="C824" s="1">
        <v>45818</v>
      </c>
      <c r="D824" t="s">
        <v>138</v>
      </c>
      <c r="E824" t="s">
        <v>139</v>
      </c>
      <c r="F824" t="s">
        <v>55</v>
      </c>
      <c r="G824" t="s">
        <v>35</v>
      </c>
      <c r="H824" t="s">
        <v>36</v>
      </c>
      <c r="I824" t="s">
        <v>79</v>
      </c>
      <c r="J824" t="s">
        <v>80</v>
      </c>
      <c r="K824" t="s">
        <v>65</v>
      </c>
      <c r="L824">
        <v>1</v>
      </c>
      <c r="M824">
        <v>3000</v>
      </c>
      <c r="N824">
        <v>15</v>
      </c>
      <c r="O824">
        <v>2550</v>
      </c>
      <c r="P824">
        <v>765.35</v>
      </c>
      <c r="Q824" t="s">
        <v>28</v>
      </c>
      <c r="R824" t="s">
        <v>56</v>
      </c>
      <c r="S824" t="s">
        <v>30</v>
      </c>
      <c r="T824">
        <f>YEAR(Table1_1[[#This Row],[order_date]])</f>
        <v>2025</v>
      </c>
      <c r="U824">
        <f>MONTH(Table1_1[[#This Row],[order_date]])</f>
        <v>6</v>
      </c>
      <c r="V824" t="str">
        <f>TEXT(Table1_1[[#This Row],[order_date]],"mmm")</f>
        <v>Jun</v>
      </c>
      <c r="W824" t="str">
        <f>"Q"&amp;ROUNDUP(MONTH(Table1_1[[#This Row],[order_date]])/3,0)</f>
        <v>Q2</v>
      </c>
      <c r="X824" t="str">
        <f>TEXT(Table1_1[[#This Row],[order_date]],"yyyy-mm")</f>
        <v>2025-06</v>
      </c>
      <c r="Y824">
        <f>IF(Table1_1[[#This Row],[ship_date]]="","",Table1_1[[#This Row],[ship_date]]-Table1_1[[#This Row],[order_date]])</f>
        <v>6</v>
      </c>
      <c r="Z824">
        <f>ROUND(Table1_1[[#This Row],[profit]]/Table1_1[[#This Row],[sales_fix]]*100,2)</f>
        <v>30.01</v>
      </c>
    </row>
    <row r="825" spans="1:26" x14ac:dyDescent="0.3">
      <c r="A825" t="s">
        <v>219</v>
      </c>
      <c r="B825" s="1">
        <v>46021</v>
      </c>
      <c r="C825" s="1">
        <v>46029</v>
      </c>
      <c r="D825" t="s">
        <v>220</v>
      </c>
      <c r="E825" t="s">
        <v>221</v>
      </c>
      <c r="F825" t="s">
        <v>34</v>
      </c>
      <c r="G825" t="s">
        <v>44</v>
      </c>
      <c r="H825" t="s">
        <v>161</v>
      </c>
      <c r="I825" t="s">
        <v>37</v>
      </c>
      <c r="J825" t="s">
        <v>38</v>
      </c>
      <c r="K825" t="s">
        <v>27</v>
      </c>
      <c r="L825">
        <v>3</v>
      </c>
      <c r="M825">
        <v>9500</v>
      </c>
      <c r="N825">
        <v>15</v>
      </c>
      <c r="O825">
        <v>24225</v>
      </c>
      <c r="P825">
        <v>5243.75</v>
      </c>
      <c r="Q825" t="s">
        <v>74</v>
      </c>
      <c r="R825" t="s">
        <v>56</v>
      </c>
      <c r="S825" t="s">
        <v>30</v>
      </c>
      <c r="T825">
        <f>YEAR(Table1_1[[#This Row],[order_date]])</f>
        <v>2025</v>
      </c>
      <c r="U825">
        <f>MONTH(Table1_1[[#This Row],[order_date]])</f>
        <v>12</v>
      </c>
      <c r="V825" t="str">
        <f>TEXT(Table1_1[[#This Row],[order_date]],"mmm")</f>
        <v>Dec</v>
      </c>
      <c r="W825" t="str">
        <f>"Q"&amp;ROUNDUP(MONTH(Table1_1[[#This Row],[order_date]])/3,0)</f>
        <v>Q4</v>
      </c>
      <c r="X825" t="str">
        <f>TEXT(Table1_1[[#This Row],[order_date]],"yyyy-mm")</f>
        <v>2025-12</v>
      </c>
      <c r="Y825">
        <f>IF(Table1_1[[#This Row],[ship_date]]="","",Table1_1[[#This Row],[ship_date]]-Table1_1[[#This Row],[order_date]])</f>
        <v>8</v>
      </c>
      <c r="Z825">
        <f>ROUND(Table1_1[[#This Row],[profit]]/Table1_1[[#This Row],[sales_fix]]*100,2)</f>
        <v>21.65</v>
      </c>
    </row>
    <row r="826" spans="1:26" x14ac:dyDescent="0.3">
      <c r="A826" t="s">
        <v>1472</v>
      </c>
      <c r="B826" s="1">
        <v>45329</v>
      </c>
      <c r="C826" s="1">
        <v>45333</v>
      </c>
      <c r="D826" t="s">
        <v>1461</v>
      </c>
      <c r="E826" t="s">
        <v>1462</v>
      </c>
      <c r="F826" t="s">
        <v>55</v>
      </c>
      <c r="G826" t="s">
        <v>91</v>
      </c>
      <c r="H826" t="s">
        <v>109</v>
      </c>
      <c r="I826" t="s">
        <v>126</v>
      </c>
      <c r="J826" t="s">
        <v>127</v>
      </c>
      <c r="K826" t="s">
        <v>95</v>
      </c>
      <c r="L826">
        <v>1</v>
      </c>
      <c r="M826">
        <v>600</v>
      </c>
      <c r="N826">
        <v>0</v>
      </c>
      <c r="O826">
        <v>600</v>
      </c>
      <c r="P826">
        <v>200.83</v>
      </c>
      <c r="Q826" t="s">
        <v>28</v>
      </c>
      <c r="R826" t="s">
        <v>29</v>
      </c>
      <c r="S826" t="s">
        <v>110</v>
      </c>
      <c r="T826">
        <f>YEAR(Table1_1[[#This Row],[order_date]])</f>
        <v>2024</v>
      </c>
      <c r="U826">
        <f>MONTH(Table1_1[[#This Row],[order_date]])</f>
        <v>2</v>
      </c>
      <c r="V826" t="str">
        <f>TEXT(Table1_1[[#This Row],[order_date]],"mmm")</f>
        <v>Feb</v>
      </c>
      <c r="W826" t="str">
        <f>"Q"&amp;ROUNDUP(MONTH(Table1_1[[#This Row],[order_date]])/3,0)</f>
        <v>Q1</v>
      </c>
      <c r="X826" t="str">
        <f>TEXT(Table1_1[[#This Row],[order_date]],"yyyy-mm")</f>
        <v>2024-02</v>
      </c>
      <c r="Y826">
        <f>IF(Table1_1[[#This Row],[ship_date]]="","",Table1_1[[#This Row],[ship_date]]-Table1_1[[#This Row],[order_date]])</f>
        <v>4</v>
      </c>
      <c r="Z826">
        <f>ROUND(Table1_1[[#This Row],[profit]]/Table1_1[[#This Row],[sales_fix]]*100,2)</f>
        <v>33.47</v>
      </c>
    </row>
    <row r="827" spans="1:26" x14ac:dyDescent="0.3">
      <c r="A827" t="s">
        <v>1282</v>
      </c>
      <c r="B827" s="1">
        <v>45877</v>
      </c>
      <c r="C827" s="1">
        <v>45879</v>
      </c>
      <c r="D827" t="s">
        <v>470</v>
      </c>
      <c r="E827" t="s">
        <v>471</v>
      </c>
      <c r="F827" t="s">
        <v>23</v>
      </c>
      <c r="G827" t="s">
        <v>61</v>
      </c>
      <c r="H827" t="s">
        <v>62</v>
      </c>
      <c r="I827" t="s">
        <v>134</v>
      </c>
      <c r="J827" t="s">
        <v>135</v>
      </c>
      <c r="K827" t="s">
        <v>27</v>
      </c>
      <c r="L827">
        <v>1</v>
      </c>
      <c r="M827">
        <v>6000</v>
      </c>
      <c r="N827">
        <v>20</v>
      </c>
      <c r="O827">
        <v>4800</v>
      </c>
      <c r="P827">
        <v>978.79</v>
      </c>
      <c r="Q827" t="s">
        <v>121</v>
      </c>
      <c r="R827" t="s">
        <v>29</v>
      </c>
      <c r="S827" t="s">
        <v>110</v>
      </c>
      <c r="T827">
        <f>YEAR(Table1_1[[#This Row],[order_date]])</f>
        <v>2025</v>
      </c>
      <c r="U827">
        <f>MONTH(Table1_1[[#This Row],[order_date]])</f>
        <v>8</v>
      </c>
      <c r="V827" t="str">
        <f>TEXT(Table1_1[[#This Row],[order_date]],"mmm")</f>
        <v>Aug</v>
      </c>
      <c r="W827" t="str">
        <f>"Q"&amp;ROUNDUP(MONTH(Table1_1[[#This Row],[order_date]])/3,0)</f>
        <v>Q3</v>
      </c>
      <c r="X827" t="str">
        <f>TEXT(Table1_1[[#This Row],[order_date]],"yyyy-mm")</f>
        <v>2025-08</v>
      </c>
      <c r="Y827">
        <f>IF(Table1_1[[#This Row],[ship_date]]="","",Table1_1[[#This Row],[ship_date]]-Table1_1[[#This Row],[order_date]])</f>
        <v>2</v>
      </c>
      <c r="Z827">
        <f>ROUND(Table1_1[[#This Row],[profit]]/Table1_1[[#This Row],[sales_fix]]*100,2)</f>
        <v>20.39</v>
      </c>
    </row>
    <row r="828" spans="1:26" x14ac:dyDescent="0.3">
      <c r="A828" t="s">
        <v>1358</v>
      </c>
      <c r="B828" s="1">
        <v>45652</v>
      </c>
      <c r="C828" s="1">
        <v>45659</v>
      </c>
      <c r="D828" t="s">
        <v>546</v>
      </c>
      <c r="E828" t="s">
        <v>547</v>
      </c>
      <c r="F828" t="s">
        <v>34</v>
      </c>
      <c r="G828" t="s">
        <v>91</v>
      </c>
      <c r="H828" t="s">
        <v>92</v>
      </c>
      <c r="I828" t="s">
        <v>46</v>
      </c>
      <c r="J828" t="s">
        <v>47</v>
      </c>
      <c r="K828" t="s">
        <v>48</v>
      </c>
      <c r="L828">
        <v>1</v>
      </c>
      <c r="M828">
        <v>180</v>
      </c>
      <c r="N828">
        <v>10</v>
      </c>
      <c r="O828">
        <v>162</v>
      </c>
      <c r="P828">
        <v>69.14</v>
      </c>
      <c r="Q828" t="s">
        <v>28</v>
      </c>
      <c r="R828" t="s">
        <v>49</v>
      </c>
      <c r="S828" t="s">
        <v>30</v>
      </c>
      <c r="T828">
        <f>YEAR(Table1_1[[#This Row],[order_date]])</f>
        <v>2024</v>
      </c>
      <c r="U828">
        <f>MONTH(Table1_1[[#This Row],[order_date]])</f>
        <v>12</v>
      </c>
      <c r="V828" t="str">
        <f>TEXT(Table1_1[[#This Row],[order_date]],"mmm")</f>
        <v>Dec</v>
      </c>
      <c r="W828" t="str">
        <f>"Q"&amp;ROUNDUP(MONTH(Table1_1[[#This Row],[order_date]])/3,0)</f>
        <v>Q4</v>
      </c>
      <c r="X828" t="str">
        <f>TEXT(Table1_1[[#This Row],[order_date]],"yyyy-mm")</f>
        <v>2024-12</v>
      </c>
      <c r="Y828">
        <f>IF(Table1_1[[#This Row],[ship_date]]="","",Table1_1[[#This Row],[ship_date]]-Table1_1[[#This Row],[order_date]])</f>
        <v>7</v>
      </c>
      <c r="Z828">
        <f>ROUND(Table1_1[[#This Row],[profit]]/Table1_1[[#This Row],[sales_fix]]*100,2)</f>
        <v>42.68</v>
      </c>
    </row>
    <row r="829" spans="1:26" x14ac:dyDescent="0.3">
      <c r="A829" t="s">
        <v>181</v>
      </c>
      <c r="B829" s="1">
        <v>45801</v>
      </c>
      <c r="C829" s="1">
        <v>45809</v>
      </c>
      <c r="D829" t="s">
        <v>182</v>
      </c>
      <c r="E829" t="s">
        <v>183</v>
      </c>
      <c r="F829" t="s">
        <v>55</v>
      </c>
      <c r="G829" t="s">
        <v>44</v>
      </c>
      <c r="H829" t="s">
        <v>45</v>
      </c>
      <c r="I829" t="s">
        <v>37</v>
      </c>
      <c r="J829" t="s">
        <v>38</v>
      </c>
      <c r="K829" t="s">
        <v>27</v>
      </c>
      <c r="L829">
        <v>1</v>
      </c>
      <c r="M829">
        <v>9500</v>
      </c>
      <c r="N829">
        <v>5</v>
      </c>
      <c r="O829">
        <v>9025</v>
      </c>
      <c r="P829">
        <v>1281.3499999999999</v>
      </c>
      <c r="Q829" t="s">
        <v>121</v>
      </c>
      <c r="R829" t="s">
        <v>49</v>
      </c>
      <c r="S829" t="s">
        <v>86</v>
      </c>
      <c r="T829">
        <f>YEAR(Table1_1[[#This Row],[order_date]])</f>
        <v>2025</v>
      </c>
      <c r="U829">
        <f>MONTH(Table1_1[[#This Row],[order_date]])</f>
        <v>5</v>
      </c>
      <c r="V829" t="str">
        <f>TEXT(Table1_1[[#This Row],[order_date]],"mmm")</f>
        <v>May</v>
      </c>
      <c r="W829" t="str">
        <f>"Q"&amp;ROUNDUP(MONTH(Table1_1[[#This Row],[order_date]])/3,0)</f>
        <v>Q2</v>
      </c>
      <c r="X829" t="str">
        <f>TEXT(Table1_1[[#This Row],[order_date]],"yyyy-mm")</f>
        <v>2025-05</v>
      </c>
      <c r="Y829">
        <f>IF(Table1_1[[#This Row],[ship_date]]="","",Table1_1[[#This Row],[ship_date]]-Table1_1[[#This Row],[order_date]])</f>
        <v>8</v>
      </c>
      <c r="Z829">
        <f>ROUND(Table1_1[[#This Row],[profit]]/Table1_1[[#This Row],[sales_fix]]*100,2)</f>
        <v>14.2</v>
      </c>
    </row>
    <row r="830" spans="1:26" x14ac:dyDescent="0.3">
      <c r="A830" t="s">
        <v>1602</v>
      </c>
      <c r="B830" s="1">
        <v>45593</v>
      </c>
      <c r="C830" s="1">
        <v>45598</v>
      </c>
      <c r="D830" t="s">
        <v>517</v>
      </c>
      <c r="E830" t="s">
        <v>518</v>
      </c>
      <c r="F830" t="s">
        <v>34</v>
      </c>
      <c r="G830" t="s">
        <v>61</v>
      </c>
      <c r="H830" t="s">
        <v>125</v>
      </c>
      <c r="I830" t="s">
        <v>63</v>
      </c>
      <c r="J830" t="s">
        <v>64</v>
      </c>
      <c r="K830" t="s">
        <v>65</v>
      </c>
      <c r="L830">
        <v>2</v>
      </c>
      <c r="M830">
        <v>25000</v>
      </c>
      <c r="N830">
        <v>15</v>
      </c>
      <c r="O830">
        <v>42500</v>
      </c>
      <c r="P830">
        <v>4661.8100000000004</v>
      </c>
      <c r="Q830" t="s">
        <v>121</v>
      </c>
      <c r="R830" t="s">
        <v>29</v>
      </c>
      <c r="S830" t="s">
        <v>86</v>
      </c>
      <c r="T830">
        <f>YEAR(Table1_1[[#This Row],[order_date]])</f>
        <v>2024</v>
      </c>
      <c r="U830">
        <f>MONTH(Table1_1[[#This Row],[order_date]])</f>
        <v>10</v>
      </c>
      <c r="V830" t="str">
        <f>TEXT(Table1_1[[#This Row],[order_date]],"mmm")</f>
        <v>Oct</v>
      </c>
      <c r="W830" t="str">
        <f>"Q"&amp;ROUNDUP(MONTH(Table1_1[[#This Row],[order_date]])/3,0)</f>
        <v>Q4</v>
      </c>
      <c r="X830" t="str">
        <f>TEXT(Table1_1[[#This Row],[order_date]],"yyyy-mm")</f>
        <v>2024-10</v>
      </c>
      <c r="Y830">
        <f>IF(Table1_1[[#This Row],[ship_date]]="","",Table1_1[[#This Row],[ship_date]]-Table1_1[[#This Row],[order_date]])</f>
        <v>5</v>
      </c>
      <c r="Z830">
        <f>ROUND(Table1_1[[#This Row],[profit]]/Table1_1[[#This Row],[sales_fix]]*100,2)</f>
        <v>10.97</v>
      </c>
    </row>
    <row r="831" spans="1:26" x14ac:dyDescent="0.3">
      <c r="A831" t="s">
        <v>1422</v>
      </c>
      <c r="B831" s="1">
        <v>45331</v>
      </c>
      <c r="C831" s="1">
        <v>45337</v>
      </c>
      <c r="D831" t="s">
        <v>142</v>
      </c>
      <c r="E831" t="s">
        <v>143</v>
      </c>
      <c r="F831" t="s">
        <v>34</v>
      </c>
      <c r="G831" t="s">
        <v>44</v>
      </c>
      <c r="H831" t="s">
        <v>24</v>
      </c>
      <c r="I831" t="s">
        <v>37</v>
      </c>
      <c r="J831" t="s">
        <v>38</v>
      </c>
      <c r="K831" t="s">
        <v>27</v>
      </c>
      <c r="L831">
        <v>2</v>
      </c>
      <c r="M831">
        <v>9500</v>
      </c>
      <c r="N831">
        <v>0</v>
      </c>
      <c r="O831">
        <v>19000</v>
      </c>
      <c r="P831">
        <v>2958.9</v>
      </c>
      <c r="Q831" t="s">
        <v>74</v>
      </c>
      <c r="R831" t="s">
        <v>49</v>
      </c>
      <c r="S831" t="s">
        <v>110</v>
      </c>
      <c r="T831">
        <f>YEAR(Table1_1[[#This Row],[order_date]])</f>
        <v>2024</v>
      </c>
      <c r="U831">
        <f>MONTH(Table1_1[[#This Row],[order_date]])</f>
        <v>2</v>
      </c>
      <c r="V831" t="str">
        <f>TEXT(Table1_1[[#This Row],[order_date]],"mmm")</f>
        <v>Feb</v>
      </c>
      <c r="W831" t="str">
        <f>"Q"&amp;ROUNDUP(MONTH(Table1_1[[#This Row],[order_date]])/3,0)</f>
        <v>Q1</v>
      </c>
      <c r="X831" t="str">
        <f>TEXT(Table1_1[[#This Row],[order_date]],"yyyy-mm")</f>
        <v>2024-02</v>
      </c>
      <c r="Y831">
        <f>IF(Table1_1[[#This Row],[ship_date]]="","",Table1_1[[#This Row],[ship_date]]-Table1_1[[#This Row],[order_date]])</f>
        <v>6</v>
      </c>
      <c r="Z831">
        <f>ROUND(Table1_1[[#This Row],[profit]]/Table1_1[[#This Row],[sales_fix]]*100,2)</f>
        <v>15.57</v>
      </c>
    </row>
    <row r="832" spans="1:26" x14ac:dyDescent="0.3">
      <c r="A832" t="s">
        <v>3057</v>
      </c>
      <c r="B832" s="1">
        <v>45910</v>
      </c>
      <c r="C832" s="1">
        <v>45915</v>
      </c>
      <c r="D832" t="s">
        <v>21</v>
      </c>
      <c r="E832" t="s">
        <v>22</v>
      </c>
      <c r="F832" t="s">
        <v>23</v>
      </c>
      <c r="G832" t="s">
        <v>44</v>
      </c>
      <c r="H832" t="s">
        <v>24</v>
      </c>
      <c r="I832" t="s">
        <v>71</v>
      </c>
      <c r="J832" t="s">
        <v>72</v>
      </c>
      <c r="K832" t="s">
        <v>73</v>
      </c>
      <c r="L832">
        <v>10</v>
      </c>
      <c r="M832">
        <v>3500</v>
      </c>
      <c r="N832">
        <v>20</v>
      </c>
      <c r="O832">
        <v>28000</v>
      </c>
      <c r="P832">
        <v>8968.5400000000009</v>
      </c>
      <c r="Q832" t="s">
        <v>66</v>
      </c>
      <c r="R832" t="s">
        <v>49</v>
      </c>
      <c r="S832" t="s">
        <v>110</v>
      </c>
      <c r="T832">
        <f>YEAR(Table1_1[[#This Row],[order_date]])</f>
        <v>2025</v>
      </c>
      <c r="U832">
        <f>MONTH(Table1_1[[#This Row],[order_date]])</f>
        <v>9</v>
      </c>
      <c r="V832" t="str">
        <f>TEXT(Table1_1[[#This Row],[order_date]],"mmm")</f>
        <v>Sep</v>
      </c>
      <c r="W832" t="str">
        <f>"Q"&amp;ROUNDUP(MONTH(Table1_1[[#This Row],[order_date]])/3,0)</f>
        <v>Q3</v>
      </c>
      <c r="X832" t="str">
        <f>TEXT(Table1_1[[#This Row],[order_date]],"yyyy-mm")</f>
        <v>2025-09</v>
      </c>
      <c r="Y832">
        <f>IF(Table1_1[[#This Row],[ship_date]]="","",Table1_1[[#This Row],[ship_date]]-Table1_1[[#This Row],[order_date]])</f>
        <v>5</v>
      </c>
      <c r="Z832">
        <f>ROUND(Table1_1[[#This Row],[profit]]/Table1_1[[#This Row],[sales_fix]]*100,2)</f>
        <v>32.03</v>
      </c>
    </row>
    <row r="833" spans="1:26" x14ac:dyDescent="0.3">
      <c r="A833" t="s">
        <v>792</v>
      </c>
      <c r="B833" s="1">
        <v>45707</v>
      </c>
      <c r="C833" s="1">
        <v>45715</v>
      </c>
      <c r="D833" t="s">
        <v>793</v>
      </c>
      <c r="E833" t="s">
        <v>794</v>
      </c>
      <c r="F833" t="s">
        <v>23</v>
      </c>
      <c r="G833" t="s">
        <v>91</v>
      </c>
      <c r="H833" t="s">
        <v>92</v>
      </c>
      <c r="I833" t="s">
        <v>134</v>
      </c>
      <c r="J833" t="s">
        <v>135</v>
      </c>
      <c r="K833" t="s">
        <v>27</v>
      </c>
      <c r="L833">
        <v>4</v>
      </c>
      <c r="M833">
        <v>6000</v>
      </c>
      <c r="N833">
        <v>20</v>
      </c>
      <c r="O833">
        <v>19200</v>
      </c>
      <c r="P833">
        <v>4433.46</v>
      </c>
      <c r="Q833" t="s">
        <v>156</v>
      </c>
      <c r="R833" t="s">
        <v>56</v>
      </c>
      <c r="S833" t="s">
        <v>50</v>
      </c>
      <c r="T833">
        <f>YEAR(Table1_1[[#This Row],[order_date]])</f>
        <v>2025</v>
      </c>
      <c r="U833">
        <f>MONTH(Table1_1[[#This Row],[order_date]])</f>
        <v>2</v>
      </c>
      <c r="V833" t="str">
        <f>TEXT(Table1_1[[#This Row],[order_date]],"mmm")</f>
        <v>Feb</v>
      </c>
      <c r="W833" t="str">
        <f>"Q"&amp;ROUNDUP(MONTH(Table1_1[[#This Row],[order_date]])/3,0)</f>
        <v>Q1</v>
      </c>
      <c r="X833" t="str">
        <f>TEXT(Table1_1[[#This Row],[order_date]],"yyyy-mm")</f>
        <v>2025-02</v>
      </c>
      <c r="Y833">
        <f>IF(Table1_1[[#This Row],[ship_date]]="","",Table1_1[[#This Row],[ship_date]]-Table1_1[[#This Row],[order_date]])</f>
        <v>8</v>
      </c>
      <c r="Z833">
        <f>ROUND(Table1_1[[#This Row],[profit]]/Table1_1[[#This Row],[sales_fix]]*100,2)</f>
        <v>23.09</v>
      </c>
    </row>
    <row r="834" spans="1:26" x14ac:dyDescent="0.3">
      <c r="A834" t="s">
        <v>1491</v>
      </c>
      <c r="B834" s="1">
        <v>45524</v>
      </c>
      <c r="C834" s="1">
        <v>45532</v>
      </c>
      <c r="D834" t="s">
        <v>609</v>
      </c>
      <c r="E834" t="s">
        <v>610</v>
      </c>
      <c r="F834" t="s">
        <v>23</v>
      </c>
      <c r="G834" t="s">
        <v>44</v>
      </c>
      <c r="H834" t="s">
        <v>155</v>
      </c>
      <c r="I834" t="s">
        <v>103</v>
      </c>
      <c r="J834" t="s">
        <v>104</v>
      </c>
      <c r="K834" t="s">
        <v>65</v>
      </c>
      <c r="L834">
        <v>3</v>
      </c>
      <c r="M834">
        <v>8000</v>
      </c>
      <c r="N834">
        <v>0</v>
      </c>
      <c r="O834">
        <v>24000</v>
      </c>
      <c r="P834">
        <v>5338.65</v>
      </c>
      <c r="Q834" t="s">
        <v>156</v>
      </c>
      <c r="R834" t="s">
        <v>49</v>
      </c>
      <c r="S834" t="s">
        <v>110</v>
      </c>
      <c r="T834">
        <f>YEAR(Table1_1[[#This Row],[order_date]])</f>
        <v>2024</v>
      </c>
      <c r="U834">
        <f>MONTH(Table1_1[[#This Row],[order_date]])</f>
        <v>8</v>
      </c>
      <c r="V834" t="str">
        <f>TEXT(Table1_1[[#This Row],[order_date]],"mmm")</f>
        <v>Aug</v>
      </c>
      <c r="W834" t="str">
        <f>"Q"&amp;ROUNDUP(MONTH(Table1_1[[#This Row],[order_date]])/3,0)</f>
        <v>Q3</v>
      </c>
      <c r="X834" t="str">
        <f>TEXT(Table1_1[[#This Row],[order_date]],"yyyy-mm")</f>
        <v>2024-08</v>
      </c>
      <c r="Y834">
        <f>IF(Table1_1[[#This Row],[ship_date]]="","",Table1_1[[#This Row],[ship_date]]-Table1_1[[#This Row],[order_date]])</f>
        <v>8</v>
      </c>
      <c r="Z834">
        <f>ROUND(Table1_1[[#This Row],[profit]]/Table1_1[[#This Row],[sales_fix]]*100,2)</f>
        <v>22.24</v>
      </c>
    </row>
    <row r="835" spans="1:26" x14ac:dyDescent="0.3">
      <c r="A835" t="s">
        <v>549</v>
      </c>
      <c r="B835" s="1">
        <v>45484</v>
      </c>
      <c r="C835" s="1">
        <v>45492</v>
      </c>
      <c r="D835" t="s">
        <v>550</v>
      </c>
      <c r="E835" t="s">
        <v>551</v>
      </c>
      <c r="F835" t="s">
        <v>55</v>
      </c>
      <c r="G835" t="s">
        <v>91</v>
      </c>
      <c r="H835" t="s">
        <v>109</v>
      </c>
      <c r="I835" t="s">
        <v>37</v>
      </c>
      <c r="J835" t="s">
        <v>38</v>
      </c>
      <c r="K835" t="s">
        <v>27</v>
      </c>
      <c r="L835">
        <v>2</v>
      </c>
      <c r="M835">
        <v>9500</v>
      </c>
      <c r="N835">
        <v>15</v>
      </c>
      <c r="O835">
        <v>16150</v>
      </c>
      <c r="P835">
        <v>2800.65</v>
      </c>
      <c r="Q835" t="s">
        <v>28</v>
      </c>
      <c r="R835" t="s">
        <v>56</v>
      </c>
      <c r="S835" t="s">
        <v>86</v>
      </c>
      <c r="T835">
        <f>YEAR(Table1_1[[#This Row],[order_date]])</f>
        <v>2024</v>
      </c>
      <c r="U835">
        <f>MONTH(Table1_1[[#This Row],[order_date]])</f>
        <v>7</v>
      </c>
      <c r="V835" t="str">
        <f>TEXT(Table1_1[[#This Row],[order_date]],"mmm")</f>
        <v>Jul</v>
      </c>
      <c r="W835" t="str">
        <f>"Q"&amp;ROUNDUP(MONTH(Table1_1[[#This Row],[order_date]])/3,0)</f>
        <v>Q3</v>
      </c>
      <c r="X835" t="str">
        <f>TEXT(Table1_1[[#This Row],[order_date]],"yyyy-mm")</f>
        <v>2024-07</v>
      </c>
      <c r="Y835">
        <f>IF(Table1_1[[#This Row],[ship_date]]="","",Table1_1[[#This Row],[ship_date]]-Table1_1[[#This Row],[order_date]])</f>
        <v>8</v>
      </c>
      <c r="Z835">
        <f>ROUND(Table1_1[[#This Row],[profit]]/Table1_1[[#This Row],[sales_fix]]*100,2)</f>
        <v>17.34</v>
      </c>
    </row>
    <row r="836" spans="1:26" x14ac:dyDescent="0.3">
      <c r="A836" t="s">
        <v>1558</v>
      </c>
      <c r="B836" s="1">
        <v>45883</v>
      </c>
      <c r="C836" s="1">
        <v>45884</v>
      </c>
      <c r="D836" t="s">
        <v>1028</v>
      </c>
      <c r="E836" t="s">
        <v>1029</v>
      </c>
      <c r="F836" t="s">
        <v>34</v>
      </c>
      <c r="G836" t="s">
        <v>91</v>
      </c>
      <c r="H836" t="s">
        <v>120</v>
      </c>
      <c r="I836" t="s">
        <v>79</v>
      </c>
      <c r="J836" t="s">
        <v>80</v>
      </c>
      <c r="K836" t="s">
        <v>65</v>
      </c>
      <c r="L836">
        <v>4</v>
      </c>
      <c r="M836">
        <v>3000</v>
      </c>
      <c r="N836">
        <v>0</v>
      </c>
      <c r="O836">
        <v>12000</v>
      </c>
      <c r="P836">
        <v>3878.43</v>
      </c>
      <c r="Q836" t="s">
        <v>28</v>
      </c>
      <c r="R836" t="s">
        <v>56</v>
      </c>
      <c r="S836" t="s">
        <v>194</v>
      </c>
      <c r="T836">
        <f>YEAR(Table1_1[[#This Row],[order_date]])</f>
        <v>2025</v>
      </c>
      <c r="U836">
        <f>MONTH(Table1_1[[#This Row],[order_date]])</f>
        <v>8</v>
      </c>
      <c r="V836" t="str">
        <f>TEXT(Table1_1[[#This Row],[order_date]],"mmm")</f>
        <v>Aug</v>
      </c>
      <c r="W836" t="str">
        <f>"Q"&amp;ROUNDUP(MONTH(Table1_1[[#This Row],[order_date]])/3,0)</f>
        <v>Q3</v>
      </c>
      <c r="X836" t="str">
        <f>TEXT(Table1_1[[#This Row],[order_date]],"yyyy-mm")</f>
        <v>2025-08</v>
      </c>
      <c r="Y836">
        <f>IF(Table1_1[[#This Row],[ship_date]]="","",Table1_1[[#This Row],[ship_date]]-Table1_1[[#This Row],[order_date]])</f>
        <v>1</v>
      </c>
      <c r="Z836">
        <f>ROUND(Table1_1[[#This Row],[profit]]/Table1_1[[#This Row],[sales_fix]]*100,2)</f>
        <v>32.32</v>
      </c>
    </row>
    <row r="837" spans="1:26" x14ac:dyDescent="0.3">
      <c r="A837" t="s">
        <v>3067</v>
      </c>
      <c r="B837" s="1">
        <v>45721</v>
      </c>
      <c r="C837" s="1">
        <v>45726</v>
      </c>
      <c r="D837" t="s">
        <v>453</v>
      </c>
      <c r="E837" t="s">
        <v>454</v>
      </c>
      <c r="F837" t="s">
        <v>55</v>
      </c>
      <c r="G837" t="s">
        <v>35</v>
      </c>
      <c r="H837" t="s">
        <v>187</v>
      </c>
      <c r="I837" t="s">
        <v>103</v>
      </c>
      <c r="J837" t="s">
        <v>104</v>
      </c>
      <c r="K837" t="s">
        <v>65</v>
      </c>
      <c r="L837">
        <v>2</v>
      </c>
      <c r="M837">
        <v>8000</v>
      </c>
      <c r="N837">
        <v>20</v>
      </c>
      <c r="O837">
        <v>12800</v>
      </c>
      <c r="P837">
        <v>2756.31</v>
      </c>
      <c r="Q837" t="s">
        <v>74</v>
      </c>
      <c r="R837" t="s">
        <v>56</v>
      </c>
      <c r="S837" t="s">
        <v>86</v>
      </c>
      <c r="T837">
        <f>YEAR(Table1_1[[#This Row],[order_date]])</f>
        <v>2025</v>
      </c>
      <c r="U837">
        <f>MONTH(Table1_1[[#This Row],[order_date]])</f>
        <v>3</v>
      </c>
      <c r="V837" t="str">
        <f>TEXT(Table1_1[[#This Row],[order_date]],"mmm")</f>
        <v>Mar</v>
      </c>
      <c r="W837" t="str">
        <f>"Q"&amp;ROUNDUP(MONTH(Table1_1[[#This Row],[order_date]])/3,0)</f>
        <v>Q1</v>
      </c>
      <c r="X837" t="str">
        <f>TEXT(Table1_1[[#This Row],[order_date]],"yyyy-mm")</f>
        <v>2025-03</v>
      </c>
      <c r="Y837">
        <f>IF(Table1_1[[#This Row],[ship_date]]="","",Table1_1[[#This Row],[ship_date]]-Table1_1[[#This Row],[order_date]])</f>
        <v>5</v>
      </c>
      <c r="Z837">
        <f>ROUND(Table1_1[[#This Row],[profit]]/Table1_1[[#This Row],[sales_fix]]*100,2)</f>
        <v>21.53</v>
      </c>
    </row>
    <row r="838" spans="1:26" x14ac:dyDescent="0.3">
      <c r="A838" t="s">
        <v>2671</v>
      </c>
      <c r="B838" s="1">
        <v>45434</v>
      </c>
      <c r="C838" s="1">
        <v>45441</v>
      </c>
      <c r="D838" t="s">
        <v>403</v>
      </c>
      <c r="E838" t="s">
        <v>404</v>
      </c>
      <c r="F838" t="s">
        <v>55</v>
      </c>
      <c r="G838" t="s">
        <v>35</v>
      </c>
      <c r="H838" t="s">
        <v>36</v>
      </c>
      <c r="I838" t="s">
        <v>114</v>
      </c>
      <c r="J838" t="s">
        <v>115</v>
      </c>
      <c r="K838" t="s">
        <v>65</v>
      </c>
      <c r="L838">
        <v>1</v>
      </c>
      <c r="M838">
        <v>55000</v>
      </c>
      <c r="N838">
        <v>0</v>
      </c>
      <c r="O838">
        <v>55000</v>
      </c>
      <c r="P838">
        <v>9180.0400000000009</v>
      </c>
      <c r="Q838" t="s">
        <v>28</v>
      </c>
      <c r="R838" t="s">
        <v>29</v>
      </c>
      <c r="S838" t="s">
        <v>30</v>
      </c>
      <c r="T838">
        <f>YEAR(Table1_1[[#This Row],[order_date]])</f>
        <v>2024</v>
      </c>
      <c r="U838">
        <f>MONTH(Table1_1[[#This Row],[order_date]])</f>
        <v>5</v>
      </c>
      <c r="V838" t="str">
        <f>TEXT(Table1_1[[#This Row],[order_date]],"mmm")</f>
        <v>May</v>
      </c>
      <c r="W838" t="str">
        <f>"Q"&amp;ROUNDUP(MONTH(Table1_1[[#This Row],[order_date]])/3,0)</f>
        <v>Q2</v>
      </c>
      <c r="X838" t="str">
        <f>TEXT(Table1_1[[#This Row],[order_date]],"yyyy-mm")</f>
        <v>2024-05</v>
      </c>
      <c r="Y838">
        <f>IF(Table1_1[[#This Row],[ship_date]]="","",Table1_1[[#This Row],[ship_date]]-Table1_1[[#This Row],[order_date]])</f>
        <v>7</v>
      </c>
      <c r="Z838">
        <f>ROUND(Table1_1[[#This Row],[profit]]/Table1_1[[#This Row],[sales_fix]]*100,2)</f>
        <v>16.690000000000001</v>
      </c>
    </row>
    <row r="839" spans="1:26" x14ac:dyDescent="0.3">
      <c r="A839" t="s">
        <v>3035</v>
      </c>
      <c r="B839" s="1">
        <v>45687</v>
      </c>
      <c r="C839" s="1">
        <v>45695</v>
      </c>
      <c r="D839" t="s">
        <v>1394</v>
      </c>
      <c r="E839" t="s">
        <v>1395</v>
      </c>
      <c r="F839" t="s">
        <v>55</v>
      </c>
      <c r="G839" t="s">
        <v>61</v>
      </c>
      <c r="H839" t="s">
        <v>211</v>
      </c>
      <c r="I839" t="s">
        <v>46</v>
      </c>
      <c r="J839" t="s">
        <v>47</v>
      </c>
      <c r="K839" t="s">
        <v>48</v>
      </c>
      <c r="L839">
        <v>1</v>
      </c>
      <c r="M839">
        <v>180</v>
      </c>
      <c r="N839">
        <v>0</v>
      </c>
      <c r="O839">
        <v>180</v>
      </c>
      <c r="P839">
        <v>67.349999999999994</v>
      </c>
      <c r="Q839" t="s">
        <v>156</v>
      </c>
      <c r="R839" t="s">
        <v>49</v>
      </c>
      <c r="S839" t="s">
        <v>86</v>
      </c>
      <c r="T839">
        <f>YEAR(Table1_1[[#This Row],[order_date]])</f>
        <v>2025</v>
      </c>
      <c r="U839">
        <f>MONTH(Table1_1[[#This Row],[order_date]])</f>
        <v>1</v>
      </c>
      <c r="V839" t="str">
        <f>TEXT(Table1_1[[#This Row],[order_date]],"mmm")</f>
        <v>Jan</v>
      </c>
      <c r="W839" t="str">
        <f>"Q"&amp;ROUNDUP(MONTH(Table1_1[[#This Row],[order_date]])/3,0)</f>
        <v>Q1</v>
      </c>
      <c r="X839" t="str">
        <f>TEXT(Table1_1[[#This Row],[order_date]],"yyyy-mm")</f>
        <v>2025-01</v>
      </c>
      <c r="Y839">
        <f>IF(Table1_1[[#This Row],[ship_date]]="","",Table1_1[[#This Row],[ship_date]]-Table1_1[[#This Row],[order_date]])</f>
        <v>8</v>
      </c>
      <c r="Z839">
        <f>ROUND(Table1_1[[#This Row],[profit]]/Table1_1[[#This Row],[sales_fix]]*100,2)</f>
        <v>37.42</v>
      </c>
    </row>
    <row r="840" spans="1:26" x14ac:dyDescent="0.3">
      <c r="A840" t="s">
        <v>1295</v>
      </c>
      <c r="B840" s="1">
        <v>45983</v>
      </c>
      <c r="C840" s="1">
        <v>45984</v>
      </c>
      <c r="D840" t="s">
        <v>847</v>
      </c>
      <c r="E840" t="s">
        <v>848</v>
      </c>
      <c r="F840" t="s">
        <v>23</v>
      </c>
      <c r="G840" t="s">
        <v>44</v>
      </c>
      <c r="H840" t="s">
        <v>161</v>
      </c>
      <c r="I840" t="s">
        <v>63</v>
      </c>
      <c r="J840" t="s">
        <v>64</v>
      </c>
      <c r="K840" t="s">
        <v>65</v>
      </c>
      <c r="L840">
        <v>1</v>
      </c>
      <c r="M840">
        <v>25000</v>
      </c>
      <c r="N840">
        <v>15</v>
      </c>
      <c r="O840">
        <v>21250</v>
      </c>
      <c r="P840">
        <v>3000.54</v>
      </c>
      <c r="Q840" t="s">
        <v>121</v>
      </c>
      <c r="R840" t="s">
        <v>29</v>
      </c>
      <c r="S840" t="s">
        <v>86</v>
      </c>
      <c r="T840">
        <f>YEAR(Table1_1[[#This Row],[order_date]])</f>
        <v>2025</v>
      </c>
      <c r="U840">
        <f>MONTH(Table1_1[[#This Row],[order_date]])</f>
        <v>11</v>
      </c>
      <c r="V840" t="str">
        <f>TEXT(Table1_1[[#This Row],[order_date]],"mmm")</f>
        <v>Nov</v>
      </c>
      <c r="W840" t="str">
        <f>"Q"&amp;ROUNDUP(MONTH(Table1_1[[#This Row],[order_date]])/3,0)</f>
        <v>Q4</v>
      </c>
      <c r="X840" t="str">
        <f>TEXT(Table1_1[[#This Row],[order_date]],"yyyy-mm")</f>
        <v>2025-11</v>
      </c>
      <c r="Y840">
        <f>IF(Table1_1[[#This Row],[ship_date]]="","",Table1_1[[#This Row],[ship_date]]-Table1_1[[#This Row],[order_date]])</f>
        <v>1</v>
      </c>
      <c r="Z840">
        <f>ROUND(Table1_1[[#This Row],[profit]]/Table1_1[[#This Row],[sales_fix]]*100,2)</f>
        <v>14.12</v>
      </c>
    </row>
    <row r="841" spans="1:26" x14ac:dyDescent="0.3">
      <c r="A841" t="s">
        <v>1321</v>
      </c>
      <c r="B841" s="1">
        <v>45502</v>
      </c>
      <c r="C841" s="1">
        <v>45510</v>
      </c>
      <c r="D841" t="s">
        <v>301</v>
      </c>
      <c r="E841" t="s">
        <v>302</v>
      </c>
      <c r="F841" t="s">
        <v>34</v>
      </c>
      <c r="G841" t="s">
        <v>44</v>
      </c>
      <c r="H841" t="s">
        <v>24</v>
      </c>
      <c r="I841" t="s">
        <v>25</v>
      </c>
      <c r="J841" t="s">
        <v>26</v>
      </c>
      <c r="K841" t="s">
        <v>27</v>
      </c>
      <c r="L841">
        <v>1</v>
      </c>
      <c r="M841">
        <v>7000</v>
      </c>
      <c r="N841">
        <v>15</v>
      </c>
      <c r="O841">
        <v>5950</v>
      </c>
      <c r="P841">
        <v>1190.8699999999999</v>
      </c>
      <c r="Q841" t="s">
        <v>66</v>
      </c>
      <c r="R841" t="s">
        <v>49</v>
      </c>
      <c r="S841" t="s">
        <v>40</v>
      </c>
      <c r="T841">
        <f>YEAR(Table1_1[[#This Row],[order_date]])</f>
        <v>2024</v>
      </c>
      <c r="U841">
        <f>MONTH(Table1_1[[#This Row],[order_date]])</f>
        <v>7</v>
      </c>
      <c r="V841" t="str">
        <f>TEXT(Table1_1[[#This Row],[order_date]],"mmm")</f>
        <v>Jul</v>
      </c>
      <c r="W841" t="str">
        <f>"Q"&amp;ROUNDUP(MONTH(Table1_1[[#This Row],[order_date]])/3,0)</f>
        <v>Q3</v>
      </c>
      <c r="X841" t="str">
        <f>TEXT(Table1_1[[#This Row],[order_date]],"yyyy-mm")</f>
        <v>2024-07</v>
      </c>
      <c r="Y841">
        <f>IF(Table1_1[[#This Row],[ship_date]]="","",Table1_1[[#This Row],[ship_date]]-Table1_1[[#This Row],[order_date]])</f>
        <v>8</v>
      </c>
      <c r="Z841">
        <f>ROUND(Table1_1[[#This Row],[profit]]/Table1_1[[#This Row],[sales_fix]]*100,2)</f>
        <v>20.010000000000002</v>
      </c>
    </row>
    <row r="842" spans="1:26" x14ac:dyDescent="0.3">
      <c r="A842" t="s">
        <v>612</v>
      </c>
      <c r="B842" s="1">
        <v>45626</v>
      </c>
      <c r="C842" s="1">
        <v>45629</v>
      </c>
      <c r="D842" t="s">
        <v>613</v>
      </c>
      <c r="E842" t="s">
        <v>614</v>
      </c>
      <c r="F842" t="s">
        <v>55</v>
      </c>
      <c r="G842" t="s">
        <v>61</v>
      </c>
      <c r="H842" t="s">
        <v>211</v>
      </c>
      <c r="I842" t="s">
        <v>79</v>
      </c>
      <c r="J842" t="s">
        <v>80</v>
      </c>
      <c r="K842" t="s">
        <v>65</v>
      </c>
      <c r="L842">
        <v>2</v>
      </c>
      <c r="M842">
        <v>3000</v>
      </c>
      <c r="N842">
        <v>0</v>
      </c>
      <c r="O842">
        <v>6000</v>
      </c>
      <c r="P842">
        <v>1972.51</v>
      </c>
      <c r="Q842" t="s">
        <v>39</v>
      </c>
      <c r="R842" t="s">
        <v>49</v>
      </c>
      <c r="S842" t="s">
        <v>30</v>
      </c>
      <c r="T842">
        <f>YEAR(Table1_1[[#This Row],[order_date]])</f>
        <v>2024</v>
      </c>
      <c r="U842">
        <f>MONTH(Table1_1[[#This Row],[order_date]])</f>
        <v>11</v>
      </c>
      <c r="V842" t="str">
        <f>TEXT(Table1_1[[#This Row],[order_date]],"mmm")</f>
        <v>Nov</v>
      </c>
      <c r="W842" t="str">
        <f>"Q"&amp;ROUNDUP(MONTH(Table1_1[[#This Row],[order_date]])/3,0)</f>
        <v>Q4</v>
      </c>
      <c r="X842" t="str">
        <f>TEXT(Table1_1[[#This Row],[order_date]],"yyyy-mm")</f>
        <v>2024-11</v>
      </c>
      <c r="Y842">
        <f>IF(Table1_1[[#This Row],[ship_date]]="","",Table1_1[[#This Row],[ship_date]]-Table1_1[[#This Row],[order_date]])</f>
        <v>3</v>
      </c>
      <c r="Z842">
        <f>ROUND(Table1_1[[#This Row],[profit]]/Table1_1[[#This Row],[sales_fix]]*100,2)</f>
        <v>32.880000000000003</v>
      </c>
    </row>
    <row r="843" spans="1:26" x14ac:dyDescent="0.3">
      <c r="A843" t="s">
        <v>2150</v>
      </c>
      <c r="B843" s="1">
        <v>45503</v>
      </c>
      <c r="C843" s="1">
        <v>45511</v>
      </c>
      <c r="D843" t="s">
        <v>1048</v>
      </c>
      <c r="E843" t="s">
        <v>1049</v>
      </c>
      <c r="F843" t="s">
        <v>34</v>
      </c>
      <c r="G843" t="s">
        <v>61</v>
      </c>
      <c r="H843" t="s">
        <v>125</v>
      </c>
      <c r="I843" t="s">
        <v>134</v>
      </c>
      <c r="J843" t="s">
        <v>135</v>
      </c>
      <c r="K843" t="s">
        <v>27</v>
      </c>
      <c r="L843">
        <v>1</v>
      </c>
      <c r="M843">
        <v>6000</v>
      </c>
      <c r="N843">
        <v>0</v>
      </c>
      <c r="O843">
        <v>6000</v>
      </c>
      <c r="P843">
        <v>1186.42</v>
      </c>
      <c r="Q843" t="s">
        <v>121</v>
      </c>
      <c r="R843" t="s">
        <v>56</v>
      </c>
      <c r="S843" t="s">
        <v>40</v>
      </c>
      <c r="T843">
        <f>YEAR(Table1_1[[#This Row],[order_date]])</f>
        <v>2024</v>
      </c>
      <c r="U843">
        <f>MONTH(Table1_1[[#This Row],[order_date]])</f>
        <v>7</v>
      </c>
      <c r="V843" t="str">
        <f>TEXT(Table1_1[[#This Row],[order_date]],"mmm")</f>
        <v>Jul</v>
      </c>
      <c r="W843" t="str">
        <f>"Q"&amp;ROUNDUP(MONTH(Table1_1[[#This Row],[order_date]])/3,0)</f>
        <v>Q3</v>
      </c>
      <c r="X843" t="str">
        <f>TEXT(Table1_1[[#This Row],[order_date]],"yyyy-mm")</f>
        <v>2024-07</v>
      </c>
      <c r="Y843">
        <f>IF(Table1_1[[#This Row],[ship_date]]="","",Table1_1[[#This Row],[ship_date]]-Table1_1[[#This Row],[order_date]])</f>
        <v>8</v>
      </c>
      <c r="Z843">
        <f>ROUND(Table1_1[[#This Row],[profit]]/Table1_1[[#This Row],[sales_fix]]*100,2)</f>
        <v>19.77</v>
      </c>
    </row>
    <row r="844" spans="1:26" x14ac:dyDescent="0.3">
      <c r="A844" t="s">
        <v>652</v>
      </c>
      <c r="B844" s="1">
        <v>45499</v>
      </c>
      <c r="C844" s="1"/>
      <c r="D844" t="s">
        <v>653</v>
      </c>
      <c r="E844" t="s">
        <v>654</v>
      </c>
      <c r="F844" t="s">
        <v>23</v>
      </c>
      <c r="G844" t="s">
        <v>44</v>
      </c>
      <c r="H844" t="s">
        <v>330</v>
      </c>
      <c r="I844" t="s">
        <v>93</v>
      </c>
      <c r="J844" t="s">
        <v>94</v>
      </c>
      <c r="K844" t="s">
        <v>95</v>
      </c>
      <c r="L844">
        <v>2</v>
      </c>
      <c r="M844">
        <v>1800</v>
      </c>
      <c r="N844">
        <v>15</v>
      </c>
      <c r="O844">
        <v>3060</v>
      </c>
      <c r="P844">
        <v>946.32</v>
      </c>
      <c r="Q844" t="s">
        <v>66</v>
      </c>
      <c r="R844" t="s">
        <v>29</v>
      </c>
      <c r="S844" t="s">
        <v>30</v>
      </c>
      <c r="T844">
        <f>YEAR(Table1_1[[#This Row],[order_date]])</f>
        <v>2024</v>
      </c>
      <c r="U844">
        <f>MONTH(Table1_1[[#This Row],[order_date]])</f>
        <v>7</v>
      </c>
      <c r="V844" t="str">
        <f>TEXT(Table1_1[[#This Row],[order_date]],"mmm")</f>
        <v>Jul</v>
      </c>
      <c r="W844" t="str">
        <f>"Q"&amp;ROUNDUP(MONTH(Table1_1[[#This Row],[order_date]])/3,0)</f>
        <v>Q3</v>
      </c>
      <c r="X844" t="str">
        <f>TEXT(Table1_1[[#This Row],[order_date]],"yyyy-mm")</f>
        <v>2024-07</v>
      </c>
      <c r="Y844" t="str">
        <f>IF(Table1_1[[#This Row],[ship_date]]="","",Table1_1[[#This Row],[ship_date]]-Table1_1[[#This Row],[order_date]])</f>
        <v/>
      </c>
      <c r="Z844">
        <f>ROUND(Table1_1[[#This Row],[profit]]/Table1_1[[#This Row],[sales_fix]]*100,2)</f>
        <v>30.93</v>
      </c>
    </row>
    <row r="845" spans="1:26" x14ac:dyDescent="0.3">
      <c r="A845" t="s">
        <v>1760</v>
      </c>
      <c r="B845" s="1">
        <v>45911</v>
      </c>
      <c r="C845" s="1">
        <v>45919</v>
      </c>
      <c r="D845" t="s">
        <v>1394</v>
      </c>
      <c r="E845" t="s">
        <v>1395</v>
      </c>
      <c r="F845" t="s">
        <v>55</v>
      </c>
      <c r="G845" t="s">
        <v>61</v>
      </c>
      <c r="H845" t="s">
        <v>211</v>
      </c>
      <c r="I845" t="s">
        <v>134</v>
      </c>
      <c r="J845" t="s">
        <v>135</v>
      </c>
      <c r="K845" t="s">
        <v>27</v>
      </c>
      <c r="L845">
        <v>4</v>
      </c>
      <c r="M845">
        <v>6000</v>
      </c>
      <c r="N845">
        <v>10</v>
      </c>
      <c r="O845">
        <v>21600</v>
      </c>
      <c r="P845">
        <v>4310.79</v>
      </c>
      <c r="Q845" t="s">
        <v>28</v>
      </c>
      <c r="R845" t="s">
        <v>49</v>
      </c>
      <c r="S845" t="s">
        <v>40</v>
      </c>
      <c r="T845">
        <f>YEAR(Table1_1[[#This Row],[order_date]])</f>
        <v>2025</v>
      </c>
      <c r="U845">
        <f>MONTH(Table1_1[[#This Row],[order_date]])</f>
        <v>9</v>
      </c>
      <c r="V845" t="str">
        <f>TEXT(Table1_1[[#This Row],[order_date]],"mmm")</f>
        <v>Sep</v>
      </c>
      <c r="W845" t="str">
        <f>"Q"&amp;ROUNDUP(MONTH(Table1_1[[#This Row],[order_date]])/3,0)</f>
        <v>Q3</v>
      </c>
      <c r="X845" t="str">
        <f>TEXT(Table1_1[[#This Row],[order_date]],"yyyy-mm")</f>
        <v>2025-09</v>
      </c>
      <c r="Y845">
        <f>IF(Table1_1[[#This Row],[ship_date]]="","",Table1_1[[#This Row],[ship_date]]-Table1_1[[#This Row],[order_date]])</f>
        <v>8</v>
      </c>
      <c r="Z845">
        <f>ROUND(Table1_1[[#This Row],[profit]]/Table1_1[[#This Row],[sales_fix]]*100,2)</f>
        <v>19.96</v>
      </c>
    </row>
    <row r="846" spans="1:26" x14ac:dyDescent="0.3">
      <c r="A846" t="s">
        <v>351</v>
      </c>
      <c r="B846" s="1">
        <v>45385</v>
      </c>
      <c r="C846" s="1">
        <v>45390</v>
      </c>
      <c r="D846" t="s">
        <v>352</v>
      </c>
      <c r="E846" t="s">
        <v>353</v>
      </c>
      <c r="F846" t="s">
        <v>55</v>
      </c>
      <c r="G846" t="s">
        <v>35</v>
      </c>
      <c r="H846" t="s">
        <v>36</v>
      </c>
      <c r="I846" t="s">
        <v>71</v>
      </c>
      <c r="J846" t="s">
        <v>72</v>
      </c>
      <c r="K846" t="s">
        <v>73</v>
      </c>
      <c r="L846">
        <v>1</v>
      </c>
      <c r="M846">
        <v>3500</v>
      </c>
      <c r="N846">
        <v>5</v>
      </c>
      <c r="O846">
        <v>3325</v>
      </c>
      <c r="P846">
        <v>892.39</v>
      </c>
      <c r="Q846" t="s">
        <v>28</v>
      </c>
      <c r="R846" t="s">
        <v>56</v>
      </c>
      <c r="S846" t="s">
        <v>50</v>
      </c>
      <c r="T846">
        <f>YEAR(Table1_1[[#This Row],[order_date]])</f>
        <v>2024</v>
      </c>
      <c r="U846">
        <f>MONTH(Table1_1[[#This Row],[order_date]])</f>
        <v>4</v>
      </c>
      <c r="V846" t="str">
        <f>TEXT(Table1_1[[#This Row],[order_date]],"mmm")</f>
        <v>Apr</v>
      </c>
      <c r="W846" t="str">
        <f>"Q"&amp;ROUNDUP(MONTH(Table1_1[[#This Row],[order_date]])/3,0)</f>
        <v>Q2</v>
      </c>
      <c r="X846" t="str">
        <f>TEXT(Table1_1[[#This Row],[order_date]],"yyyy-mm")</f>
        <v>2024-04</v>
      </c>
      <c r="Y846">
        <f>IF(Table1_1[[#This Row],[ship_date]]="","",Table1_1[[#This Row],[ship_date]]-Table1_1[[#This Row],[order_date]])</f>
        <v>5</v>
      </c>
      <c r="Z846">
        <f>ROUND(Table1_1[[#This Row],[profit]]/Table1_1[[#This Row],[sales_fix]]*100,2)</f>
        <v>26.84</v>
      </c>
    </row>
    <row r="847" spans="1:26" x14ac:dyDescent="0.3">
      <c r="A847" t="s">
        <v>1534</v>
      </c>
      <c r="B847" s="1">
        <v>45475</v>
      </c>
      <c r="C847" s="1">
        <v>45482</v>
      </c>
      <c r="D847" t="s">
        <v>520</v>
      </c>
      <c r="E847" t="s">
        <v>521</v>
      </c>
      <c r="F847" t="s">
        <v>23</v>
      </c>
      <c r="G847" t="s">
        <v>91</v>
      </c>
      <c r="H847" t="s">
        <v>109</v>
      </c>
      <c r="I847" t="s">
        <v>103</v>
      </c>
      <c r="J847" t="s">
        <v>104</v>
      </c>
      <c r="K847" t="s">
        <v>65</v>
      </c>
      <c r="L847">
        <v>4</v>
      </c>
      <c r="M847">
        <v>8000</v>
      </c>
      <c r="N847">
        <v>15</v>
      </c>
      <c r="O847">
        <v>27200</v>
      </c>
      <c r="P847">
        <v>5935.25</v>
      </c>
      <c r="Q847" t="s">
        <v>156</v>
      </c>
      <c r="R847" t="s">
        <v>29</v>
      </c>
      <c r="S847" t="s">
        <v>40</v>
      </c>
      <c r="T847">
        <f>YEAR(Table1_1[[#This Row],[order_date]])</f>
        <v>2024</v>
      </c>
      <c r="U847">
        <f>MONTH(Table1_1[[#This Row],[order_date]])</f>
        <v>7</v>
      </c>
      <c r="V847" t="str">
        <f>TEXT(Table1_1[[#This Row],[order_date]],"mmm")</f>
        <v>Jul</v>
      </c>
      <c r="W847" t="str">
        <f>"Q"&amp;ROUNDUP(MONTH(Table1_1[[#This Row],[order_date]])/3,0)</f>
        <v>Q3</v>
      </c>
      <c r="X847" t="str">
        <f>TEXT(Table1_1[[#This Row],[order_date]],"yyyy-mm")</f>
        <v>2024-07</v>
      </c>
      <c r="Y847">
        <f>IF(Table1_1[[#This Row],[ship_date]]="","",Table1_1[[#This Row],[ship_date]]-Table1_1[[#This Row],[order_date]])</f>
        <v>7</v>
      </c>
      <c r="Z847">
        <f>ROUND(Table1_1[[#This Row],[profit]]/Table1_1[[#This Row],[sales_fix]]*100,2)</f>
        <v>21.82</v>
      </c>
    </row>
    <row r="848" spans="1:26" x14ac:dyDescent="0.3">
      <c r="A848" t="s">
        <v>1689</v>
      </c>
      <c r="B848" s="1">
        <v>46007</v>
      </c>
      <c r="C848" s="1">
        <v>46012</v>
      </c>
      <c r="D848" t="s">
        <v>890</v>
      </c>
      <c r="E848" t="s">
        <v>891</v>
      </c>
      <c r="F848" t="s">
        <v>34</v>
      </c>
      <c r="G848" t="s">
        <v>35</v>
      </c>
      <c r="H848" t="s">
        <v>36</v>
      </c>
      <c r="I848" t="s">
        <v>134</v>
      </c>
      <c r="J848" t="s">
        <v>135</v>
      </c>
      <c r="K848" t="s">
        <v>27</v>
      </c>
      <c r="L848">
        <v>1</v>
      </c>
      <c r="M848">
        <v>6000</v>
      </c>
      <c r="N848">
        <v>20</v>
      </c>
      <c r="O848">
        <v>4800</v>
      </c>
      <c r="P848">
        <v>879.18</v>
      </c>
      <c r="Q848" t="s">
        <v>156</v>
      </c>
      <c r="R848" t="s">
        <v>29</v>
      </c>
      <c r="S848" t="s">
        <v>50</v>
      </c>
      <c r="T848">
        <f>YEAR(Table1_1[[#This Row],[order_date]])</f>
        <v>2025</v>
      </c>
      <c r="U848">
        <f>MONTH(Table1_1[[#This Row],[order_date]])</f>
        <v>12</v>
      </c>
      <c r="V848" t="str">
        <f>TEXT(Table1_1[[#This Row],[order_date]],"mmm")</f>
        <v>Dec</v>
      </c>
      <c r="W848" t="str">
        <f>"Q"&amp;ROUNDUP(MONTH(Table1_1[[#This Row],[order_date]])/3,0)</f>
        <v>Q4</v>
      </c>
      <c r="X848" t="str">
        <f>TEXT(Table1_1[[#This Row],[order_date]],"yyyy-mm")</f>
        <v>2025-12</v>
      </c>
      <c r="Y848">
        <f>IF(Table1_1[[#This Row],[ship_date]]="","",Table1_1[[#This Row],[ship_date]]-Table1_1[[#This Row],[order_date]])</f>
        <v>5</v>
      </c>
      <c r="Z848">
        <f>ROUND(Table1_1[[#This Row],[profit]]/Table1_1[[#This Row],[sales_fix]]*100,2)</f>
        <v>18.32</v>
      </c>
    </row>
    <row r="849" spans="1:26" x14ac:dyDescent="0.3">
      <c r="A849" t="s">
        <v>1905</v>
      </c>
      <c r="B849" s="1">
        <v>45858</v>
      </c>
      <c r="C849" s="1">
        <v>45860</v>
      </c>
      <c r="D849" t="s">
        <v>936</v>
      </c>
      <c r="E849" t="s">
        <v>937</v>
      </c>
      <c r="F849" t="s">
        <v>23</v>
      </c>
      <c r="G849" t="s">
        <v>44</v>
      </c>
      <c r="H849" t="s">
        <v>161</v>
      </c>
      <c r="I849" t="s">
        <v>134</v>
      </c>
      <c r="J849" t="s">
        <v>135</v>
      </c>
      <c r="K849" t="s">
        <v>27</v>
      </c>
      <c r="L849">
        <v>1</v>
      </c>
      <c r="M849">
        <v>6000</v>
      </c>
      <c r="N849">
        <v>0</v>
      </c>
      <c r="O849">
        <v>6000</v>
      </c>
      <c r="P849">
        <v>1052.08</v>
      </c>
      <c r="Q849" t="s">
        <v>39</v>
      </c>
      <c r="R849" t="s">
        <v>49</v>
      </c>
      <c r="S849" t="s">
        <v>30</v>
      </c>
      <c r="T849">
        <f>YEAR(Table1_1[[#This Row],[order_date]])</f>
        <v>2025</v>
      </c>
      <c r="U849">
        <f>MONTH(Table1_1[[#This Row],[order_date]])</f>
        <v>7</v>
      </c>
      <c r="V849" t="str">
        <f>TEXT(Table1_1[[#This Row],[order_date]],"mmm")</f>
        <v>Jul</v>
      </c>
      <c r="W849" t="str">
        <f>"Q"&amp;ROUNDUP(MONTH(Table1_1[[#This Row],[order_date]])/3,0)</f>
        <v>Q3</v>
      </c>
      <c r="X849" t="str">
        <f>TEXT(Table1_1[[#This Row],[order_date]],"yyyy-mm")</f>
        <v>2025-07</v>
      </c>
      <c r="Y849">
        <f>IF(Table1_1[[#This Row],[ship_date]]="","",Table1_1[[#This Row],[ship_date]]-Table1_1[[#This Row],[order_date]])</f>
        <v>2</v>
      </c>
      <c r="Z849">
        <f>ROUND(Table1_1[[#This Row],[profit]]/Table1_1[[#This Row],[sales_fix]]*100,2)</f>
        <v>17.53</v>
      </c>
    </row>
    <row r="850" spans="1:26" x14ac:dyDescent="0.3">
      <c r="A850" t="s">
        <v>1819</v>
      </c>
      <c r="B850" s="1">
        <v>45550</v>
      </c>
      <c r="C850" s="1">
        <v>45552</v>
      </c>
      <c r="D850" t="s">
        <v>192</v>
      </c>
      <c r="E850" t="s">
        <v>193</v>
      </c>
      <c r="F850" t="s">
        <v>55</v>
      </c>
      <c r="G850" t="s">
        <v>35</v>
      </c>
      <c r="H850" t="s">
        <v>36</v>
      </c>
      <c r="I850" t="s">
        <v>79</v>
      </c>
      <c r="J850" t="s">
        <v>80</v>
      </c>
      <c r="K850" t="s">
        <v>65</v>
      </c>
      <c r="L850">
        <v>1</v>
      </c>
      <c r="M850">
        <v>3000</v>
      </c>
      <c r="N850">
        <v>0</v>
      </c>
      <c r="O850">
        <v>3000</v>
      </c>
      <c r="P850">
        <v>796.38</v>
      </c>
      <c r="Q850" t="s">
        <v>156</v>
      </c>
      <c r="R850" t="s">
        <v>56</v>
      </c>
      <c r="S850" t="s">
        <v>30</v>
      </c>
      <c r="T850">
        <f>YEAR(Table1_1[[#This Row],[order_date]])</f>
        <v>2024</v>
      </c>
      <c r="U850">
        <f>MONTH(Table1_1[[#This Row],[order_date]])</f>
        <v>9</v>
      </c>
      <c r="V850" t="str">
        <f>TEXT(Table1_1[[#This Row],[order_date]],"mmm")</f>
        <v>Sep</v>
      </c>
      <c r="W850" t="str">
        <f>"Q"&amp;ROUNDUP(MONTH(Table1_1[[#This Row],[order_date]])/3,0)</f>
        <v>Q3</v>
      </c>
      <c r="X850" t="str">
        <f>TEXT(Table1_1[[#This Row],[order_date]],"yyyy-mm")</f>
        <v>2024-09</v>
      </c>
      <c r="Y850">
        <f>IF(Table1_1[[#This Row],[ship_date]]="","",Table1_1[[#This Row],[ship_date]]-Table1_1[[#This Row],[order_date]])</f>
        <v>2</v>
      </c>
      <c r="Z850">
        <f>ROUND(Table1_1[[#This Row],[profit]]/Table1_1[[#This Row],[sales_fix]]*100,2)</f>
        <v>26.55</v>
      </c>
    </row>
    <row r="851" spans="1:26" x14ac:dyDescent="0.3">
      <c r="A851" t="s">
        <v>1734</v>
      </c>
      <c r="B851" s="1">
        <v>45700</v>
      </c>
      <c r="C851" s="1">
        <v>45705</v>
      </c>
      <c r="D851" t="s">
        <v>159</v>
      </c>
      <c r="E851" t="s">
        <v>160</v>
      </c>
      <c r="F851" t="s">
        <v>34</v>
      </c>
      <c r="G851" t="s">
        <v>44</v>
      </c>
      <c r="H851" t="s">
        <v>161</v>
      </c>
      <c r="I851" t="s">
        <v>37</v>
      </c>
      <c r="J851" t="s">
        <v>38</v>
      </c>
      <c r="K851" t="s">
        <v>27</v>
      </c>
      <c r="L851">
        <v>4</v>
      </c>
      <c r="M851">
        <v>9500</v>
      </c>
      <c r="N851">
        <v>5</v>
      </c>
      <c r="O851">
        <v>36100</v>
      </c>
      <c r="P851">
        <v>5163.09</v>
      </c>
      <c r="Q851" t="s">
        <v>66</v>
      </c>
      <c r="R851" t="s">
        <v>56</v>
      </c>
      <c r="S851" t="s">
        <v>50</v>
      </c>
      <c r="T851">
        <f>YEAR(Table1_1[[#This Row],[order_date]])</f>
        <v>2025</v>
      </c>
      <c r="U851">
        <f>MONTH(Table1_1[[#This Row],[order_date]])</f>
        <v>2</v>
      </c>
      <c r="V851" t="str">
        <f>TEXT(Table1_1[[#This Row],[order_date]],"mmm")</f>
        <v>Feb</v>
      </c>
      <c r="W851" t="str">
        <f>"Q"&amp;ROUNDUP(MONTH(Table1_1[[#This Row],[order_date]])/3,0)</f>
        <v>Q1</v>
      </c>
      <c r="X851" t="str">
        <f>TEXT(Table1_1[[#This Row],[order_date]],"yyyy-mm")</f>
        <v>2025-02</v>
      </c>
      <c r="Y851">
        <f>IF(Table1_1[[#This Row],[ship_date]]="","",Table1_1[[#This Row],[ship_date]]-Table1_1[[#This Row],[order_date]])</f>
        <v>5</v>
      </c>
      <c r="Z851">
        <f>ROUND(Table1_1[[#This Row],[profit]]/Table1_1[[#This Row],[sales_fix]]*100,2)</f>
        <v>14.3</v>
      </c>
    </row>
    <row r="852" spans="1:26" x14ac:dyDescent="0.3">
      <c r="A852" t="s">
        <v>2147</v>
      </c>
      <c r="B852" s="1">
        <v>45767</v>
      </c>
      <c r="C852" s="1">
        <v>45771</v>
      </c>
      <c r="D852" t="s">
        <v>1398</v>
      </c>
      <c r="E852" t="s">
        <v>1399</v>
      </c>
      <c r="F852" t="s">
        <v>34</v>
      </c>
      <c r="G852" t="s">
        <v>91</v>
      </c>
      <c r="H852" t="s">
        <v>92</v>
      </c>
      <c r="I852" t="s">
        <v>126</v>
      </c>
      <c r="J852" t="s">
        <v>127</v>
      </c>
      <c r="K852" t="s">
        <v>95</v>
      </c>
      <c r="L852">
        <v>2</v>
      </c>
      <c r="M852">
        <v>600</v>
      </c>
      <c r="N852">
        <v>0</v>
      </c>
      <c r="O852">
        <v>1200</v>
      </c>
      <c r="P852">
        <v>334.26</v>
      </c>
      <c r="Q852" t="s">
        <v>156</v>
      </c>
      <c r="R852" t="s">
        <v>49</v>
      </c>
      <c r="S852" t="s">
        <v>50</v>
      </c>
      <c r="T852">
        <f>YEAR(Table1_1[[#This Row],[order_date]])</f>
        <v>2025</v>
      </c>
      <c r="U852">
        <f>MONTH(Table1_1[[#This Row],[order_date]])</f>
        <v>4</v>
      </c>
      <c r="V852" t="str">
        <f>TEXT(Table1_1[[#This Row],[order_date]],"mmm")</f>
        <v>Apr</v>
      </c>
      <c r="W852" t="str">
        <f>"Q"&amp;ROUNDUP(MONTH(Table1_1[[#This Row],[order_date]])/3,0)</f>
        <v>Q2</v>
      </c>
      <c r="X852" t="str">
        <f>TEXT(Table1_1[[#This Row],[order_date]],"yyyy-mm")</f>
        <v>2025-04</v>
      </c>
      <c r="Y852">
        <f>IF(Table1_1[[#This Row],[ship_date]]="","",Table1_1[[#This Row],[ship_date]]-Table1_1[[#This Row],[order_date]])</f>
        <v>4</v>
      </c>
      <c r="Z852">
        <f>ROUND(Table1_1[[#This Row],[profit]]/Table1_1[[#This Row],[sales_fix]]*100,2)</f>
        <v>27.86</v>
      </c>
    </row>
    <row r="853" spans="1:26" x14ac:dyDescent="0.3">
      <c r="A853" t="s">
        <v>2474</v>
      </c>
      <c r="B853" s="1">
        <v>45457</v>
      </c>
      <c r="C853" s="1">
        <v>45460</v>
      </c>
      <c r="D853" t="s">
        <v>1388</v>
      </c>
      <c r="E853" t="s">
        <v>1389</v>
      </c>
      <c r="F853" t="s">
        <v>34</v>
      </c>
      <c r="G853" t="s">
        <v>61</v>
      </c>
      <c r="H853" t="s">
        <v>78</v>
      </c>
      <c r="I853" t="s">
        <v>25</v>
      </c>
      <c r="J853" t="s">
        <v>26</v>
      </c>
      <c r="K853" t="s">
        <v>27</v>
      </c>
      <c r="L853">
        <v>1</v>
      </c>
      <c r="M853">
        <v>7000</v>
      </c>
      <c r="N853">
        <v>0</v>
      </c>
      <c r="O853">
        <v>7000</v>
      </c>
      <c r="P853">
        <v>1451.9</v>
      </c>
      <c r="Q853" t="s">
        <v>74</v>
      </c>
      <c r="R853" t="s">
        <v>29</v>
      </c>
      <c r="S853" t="s">
        <v>40</v>
      </c>
      <c r="T853">
        <f>YEAR(Table1_1[[#This Row],[order_date]])</f>
        <v>2024</v>
      </c>
      <c r="U853">
        <f>MONTH(Table1_1[[#This Row],[order_date]])</f>
        <v>6</v>
      </c>
      <c r="V853" t="str">
        <f>TEXT(Table1_1[[#This Row],[order_date]],"mmm")</f>
        <v>Jun</v>
      </c>
      <c r="W853" t="str">
        <f>"Q"&amp;ROUNDUP(MONTH(Table1_1[[#This Row],[order_date]])/3,0)</f>
        <v>Q2</v>
      </c>
      <c r="X853" t="str">
        <f>TEXT(Table1_1[[#This Row],[order_date]],"yyyy-mm")</f>
        <v>2024-06</v>
      </c>
      <c r="Y853">
        <f>IF(Table1_1[[#This Row],[ship_date]]="","",Table1_1[[#This Row],[ship_date]]-Table1_1[[#This Row],[order_date]])</f>
        <v>3</v>
      </c>
      <c r="Z853">
        <f>ROUND(Table1_1[[#This Row],[profit]]/Table1_1[[#This Row],[sales_fix]]*100,2)</f>
        <v>20.74</v>
      </c>
    </row>
    <row r="854" spans="1:26" x14ac:dyDescent="0.3">
      <c r="A854" t="s">
        <v>2701</v>
      </c>
      <c r="B854" s="1">
        <v>45371</v>
      </c>
      <c r="C854" s="1">
        <v>45374</v>
      </c>
      <c r="D854" t="s">
        <v>674</v>
      </c>
      <c r="E854" t="s">
        <v>675</v>
      </c>
      <c r="F854" t="s">
        <v>55</v>
      </c>
      <c r="G854" t="s">
        <v>91</v>
      </c>
      <c r="H854" t="s">
        <v>109</v>
      </c>
      <c r="I854" t="s">
        <v>79</v>
      </c>
      <c r="J854" t="s">
        <v>80</v>
      </c>
      <c r="K854" t="s">
        <v>65</v>
      </c>
      <c r="L854">
        <v>3</v>
      </c>
      <c r="M854">
        <v>3000</v>
      </c>
      <c r="N854">
        <v>0</v>
      </c>
      <c r="O854">
        <v>9000</v>
      </c>
      <c r="P854">
        <v>2621.57</v>
      </c>
      <c r="Q854" t="s">
        <v>28</v>
      </c>
      <c r="R854" t="s">
        <v>49</v>
      </c>
      <c r="S854" t="s">
        <v>50</v>
      </c>
      <c r="T854">
        <f>YEAR(Table1_1[[#This Row],[order_date]])</f>
        <v>2024</v>
      </c>
      <c r="U854">
        <f>MONTH(Table1_1[[#This Row],[order_date]])</f>
        <v>3</v>
      </c>
      <c r="V854" t="str">
        <f>TEXT(Table1_1[[#This Row],[order_date]],"mmm")</f>
        <v>Mar</v>
      </c>
      <c r="W854" t="str">
        <f>"Q"&amp;ROUNDUP(MONTH(Table1_1[[#This Row],[order_date]])/3,0)</f>
        <v>Q1</v>
      </c>
      <c r="X854" t="str">
        <f>TEXT(Table1_1[[#This Row],[order_date]],"yyyy-mm")</f>
        <v>2024-03</v>
      </c>
      <c r="Y854">
        <f>IF(Table1_1[[#This Row],[ship_date]]="","",Table1_1[[#This Row],[ship_date]]-Table1_1[[#This Row],[order_date]])</f>
        <v>3</v>
      </c>
      <c r="Z854">
        <f>ROUND(Table1_1[[#This Row],[profit]]/Table1_1[[#This Row],[sales_fix]]*100,2)</f>
        <v>29.13</v>
      </c>
    </row>
    <row r="855" spans="1:26" x14ac:dyDescent="0.3">
      <c r="A855" t="s">
        <v>1521</v>
      </c>
      <c r="B855" s="1">
        <v>45327</v>
      </c>
      <c r="C855" s="1">
        <v>45328</v>
      </c>
      <c r="D855" t="s">
        <v>349</v>
      </c>
      <c r="E855" t="s">
        <v>350</v>
      </c>
      <c r="F855" t="s">
        <v>34</v>
      </c>
      <c r="G855" t="s">
        <v>91</v>
      </c>
      <c r="H855" t="s">
        <v>120</v>
      </c>
      <c r="I855" t="s">
        <v>71</v>
      </c>
      <c r="J855" t="s">
        <v>72</v>
      </c>
      <c r="K855" t="s">
        <v>73</v>
      </c>
      <c r="L855">
        <v>4</v>
      </c>
      <c r="M855">
        <v>3500</v>
      </c>
      <c r="N855">
        <v>10</v>
      </c>
      <c r="O855">
        <v>12600</v>
      </c>
      <c r="P855">
        <v>3171.03</v>
      </c>
      <c r="Q855" t="s">
        <v>156</v>
      </c>
      <c r="R855" t="s">
        <v>56</v>
      </c>
      <c r="S855" t="s">
        <v>86</v>
      </c>
      <c r="T855">
        <f>YEAR(Table1_1[[#This Row],[order_date]])</f>
        <v>2024</v>
      </c>
      <c r="U855">
        <f>MONTH(Table1_1[[#This Row],[order_date]])</f>
        <v>2</v>
      </c>
      <c r="V855" t="str">
        <f>TEXT(Table1_1[[#This Row],[order_date]],"mmm")</f>
        <v>Feb</v>
      </c>
      <c r="W855" t="str">
        <f>"Q"&amp;ROUNDUP(MONTH(Table1_1[[#This Row],[order_date]])/3,0)</f>
        <v>Q1</v>
      </c>
      <c r="X855" t="str">
        <f>TEXT(Table1_1[[#This Row],[order_date]],"yyyy-mm")</f>
        <v>2024-02</v>
      </c>
      <c r="Y855">
        <f>IF(Table1_1[[#This Row],[ship_date]]="","",Table1_1[[#This Row],[ship_date]]-Table1_1[[#This Row],[order_date]])</f>
        <v>1</v>
      </c>
      <c r="Z855">
        <f>ROUND(Table1_1[[#This Row],[profit]]/Table1_1[[#This Row],[sales_fix]]*100,2)</f>
        <v>25.17</v>
      </c>
    </row>
    <row r="856" spans="1:26" x14ac:dyDescent="0.3">
      <c r="A856" t="s">
        <v>1630</v>
      </c>
      <c r="B856" s="1">
        <v>45607</v>
      </c>
      <c r="C856" s="1">
        <v>45611</v>
      </c>
      <c r="D856" t="s">
        <v>1293</v>
      </c>
      <c r="E856" t="s">
        <v>1294</v>
      </c>
      <c r="F856" t="s">
        <v>34</v>
      </c>
      <c r="G856" t="s">
        <v>61</v>
      </c>
      <c r="H856" t="s">
        <v>211</v>
      </c>
      <c r="I856" t="s">
        <v>71</v>
      </c>
      <c r="J856" t="s">
        <v>72</v>
      </c>
      <c r="K856" t="s">
        <v>73</v>
      </c>
      <c r="L856">
        <v>2</v>
      </c>
      <c r="M856">
        <v>3500</v>
      </c>
      <c r="N856">
        <v>0</v>
      </c>
      <c r="O856">
        <v>7000</v>
      </c>
      <c r="P856">
        <v>2260.08</v>
      </c>
      <c r="Q856" t="s">
        <v>121</v>
      </c>
      <c r="R856" t="s">
        <v>49</v>
      </c>
      <c r="S856" t="s">
        <v>50</v>
      </c>
      <c r="T856">
        <f>YEAR(Table1_1[[#This Row],[order_date]])</f>
        <v>2024</v>
      </c>
      <c r="U856">
        <f>MONTH(Table1_1[[#This Row],[order_date]])</f>
        <v>11</v>
      </c>
      <c r="V856" t="str">
        <f>TEXT(Table1_1[[#This Row],[order_date]],"mmm")</f>
        <v>Nov</v>
      </c>
      <c r="W856" t="str">
        <f>"Q"&amp;ROUNDUP(MONTH(Table1_1[[#This Row],[order_date]])/3,0)</f>
        <v>Q4</v>
      </c>
      <c r="X856" t="str">
        <f>TEXT(Table1_1[[#This Row],[order_date]],"yyyy-mm")</f>
        <v>2024-11</v>
      </c>
      <c r="Y856">
        <f>IF(Table1_1[[#This Row],[ship_date]]="","",Table1_1[[#This Row],[ship_date]]-Table1_1[[#This Row],[order_date]])</f>
        <v>4</v>
      </c>
      <c r="Z856">
        <f>ROUND(Table1_1[[#This Row],[profit]]/Table1_1[[#This Row],[sales_fix]]*100,2)</f>
        <v>32.29</v>
      </c>
    </row>
    <row r="857" spans="1:26" x14ac:dyDescent="0.3">
      <c r="A857" t="s">
        <v>2480</v>
      </c>
      <c r="B857" s="1">
        <v>45308</v>
      </c>
      <c r="C857" s="1">
        <v>45312</v>
      </c>
      <c r="D857" t="s">
        <v>1643</v>
      </c>
      <c r="E857" t="s">
        <v>1644</v>
      </c>
      <c r="F857" t="s">
        <v>55</v>
      </c>
      <c r="G857" t="s">
        <v>91</v>
      </c>
      <c r="H857" t="s">
        <v>120</v>
      </c>
      <c r="I857" t="s">
        <v>63</v>
      </c>
      <c r="J857" t="s">
        <v>64</v>
      </c>
      <c r="K857" t="s">
        <v>65</v>
      </c>
      <c r="L857">
        <v>2</v>
      </c>
      <c r="M857">
        <v>25000</v>
      </c>
      <c r="N857">
        <v>0</v>
      </c>
      <c r="O857">
        <v>50000</v>
      </c>
      <c r="P857">
        <v>6261.35</v>
      </c>
      <c r="Q857" t="s">
        <v>156</v>
      </c>
      <c r="R857" t="s">
        <v>56</v>
      </c>
      <c r="S857" t="s">
        <v>86</v>
      </c>
      <c r="T857">
        <f>YEAR(Table1_1[[#This Row],[order_date]])</f>
        <v>2024</v>
      </c>
      <c r="U857">
        <f>MONTH(Table1_1[[#This Row],[order_date]])</f>
        <v>1</v>
      </c>
      <c r="V857" t="str">
        <f>TEXT(Table1_1[[#This Row],[order_date]],"mmm")</f>
        <v>Jan</v>
      </c>
      <c r="W857" t="str">
        <f>"Q"&amp;ROUNDUP(MONTH(Table1_1[[#This Row],[order_date]])/3,0)</f>
        <v>Q1</v>
      </c>
      <c r="X857" t="str">
        <f>TEXT(Table1_1[[#This Row],[order_date]],"yyyy-mm")</f>
        <v>2024-01</v>
      </c>
      <c r="Y857">
        <f>IF(Table1_1[[#This Row],[ship_date]]="","",Table1_1[[#This Row],[ship_date]]-Table1_1[[#This Row],[order_date]])</f>
        <v>4</v>
      </c>
      <c r="Z857">
        <f>ROUND(Table1_1[[#This Row],[profit]]/Table1_1[[#This Row],[sales_fix]]*100,2)</f>
        <v>12.52</v>
      </c>
    </row>
    <row r="858" spans="1:26" x14ac:dyDescent="0.3">
      <c r="A858" t="s">
        <v>1896</v>
      </c>
      <c r="B858" s="1">
        <v>45972</v>
      </c>
      <c r="C858" s="1">
        <v>45978</v>
      </c>
      <c r="D858" t="s">
        <v>896</v>
      </c>
      <c r="E858" t="s">
        <v>897</v>
      </c>
      <c r="F858" t="s">
        <v>55</v>
      </c>
      <c r="G858" t="s">
        <v>35</v>
      </c>
      <c r="H858" t="s">
        <v>258</v>
      </c>
      <c r="I858" t="s">
        <v>63</v>
      </c>
      <c r="J858" t="s">
        <v>64</v>
      </c>
      <c r="K858" t="s">
        <v>65</v>
      </c>
      <c r="L858">
        <v>1</v>
      </c>
      <c r="M858">
        <v>25000</v>
      </c>
      <c r="N858">
        <v>5</v>
      </c>
      <c r="O858">
        <v>23750</v>
      </c>
      <c r="P858">
        <v>3224.06</v>
      </c>
      <c r="Q858" t="s">
        <v>74</v>
      </c>
      <c r="R858" t="s">
        <v>56</v>
      </c>
      <c r="S858" t="s">
        <v>50</v>
      </c>
      <c r="T858">
        <f>YEAR(Table1_1[[#This Row],[order_date]])</f>
        <v>2025</v>
      </c>
      <c r="U858">
        <f>MONTH(Table1_1[[#This Row],[order_date]])</f>
        <v>11</v>
      </c>
      <c r="V858" t="str">
        <f>TEXT(Table1_1[[#This Row],[order_date]],"mmm")</f>
        <v>Nov</v>
      </c>
      <c r="W858" t="str">
        <f>"Q"&amp;ROUNDUP(MONTH(Table1_1[[#This Row],[order_date]])/3,0)</f>
        <v>Q4</v>
      </c>
      <c r="X858" t="str">
        <f>TEXT(Table1_1[[#This Row],[order_date]],"yyyy-mm")</f>
        <v>2025-11</v>
      </c>
      <c r="Y858">
        <f>IF(Table1_1[[#This Row],[ship_date]]="","",Table1_1[[#This Row],[ship_date]]-Table1_1[[#This Row],[order_date]])</f>
        <v>6</v>
      </c>
      <c r="Z858">
        <f>ROUND(Table1_1[[#This Row],[profit]]/Table1_1[[#This Row],[sales_fix]]*100,2)</f>
        <v>13.57</v>
      </c>
    </row>
    <row r="859" spans="1:26" x14ac:dyDescent="0.3">
      <c r="A859" t="s">
        <v>2724</v>
      </c>
      <c r="B859" s="1">
        <v>45696</v>
      </c>
      <c r="C859" s="1">
        <v>45698</v>
      </c>
      <c r="D859" t="s">
        <v>76</v>
      </c>
      <c r="E859" t="s">
        <v>666</v>
      </c>
      <c r="F859" t="s">
        <v>23</v>
      </c>
      <c r="G859" t="s">
        <v>61</v>
      </c>
      <c r="H859" t="s">
        <v>78</v>
      </c>
      <c r="I859" t="s">
        <v>46</v>
      </c>
      <c r="J859" t="s">
        <v>47</v>
      </c>
      <c r="K859" t="s">
        <v>48</v>
      </c>
      <c r="L859">
        <v>5</v>
      </c>
      <c r="M859">
        <v>180</v>
      </c>
      <c r="N859">
        <v>0</v>
      </c>
      <c r="O859">
        <v>900</v>
      </c>
      <c r="P859">
        <v>321.14999999999998</v>
      </c>
      <c r="Q859" t="s">
        <v>74</v>
      </c>
      <c r="R859" t="s">
        <v>49</v>
      </c>
      <c r="S859" t="s">
        <v>50</v>
      </c>
      <c r="T859">
        <f>YEAR(Table1_1[[#This Row],[order_date]])</f>
        <v>2025</v>
      </c>
      <c r="U859">
        <f>MONTH(Table1_1[[#This Row],[order_date]])</f>
        <v>2</v>
      </c>
      <c r="V859" t="str">
        <f>TEXT(Table1_1[[#This Row],[order_date]],"mmm")</f>
        <v>Feb</v>
      </c>
      <c r="W859" t="str">
        <f>"Q"&amp;ROUNDUP(MONTH(Table1_1[[#This Row],[order_date]])/3,0)</f>
        <v>Q1</v>
      </c>
      <c r="X859" t="str">
        <f>TEXT(Table1_1[[#This Row],[order_date]],"yyyy-mm")</f>
        <v>2025-02</v>
      </c>
      <c r="Y859">
        <f>IF(Table1_1[[#This Row],[ship_date]]="","",Table1_1[[#This Row],[ship_date]]-Table1_1[[#This Row],[order_date]])</f>
        <v>2</v>
      </c>
      <c r="Z859">
        <f>ROUND(Table1_1[[#This Row],[profit]]/Table1_1[[#This Row],[sales_fix]]*100,2)</f>
        <v>35.68</v>
      </c>
    </row>
    <row r="860" spans="1:26" x14ac:dyDescent="0.3">
      <c r="A860" t="s">
        <v>331</v>
      </c>
      <c r="B860" s="1">
        <v>45961</v>
      </c>
      <c r="C860" s="1">
        <v>45966</v>
      </c>
      <c r="D860" t="s">
        <v>332</v>
      </c>
      <c r="E860" t="s">
        <v>333</v>
      </c>
      <c r="F860" t="s">
        <v>23</v>
      </c>
      <c r="G860" t="s">
        <v>91</v>
      </c>
      <c r="H860" t="s">
        <v>177</v>
      </c>
      <c r="I860" t="s">
        <v>134</v>
      </c>
      <c r="J860" t="s">
        <v>135</v>
      </c>
      <c r="K860" t="s">
        <v>27</v>
      </c>
      <c r="L860">
        <v>1</v>
      </c>
      <c r="M860">
        <v>6000</v>
      </c>
      <c r="N860">
        <v>5</v>
      </c>
      <c r="O860">
        <v>5700</v>
      </c>
      <c r="P860">
        <v>1078.04</v>
      </c>
      <c r="Q860" t="s">
        <v>156</v>
      </c>
      <c r="R860" t="s">
        <v>56</v>
      </c>
      <c r="S860" t="s">
        <v>110</v>
      </c>
      <c r="T860">
        <f>YEAR(Table1_1[[#This Row],[order_date]])</f>
        <v>2025</v>
      </c>
      <c r="U860">
        <f>MONTH(Table1_1[[#This Row],[order_date]])</f>
        <v>10</v>
      </c>
      <c r="V860" t="str">
        <f>TEXT(Table1_1[[#This Row],[order_date]],"mmm")</f>
        <v>Oct</v>
      </c>
      <c r="W860" t="str">
        <f>"Q"&amp;ROUNDUP(MONTH(Table1_1[[#This Row],[order_date]])/3,0)</f>
        <v>Q4</v>
      </c>
      <c r="X860" t="str">
        <f>TEXT(Table1_1[[#This Row],[order_date]],"yyyy-mm")</f>
        <v>2025-10</v>
      </c>
      <c r="Y860">
        <f>IF(Table1_1[[#This Row],[ship_date]]="","",Table1_1[[#This Row],[ship_date]]-Table1_1[[#This Row],[order_date]])</f>
        <v>5</v>
      </c>
      <c r="Z860">
        <f>ROUND(Table1_1[[#This Row],[profit]]/Table1_1[[#This Row],[sales_fix]]*100,2)</f>
        <v>18.91</v>
      </c>
    </row>
    <row r="861" spans="1:26" x14ac:dyDescent="0.3">
      <c r="A861" t="s">
        <v>1785</v>
      </c>
      <c r="B861" s="1">
        <v>45515</v>
      </c>
      <c r="C861" s="1">
        <v>45517</v>
      </c>
      <c r="D861" t="s">
        <v>592</v>
      </c>
      <c r="E861" t="s">
        <v>593</v>
      </c>
      <c r="F861" t="s">
        <v>55</v>
      </c>
      <c r="G861" t="s">
        <v>35</v>
      </c>
      <c r="H861" t="s">
        <v>258</v>
      </c>
      <c r="I861" t="s">
        <v>63</v>
      </c>
      <c r="J861" t="s">
        <v>64</v>
      </c>
      <c r="K861" t="s">
        <v>65</v>
      </c>
      <c r="L861">
        <v>2</v>
      </c>
      <c r="M861">
        <v>25000</v>
      </c>
      <c r="N861">
        <v>20</v>
      </c>
      <c r="O861">
        <v>40000</v>
      </c>
      <c r="P861">
        <v>5637.29</v>
      </c>
      <c r="Q861" t="s">
        <v>156</v>
      </c>
      <c r="R861" t="s">
        <v>56</v>
      </c>
      <c r="S861" t="s">
        <v>40</v>
      </c>
      <c r="T861">
        <f>YEAR(Table1_1[[#This Row],[order_date]])</f>
        <v>2024</v>
      </c>
      <c r="U861">
        <f>MONTH(Table1_1[[#This Row],[order_date]])</f>
        <v>8</v>
      </c>
      <c r="V861" t="str">
        <f>TEXT(Table1_1[[#This Row],[order_date]],"mmm")</f>
        <v>Aug</v>
      </c>
      <c r="W861" t="str">
        <f>"Q"&amp;ROUNDUP(MONTH(Table1_1[[#This Row],[order_date]])/3,0)</f>
        <v>Q3</v>
      </c>
      <c r="X861" t="str">
        <f>TEXT(Table1_1[[#This Row],[order_date]],"yyyy-mm")</f>
        <v>2024-08</v>
      </c>
      <c r="Y861">
        <f>IF(Table1_1[[#This Row],[ship_date]]="","",Table1_1[[#This Row],[ship_date]]-Table1_1[[#This Row],[order_date]])</f>
        <v>2</v>
      </c>
      <c r="Z861">
        <f>ROUND(Table1_1[[#This Row],[profit]]/Table1_1[[#This Row],[sales_fix]]*100,2)</f>
        <v>14.09</v>
      </c>
    </row>
    <row r="862" spans="1:26" x14ac:dyDescent="0.3">
      <c r="A862" t="s">
        <v>2084</v>
      </c>
      <c r="B862" s="1">
        <v>45389</v>
      </c>
      <c r="C862" s="1">
        <v>45392</v>
      </c>
      <c r="D862" t="s">
        <v>847</v>
      </c>
      <c r="E862" t="s">
        <v>848</v>
      </c>
      <c r="F862" t="s">
        <v>23</v>
      </c>
      <c r="G862" t="s">
        <v>44</v>
      </c>
      <c r="H862" t="s">
        <v>161</v>
      </c>
      <c r="I862" t="s">
        <v>25</v>
      </c>
      <c r="J862" t="s">
        <v>26</v>
      </c>
      <c r="K862" t="s">
        <v>27</v>
      </c>
      <c r="L862">
        <v>2</v>
      </c>
      <c r="M862">
        <v>7000</v>
      </c>
      <c r="N862">
        <v>15</v>
      </c>
      <c r="O862">
        <v>11900</v>
      </c>
      <c r="P862">
        <v>2561.7800000000002</v>
      </c>
      <c r="Q862" t="s">
        <v>74</v>
      </c>
      <c r="R862" t="s">
        <v>29</v>
      </c>
      <c r="S862" t="s">
        <v>110</v>
      </c>
      <c r="T862">
        <f>YEAR(Table1_1[[#This Row],[order_date]])</f>
        <v>2024</v>
      </c>
      <c r="U862">
        <f>MONTH(Table1_1[[#This Row],[order_date]])</f>
        <v>4</v>
      </c>
      <c r="V862" t="str">
        <f>TEXT(Table1_1[[#This Row],[order_date]],"mmm")</f>
        <v>Apr</v>
      </c>
      <c r="W862" t="str">
        <f>"Q"&amp;ROUNDUP(MONTH(Table1_1[[#This Row],[order_date]])/3,0)</f>
        <v>Q2</v>
      </c>
      <c r="X862" t="str">
        <f>TEXT(Table1_1[[#This Row],[order_date]],"yyyy-mm")</f>
        <v>2024-04</v>
      </c>
      <c r="Y862">
        <f>IF(Table1_1[[#This Row],[ship_date]]="","",Table1_1[[#This Row],[ship_date]]-Table1_1[[#This Row],[order_date]])</f>
        <v>3</v>
      </c>
      <c r="Z862">
        <f>ROUND(Table1_1[[#This Row],[profit]]/Table1_1[[#This Row],[sales_fix]]*100,2)</f>
        <v>21.53</v>
      </c>
    </row>
    <row r="863" spans="1:26" x14ac:dyDescent="0.3">
      <c r="A863" t="s">
        <v>1727</v>
      </c>
      <c r="B863" s="1">
        <v>45635</v>
      </c>
      <c r="C863" s="1">
        <v>45639</v>
      </c>
      <c r="D863" t="s">
        <v>1729</v>
      </c>
      <c r="E863" t="s">
        <v>1730</v>
      </c>
      <c r="F863" t="s">
        <v>34</v>
      </c>
      <c r="G863" t="s">
        <v>35</v>
      </c>
      <c r="H863" t="s">
        <v>258</v>
      </c>
      <c r="I863" t="s">
        <v>63</v>
      </c>
      <c r="J863" t="s">
        <v>64</v>
      </c>
      <c r="K863" t="s">
        <v>65</v>
      </c>
      <c r="L863">
        <v>5</v>
      </c>
      <c r="M863">
        <v>25000</v>
      </c>
      <c r="N863">
        <v>5</v>
      </c>
      <c r="O863">
        <v>118750</v>
      </c>
      <c r="P863">
        <v>15193.15</v>
      </c>
      <c r="Q863" t="s">
        <v>39</v>
      </c>
      <c r="R863" t="s">
        <v>56</v>
      </c>
      <c r="S863" t="s">
        <v>86</v>
      </c>
      <c r="T863">
        <f>YEAR(Table1_1[[#This Row],[order_date]])</f>
        <v>2024</v>
      </c>
      <c r="U863">
        <f>MONTH(Table1_1[[#This Row],[order_date]])</f>
        <v>12</v>
      </c>
      <c r="V863" t="str">
        <f>TEXT(Table1_1[[#This Row],[order_date]],"mmm")</f>
        <v>Dec</v>
      </c>
      <c r="W863" t="str">
        <f>"Q"&amp;ROUNDUP(MONTH(Table1_1[[#This Row],[order_date]])/3,0)</f>
        <v>Q4</v>
      </c>
      <c r="X863" t="str">
        <f>TEXT(Table1_1[[#This Row],[order_date]],"yyyy-mm")</f>
        <v>2024-12</v>
      </c>
      <c r="Y863">
        <f>IF(Table1_1[[#This Row],[ship_date]]="","",Table1_1[[#This Row],[ship_date]]-Table1_1[[#This Row],[order_date]])</f>
        <v>4</v>
      </c>
      <c r="Z863">
        <f>ROUND(Table1_1[[#This Row],[profit]]/Table1_1[[#This Row],[sales_fix]]*100,2)</f>
        <v>12.79</v>
      </c>
    </row>
    <row r="864" spans="1:26" x14ac:dyDescent="0.3">
      <c r="A864" t="s">
        <v>1215</v>
      </c>
      <c r="B864" s="1">
        <v>45923</v>
      </c>
      <c r="C864" s="1">
        <v>45930</v>
      </c>
      <c r="D864" t="s">
        <v>59</v>
      </c>
      <c r="E864" t="s">
        <v>60</v>
      </c>
      <c r="F864" t="s">
        <v>23</v>
      </c>
      <c r="G864" t="s">
        <v>61</v>
      </c>
      <c r="H864" t="s">
        <v>62</v>
      </c>
      <c r="I864" t="s">
        <v>114</v>
      </c>
      <c r="J864" t="s">
        <v>115</v>
      </c>
      <c r="K864" t="s">
        <v>65</v>
      </c>
      <c r="L864">
        <v>3</v>
      </c>
      <c r="M864">
        <v>55000</v>
      </c>
      <c r="N864">
        <v>0</v>
      </c>
      <c r="O864">
        <v>165000</v>
      </c>
      <c r="P864">
        <v>24459.119999999999</v>
      </c>
      <c r="Q864" t="s">
        <v>121</v>
      </c>
      <c r="R864" t="s">
        <v>56</v>
      </c>
      <c r="S864" t="s">
        <v>86</v>
      </c>
      <c r="T864">
        <f>YEAR(Table1_1[[#This Row],[order_date]])</f>
        <v>2025</v>
      </c>
      <c r="U864">
        <f>MONTH(Table1_1[[#This Row],[order_date]])</f>
        <v>9</v>
      </c>
      <c r="V864" t="str">
        <f>TEXT(Table1_1[[#This Row],[order_date]],"mmm")</f>
        <v>Sep</v>
      </c>
      <c r="W864" t="str">
        <f>"Q"&amp;ROUNDUP(MONTH(Table1_1[[#This Row],[order_date]])/3,0)</f>
        <v>Q3</v>
      </c>
      <c r="X864" t="str">
        <f>TEXT(Table1_1[[#This Row],[order_date]],"yyyy-mm")</f>
        <v>2025-09</v>
      </c>
      <c r="Y864">
        <f>IF(Table1_1[[#This Row],[ship_date]]="","",Table1_1[[#This Row],[ship_date]]-Table1_1[[#This Row],[order_date]])</f>
        <v>7</v>
      </c>
      <c r="Z864">
        <f>ROUND(Table1_1[[#This Row],[profit]]/Table1_1[[#This Row],[sales_fix]]*100,2)</f>
        <v>14.82</v>
      </c>
    </row>
    <row r="865" spans="1:26" x14ac:dyDescent="0.3">
      <c r="A865" t="s">
        <v>2598</v>
      </c>
      <c r="B865" s="1">
        <v>45675</v>
      </c>
      <c r="C865" s="1">
        <v>45679</v>
      </c>
      <c r="D865" t="s">
        <v>392</v>
      </c>
      <c r="E865" t="s">
        <v>393</v>
      </c>
      <c r="F865" t="s">
        <v>55</v>
      </c>
      <c r="G865" t="s">
        <v>91</v>
      </c>
      <c r="H865" t="s">
        <v>92</v>
      </c>
      <c r="I865" t="s">
        <v>79</v>
      </c>
      <c r="J865" t="s">
        <v>80</v>
      </c>
      <c r="K865" t="s">
        <v>65</v>
      </c>
      <c r="L865">
        <v>2</v>
      </c>
      <c r="M865">
        <v>3000</v>
      </c>
      <c r="N865">
        <v>0</v>
      </c>
      <c r="O865">
        <v>6000</v>
      </c>
      <c r="P865">
        <v>1369.2</v>
      </c>
      <c r="Q865" t="s">
        <v>156</v>
      </c>
      <c r="R865" t="s">
        <v>29</v>
      </c>
      <c r="S865" t="s">
        <v>50</v>
      </c>
      <c r="T865">
        <f>YEAR(Table1_1[[#This Row],[order_date]])</f>
        <v>2025</v>
      </c>
      <c r="U865">
        <f>MONTH(Table1_1[[#This Row],[order_date]])</f>
        <v>1</v>
      </c>
      <c r="V865" t="str">
        <f>TEXT(Table1_1[[#This Row],[order_date]],"mmm")</f>
        <v>Jan</v>
      </c>
      <c r="W865" t="str">
        <f>"Q"&amp;ROUNDUP(MONTH(Table1_1[[#This Row],[order_date]])/3,0)</f>
        <v>Q1</v>
      </c>
      <c r="X865" t="str">
        <f>TEXT(Table1_1[[#This Row],[order_date]],"yyyy-mm")</f>
        <v>2025-01</v>
      </c>
      <c r="Y865">
        <f>IF(Table1_1[[#This Row],[ship_date]]="","",Table1_1[[#This Row],[ship_date]]-Table1_1[[#This Row],[order_date]])</f>
        <v>4</v>
      </c>
      <c r="Z865">
        <f>ROUND(Table1_1[[#This Row],[profit]]/Table1_1[[#This Row],[sales_fix]]*100,2)</f>
        <v>22.82</v>
      </c>
    </row>
    <row r="866" spans="1:26" x14ac:dyDescent="0.3">
      <c r="A866" t="s">
        <v>3072</v>
      </c>
      <c r="B866" s="1">
        <v>45628</v>
      </c>
      <c r="C866" s="1"/>
      <c r="D866" t="s">
        <v>546</v>
      </c>
      <c r="E866" t="s">
        <v>547</v>
      </c>
      <c r="F866" t="s">
        <v>34</v>
      </c>
      <c r="G866" t="s">
        <v>91</v>
      </c>
      <c r="H866" t="s">
        <v>92</v>
      </c>
      <c r="I866" t="s">
        <v>71</v>
      </c>
      <c r="J866" t="s">
        <v>72</v>
      </c>
      <c r="K866" t="s">
        <v>73</v>
      </c>
      <c r="L866">
        <v>1</v>
      </c>
      <c r="M866">
        <v>3500</v>
      </c>
      <c r="N866">
        <v>20</v>
      </c>
      <c r="O866">
        <v>2800</v>
      </c>
      <c r="P866">
        <v>899.76</v>
      </c>
      <c r="Q866" t="s">
        <v>156</v>
      </c>
      <c r="R866" t="s">
        <v>49</v>
      </c>
      <c r="S866" t="s">
        <v>86</v>
      </c>
      <c r="T866">
        <f>YEAR(Table1_1[[#This Row],[order_date]])</f>
        <v>2024</v>
      </c>
      <c r="U866">
        <f>MONTH(Table1_1[[#This Row],[order_date]])</f>
        <v>12</v>
      </c>
      <c r="V866" t="str">
        <f>TEXT(Table1_1[[#This Row],[order_date]],"mmm")</f>
        <v>Dec</v>
      </c>
      <c r="W866" t="str">
        <f>"Q"&amp;ROUNDUP(MONTH(Table1_1[[#This Row],[order_date]])/3,0)</f>
        <v>Q4</v>
      </c>
      <c r="X866" t="str">
        <f>TEXT(Table1_1[[#This Row],[order_date]],"yyyy-mm")</f>
        <v>2024-12</v>
      </c>
      <c r="Y866" t="str">
        <f>IF(Table1_1[[#This Row],[ship_date]]="","",Table1_1[[#This Row],[ship_date]]-Table1_1[[#This Row],[order_date]])</f>
        <v/>
      </c>
      <c r="Z866">
        <f>ROUND(Table1_1[[#This Row],[profit]]/Table1_1[[#This Row],[sales_fix]]*100,2)</f>
        <v>32.130000000000003</v>
      </c>
    </row>
    <row r="867" spans="1:26" x14ac:dyDescent="0.3">
      <c r="A867" t="s">
        <v>1114</v>
      </c>
      <c r="B867" s="1">
        <v>45631</v>
      </c>
      <c r="C867" s="1">
        <v>45635</v>
      </c>
      <c r="D867" t="s">
        <v>1115</v>
      </c>
      <c r="E867" t="s">
        <v>1116</v>
      </c>
      <c r="F867" t="s">
        <v>23</v>
      </c>
      <c r="G867" t="s">
        <v>44</v>
      </c>
      <c r="H867" t="s">
        <v>45</v>
      </c>
      <c r="I867" t="s">
        <v>71</v>
      </c>
      <c r="J867" t="s">
        <v>72</v>
      </c>
      <c r="K867" t="s">
        <v>73</v>
      </c>
      <c r="L867">
        <v>1</v>
      </c>
      <c r="M867">
        <v>3500</v>
      </c>
      <c r="N867">
        <v>0</v>
      </c>
      <c r="O867">
        <v>3500</v>
      </c>
      <c r="P867">
        <v>1190.17</v>
      </c>
      <c r="Q867" t="s">
        <v>156</v>
      </c>
      <c r="R867" t="s">
        <v>56</v>
      </c>
      <c r="S867" t="s">
        <v>50</v>
      </c>
      <c r="T867">
        <f>YEAR(Table1_1[[#This Row],[order_date]])</f>
        <v>2024</v>
      </c>
      <c r="U867">
        <f>MONTH(Table1_1[[#This Row],[order_date]])</f>
        <v>12</v>
      </c>
      <c r="V867" t="str">
        <f>TEXT(Table1_1[[#This Row],[order_date]],"mmm")</f>
        <v>Dec</v>
      </c>
      <c r="W867" t="str">
        <f>"Q"&amp;ROUNDUP(MONTH(Table1_1[[#This Row],[order_date]])/3,0)</f>
        <v>Q4</v>
      </c>
      <c r="X867" t="str">
        <f>TEXT(Table1_1[[#This Row],[order_date]],"yyyy-mm")</f>
        <v>2024-12</v>
      </c>
      <c r="Y867">
        <f>IF(Table1_1[[#This Row],[ship_date]]="","",Table1_1[[#This Row],[ship_date]]-Table1_1[[#This Row],[order_date]])</f>
        <v>4</v>
      </c>
      <c r="Z867">
        <f>ROUND(Table1_1[[#This Row],[profit]]/Table1_1[[#This Row],[sales_fix]]*100,2)</f>
        <v>34</v>
      </c>
    </row>
    <row r="868" spans="1:26" x14ac:dyDescent="0.3">
      <c r="A868" t="s">
        <v>2456</v>
      </c>
      <c r="B868" s="1">
        <v>45621</v>
      </c>
      <c r="C868" s="1">
        <v>45623</v>
      </c>
      <c r="D868" t="s">
        <v>159</v>
      </c>
      <c r="E868" t="s">
        <v>160</v>
      </c>
      <c r="F868" t="s">
        <v>34</v>
      </c>
      <c r="G868" t="s">
        <v>44</v>
      </c>
      <c r="H868" t="s">
        <v>161</v>
      </c>
      <c r="I868" t="s">
        <v>46</v>
      </c>
      <c r="J868" t="s">
        <v>47</v>
      </c>
      <c r="K868" t="s">
        <v>48</v>
      </c>
      <c r="L868">
        <v>2</v>
      </c>
      <c r="M868">
        <v>180</v>
      </c>
      <c r="N868">
        <v>0</v>
      </c>
      <c r="O868">
        <v>360</v>
      </c>
      <c r="P868">
        <v>169.77</v>
      </c>
      <c r="Q868" t="s">
        <v>121</v>
      </c>
      <c r="R868" t="s">
        <v>29</v>
      </c>
      <c r="S868" t="s">
        <v>96</v>
      </c>
      <c r="T868">
        <f>YEAR(Table1_1[[#This Row],[order_date]])</f>
        <v>2024</v>
      </c>
      <c r="U868">
        <f>MONTH(Table1_1[[#This Row],[order_date]])</f>
        <v>11</v>
      </c>
      <c r="V868" t="str">
        <f>TEXT(Table1_1[[#This Row],[order_date]],"mmm")</f>
        <v>Nov</v>
      </c>
      <c r="W868" t="str">
        <f>"Q"&amp;ROUNDUP(MONTH(Table1_1[[#This Row],[order_date]])/3,0)</f>
        <v>Q4</v>
      </c>
      <c r="X868" t="str">
        <f>TEXT(Table1_1[[#This Row],[order_date]],"yyyy-mm")</f>
        <v>2024-11</v>
      </c>
      <c r="Y868">
        <f>IF(Table1_1[[#This Row],[ship_date]]="","",Table1_1[[#This Row],[ship_date]]-Table1_1[[#This Row],[order_date]])</f>
        <v>2</v>
      </c>
      <c r="Z868">
        <f>ROUND(Table1_1[[#This Row],[profit]]/Table1_1[[#This Row],[sales_fix]]*100,2)</f>
        <v>47.16</v>
      </c>
    </row>
    <row r="869" spans="1:26" x14ac:dyDescent="0.3">
      <c r="A869" t="s">
        <v>2789</v>
      </c>
      <c r="B869" s="1">
        <v>45385</v>
      </c>
      <c r="C869" s="1">
        <v>45389</v>
      </c>
      <c r="D869" t="s">
        <v>561</v>
      </c>
      <c r="E869" t="s">
        <v>562</v>
      </c>
      <c r="F869" t="s">
        <v>23</v>
      </c>
      <c r="G869" t="s">
        <v>44</v>
      </c>
      <c r="H869" t="s">
        <v>155</v>
      </c>
      <c r="I869" t="s">
        <v>79</v>
      </c>
      <c r="J869" t="s">
        <v>80</v>
      </c>
      <c r="K869" t="s">
        <v>65</v>
      </c>
      <c r="L869">
        <v>1</v>
      </c>
      <c r="M869">
        <v>3000</v>
      </c>
      <c r="N869">
        <v>10</v>
      </c>
      <c r="O869">
        <v>2700</v>
      </c>
      <c r="P869">
        <v>836.32</v>
      </c>
      <c r="Q869" t="s">
        <v>121</v>
      </c>
      <c r="R869" t="s">
        <v>56</v>
      </c>
      <c r="S869" t="s">
        <v>86</v>
      </c>
      <c r="T869">
        <f>YEAR(Table1_1[[#This Row],[order_date]])</f>
        <v>2024</v>
      </c>
      <c r="U869">
        <f>MONTH(Table1_1[[#This Row],[order_date]])</f>
        <v>4</v>
      </c>
      <c r="V869" t="str">
        <f>TEXT(Table1_1[[#This Row],[order_date]],"mmm")</f>
        <v>Apr</v>
      </c>
      <c r="W869" t="str">
        <f>"Q"&amp;ROUNDUP(MONTH(Table1_1[[#This Row],[order_date]])/3,0)</f>
        <v>Q2</v>
      </c>
      <c r="X869" t="str">
        <f>TEXT(Table1_1[[#This Row],[order_date]],"yyyy-mm")</f>
        <v>2024-04</v>
      </c>
      <c r="Y869">
        <f>IF(Table1_1[[#This Row],[ship_date]]="","",Table1_1[[#This Row],[ship_date]]-Table1_1[[#This Row],[order_date]])</f>
        <v>4</v>
      </c>
      <c r="Z869">
        <f>ROUND(Table1_1[[#This Row],[profit]]/Table1_1[[#This Row],[sales_fix]]*100,2)</f>
        <v>30.97</v>
      </c>
    </row>
    <row r="870" spans="1:26" x14ac:dyDescent="0.3">
      <c r="A870" t="s">
        <v>2448</v>
      </c>
      <c r="B870" s="1">
        <v>45770</v>
      </c>
      <c r="C870" s="1">
        <v>45777</v>
      </c>
      <c r="D870" t="s">
        <v>297</v>
      </c>
      <c r="E870" t="s">
        <v>1110</v>
      </c>
      <c r="F870" t="s">
        <v>23</v>
      </c>
      <c r="G870" t="s">
        <v>91</v>
      </c>
      <c r="H870" t="s">
        <v>177</v>
      </c>
      <c r="I870" t="s">
        <v>71</v>
      </c>
      <c r="J870" t="s">
        <v>72</v>
      </c>
      <c r="K870" t="s">
        <v>73</v>
      </c>
      <c r="L870">
        <v>1</v>
      </c>
      <c r="M870">
        <v>3500</v>
      </c>
      <c r="N870">
        <v>15</v>
      </c>
      <c r="O870">
        <v>2975</v>
      </c>
      <c r="P870">
        <v>741.62</v>
      </c>
      <c r="Q870" t="s">
        <v>121</v>
      </c>
      <c r="R870" t="s">
        <v>56</v>
      </c>
      <c r="S870" t="s">
        <v>50</v>
      </c>
      <c r="T870">
        <f>YEAR(Table1_1[[#This Row],[order_date]])</f>
        <v>2025</v>
      </c>
      <c r="U870">
        <f>MONTH(Table1_1[[#This Row],[order_date]])</f>
        <v>4</v>
      </c>
      <c r="V870" t="str">
        <f>TEXT(Table1_1[[#This Row],[order_date]],"mmm")</f>
        <v>Apr</v>
      </c>
      <c r="W870" t="str">
        <f>"Q"&amp;ROUNDUP(MONTH(Table1_1[[#This Row],[order_date]])/3,0)</f>
        <v>Q2</v>
      </c>
      <c r="X870" t="str">
        <f>TEXT(Table1_1[[#This Row],[order_date]],"yyyy-mm")</f>
        <v>2025-04</v>
      </c>
      <c r="Y870">
        <f>IF(Table1_1[[#This Row],[ship_date]]="","",Table1_1[[#This Row],[ship_date]]-Table1_1[[#This Row],[order_date]])</f>
        <v>7</v>
      </c>
      <c r="Z870">
        <f>ROUND(Table1_1[[#This Row],[profit]]/Table1_1[[#This Row],[sales_fix]]*100,2)</f>
        <v>24.93</v>
      </c>
    </row>
    <row r="871" spans="1:26" x14ac:dyDescent="0.3">
      <c r="A871" t="s">
        <v>712</v>
      </c>
      <c r="B871" s="1">
        <v>45882</v>
      </c>
      <c r="C871" s="1">
        <v>45890</v>
      </c>
      <c r="D871" t="s">
        <v>713</v>
      </c>
      <c r="E871" t="s">
        <v>714</v>
      </c>
      <c r="F871" t="s">
        <v>34</v>
      </c>
      <c r="G871" t="s">
        <v>35</v>
      </c>
      <c r="H871" t="s">
        <v>258</v>
      </c>
      <c r="I871" t="s">
        <v>25</v>
      </c>
      <c r="J871" t="s">
        <v>26</v>
      </c>
      <c r="K871" t="s">
        <v>27</v>
      </c>
      <c r="L871">
        <v>2</v>
      </c>
      <c r="M871">
        <v>7000</v>
      </c>
      <c r="N871">
        <v>15</v>
      </c>
      <c r="O871">
        <v>11900</v>
      </c>
      <c r="P871">
        <v>2043.51</v>
      </c>
      <c r="Q871" t="s">
        <v>66</v>
      </c>
      <c r="R871" t="s">
        <v>49</v>
      </c>
      <c r="S871" t="s">
        <v>30</v>
      </c>
      <c r="T871">
        <f>YEAR(Table1_1[[#This Row],[order_date]])</f>
        <v>2025</v>
      </c>
      <c r="U871">
        <f>MONTH(Table1_1[[#This Row],[order_date]])</f>
        <v>8</v>
      </c>
      <c r="V871" t="str">
        <f>TEXT(Table1_1[[#This Row],[order_date]],"mmm")</f>
        <v>Aug</v>
      </c>
      <c r="W871" t="str">
        <f>"Q"&amp;ROUNDUP(MONTH(Table1_1[[#This Row],[order_date]])/3,0)</f>
        <v>Q3</v>
      </c>
      <c r="X871" t="str">
        <f>TEXT(Table1_1[[#This Row],[order_date]],"yyyy-mm")</f>
        <v>2025-08</v>
      </c>
      <c r="Y871">
        <f>IF(Table1_1[[#This Row],[ship_date]]="","",Table1_1[[#This Row],[ship_date]]-Table1_1[[#This Row],[order_date]])</f>
        <v>8</v>
      </c>
      <c r="Z871">
        <f>ROUND(Table1_1[[#This Row],[profit]]/Table1_1[[#This Row],[sales_fix]]*100,2)</f>
        <v>17.170000000000002</v>
      </c>
    </row>
    <row r="872" spans="1:26" x14ac:dyDescent="0.3">
      <c r="A872" t="s">
        <v>3007</v>
      </c>
      <c r="B872" s="1">
        <v>45774</v>
      </c>
      <c r="C872" s="1">
        <v>45781</v>
      </c>
      <c r="D872" t="s">
        <v>617</v>
      </c>
      <c r="E872" t="s">
        <v>618</v>
      </c>
      <c r="F872" t="s">
        <v>23</v>
      </c>
      <c r="G872" t="s">
        <v>91</v>
      </c>
      <c r="H872" t="s">
        <v>120</v>
      </c>
      <c r="I872" t="s">
        <v>79</v>
      </c>
      <c r="J872" t="s">
        <v>80</v>
      </c>
      <c r="K872" t="s">
        <v>65</v>
      </c>
      <c r="L872">
        <v>2</v>
      </c>
      <c r="M872">
        <v>3000</v>
      </c>
      <c r="N872">
        <v>10</v>
      </c>
      <c r="O872">
        <v>5400</v>
      </c>
      <c r="P872">
        <v>1528.89</v>
      </c>
      <c r="Q872" t="s">
        <v>121</v>
      </c>
      <c r="R872" t="s">
        <v>49</v>
      </c>
      <c r="S872" t="s">
        <v>86</v>
      </c>
      <c r="T872">
        <f>YEAR(Table1_1[[#This Row],[order_date]])</f>
        <v>2025</v>
      </c>
      <c r="U872">
        <f>MONTH(Table1_1[[#This Row],[order_date]])</f>
        <v>4</v>
      </c>
      <c r="V872" t="str">
        <f>TEXT(Table1_1[[#This Row],[order_date]],"mmm")</f>
        <v>Apr</v>
      </c>
      <c r="W872" t="str">
        <f>"Q"&amp;ROUNDUP(MONTH(Table1_1[[#This Row],[order_date]])/3,0)</f>
        <v>Q2</v>
      </c>
      <c r="X872" t="str">
        <f>TEXT(Table1_1[[#This Row],[order_date]],"yyyy-mm")</f>
        <v>2025-04</v>
      </c>
      <c r="Y872">
        <f>IF(Table1_1[[#This Row],[ship_date]]="","",Table1_1[[#This Row],[ship_date]]-Table1_1[[#This Row],[order_date]])</f>
        <v>7</v>
      </c>
      <c r="Z872">
        <f>ROUND(Table1_1[[#This Row],[profit]]/Table1_1[[#This Row],[sales_fix]]*100,2)</f>
        <v>28.31</v>
      </c>
    </row>
    <row r="873" spans="1:26" x14ac:dyDescent="0.3">
      <c r="A873" t="s">
        <v>2454</v>
      </c>
      <c r="B873" s="1">
        <v>45377</v>
      </c>
      <c r="C873" s="1">
        <v>45380</v>
      </c>
      <c r="D873" t="s">
        <v>159</v>
      </c>
      <c r="E873" t="s">
        <v>160</v>
      </c>
      <c r="F873" t="s">
        <v>34</v>
      </c>
      <c r="G873" t="s">
        <v>44</v>
      </c>
      <c r="H873" t="s">
        <v>161</v>
      </c>
      <c r="I873" t="s">
        <v>134</v>
      </c>
      <c r="J873" t="s">
        <v>135</v>
      </c>
      <c r="K873" t="s">
        <v>27</v>
      </c>
      <c r="L873">
        <v>3</v>
      </c>
      <c r="M873">
        <v>6000</v>
      </c>
      <c r="N873">
        <v>0</v>
      </c>
      <c r="O873">
        <v>18000</v>
      </c>
      <c r="P873">
        <v>4052.48</v>
      </c>
      <c r="Q873" t="s">
        <v>39</v>
      </c>
      <c r="R873" t="s">
        <v>56</v>
      </c>
      <c r="S873" t="s">
        <v>50</v>
      </c>
      <c r="T873">
        <f>YEAR(Table1_1[[#This Row],[order_date]])</f>
        <v>2024</v>
      </c>
      <c r="U873">
        <f>MONTH(Table1_1[[#This Row],[order_date]])</f>
        <v>3</v>
      </c>
      <c r="V873" t="str">
        <f>TEXT(Table1_1[[#This Row],[order_date]],"mmm")</f>
        <v>Mar</v>
      </c>
      <c r="W873" t="str">
        <f>"Q"&amp;ROUNDUP(MONTH(Table1_1[[#This Row],[order_date]])/3,0)</f>
        <v>Q1</v>
      </c>
      <c r="X873" t="str">
        <f>TEXT(Table1_1[[#This Row],[order_date]],"yyyy-mm")</f>
        <v>2024-03</v>
      </c>
      <c r="Y873">
        <f>IF(Table1_1[[#This Row],[ship_date]]="","",Table1_1[[#This Row],[ship_date]]-Table1_1[[#This Row],[order_date]])</f>
        <v>3</v>
      </c>
      <c r="Z873">
        <f>ROUND(Table1_1[[#This Row],[profit]]/Table1_1[[#This Row],[sales_fix]]*100,2)</f>
        <v>22.51</v>
      </c>
    </row>
    <row r="874" spans="1:26" x14ac:dyDescent="0.3">
      <c r="A874" t="s">
        <v>946</v>
      </c>
      <c r="B874" s="1">
        <v>45766</v>
      </c>
      <c r="C874" s="1">
        <v>45774</v>
      </c>
      <c r="D874" t="s">
        <v>947</v>
      </c>
      <c r="E874" t="s">
        <v>948</v>
      </c>
      <c r="F874" t="s">
        <v>55</v>
      </c>
      <c r="G874" t="s">
        <v>35</v>
      </c>
      <c r="H874" t="s">
        <v>36</v>
      </c>
      <c r="I874" t="s">
        <v>134</v>
      </c>
      <c r="J874" t="s">
        <v>135</v>
      </c>
      <c r="K874" t="s">
        <v>27</v>
      </c>
      <c r="L874">
        <v>1</v>
      </c>
      <c r="M874">
        <v>6000</v>
      </c>
      <c r="N874">
        <v>0</v>
      </c>
      <c r="O874">
        <v>6000</v>
      </c>
      <c r="P874">
        <v>1224.08</v>
      </c>
      <c r="Q874" t="s">
        <v>66</v>
      </c>
      <c r="R874" t="s">
        <v>49</v>
      </c>
      <c r="S874" t="s">
        <v>50</v>
      </c>
      <c r="T874">
        <f>YEAR(Table1_1[[#This Row],[order_date]])</f>
        <v>2025</v>
      </c>
      <c r="U874">
        <f>MONTH(Table1_1[[#This Row],[order_date]])</f>
        <v>4</v>
      </c>
      <c r="V874" t="str">
        <f>TEXT(Table1_1[[#This Row],[order_date]],"mmm")</f>
        <v>Apr</v>
      </c>
      <c r="W874" t="str">
        <f>"Q"&amp;ROUNDUP(MONTH(Table1_1[[#This Row],[order_date]])/3,0)</f>
        <v>Q2</v>
      </c>
      <c r="X874" t="str">
        <f>TEXT(Table1_1[[#This Row],[order_date]],"yyyy-mm")</f>
        <v>2025-04</v>
      </c>
      <c r="Y874">
        <f>IF(Table1_1[[#This Row],[ship_date]]="","",Table1_1[[#This Row],[ship_date]]-Table1_1[[#This Row],[order_date]])</f>
        <v>8</v>
      </c>
      <c r="Z874">
        <f>ROUND(Table1_1[[#This Row],[profit]]/Table1_1[[#This Row],[sales_fix]]*100,2)</f>
        <v>20.399999999999999</v>
      </c>
    </row>
    <row r="875" spans="1:26" x14ac:dyDescent="0.3">
      <c r="A875" t="s">
        <v>1782</v>
      </c>
      <c r="B875" s="1">
        <v>45450</v>
      </c>
      <c r="C875" s="1">
        <v>45456</v>
      </c>
      <c r="D875" t="s">
        <v>311</v>
      </c>
      <c r="E875" t="s">
        <v>312</v>
      </c>
      <c r="F875" t="s">
        <v>34</v>
      </c>
      <c r="G875" t="s">
        <v>61</v>
      </c>
      <c r="H875" t="s">
        <v>78</v>
      </c>
      <c r="I875" t="s">
        <v>103</v>
      </c>
      <c r="J875" t="s">
        <v>104</v>
      </c>
      <c r="K875" t="s">
        <v>65</v>
      </c>
      <c r="L875">
        <v>5</v>
      </c>
      <c r="M875">
        <v>8000</v>
      </c>
      <c r="N875">
        <v>0</v>
      </c>
      <c r="O875">
        <v>40000</v>
      </c>
      <c r="P875">
        <v>7051.34</v>
      </c>
      <c r="Q875" t="s">
        <v>3113</v>
      </c>
      <c r="R875" t="s">
        <v>49</v>
      </c>
      <c r="S875" t="s">
        <v>30</v>
      </c>
      <c r="T875">
        <f>YEAR(Table1_1[[#This Row],[order_date]])</f>
        <v>2024</v>
      </c>
      <c r="U875">
        <f>MONTH(Table1_1[[#This Row],[order_date]])</f>
        <v>6</v>
      </c>
      <c r="V875" t="str">
        <f>TEXT(Table1_1[[#This Row],[order_date]],"mmm")</f>
        <v>Jun</v>
      </c>
      <c r="W875" t="str">
        <f>"Q"&amp;ROUNDUP(MONTH(Table1_1[[#This Row],[order_date]])/3,0)</f>
        <v>Q2</v>
      </c>
      <c r="X875" t="str">
        <f>TEXT(Table1_1[[#This Row],[order_date]],"yyyy-mm")</f>
        <v>2024-06</v>
      </c>
      <c r="Y875">
        <f>IF(Table1_1[[#This Row],[ship_date]]="","",Table1_1[[#This Row],[ship_date]]-Table1_1[[#This Row],[order_date]])</f>
        <v>6</v>
      </c>
      <c r="Z875">
        <f>ROUND(Table1_1[[#This Row],[profit]]/Table1_1[[#This Row],[sales_fix]]*100,2)</f>
        <v>17.63</v>
      </c>
    </row>
    <row r="876" spans="1:26" x14ac:dyDescent="0.3">
      <c r="A876" t="s">
        <v>3054</v>
      </c>
      <c r="B876" s="1">
        <v>45674</v>
      </c>
      <c r="C876" s="1">
        <v>45676</v>
      </c>
      <c r="D876" t="s">
        <v>813</v>
      </c>
      <c r="E876" t="s">
        <v>814</v>
      </c>
      <c r="F876" t="s">
        <v>34</v>
      </c>
      <c r="G876" t="s">
        <v>35</v>
      </c>
      <c r="H876" t="s">
        <v>187</v>
      </c>
      <c r="I876" t="s">
        <v>71</v>
      </c>
      <c r="J876" t="s">
        <v>72</v>
      </c>
      <c r="K876" t="s">
        <v>73</v>
      </c>
      <c r="L876">
        <v>1</v>
      </c>
      <c r="M876">
        <v>3500</v>
      </c>
      <c r="N876">
        <v>0</v>
      </c>
      <c r="O876">
        <v>3500</v>
      </c>
      <c r="P876">
        <v>1071.19</v>
      </c>
      <c r="Q876" t="s">
        <v>28</v>
      </c>
      <c r="R876" t="s">
        <v>29</v>
      </c>
      <c r="S876" t="s">
        <v>86</v>
      </c>
      <c r="T876">
        <f>YEAR(Table1_1[[#This Row],[order_date]])</f>
        <v>2025</v>
      </c>
      <c r="U876">
        <f>MONTH(Table1_1[[#This Row],[order_date]])</f>
        <v>1</v>
      </c>
      <c r="V876" t="str">
        <f>TEXT(Table1_1[[#This Row],[order_date]],"mmm")</f>
        <v>Jan</v>
      </c>
      <c r="W876" t="str">
        <f>"Q"&amp;ROUNDUP(MONTH(Table1_1[[#This Row],[order_date]])/3,0)</f>
        <v>Q1</v>
      </c>
      <c r="X876" t="str">
        <f>TEXT(Table1_1[[#This Row],[order_date]],"yyyy-mm")</f>
        <v>2025-01</v>
      </c>
      <c r="Y876">
        <f>IF(Table1_1[[#This Row],[ship_date]]="","",Table1_1[[#This Row],[ship_date]]-Table1_1[[#This Row],[order_date]])</f>
        <v>2</v>
      </c>
      <c r="Z876">
        <f>ROUND(Table1_1[[#This Row],[profit]]/Table1_1[[#This Row],[sales_fix]]*100,2)</f>
        <v>30.61</v>
      </c>
    </row>
    <row r="877" spans="1:26" x14ac:dyDescent="0.3">
      <c r="A877" t="s">
        <v>2288</v>
      </c>
      <c r="B877" s="1">
        <v>45458</v>
      </c>
      <c r="C877" s="1">
        <v>45464</v>
      </c>
      <c r="D877" t="s">
        <v>301</v>
      </c>
      <c r="E877" t="s">
        <v>302</v>
      </c>
      <c r="F877" t="s">
        <v>34</v>
      </c>
      <c r="G877" t="s">
        <v>44</v>
      </c>
      <c r="H877" t="s">
        <v>24</v>
      </c>
      <c r="I877" t="s">
        <v>93</v>
      </c>
      <c r="J877" t="s">
        <v>94</v>
      </c>
      <c r="K877" t="s">
        <v>95</v>
      </c>
      <c r="L877">
        <v>1</v>
      </c>
      <c r="M877">
        <v>1800</v>
      </c>
      <c r="N877">
        <v>5</v>
      </c>
      <c r="O877">
        <v>1710</v>
      </c>
      <c r="P877">
        <v>648.08000000000004</v>
      </c>
      <c r="Q877" t="s">
        <v>39</v>
      </c>
      <c r="R877" t="s">
        <v>56</v>
      </c>
      <c r="S877" t="s">
        <v>30</v>
      </c>
      <c r="T877">
        <f>YEAR(Table1_1[[#This Row],[order_date]])</f>
        <v>2024</v>
      </c>
      <c r="U877">
        <f>MONTH(Table1_1[[#This Row],[order_date]])</f>
        <v>6</v>
      </c>
      <c r="V877" t="str">
        <f>TEXT(Table1_1[[#This Row],[order_date]],"mmm")</f>
        <v>Jun</v>
      </c>
      <c r="W877" t="str">
        <f>"Q"&amp;ROUNDUP(MONTH(Table1_1[[#This Row],[order_date]])/3,0)</f>
        <v>Q2</v>
      </c>
      <c r="X877" t="str">
        <f>TEXT(Table1_1[[#This Row],[order_date]],"yyyy-mm")</f>
        <v>2024-06</v>
      </c>
      <c r="Y877">
        <f>IF(Table1_1[[#This Row],[ship_date]]="","",Table1_1[[#This Row],[ship_date]]-Table1_1[[#This Row],[order_date]])</f>
        <v>6</v>
      </c>
      <c r="Z877">
        <f>ROUND(Table1_1[[#This Row],[profit]]/Table1_1[[#This Row],[sales_fix]]*100,2)</f>
        <v>37.9</v>
      </c>
    </row>
    <row r="878" spans="1:26" x14ac:dyDescent="0.3">
      <c r="A878" t="s">
        <v>2071</v>
      </c>
      <c r="B878" s="1">
        <v>45351</v>
      </c>
      <c r="C878" s="1"/>
      <c r="D878" t="s">
        <v>1414</v>
      </c>
      <c r="E878" t="s">
        <v>1415</v>
      </c>
      <c r="F878" t="s">
        <v>55</v>
      </c>
      <c r="G878" t="s">
        <v>44</v>
      </c>
      <c r="H878" t="s">
        <v>24</v>
      </c>
      <c r="I878" t="s">
        <v>71</v>
      </c>
      <c r="J878" t="s">
        <v>72</v>
      </c>
      <c r="K878" t="s">
        <v>73</v>
      </c>
      <c r="L878">
        <v>3</v>
      </c>
      <c r="M878">
        <v>3500</v>
      </c>
      <c r="N878">
        <v>5</v>
      </c>
      <c r="O878">
        <v>9975</v>
      </c>
      <c r="P878">
        <v>3173.7</v>
      </c>
      <c r="Q878" t="s">
        <v>28</v>
      </c>
      <c r="R878" t="s">
        <v>29</v>
      </c>
      <c r="S878" t="s">
        <v>110</v>
      </c>
      <c r="T878">
        <f>YEAR(Table1_1[[#This Row],[order_date]])</f>
        <v>2024</v>
      </c>
      <c r="U878">
        <f>MONTH(Table1_1[[#This Row],[order_date]])</f>
        <v>2</v>
      </c>
      <c r="V878" t="str">
        <f>TEXT(Table1_1[[#This Row],[order_date]],"mmm")</f>
        <v>Feb</v>
      </c>
      <c r="W878" t="str">
        <f>"Q"&amp;ROUNDUP(MONTH(Table1_1[[#This Row],[order_date]])/3,0)</f>
        <v>Q1</v>
      </c>
      <c r="X878" t="str">
        <f>TEXT(Table1_1[[#This Row],[order_date]],"yyyy-mm")</f>
        <v>2024-02</v>
      </c>
      <c r="Y878" t="str">
        <f>IF(Table1_1[[#This Row],[ship_date]]="","",Table1_1[[#This Row],[ship_date]]-Table1_1[[#This Row],[order_date]])</f>
        <v/>
      </c>
      <c r="Z878">
        <f>ROUND(Table1_1[[#This Row],[profit]]/Table1_1[[#This Row],[sales_fix]]*100,2)</f>
        <v>31.82</v>
      </c>
    </row>
    <row r="879" spans="1:26" x14ac:dyDescent="0.3">
      <c r="A879" t="s">
        <v>2892</v>
      </c>
      <c r="B879" s="1">
        <v>45973</v>
      </c>
      <c r="C879" s="1">
        <v>45976</v>
      </c>
      <c r="D879" t="s">
        <v>107</v>
      </c>
      <c r="E879" t="s">
        <v>108</v>
      </c>
      <c r="F879" t="s">
        <v>23</v>
      </c>
      <c r="G879" t="s">
        <v>91</v>
      </c>
      <c r="H879" t="s">
        <v>109</v>
      </c>
      <c r="I879" t="s">
        <v>71</v>
      </c>
      <c r="J879" t="s">
        <v>72</v>
      </c>
      <c r="K879" t="s">
        <v>73</v>
      </c>
      <c r="L879">
        <v>1</v>
      </c>
      <c r="M879">
        <v>3500</v>
      </c>
      <c r="N879">
        <v>5</v>
      </c>
      <c r="O879">
        <v>3325</v>
      </c>
      <c r="P879">
        <v>1146.68</v>
      </c>
      <c r="Q879" t="s">
        <v>74</v>
      </c>
      <c r="R879" t="s">
        <v>29</v>
      </c>
      <c r="S879" t="s">
        <v>40</v>
      </c>
      <c r="T879">
        <f>YEAR(Table1_1[[#This Row],[order_date]])</f>
        <v>2025</v>
      </c>
      <c r="U879">
        <f>MONTH(Table1_1[[#This Row],[order_date]])</f>
        <v>11</v>
      </c>
      <c r="V879" t="str">
        <f>TEXT(Table1_1[[#This Row],[order_date]],"mmm")</f>
        <v>Nov</v>
      </c>
      <c r="W879" t="str">
        <f>"Q"&amp;ROUNDUP(MONTH(Table1_1[[#This Row],[order_date]])/3,0)</f>
        <v>Q4</v>
      </c>
      <c r="X879" t="str">
        <f>TEXT(Table1_1[[#This Row],[order_date]],"yyyy-mm")</f>
        <v>2025-11</v>
      </c>
      <c r="Y879">
        <f>IF(Table1_1[[#This Row],[ship_date]]="","",Table1_1[[#This Row],[ship_date]]-Table1_1[[#This Row],[order_date]])</f>
        <v>3</v>
      </c>
      <c r="Z879">
        <f>ROUND(Table1_1[[#This Row],[profit]]/Table1_1[[#This Row],[sales_fix]]*100,2)</f>
        <v>34.49</v>
      </c>
    </row>
    <row r="880" spans="1:26" x14ac:dyDescent="0.3">
      <c r="A880" t="s">
        <v>2730</v>
      </c>
      <c r="B880" s="1">
        <v>45457</v>
      </c>
      <c r="C880" s="1">
        <v>45464</v>
      </c>
      <c r="D880" t="s">
        <v>1482</v>
      </c>
      <c r="E880" t="s">
        <v>1483</v>
      </c>
      <c r="F880" t="s">
        <v>23</v>
      </c>
      <c r="G880" t="s">
        <v>44</v>
      </c>
      <c r="H880" t="s">
        <v>161</v>
      </c>
      <c r="I880" t="s">
        <v>126</v>
      </c>
      <c r="J880" t="s">
        <v>127</v>
      </c>
      <c r="K880" t="s">
        <v>95</v>
      </c>
      <c r="L880">
        <v>1</v>
      </c>
      <c r="M880">
        <v>600</v>
      </c>
      <c r="N880">
        <v>20</v>
      </c>
      <c r="O880">
        <v>480</v>
      </c>
      <c r="P880">
        <v>134.41</v>
      </c>
      <c r="Q880" t="s">
        <v>28</v>
      </c>
      <c r="R880" t="s">
        <v>56</v>
      </c>
      <c r="S880" t="s">
        <v>40</v>
      </c>
      <c r="T880">
        <f>YEAR(Table1_1[[#This Row],[order_date]])</f>
        <v>2024</v>
      </c>
      <c r="U880">
        <f>MONTH(Table1_1[[#This Row],[order_date]])</f>
        <v>6</v>
      </c>
      <c r="V880" t="str">
        <f>TEXT(Table1_1[[#This Row],[order_date]],"mmm")</f>
        <v>Jun</v>
      </c>
      <c r="W880" t="str">
        <f>"Q"&amp;ROUNDUP(MONTH(Table1_1[[#This Row],[order_date]])/3,0)</f>
        <v>Q2</v>
      </c>
      <c r="X880" t="str">
        <f>TEXT(Table1_1[[#This Row],[order_date]],"yyyy-mm")</f>
        <v>2024-06</v>
      </c>
      <c r="Y880">
        <f>IF(Table1_1[[#This Row],[ship_date]]="","",Table1_1[[#This Row],[ship_date]]-Table1_1[[#This Row],[order_date]])</f>
        <v>7</v>
      </c>
      <c r="Z880">
        <f>ROUND(Table1_1[[#This Row],[profit]]/Table1_1[[#This Row],[sales_fix]]*100,2)</f>
        <v>28</v>
      </c>
    </row>
    <row r="881" spans="1:26" x14ac:dyDescent="0.3">
      <c r="A881" t="s">
        <v>987</v>
      </c>
      <c r="B881" s="1">
        <v>45485</v>
      </c>
      <c r="C881" s="1">
        <v>45490</v>
      </c>
      <c r="D881" t="s">
        <v>524</v>
      </c>
      <c r="E881" t="s">
        <v>525</v>
      </c>
      <c r="F881" t="s">
        <v>34</v>
      </c>
      <c r="G881" t="s">
        <v>35</v>
      </c>
      <c r="H881" t="s">
        <v>187</v>
      </c>
      <c r="I881" t="s">
        <v>46</v>
      </c>
      <c r="J881" t="s">
        <v>47</v>
      </c>
      <c r="K881" t="s">
        <v>48</v>
      </c>
      <c r="L881">
        <v>4</v>
      </c>
      <c r="M881">
        <v>180</v>
      </c>
      <c r="N881">
        <v>0</v>
      </c>
      <c r="O881">
        <v>720</v>
      </c>
      <c r="P881">
        <v>334.34</v>
      </c>
      <c r="Q881" t="s">
        <v>156</v>
      </c>
      <c r="R881" t="s">
        <v>49</v>
      </c>
      <c r="S881" t="s">
        <v>40</v>
      </c>
      <c r="T881">
        <f>YEAR(Table1_1[[#This Row],[order_date]])</f>
        <v>2024</v>
      </c>
      <c r="U881">
        <f>MONTH(Table1_1[[#This Row],[order_date]])</f>
        <v>7</v>
      </c>
      <c r="V881" t="str">
        <f>TEXT(Table1_1[[#This Row],[order_date]],"mmm")</f>
        <v>Jul</v>
      </c>
      <c r="W881" t="str">
        <f>"Q"&amp;ROUNDUP(MONTH(Table1_1[[#This Row],[order_date]])/3,0)</f>
        <v>Q3</v>
      </c>
      <c r="X881" t="str">
        <f>TEXT(Table1_1[[#This Row],[order_date]],"yyyy-mm")</f>
        <v>2024-07</v>
      </c>
      <c r="Y881">
        <f>IF(Table1_1[[#This Row],[ship_date]]="","",Table1_1[[#This Row],[ship_date]]-Table1_1[[#This Row],[order_date]])</f>
        <v>5</v>
      </c>
      <c r="Z881">
        <f>ROUND(Table1_1[[#This Row],[profit]]/Table1_1[[#This Row],[sales_fix]]*100,2)</f>
        <v>46.44</v>
      </c>
    </row>
    <row r="882" spans="1:26" x14ac:dyDescent="0.3">
      <c r="A882" t="s">
        <v>239</v>
      </c>
      <c r="B882" s="1">
        <v>45683</v>
      </c>
      <c r="C882" s="1">
        <v>45685</v>
      </c>
      <c r="D882" t="s">
        <v>241</v>
      </c>
      <c r="E882" t="s">
        <v>242</v>
      </c>
      <c r="F882" t="s">
        <v>55</v>
      </c>
      <c r="G882" t="s">
        <v>91</v>
      </c>
      <c r="H882" t="s">
        <v>120</v>
      </c>
      <c r="I882" t="s">
        <v>126</v>
      </c>
      <c r="J882" t="s">
        <v>127</v>
      </c>
      <c r="K882" t="s">
        <v>95</v>
      </c>
      <c r="L882">
        <v>2</v>
      </c>
      <c r="M882">
        <v>600</v>
      </c>
      <c r="N882">
        <v>15</v>
      </c>
      <c r="O882">
        <v>1020</v>
      </c>
      <c r="P882">
        <v>335.14</v>
      </c>
      <c r="Q882" t="s">
        <v>3113</v>
      </c>
      <c r="R882" t="s">
        <v>56</v>
      </c>
      <c r="S882" t="s">
        <v>40</v>
      </c>
      <c r="T882">
        <f>YEAR(Table1_1[[#This Row],[order_date]])</f>
        <v>2025</v>
      </c>
      <c r="U882">
        <f>MONTH(Table1_1[[#This Row],[order_date]])</f>
        <v>1</v>
      </c>
      <c r="V882" t="str">
        <f>TEXT(Table1_1[[#This Row],[order_date]],"mmm")</f>
        <v>Jan</v>
      </c>
      <c r="W882" t="str">
        <f>"Q"&amp;ROUNDUP(MONTH(Table1_1[[#This Row],[order_date]])/3,0)</f>
        <v>Q1</v>
      </c>
      <c r="X882" t="str">
        <f>TEXT(Table1_1[[#This Row],[order_date]],"yyyy-mm")</f>
        <v>2025-01</v>
      </c>
      <c r="Y882">
        <f>IF(Table1_1[[#This Row],[ship_date]]="","",Table1_1[[#This Row],[ship_date]]-Table1_1[[#This Row],[order_date]])</f>
        <v>2</v>
      </c>
      <c r="Z882">
        <f>ROUND(Table1_1[[#This Row],[profit]]/Table1_1[[#This Row],[sales_fix]]*100,2)</f>
        <v>32.86</v>
      </c>
    </row>
    <row r="883" spans="1:26" x14ac:dyDescent="0.3">
      <c r="A883" t="s">
        <v>2660</v>
      </c>
      <c r="B883" s="1">
        <v>45567</v>
      </c>
      <c r="C883" s="1">
        <v>45568</v>
      </c>
      <c r="D883" t="s">
        <v>539</v>
      </c>
      <c r="E883" t="s">
        <v>540</v>
      </c>
      <c r="F883" t="s">
        <v>34</v>
      </c>
      <c r="G883" t="s">
        <v>61</v>
      </c>
      <c r="H883" t="s">
        <v>211</v>
      </c>
      <c r="I883" t="s">
        <v>79</v>
      </c>
      <c r="J883" t="s">
        <v>80</v>
      </c>
      <c r="K883" t="s">
        <v>65</v>
      </c>
      <c r="L883">
        <v>5</v>
      </c>
      <c r="M883">
        <v>3000</v>
      </c>
      <c r="N883">
        <v>5</v>
      </c>
      <c r="O883">
        <v>14250</v>
      </c>
      <c r="P883">
        <v>4187.8100000000004</v>
      </c>
      <c r="Q883" t="s">
        <v>121</v>
      </c>
      <c r="R883" t="s">
        <v>49</v>
      </c>
      <c r="S883" t="s">
        <v>86</v>
      </c>
      <c r="T883">
        <f>YEAR(Table1_1[[#This Row],[order_date]])</f>
        <v>2024</v>
      </c>
      <c r="U883">
        <f>MONTH(Table1_1[[#This Row],[order_date]])</f>
        <v>10</v>
      </c>
      <c r="V883" t="str">
        <f>TEXT(Table1_1[[#This Row],[order_date]],"mmm")</f>
        <v>Oct</v>
      </c>
      <c r="W883" t="str">
        <f>"Q"&amp;ROUNDUP(MONTH(Table1_1[[#This Row],[order_date]])/3,0)</f>
        <v>Q4</v>
      </c>
      <c r="X883" t="str">
        <f>TEXT(Table1_1[[#This Row],[order_date]],"yyyy-mm")</f>
        <v>2024-10</v>
      </c>
      <c r="Y883">
        <f>IF(Table1_1[[#This Row],[ship_date]]="","",Table1_1[[#This Row],[ship_date]]-Table1_1[[#This Row],[order_date]])</f>
        <v>1</v>
      </c>
      <c r="Z883">
        <f>ROUND(Table1_1[[#This Row],[profit]]/Table1_1[[#This Row],[sales_fix]]*100,2)</f>
        <v>29.39</v>
      </c>
    </row>
    <row r="884" spans="1:26" x14ac:dyDescent="0.3">
      <c r="A884" t="s">
        <v>1826</v>
      </c>
      <c r="B884" s="1">
        <v>46005</v>
      </c>
      <c r="C884" s="1">
        <v>46008</v>
      </c>
      <c r="D884" t="s">
        <v>203</v>
      </c>
      <c r="E884" t="s">
        <v>204</v>
      </c>
      <c r="F884" t="s">
        <v>23</v>
      </c>
      <c r="G884" t="s">
        <v>44</v>
      </c>
      <c r="H884" t="s">
        <v>45</v>
      </c>
      <c r="I884" t="s">
        <v>63</v>
      </c>
      <c r="J884" t="s">
        <v>64</v>
      </c>
      <c r="K884" t="s">
        <v>65</v>
      </c>
      <c r="L884">
        <v>2</v>
      </c>
      <c r="M884">
        <v>25000</v>
      </c>
      <c r="N884">
        <v>0</v>
      </c>
      <c r="O884">
        <v>50000</v>
      </c>
      <c r="P884">
        <v>7449.13</v>
      </c>
      <c r="Q884" t="s">
        <v>121</v>
      </c>
      <c r="R884" t="s">
        <v>49</v>
      </c>
      <c r="S884" t="s">
        <v>50</v>
      </c>
      <c r="T884">
        <f>YEAR(Table1_1[[#This Row],[order_date]])</f>
        <v>2025</v>
      </c>
      <c r="U884">
        <f>MONTH(Table1_1[[#This Row],[order_date]])</f>
        <v>12</v>
      </c>
      <c r="V884" t="str">
        <f>TEXT(Table1_1[[#This Row],[order_date]],"mmm")</f>
        <v>Dec</v>
      </c>
      <c r="W884" t="str">
        <f>"Q"&amp;ROUNDUP(MONTH(Table1_1[[#This Row],[order_date]])/3,0)</f>
        <v>Q4</v>
      </c>
      <c r="X884" t="str">
        <f>TEXT(Table1_1[[#This Row],[order_date]],"yyyy-mm")</f>
        <v>2025-12</v>
      </c>
      <c r="Y884">
        <f>IF(Table1_1[[#This Row],[ship_date]]="","",Table1_1[[#This Row],[ship_date]]-Table1_1[[#This Row],[order_date]])</f>
        <v>3</v>
      </c>
      <c r="Z884">
        <f>ROUND(Table1_1[[#This Row],[profit]]/Table1_1[[#This Row],[sales_fix]]*100,2)</f>
        <v>14.9</v>
      </c>
    </row>
    <row r="885" spans="1:26" x14ac:dyDescent="0.3">
      <c r="A885" t="s">
        <v>2505</v>
      </c>
      <c r="B885" s="1">
        <v>45790</v>
      </c>
      <c r="C885" s="1">
        <v>45794</v>
      </c>
      <c r="D885" t="s">
        <v>457</v>
      </c>
      <c r="E885" t="s">
        <v>458</v>
      </c>
      <c r="F885" t="s">
        <v>55</v>
      </c>
      <c r="G885" t="s">
        <v>44</v>
      </c>
      <c r="H885" t="s">
        <v>24</v>
      </c>
      <c r="I885" t="s">
        <v>103</v>
      </c>
      <c r="J885" t="s">
        <v>104</v>
      </c>
      <c r="K885" t="s">
        <v>65</v>
      </c>
      <c r="L885">
        <v>1</v>
      </c>
      <c r="M885">
        <v>8000</v>
      </c>
      <c r="N885">
        <v>0</v>
      </c>
      <c r="O885">
        <v>8000</v>
      </c>
      <c r="P885">
        <v>1760.53</v>
      </c>
      <c r="Q885" t="s">
        <v>121</v>
      </c>
      <c r="R885" t="s">
        <v>29</v>
      </c>
      <c r="S885" t="s">
        <v>86</v>
      </c>
      <c r="T885">
        <f>YEAR(Table1_1[[#This Row],[order_date]])</f>
        <v>2025</v>
      </c>
      <c r="U885">
        <f>MONTH(Table1_1[[#This Row],[order_date]])</f>
        <v>5</v>
      </c>
      <c r="V885" t="str">
        <f>TEXT(Table1_1[[#This Row],[order_date]],"mmm")</f>
        <v>May</v>
      </c>
      <c r="W885" t="str">
        <f>"Q"&amp;ROUNDUP(MONTH(Table1_1[[#This Row],[order_date]])/3,0)</f>
        <v>Q2</v>
      </c>
      <c r="X885" t="str">
        <f>TEXT(Table1_1[[#This Row],[order_date]],"yyyy-mm")</f>
        <v>2025-05</v>
      </c>
      <c r="Y885">
        <f>IF(Table1_1[[#This Row],[ship_date]]="","",Table1_1[[#This Row],[ship_date]]-Table1_1[[#This Row],[order_date]])</f>
        <v>4</v>
      </c>
      <c r="Z885">
        <f>ROUND(Table1_1[[#This Row],[profit]]/Table1_1[[#This Row],[sales_fix]]*100,2)</f>
        <v>22.01</v>
      </c>
    </row>
    <row r="886" spans="1:26" x14ac:dyDescent="0.3">
      <c r="A886" t="s">
        <v>1649</v>
      </c>
      <c r="B886" s="1">
        <v>45557</v>
      </c>
      <c r="C886" s="1">
        <v>45559</v>
      </c>
      <c r="D886" t="s">
        <v>356</v>
      </c>
      <c r="E886" t="s">
        <v>357</v>
      </c>
      <c r="F886" t="s">
        <v>23</v>
      </c>
      <c r="G886" t="s">
        <v>91</v>
      </c>
      <c r="H886" t="s">
        <v>120</v>
      </c>
      <c r="I886" t="s">
        <v>103</v>
      </c>
      <c r="J886" t="s">
        <v>104</v>
      </c>
      <c r="K886" t="s">
        <v>65</v>
      </c>
      <c r="L886">
        <v>10</v>
      </c>
      <c r="M886">
        <v>8000</v>
      </c>
      <c r="N886">
        <v>20</v>
      </c>
      <c r="O886">
        <v>64000</v>
      </c>
      <c r="P886">
        <v>13816.27</v>
      </c>
      <c r="Q886" t="s">
        <v>156</v>
      </c>
      <c r="R886" t="s">
        <v>29</v>
      </c>
      <c r="S886" t="s">
        <v>86</v>
      </c>
      <c r="T886">
        <f>YEAR(Table1_1[[#This Row],[order_date]])</f>
        <v>2024</v>
      </c>
      <c r="U886">
        <f>MONTH(Table1_1[[#This Row],[order_date]])</f>
        <v>9</v>
      </c>
      <c r="V886" t="str">
        <f>TEXT(Table1_1[[#This Row],[order_date]],"mmm")</f>
        <v>Sep</v>
      </c>
      <c r="W886" t="str">
        <f>"Q"&amp;ROUNDUP(MONTH(Table1_1[[#This Row],[order_date]])/3,0)</f>
        <v>Q3</v>
      </c>
      <c r="X886" t="str">
        <f>TEXT(Table1_1[[#This Row],[order_date]],"yyyy-mm")</f>
        <v>2024-09</v>
      </c>
      <c r="Y886">
        <f>IF(Table1_1[[#This Row],[ship_date]]="","",Table1_1[[#This Row],[ship_date]]-Table1_1[[#This Row],[order_date]])</f>
        <v>2</v>
      </c>
      <c r="Z886">
        <f>ROUND(Table1_1[[#This Row],[profit]]/Table1_1[[#This Row],[sales_fix]]*100,2)</f>
        <v>21.59</v>
      </c>
    </row>
    <row r="887" spans="1:26" x14ac:dyDescent="0.3">
      <c r="A887" t="s">
        <v>3032</v>
      </c>
      <c r="B887" s="1">
        <v>45678</v>
      </c>
      <c r="C887" s="1">
        <v>45682</v>
      </c>
      <c r="D887" t="s">
        <v>919</v>
      </c>
      <c r="E887" t="s">
        <v>920</v>
      </c>
      <c r="F887" t="s">
        <v>23</v>
      </c>
      <c r="G887" t="s">
        <v>35</v>
      </c>
      <c r="H887" t="s">
        <v>36</v>
      </c>
      <c r="I887" t="s">
        <v>63</v>
      </c>
      <c r="J887" t="s">
        <v>64</v>
      </c>
      <c r="K887" t="s">
        <v>65</v>
      </c>
      <c r="L887">
        <v>1</v>
      </c>
      <c r="M887">
        <v>25000</v>
      </c>
      <c r="N887">
        <v>0</v>
      </c>
      <c r="O887">
        <v>25000</v>
      </c>
      <c r="P887">
        <v>3138.23</v>
      </c>
      <c r="Q887" t="s">
        <v>28</v>
      </c>
      <c r="R887" t="s">
        <v>49</v>
      </c>
      <c r="S887" t="s">
        <v>86</v>
      </c>
      <c r="T887">
        <f>YEAR(Table1_1[[#This Row],[order_date]])</f>
        <v>2025</v>
      </c>
      <c r="U887">
        <f>MONTH(Table1_1[[#This Row],[order_date]])</f>
        <v>1</v>
      </c>
      <c r="V887" t="str">
        <f>TEXT(Table1_1[[#This Row],[order_date]],"mmm")</f>
        <v>Jan</v>
      </c>
      <c r="W887" t="str">
        <f>"Q"&amp;ROUNDUP(MONTH(Table1_1[[#This Row],[order_date]])/3,0)</f>
        <v>Q1</v>
      </c>
      <c r="X887" t="str">
        <f>TEXT(Table1_1[[#This Row],[order_date]],"yyyy-mm")</f>
        <v>2025-01</v>
      </c>
      <c r="Y887">
        <f>IF(Table1_1[[#This Row],[ship_date]]="","",Table1_1[[#This Row],[ship_date]]-Table1_1[[#This Row],[order_date]])</f>
        <v>4</v>
      </c>
      <c r="Z887">
        <f>ROUND(Table1_1[[#This Row],[profit]]/Table1_1[[#This Row],[sales_fix]]*100,2)</f>
        <v>12.55</v>
      </c>
    </row>
    <row r="888" spans="1:26" x14ac:dyDescent="0.3">
      <c r="A888" t="s">
        <v>3091</v>
      </c>
      <c r="B888" s="1">
        <v>45564</v>
      </c>
      <c r="C888" s="1">
        <v>45565</v>
      </c>
      <c r="D888" t="s">
        <v>400</v>
      </c>
      <c r="E888" t="s">
        <v>401</v>
      </c>
      <c r="F888" t="s">
        <v>34</v>
      </c>
      <c r="G888" t="s">
        <v>44</v>
      </c>
      <c r="H888" t="s">
        <v>24</v>
      </c>
      <c r="I888" t="s">
        <v>114</v>
      </c>
      <c r="J888" t="s">
        <v>115</v>
      </c>
      <c r="K888" t="s">
        <v>65</v>
      </c>
      <c r="L888">
        <v>3</v>
      </c>
      <c r="M888">
        <v>55000</v>
      </c>
      <c r="N888">
        <v>0</v>
      </c>
      <c r="O888">
        <v>165000</v>
      </c>
      <c r="P888">
        <v>28694.03</v>
      </c>
      <c r="Q888" t="s">
        <v>66</v>
      </c>
      <c r="R888" t="s">
        <v>29</v>
      </c>
      <c r="S888" t="s">
        <v>40</v>
      </c>
      <c r="T888">
        <f>YEAR(Table1_1[[#This Row],[order_date]])</f>
        <v>2024</v>
      </c>
      <c r="U888">
        <f>MONTH(Table1_1[[#This Row],[order_date]])</f>
        <v>9</v>
      </c>
      <c r="V888" t="str">
        <f>TEXT(Table1_1[[#This Row],[order_date]],"mmm")</f>
        <v>Sep</v>
      </c>
      <c r="W888" t="str">
        <f>"Q"&amp;ROUNDUP(MONTH(Table1_1[[#This Row],[order_date]])/3,0)</f>
        <v>Q3</v>
      </c>
      <c r="X888" t="str">
        <f>TEXT(Table1_1[[#This Row],[order_date]],"yyyy-mm")</f>
        <v>2024-09</v>
      </c>
      <c r="Y888">
        <f>IF(Table1_1[[#This Row],[ship_date]]="","",Table1_1[[#This Row],[ship_date]]-Table1_1[[#This Row],[order_date]])</f>
        <v>1</v>
      </c>
      <c r="Z888">
        <f>ROUND(Table1_1[[#This Row],[profit]]/Table1_1[[#This Row],[sales_fix]]*100,2)</f>
        <v>17.39</v>
      </c>
    </row>
    <row r="889" spans="1:26" x14ac:dyDescent="0.3">
      <c r="A889" t="s">
        <v>1805</v>
      </c>
      <c r="B889" s="1">
        <v>45909</v>
      </c>
      <c r="C889" s="1">
        <v>45917</v>
      </c>
      <c r="D889" t="s">
        <v>531</v>
      </c>
      <c r="E889" t="s">
        <v>532</v>
      </c>
      <c r="F889" t="s">
        <v>23</v>
      </c>
      <c r="G889" t="s">
        <v>44</v>
      </c>
      <c r="H889" t="s">
        <v>161</v>
      </c>
      <c r="I889" t="s">
        <v>134</v>
      </c>
      <c r="J889" t="s">
        <v>135</v>
      </c>
      <c r="K889" t="s">
        <v>27</v>
      </c>
      <c r="L889">
        <v>2</v>
      </c>
      <c r="M889">
        <v>6000</v>
      </c>
      <c r="N889">
        <v>20</v>
      </c>
      <c r="O889">
        <v>9600</v>
      </c>
      <c r="P889">
        <v>1857.79</v>
      </c>
      <c r="Q889" t="s">
        <v>28</v>
      </c>
      <c r="R889" t="s">
        <v>49</v>
      </c>
      <c r="S889" t="s">
        <v>40</v>
      </c>
      <c r="T889">
        <f>YEAR(Table1_1[[#This Row],[order_date]])</f>
        <v>2025</v>
      </c>
      <c r="U889">
        <f>MONTH(Table1_1[[#This Row],[order_date]])</f>
        <v>9</v>
      </c>
      <c r="V889" t="str">
        <f>TEXT(Table1_1[[#This Row],[order_date]],"mmm")</f>
        <v>Sep</v>
      </c>
      <c r="W889" t="str">
        <f>"Q"&amp;ROUNDUP(MONTH(Table1_1[[#This Row],[order_date]])/3,0)</f>
        <v>Q3</v>
      </c>
      <c r="X889" t="str">
        <f>TEXT(Table1_1[[#This Row],[order_date]],"yyyy-mm")</f>
        <v>2025-09</v>
      </c>
      <c r="Y889">
        <f>IF(Table1_1[[#This Row],[ship_date]]="","",Table1_1[[#This Row],[ship_date]]-Table1_1[[#This Row],[order_date]])</f>
        <v>8</v>
      </c>
      <c r="Z889">
        <f>ROUND(Table1_1[[#This Row],[profit]]/Table1_1[[#This Row],[sales_fix]]*100,2)</f>
        <v>19.350000000000001</v>
      </c>
    </row>
    <row r="890" spans="1:26" x14ac:dyDescent="0.3">
      <c r="A890" t="s">
        <v>2951</v>
      </c>
      <c r="B890" s="1">
        <v>45671</v>
      </c>
      <c r="C890" s="1">
        <v>45675</v>
      </c>
      <c r="D890" t="s">
        <v>2080</v>
      </c>
      <c r="E890" t="s">
        <v>2081</v>
      </c>
      <c r="F890" t="s">
        <v>34</v>
      </c>
      <c r="G890" t="s">
        <v>91</v>
      </c>
      <c r="H890" t="s">
        <v>120</v>
      </c>
      <c r="I890" t="s">
        <v>37</v>
      </c>
      <c r="J890" t="s">
        <v>38</v>
      </c>
      <c r="K890" t="s">
        <v>27</v>
      </c>
      <c r="L890">
        <v>3</v>
      </c>
      <c r="M890">
        <v>9500</v>
      </c>
      <c r="N890">
        <v>0</v>
      </c>
      <c r="O890">
        <v>28500</v>
      </c>
      <c r="P890">
        <v>6268.73</v>
      </c>
      <c r="Q890" t="s">
        <v>74</v>
      </c>
      <c r="R890" t="s">
        <v>56</v>
      </c>
      <c r="S890" t="s">
        <v>30</v>
      </c>
      <c r="T890">
        <f>YEAR(Table1_1[[#This Row],[order_date]])</f>
        <v>2025</v>
      </c>
      <c r="U890">
        <f>MONTH(Table1_1[[#This Row],[order_date]])</f>
        <v>1</v>
      </c>
      <c r="V890" t="str">
        <f>TEXT(Table1_1[[#This Row],[order_date]],"mmm")</f>
        <v>Jan</v>
      </c>
      <c r="W890" t="str">
        <f>"Q"&amp;ROUNDUP(MONTH(Table1_1[[#This Row],[order_date]])/3,0)</f>
        <v>Q1</v>
      </c>
      <c r="X890" t="str">
        <f>TEXT(Table1_1[[#This Row],[order_date]],"yyyy-mm")</f>
        <v>2025-01</v>
      </c>
      <c r="Y890">
        <f>IF(Table1_1[[#This Row],[ship_date]]="","",Table1_1[[#This Row],[ship_date]]-Table1_1[[#This Row],[order_date]])</f>
        <v>4</v>
      </c>
      <c r="Z890">
        <f>ROUND(Table1_1[[#This Row],[profit]]/Table1_1[[#This Row],[sales_fix]]*100,2)</f>
        <v>22</v>
      </c>
    </row>
    <row r="891" spans="1:26" x14ac:dyDescent="0.3">
      <c r="A891" t="s">
        <v>2698</v>
      </c>
      <c r="B891" s="1">
        <v>45350</v>
      </c>
      <c r="C891" s="1">
        <v>45352</v>
      </c>
      <c r="D891" t="s">
        <v>617</v>
      </c>
      <c r="E891" t="s">
        <v>618</v>
      </c>
      <c r="F891" t="s">
        <v>23</v>
      </c>
      <c r="G891" t="s">
        <v>91</v>
      </c>
      <c r="H891" t="s">
        <v>120</v>
      </c>
      <c r="I891" t="s">
        <v>93</v>
      </c>
      <c r="J891" t="s">
        <v>94</v>
      </c>
      <c r="K891" t="s">
        <v>95</v>
      </c>
      <c r="L891">
        <v>10</v>
      </c>
      <c r="M891">
        <v>1800</v>
      </c>
      <c r="N891">
        <v>20</v>
      </c>
      <c r="O891">
        <v>14400</v>
      </c>
      <c r="P891">
        <v>4193.79</v>
      </c>
      <c r="Q891" t="s">
        <v>66</v>
      </c>
      <c r="R891" t="s">
        <v>49</v>
      </c>
      <c r="S891" t="s">
        <v>30</v>
      </c>
      <c r="T891">
        <f>YEAR(Table1_1[[#This Row],[order_date]])</f>
        <v>2024</v>
      </c>
      <c r="U891">
        <f>MONTH(Table1_1[[#This Row],[order_date]])</f>
        <v>2</v>
      </c>
      <c r="V891" t="str">
        <f>TEXT(Table1_1[[#This Row],[order_date]],"mmm")</f>
        <v>Feb</v>
      </c>
      <c r="W891" t="str">
        <f>"Q"&amp;ROUNDUP(MONTH(Table1_1[[#This Row],[order_date]])/3,0)</f>
        <v>Q1</v>
      </c>
      <c r="X891" t="str">
        <f>TEXT(Table1_1[[#This Row],[order_date]],"yyyy-mm")</f>
        <v>2024-02</v>
      </c>
      <c r="Y891">
        <f>IF(Table1_1[[#This Row],[ship_date]]="","",Table1_1[[#This Row],[ship_date]]-Table1_1[[#This Row],[order_date]])</f>
        <v>2</v>
      </c>
      <c r="Z891">
        <f>ROUND(Table1_1[[#This Row],[profit]]/Table1_1[[#This Row],[sales_fix]]*100,2)</f>
        <v>29.12</v>
      </c>
    </row>
    <row r="892" spans="1:26" x14ac:dyDescent="0.3">
      <c r="A892" t="s">
        <v>3005</v>
      </c>
      <c r="B892" s="1">
        <v>45908</v>
      </c>
      <c r="C892" s="1">
        <v>45912</v>
      </c>
      <c r="D892" t="s">
        <v>378</v>
      </c>
      <c r="E892" t="s">
        <v>379</v>
      </c>
      <c r="F892" t="s">
        <v>34</v>
      </c>
      <c r="G892" t="s">
        <v>44</v>
      </c>
      <c r="H892" t="s">
        <v>24</v>
      </c>
      <c r="I892" t="s">
        <v>114</v>
      </c>
      <c r="J892" t="s">
        <v>115</v>
      </c>
      <c r="K892" t="s">
        <v>65</v>
      </c>
      <c r="L892">
        <v>1</v>
      </c>
      <c r="M892">
        <v>55000</v>
      </c>
      <c r="N892">
        <v>10</v>
      </c>
      <c r="O892">
        <v>49500</v>
      </c>
      <c r="P892">
        <v>7233.02</v>
      </c>
      <c r="Q892" t="s">
        <v>74</v>
      </c>
      <c r="R892" t="s">
        <v>49</v>
      </c>
      <c r="S892" t="s">
        <v>40</v>
      </c>
      <c r="T892">
        <f>YEAR(Table1_1[[#This Row],[order_date]])</f>
        <v>2025</v>
      </c>
      <c r="U892">
        <f>MONTH(Table1_1[[#This Row],[order_date]])</f>
        <v>9</v>
      </c>
      <c r="V892" t="str">
        <f>TEXT(Table1_1[[#This Row],[order_date]],"mmm")</f>
        <v>Sep</v>
      </c>
      <c r="W892" t="str">
        <f>"Q"&amp;ROUNDUP(MONTH(Table1_1[[#This Row],[order_date]])/3,0)</f>
        <v>Q3</v>
      </c>
      <c r="X892" t="str">
        <f>TEXT(Table1_1[[#This Row],[order_date]],"yyyy-mm")</f>
        <v>2025-09</v>
      </c>
      <c r="Y892">
        <f>IF(Table1_1[[#This Row],[ship_date]]="","",Table1_1[[#This Row],[ship_date]]-Table1_1[[#This Row],[order_date]])</f>
        <v>4</v>
      </c>
      <c r="Z892">
        <f>ROUND(Table1_1[[#This Row],[profit]]/Table1_1[[#This Row],[sales_fix]]*100,2)</f>
        <v>14.61</v>
      </c>
    </row>
    <row r="893" spans="1:26" x14ac:dyDescent="0.3">
      <c r="A893" t="s">
        <v>2264</v>
      </c>
      <c r="B893" s="1">
        <v>45715</v>
      </c>
      <c r="C893" s="1">
        <v>45721</v>
      </c>
      <c r="D893" t="s">
        <v>123</v>
      </c>
      <c r="E893" t="s">
        <v>124</v>
      </c>
      <c r="F893" t="s">
        <v>34</v>
      </c>
      <c r="G893" t="s">
        <v>61</v>
      </c>
      <c r="H893" t="s">
        <v>125</v>
      </c>
      <c r="I893" t="s">
        <v>46</v>
      </c>
      <c r="J893" t="s">
        <v>47</v>
      </c>
      <c r="K893" t="s">
        <v>48</v>
      </c>
      <c r="L893">
        <v>3</v>
      </c>
      <c r="M893">
        <v>180</v>
      </c>
      <c r="N893">
        <v>0</v>
      </c>
      <c r="O893">
        <v>540</v>
      </c>
      <c r="P893">
        <v>265.95999999999998</v>
      </c>
      <c r="Q893" t="s">
        <v>66</v>
      </c>
      <c r="R893" t="s">
        <v>56</v>
      </c>
      <c r="S893" t="s">
        <v>110</v>
      </c>
      <c r="T893">
        <f>YEAR(Table1_1[[#This Row],[order_date]])</f>
        <v>2025</v>
      </c>
      <c r="U893">
        <f>MONTH(Table1_1[[#This Row],[order_date]])</f>
        <v>2</v>
      </c>
      <c r="V893" t="str">
        <f>TEXT(Table1_1[[#This Row],[order_date]],"mmm")</f>
        <v>Feb</v>
      </c>
      <c r="W893" t="str">
        <f>"Q"&amp;ROUNDUP(MONTH(Table1_1[[#This Row],[order_date]])/3,0)</f>
        <v>Q1</v>
      </c>
      <c r="X893" t="str">
        <f>TEXT(Table1_1[[#This Row],[order_date]],"yyyy-mm")</f>
        <v>2025-02</v>
      </c>
      <c r="Y893">
        <f>IF(Table1_1[[#This Row],[ship_date]]="","",Table1_1[[#This Row],[ship_date]]-Table1_1[[#This Row],[order_date]])</f>
        <v>6</v>
      </c>
      <c r="Z893">
        <f>ROUND(Table1_1[[#This Row],[profit]]/Table1_1[[#This Row],[sales_fix]]*100,2)</f>
        <v>49.25</v>
      </c>
    </row>
    <row r="894" spans="1:26" x14ac:dyDescent="0.3">
      <c r="A894" t="s">
        <v>2417</v>
      </c>
      <c r="B894" s="1">
        <v>45625</v>
      </c>
      <c r="C894" s="1">
        <v>45627</v>
      </c>
      <c r="D894" t="s">
        <v>1950</v>
      </c>
      <c r="E894" t="s">
        <v>1951</v>
      </c>
      <c r="F894" t="s">
        <v>55</v>
      </c>
      <c r="G894" t="s">
        <v>35</v>
      </c>
      <c r="H894" t="s">
        <v>85</v>
      </c>
      <c r="I894" t="s">
        <v>71</v>
      </c>
      <c r="J894" t="s">
        <v>72</v>
      </c>
      <c r="K894" t="s">
        <v>73</v>
      </c>
      <c r="L894">
        <v>1</v>
      </c>
      <c r="M894">
        <v>3500</v>
      </c>
      <c r="N894">
        <v>5</v>
      </c>
      <c r="O894">
        <v>3325</v>
      </c>
      <c r="P894">
        <v>915.11</v>
      </c>
      <c r="Q894" t="s">
        <v>74</v>
      </c>
      <c r="R894" t="s">
        <v>49</v>
      </c>
      <c r="S894" t="s">
        <v>30</v>
      </c>
      <c r="T894">
        <f>YEAR(Table1_1[[#This Row],[order_date]])</f>
        <v>2024</v>
      </c>
      <c r="U894">
        <f>MONTH(Table1_1[[#This Row],[order_date]])</f>
        <v>11</v>
      </c>
      <c r="V894" t="str">
        <f>TEXT(Table1_1[[#This Row],[order_date]],"mmm")</f>
        <v>Nov</v>
      </c>
      <c r="W894" t="str">
        <f>"Q"&amp;ROUNDUP(MONTH(Table1_1[[#This Row],[order_date]])/3,0)</f>
        <v>Q4</v>
      </c>
      <c r="X894" t="str">
        <f>TEXT(Table1_1[[#This Row],[order_date]],"yyyy-mm")</f>
        <v>2024-11</v>
      </c>
      <c r="Y894">
        <f>IF(Table1_1[[#This Row],[ship_date]]="","",Table1_1[[#This Row],[ship_date]]-Table1_1[[#This Row],[order_date]])</f>
        <v>2</v>
      </c>
      <c r="Z894">
        <f>ROUND(Table1_1[[#This Row],[profit]]/Table1_1[[#This Row],[sales_fix]]*100,2)</f>
        <v>27.52</v>
      </c>
    </row>
    <row r="895" spans="1:26" x14ac:dyDescent="0.3">
      <c r="A895" t="s">
        <v>1406</v>
      </c>
      <c r="B895" s="1">
        <v>45686</v>
      </c>
      <c r="C895" s="1">
        <v>45687</v>
      </c>
      <c r="D895" t="s">
        <v>861</v>
      </c>
      <c r="E895" t="s">
        <v>862</v>
      </c>
      <c r="F895" t="s">
        <v>55</v>
      </c>
      <c r="G895" t="s">
        <v>44</v>
      </c>
      <c r="H895" t="s">
        <v>24</v>
      </c>
      <c r="I895" t="s">
        <v>71</v>
      </c>
      <c r="J895" t="s">
        <v>72</v>
      </c>
      <c r="K895" t="s">
        <v>73</v>
      </c>
      <c r="L895">
        <v>1</v>
      </c>
      <c r="M895">
        <v>3500</v>
      </c>
      <c r="N895">
        <v>0</v>
      </c>
      <c r="O895">
        <v>3500</v>
      </c>
      <c r="P895">
        <v>1102.95</v>
      </c>
      <c r="Q895" t="s">
        <v>121</v>
      </c>
      <c r="R895" t="s">
        <v>49</v>
      </c>
      <c r="S895" t="s">
        <v>86</v>
      </c>
      <c r="T895">
        <f>YEAR(Table1_1[[#This Row],[order_date]])</f>
        <v>2025</v>
      </c>
      <c r="U895">
        <f>MONTH(Table1_1[[#This Row],[order_date]])</f>
        <v>1</v>
      </c>
      <c r="V895" t="str">
        <f>TEXT(Table1_1[[#This Row],[order_date]],"mmm")</f>
        <v>Jan</v>
      </c>
      <c r="W895" t="str">
        <f>"Q"&amp;ROUNDUP(MONTH(Table1_1[[#This Row],[order_date]])/3,0)</f>
        <v>Q1</v>
      </c>
      <c r="X895" t="str">
        <f>TEXT(Table1_1[[#This Row],[order_date]],"yyyy-mm")</f>
        <v>2025-01</v>
      </c>
      <c r="Y895">
        <f>IF(Table1_1[[#This Row],[ship_date]]="","",Table1_1[[#This Row],[ship_date]]-Table1_1[[#This Row],[order_date]])</f>
        <v>1</v>
      </c>
      <c r="Z895">
        <f>ROUND(Table1_1[[#This Row],[profit]]/Table1_1[[#This Row],[sales_fix]]*100,2)</f>
        <v>31.51</v>
      </c>
    </row>
    <row r="896" spans="1:26" x14ac:dyDescent="0.3">
      <c r="A896" t="s">
        <v>1525</v>
      </c>
      <c r="B896" s="1">
        <v>45853</v>
      </c>
      <c r="C896" s="1">
        <v>45861</v>
      </c>
      <c r="D896" t="s">
        <v>223</v>
      </c>
      <c r="E896" t="s">
        <v>224</v>
      </c>
      <c r="F896" t="s">
        <v>34</v>
      </c>
      <c r="G896" t="s">
        <v>35</v>
      </c>
      <c r="H896" t="s">
        <v>85</v>
      </c>
      <c r="I896" t="s">
        <v>126</v>
      </c>
      <c r="J896" t="s">
        <v>127</v>
      </c>
      <c r="K896" t="s">
        <v>95</v>
      </c>
      <c r="L896">
        <v>10</v>
      </c>
      <c r="M896">
        <v>600</v>
      </c>
      <c r="N896">
        <v>5</v>
      </c>
      <c r="O896">
        <v>5700</v>
      </c>
      <c r="P896">
        <v>1661.8</v>
      </c>
      <c r="Q896" t="s">
        <v>66</v>
      </c>
      <c r="R896" t="s">
        <v>49</v>
      </c>
      <c r="S896" t="s">
        <v>40</v>
      </c>
      <c r="T896">
        <f>YEAR(Table1_1[[#This Row],[order_date]])</f>
        <v>2025</v>
      </c>
      <c r="U896">
        <f>MONTH(Table1_1[[#This Row],[order_date]])</f>
        <v>7</v>
      </c>
      <c r="V896" t="str">
        <f>TEXT(Table1_1[[#This Row],[order_date]],"mmm")</f>
        <v>Jul</v>
      </c>
      <c r="W896" t="str">
        <f>"Q"&amp;ROUNDUP(MONTH(Table1_1[[#This Row],[order_date]])/3,0)</f>
        <v>Q3</v>
      </c>
      <c r="X896" t="str">
        <f>TEXT(Table1_1[[#This Row],[order_date]],"yyyy-mm")</f>
        <v>2025-07</v>
      </c>
      <c r="Y896">
        <f>IF(Table1_1[[#This Row],[ship_date]]="","",Table1_1[[#This Row],[ship_date]]-Table1_1[[#This Row],[order_date]])</f>
        <v>8</v>
      </c>
      <c r="Z896">
        <f>ROUND(Table1_1[[#This Row],[profit]]/Table1_1[[#This Row],[sales_fix]]*100,2)</f>
        <v>29.15</v>
      </c>
    </row>
    <row r="897" spans="1:26" x14ac:dyDescent="0.3">
      <c r="A897" t="s">
        <v>100</v>
      </c>
      <c r="B897" s="1">
        <v>45508</v>
      </c>
      <c r="C897" s="1">
        <v>45510</v>
      </c>
      <c r="D897" t="s">
        <v>101</v>
      </c>
      <c r="E897" t="s">
        <v>102</v>
      </c>
      <c r="F897" t="s">
        <v>55</v>
      </c>
      <c r="G897" t="s">
        <v>35</v>
      </c>
      <c r="H897" t="s">
        <v>36</v>
      </c>
      <c r="I897" t="s">
        <v>103</v>
      </c>
      <c r="J897" t="s">
        <v>104</v>
      </c>
      <c r="K897" t="s">
        <v>65</v>
      </c>
      <c r="L897">
        <v>1</v>
      </c>
      <c r="M897">
        <v>8000</v>
      </c>
      <c r="N897">
        <v>15</v>
      </c>
      <c r="O897">
        <v>6800</v>
      </c>
      <c r="P897">
        <v>1665.94</v>
      </c>
      <c r="Q897" t="s">
        <v>28</v>
      </c>
      <c r="R897" t="s">
        <v>56</v>
      </c>
      <c r="S897" t="s">
        <v>86</v>
      </c>
      <c r="T897">
        <f>YEAR(Table1_1[[#This Row],[order_date]])</f>
        <v>2024</v>
      </c>
      <c r="U897">
        <f>MONTH(Table1_1[[#This Row],[order_date]])</f>
        <v>8</v>
      </c>
      <c r="V897" t="str">
        <f>TEXT(Table1_1[[#This Row],[order_date]],"mmm")</f>
        <v>Aug</v>
      </c>
      <c r="W897" t="str">
        <f>"Q"&amp;ROUNDUP(MONTH(Table1_1[[#This Row],[order_date]])/3,0)</f>
        <v>Q3</v>
      </c>
      <c r="X897" t="str">
        <f>TEXT(Table1_1[[#This Row],[order_date]],"yyyy-mm")</f>
        <v>2024-08</v>
      </c>
      <c r="Y897">
        <f>IF(Table1_1[[#This Row],[ship_date]]="","",Table1_1[[#This Row],[ship_date]]-Table1_1[[#This Row],[order_date]])</f>
        <v>2</v>
      </c>
      <c r="Z897">
        <f>ROUND(Table1_1[[#This Row],[profit]]/Table1_1[[#This Row],[sales_fix]]*100,2)</f>
        <v>24.5</v>
      </c>
    </row>
    <row r="898" spans="1:26" x14ac:dyDescent="0.3">
      <c r="A898" t="s">
        <v>1554</v>
      </c>
      <c r="B898" s="1">
        <v>45684</v>
      </c>
      <c r="C898" s="1">
        <v>45692</v>
      </c>
      <c r="D898" t="s">
        <v>761</v>
      </c>
      <c r="E898" t="s">
        <v>762</v>
      </c>
      <c r="F898" t="s">
        <v>23</v>
      </c>
      <c r="G898" t="s">
        <v>44</v>
      </c>
      <c r="H898" t="s">
        <v>330</v>
      </c>
      <c r="I898" t="s">
        <v>37</v>
      </c>
      <c r="J898" t="s">
        <v>38</v>
      </c>
      <c r="K898" t="s">
        <v>27</v>
      </c>
      <c r="L898">
        <v>3</v>
      </c>
      <c r="M898">
        <v>9500</v>
      </c>
      <c r="N898">
        <v>0</v>
      </c>
      <c r="O898">
        <v>28500</v>
      </c>
      <c r="P898">
        <v>5629.72</v>
      </c>
      <c r="Q898" t="s">
        <v>156</v>
      </c>
      <c r="R898" t="s">
        <v>29</v>
      </c>
      <c r="S898" t="s">
        <v>50</v>
      </c>
      <c r="T898">
        <f>YEAR(Table1_1[[#This Row],[order_date]])</f>
        <v>2025</v>
      </c>
      <c r="U898">
        <f>MONTH(Table1_1[[#This Row],[order_date]])</f>
        <v>1</v>
      </c>
      <c r="V898" t="str">
        <f>TEXT(Table1_1[[#This Row],[order_date]],"mmm")</f>
        <v>Jan</v>
      </c>
      <c r="W898" t="str">
        <f>"Q"&amp;ROUNDUP(MONTH(Table1_1[[#This Row],[order_date]])/3,0)</f>
        <v>Q1</v>
      </c>
      <c r="X898" t="str">
        <f>TEXT(Table1_1[[#This Row],[order_date]],"yyyy-mm")</f>
        <v>2025-01</v>
      </c>
      <c r="Y898">
        <f>IF(Table1_1[[#This Row],[ship_date]]="","",Table1_1[[#This Row],[ship_date]]-Table1_1[[#This Row],[order_date]])</f>
        <v>8</v>
      </c>
      <c r="Z898">
        <f>ROUND(Table1_1[[#This Row],[profit]]/Table1_1[[#This Row],[sales_fix]]*100,2)</f>
        <v>19.75</v>
      </c>
    </row>
    <row r="899" spans="1:26" x14ac:dyDescent="0.3">
      <c r="A899" t="s">
        <v>1445</v>
      </c>
      <c r="B899" s="1">
        <v>45795</v>
      </c>
      <c r="C899" s="1">
        <v>45799</v>
      </c>
      <c r="D899" t="s">
        <v>98</v>
      </c>
      <c r="E899" t="s">
        <v>99</v>
      </c>
      <c r="F899" t="s">
        <v>34</v>
      </c>
      <c r="G899" t="s">
        <v>91</v>
      </c>
      <c r="H899" t="s">
        <v>92</v>
      </c>
      <c r="I899" t="s">
        <v>126</v>
      </c>
      <c r="J899" t="s">
        <v>127</v>
      </c>
      <c r="K899" t="s">
        <v>95</v>
      </c>
      <c r="L899">
        <v>1</v>
      </c>
      <c r="M899">
        <v>600</v>
      </c>
      <c r="N899">
        <v>15</v>
      </c>
      <c r="O899">
        <v>510</v>
      </c>
      <c r="P899">
        <v>161.46</v>
      </c>
      <c r="Q899" t="s">
        <v>39</v>
      </c>
      <c r="R899" t="s">
        <v>56</v>
      </c>
      <c r="S899" t="s">
        <v>86</v>
      </c>
      <c r="T899">
        <f>YEAR(Table1_1[[#This Row],[order_date]])</f>
        <v>2025</v>
      </c>
      <c r="U899">
        <f>MONTH(Table1_1[[#This Row],[order_date]])</f>
        <v>5</v>
      </c>
      <c r="V899" t="str">
        <f>TEXT(Table1_1[[#This Row],[order_date]],"mmm")</f>
        <v>May</v>
      </c>
      <c r="W899" t="str">
        <f>"Q"&amp;ROUNDUP(MONTH(Table1_1[[#This Row],[order_date]])/3,0)</f>
        <v>Q2</v>
      </c>
      <c r="X899" t="str">
        <f>TEXT(Table1_1[[#This Row],[order_date]],"yyyy-mm")</f>
        <v>2025-05</v>
      </c>
      <c r="Y899">
        <f>IF(Table1_1[[#This Row],[ship_date]]="","",Table1_1[[#This Row],[ship_date]]-Table1_1[[#This Row],[order_date]])</f>
        <v>4</v>
      </c>
      <c r="Z899">
        <f>ROUND(Table1_1[[#This Row],[profit]]/Table1_1[[#This Row],[sales_fix]]*100,2)</f>
        <v>31.66</v>
      </c>
    </row>
    <row r="900" spans="1:26" x14ac:dyDescent="0.3">
      <c r="A900" t="s">
        <v>1134</v>
      </c>
      <c r="B900" s="1">
        <v>45682</v>
      </c>
      <c r="C900" s="1">
        <v>45689</v>
      </c>
      <c r="D900" t="s">
        <v>1135</v>
      </c>
      <c r="E900" t="s">
        <v>1136</v>
      </c>
      <c r="F900" t="s">
        <v>55</v>
      </c>
      <c r="G900" t="s">
        <v>61</v>
      </c>
      <c r="H900" t="s">
        <v>125</v>
      </c>
      <c r="I900" t="s">
        <v>134</v>
      </c>
      <c r="J900" t="s">
        <v>135</v>
      </c>
      <c r="K900" t="s">
        <v>27</v>
      </c>
      <c r="L900">
        <v>3</v>
      </c>
      <c r="M900">
        <v>6000</v>
      </c>
      <c r="N900">
        <v>20</v>
      </c>
      <c r="O900">
        <v>14400</v>
      </c>
      <c r="P900">
        <v>3195.97</v>
      </c>
      <c r="Q900" t="s">
        <v>121</v>
      </c>
      <c r="R900" t="s">
        <v>29</v>
      </c>
      <c r="S900" t="s">
        <v>110</v>
      </c>
      <c r="T900">
        <f>YEAR(Table1_1[[#This Row],[order_date]])</f>
        <v>2025</v>
      </c>
      <c r="U900">
        <f>MONTH(Table1_1[[#This Row],[order_date]])</f>
        <v>1</v>
      </c>
      <c r="V900" t="str">
        <f>TEXT(Table1_1[[#This Row],[order_date]],"mmm")</f>
        <v>Jan</v>
      </c>
      <c r="W900" t="str">
        <f>"Q"&amp;ROUNDUP(MONTH(Table1_1[[#This Row],[order_date]])/3,0)</f>
        <v>Q1</v>
      </c>
      <c r="X900" t="str">
        <f>TEXT(Table1_1[[#This Row],[order_date]],"yyyy-mm")</f>
        <v>2025-01</v>
      </c>
      <c r="Y900">
        <f>IF(Table1_1[[#This Row],[ship_date]]="","",Table1_1[[#This Row],[ship_date]]-Table1_1[[#This Row],[order_date]])</f>
        <v>7</v>
      </c>
      <c r="Z900">
        <f>ROUND(Table1_1[[#This Row],[profit]]/Table1_1[[#This Row],[sales_fix]]*100,2)</f>
        <v>22.19</v>
      </c>
    </row>
    <row r="901" spans="1:26" x14ac:dyDescent="0.3">
      <c r="A901" t="s">
        <v>2067</v>
      </c>
      <c r="B901" s="1">
        <v>45381</v>
      </c>
      <c r="C901" s="1">
        <v>45385</v>
      </c>
      <c r="D901" t="s">
        <v>557</v>
      </c>
      <c r="E901" t="s">
        <v>558</v>
      </c>
      <c r="F901" t="s">
        <v>23</v>
      </c>
      <c r="G901" t="s">
        <v>61</v>
      </c>
      <c r="H901" t="s">
        <v>62</v>
      </c>
      <c r="I901" t="s">
        <v>25</v>
      </c>
      <c r="J901" t="s">
        <v>26</v>
      </c>
      <c r="K901" t="s">
        <v>27</v>
      </c>
      <c r="L901">
        <v>1</v>
      </c>
      <c r="M901">
        <v>7000</v>
      </c>
      <c r="N901">
        <v>0</v>
      </c>
      <c r="O901">
        <v>7000</v>
      </c>
      <c r="P901">
        <v>1534.2</v>
      </c>
      <c r="Q901" t="s">
        <v>156</v>
      </c>
      <c r="R901" t="s">
        <v>29</v>
      </c>
      <c r="S901" t="s">
        <v>40</v>
      </c>
      <c r="T901">
        <f>YEAR(Table1_1[[#This Row],[order_date]])</f>
        <v>2024</v>
      </c>
      <c r="U901">
        <f>MONTH(Table1_1[[#This Row],[order_date]])</f>
        <v>3</v>
      </c>
      <c r="V901" t="str">
        <f>TEXT(Table1_1[[#This Row],[order_date]],"mmm")</f>
        <v>Mar</v>
      </c>
      <c r="W901" t="str">
        <f>"Q"&amp;ROUNDUP(MONTH(Table1_1[[#This Row],[order_date]])/3,0)</f>
        <v>Q1</v>
      </c>
      <c r="X901" t="str">
        <f>TEXT(Table1_1[[#This Row],[order_date]],"yyyy-mm")</f>
        <v>2024-03</v>
      </c>
      <c r="Y901">
        <f>IF(Table1_1[[#This Row],[ship_date]]="","",Table1_1[[#This Row],[ship_date]]-Table1_1[[#This Row],[order_date]])</f>
        <v>4</v>
      </c>
      <c r="Z901">
        <f>ROUND(Table1_1[[#This Row],[profit]]/Table1_1[[#This Row],[sales_fix]]*100,2)</f>
        <v>21.92</v>
      </c>
    </row>
    <row r="902" spans="1:26" x14ac:dyDescent="0.3">
      <c r="A902" t="s">
        <v>1413</v>
      </c>
      <c r="B902" s="1">
        <v>45612</v>
      </c>
      <c r="C902" s="1">
        <v>45616</v>
      </c>
      <c r="D902" t="s">
        <v>1414</v>
      </c>
      <c r="E902" t="s">
        <v>1415</v>
      </c>
      <c r="F902" t="s">
        <v>55</v>
      </c>
      <c r="G902" t="s">
        <v>44</v>
      </c>
      <c r="H902" t="s">
        <v>24</v>
      </c>
      <c r="I902" t="s">
        <v>79</v>
      </c>
      <c r="J902" t="s">
        <v>80</v>
      </c>
      <c r="K902" t="s">
        <v>65</v>
      </c>
      <c r="L902">
        <v>2</v>
      </c>
      <c r="M902">
        <v>3000</v>
      </c>
      <c r="N902">
        <v>0</v>
      </c>
      <c r="O902">
        <v>6000</v>
      </c>
      <c r="P902">
        <v>1483.78</v>
      </c>
      <c r="Q902" t="s">
        <v>28</v>
      </c>
      <c r="R902" t="s">
        <v>49</v>
      </c>
      <c r="S902" t="s">
        <v>110</v>
      </c>
      <c r="T902">
        <f>YEAR(Table1_1[[#This Row],[order_date]])</f>
        <v>2024</v>
      </c>
      <c r="U902">
        <f>MONTH(Table1_1[[#This Row],[order_date]])</f>
        <v>11</v>
      </c>
      <c r="V902" t="str">
        <f>TEXT(Table1_1[[#This Row],[order_date]],"mmm")</f>
        <v>Nov</v>
      </c>
      <c r="W902" t="str">
        <f>"Q"&amp;ROUNDUP(MONTH(Table1_1[[#This Row],[order_date]])/3,0)</f>
        <v>Q4</v>
      </c>
      <c r="X902" t="str">
        <f>TEXT(Table1_1[[#This Row],[order_date]],"yyyy-mm")</f>
        <v>2024-11</v>
      </c>
      <c r="Y902">
        <f>IF(Table1_1[[#This Row],[ship_date]]="","",Table1_1[[#This Row],[ship_date]]-Table1_1[[#This Row],[order_date]])</f>
        <v>4</v>
      </c>
      <c r="Z902">
        <f>ROUND(Table1_1[[#This Row],[profit]]/Table1_1[[#This Row],[sales_fix]]*100,2)</f>
        <v>24.73</v>
      </c>
    </row>
    <row r="903" spans="1:26" x14ac:dyDescent="0.3">
      <c r="A903" t="s">
        <v>1252</v>
      </c>
      <c r="B903" s="1">
        <v>45421</v>
      </c>
      <c r="C903" s="1">
        <v>45423</v>
      </c>
      <c r="D903" t="s">
        <v>981</v>
      </c>
      <c r="E903" t="s">
        <v>982</v>
      </c>
      <c r="F903" t="s">
        <v>23</v>
      </c>
      <c r="G903" t="s">
        <v>91</v>
      </c>
      <c r="H903" t="s">
        <v>177</v>
      </c>
      <c r="I903" t="s">
        <v>126</v>
      </c>
      <c r="J903" t="s">
        <v>127</v>
      </c>
      <c r="K903" t="s">
        <v>95</v>
      </c>
      <c r="L903">
        <v>2</v>
      </c>
      <c r="M903">
        <v>600</v>
      </c>
      <c r="N903">
        <v>10</v>
      </c>
      <c r="O903">
        <v>1080</v>
      </c>
      <c r="P903">
        <v>384.26</v>
      </c>
      <c r="Q903" t="s">
        <v>28</v>
      </c>
      <c r="R903" t="s">
        <v>29</v>
      </c>
      <c r="S903" t="s">
        <v>40</v>
      </c>
      <c r="T903">
        <f>YEAR(Table1_1[[#This Row],[order_date]])</f>
        <v>2024</v>
      </c>
      <c r="U903">
        <f>MONTH(Table1_1[[#This Row],[order_date]])</f>
        <v>5</v>
      </c>
      <c r="V903" t="str">
        <f>TEXT(Table1_1[[#This Row],[order_date]],"mmm")</f>
        <v>May</v>
      </c>
      <c r="W903" t="str">
        <f>"Q"&amp;ROUNDUP(MONTH(Table1_1[[#This Row],[order_date]])/3,0)</f>
        <v>Q2</v>
      </c>
      <c r="X903" t="str">
        <f>TEXT(Table1_1[[#This Row],[order_date]],"yyyy-mm")</f>
        <v>2024-05</v>
      </c>
      <c r="Y903">
        <f>IF(Table1_1[[#This Row],[ship_date]]="","",Table1_1[[#This Row],[ship_date]]-Table1_1[[#This Row],[order_date]])</f>
        <v>2</v>
      </c>
      <c r="Z903">
        <f>ROUND(Table1_1[[#This Row],[profit]]/Table1_1[[#This Row],[sales_fix]]*100,2)</f>
        <v>35.58</v>
      </c>
    </row>
    <row r="904" spans="1:26" x14ac:dyDescent="0.3">
      <c r="A904" t="s">
        <v>2925</v>
      </c>
      <c r="B904" s="1">
        <v>45440</v>
      </c>
      <c r="C904" s="1">
        <v>45448</v>
      </c>
      <c r="D904" t="s">
        <v>582</v>
      </c>
      <c r="E904" t="s">
        <v>583</v>
      </c>
      <c r="F904" t="s">
        <v>34</v>
      </c>
      <c r="G904" t="s">
        <v>61</v>
      </c>
      <c r="H904" t="s">
        <v>78</v>
      </c>
      <c r="I904" t="s">
        <v>37</v>
      </c>
      <c r="J904" t="s">
        <v>38</v>
      </c>
      <c r="K904" t="s">
        <v>27</v>
      </c>
      <c r="L904">
        <v>4</v>
      </c>
      <c r="M904">
        <v>9500</v>
      </c>
      <c r="N904">
        <v>0</v>
      </c>
      <c r="O904">
        <v>38000</v>
      </c>
      <c r="P904">
        <v>7865.14</v>
      </c>
      <c r="Q904" t="s">
        <v>156</v>
      </c>
      <c r="R904" t="s">
        <v>49</v>
      </c>
      <c r="S904" t="s">
        <v>50</v>
      </c>
      <c r="T904">
        <f>YEAR(Table1_1[[#This Row],[order_date]])</f>
        <v>2024</v>
      </c>
      <c r="U904">
        <f>MONTH(Table1_1[[#This Row],[order_date]])</f>
        <v>5</v>
      </c>
      <c r="V904" t="str">
        <f>TEXT(Table1_1[[#This Row],[order_date]],"mmm")</f>
        <v>May</v>
      </c>
      <c r="W904" t="str">
        <f>"Q"&amp;ROUNDUP(MONTH(Table1_1[[#This Row],[order_date]])/3,0)</f>
        <v>Q2</v>
      </c>
      <c r="X904" t="str">
        <f>TEXT(Table1_1[[#This Row],[order_date]],"yyyy-mm")</f>
        <v>2024-05</v>
      </c>
      <c r="Y904">
        <f>IF(Table1_1[[#This Row],[ship_date]]="","",Table1_1[[#This Row],[ship_date]]-Table1_1[[#This Row],[order_date]])</f>
        <v>8</v>
      </c>
      <c r="Z904">
        <f>ROUND(Table1_1[[#This Row],[profit]]/Table1_1[[#This Row],[sales_fix]]*100,2)</f>
        <v>20.7</v>
      </c>
    </row>
    <row r="905" spans="1:26" x14ac:dyDescent="0.3">
      <c r="A905" t="s">
        <v>2898</v>
      </c>
      <c r="B905" s="1">
        <v>45973</v>
      </c>
      <c r="C905" s="1">
        <v>45978</v>
      </c>
      <c r="D905" t="s">
        <v>924</v>
      </c>
      <c r="E905" t="s">
        <v>925</v>
      </c>
      <c r="F905" t="s">
        <v>34</v>
      </c>
      <c r="G905" t="s">
        <v>35</v>
      </c>
      <c r="H905" t="s">
        <v>258</v>
      </c>
      <c r="I905" t="s">
        <v>79</v>
      </c>
      <c r="J905" t="s">
        <v>80</v>
      </c>
      <c r="K905" t="s">
        <v>65</v>
      </c>
      <c r="L905">
        <v>4</v>
      </c>
      <c r="M905">
        <v>3000</v>
      </c>
      <c r="N905">
        <v>0</v>
      </c>
      <c r="O905">
        <v>12000</v>
      </c>
      <c r="P905">
        <v>3382.39</v>
      </c>
      <c r="Q905" t="s">
        <v>39</v>
      </c>
      <c r="R905" t="s">
        <v>56</v>
      </c>
      <c r="S905" t="s">
        <v>86</v>
      </c>
      <c r="T905">
        <f>YEAR(Table1_1[[#This Row],[order_date]])</f>
        <v>2025</v>
      </c>
      <c r="U905">
        <f>MONTH(Table1_1[[#This Row],[order_date]])</f>
        <v>11</v>
      </c>
      <c r="V905" t="str">
        <f>TEXT(Table1_1[[#This Row],[order_date]],"mmm")</f>
        <v>Nov</v>
      </c>
      <c r="W905" t="str">
        <f>"Q"&amp;ROUNDUP(MONTH(Table1_1[[#This Row],[order_date]])/3,0)</f>
        <v>Q4</v>
      </c>
      <c r="X905" t="str">
        <f>TEXT(Table1_1[[#This Row],[order_date]],"yyyy-mm")</f>
        <v>2025-11</v>
      </c>
      <c r="Y905">
        <f>IF(Table1_1[[#This Row],[ship_date]]="","",Table1_1[[#This Row],[ship_date]]-Table1_1[[#This Row],[order_date]])</f>
        <v>5</v>
      </c>
      <c r="Z905">
        <f>ROUND(Table1_1[[#This Row],[profit]]/Table1_1[[#This Row],[sales_fix]]*100,2)</f>
        <v>28.19</v>
      </c>
    </row>
    <row r="906" spans="1:26" x14ac:dyDescent="0.3">
      <c r="A906" t="s">
        <v>2347</v>
      </c>
      <c r="B906" s="1">
        <v>45879</v>
      </c>
      <c r="C906" s="1">
        <v>45884</v>
      </c>
      <c r="D906" t="s">
        <v>1450</v>
      </c>
      <c r="E906" t="s">
        <v>1451</v>
      </c>
      <c r="F906" t="s">
        <v>23</v>
      </c>
      <c r="G906" t="s">
        <v>61</v>
      </c>
      <c r="H906" t="s">
        <v>78</v>
      </c>
      <c r="I906" t="s">
        <v>71</v>
      </c>
      <c r="J906" t="s">
        <v>72</v>
      </c>
      <c r="K906" t="s">
        <v>73</v>
      </c>
      <c r="L906">
        <v>2</v>
      </c>
      <c r="M906">
        <v>3500</v>
      </c>
      <c r="N906">
        <v>20</v>
      </c>
      <c r="O906">
        <v>5600</v>
      </c>
      <c r="P906">
        <v>1409.02</v>
      </c>
      <c r="Q906" t="s">
        <v>156</v>
      </c>
      <c r="R906" t="s">
        <v>49</v>
      </c>
      <c r="S906" t="s">
        <v>86</v>
      </c>
      <c r="T906">
        <f>YEAR(Table1_1[[#This Row],[order_date]])</f>
        <v>2025</v>
      </c>
      <c r="U906">
        <f>MONTH(Table1_1[[#This Row],[order_date]])</f>
        <v>8</v>
      </c>
      <c r="V906" t="str">
        <f>TEXT(Table1_1[[#This Row],[order_date]],"mmm")</f>
        <v>Aug</v>
      </c>
      <c r="W906" t="str">
        <f>"Q"&amp;ROUNDUP(MONTH(Table1_1[[#This Row],[order_date]])/3,0)</f>
        <v>Q3</v>
      </c>
      <c r="X906" t="str">
        <f>TEXT(Table1_1[[#This Row],[order_date]],"yyyy-mm")</f>
        <v>2025-08</v>
      </c>
      <c r="Y906">
        <f>IF(Table1_1[[#This Row],[ship_date]]="","",Table1_1[[#This Row],[ship_date]]-Table1_1[[#This Row],[order_date]])</f>
        <v>5</v>
      </c>
      <c r="Z906">
        <f>ROUND(Table1_1[[#This Row],[profit]]/Table1_1[[#This Row],[sales_fix]]*100,2)</f>
        <v>25.16</v>
      </c>
    </row>
    <row r="907" spans="1:26" x14ac:dyDescent="0.3">
      <c r="A907" t="s">
        <v>2468</v>
      </c>
      <c r="B907" s="1">
        <v>45507</v>
      </c>
      <c r="C907" s="1">
        <v>45508</v>
      </c>
      <c r="D907" t="s">
        <v>1402</v>
      </c>
      <c r="E907" t="s">
        <v>1403</v>
      </c>
      <c r="F907" t="s">
        <v>23</v>
      </c>
      <c r="G907" t="s">
        <v>91</v>
      </c>
      <c r="H907" t="s">
        <v>177</v>
      </c>
      <c r="I907" t="s">
        <v>79</v>
      </c>
      <c r="J907" t="s">
        <v>80</v>
      </c>
      <c r="K907" t="s">
        <v>65</v>
      </c>
      <c r="L907">
        <v>4</v>
      </c>
      <c r="M907">
        <v>3000</v>
      </c>
      <c r="N907">
        <v>20</v>
      </c>
      <c r="O907">
        <v>9600</v>
      </c>
      <c r="P907">
        <v>2275.2800000000002</v>
      </c>
      <c r="Q907" t="s">
        <v>121</v>
      </c>
      <c r="R907" t="s">
        <v>49</v>
      </c>
      <c r="S907" t="s">
        <v>30</v>
      </c>
      <c r="T907">
        <f>YEAR(Table1_1[[#This Row],[order_date]])</f>
        <v>2024</v>
      </c>
      <c r="U907">
        <f>MONTH(Table1_1[[#This Row],[order_date]])</f>
        <v>8</v>
      </c>
      <c r="V907" t="str">
        <f>TEXT(Table1_1[[#This Row],[order_date]],"mmm")</f>
        <v>Aug</v>
      </c>
      <c r="W907" t="str">
        <f>"Q"&amp;ROUNDUP(MONTH(Table1_1[[#This Row],[order_date]])/3,0)</f>
        <v>Q3</v>
      </c>
      <c r="X907" t="str">
        <f>TEXT(Table1_1[[#This Row],[order_date]],"yyyy-mm")</f>
        <v>2024-08</v>
      </c>
      <c r="Y907">
        <f>IF(Table1_1[[#This Row],[ship_date]]="","",Table1_1[[#This Row],[ship_date]]-Table1_1[[#This Row],[order_date]])</f>
        <v>1</v>
      </c>
      <c r="Z907">
        <f>ROUND(Table1_1[[#This Row],[profit]]/Table1_1[[#This Row],[sales_fix]]*100,2)</f>
        <v>23.7</v>
      </c>
    </row>
    <row r="908" spans="1:26" x14ac:dyDescent="0.3">
      <c r="A908" t="s">
        <v>2267</v>
      </c>
      <c r="B908" s="1">
        <v>45455</v>
      </c>
      <c r="C908" s="1">
        <v>45462</v>
      </c>
      <c r="D908" t="s">
        <v>163</v>
      </c>
      <c r="E908" t="s">
        <v>164</v>
      </c>
      <c r="F908" t="s">
        <v>55</v>
      </c>
      <c r="G908" t="s">
        <v>44</v>
      </c>
      <c r="H908" t="s">
        <v>45</v>
      </c>
      <c r="I908" t="s">
        <v>126</v>
      </c>
      <c r="J908" t="s">
        <v>127</v>
      </c>
      <c r="K908" t="s">
        <v>95</v>
      </c>
      <c r="L908">
        <v>10</v>
      </c>
      <c r="M908">
        <v>600</v>
      </c>
      <c r="N908">
        <v>10</v>
      </c>
      <c r="O908">
        <v>5400</v>
      </c>
      <c r="P908">
        <v>2052</v>
      </c>
      <c r="Q908" t="s">
        <v>156</v>
      </c>
      <c r="R908" t="s">
        <v>49</v>
      </c>
      <c r="S908" t="s">
        <v>110</v>
      </c>
      <c r="T908">
        <f>YEAR(Table1_1[[#This Row],[order_date]])</f>
        <v>2024</v>
      </c>
      <c r="U908">
        <f>MONTH(Table1_1[[#This Row],[order_date]])</f>
        <v>6</v>
      </c>
      <c r="V908" t="str">
        <f>TEXT(Table1_1[[#This Row],[order_date]],"mmm")</f>
        <v>Jun</v>
      </c>
      <c r="W908" t="str">
        <f>"Q"&amp;ROUNDUP(MONTH(Table1_1[[#This Row],[order_date]])/3,0)</f>
        <v>Q2</v>
      </c>
      <c r="X908" t="str">
        <f>TEXT(Table1_1[[#This Row],[order_date]],"yyyy-mm")</f>
        <v>2024-06</v>
      </c>
      <c r="Y908">
        <f>IF(Table1_1[[#This Row],[ship_date]]="","",Table1_1[[#This Row],[ship_date]]-Table1_1[[#This Row],[order_date]])</f>
        <v>7</v>
      </c>
      <c r="Z908">
        <f>ROUND(Table1_1[[#This Row],[profit]]/Table1_1[[#This Row],[sales_fix]]*100,2)</f>
        <v>38</v>
      </c>
    </row>
    <row r="909" spans="1:26" x14ac:dyDescent="0.3">
      <c r="A909" t="s">
        <v>701</v>
      </c>
      <c r="B909" s="1">
        <v>45365</v>
      </c>
      <c r="C909" s="1">
        <v>45369</v>
      </c>
      <c r="D909" t="s">
        <v>674</v>
      </c>
      <c r="E909" t="s">
        <v>675</v>
      </c>
      <c r="F909" t="s">
        <v>55</v>
      </c>
      <c r="G909" t="s">
        <v>91</v>
      </c>
      <c r="H909" t="s">
        <v>109</v>
      </c>
      <c r="I909" t="s">
        <v>134</v>
      </c>
      <c r="J909" t="s">
        <v>135</v>
      </c>
      <c r="K909" t="s">
        <v>27</v>
      </c>
      <c r="L909">
        <v>2</v>
      </c>
      <c r="M909">
        <v>6000</v>
      </c>
      <c r="N909">
        <v>0</v>
      </c>
      <c r="O909">
        <v>12000</v>
      </c>
      <c r="P909">
        <v>2341.2800000000002</v>
      </c>
      <c r="Q909" t="s">
        <v>156</v>
      </c>
      <c r="R909" t="s">
        <v>56</v>
      </c>
      <c r="S909" t="s">
        <v>30</v>
      </c>
      <c r="T909">
        <f>YEAR(Table1_1[[#This Row],[order_date]])</f>
        <v>2024</v>
      </c>
      <c r="U909">
        <f>MONTH(Table1_1[[#This Row],[order_date]])</f>
        <v>3</v>
      </c>
      <c r="V909" t="str">
        <f>TEXT(Table1_1[[#This Row],[order_date]],"mmm")</f>
        <v>Mar</v>
      </c>
      <c r="W909" t="str">
        <f>"Q"&amp;ROUNDUP(MONTH(Table1_1[[#This Row],[order_date]])/3,0)</f>
        <v>Q1</v>
      </c>
      <c r="X909" t="str">
        <f>TEXT(Table1_1[[#This Row],[order_date]],"yyyy-mm")</f>
        <v>2024-03</v>
      </c>
      <c r="Y909">
        <f>IF(Table1_1[[#This Row],[ship_date]]="","",Table1_1[[#This Row],[ship_date]]-Table1_1[[#This Row],[order_date]])</f>
        <v>4</v>
      </c>
      <c r="Z909">
        <f>ROUND(Table1_1[[#This Row],[profit]]/Table1_1[[#This Row],[sales_fix]]*100,2)</f>
        <v>19.510000000000002</v>
      </c>
    </row>
    <row r="910" spans="1:26" x14ac:dyDescent="0.3">
      <c r="A910" t="s">
        <v>868</v>
      </c>
      <c r="B910" s="1">
        <v>45623</v>
      </c>
      <c r="C910" s="1">
        <v>45628</v>
      </c>
      <c r="D910" t="s">
        <v>203</v>
      </c>
      <c r="E910" t="s">
        <v>204</v>
      </c>
      <c r="F910" t="s">
        <v>23</v>
      </c>
      <c r="G910" t="s">
        <v>44</v>
      </c>
      <c r="H910" t="s">
        <v>45</v>
      </c>
      <c r="I910" t="s">
        <v>79</v>
      </c>
      <c r="J910" t="s">
        <v>80</v>
      </c>
      <c r="K910" t="s">
        <v>65</v>
      </c>
      <c r="L910">
        <v>2</v>
      </c>
      <c r="M910">
        <v>3000</v>
      </c>
      <c r="N910">
        <v>20</v>
      </c>
      <c r="O910">
        <v>4800</v>
      </c>
      <c r="P910">
        <v>1039.18</v>
      </c>
      <c r="Q910" t="s">
        <v>28</v>
      </c>
      <c r="R910" t="s">
        <v>567</v>
      </c>
      <c r="S910" t="s">
        <v>50</v>
      </c>
      <c r="T910">
        <f>YEAR(Table1_1[[#This Row],[order_date]])</f>
        <v>2024</v>
      </c>
      <c r="U910">
        <f>MONTH(Table1_1[[#This Row],[order_date]])</f>
        <v>11</v>
      </c>
      <c r="V910" t="str">
        <f>TEXT(Table1_1[[#This Row],[order_date]],"mmm")</f>
        <v>Nov</v>
      </c>
      <c r="W910" t="str">
        <f>"Q"&amp;ROUNDUP(MONTH(Table1_1[[#This Row],[order_date]])/3,0)</f>
        <v>Q4</v>
      </c>
      <c r="X910" t="str">
        <f>TEXT(Table1_1[[#This Row],[order_date]],"yyyy-mm")</f>
        <v>2024-11</v>
      </c>
      <c r="Y910">
        <f>IF(Table1_1[[#This Row],[ship_date]]="","",Table1_1[[#This Row],[ship_date]]-Table1_1[[#This Row],[order_date]])</f>
        <v>5</v>
      </c>
      <c r="Z910">
        <f>ROUND(Table1_1[[#This Row],[profit]]/Table1_1[[#This Row],[sales_fix]]*100,2)</f>
        <v>21.65</v>
      </c>
    </row>
    <row r="911" spans="1:26" x14ac:dyDescent="0.3">
      <c r="A911" t="s">
        <v>3004</v>
      </c>
      <c r="B911" s="1">
        <v>45744</v>
      </c>
      <c r="C911" s="1">
        <v>45748</v>
      </c>
      <c r="D911" t="s">
        <v>381</v>
      </c>
      <c r="E911" t="s">
        <v>382</v>
      </c>
      <c r="F911" t="s">
        <v>55</v>
      </c>
      <c r="G911" t="s">
        <v>61</v>
      </c>
      <c r="H911" t="s">
        <v>78</v>
      </c>
      <c r="I911" t="s">
        <v>79</v>
      </c>
      <c r="J911" t="s">
        <v>80</v>
      </c>
      <c r="K911" t="s">
        <v>65</v>
      </c>
      <c r="L911">
        <v>3</v>
      </c>
      <c r="M911">
        <v>3000</v>
      </c>
      <c r="N911">
        <v>0</v>
      </c>
      <c r="O911">
        <v>9000</v>
      </c>
      <c r="P911">
        <v>2859</v>
      </c>
      <c r="Q911" t="s">
        <v>121</v>
      </c>
      <c r="R911" t="s">
        <v>56</v>
      </c>
      <c r="S911" t="s">
        <v>50</v>
      </c>
      <c r="T911">
        <f>YEAR(Table1_1[[#This Row],[order_date]])</f>
        <v>2025</v>
      </c>
      <c r="U911">
        <f>MONTH(Table1_1[[#This Row],[order_date]])</f>
        <v>3</v>
      </c>
      <c r="V911" t="str">
        <f>TEXT(Table1_1[[#This Row],[order_date]],"mmm")</f>
        <v>Mar</v>
      </c>
      <c r="W911" t="str">
        <f>"Q"&amp;ROUNDUP(MONTH(Table1_1[[#This Row],[order_date]])/3,0)</f>
        <v>Q1</v>
      </c>
      <c r="X911" t="str">
        <f>TEXT(Table1_1[[#This Row],[order_date]],"yyyy-mm")</f>
        <v>2025-03</v>
      </c>
      <c r="Y911">
        <f>IF(Table1_1[[#This Row],[ship_date]]="","",Table1_1[[#This Row],[ship_date]]-Table1_1[[#This Row],[order_date]])</f>
        <v>4</v>
      </c>
      <c r="Z911">
        <f>ROUND(Table1_1[[#This Row],[profit]]/Table1_1[[#This Row],[sales_fix]]*100,2)</f>
        <v>31.77</v>
      </c>
    </row>
    <row r="912" spans="1:26" x14ac:dyDescent="0.3">
      <c r="A912" t="s">
        <v>1488</v>
      </c>
      <c r="B912" s="1">
        <v>45881</v>
      </c>
      <c r="C912" s="1">
        <v>45884</v>
      </c>
      <c r="D912" t="s">
        <v>400</v>
      </c>
      <c r="E912" t="s">
        <v>401</v>
      </c>
      <c r="F912" t="s">
        <v>34</v>
      </c>
      <c r="G912" t="s">
        <v>44</v>
      </c>
      <c r="H912" t="s">
        <v>24</v>
      </c>
      <c r="I912" t="s">
        <v>37</v>
      </c>
      <c r="J912" t="s">
        <v>38</v>
      </c>
      <c r="K912" t="s">
        <v>27</v>
      </c>
      <c r="L912">
        <v>1</v>
      </c>
      <c r="M912">
        <v>9500</v>
      </c>
      <c r="N912">
        <v>20</v>
      </c>
      <c r="O912">
        <v>7600</v>
      </c>
      <c r="P912">
        <v>1665</v>
      </c>
      <c r="Q912" t="s">
        <v>28</v>
      </c>
      <c r="R912" t="s">
        <v>49</v>
      </c>
      <c r="S912" t="s">
        <v>50</v>
      </c>
      <c r="T912">
        <f>YEAR(Table1_1[[#This Row],[order_date]])</f>
        <v>2025</v>
      </c>
      <c r="U912">
        <f>MONTH(Table1_1[[#This Row],[order_date]])</f>
        <v>8</v>
      </c>
      <c r="V912" t="str">
        <f>TEXT(Table1_1[[#This Row],[order_date]],"mmm")</f>
        <v>Aug</v>
      </c>
      <c r="W912" t="str">
        <f>"Q"&amp;ROUNDUP(MONTH(Table1_1[[#This Row],[order_date]])/3,0)</f>
        <v>Q3</v>
      </c>
      <c r="X912" t="str">
        <f>TEXT(Table1_1[[#This Row],[order_date]],"yyyy-mm")</f>
        <v>2025-08</v>
      </c>
      <c r="Y912">
        <f>IF(Table1_1[[#This Row],[ship_date]]="","",Table1_1[[#This Row],[ship_date]]-Table1_1[[#This Row],[order_date]])</f>
        <v>3</v>
      </c>
      <c r="Z912">
        <f>ROUND(Table1_1[[#This Row],[profit]]/Table1_1[[#This Row],[sales_fix]]*100,2)</f>
        <v>21.91</v>
      </c>
    </row>
    <row r="913" spans="1:26" x14ac:dyDescent="0.3">
      <c r="A913" t="s">
        <v>1614</v>
      </c>
      <c r="B913" s="1">
        <v>45656</v>
      </c>
      <c r="C913" s="1">
        <v>45662</v>
      </c>
      <c r="D913" t="s">
        <v>596</v>
      </c>
      <c r="E913" t="s">
        <v>597</v>
      </c>
      <c r="F913" t="s">
        <v>34</v>
      </c>
      <c r="G913" t="s">
        <v>91</v>
      </c>
      <c r="H913" t="s">
        <v>120</v>
      </c>
      <c r="I913" t="s">
        <v>63</v>
      </c>
      <c r="J913" t="s">
        <v>64</v>
      </c>
      <c r="K913" t="s">
        <v>65</v>
      </c>
      <c r="L913">
        <v>1</v>
      </c>
      <c r="M913">
        <v>25000</v>
      </c>
      <c r="N913">
        <v>0</v>
      </c>
      <c r="O913">
        <v>25000</v>
      </c>
      <c r="P913">
        <v>2801.02</v>
      </c>
      <c r="Q913" t="s">
        <v>39</v>
      </c>
      <c r="R913" t="s">
        <v>49</v>
      </c>
      <c r="S913" t="s">
        <v>50</v>
      </c>
      <c r="T913">
        <f>YEAR(Table1_1[[#This Row],[order_date]])</f>
        <v>2024</v>
      </c>
      <c r="U913">
        <f>MONTH(Table1_1[[#This Row],[order_date]])</f>
        <v>12</v>
      </c>
      <c r="V913" t="str">
        <f>TEXT(Table1_1[[#This Row],[order_date]],"mmm")</f>
        <v>Dec</v>
      </c>
      <c r="W913" t="str">
        <f>"Q"&amp;ROUNDUP(MONTH(Table1_1[[#This Row],[order_date]])/3,0)</f>
        <v>Q4</v>
      </c>
      <c r="X913" t="str">
        <f>TEXT(Table1_1[[#This Row],[order_date]],"yyyy-mm")</f>
        <v>2024-12</v>
      </c>
      <c r="Y913">
        <f>IF(Table1_1[[#This Row],[ship_date]]="","",Table1_1[[#This Row],[ship_date]]-Table1_1[[#This Row],[order_date]])</f>
        <v>6</v>
      </c>
      <c r="Z913">
        <f>ROUND(Table1_1[[#This Row],[profit]]/Table1_1[[#This Row],[sales_fix]]*100,2)</f>
        <v>11.2</v>
      </c>
    </row>
    <row r="914" spans="1:26" x14ac:dyDescent="0.3">
      <c r="A914" t="s">
        <v>1843</v>
      </c>
      <c r="B914" s="1">
        <v>45326</v>
      </c>
      <c r="C914" s="1">
        <v>45329</v>
      </c>
      <c r="D914" t="s">
        <v>689</v>
      </c>
      <c r="E914" t="s">
        <v>690</v>
      </c>
      <c r="F914" t="s">
        <v>55</v>
      </c>
      <c r="G914" t="s">
        <v>61</v>
      </c>
      <c r="H914" t="s">
        <v>62</v>
      </c>
      <c r="I914" t="s">
        <v>103</v>
      </c>
      <c r="J914" t="s">
        <v>104</v>
      </c>
      <c r="K914" t="s">
        <v>65</v>
      </c>
      <c r="L914">
        <v>1</v>
      </c>
      <c r="M914">
        <v>8000</v>
      </c>
      <c r="N914">
        <v>5</v>
      </c>
      <c r="O914">
        <v>7600</v>
      </c>
      <c r="P914">
        <v>1701.36</v>
      </c>
      <c r="Q914" t="s">
        <v>156</v>
      </c>
      <c r="R914" t="s">
        <v>56</v>
      </c>
      <c r="S914" t="s">
        <v>30</v>
      </c>
      <c r="T914">
        <f>YEAR(Table1_1[[#This Row],[order_date]])</f>
        <v>2024</v>
      </c>
      <c r="U914">
        <f>MONTH(Table1_1[[#This Row],[order_date]])</f>
        <v>2</v>
      </c>
      <c r="V914" t="str">
        <f>TEXT(Table1_1[[#This Row],[order_date]],"mmm")</f>
        <v>Feb</v>
      </c>
      <c r="W914" t="str">
        <f>"Q"&amp;ROUNDUP(MONTH(Table1_1[[#This Row],[order_date]])/3,0)</f>
        <v>Q1</v>
      </c>
      <c r="X914" t="str">
        <f>TEXT(Table1_1[[#This Row],[order_date]],"yyyy-mm")</f>
        <v>2024-02</v>
      </c>
      <c r="Y914">
        <f>IF(Table1_1[[#This Row],[ship_date]]="","",Table1_1[[#This Row],[ship_date]]-Table1_1[[#This Row],[order_date]])</f>
        <v>3</v>
      </c>
      <c r="Z914">
        <f>ROUND(Table1_1[[#This Row],[profit]]/Table1_1[[#This Row],[sales_fix]]*100,2)</f>
        <v>22.39</v>
      </c>
    </row>
    <row r="915" spans="1:26" x14ac:dyDescent="0.3">
      <c r="A915" t="s">
        <v>2066</v>
      </c>
      <c r="B915" s="1">
        <v>45957</v>
      </c>
      <c r="C915" s="1">
        <v>45959</v>
      </c>
      <c r="D915" t="s">
        <v>1579</v>
      </c>
      <c r="E915" t="s">
        <v>1580</v>
      </c>
      <c r="F915" t="s">
        <v>55</v>
      </c>
      <c r="G915" t="s">
        <v>44</v>
      </c>
      <c r="H915" t="s">
        <v>45</v>
      </c>
      <c r="I915" t="s">
        <v>147</v>
      </c>
      <c r="J915" t="s">
        <v>148</v>
      </c>
      <c r="K915" t="s">
        <v>48</v>
      </c>
      <c r="L915">
        <v>2</v>
      </c>
      <c r="M915">
        <v>250</v>
      </c>
      <c r="N915">
        <v>5</v>
      </c>
      <c r="O915">
        <v>475</v>
      </c>
      <c r="P915">
        <v>160.91999999999999</v>
      </c>
      <c r="Q915" t="s">
        <v>66</v>
      </c>
      <c r="R915" t="s">
        <v>29</v>
      </c>
      <c r="S915" t="s">
        <v>86</v>
      </c>
      <c r="T915">
        <f>YEAR(Table1_1[[#This Row],[order_date]])</f>
        <v>2025</v>
      </c>
      <c r="U915">
        <f>MONTH(Table1_1[[#This Row],[order_date]])</f>
        <v>10</v>
      </c>
      <c r="V915" t="str">
        <f>TEXT(Table1_1[[#This Row],[order_date]],"mmm")</f>
        <v>Oct</v>
      </c>
      <c r="W915" t="str">
        <f>"Q"&amp;ROUNDUP(MONTH(Table1_1[[#This Row],[order_date]])/3,0)</f>
        <v>Q4</v>
      </c>
      <c r="X915" t="str">
        <f>TEXT(Table1_1[[#This Row],[order_date]],"yyyy-mm")</f>
        <v>2025-10</v>
      </c>
      <c r="Y915">
        <f>IF(Table1_1[[#This Row],[ship_date]]="","",Table1_1[[#This Row],[ship_date]]-Table1_1[[#This Row],[order_date]])</f>
        <v>2</v>
      </c>
      <c r="Z915">
        <f>ROUND(Table1_1[[#This Row],[profit]]/Table1_1[[#This Row],[sales_fix]]*100,2)</f>
        <v>33.880000000000003</v>
      </c>
    </row>
    <row r="916" spans="1:26" x14ac:dyDescent="0.3">
      <c r="A916" t="s">
        <v>2187</v>
      </c>
      <c r="B916" s="1">
        <v>45976</v>
      </c>
      <c r="C916" s="1">
        <v>45984</v>
      </c>
      <c r="D916" t="s">
        <v>731</v>
      </c>
      <c r="E916" t="s">
        <v>732</v>
      </c>
      <c r="F916" t="s">
        <v>34</v>
      </c>
      <c r="G916" t="s">
        <v>44</v>
      </c>
      <c r="H916" t="s">
        <v>155</v>
      </c>
      <c r="I916" t="s">
        <v>126</v>
      </c>
      <c r="J916" t="s">
        <v>127</v>
      </c>
      <c r="K916" t="s">
        <v>95</v>
      </c>
      <c r="L916">
        <v>1</v>
      </c>
      <c r="M916">
        <v>600</v>
      </c>
      <c r="N916">
        <v>10</v>
      </c>
      <c r="O916">
        <v>540</v>
      </c>
      <c r="P916">
        <v>190.67</v>
      </c>
      <c r="Q916" t="s">
        <v>74</v>
      </c>
      <c r="R916" t="s">
        <v>56</v>
      </c>
      <c r="S916" t="s">
        <v>86</v>
      </c>
      <c r="T916">
        <f>YEAR(Table1_1[[#This Row],[order_date]])</f>
        <v>2025</v>
      </c>
      <c r="U916">
        <f>MONTH(Table1_1[[#This Row],[order_date]])</f>
        <v>11</v>
      </c>
      <c r="V916" t="str">
        <f>TEXT(Table1_1[[#This Row],[order_date]],"mmm")</f>
        <v>Nov</v>
      </c>
      <c r="W916" t="str">
        <f>"Q"&amp;ROUNDUP(MONTH(Table1_1[[#This Row],[order_date]])/3,0)</f>
        <v>Q4</v>
      </c>
      <c r="X916" t="str">
        <f>TEXT(Table1_1[[#This Row],[order_date]],"yyyy-mm")</f>
        <v>2025-11</v>
      </c>
      <c r="Y916">
        <f>IF(Table1_1[[#This Row],[ship_date]]="","",Table1_1[[#This Row],[ship_date]]-Table1_1[[#This Row],[order_date]])</f>
        <v>8</v>
      </c>
      <c r="Z916">
        <f>ROUND(Table1_1[[#This Row],[profit]]/Table1_1[[#This Row],[sales_fix]]*100,2)</f>
        <v>35.31</v>
      </c>
    </row>
    <row r="917" spans="1:26" x14ac:dyDescent="0.3">
      <c r="A917" t="s">
        <v>2873</v>
      </c>
      <c r="B917" s="1">
        <v>45787</v>
      </c>
      <c r="C917" s="1">
        <v>45790</v>
      </c>
      <c r="D917" t="s">
        <v>570</v>
      </c>
      <c r="E917" t="s">
        <v>571</v>
      </c>
      <c r="F917" t="s">
        <v>34</v>
      </c>
      <c r="G917" t="s">
        <v>44</v>
      </c>
      <c r="H917" t="s">
        <v>161</v>
      </c>
      <c r="I917" t="s">
        <v>134</v>
      </c>
      <c r="J917" t="s">
        <v>135</v>
      </c>
      <c r="K917" t="s">
        <v>27</v>
      </c>
      <c r="L917">
        <v>10</v>
      </c>
      <c r="M917">
        <v>6000</v>
      </c>
      <c r="N917">
        <v>15</v>
      </c>
      <c r="O917">
        <v>51000</v>
      </c>
      <c r="P917">
        <v>10691.18</v>
      </c>
      <c r="Q917" t="s">
        <v>66</v>
      </c>
      <c r="R917" t="s">
        <v>49</v>
      </c>
      <c r="S917" t="s">
        <v>86</v>
      </c>
      <c r="T917">
        <f>YEAR(Table1_1[[#This Row],[order_date]])</f>
        <v>2025</v>
      </c>
      <c r="U917">
        <f>MONTH(Table1_1[[#This Row],[order_date]])</f>
        <v>5</v>
      </c>
      <c r="V917" t="str">
        <f>TEXT(Table1_1[[#This Row],[order_date]],"mmm")</f>
        <v>May</v>
      </c>
      <c r="W917" t="str">
        <f>"Q"&amp;ROUNDUP(MONTH(Table1_1[[#This Row],[order_date]])/3,0)</f>
        <v>Q2</v>
      </c>
      <c r="X917" t="str">
        <f>TEXT(Table1_1[[#This Row],[order_date]],"yyyy-mm")</f>
        <v>2025-05</v>
      </c>
      <c r="Y917">
        <f>IF(Table1_1[[#This Row],[ship_date]]="","",Table1_1[[#This Row],[ship_date]]-Table1_1[[#This Row],[order_date]])</f>
        <v>3</v>
      </c>
      <c r="Z917">
        <f>ROUND(Table1_1[[#This Row],[profit]]/Table1_1[[#This Row],[sales_fix]]*100,2)</f>
        <v>20.96</v>
      </c>
    </row>
    <row r="918" spans="1:26" x14ac:dyDescent="0.3">
      <c r="A918" t="s">
        <v>2992</v>
      </c>
      <c r="B918" s="1">
        <v>45707</v>
      </c>
      <c r="C918" s="1">
        <v>45715</v>
      </c>
      <c r="D918" t="s">
        <v>822</v>
      </c>
      <c r="E918" t="s">
        <v>823</v>
      </c>
      <c r="F918" t="s">
        <v>34</v>
      </c>
      <c r="G918" t="s">
        <v>35</v>
      </c>
      <c r="H918" t="s">
        <v>187</v>
      </c>
      <c r="I918" t="s">
        <v>79</v>
      </c>
      <c r="J918" t="s">
        <v>80</v>
      </c>
      <c r="K918" t="s">
        <v>65</v>
      </c>
      <c r="L918">
        <v>4</v>
      </c>
      <c r="M918">
        <v>3000</v>
      </c>
      <c r="N918">
        <v>0</v>
      </c>
      <c r="O918">
        <v>12000</v>
      </c>
      <c r="P918">
        <v>3087.07</v>
      </c>
      <c r="Q918" t="s">
        <v>66</v>
      </c>
      <c r="R918" t="s">
        <v>56</v>
      </c>
      <c r="S918" t="s">
        <v>40</v>
      </c>
      <c r="T918">
        <f>YEAR(Table1_1[[#This Row],[order_date]])</f>
        <v>2025</v>
      </c>
      <c r="U918">
        <f>MONTH(Table1_1[[#This Row],[order_date]])</f>
        <v>2</v>
      </c>
      <c r="V918" t="str">
        <f>TEXT(Table1_1[[#This Row],[order_date]],"mmm")</f>
        <v>Feb</v>
      </c>
      <c r="W918" t="str">
        <f>"Q"&amp;ROUNDUP(MONTH(Table1_1[[#This Row],[order_date]])/3,0)</f>
        <v>Q1</v>
      </c>
      <c r="X918" t="str">
        <f>TEXT(Table1_1[[#This Row],[order_date]],"yyyy-mm")</f>
        <v>2025-02</v>
      </c>
      <c r="Y918">
        <f>IF(Table1_1[[#This Row],[ship_date]]="","",Table1_1[[#This Row],[ship_date]]-Table1_1[[#This Row],[order_date]])</f>
        <v>8</v>
      </c>
      <c r="Z918">
        <f>ROUND(Table1_1[[#This Row],[profit]]/Table1_1[[#This Row],[sales_fix]]*100,2)</f>
        <v>25.73</v>
      </c>
    </row>
    <row r="919" spans="1:26" x14ac:dyDescent="0.3">
      <c r="A919" t="s">
        <v>3086</v>
      </c>
      <c r="B919" s="1">
        <v>45959</v>
      </c>
      <c r="C919" s="1">
        <v>45962</v>
      </c>
      <c r="D919" t="s">
        <v>822</v>
      </c>
      <c r="E919" t="s">
        <v>823</v>
      </c>
      <c r="F919" t="s">
        <v>34</v>
      </c>
      <c r="G919" t="s">
        <v>35</v>
      </c>
      <c r="H919" t="s">
        <v>187</v>
      </c>
      <c r="I919" t="s">
        <v>71</v>
      </c>
      <c r="J919" t="s">
        <v>72</v>
      </c>
      <c r="K919" t="s">
        <v>73</v>
      </c>
      <c r="L919">
        <v>3</v>
      </c>
      <c r="M919">
        <v>3500</v>
      </c>
      <c r="N919">
        <v>15</v>
      </c>
      <c r="O919">
        <v>8925</v>
      </c>
      <c r="P919">
        <v>3024.62</v>
      </c>
      <c r="Q919" t="s">
        <v>39</v>
      </c>
      <c r="R919" t="s">
        <v>56</v>
      </c>
      <c r="S919" t="s">
        <v>50</v>
      </c>
      <c r="T919">
        <f>YEAR(Table1_1[[#This Row],[order_date]])</f>
        <v>2025</v>
      </c>
      <c r="U919">
        <f>MONTH(Table1_1[[#This Row],[order_date]])</f>
        <v>10</v>
      </c>
      <c r="V919" t="str">
        <f>TEXT(Table1_1[[#This Row],[order_date]],"mmm")</f>
        <v>Oct</v>
      </c>
      <c r="W919" t="str">
        <f>"Q"&amp;ROUNDUP(MONTH(Table1_1[[#This Row],[order_date]])/3,0)</f>
        <v>Q4</v>
      </c>
      <c r="X919" t="str">
        <f>TEXT(Table1_1[[#This Row],[order_date]],"yyyy-mm")</f>
        <v>2025-10</v>
      </c>
      <c r="Y919">
        <f>IF(Table1_1[[#This Row],[ship_date]]="","",Table1_1[[#This Row],[ship_date]]-Table1_1[[#This Row],[order_date]])</f>
        <v>3</v>
      </c>
      <c r="Z919">
        <f>ROUND(Table1_1[[#This Row],[profit]]/Table1_1[[#This Row],[sales_fix]]*100,2)</f>
        <v>33.89</v>
      </c>
    </row>
    <row r="920" spans="1:26" x14ac:dyDescent="0.3">
      <c r="A920" t="s">
        <v>482</v>
      </c>
      <c r="B920" s="1">
        <v>45749</v>
      </c>
      <c r="C920" s="1">
        <v>45753</v>
      </c>
      <c r="D920" t="s">
        <v>483</v>
      </c>
      <c r="E920" t="s">
        <v>484</v>
      </c>
      <c r="F920" t="s">
        <v>55</v>
      </c>
      <c r="G920" t="s">
        <v>61</v>
      </c>
      <c r="H920" t="s">
        <v>62</v>
      </c>
      <c r="I920" t="s">
        <v>46</v>
      </c>
      <c r="J920" t="s">
        <v>47</v>
      </c>
      <c r="K920" t="s">
        <v>48</v>
      </c>
      <c r="L920">
        <v>4</v>
      </c>
      <c r="M920">
        <v>180</v>
      </c>
      <c r="N920">
        <v>0</v>
      </c>
      <c r="O920">
        <v>720</v>
      </c>
      <c r="P920">
        <v>231.87</v>
      </c>
      <c r="Q920" t="s">
        <v>156</v>
      </c>
      <c r="R920" t="s">
        <v>29</v>
      </c>
      <c r="S920" t="s">
        <v>86</v>
      </c>
      <c r="T920">
        <f>YEAR(Table1_1[[#This Row],[order_date]])</f>
        <v>2025</v>
      </c>
      <c r="U920">
        <f>MONTH(Table1_1[[#This Row],[order_date]])</f>
        <v>4</v>
      </c>
      <c r="V920" t="str">
        <f>TEXT(Table1_1[[#This Row],[order_date]],"mmm")</f>
        <v>Apr</v>
      </c>
      <c r="W920" t="str">
        <f>"Q"&amp;ROUNDUP(MONTH(Table1_1[[#This Row],[order_date]])/3,0)</f>
        <v>Q2</v>
      </c>
      <c r="X920" t="str">
        <f>TEXT(Table1_1[[#This Row],[order_date]],"yyyy-mm")</f>
        <v>2025-04</v>
      </c>
      <c r="Y920">
        <f>IF(Table1_1[[#This Row],[ship_date]]="","",Table1_1[[#This Row],[ship_date]]-Table1_1[[#This Row],[order_date]])</f>
        <v>4</v>
      </c>
      <c r="Z920">
        <f>ROUND(Table1_1[[#This Row],[profit]]/Table1_1[[#This Row],[sales_fix]]*100,2)</f>
        <v>32.200000000000003</v>
      </c>
    </row>
    <row r="921" spans="1:26" x14ac:dyDescent="0.3">
      <c r="A921" t="s">
        <v>1501</v>
      </c>
      <c r="B921" s="1">
        <v>45327</v>
      </c>
      <c r="C921" s="1">
        <v>45333</v>
      </c>
      <c r="D921" t="s">
        <v>751</v>
      </c>
      <c r="E921" t="s">
        <v>752</v>
      </c>
      <c r="F921" t="s">
        <v>23</v>
      </c>
      <c r="G921" t="s">
        <v>35</v>
      </c>
      <c r="H921" t="s">
        <v>85</v>
      </c>
      <c r="I921" t="s">
        <v>25</v>
      </c>
      <c r="J921" t="s">
        <v>26</v>
      </c>
      <c r="K921" t="s">
        <v>27</v>
      </c>
      <c r="L921">
        <v>1</v>
      </c>
      <c r="M921">
        <v>7000</v>
      </c>
      <c r="N921">
        <v>0</v>
      </c>
      <c r="O921">
        <v>7000</v>
      </c>
      <c r="P921">
        <v>1389.79</v>
      </c>
      <c r="Q921" t="s">
        <v>39</v>
      </c>
      <c r="R921" t="s">
        <v>29</v>
      </c>
      <c r="S921" t="s">
        <v>30</v>
      </c>
      <c r="T921">
        <f>YEAR(Table1_1[[#This Row],[order_date]])</f>
        <v>2024</v>
      </c>
      <c r="U921">
        <f>MONTH(Table1_1[[#This Row],[order_date]])</f>
        <v>2</v>
      </c>
      <c r="V921" t="str">
        <f>TEXT(Table1_1[[#This Row],[order_date]],"mmm")</f>
        <v>Feb</v>
      </c>
      <c r="W921" t="str">
        <f>"Q"&amp;ROUNDUP(MONTH(Table1_1[[#This Row],[order_date]])/3,0)</f>
        <v>Q1</v>
      </c>
      <c r="X921" t="str">
        <f>TEXT(Table1_1[[#This Row],[order_date]],"yyyy-mm")</f>
        <v>2024-02</v>
      </c>
      <c r="Y921">
        <f>IF(Table1_1[[#This Row],[ship_date]]="","",Table1_1[[#This Row],[ship_date]]-Table1_1[[#This Row],[order_date]])</f>
        <v>6</v>
      </c>
      <c r="Z921">
        <f>ROUND(Table1_1[[#This Row],[profit]]/Table1_1[[#This Row],[sales_fix]]*100,2)</f>
        <v>19.850000000000001</v>
      </c>
    </row>
    <row r="922" spans="1:26" x14ac:dyDescent="0.3">
      <c r="A922" t="s">
        <v>1636</v>
      </c>
      <c r="B922" s="1">
        <v>45599</v>
      </c>
      <c r="C922" s="1">
        <v>45607</v>
      </c>
      <c r="D922" t="s">
        <v>1356</v>
      </c>
      <c r="E922" t="s">
        <v>1357</v>
      </c>
      <c r="F922" t="s">
        <v>55</v>
      </c>
      <c r="G922" t="s">
        <v>44</v>
      </c>
      <c r="H922" t="s">
        <v>24</v>
      </c>
      <c r="I922" t="s">
        <v>103</v>
      </c>
      <c r="J922" t="s">
        <v>104</v>
      </c>
      <c r="K922" t="s">
        <v>65</v>
      </c>
      <c r="L922">
        <v>5</v>
      </c>
      <c r="M922">
        <v>8000</v>
      </c>
      <c r="N922">
        <v>20</v>
      </c>
      <c r="O922">
        <v>32000</v>
      </c>
      <c r="P922">
        <v>6538.87</v>
      </c>
      <c r="Q922" t="s">
        <v>121</v>
      </c>
      <c r="R922" t="s">
        <v>56</v>
      </c>
      <c r="S922" t="s">
        <v>30</v>
      </c>
      <c r="T922">
        <f>YEAR(Table1_1[[#This Row],[order_date]])</f>
        <v>2024</v>
      </c>
      <c r="U922">
        <f>MONTH(Table1_1[[#This Row],[order_date]])</f>
        <v>11</v>
      </c>
      <c r="V922" t="str">
        <f>TEXT(Table1_1[[#This Row],[order_date]],"mmm")</f>
        <v>Nov</v>
      </c>
      <c r="W922" t="str">
        <f>"Q"&amp;ROUNDUP(MONTH(Table1_1[[#This Row],[order_date]])/3,0)</f>
        <v>Q4</v>
      </c>
      <c r="X922" t="str">
        <f>TEXT(Table1_1[[#This Row],[order_date]],"yyyy-mm")</f>
        <v>2024-11</v>
      </c>
      <c r="Y922">
        <f>IF(Table1_1[[#This Row],[ship_date]]="","",Table1_1[[#This Row],[ship_date]]-Table1_1[[#This Row],[order_date]])</f>
        <v>8</v>
      </c>
      <c r="Z922">
        <f>ROUND(Table1_1[[#This Row],[profit]]/Table1_1[[#This Row],[sales_fix]]*100,2)</f>
        <v>20.43</v>
      </c>
    </row>
    <row r="923" spans="1:26" x14ac:dyDescent="0.3">
      <c r="A923" t="s">
        <v>718</v>
      </c>
      <c r="B923" s="1">
        <v>45652</v>
      </c>
      <c r="C923" s="1">
        <v>45653</v>
      </c>
      <c r="D923" t="s">
        <v>308</v>
      </c>
      <c r="E923" t="s">
        <v>309</v>
      </c>
      <c r="F923" t="s">
        <v>34</v>
      </c>
      <c r="G923" t="s">
        <v>91</v>
      </c>
      <c r="H923" t="s">
        <v>177</v>
      </c>
      <c r="I923" t="s">
        <v>46</v>
      </c>
      <c r="J923" t="s">
        <v>47</v>
      </c>
      <c r="K923" t="s">
        <v>48</v>
      </c>
      <c r="L923">
        <v>2</v>
      </c>
      <c r="M923">
        <v>180</v>
      </c>
      <c r="N923">
        <v>15</v>
      </c>
      <c r="O923">
        <v>306</v>
      </c>
      <c r="P923">
        <v>101.84</v>
      </c>
      <c r="Q923" t="s">
        <v>121</v>
      </c>
      <c r="R923" t="s">
        <v>29</v>
      </c>
      <c r="S923" t="s">
        <v>50</v>
      </c>
      <c r="T923">
        <f>YEAR(Table1_1[[#This Row],[order_date]])</f>
        <v>2024</v>
      </c>
      <c r="U923">
        <f>MONTH(Table1_1[[#This Row],[order_date]])</f>
        <v>12</v>
      </c>
      <c r="V923" t="str">
        <f>TEXT(Table1_1[[#This Row],[order_date]],"mmm")</f>
        <v>Dec</v>
      </c>
      <c r="W923" t="str">
        <f>"Q"&amp;ROUNDUP(MONTH(Table1_1[[#This Row],[order_date]])/3,0)</f>
        <v>Q4</v>
      </c>
      <c r="X923" t="str">
        <f>TEXT(Table1_1[[#This Row],[order_date]],"yyyy-mm")</f>
        <v>2024-12</v>
      </c>
      <c r="Y923">
        <f>IF(Table1_1[[#This Row],[ship_date]]="","",Table1_1[[#This Row],[ship_date]]-Table1_1[[#This Row],[order_date]])</f>
        <v>1</v>
      </c>
      <c r="Z923">
        <f>ROUND(Table1_1[[#This Row],[profit]]/Table1_1[[#This Row],[sales_fix]]*100,2)</f>
        <v>33.28</v>
      </c>
    </row>
    <row r="924" spans="1:26" x14ac:dyDescent="0.3">
      <c r="A924" t="s">
        <v>1194</v>
      </c>
      <c r="B924" s="1">
        <v>45512</v>
      </c>
      <c r="C924" s="1">
        <v>45518</v>
      </c>
      <c r="D924" t="s">
        <v>657</v>
      </c>
      <c r="E924" t="s">
        <v>658</v>
      </c>
      <c r="F924" t="s">
        <v>34</v>
      </c>
      <c r="G924" t="s">
        <v>91</v>
      </c>
      <c r="H924" t="s">
        <v>120</v>
      </c>
      <c r="I924" t="s">
        <v>25</v>
      </c>
      <c r="J924" t="s">
        <v>26</v>
      </c>
      <c r="K924" t="s">
        <v>27</v>
      </c>
      <c r="L924">
        <v>5</v>
      </c>
      <c r="M924">
        <v>7000</v>
      </c>
      <c r="N924">
        <v>10</v>
      </c>
      <c r="O924">
        <v>31500</v>
      </c>
      <c r="P924">
        <v>6381.34</v>
      </c>
      <c r="Q924" t="s">
        <v>74</v>
      </c>
      <c r="R924" t="s">
        <v>29</v>
      </c>
      <c r="S924" t="s">
        <v>40</v>
      </c>
      <c r="T924">
        <f>YEAR(Table1_1[[#This Row],[order_date]])</f>
        <v>2024</v>
      </c>
      <c r="U924">
        <f>MONTH(Table1_1[[#This Row],[order_date]])</f>
        <v>8</v>
      </c>
      <c r="V924" t="str">
        <f>TEXT(Table1_1[[#This Row],[order_date]],"mmm")</f>
        <v>Aug</v>
      </c>
      <c r="W924" t="str">
        <f>"Q"&amp;ROUNDUP(MONTH(Table1_1[[#This Row],[order_date]])/3,0)</f>
        <v>Q3</v>
      </c>
      <c r="X924" t="str">
        <f>TEXT(Table1_1[[#This Row],[order_date]],"yyyy-mm")</f>
        <v>2024-08</v>
      </c>
      <c r="Y924">
        <f>IF(Table1_1[[#This Row],[ship_date]]="","",Table1_1[[#This Row],[ship_date]]-Table1_1[[#This Row],[order_date]])</f>
        <v>6</v>
      </c>
      <c r="Z924">
        <f>ROUND(Table1_1[[#This Row],[profit]]/Table1_1[[#This Row],[sales_fix]]*100,2)</f>
        <v>20.260000000000002</v>
      </c>
    </row>
    <row r="925" spans="1:26" x14ac:dyDescent="0.3">
      <c r="A925" t="s">
        <v>1362</v>
      </c>
      <c r="B925" s="1">
        <v>45855</v>
      </c>
      <c r="C925" s="1">
        <v>45858</v>
      </c>
      <c r="D925" t="s">
        <v>1301</v>
      </c>
      <c r="E925" t="s">
        <v>1302</v>
      </c>
      <c r="F925" t="s">
        <v>23</v>
      </c>
      <c r="G925" t="s">
        <v>91</v>
      </c>
      <c r="H925" t="s">
        <v>120</v>
      </c>
      <c r="I925" t="s">
        <v>63</v>
      </c>
      <c r="J925" t="s">
        <v>64</v>
      </c>
      <c r="K925" t="s">
        <v>65</v>
      </c>
      <c r="L925">
        <v>1</v>
      </c>
      <c r="M925">
        <v>25000</v>
      </c>
      <c r="N925">
        <v>5</v>
      </c>
      <c r="O925">
        <v>23750</v>
      </c>
      <c r="P925">
        <v>3419.67</v>
      </c>
      <c r="Q925" t="s">
        <v>28</v>
      </c>
      <c r="R925" t="s">
        <v>49</v>
      </c>
      <c r="S925" t="s">
        <v>86</v>
      </c>
      <c r="T925">
        <f>YEAR(Table1_1[[#This Row],[order_date]])</f>
        <v>2025</v>
      </c>
      <c r="U925">
        <f>MONTH(Table1_1[[#This Row],[order_date]])</f>
        <v>7</v>
      </c>
      <c r="V925" t="str">
        <f>TEXT(Table1_1[[#This Row],[order_date]],"mmm")</f>
        <v>Jul</v>
      </c>
      <c r="W925" t="str">
        <f>"Q"&amp;ROUNDUP(MONTH(Table1_1[[#This Row],[order_date]])/3,0)</f>
        <v>Q3</v>
      </c>
      <c r="X925" t="str">
        <f>TEXT(Table1_1[[#This Row],[order_date]],"yyyy-mm")</f>
        <v>2025-07</v>
      </c>
      <c r="Y925">
        <f>IF(Table1_1[[#This Row],[ship_date]]="","",Table1_1[[#This Row],[ship_date]]-Table1_1[[#This Row],[order_date]])</f>
        <v>3</v>
      </c>
      <c r="Z925">
        <f>ROUND(Table1_1[[#This Row],[profit]]/Table1_1[[#This Row],[sales_fix]]*100,2)</f>
        <v>14.4</v>
      </c>
    </row>
    <row r="926" spans="1:26" x14ac:dyDescent="0.3">
      <c r="A926" t="s">
        <v>2782</v>
      </c>
      <c r="B926" s="1">
        <v>45727</v>
      </c>
      <c r="C926" s="1"/>
      <c r="D926" t="s">
        <v>716</v>
      </c>
      <c r="E926" t="s">
        <v>717</v>
      </c>
      <c r="F926" t="s">
        <v>23</v>
      </c>
      <c r="G926" t="s">
        <v>35</v>
      </c>
      <c r="H926" t="s">
        <v>85</v>
      </c>
      <c r="I926" t="s">
        <v>126</v>
      </c>
      <c r="J926" t="s">
        <v>127</v>
      </c>
      <c r="K926" t="s">
        <v>95</v>
      </c>
      <c r="L926">
        <v>5</v>
      </c>
      <c r="M926">
        <v>600</v>
      </c>
      <c r="N926">
        <v>0</v>
      </c>
      <c r="O926">
        <v>3000</v>
      </c>
      <c r="P926">
        <v>1042.3699999999999</v>
      </c>
      <c r="Q926" t="s">
        <v>156</v>
      </c>
      <c r="R926" t="s">
        <v>56</v>
      </c>
      <c r="S926" t="s">
        <v>110</v>
      </c>
      <c r="T926">
        <f>YEAR(Table1_1[[#This Row],[order_date]])</f>
        <v>2025</v>
      </c>
      <c r="U926">
        <f>MONTH(Table1_1[[#This Row],[order_date]])</f>
        <v>3</v>
      </c>
      <c r="V926" t="str">
        <f>TEXT(Table1_1[[#This Row],[order_date]],"mmm")</f>
        <v>Mar</v>
      </c>
      <c r="W926" t="str">
        <f>"Q"&amp;ROUNDUP(MONTH(Table1_1[[#This Row],[order_date]])/3,0)</f>
        <v>Q1</v>
      </c>
      <c r="X926" t="str">
        <f>TEXT(Table1_1[[#This Row],[order_date]],"yyyy-mm")</f>
        <v>2025-03</v>
      </c>
      <c r="Y926" t="str">
        <f>IF(Table1_1[[#This Row],[ship_date]]="","",Table1_1[[#This Row],[ship_date]]-Table1_1[[#This Row],[order_date]])</f>
        <v/>
      </c>
      <c r="Z926">
        <f>ROUND(Table1_1[[#This Row],[profit]]/Table1_1[[#This Row],[sales_fix]]*100,2)</f>
        <v>34.75</v>
      </c>
    </row>
    <row r="927" spans="1:26" x14ac:dyDescent="0.3">
      <c r="A927" t="s">
        <v>2294</v>
      </c>
      <c r="B927" s="1">
        <v>45673</v>
      </c>
      <c r="C927" s="1">
        <v>45676</v>
      </c>
      <c r="D927" t="s">
        <v>206</v>
      </c>
      <c r="E927" t="s">
        <v>207</v>
      </c>
      <c r="F927" t="s">
        <v>55</v>
      </c>
      <c r="G927" t="s">
        <v>44</v>
      </c>
      <c r="H927" t="s">
        <v>24</v>
      </c>
      <c r="I927" t="s">
        <v>71</v>
      </c>
      <c r="J927" t="s">
        <v>72</v>
      </c>
      <c r="K927" t="s">
        <v>73</v>
      </c>
      <c r="L927">
        <v>2</v>
      </c>
      <c r="M927">
        <v>3500</v>
      </c>
      <c r="N927">
        <v>15</v>
      </c>
      <c r="O927">
        <v>5950</v>
      </c>
      <c r="P927">
        <v>1957.7</v>
      </c>
      <c r="Q927" t="s">
        <v>28</v>
      </c>
      <c r="R927" t="s">
        <v>29</v>
      </c>
      <c r="S927" t="s">
        <v>110</v>
      </c>
      <c r="T927">
        <f>YEAR(Table1_1[[#This Row],[order_date]])</f>
        <v>2025</v>
      </c>
      <c r="U927">
        <f>MONTH(Table1_1[[#This Row],[order_date]])</f>
        <v>1</v>
      </c>
      <c r="V927" t="str">
        <f>TEXT(Table1_1[[#This Row],[order_date]],"mmm")</f>
        <v>Jan</v>
      </c>
      <c r="W927" t="str">
        <f>"Q"&amp;ROUNDUP(MONTH(Table1_1[[#This Row],[order_date]])/3,0)</f>
        <v>Q1</v>
      </c>
      <c r="X927" t="str">
        <f>TEXT(Table1_1[[#This Row],[order_date]],"yyyy-mm")</f>
        <v>2025-01</v>
      </c>
      <c r="Y927">
        <f>IF(Table1_1[[#This Row],[ship_date]]="","",Table1_1[[#This Row],[ship_date]]-Table1_1[[#This Row],[order_date]])</f>
        <v>3</v>
      </c>
      <c r="Z927">
        <f>ROUND(Table1_1[[#This Row],[profit]]/Table1_1[[#This Row],[sales_fix]]*100,2)</f>
        <v>32.9</v>
      </c>
    </row>
    <row r="928" spans="1:26" x14ac:dyDescent="0.3">
      <c r="A928" t="s">
        <v>2213</v>
      </c>
      <c r="B928" s="1">
        <v>45318</v>
      </c>
      <c r="C928" s="1">
        <v>45320</v>
      </c>
      <c r="D928" t="s">
        <v>200</v>
      </c>
      <c r="E928" t="s">
        <v>201</v>
      </c>
      <c r="F928" t="s">
        <v>23</v>
      </c>
      <c r="G928" t="s">
        <v>35</v>
      </c>
      <c r="H928" t="s">
        <v>187</v>
      </c>
      <c r="I928" t="s">
        <v>134</v>
      </c>
      <c r="J928" t="s">
        <v>135</v>
      </c>
      <c r="K928" t="s">
        <v>27</v>
      </c>
      <c r="L928">
        <v>10</v>
      </c>
      <c r="M928">
        <v>6000</v>
      </c>
      <c r="N928">
        <v>0</v>
      </c>
      <c r="O928">
        <v>60000</v>
      </c>
      <c r="P928">
        <v>10526.54</v>
      </c>
      <c r="Q928" t="s">
        <v>39</v>
      </c>
      <c r="R928" t="s">
        <v>29</v>
      </c>
      <c r="S928" t="s">
        <v>40</v>
      </c>
      <c r="T928">
        <f>YEAR(Table1_1[[#This Row],[order_date]])</f>
        <v>2024</v>
      </c>
      <c r="U928">
        <f>MONTH(Table1_1[[#This Row],[order_date]])</f>
        <v>1</v>
      </c>
      <c r="V928" t="str">
        <f>TEXT(Table1_1[[#This Row],[order_date]],"mmm")</f>
        <v>Jan</v>
      </c>
      <c r="W928" t="str">
        <f>"Q"&amp;ROUNDUP(MONTH(Table1_1[[#This Row],[order_date]])/3,0)</f>
        <v>Q1</v>
      </c>
      <c r="X928" t="str">
        <f>TEXT(Table1_1[[#This Row],[order_date]],"yyyy-mm")</f>
        <v>2024-01</v>
      </c>
      <c r="Y928">
        <f>IF(Table1_1[[#This Row],[ship_date]]="","",Table1_1[[#This Row],[ship_date]]-Table1_1[[#This Row],[order_date]])</f>
        <v>2</v>
      </c>
      <c r="Z928">
        <f>ROUND(Table1_1[[#This Row],[profit]]/Table1_1[[#This Row],[sales_fix]]*100,2)</f>
        <v>17.54</v>
      </c>
    </row>
    <row r="929" spans="1:26" x14ac:dyDescent="0.3">
      <c r="A929" t="s">
        <v>372</v>
      </c>
      <c r="B929" s="1">
        <v>45629</v>
      </c>
      <c r="C929" s="1">
        <v>45632</v>
      </c>
      <c r="D929" t="s">
        <v>373</v>
      </c>
      <c r="E929" t="s">
        <v>374</v>
      </c>
      <c r="F929" t="s">
        <v>55</v>
      </c>
      <c r="G929" t="s">
        <v>35</v>
      </c>
      <c r="H929" t="s">
        <v>85</v>
      </c>
      <c r="I929" t="s">
        <v>63</v>
      </c>
      <c r="J929" t="s">
        <v>64</v>
      </c>
      <c r="K929" t="s">
        <v>65</v>
      </c>
      <c r="L929">
        <v>1</v>
      </c>
      <c r="M929">
        <v>25000</v>
      </c>
      <c r="N929">
        <v>0</v>
      </c>
      <c r="O929">
        <v>25000</v>
      </c>
      <c r="P929">
        <v>3792.11</v>
      </c>
      <c r="Q929" t="s">
        <v>121</v>
      </c>
      <c r="R929" t="s">
        <v>49</v>
      </c>
      <c r="S929" t="s">
        <v>86</v>
      </c>
      <c r="T929">
        <f>YEAR(Table1_1[[#This Row],[order_date]])</f>
        <v>2024</v>
      </c>
      <c r="U929">
        <f>MONTH(Table1_1[[#This Row],[order_date]])</f>
        <v>12</v>
      </c>
      <c r="V929" t="str">
        <f>TEXT(Table1_1[[#This Row],[order_date]],"mmm")</f>
        <v>Dec</v>
      </c>
      <c r="W929" t="str">
        <f>"Q"&amp;ROUNDUP(MONTH(Table1_1[[#This Row],[order_date]])/3,0)</f>
        <v>Q4</v>
      </c>
      <c r="X929" t="str">
        <f>TEXT(Table1_1[[#This Row],[order_date]],"yyyy-mm")</f>
        <v>2024-12</v>
      </c>
      <c r="Y929">
        <f>IF(Table1_1[[#This Row],[ship_date]]="","",Table1_1[[#This Row],[ship_date]]-Table1_1[[#This Row],[order_date]])</f>
        <v>3</v>
      </c>
      <c r="Z929">
        <f>ROUND(Table1_1[[#This Row],[profit]]/Table1_1[[#This Row],[sales_fix]]*100,2)</f>
        <v>15.17</v>
      </c>
    </row>
    <row r="930" spans="1:26" x14ac:dyDescent="0.3">
      <c r="A930" t="s">
        <v>2072</v>
      </c>
      <c r="B930" s="1">
        <v>45519</v>
      </c>
      <c r="C930" s="1">
        <v>45521</v>
      </c>
      <c r="D930" t="s">
        <v>473</v>
      </c>
      <c r="E930" t="s">
        <v>474</v>
      </c>
      <c r="F930" t="s">
        <v>34</v>
      </c>
      <c r="G930" t="s">
        <v>61</v>
      </c>
      <c r="H930" t="s">
        <v>62</v>
      </c>
      <c r="I930" t="s">
        <v>134</v>
      </c>
      <c r="J930" t="s">
        <v>135</v>
      </c>
      <c r="K930" t="s">
        <v>27</v>
      </c>
      <c r="L930">
        <v>1</v>
      </c>
      <c r="M930">
        <v>6000</v>
      </c>
      <c r="N930">
        <v>0</v>
      </c>
      <c r="O930">
        <v>6000</v>
      </c>
      <c r="P930">
        <v>1458.85</v>
      </c>
      <c r="Q930" t="s">
        <v>121</v>
      </c>
      <c r="R930" t="s">
        <v>56</v>
      </c>
      <c r="S930" t="s">
        <v>110</v>
      </c>
      <c r="T930">
        <f>YEAR(Table1_1[[#This Row],[order_date]])</f>
        <v>2024</v>
      </c>
      <c r="U930">
        <f>MONTH(Table1_1[[#This Row],[order_date]])</f>
        <v>8</v>
      </c>
      <c r="V930" t="str">
        <f>TEXT(Table1_1[[#This Row],[order_date]],"mmm")</f>
        <v>Aug</v>
      </c>
      <c r="W930" t="str">
        <f>"Q"&amp;ROUNDUP(MONTH(Table1_1[[#This Row],[order_date]])/3,0)</f>
        <v>Q3</v>
      </c>
      <c r="X930" t="str">
        <f>TEXT(Table1_1[[#This Row],[order_date]],"yyyy-mm")</f>
        <v>2024-08</v>
      </c>
      <c r="Y930">
        <f>IF(Table1_1[[#This Row],[ship_date]]="","",Table1_1[[#This Row],[ship_date]]-Table1_1[[#This Row],[order_date]])</f>
        <v>2</v>
      </c>
      <c r="Z930">
        <f>ROUND(Table1_1[[#This Row],[profit]]/Table1_1[[#This Row],[sales_fix]]*100,2)</f>
        <v>24.31</v>
      </c>
    </row>
    <row r="931" spans="1:26" x14ac:dyDescent="0.3">
      <c r="A931" t="s">
        <v>2483</v>
      </c>
      <c r="B931" s="1">
        <v>45833</v>
      </c>
      <c r="C931" s="1">
        <v>45838</v>
      </c>
      <c r="D931" t="s">
        <v>731</v>
      </c>
      <c r="E931" t="s">
        <v>732</v>
      </c>
      <c r="F931" t="s">
        <v>34</v>
      </c>
      <c r="G931" t="s">
        <v>44</v>
      </c>
      <c r="H931" t="s">
        <v>155</v>
      </c>
      <c r="I931" t="s">
        <v>63</v>
      </c>
      <c r="J931" t="s">
        <v>64</v>
      </c>
      <c r="K931" t="s">
        <v>65</v>
      </c>
      <c r="L931">
        <v>1</v>
      </c>
      <c r="M931">
        <v>25000</v>
      </c>
      <c r="N931">
        <v>10</v>
      </c>
      <c r="O931">
        <v>22500</v>
      </c>
      <c r="P931">
        <v>3530.79</v>
      </c>
      <c r="Q931" t="s">
        <v>39</v>
      </c>
      <c r="R931" t="s">
        <v>29</v>
      </c>
      <c r="S931" t="s">
        <v>86</v>
      </c>
      <c r="T931">
        <f>YEAR(Table1_1[[#This Row],[order_date]])</f>
        <v>2025</v>
      </c>
      <c r="U931">
        <f>MONTH(Table1_1[[#This Row],[order_date]])</f>
        <v>6</v>
      </c>
      <c r="V931" t="str">
        <f>TEXT(Table1_1[[#This Row],[order_date]],"mmm")</f>
        <v>Jun</v>
      </c>
      <c r="W931" t="str">
        <f>"Q"&amp;ROUNDUP(MONTH(Table1_1[[#This Row],[order_date]])/3,0)</f>
        <v>Q2</v>
      </c>
      <c r="X931" t="str">
        <f>TEXT(Table1_1[[#This Row],[order_date]],"yyyy-mm")</f>
        <v>2025-06</v>
      </c>
      <c r="Y931">
        <f>IF(Table1_1[[#This Row],[ship_date]]="","",Table1_1[[#This Row],[ship_date]]-Table1_1[[#This Row],[order_date]])</f>
        <v>5</v>
      </c>
      <c r="Z931">
        <f>ROUND(Table1_1[[#This Row],[profit]]/Table1_1[[#This Row],[sales_fix]]*100,2)</f>
        <v>15.69</v>
      </c>
    </row>
    <row r="932" spans="1:26" x14ac:dyDescent="0.3">
      <c r="A932" t="s">
        <v>1060</v>
      </c>
      <c r="B932" s="1">
        <v>45690</v>
      </c>
      <c r="C932" s="1"/>
      <c r="D932" t="s">
        <v>847</v>
      </c>
      <c r="E932" t="s">
        <v>848</v>
      </c>
      <c r="F932" t="s">
        <v>23</v>
      </c>
      <c r="G932" t="s">
        <v>44</v>
      </c>
      <c r="H932" t="s">
        <v>161</v>
      </c>
      <c r="I932" t="s">
        <v>37</v>
      </c>
      <c r="J932" t="s">
        <v>38</v>
      </c>
      <c r="K932" t="s">
        <v>27</v>
      </c>
      <c r="L932">
        <v>1</v>
      </c>
      <c r="M932">
        <v>9500</v>
      </c>
      <c r="N932">
        <v>20</v>
      </c>
      <c r="O932">
        <v>7600</v>
      </c>
      <c r="P932">
        <v>1514.71</v>
      </c>
      <c r="Q932" t="s">
        <v>28</v>
      </c>
      <c r="R932" t="s">
        <v>56</v>
      </c>
      <c r="S932" t="s">
        <v>50</v>
      </c>
      <c r="T932">
        <f>YEAR(Table1_1[[#This Row],[order_date]])</f>
        <v>2025</v>
      </c>
      <c r="U932">
        <f>MONTH(Table1_1[[#This Row],[order_date]])</f>
        <v>2</v>
      </c>
      <c r="V932" t="str">
        <f>TEXT(Table1_1[[#This Row],[order_date]],"mmm")</f>
        <v>Feb</v>
      </c>
      <c r="W932" t="str">
        <f>"Q"&amp;ROUNDUP(MONTH(Table1_1[[#This Row],[order_date]])/3,0)</f>
        <v>Q1</v>
      </c>
      <c r="X932" t="str">
        <f>TEXT(Table1_1[[#This Row],[order_date]],"yyyy-mm")</f>
        <v>2025-02</v>
      </c>
      <c r="Y932" t="str">
        <f>IF(Table1_1[[#This Row],[ship_date]]="","",Table1_1[[#This Row],[ship_date]]-Table1_1[[#This Row],[order_date]])</f>
        <v/>
      </c>
      <c r="Z932">
        <f>ROUND(Table1_1[[#This Row],[profit]]/Table1_1[[#This Row],[sales_fix]]*100,2)</f>
        <v>19.93</v>
      </c>
    </row>
    <row r="933" spans="1:26" x14ac:dyDescent="0.3">
      <c r="A933" t="s">
        <v>437</v>
      </c>
      <c r="B933" s="1">
        <v>45995</v>
      </c>
      <c r="C933" s="1">
        <v>46000</v>
      </c>
      <c r="D933" t="s">
        <v>438</v>
      </c>
      <c r="E933" t="s">
        <v>439</v>
      </c>
      <c r="F933" t="s">
        <v>34</v>
      </c>
      <c r="G933" t="s">
        <v>35</v>
      </c>
      <c r="H933" t="s">
        <v>85</v>
      </c>
      <c r="I933" t="s">
        <v>114</v>
      </c>
      <c r="J933" t="s">
        <v>115</v>
      </c>
      <c r="K933" t="s">
        <v>65</v>
      </c>
      <c r="L933">
        <v>1</v>
      </c>
      <c r="M933">
        <v>55000</v>
      </c>
      <c r="N933">
        <v>0</v>
      </c>
      <c r="O933">
        <v>55000</v>
      </c>
      <c r="P933">
        <v>7494.97</v>
      </c>
      <c r="Q933" t="s">
        <v>66</v>
      </c>
      <c r="R933" t="s">
        <v>56</v>
      </c>
      <c r="S933" t="s">
        <v>110</v>
      </c>
      <c r="T933">
        <f>YEAR(Table1_1[[#This Row],[order_date]])</f>
        <v>2025</v>
      </c>
      <c r="U933">
        <f>MONTH(Table1_1[[#This Row],[order_date]])</f>
        <v>12</v>
      </c>
      <c r="V933" t="str">
        <f>TEXT(Table1_1[[#This Row],[order_date]],"mmm")</f>
        <v>Dec</v>
      </c>
      <c r="W933" t="str">
        <f>"Q"&amp;ROUNDUP(MONTH(Table1_1[[#This Row],[order_date]])/3,0)</f>
        <v>Q4</v>
      </c>
      <c r="X933" t="str">
        <f>TEXT(Table1_1[[#This Row],[order_date]],"yyyy-mm")</f>
        <v>2025-12</v>
      </c>
      <c r="Y933">
        <f>IF(Table1_1[[#This Row],[ship_date]]="","",Table1_1[[#This Row],[ship_date]]-Table1_1[[#This Row],[order_date]])</f>
        <v>5</v>
      </c>
      <c r="Z933">
        <f>ROUND(Table1_1[[#This Row],[profit]]/Table1_1[[#This Row],[sales_fix]]*100,2)</f>
        <v>13.63</v>
      </c>
    </row>
    <row r="934" spans="1:26" x14ac:dyDescent="0.3">
      <c r="A934" t="s">
        <v>1323</v>
      </c>
      <c r="B934" s="1">
        <v>45915</v>
      </c>
      <c r="C934" s="1">
        <v>45921</v>
      </c>
      <c r="D934" t="s">
        <v>418</v>
      </c>
      <c r="E934" t="s">
        <v>419</v>
      </c>
      <c r="F934" t="s">
        <v>23</v>
      </c>
      <c r="G934" t="s">
        <v>91</v>
      </c>
      <c r="H934" t="s">
        <v>120</v>
      </c>
      <c r="I934" t="s">
        <v>126</v>
      </c>
      <c r="J934" t="s">
        <v>127</v>
      </c>
      <c r="K934" t="s">
        <v>95</v>
      </c>
      <c r="L934">
        <v>2</v>
      </c>
      <c r="M934">
        <v>600</v>
      </c>
      <c r="N934">
        <v>5</v>
      </c>
      <c r="O934">
        <v>1140</v>
      </c>
      <c r="P934">
        <v>334.97</v>
      </c>
      <c r="Q934" t="s">
        <v>28</v>
      </c>
      <c r="R934" t="s">
        <v>56</v>
      </c>
      <c r="S934" t="s">
        <v>110</v>
      </c>
      <c r="T934">
        <f>YEAR(Table1_1[[#This Row],[order_date]])</f>
        <v>2025</v>
      </c>
      <c r="U934">
        <f>MONTH(Table1_1[[#This Row],[order_date]])</f>
        <v>9</v>
      </c>
      <c r="V934" t="str">
        <f>TEXT(Table1_1[[#This Row],[order_date]],"mmm")</f>
        <v>Sep</v>
      </c>
      <c r="W934" t="str">
        <f>"Q"&amp;ROUNDUP(MONTH(Table1_1[[#This Row],[order_date]])/3,0)</f>
        <v>Q3</v>
      </c>
      <c r="X934" t="str">
        <f>TEXT(Table1_1[[#This Row],[order_date]],"yyyy-mm")</f>
        <v>2025-09</v>
      </c>
      <c r="Y934">
        <f>IF(Table1_1[[#This Row],[ship_date]]="","",Table1_1[[#This Row],[ship_date]]-Table1_1[[#This Row],[order_date]])</f>
        <v>6</v>
      </c>
      <c r="Z934">
        <f>ROUND(Table1_1[[#This Row],[profit]]/Table1_1[[#This Row],[sales_fix]]*100,2)</f>
        <v>29.38</v>
      </c>
    </row>
    <row r="935" spans="1:26" x14ac:dyDescent="0.3">
      <c r="A935" t="s">
        <v>2472</v>
      </c>
      <c r="B935" s="1">
        <v>45825</v>
      </c>
      <c r="C935" s="1">
        <v>45827</v>
      </c>
      <c r="D935" t="s">
        <v>1604</v>
      </c>
      <c r="E935" t="s">
        <v>1605</v>
      </c>
      <c r="F935" t="s">
        <v>55</v>
      </c>
      <c r="G935" t="s">
        <v>44</v>
      </c>
      <c r="H935" t="s">
        <v>45</v>
      </c>
      <c r="I935" t="s">
        <v>134</v>
      </c>
      <c r="J935" t="s">
        <v>135</v>
      </c>
      <c r="K935" t="s">
        <v>27</v>
      </c>
      <c r="L935">
        <v>5</v>
      </c>
      <c r="M935">
        <v>6000</v>
      </c>
      <c r="N935">
        <v>20</v>
      </c>
      <c r="O935">
        <v>24000</v>
      </c>
      <c r="P935">
        <v>5760</v>
      </c>
      <c r="Q935" t="s">
        <v>74</v>
      </c>
      <c r="R935" t="s">
        <v>49</v>
      </c>
      <c r="S935" t="s">
        <v>110</v>
      </c>
      <c r="T935">
        <f>YEAR(Table1_1[[#This Row],[order_date]])</f>
        <v>2025</v>
      </c>
      <c r="U935">
        <f>MONTH(Table1_1[[#This Row],[order_date]])</f>
        <v>6</v>
      </c>
      <c r="V935" t="str">
        <f>TEXT(Table1_1[[#This Row],[order_date]],"mmm")</f>
        <v>Jun</v>
      </c>
      <c r="W935" t="str">
        <f>"Q"&amp;ROUNDUP(MONTH(Table1_1[[#This Row],[order_date]])/3,0)</f>
        <v>Q2</v>
      </c>
      <c r="X935" t="str">
        <f>TEXT(Table1_1[[#This Row],[order_date]],"yyyy-mm")</f>
        <v>2025-06</v>
      </c>
      <c r="Y935">
        <f>IF(Table1_1[[#This Row],[ship_date]]="","",Table1_1[[#This Row],[ship_date]]-Table1_1[[#This Row],[order_date]])</f>
        <v>2</v>
      </c>
      <c r="Z935">
        <f>ROUND(Table1_1[[#This Row],[profit]]/Table1_1[[#This Row],[sales_fix]]*100,2)</f>
        <v>24</v>
      </c>
    </row>
    <row r="936" spans="1:26" x14ac:dyDescent="0.3">
      <c r="A936" t="s">
        <v>1122</v>
      </c>
      <c r="B936" s="1">
        <v>45373</v>
      </c>
      <c r="C936" s="1">
        <v>45376</v>
      </c>
      <c r="D936" t="s">
        <v>1031</v>
      </c>
      <c r="E936" t="s">
        <v>1032</v>
      </c>
      <c r="F936" t="s">
        <v>23</v>
      </c>
      <c r="G936" t="s">
        <v>61</v>
      </c>
      <c r="H936" t="s">
        <v>211</v>
      </c>
      <c r="I936" t="s">
        <v>126</v>
      </c>
      <c r="J936" t="s">
        <v>127</v>
      </c>
      <c r="K936" t="s">
        <v>95</v>
      </c>
      <c r="L936">
        <v>1</v>
      </c>
      <c r="M936">
        <v>600</v>
      </c>
      <c r="N936">
        <v>0</v>
      </c>
      <c r="O936">
        <v>600</v>
      </c>
      <c r="P936">
        <v>245.77</v>
      </c>
      <c r="Q936" t="s">
        <v>39</v>
      </c>
      <c r="R936" t="s">
        <v>29</v>
      </c>
      <c r="S936" t="s">
        <v>86</v>
      </c>
      <c r="T936">
        <f>YEAR(Table1_1[[#This Row],[order_date]])</f>
        <v>2024</v>
      </c>
      <c r="U936">
        <f>MONTH(Table1_1[[#This Row],[order_date]])</f>
        <v>3</v>
      </c>
      <c r="V936" t="str">
        <f>TEXT(Table1_1[[#This Row],[order_date]],"mmm")</f>
        <v>Mar</v>
      </c>
      <c r="W936" t="str">
        <f>"Q"&amp;ROUNDUP(MONTH(Table1_1[[#This Row],[order_date]])/3,0)</f>
        <v>Q1</v>
      </c>
      <c r="X936" t="str">
        <f>TEXT(Table1_1[[#This Row],[order_date]],"yyyy-mm")</f>
        <v>2024-03</v>
      </c>
      <c r="Y936">
        <f>IF(Table1_1[[#This Row],[ship_date]]="","",Table1_1[[#This Row],[ship_date]]-Table1_1[[#This Row],[order_date]])</f>
        <v>3</v>
      </c>
      <c r="Z936">
        <f>ROUND(Table1_1[[#This Row],[profit]]/Table1_1[[#This Row],[sales_fix]]*100,2)</f>
        <v>40.96</v>
      </c>
    </row>
    <row r="937" spans="1:26" x14ac:dyDescent="0.3">
      <c r="A937" t="s">
        <v>2117</v>
      </c>
      <c r="B937" s="1">
        <v>45796</v>
      </c>
      <c r="C937" s="1">
        <v>45803</v>
      </c>
      <c r="D937" t="s">
        <v>1058</v>
      </c>
      <c r="E937" t="s">
        <v>1059</v>
      </c>
      <c r="F937" t="s">
        <v>55</v>
      </c>
      <c r="G937" t="s">
        <v>91</v>
      </c>
      <c r="H937" t="s">
        <v>92</v>
      </c>
      <c r="I937" t="s">
        <v>46</v>
      </c>
      <c r="J937" t="s">
        <v>47</v>
      </c>
      <c r="K937" t="s">
        <v>48</v>
      </c>
      <c r="L937">
        <v>4</v>
      </c>
      <c r="M937">
        <v>180</v>
      </c>
      <c r="N937">
        <v>0</v>
      </c>
      <c r="O937">
        <v>720</v>
      </c>
      <c r="P937">
        <v>324</v>
      </c>
      <c r="Q937" t="s">
        <v>156</v>
      </c>
      <c r="R937" t="s">
        <v>56</v>
      </c>
      <c r="S937" t="s">
        <v>50</v>
      </c>
      <c r="T937">
        <f>YEAR(Table1_1[[#This Row],[order_date]])</f>
        <v>2025</v>
      </c>
      <c r="U937">
        <f>MONTH(Table1_1[[#This Row],[order_date]])</f>
        <v>5</v>
      </c>
      <c r="V937" t="str">
        <f>TEXT(Table1_1[[#This Row],[order_date]],"mmm")</f>
        <v>May</v>
      </c>
      <c r="W937" t="str">
        <f>"Q"&amp;ROUNDUP(MONTH(Table1_1[[#This Row],[order_date]])/3,0)</f>
        <v>Q2</v>
      </c>
      <c r="X937" t="str">
        <f>TEXT(Table1_1[[#This Row],[order_date]],"yyyy-mm")</f>
        <v>2025-05</v>
      </c>
      <c r="Y937">
        <f>IF(Table1_1[[#This Row],[ship_date]]="","",Table1_1[[#This Row],[ship_date]]-Table1_1[[#This Row],[order_date]])</f>
        <v>7</v>
      </c>
      <c r="Z937">
        <f>ROUND(Table1_1[[#This Row],[profit]]/Table1_1[[#This Row],[sales_fix]]*100,2)</f>
        <v>45</v>
      </c>
    </row>
    <row r="938" spans="1:26" x14ac:dyDescent="0.3">
      <c r="A938" t="s">
        <v>2009</v>
      </c>
      <c r="B938" s="1">
        <v>45819</v>
      </c>
      <c r="C938" s="1">
        <v>45821</v>
      </c>
      <c r="D938" t="s">
        <v>89</v>
      </c>
      <c r="E938" t="s">
        <v>90</v>
      </c>
      <c r="F938" t="s">
        <v>23</v>
      </c>
      <c r="G938" t="s">
        <v>91</v>
      </c>
      <c r="H938" t="s">
        <v>92</v>
      </c>
      <c r="I938" t="s">
        <v>147</v>
      </c>
      <c r="J938" t="s">
        <v>148</v>
      </c>
      <c r="K938" t="s">
        <v>48</v>
      </c>
      <c r="L938">
        <v>3</v>
      </c>
      <c r="M938">
        <v>250</v>
      </c>
      <c r="N938">
        <v>15</v>
      </c>
      <c r="O938">
        <v>637.5</v>
      </c>
      <c r="P938">
        <v>269.08</v>
      </c>
      <c r="Q938" t="s">
        <v>28</v>
      </c>
      <c r="R938" t="s">
        <v>29</v>
      </c>
      <c r="S938" t="s">
        <v>40</v>
      </c>
      <c r="T938">
        <f>YEAR(Table1_1[[#This Row],[order_date]])</f>
        <v>2025</v>
      </c>
      <c r="U938">
        <f>MONTH(Table1_1[[#This Row],[order_date]])</f>
        <v>6</v>
      </c>
      <c r="V938" t="str">
        <f>TEXT(Table1_1[[#This Row],[order_date]],"mmm")</f>
        <v>Jun</v>
      </c>
      <c r="W938" t="str">
        <f>"Q"&amp;ROUNDUP(MONTH(Table1_1[[#This Row],[order_date]])/3,0)</f>
        <v>Q2</v>
      </c>
      <c r="X938" t="str">
        <f>TEXT(Table1_1[[#This Row],[order_date]],"yyyy-mm")</f>
        <v>2025-06</v>
      </c>
      <c r="Y938">
        <f>IF(Table1_1[[#This Row],[ship_date]]="","",Table1_1[[#This Row],[ship_date]]-Table1_1[[#This Row],[order_date]])</f>
        <v>2</v>
      </c>
      <c r="Z938">
        <f>ROUND(Table1_1[[#This Row],[profit]]/Table1_1[[#This Row],[sales_fix]]*100,2)</f>
        <v>42.21</v>
      </c>
    </row>
    <row r="939" spans="1:26" x14ac:dyDescent="0.3">
      <c r="A939" t="s">
        <v>636</v>
      </c>
      <c r="B939" s="1">
        <v>45299</v>
      </c>
      <c r="C939" s="1">
        <v>45305</v>
      </c>
      <c r="D939" t="s">
        <v>21</v>
      </c>
      <c r="E939" t="s">
        <v>22</v>
      </c>
      <c r="F939" t="s">
        <v>23</v>
      </c>
      <c r="G939" t="s">
        <v>44</v>
      </c>
      <c r="H939" t="s">
        <v>24</v>
      </c>
      <c r="I939" t="s">
        <v>71</v>
      </c>
      <c r="J939" t="s">
        <v>72</v>
      </c>
      <c r="K939" t="s">
        <v>73</v>
      </c>
      <c r="L939">
        <v>3</v>
      </c>
      <c r="M939">
        <v>3500</v>
      </c>
      <c r="N939">
        <v>15</v>
      </c>
      <c r="O939">
        <v>8925</v>
      </c>
      <c r="P939">
        <v>2609.61</v>
      </c>
      <c r="Q939" t="s">
        <v>121</v>
      </c>
      <c r="R939" t="s">
        <v>56</v>
      </c>
      <c r="S939" t="s">
        <v>40</v>
      </c>
      <c r="T939">
        <f>YEAR(Table1_1[[#This Row],[order_date]])</f>
        <v>2024</v>
      </c>
      <c r="U939">
        <f>MONTH(Table1_1[[#This Row],[order_date]])</f>
        <v>1</v>
      </c>
      <c r="V939" t="str">
        <f>TEXT(Table1_1[[#This Row],[order_date]],"mmm")</f>
        <v>Jan</v>
      </c>
      <c r="W939" t="str">
        <f>"Q"&amp;ROUNDUP(MONTH(Table1_1[[#This Row],[order_date]])/3,0)</f>
        <v>Q1</v>
      </c>
      <c r="X939" t="str">
        <f>TEXT(Table1_1[[#This Row],[order_date]],"yyyy-mm")</f>
        <v>2024-01</v>
      </c>
      <c r="Y939">
        <f>IF(Table1_1[[#This Row],[ship_date]]="","",Table1_1[[#This Row],[ship_date]]-Table1_1[[#This Row],[order_date]])</f>
        <v>6</v>
      </c>
      <c r="Z939">
        <f>ROUND(Table1_1[[#This Row],[profit]]/Table1_1[[#This Row],[sales_fix]]*100,2)</f>
        <v>29.24</v>
      </c>
    </row>
    <row r="940" spans="1:26" x14ac:dyDescent="0.3">
      <c r="A940" t="s">
        <v>913</v>
      </c>
      <c r="B940" s="1">
        <v>45751</v>
      </c>
      <c r="C940" s="1">
        <v>45755</v>
      </c>
      <c r="D940" t="s">
        <v>767</v>
      </c>
      <c r="E940" t="s">
        <v>768</v>
      </c>
      <c r="F940" t="s">
        <v>23</v>
      </c>
      <c r="G940" t="s">
        <v>35</v>
      </c>
      <c r="H940" t="s">
        <v>258</v>
      </c>
      <c r="I940" t="s">
        <v>93</v>
      </c>
      <c r="J940" t="s">
        <v>94</v>
      </c>
      <c r="K940" t="s">
        <v>95</v>
      </c>
      <c r="L940">
        <v>10</v>
      </c>
      <c r="M940">
        <v>1800</v>
      </c>
      <c r="N940">
        <v>15</v>
      </c>
      <c r="O940">
        <v>15300</v>
      </c>
      <c r="P940">
        <v>5740.96</v>
      </c>
      <c r="Q940" t="s">
        <v>121</v>
      </c>
      <c r="R940" t="s">
        <v>29</v>
      </c>
      <c r="S940" t="s">
        <v>110</v>
      </c>
      <c r="T940">
        <f>YEAR(Table1_1[[#This Row],[order_date]])</f>
        <v>2025</v>
      </c>
      <c r="U940">
        <f>MONTH(Table1_1[[#This Row],[order_date]])</f>
        <v>4</v>
      </c>
      <c r="V940" t="str">
        <f>TEXT(Table1_1[[#This Row],[order_date]],"mmm")</f>
        <v>Apr</v>
      </c>
      <c r="W940" t="str">
        <f>"Q"&amp;ROUNDUP(MONTH(Table1_1[[#This Row],[order_date]])/3,0)</f>
        <v>Q2</v>
      </c>
      <c r="X940" t="str">
        <f>TEXT(Table1_1[[#This Row],[order_date]],"yyyy-mm")</f>
        <v>2025-04</v>
      </c>
      <c r="Y940">
        <f>IF(Table1_1[[#This Row],[ship_date]]="","",Table1_1[[#This Row],[ship_date]]-Table1_1[[#This Row],[order_date]])</f>
        <v>4</v>
      </c>
      <c r="Z940">
        <f>ROUND(Table1_1[[#This Row],[profit]]/Table1_1[[#This Row],[sales_fix]]*100,2)</f>
        <v>37.520000000000003</v>
      </c>
    </row>
    <row r="941" spans="1:26" x14ac:dyDescent="0.3">
      <c r="A941" t="s">
        <v>2101</v>
      </c>
      <c r="B941" s="1">
        <v>45653</v>
      </c>
      <c r="C941" s="1">
        <v>45655</v>
      </c>
      <c r="D941" t="s">
        <v>457</v>
      </c>
      <c r="E941" t="s">
        <v>458</v>
      </c>
      <c r="F941" t="s">
        <v>55</v>
      </c>
      <c r="G941" t="s">
        <v>44</v>
      </c>
      <c r="H941" t="s">
        <v>24</v>
      </c>
      <c r="I941" t="s">
        <v>46</v>
      </c>
      <c r="J941" t="s">
        <v>47</v>
      </c>
      <c r="K941" t="s">
        <v>48</v>
      </c>
      <c r="L941">
        <v>2</v>
      </c>
      <c r="M941">
        <v>180</v>
      </c>
      <c r="N941">
        <v>5</v>
      </c>
      <c r="O941">
        <v>342</v>
      </c>
      <c r="P941">
        <v>118.22</v>
      </c>
      <c r="Q941" t="s">
        <v>74</v>
      </c>
      <c r="R941" t="s">
        <v>56</v>
      </c>
      <c r="S941" t="s">
        <v>50</v>
      </c>
      <c r="T941">
        <f>YEAR(Table1_1[[#This Row],[order_date]])</f>
        <v>2024</v>
      </c>
      <c r="U941">
        <f>MONTH(Table1_1[[#This Row],[order_date]])</f>
        <v>12</v>
      </c>
      <c r="V941" t="str">
        <f>TEXT(Table1_1[[#This Row],[order_date]],"mmm")</f>
        <v>Dec</v>
      </c>
      <c r="W941" t="str">
        <f>"Q"&amp;ROUNDUP(MONTH(Table1_1[[#This Row],[order_date]])/3,0)</f>
        <v>Q4</v>
      </c>
      <c r="X941" t="str">
        <f>TEXT(Table1_1[[#This Row],[order_date]],"yyyy-mm")</f>
        <v>2024-12</v>
      </c>
      <c r="Y941">
        <f>IF(Table1_1[[#This Row],[ship_date]]="","",Table1_1[[#This Row],[ship_date]]-Table1_1[[#This Row],[order_date]])</f>
        <v>2</v>
      </c>
      <c r="Z941">
        <f>ROUND(Table1_1[[#This Row],[profit]]/Table1_1[[#This Row],[sales_fix]]*100,2)</f>
        <v>34.57</v>
      </c>
    </row>
    <row r="942" spans="1:26" x14ac:dyDescent="0.3">
      <c r="A942" t="s">
        <v>2203</v>
      </c>
      <c r="B942" s="1">
        <v>45589</v>
      </c>
      <c r="C942" s="1">
        <v>45596</v>
      </c>
      <c r="D942" t="s">
        <v>1346</v>
      </c>
      <c r="E942" t="s">
        <v>1347</v>
      </c>
      <c r="F942" t="s">
        <v>55</v>
      </c>
      <c r="G942" t="s">
        <v>44</v>
      </c>
      <c r="H942" t="s">
        <v>155</v>
      </c>
      <c r="I942" t="s">
        <v>63</v>
      </c>
      <c r="J942" t="s">
        <v>64</v>
      </c>
      <c r="K942" t="s">
        <v>65</v>
      </c>
      <c r="L942">
        <v>1</v>
      </c>
      <c r="M942">
        <v>25000</v>
      </c>
      <c r="N942">
        <v>0</v>
      </c>
      <c r="O942">
        <v>25000</v>
      </c>
      <c r="P942">
        <v>2628.35</v>
      </c>
      <c r="Q942" t="s">
        <v>121</v>
      </c>
      <c r="R942" t="s">
        <v>49</v>
      </c>
      <c r="S942" t="s">
        <v>40</v>
      </c>
      <c r="T942">
        <f>YEAR(Table1_1[[#This Row],[order_date]])</f>
        <v>2024</v>
      </c>
      <c r="U942">
        <f>MONTH(Table1_1[[#This Row],[order_date]])</f>
        <v>10</v>
      </c>
      <c r="V942" t="str">
        <f>TEXT(Table1_1[[#This Row],[order_date]],"mmm")</f>
        <v>Oct</v>
      </c>
      <c r="W942" t="str">
        <f>"Q"&amp;ROUNDUP(MONTH(Table1_1[[#This Row],[order_date]])/3,0)</f>
        <v>Q4</v>
      </c>
      <c r="X942" t="str">
        <f>TEXT(Table1_1[[#This Row],[order_date]],"yyyy-mm")</f>
        <v>2024-10</v>
      </c>
      <c r="Y942">
        <f>IF(Table1_1[[#This Row],[ship_date]]="","",Table1_1[[#This Row],[ship_date]]-Table1_1[[#This Row],[order_date]])</f>
        <v>7</v>
      </c>
      <c r="Z942">
        <f>ROUND(Table1_1[[#This Row],[profit]]/Table1_1[[#This Row],[sales_fix]]*100,2)</f>
        <v>10.51</v>
      </c>
    </row>
    <row r="943" spans="1:26" x14ac:dyDescent="0.3">
      <c r="A943" t="s">
        <v>3014</v>
      </c>
      <c r="B943" s="1">
        <v>45924</v>
      </c>
      <c r="C943" s="1">
        <v>45932</v>
      </c>
      <c r="D943" t="s">
        <v>247</v>
      </c>
      <c r="E943" t="s">
        <v>248</v>
      </c>
      <c r="F943" t="s">
        <v>34</v>
      </c>
      <c r="G943" t="s">
        <v>61</v>
      </c>
      <c r="H943" t="s">
        <v>78</v>
      </c>
      <c r="I943" t="s">
        <v>147</v>
      </c>
      <c r="J943" t="s">
        <v>148</v>
      </c>
      <c r="K943" t="s">
        <v>48</v>
      </c>
      <c r="L943">
        <v>4</v>
      </c>
      <c r="M943">
        <v>250</v>
      </c>
      <c r="N943">
        <v>0</v>
      </c>
      <c r="O943">
        <v>1000</v>
      </c>
      <c r="P943">
        <v>336.92</v>
      </c>
      <c r="Q943" t="s">
        <v>74</v>
      </c>
      <c r="R943" t="s">
        <v>49</v>
      </c>
      <c r="S943" t="s">
        <v>110</v>
      </c>
      <c r="T943">
        <f>YEAR(Table1_1[[#This Row],[order_date]])</f>
        <v>2025</v>
      </c>
      <c r="U943">
        <f>MONTH(Table1_1[[#This Row],[order_date]])</f>
        <v>9</v>
      </c>
      <c r="V943" t="str">
        <f>TEXT(Table1_1[[#This Row],[order_date]],"mmm")</f>
        <v>Sep</v>
      </c>
      <c r="W943" t="str">
        <f>"Q"&amp;ROUNDUP(MONTH(Table1_1[[#This Row],[order_date]])/3,0)</f>
        <v>Q3</v>
      </c>
      <c r="X943" t="str">
        <f>TEXT(Table1_1[[#This Row],[order_date]],"yyyy-mm")</f>
        <v>2025-09</v>
      </c>
      <c r="Y943">
        <f>IF(Table1_1[[#This Row],[ship_date]]="","",Table1_1[[#This Row],[ship_date]]-Table1_1[[#This Row],[order_date]])</f>
        <v>8</v>
      </c>
      <c r="Z943">
        <f>ROUND(Table1_1[[#This Row],[profit]]/Table1_1[[#This Row],[sales_fix]]*100,2)</f>
        <v>33.69</v>
      </c>
    </row>
    <row r="944" spans="1:26" x14ac:dyDescent="0.3">
      <c r="A944" t="s">
        <v>178</v>
      </c>
      <c r="B944" s="1">
        <v>45650</v>
      </c>
      <c r="C944" s="1">
        <v>45657</v>
      </c>
      <c r="D944" t="s">
        <v>179</v>
      </c>
      <c r="E944" t="s">
        <v>180</v>
      </c>
      <c r="F944" t="s">
        <v>23</v>
      </c>
      <c r="G944" t="s">
        <v>91</v>
      </c>
      <c r="H944" t="s">
        <v>177</v>
      </c>
      <c r="I944" t="s">
        <v>114</v>
      </c>
      <c r="J944" t="s">
        <v>115</v>
      </c>
      <c r="K944" t="s">
        <v>65</v>
      </c>
      <c r="L944">
        <v>1</v>
      </c>
      <c r="M944">
        <v>55000</v>
      </c>
      <c r="N944">
        <v>0</v>
      </c>
      <c r="O944">
        <v>55000</v>
      </c>
      <c r="P944">
        <v>6965.1</v>
      </c>
      <c r="Q944" t="s">
        <v>28</v>
      </c>
      <c r="R944" t="s">
        <v>29</v>
      </c>
      <c r="S944" t="s">
        <v>86</v>
      </c>
      <c r="T944">
        <f>YEAR(Table1_1[[#This Row],[order_date]])</f>
        <v>2024</v>
      </c>
      <c r="U944">
        <f>MONTH(Table1_1[[#This Row],[order_date]])</f>
        <v>12</v>
      </c>
      <c r="V944" t="str">
        <f>TEXT(Table1_1[[#This Row],[order_date]],"mmm")</f>
        <v>Dec</v>
      </c>
      <c r="W944" t="str">
        <f>"Q"&amp;ROUNDUP(MONTH(Table1_1[[#This Row],[order_date]])/3,0)</f>
        <v>Q4</v>
      </c>
      <c r="X944" t="str">
        <f>TEXT(Table1_1[[#This Row],[order_date]],"yyyy-mm")</f>
        <v>2024-12</v>
      </c>
      <c r="Y944">
        <f>IF(Table1_1[[#This Row],[ship_date]]="","",Table1_1[[#This Row],[ship_date]]-Table1_1[[#This Row],[order_date]])</f>
        <v>7</v>
      </c>
      <c r="Z944">
        <f>ROUND(Table1_1[[#This Row],[profit]]/Table1_1[[#This Row],[sales_fix]]*100,2)</f>
        <v>12.66</v>
      </c>
    </row>
    <row r="945" spans="1:26" x14ac:dyDescent="0.3">
      <c r="A945" t="s">
        <v>2685</v>
      </c>
      <c r="B945" s="1">
        <v>45449</v>
      </c>
      <c r="C945" s="1">
        <v>45454</v>
      </c>
      <c r="D945" t="s">
        <v>910</v>
      </c>
      <c r="E945" t="s">
        <v>911</v>
      </c>
      <c r="F945" t="s">
        <v>34</v>
      </c>
      <c r="G945" t="s">
        <v>35</v>
      </c>
      <c r="H945" t="s">
        <v>36</v>
      </c>
      <c r="I945" t="s">
        <v>46</v>
      </c>
      <c r="J945" t="s">
        <v>47</v>
      </c>
      <c r="K945" t="s">
        <v>48</v>
      </c>
      <c r="L945">
        <v>2</v>
      </c>
      <c r="M945">
        <v>180</v>
      </c>
      <c r="N945">
        <v>5</v>
      </c>
      <c r="O945">
        <v>342</v>
      </c>
      <c r="P945">
        <v>108.16</v>
      </c>
      <c r="Q945" t="s">
        <v>121</v>
      </c>
      <c r="R945" t="s">
        <v>49</v>
      </c>
      <c r="S945" t="s">
        <v>30</v>
      </c>
      <c r="T945">
        <f>YEAR(Table1_1[[#This Row],[order_date]])</f>
        <v>2024</v>
      </c>
      <c r="U945">
        <f>MONTH(Table1_1[[#This Row],[order_date]])</f>
        <v>6</v>
      </c>
      <c r="V945" t="str">
        <f>TEXT(Table1_1[[#This Row],[order_date]],"mmm")</f>
        <v>Jun</v>
      </c>
      <c r="W945" t="str">
        <f>"Q"&amp;ROUNDUP(MONTH(Table1_1[[#This Row],[order_date]])/3,0)</f>
        <v>Q2</v>
      </c>
      <c r="X945" t="str">
        <f>TEXT(Table1_1[[#This Row],[order_date]],"yyyy-mm")</f>
        <v>2024-06</v>
      </c>
      <c r="Y945">
        <f>IF(Table1_1[[#This Row],[ship_date]]="","",Table1_1[[#This Row],[ship_date]]-Table1_1[[#This Row],[order_date]])</f>
        <v>5</v>
      </c>
      <c r="Z945">
        <f>ROUND(Table1_1[[#This Row],[profit]]/Table1_1[[#This Row],[sales_fix]]*100,2)</f>
        <v>31.63</v>
      </c>
    </row>
    <row r="946" spans="1:26" x14ac:dyDescent="0.3">
      <c r="A946" t="s">
        <v>1338</v>
      </c>
      <c r="B946" s="1">
        <v>45665</v>
      </c>
      <c r="C946" s="1">
        <v>45670</v>
      </c>
      <c r="D946" t="s">
        <v>1028</v>
      </c>
      <c r="E946" t="s">
        <v>1029</v>
      </c>
      <c r="F946" t="s">
        <v>34</v>
      </c>
      <c r="G946" t="s">
        <v>91</v>
      </c>
      <c r="H946" t="s">
        <v>120</v>
      </c>
      <c r="I946" t="s">
        <v>25</v>
      </c>
      <c r="J946" t="s">
        <v>26</v>
      </c>
      <c r="K946" t="s">
        <v>27</v>
      </c>
      <c r="L946">
        <v>2</v>
      </c>
      <c r="M946">
        <v>7000</v>
      </c>
      <c r="N946">
        <v>0</v>
      </c>
      <c r="O946">
        <v>14000</v>
      </c>
      <c r="P946">
        <v>2816.88</v>
      </c>
      <c r="Q946" t="s">
        <v>66</v>
      </c>
      <c r="R946" t="s">
        <v>49</v>
      </c>
      <c r="S946" t="s">
        <v>30</v>
      </c>
      <c r="T946">
        <f>YEAR(Table1_1[[#This Row],[order_date]])</f>
        <v>2025</v>
      </c>
      <c r="U946">
        <f>MONTH(Table1_1[[#This Row],[order_date]])</f>
        <v>1</v>
      </c>
      <c r="V946" t="str">
        <f>TEXT(Table1_1[[#This Row],[order_date]],"mmm")</f>
        <v>Jan</v>
      </c>
      <c r="W946" t="str">
        <f>"Q"&amp;ROUNDUP(MONTH(Table1_1[[#This Row],[order_date]])/3,0)</f>
        <v>Q1</v>
      </c>
      <c r="X946" t="str">
        <f>TEXT(Table1_1[[#This Row],[order_date]],"yyyy-mm")</f>
        <v>2025-01</v>
      </c>
      <c r="Y946">
        <f>IF(Table1_1[[#This Row],[ship_date]]="","",Table1_1[[#This Row],[ship_date]]-Table1_1[[#This Row],[order_date]])</f>
        <v>5</v>
      </c>
      <c r="Z946">
        <f>ROUND(Table1_1[[#This Row],[profit]]/Table1_1[[#This Row],[sales_fix]]*100,2)</f>
        <v>20.12</v>
      </c>
    </row>
    <row r="947" spans="1:26" x14ac:dyDescent="0.3">
      <c r="A947" t="s">
        <v>1832</v>
      </c>
      <c r="B947" s="1">
        <v>45654</v>
      </c>
      <c r="C947" s="1">
        <v>45656</v>
      </c>
      <c r="D947" t="s">
        <v>761</v>
      </c>
      <c r="E947" t="s">
        <v>762</v>
      </c>
      <c r="F947" t="s">
        <v>23</v>
      </c>
      <c r="G947" t="s">
        <v>44</v>
      </c>
      <c r="H947" t="s">
        <v>330</v>
      </c>
      <c r="I947" t="s">
        <v>79</v>
      </c>
      <c r="J947" t="s">
        <v>80</v>
      </c>
      <c r="K947" t="s">
        <v>65</v>
      </c>
      <c r="L947">
        <v>1</v>
      </c>
      <c r="M947">
        <v>3000</v>
      </c>
      <c r="N947">
        <v>20</v>
      </c>
      <c r="O947">
        <v>2400</v>
      </c>
      <c r="P947">
        <v>708.26</v>
      </c>
      <c r="Q947" t="s">
        <v>121</v>
      </c>
      <c r="R947" t="s">
        <v>49</v>
      </c>
      <c r="S947" t="s">
        <v>86</v>
      </c>
      <c r="T947">
        <f>YEAR(Table1_1[[#This Row],[order_date]])</f>
        <v>2024</v>
      </c>
      <c r="U947">
        <f>MONTH(Table1_1[[#This Row],[order_date]])</f>
        <v>12</v>
      </c>
      <c r="V947" t="str">
        <f>TEXT(Table1_1[[#This Row],[order_date]],"mmm")</f>
        <v>Dec</v>
      </c>
      <c r="W947" t="str">
        <f>"Q"&amp;ROUNDUP(MONTH(Table1_1[[#This Row],[order_date]])/3,0)</f>
        <v>Q4</v>
      </c>
      <c r="X947" t="str">
        <f>TEXT(Table1_1[[#This Row],[order_date]],"yyyy-mm")</f>
        <v>2024-12</v>
      </c>
      <c r="Y947">
        <f>IF(Table1_1[[#This Row],[ship_date]]="","",Table1_1[[#This Row],[ship_date]]-Table1_1[[#This Row],[order_date]])</f>
        <v>2</v>
      </c>
      <c r="Z947">
        <f>ROUND(Table1_1[[#This Row],[profit]]/Table1_1[[#This Row],[sales_fix]]*100,2)</f>
        <v>29.51</v>
      </c>
    </row>
    <row r="948" spans="1:26" x14ac:dyDescent="0.3">
      <c r="A948" t="s">
        <v>907</v>
      </c>
      <c r="B948" s="1">
        <v>45723</v>
      </c>
      <c r="C948" s="1">
        <v>45727</v>
      </c>
      <c r="D948" t="s">
        <v>457</v>
      </c>
      <c r="E948" t="s">
        <v>458</v>
      </c>
      <c r="F948" t="s">
        <v>55</v>
      </c>
      <c r="G948" t="s">
        <v>44</v>
      </c>
      <c r="H948" t="s">
        <v>24</v>
      </c>
      <c r="I948" t="s">
        <v>134</v>
      </c>
      <c r="J948" t="s">
        <v>135</v>
      </c>
      <c r="K948" t="s">
        <v>27</v>
      </c>
      <c r="L948">
        <v>3</v>
      </c>
      <c r="M948">
        <v>6000</v>
      </c>
      <c r="N948">
        <v>0</v>
      </c>
      <c r="O948">
        <v>18000</v>
      </c>
      <c r="P948">
        <v>3301.02</v>
      </c>
      <c r="Q948" t="s">
        <v>3113</v>
      </c>
      <c r="R948" t="s">
        <v>56</v>
      </c>
      <c r="S948" t="s">
        <v>110</v>
      </c>
      <c r="T948">
        <f>YEAR(Table1_1[[#This Row],[order_date]])</f>
        <v>2025</v>
      </c>
      <c r="U948">
        <f>MONTH(Table1_1[[#This Row],[order_date]])</f>
        <v>3</v>
      </c>
      <c r="V948" t="str">
        <f>TEXT(Table1_1[[#This Row],[order_date]],"mmm")</f>
        <v>Mar</v>
      </c>
      <c r="W948" t="str">
        <f>"Q"&amp;ROUNDUP(MONTH(Table1_1[[#This Row],[order_date]])/3,0)</f>
        <v>Q1</v>
      </c>
      <c r="X948" t="str">
        <f>TEXT(Table1_1[[#This Row],[order_date]],"yyyy-mm")</f>
        <v>2025-03</v>
      </c>
      <c r="Y948">
        <f>IF(Table1_1[[#This Row],[ship_date]]="","",Table1_1[[#This Row],[ship_date]]-Table1_1[[#This Row],[order_date]])</f>
        <v>4</v>
      </c>
      <c r="Z948">
        <f>ROUND(Table1_1[[#This Row],[profit]]/Table1_1[[#This Row],[sales_fix]]*100,2)</f>
        <v>18.34</v>
      </c>
    </row>
    <row r="949" spans="1:26" x14ac:dyDescent="0.3">
      <c r="A949" t="s">
        <v>1678</v>
      </c>
      <c r="B949" s="1">
        <v>45792</v>
      </c>
      <c r="C949" s="1">
        <v>45795</v>
      </c>
      <c r="D949" t="s">
        <v>395</v>
      </c>
      <c r="E949" t="s">
        <v>396</v>
      </c>
      <c r="F949" t="s">
        <v>55</v>
      </c>
      <c r="G949" t="s">
        <v>44</v>
      </c>
      <c r="H949" t="s">
        <v>161</v>
      </c>
      <c r="I949" t="s">
        <v>134</v>
      </c>
      <c r="J949" t="s">
        <v>135</v>
      </c>
      <c r="K949" t="s">
        <v>27</v>
      </c>
      <c r="L949">
        <v>2</v>
      </c>
      <c r="M949">
        <v>6000</v>
      </c>
      <c r="N949">
        <v>20</v>
      </c>
      <c r="O949">
        <v>9600</v>
      </c>
      <c r="P949">
        <v>2241.09</v>
      </c>
      <c r="Q949" t="s">
        <v>74</v>
      </c>
      <c r="R949" t="s">
        <v>49</v>
      </c>
      <c r="S949" t="s">
        <v>40</v>
      </c>
      <c r="T949">
        <f>YEAR(Table1_1[[#This Row],[order_date]])</f>
        <v>2025</v>
      </c>
      <c r="U949">
        <f>MONTH(Table1_1[[#This Row],[order_date]])</f>
        <v>5</v>
      </c>
      <c r="V949" t="str">
        <f>TEXT(Table1_1[[#This Row],[order_date]],"mmm")</f>
        <v>May</v>
      </c>
      <c r="W949" t="str">
        <f>"Q"&amp;ROUNDUP(MONTH(Table1_1[[#This Row],[order_date]])/3,0)</f>
        <v>Q2</v>
      </c>
      <c r="X949" t="str">
        <f>TEXT(Table1_1[[#This Row],[order_date]],"yyyy-mm")</f>
        <v>2025-05</v>
      </c>
      <c r="Y949">
        <f>IF(Table1_1[[#This Row],[ship_date]]="","",Table1_1[[#This Row],[ship_date]]-Table1_1[[#This Row],[order_date]])</f>
        <v>3</v>
      </c>
      <c r="Z949">
        <f>ROUND(Table1_1[[#This Row],[profit]]/Table1_1[[#This Row],[sales_fix]]*100,2)</f>
        <v>23.34</v>
      </c>
    </row>
    <row r="950" spans="1:26" x14ac:dyDescent="0.3">
      <c r="A950" t="s">
        <v>2865</v>
      </c>
      <c r="B950" s="1">
        <v>45404</v>
      </c>
      <c r="C950" s="1">
        <v>45407</v>
      </c>
      <c r="D950" t="s">
        <v>1293</v>
      </c>
      <c r="E950" t="s">
        <v>1294</v>
      </c>
      <c r="F950" t="s">
        <v>34</v>
      </c>
      <c r="G950" t="s">
        <v>61</v>
      </c>
      <c r="H950" t="s">
        <v>211</v>
      </c>
      <c r="I950" t="s">
        <v>79</v>
      </c>
      <c r="J950" t="s">
        <v>80</v>
      </c>
      <c r="K950" t="s">
        <v>65</v>
      </c>
      <c r="L950">
        <v>5</v>
      </c>
      <c r="M950">
        <v>3000</v>
      </c>
      <c r="N950">
        <v>20</v>
      </c>
      <c r="O950">
        <v>12000</v>
      </c>
      <c r="P950">
        <v>2550.46</v>
      </c>
      <c r="Q950" t="s">
        <v>74</v>
      </c>
      <c r="R950" t="s">
        <v>56</v>
      </c>
      <c r="S950" t="s">
        <v>86</v>
      </c>
      <c r="T950">
        <f>YEAR(Table1_1[[#This Row],[order_date]])</f>
        <v>2024</v>
      </c>
      <c r="U950">
        <f>MONTH(Table1_1[[#This Row],[order_date]])</f>
        <v>4</v>
      </c>
      <c r="V950" t="str">
        <f>TEXT(Table1_1[[#This Row],[order_date]],"mmm")</f>
        <v>Apr</v>
      </c>
      <c r="W950" t="str">
        <f>"Q"&amp;ROUNDUP(MONTH(Table1_1[[#This Row],[order_date]])/3,0)</f>
        <v>Q2</v>
      </c>
      <c r="X950" t="str">
        <f>TEXT(Table1_1[[#This Row],[order_date]],"yyyy-mm")</f>
        <v>2024-04</v>
      </c>
      <c r="Y950">
        <f>IF(Table1_1[[#This Row],[ship_date]]="","",Table1_1[[#This Row],[ship_date]]-Table1_1[[#This Row],[order_date]])</f>
        <v>3</v>
      </c>
      <c r="Z950">
        <f>ROUND(Table1_1[[#This Row],[profit]]/Table1_1[[#This Row],[sales_fix]]*100,2)</f>
        <v>21.25</v>
      </c>
    </row>
    <row r="951" spans="1:26" x14ac:dyDescent="0.3">
      <c r="A951" t="s">
        <v>2970</v>
      </c>
      <c r="B951" s="1">
        <v>45986</v>
      </c>
      <c r="C951" s="1">
        <v>45993</v>
      </c>
      <c r="D951" t="s">
        <v>233</v>
      </c>
      <c r="E951" t="s">
        <v>234</v>
      </c>
      <c r="F951" t="s">
        <v>23</v>
      </c>
      <c r="G951" t="s">
        <v>61</v>
      </c>
      <c r="H951" t="s">
        <v>211</v>
      </c>
      <c r="I951" t="s">
        <v>114</v>
      </c>
      <c r="J951" t="s">
        <v>115</v>
      </c>
      <c r="K951" t="s">
        <v>65</v>
      </c>
      <c r="L951">
        <v>2</v>
      </c>
      <c r="M951">
        <v>55000</v>
      </c>
      <c r="N951">
        <v>10</v>
      </c>
      <c r="O951">
        <v>99000</v>
      </c>
      <c r="P951">
        <v>17730.41</v>
      </c>
      <c r="Q951" t="s">
        <v>28</v>
      </c>
      <c r="R951" t="s">
        <v>49</v>
      </c>
      <c r="S951" t="s">
        <v>110</v>
      </c>
      <c r="T951">
        <f>YEAR(Table1_1[[#This Row],[order_date]])</f>
        <v>2025</v>
      </c>
      <c r="U951">
        <f>MONTH(Table1_1[[#This Row],[order_date]])</f>
        <v>11</v>
      </c>
      <c r="V951" t="str">
        <f>TEXT(Table1_1[[#This Row],[order_date]],"mmm")</f>
        <v>Nov</v>
      </c>
      <c r="W951" t="str">
        <f>"Q"&amp;ROUNDUP(MONTH(Table1_1[[#This Row],[order_date]])/3,0)</f>
        <v>Q4</v>
      </c>
      <c r="X951" t="str">
        <f>TEXT(Table1_1[[#This Row],[order_date]],"yyyy-mm")</f>
        <v>2025-11</v>
      </c>
      <c r="Y951">
        <f>IF(Table1_1[[#This Row],[ship_date]]="","",Table1_1[[#This Row],[ship_date]]-Table1_1[[#This Row],[order_date]])</f>
        <v>7</v>
      </c>
      <c r="Z951">
        <f>ROUND(Table1_1[[#This Row],[profit]]/Table1_1[[#This Row],[sales_fix]]*100,2)</f>
        <v>17.91</v>
      </c>
    </row>
    <row r="952" spans="1:26" x14ac:dyDescent="0.3">
      <c r="A952" t="s">
        <v>2569</v>
      </c>
      <c r="B952" s="1">
        <v>45731</v>
      </c>
      <c r="C952" s="1">
        <v>45734</v>
      </c>
      <c r="D952" t="s">
        <v>660</v>
      </c>
      <c r="E952" t="s">
        <v>661</v>
      </c>
      <c r="F952" t="s">
        <v>23</v>
      </c>
      <c r="G952" t="s">
        <v>44</v>
      </c>
      <c r="H952" t="s">
        <v>330</v>
      </c>
      <c r="I952" t="s">
        <v>63</v>
      </c>
      <c r="J952" t="s">
        <v>64</v>
      </c>
      <c r="K952" t="s">
        <v>65</v>
      </c>
      <c r="L952">
        <v>1</v>
      </c>
      <c r="M952">
        <v>25000</v>
      </c>
      <c r="N952">
        <v>0</v>
      </c>
      <c r="O952">
        <v>25000</v>
      </c>
      <c r="P952">
        <v>3718.87</v>
      </c>
      <c r="Q952" t="s">
        <v>121</v>
      </c>
      <c r="R952" t="s">
        <v>49</v>
      </c>
      <c r="S952" t="s">
        <v>86</v>
      </c>
      <c r="T952">
        <f>YEAR(Table1_1[[#This Row],[order_date]])</f>
        <v>2025</v>
      </c>
      <c r="U952">
        <f>MONTH(Table1_1[[#This Row],[order_date]])</f>
        <v>3</v>
      </c>
      <c r="V952" t="str">
        <f>TEXT(Table1_1[[#This Row],[order_date]],"mmm")</f>
        <v>Mar</v>
      </c>
      <c r="W952" t="str">
        <f>"Q"&amp;ROUNDUP(MONTH(Table1_1[[#This Row],[order_date]])/3,0)</f>
        <v>Q1</v>
      </c>
      <c r="X952" t="str">
        <f>TEXT(Table1_1[[#This Row],[order_date]],"yyyy-mm")</f>
        <v>2025-03</v>
      </c>
      <c r="Y952">
        <f>IF(Table1_1[[#This Row],[ship_date]]="","",Table1_1[[#This Row],[ship_date]]-Table1_1[[#This Row],[order_date]])</f>
        <v>3</v>
      </c>
      <c r="Z952">
        <f>ROUND(Table1_1[[#This Row],[profit]]/Table1_1[[#This Row],[sales_fix]]*100,2)</f>
        <v>14.88</v>
      </c>
    </row>
    <row r="953" spans="1:26" x14ac:dyDescent="0.3">
      <c r="A953" t="s">
        <v>462</v>
      </c>
      <c r="B953" s="1">
        <v>45545</v>
      </c>
      <c r="C953" s="1">
        <v>45547</v>
      </c>
      <c r="D953" t="s">
        <v>463</v>
      </c>
      <c r="E953" t="s">
        <v>464</v>
      </c>
      <c r="F953" t="s">
        <v>34</v>
      </c>
      <c r="G953" t="s">
        <v>35</v>
      </c>
      <c r="H953" t="s">
        <v>85</v>
      </c>
      <c r="I953" t="s">
        <v>71</v>
      </c>
      <c r="J953" t="s">
        <v>72</v>
      </c>
      <c r="K953" t="s">
        <v>73</v>
      </c>
      <c r="L953">
        <v>3</v>
      </c>
      <c r="M953">
        <v>3500</v>
      </c>
      <c r="N953">
        <v>5</v>
      </c>
      <c r="O953">
        <v>9975</v>
      </c>
      <c r="P953">
        <v>2487.73</v>
      </c>
      <c r="Q953" t="s">
        <v>156</v>
      </c>
      <c r="R953" t="s">
        <v>56</v>
      </c>
      <c r="S953" t="s">
        <v>40</v>
      </c>
      <c r="T953">
        <f>YEAR(Table1_1[[#This Row],[order_date]])</f>
        <v>2024</v>
      </c>
      <c r="U953">
        <f>MONTH(Table1_1[[#This Row],[order_date]])</f>
        <v>9</v>
      </c>
      <c r="V953" t="str">
        <f>TEXT(Table1_1[[#This Row],[order_date]],"mmm")</f>
        <v>Sep</v>
      </c>
      <c r="W953" t="str">
        <f>"Q"&amp;ROUNDUP(MONTH(Table1_1[[#This Row],[order_date]])/3,0)</f>
        <v>Q3</v>
      </c>
      <c r="X953" t="str">
        <f>TEXT(Table1_1[[#This Row],[order_date]],"yyyy-mm")</f>
        <v>2024-09</v>
      </c>
      <c r="Y953">
        <f>IF(Table1_1[[#This Row],[ship_date]]="","",Table1_1[[#This Row],[ship_date]]-Table1_1[[#This Row],[order_date]])</f>
        <v>2</v>
      </c>
      <c r="Z953">
        <f>ROUND(Table1_1[[#This Row],[profit]]/Table1_1[[#This Row],[sales_fix]]*100,2)</f>
        <v>24.94</v>
      </c>
    </row>
    <row r="954" spans="1:26" x14ac:dyDescent="0.3">
      <c r="A954" t="s">
        <v>2953</v>
      </c>
      <c r="B954" s="1">
        <v>45897</v>
      </c>
      <c r="C954" s="1">
        <v>45900</v>
      </c>
      <c r="D954" t="s">
        <v>570</v>
      </c>
      <c r="E954" t="s">
        <v>571</v>
      </c>
      <c r="F954" t="s">
        <v>34</v>
      </c>
      <c r="G954" t="s">
        <v>44</v>
      </c>
      <c r="H954" t="s">
        <v>161</v>
      </c>
      <c r="I954" t="s">
        <v>103</v>
      </c>
      <c r="J954" t="s">
        <v>104</v>
      </c>
      <c r="K954" t="s">
        <v>65</v>
      </c>
      <c r="L954">
        <v>2</v>
      </c>
      <c r="M954">
        <v>8000</v>
      </c>
      <c r="N954">
        <v>0</v>
      </c>
      <c r="O954">
        <v>16000</v>
      </c>
      <c r="P954">
        <v>3167.01</v>
      </c>
      <c r="Q954" t="s">
        <v>28</v>
      </c>
      <c r="R954" t="s">
        <v>29</v>
      </c>
      <c r="S954" t="s">
        <v>110</v>
      </c>
      <c r="T954">
        <f>YEAR(Table1_1[[#This Row],[order_date]])</f>
        <v>2025</v>
      </c>
      <c r="U954">
        <f>MONTH(Table1_1[[#This Row],[order_date]])</f>
        <v>8</v>
      </c>
      <c r="V954" t="str">
        <f>TEXT(Table1_1[[#This Row],[order_date]],"mmm")</f>
        <v>Aug</v>
      </c>
      <c r="W954" t="str">
        <f>"Q"&amp;ROUNDUP(MONTH(Table1_1[[#This Row],[order_date]])/3,0)</f>
        <v>Q3</v>
      </c>
      <c r="X954" t="str">
        <f>TEXT(Table1_1[[#This Row],[order_date]],"yyyy-mm")</f>
        <v>2025-08</v>
      </c>
      <c r="Y954">
        <f>IF(Table1_1[[#This Row],[ship_date]]="","",Table1_1[[#This Row],[ship_date]]-Table1_1[[#This Row],[order_date]])</f>
        <v>3</v>
      </c>
      <c r="Z954">
        <f>ROUND(Table1_1[[#This Row],[profit]]/Table1_1[[#This Row],[sales_fix]]*100,2)</f>
        <v>19.79</v>
      </c>
    </row>
    <row r="955" spans="1:26" x14ac:dyDescent="0.3">
      <c r="A955" t="s">
        <v>651</v>
      </c>
      <c r="B955" s="1">
        <v>45728</v>
      </c>
      <c r="C955" s="1">
        <v>45729</v>
      </c>
      <c r="D955" t="s">
        <v>206</v>
      </c>
      <c r="E955" t="s">
        <v>207</v>
      </c>
      <c r="F955" t="s">
        <v>55</v>
      </c>
      <c r="G955" t="s">
        <v>44</v>
      </c>
      <c r="H955" t="s">
        <v>24</v>
      </c>
      <c r="I955" t="s">
        <v>79</v>
      </c>
      <c r="J955" t="s">
        <v>80</v>
      </c>
      <c r="K955" t="s">
        <v>65</v>
      </c>
      <c r="L955">
        <v>1</v>
      </c>
      <c r="M955">
        <v>3000</v>
      </c>
      <c r="N955">
        <v>0</v>
      </c>
      <c r="O955">
        <v>3000</v>
      </c>
      <c r="P955">
        <v>662.74</v>
      </c>
      <c r="Q955" t="s">
        <v>28</v>
      </c>
      <c r="R955" t="s">
        <v>49</v>
      </c>
      <c r="S955" t="s">
        <v>40</v>
      </c>
      <c r="T955">
        <f>YEAR(Table1_1[[#This Row],[order_date]])</f>
        <v>2025</v>
      </c>
      <c r="U955">
        <f>MONTH(Table1_1[[#This Row],[order_date]])</f>
        <v>3</v>
      </c>
      <c r="V955" t="str">
        <f>TEXT(Table1_1[[#This Row],[order_date]],"mmm")</f>
        <v>Mar</v>
      </c>
      <c r="W955" t="str">
        <f>"Q"&amp;ROUNDUP(MONTH(Table1_1[[#This Row],[order_date]])/3,0)</f>
        <v>Q1</v>
      </c>
      <c r="X955" t="str">
        <f>TEXT(Table1_1[[#This Row],[order_date]],"yyyy-mm")</f>
        <v>2025-03</v>
      </c>
      <c r="Y955">
        <f>IF(Table1_1[[#This Row],[ship_date]]="","",Table1_1[[#This Row],[ship_date]]-Table1_1[[#This Row],[order_date]])</f>
        <v>1</v>
      </c>
      <c r="Z955">
        <f>ROUND(Table1_1[[#This Row],[profit]]/Table1_1[[#This Row],[sales_fix]]*100,2)</f>
        <v>22.09</v>
      </c>
    </row>
    <row r="956" spans="1:26" x14ac:dyDescent="0.3">
      <c r="A956" t="s">
        <v>2136</v>
      </c>
      <c r="B956" s="1">
        <v>45940</v>
      </c>
      <c r="C956" s="1">
        <v>45947</v>
      </c>
      <c r="D956" t="s">
        <v>1218</v>
      </c>
      <c r="E956" t="s">
        <v>1219</v>
      </c>
      <c r="F956" t="s">
        <v>34</v>
      </c>
      <c r="G956" t="s">
        <v>61</v>
      </c>
      <c r="H956" t="s">
        <v>62</v>
      </c>
      <c r="I956" t="s">
        <v>71</v>
      </c>
      <c r="J956" t="s">
        <v>72</v>
      </c>
      <c r="K956" t="s">
        <v>73</v>
      </c>
      <c r="L956">
        <v>1</v>
      </c>
      <c r="M956">
        <v>3500</v>
      </c>
      <c r="N956">
        <v>5</v>
      </c>
      <c r="O956">
        <v>3325</v>
      </c>
      <c r="P956">
        <v>948.75</v>
      </c>
      <c r="Q956" t="s">
        <v>156</v>
      </c>
      <c r="R956" t="s">
        <v>29</v>
      </c>
      <c r="S956" t="s">
        <v>110</v>
      </c>
      <c r="T956">
        <f>YEAR(Table1_1[[#This Row],[order_date]])</f>
        <v>2025</v>
      </c>
      <c r="U956">
        <f>MONTH(Table1_1[[#This Row],[order_date]])</f>
        <v>10</v>
      </c>
      <c r="V956" t="str">
        <f>TEXT(Table1_1[[#This Row],[order_date]],"mmm")</f>
        <v>Oct</v>
      </c>
      <c r="W956" t="str">
        <f>"Q"&amp;ROUNDUP(MONTH(Table1_1[[#This Row],[order_date]])/3,0)</f>
        <v>Q4</v>
      </c>
      <c r="X956" t="str">
        <f>TEXT(Table1_1[[#This Row],[order_date]],"yyyy-mm")</f>
        <v>2025-10</v>
      </c>
      <c r="Y956">
        <f>IF(Table1_1[[#This Row],[ship_date]]="","",Table1_1[[#This Row],[ship_date]]-Table1_1[[#This Row],[order_date]])</f>
        <v>7</v>
      </c>
      <c r="Z956">
        <f>ROUND(Table1_1[[#This Row],[profit]]/Table1_1[[#This Row],[sales_fix]]*100,2)</f>
        <v>28.53</v>
      </c>
    </row>
    <row r="957" spans="1:26" x14ac:dyDescent="0.3">
      <c r="A957" t="s">
        <v>2345</v>
      </c>
      <c r="B957" s="1">
        <v>45664</v>
      </c>
      <c r="C957" s="1">
        <v>45668</v>
      </c>
      <c r="D957" t="s">
        <v>1540</v>
      </c>
      <c r="E957" t="s">
        <v>1541</v>
      </c>
      <c r="F957" t="s">
        <v>23</v>
      </c>
      <c r="G957" t="s">
        <v>61</v>
      </c>
      <c r="H957" t="s">
        <v>78</v>
      </c>
      <c r="I957" t="s">
        <v>25</v>
      </c>
      <c r="J957" t="s">
        <v>26</v>
      </c>
      <c r="K957" t="s">
        <v>27</v>
      </c>
      <c r="L957">
        <v>1</v>
      </c>
      <c r="M957">
        <v>7000</v>
      </c>
      <c r="N957">
        <v>0</v>
      </c>
      <c r="O957">
        <v>7000</v>
      </c>
      <c r="P957">
        <v>1516.34</v>
      </c>
      <c r="Q957" t="s">
        <v>74</v>
      </c>
      <c r="R957" t="s">
        <v>29</v>
      </c>
      <c r="S957" t="s">
        <v>50</v>
      </c>
      <c r="T957">
        <f>YEAR(Table1_1[[#This Row],[order_date]])</f>
        <v>2025</v>
      </c>
      <c r="U957">
        <f>MONTH(Table1_1[[#This Row],[order_date]])</f>
        <v>1</v>
      </c>
      <c r="V957" t="str">
        <f>TEXT(Table1_1[[#This Row],[order_date]],"mmm")</f>
        <v>Jan</v>
      </c>
      <c r="W957" t="str">
        <f>"Q"&amp;ROUNDUP(MONTH(Table1_1[[#This Row],[order_date]])/3,0)</f>
        <v>Q1</v>
      </c>
      <c r="X957" t="str">
        <f>TEXT(Table1_1[[#This Row],[order_date]],"yyyy-mm")</f>
        <v>2025-01</v>
      </c>
      <c r="Y957">
        <f>IF(Table1_1[[#This Row],[ship_date]]="","",Table1_1[[#This Row],[ship_date]]-Table1_1[[#This Row],[order_date]])</f>
        <v>4</v>
      </c>
      <c r="Z957">
        <f>ROUND(Table1_1[[#This Row],[profit]]/Table1_1[[#This Row],[sales_fix]]*100,2)</f>
        <v>21.66</v>
      </c>
    </row>
    <row r="958" spans="1:26" x14ac:dyDescent="0.3">
      <c r="A958" t="s">
        <v>824</v>
      </c>
      <c r="B958" s="1">
        <v>45345</v>
      </c>
      <c r="C958" s="1">
        <v>45353</v>
      </c>
      <c r="D958" t="s">
        <v>352</v>
      </c>
      <c r="E958" t="s">
        <v>353</v>
      </c>
      <c r="F958" t="s">
        <v>55</v>
      </c>
      <c r="G958" t="s">
        <v>35</v>
      </c>
      <c r="H958" t="s">
        <v>36</v>
      </c>
      <c r="I958" t="s">
        <v>114</v>
      </c>
      <c r="J958" t="s">
        <v>115</v>
      </c>
      <c r="K958" t="s">
        <v>65</v>
      </c>
      <c r="L958">
        <v>3</v>
      </c>
      <c r="M958">
        <v>55000</v>
      </c>
      <c r="N958">
        <v>0</v>
      </c>
      <c r="O958">
        <v>165000</v>
      </c>
      <c r="P958">
        <v>23308.29</v>
      </c>
      <c r="Q958" t="s">
        <v>3113</v>
      </c>
      <c r="R958" t="s">
        <v>56</v>
      </c>
      <c r="S958" t="s">
        <v>86</v>
      </c>
      <c r="T958">
        <f>YEAR(Table1_1[[#This Row],[order_date]])</f>
        <v>2024</v>
      </c>
      <c r="U958">
        <f>MONTH(Table1_1[[#This Row],[order_date]])</f>
        <v>2</v>
      </c>
      <c r="V958" t="str">
        <f>TEXT(Table1_1[[#This Row],[order_date]],"mmm")</f>
        <v>Feb</v>
      </c>
      <c r="W958" t="str">
        <f>"Q"&amp;ROUNDUP(MONTH(Table1_1[[#This Row],[order_date]])/3,0)</f>
        <v>Q1</v>
      </c>
      <c r="X958" t="str">
        <f>TEXT(Table1_1[[#This Row],[order_date]],"yyyy-mm")</f>
        <v>2024-02</v>
      </c>
      <c r="Y958">
        <f>IF(Table1_1[[#This Row],[ship_date]]="","",Table1_1[[#This Row],[ship_date]]-Table1_1[[#This Row],[order_date]])</f>
        <v>8</v>
      </c>
      <c r="Z958">
        <f>ROUND(Table1_1[[#This Row],[profit]]/Table1_1[[#This Row],[sales_fix]]*100,2)</f>
        <v>14.13</v>
      </c>
    </row>
    <row r="959" spans="1:26" x14ac:dyDescent="0.3">
      <c r="A959" t="s">
        <v>2617</v>
      </c>
      <c r="B959" s="1">
        <v>45550</v>
      </c>
      <c r="C959" s="1">
        <v>45552</v>
      </c>
      <c r="D959" t="s">
        <v>575</v>
      </c>
      <c r="E959" t="s">
        <v>836</v>
      </c>
      <c r="F959" t="s">
        <v>34</v>
      </c>
      <c r="G959" t="s">
        <v>91</v>
      </c>
      <c r="H959" t="s">
        <v>120</v>
      </c>
      <c r="I959" t="s">
        <v>79</v>
      </c>
      <c r="J959" t="s">
        <v>80</v>
      </c>
      <c r="K959" t="s">
        <v>65</v>
      </c>
      <c r="L959">
        <v>5</v>
      </c>
      <c r="M959">
        <v>3000</v>
      </c>
      <c r="N959">
        <v>0</v>
      </c>
      <c r="O959">
        <v>15000</v>
      </c>
      <c r="P959">
        <v>3751.71</v>
      </c>
      <c r="Q959" t="s">
        <v>66</v>
      </c>
      <c r="R959" t="s">
        <v>56</v>
      </c>
      <c r="S959" t="s">
        <v>86</v>
      </c>
      <c r="T959">
        <f>YEAR(Table1_1[[#This Row],[order_date]])</f>
        <v>2024</v>
      </c>
      <c r="U959">
        <f>MONTH(Table1_1[[#This Row],[order_date]])</f>
        <v>9</v>
      </c>
      <c r="V959" t="str">
        <f>TEXT(Table1_1[[#This Row],[order_date]],"mmm")</f>
        <v>Sep</v>
      </c>
      <c r="W959" t="str">
        <f>"Q"&amp;ROUNDUP(MONTH(Table1_1[[#This Row],[order_date]])/3,0)</f>
        <v>Q3</v>
      </c>
      <c r="X959" t="str">
        <f>TEXT(Table1_1[[#This Row],[order_date]],"yyyy-mm")</f>
        <v>2024-09</v>
      </c>
      <c r="Y959">
        <f>IF(Table1_1[[#This Row],[ship_date]]="","",Table1_1[[#This Row],[ship_date]]-Table1_1[[#This Row],[order_date]])</f>
        <v>2</v>
      </c>
      <c r="Z959">
        <f>ROUND(Table1_1[[#This Row],[profit]]/Table1_1[[#This Row],[sales_fix]]*100,2)</f>
        <v>25.01</v>
      </c>
    </row>
    <row r="960" spans="1:26" x14ac:dyDescent="0.3">
      <c r="A960" t="s">
        <v>1661</v>
      </c>
      <c r="B960" s="1">
        <v>45631</v>
      </c>
      <c r="C960" s="1">
        <v>45637</v>
      </c>
      <c r="D960" t="s">
        <v>291</v>
      </c>
      <c r="E960" t="s">
        <v>292</v>
      </c>
      <c r="F960" t="s">
        <v>55</v>
      </c>
      <c r="G960" t="s">
        <v>35</v>
      </c>
      <c r="H960" t="s">
        <v>187</v>
      </c>
      <c r="I960" t="s">
        <v>79</v>
      </c>
      <c r="J960" t="s">
        <v>80</v>
      </c>
      <c r="K960" t="s">
        <v>65</v>
      </c>
      <c r="L960">
        <v>4</v>
      </c>
      <c r="M960">
        <v>3000</v>
      </c>
      <c r="N960">
        <v>15</v>
      </c>
      <c r="O960">
        <v>10200</v>
      </c>
      <c r="P960">
        <v>3095.26</v>
      </c>
      <c r="Q960" t="s">
        <v>121</v>
      </c>
      <c r="R960" t="s">
        <v>56</v>
      </c>
      <c r="S960" t="s">
        <v>110</v>
      </c>
      <c r="T960">
        <f>YEAR(Table1_1[[#This Row],[order_date]])</f>
        <v>2024</v>
      </c>
      <c r="U960">
        <f>MONTH(Table1_1[[#This Row],[order_date]])</f>
        <v>12</v>
      </c>
      <c r="V960" t="str">
        <f>TEXT(Table1_1[[#This Row],[order_date]],"mmm")</f>
        <v>Dec</v>
      </c>
      <c r="W960" t="str">
        <f>"Q"&amp;ROUNDUP(MONTH(Table1_1[[#This Row],[order_date]])/3,0)</f>
        <v>Q4</v>
      </c>
      <c r="X960" t="str">
        <f>TEXT(Table1_1[[#This Row],[order_date]],"yyyy-mm")</f>
        <v>2024-12</v>
      </c>
      <c r="Y960">
        <f>IF(Table1_1[[#This Row],[ship_date]]="","",Table1_1[[#This Row],[ship_date]]-Table1_1[[#This Row],[order_date]])</f>
        <v>6</v>
      </c>
      <c r="Z960">
        <f>ROUND(Table1_1[[#This Row],[profit]]/Table1_1[[#This Row],[sales_fix]]*100,2)</f>
        <v>30.35</v>
      </c>
    </row>
    <row r="961" spans="1:26" x14ac:dyDescent="0.3">
      <c r="A961" t="s">
        <v>1937</v>
      </c>
      <c r="B961" s="1">
        <v>45685</v>
      </c>
      <c r="C961" s="1">
        <v>45687</v>
      </c>
      <c r="D961" t="s">
        <v>643</v>
      </c>
      <c r="E961" t="s">
        <v>644</v>
      </c>
      <c r="F961" t="s">
        <v>34</v>
      </c>
      <c r="G961" t="s">
        <v>61</v>
      </c>
      <c r="H961" t="s">
        <v>78</v>
      </c>
      <c r="I961" t="s">
        <v>93</v>
      </c>
      <c r="J961" t="s">
        <v>94</v>
      </c>
      <c r="K961" t="s">
        <v>95</v>
      </c>
      <c r="L961">
        <v>1</v>
      </c>
      <c r="M961">
        <v>1800</v>
      </c>
      <c r="N961">
        <v>0</v>
      </c>
      <c r="O961">
        <v>1800</v>
      </c>
      <c r="P961">
        <v>473.88</v>
      </c>
      <c r="Q961" t="s">
        <v>66</v>
      </c>
      <c r="R961" t="s">
        <v>56</v>
      </c>
      <c r="S961" t="s">
        <v>50</v>
      </c>
      <c r="T961">
        <f>YEAR(Table1_1[[#This Row],[order_date]])</f>
        <v>2025</v>
      </c>
      <c r="U961">
        <f>MONTH(Table1_1[[#This Row],[order_date]])</f>
        <v>1</v>
      </c>
      <c r="V961" t="str">
        <f>TEXT(Table1_1[[#This Row],[order_date]],"mmm")</f>
        <v>Jan</v>
      </c>
      <c r="W961" t="str">
        <f>"Q"&amp;ROUNDUP(MONTH(Table1_1[[#This Row],[order_date]])/3,0)</f>
        <v>Q1</v>
      </c>
      <c r="X961" t="str">
        <f>TEXT(Table1_1[[#This Row],[order_date]],"yyyy-mm")</f>
        <v>2025-01</v>
      </c>
      <c r="Y961">
        <f>IF(Table1_1[[#This Row],[ship_date]]="","",Table1_1[[#This Row],[ship_date]]-Table1_1[[#This Row],[order_date]])</f>
        <v>2</v>
      </c>
      <c r="Z961">
        <f>ROUND(Table1_1[[#This Row],[profit]]/Table1_1[[#This Row],[sales_fix]]*100,2)</f>
        <v>26.33</v>
      </c>
    </row>
    <row r="962" spans="1:26" x14ac:dyDescent="0.3">
      <c r="A962" t="s">
        <v>1809</v>
      </c>
      <c r="B962" s="1">
        <v>45748</v>
      </c>
      <c r="C962" s="1">
        <v>45754</v>
      </c>
      <c r="D962" t="s">
        <v>206</v>
      </c>
      <c r="E962" t="s">
        <v>207</v>
      </c>
      <c r="F962" t="s">
        <v>55</v>
      </c>
      <c r="G962" t="s">
        <v>44</v>
      </c>
      <c r="H962" t="s">
        <v>24</v>
      </c>
      <c r="I962" t="s">
        <v>71</v>
      </c>
      <c r="J962" t="s">
        <v>72</v>
      </c>
      <c r="K962" t="s">
        <v>73</v>
      </c>
      <c r="L962">
        <v>5</v>
      </c>
      <c r="M962">
        <v>3500</v>
      </c>
      <c r="N962">
        <v>0</v>
      </c>
      <c r="O962">
        <v>17500</v>
      </c>
      <c r="P962">
        <v>5600</v>
      </c>
      <c r="Q962" t="s">
        <v>74</v>
      </c>
      <c r="R962" t="s">
        <v>56</v>
      </c>
      <c r="S962" t="s">
        <v>30</v>
      </c>
      <c r="T962">
        <f>YEAR(Table1_1[[#This Row],[order_date]])</f>
        <v>2025</v>
      </c>
      <c r="U962">
        <f>MONTH(Table1_1[[#This Row],[order_date]])</f>
        <v>4</v>
      </c>
      <c r="V962" t="str">
        <f>TEXT(Table1_1[[#This Row],[order_date]],"mmm")</f>
        <v>Apr</v>
      </c>
      <c r="W962" t="str">
        <f>"Q"&amp;ROUNDUP(MONTH(Table1_1[[#This Row],[order_date]])/3,0)</f>
        <v>Q2</v>
      </c>
      <c r="X962" t="str">
        <f>TEXT(Table1_1[[#This Row],[order_date]],"yyyy-mm")</f>
        <v>2025-04</v>
      </c>
      <c r="Y962">
        <f>IF(Table1_1[[#This Row],[ship_date]]="","",Table1_1[[#This Row],[ship_date]]-Table1_1[[#This Row],[order_date]])</f>
        <v>6</v>
      </c>
      <c r="Z962">
        <f>ROUND(Table1_1[[#This Row],[profit]]/Table1_1[[#This Row],[sales_fix]]*100,2)</f>
        <v>32</v>
      </c>
    </row>
    <row r="963" spans="1:26" x14ac:dyDescent="0.3">
      <c r="A963" t="s">
        <v>2779</v>
      </c>
      <c r="B963" s="1">
        <v>45449</v>
      </c>
      <c r="C963" s="1">
        <v>45454</v>
      </c>
      <c r="D963" t="s">
        <v>1100</v>
      </c>
      <c r="E963" t="s">
        <v>1101</v>
      </c>
      <c r="F963" t="s">
        <v>23</v>
      </c>
      <c r="G963" t="s">
        <v>44</v>
      </c>
      <c r="H963" t="s">
        <v>161</v>
      </c>
      <c r="I963" t="s">
        <v>46</v>
      </c>
      <c r="J963" t="s">
        <v>47</v>
      </c>
      <c r="K963" t="s">
        <v>48</v>
      </c>
      <c r="L963">
        <v>1</v>
      </c>
      <c r="M963">
        <v>180</v>
      </c>
      <c r="N963">
        <v>0</v>
      </c>
      <c r="O963">
        <v>180</v>
      </c>
      <c r="P963">
        <v>70.25</v>
      </c>
      <c r="Q963" t="s">
        <v>39</v>
      </c>
      <c r="R963" t="s">
        <v>49</v>
      </c>
      <c r="S963" t="s">
        <v>110</v>
      </c>
      <c r="T963">
        <f>YEAR(Table1_1[[#This Row],[order_date]])</f>
        <v>2024</v>
      </c>
      <c r="U963">
        <f>MONTH(Table1_1[[#This Row],[order_date]])</f>
        <v>6</v>
      </c>
      <c r="V963" t="str">
        <f>TEXT(Table1_1[[#This Row],[order_date]],"mmm")</f>
        <v>Jun</v>
      </c>
      <c r="W963" t="str">
        <f>"Q"&amp;ROUNDUP(MONTH(Table1_1[[#This Row],[order_date]])/3,0)</f>
        <v>Q2</v>
      </c>
      <c r="X963" t="str">
        <f>TEXT(Table1_1[[#This Row],[order_date]],"yyyy-mm")</f>
        <v>2024-06</v>
      </c>
      <c r="Y963">
        <f>IF(Table1_1[[#This Row],[ship_date]]="","",Table1_1[[#This Row],[ship_date]]-Table1_1[[#This Row],[order_date]])</f>
        <v>5</v>
      </c>
      <c r="Z963">
        <f>ROUND(Table1_1[[#This Row],[profit]]/Table1_1[[#This Row],[sales_fix]]*100,2)</f>
        <v>39.03</v>
      </c>
    </row>
    <row r="964" spans="1:26" x14ac:dyDescent="0.3">
      <c r="A964" t="s">
        <v>1165</v>
      </c>
      <c r="B964" s="1">
        <v>45412</v>
      </c>
      <c r="C964" s="1">
        <v>45413</v>
      </c>
      <c r="D964" t="s">
        <v>578</v>
      </c>
      <c r="E964" t="s">
        <v>579</v>
      </c>
      <c r="F964" t="s">
        <v>23</v>
      </c>
      <c r="G964" t="s">
        <v>91</v>
      </c>
      <c r="H964" t="s">
        <v>177</v>
      </c>
      <c r="I964" t="s">
        <v>126</v>
      </c>
      <c r="J964" t="s">
        <v>127</v>
      </c>
      <c r="K964" t="s">
        <v>95</v>
      </c>
      <c r="L964">
        <v>5</v>
      </c>
      <c r="M964">
        <v>600</v>
      </c>
      <c r="N964">
        <v>0</v>
      </c>
      <c r="O964">
        <v>3000</v>
      </c>
      <c r="P964">
        <v>1018.17</v>
      </c>
      <c r="Q964" t="s">
        <v>121</v>
      </c>
      <c r="R964" t="s">
        <v>56</v>
      </c>
      <c r="S964" t="s">
        <v>110</v>
      </c>
      <c r="T964">
        <f>YEAR(Table1_1[[#This Row],[order_date]])</f>
        <v>2024</v>
      </c>
      <c r="U964">
        <f>MONTH(Table1_1[[#This Row],[order_date]])</f>
        <v>4</v>
      </c>
      <c r="V964" t="str">
        <f>TEXT(Table1_1[[#This Row],[order_date]],"mmm")</f>
        <v>Apr</v>
      </c>
      <c r="W964" t="str">
        <f>"Q"&amp;ROUNDUP(MONTH(Table1_1[[#This Row],[order_date]])/3,0)</f>
        <v>Q2</v>
      </c>
      <c r="X964" t="str">
        <f>TEXT(Table1_1[[#This Row],[order_date]],"yyyy-mm")</f>
        <v>2024-04</v>
      </c>
      <c r="Y964">
        <f>IF(Table1_1[[#This Row],[ship_date]]="","",Table1_1[[#This Row],[ship_date]]-Table1_1[[#This Row],[order_date]])</f>
        <v>1</v>
      </c>
      <c r="Z964">
        <f>ROUND(Table1_1[[#This Row],[profit]]/Table1_1[[#This Row],[sales_fix]]*100,2)</f>
        <v>33.94</v>
      </c>
    </row>
    <row r="965" spans="1:26" x14ac:dyDescent="0.3">
      <c r="A965" t="s">
        <v>1448</v>
      </c>
      <c r="B965" s="1">
        <v>45338</v>
      </c>
      <c r="C965" s="1">
        <v>45342</v>
      </c>
      <c r="D965" t="s">
        <v>602</v>
      </c>
      <c r="E965" t="s">
        <v>603</v>
      </c>
      <c r="F965" t="s">
        <v>34</v>
      </c>
      <c r="G965" t="s">
        <v>61</v>
      </c>
      <c r="H965" t="s">
        <v>125</v>
      </c>
      <c r="I965" t="s">
        <v>25</v>
      </c>
      <c r="J965" t="s">
        <v>26</v>
      </c>
      <c r="K965" t="s">
        <v>27</v>
      </c>
      <c r="L965">
        <v>5</v>
      </c>
      <c r="M965">
        <v>7000</v>
      </c>
      <c r="N965">
        <v>0</v>
      </c>
      <c r="O965">
        <v>35000</v>
      </c>
      <c r="P965">
        <v>7836.72</v>
      </c>
      <c r="Q965" t="s">
        <v>156</v>
      </c>
      <c r="R965" t="s">
        <v>49</v>
      </c>
      <c r="S965" t="s">
        <v>30</v>
      </c>
      <c r="T965">
        <f>YEAR(Table1_1[[#This Row],[order_date]])</f>
        <v>2024</v>
      </c>
      <c r="U965">
        <f>MONTH(Table1_1[[#This Row],[order_date]])</f>
        <v>2</v>
      </c>
      <c r="V965" t="str">
        <f>TEXT(Table1_1[[#This Row],[order_date]],"mmm")</f>
        <v>Feb</v>
      </c>
      <c r="W965" t="str">
        <f>"Q"&amp;ROUNDUP(MONTH(Table1_1[[#This Row],[order_date]])/3,0)</f>
        <v>Q1</v>
      </c>
      <c r="X965" t="str">
        <f>TEXT(Table1_1[[#This Row],[order_date]],"yyyy-mm")</f>
        <v>2024-02</v>
      </c>
      <c r="Y965">
        <f>IF(Table1_1[[#This Row],[ship_date]]="","",Table1_1[[#This Row],[ship_date]]-Table1_1[[#This Row],[order_date]])</f>
        <v>4</v>
      </c>
      <c r="Z965">
        <f>ROUND(Table1_1[[#This Row],[profit]]/Table1_1[[#This Row],[sales_fix]]*100,2)</f>
        <v>22.39</v>
      </c>
    </row>
    <row r="966" spans="1:26" x14ac:dyDescent="0.3">
      <c r="A966" t="s">
        <v>2680</v>
      </c>
      <c r="B966" s="1">
        <v>45368</v>
      </c>
      <c r="C966" s="1">
        <v>45375</v>
      </c>
      <c r="D966" t="s">
        <v>241</v>
      </c>
      <c r="E966" t="s">
        <v>242</v>
      </c>
      <c r="F966" t="s">
        <v>55</v>
      </c>
      <c r="G966" t="s">
        <v>91</v>
      </c>
      <c r="H966" t="s">
        <v>120</v>
      </c>
      <c r="I966" t="s">
        <v>46</v>
      </c>
      <c r="J966" t="s">
        <v>47</v>
      </c>
      <c r="K966" t="s">
        <v>48</v>
      </c>
      <c r="L966">
        <v>1</v>
      </c>
      <c r="M966">
        <v>180</v>
      </c>
      <c r="N966">
        <v>20</v>
      </c>
      <c r="O966">
        <v>144</v>
      </c>
      <c r="P966">
        <v>58.56</v>
      </c>
      <c r="Q966" t="s">
        <v>28</v>
      </c>
      <c r="R966" t="s">
        <v>56</v>
      </c>
      <c r="S966" t="s">
        <v>110</v>
      </c>
      <c r="T966">
        <f>YEAR(Table1_1[[#This Row],[order_date]])</f>
        <v>2024</v>
      </c>
      <c r="U966">
        <f>MONTH(Table1_1[[#This Row],[order_date]])</f>
        <v>3</v>
      </c>
      <c r="V966" t="str">
        <f>TEXT(Table1_1[[#This Row],[order_date]],"mmm")</f>
        <v>Mar</v>
      </c>
      <c r="W966" t="str">
        <f>"Q"&amp;ROUNDUP(MONTH(Table1_1[[#This Row],[order_date]])/3,0)</f>
        <v>Q1</v>
      </c>
      <c r="X966" t="str">
        <f>TEXT(Table1_1[[#This Row],[order_date]],"yyyy-mm")</f>
        <v>2024-03</v>
      </c>
      <c r="Y966">
        <f>IF(Table1_1[[#This Row],[ship_date]]="","",Table1_1[[#This Row],[ship_date]]-Table1_1[[#This Row],[order_date]])</f>
        <v>7</v>
      </c>
      <c r="Z966">
        <f>ROUND(Table1_1[[#This Row],[profit]]/Table1_1[[#This Row],[sales_fix]]*100,2)</f>
        <v>40.67</v>
      </c>
    </row>
    <row r="967" spans="1:26" x14ac:dyDescent="0.3">
      <c r="A967" t="s">
        <v>2350</v>
      </c>
      <c r="B967" s="1">
        <v>45295</v>
      </c>
      <c r="C967" s="1">
        <v>45296</v>
      </c>
      <c r="D967" t="s">
        <v>882</v>
      </c>
      <c r="E967" t="s">
        <v>1545</v>
      </c>
      <c r="F967" t="s">
        <v>55</v>
      </c>
      <c r="G967" t="s">
        <v>44</v>
      </c>
      <c r="H967" t="s">
        <v>24</v>
      </c>
      <c r="I967" t="s">
        <v>79</v>
      </c>
      <c r="J967" t="s">
        <v>80</v>
      </c>
      <c r="K967" t="s">
        <v>65</v>
      </c>
      <c r="L967">
        <v>1</v>
      </c>
      <c r="M967">
        <v>3000</v>
      </c>
      <c r="N967">
        <v>0</v>
      </c>
      <c r="O967">
        <v>3000</v>
      </c>
      <c r="P967">
        <v>843.16</v>
      </c>
      <c r="Q967" t="s">
        <v>39</v>
      </c>
      <c r="R967" t="s">
        <v>49</v>
      </c>
      <c r="S967" t="s">
        <v>40</v>
      </c>
      <c r="T967">
        <f>YEAR(Table1_1[[#This Row],[order_date]])</f>
        <v>2024</v>
      </c>
      <c r="U967">
        <f>MONTH(Table1_1[[#This Row],[order_date]])</f>
        <v>1</v>
      </c>
      <c r="V967" t="str">
        <f>TEXT(Table1_1[[#This Row],[order_date]],"mmm")</f>
        <v>Jan</v>
      </c>
      <c r="W967" t="str">
        <f>"Q"&amp;ROUNDUP(MONTH(Table1_1[[#This Row],[order_date]])/3,0)</f>
        <v>Q1</v>
      </c>
      <c r="X967" t="str">
        <f>TEXT(Table1_1[[#This Row],[order_date]],"yyyy-mm")</f>
        <v>2024-01</v>
      </c>
      <c r="Y967">
        <f>IF(Table1_1[[#This Row],[ship_date]]="","",Table1_1[[#This Row],[ship_date]]-Table1_1[[#This Row],[order_date]])</f>
        <v>1</v>
      </c>
      <c r="Z967">
        <f>ROUND(Table1_1[[#This Row],[profit]]/Table1_1[[#This Row],[sales_fix]]*100,2)</f>
        <v>28.11</v>
      </c>
    </row>
    <row r="968" spans="1:26" x14ac:dyDescent="0.3">
      <c r="A968" t="s">
        <v>459</v>
      </c>
      <c r="B968" s="1">
        <v>45602</v>
      </c>
      <c r="C968" s="1">
        <v>45605</v>
      </c>
      <c r="D968" t="s">
        <v>460</v>
      </c>
      <c r="E968" t="s">
        <v>461</v>
      </c>
      <c r="F968" t="s">
        <v>34</v>
      </c>
      <c r="G968" t="s">
        <v>61</v>
      </c>
      <c r="H968" t="s">
        <v>62</v>
      </c>
      <c r="I968" t="s">
        <v>25</v>
      </c>
      <c r="J968" t="s">
        <v>26</v>
      </c>
      <c r="K968" t="s">
        <v>27</v>
      </c>
      <c r="L968">
        <v>1</v>
      </c>
      <c r="M968">
        <v>7000</v>
      </c>
      <c r="N968">
        <v>0</v>
      </c>
      <c r="O968">
        <v>7000</v>
      </c>
      <c r="P968">
        <v>1540</v>
      </c>
      <c r="Q968" t="s">
        <v>121</v>
      </c>
      <c r="R968" t="s">
        <v>29</v>
      </c>
      <c r="S968" t="s">
        <v>40</v>
      </c>
      <c r="T968">
        <f>YEAR(Table1_1[[#This Row],[order_date]])</f>
        <v>2024</v>
      </c>
      <c r="U968">
        <f>MONTH(Table1_1[[#This Row],[order_date]])</f>
        <v>11</v>
      </c>
      <c r="V968" t="str">
        <f>TEXT(Table1_1[[#This Row],[order_date]],"mmm")</f>
        <v>Nov</v>
      </c>
      <c r="W968" t="str">
        <f>"Q"&amp;ROUNDUP(MONTH(Table1_1[[#This Row],[order_date]])/3,0)</f>
        <v>Q4</v>
      </c>
      <c r="X968" t="str">
        <f>TEXT(Table1_1[[#This Row],[order_date]],"yyyy-mm")</f>
        <v>2024-11</v>
      </c>
      <c r="Y968">
        <f>IF(Table1_1[[#This Row],[ship_date]]="","",Table1_1[[#This Row],[ship_date]]-Table1_1[[#This Row],[order_date]])</f>
        <v>3</v>
      </c>
      <c r="Z968">
        <f>ROUND(Table1_1[[#This Row],[profit]]/Table1_1[[#This Row],[sales_fix]]*100,2)</f>
        <v>22</v>
      </c>
    </row>
    <row r="969" spans="1:26" x14ac:dyDescent="0.3">
      <c r="A969" t="s">
        <v>2083</v>
      </c>
      <c r="B969" s="1">
        <v>45332</v>
      </c>
      <c r="C969" s="1">
        <v>45337</v>
      </c>
      <c r="D969" t="s">
        <v>233</v>
      </c>
      <c r="E969" t="s">
        <v>234</v>
      </c>
      <c r="F969" t="s">
        <v>23</v>
      </c>
      <c r="G969" t="s">
        <v>61</v>
      </c>
      <c r="H969" t="s">
        <v>211</v>
      </c>
      <c r="I969" t="s">
        <v>25</v>
      </c>
      <c r="J969" t="s">
        <v>26</v>
      </c>
      <c r="K969" t="s">
        <v>27</v>
      </c>
      <c r="L969">
        <v>2</v>
      </c>
      <c r="M969">
        <v>7000</v>
      </c>
      <c r="N969">
        <v>0</v>
      </c>
      <c r="O969">
        <v>14000</v>
      </c>
      <c r="P969">
        <v>3298.37</v>
      </c>
      <c r="Q969" t="s">
        <v>66</v>
      </c>
      <c r="R969" t="s">
        <v>56</v>
      </c>
      <c r="S969" t="s">
        <v>50</v>
      </c>
      <c r="T969">
        <f>YEAR(Table1_1[[#This Row],[order_date]])</f>
        <v>2024</v>
      </c>
      <c r="U969">
        <f>MONTH(Table1_1[[#This Row],[order_date]])</f>
        <v>2</v>
      </c>
      <c r="V969" t="str">
        <f>TEXT(Table1_1[[#This Row],[order_date]],"mmm")</f>
        <v>Feb</v>
      </c>
      <c r="W969" t="str">
        <f>"Q"&amp;ROUNDUP(MONTH(Table1_1[[#This Row],[order_date]])/3,0)</f>
        <v>Q1</v>
      </c>
      <c r="X969" t="str">
        <f>TEXT(Table1_1[[#This Row],[order_date]],"yyyy-mm")</f>
        <v>2024-02</v>
      </c>
      <c r="Y969">
        <f>IF(Table1_1[[#This Row],[ship_date]]="","",Table1_1[[#This Row],[ship_date]]-Table1_1[[#This Row],[order_date]])</f>
        <v>5</v>
      </c>
      <c r="Z969">
        <f>ROUND(Table1_1[[#This Row],[profit]]/Table1_1[[#This Row],[sales_fix]]*100,2)</f>
        <v>23.56</v>
      </c>
    </row>
    <row r="970" spans="1:26" x14ac:dyDescent="0.3">
      <c r="A970" t="s">
        <v>2684</v>
      </c>
      <c r="B970" s="1">
        <v>45410</v>
      </c>
      <c r="C970" s="1">
        <v>45416</v>
      </c>
      <c r="D970" t="s">
        <v>643</v>
      </c>
      <c r="E970" t="s">
        <v>644</v>
      </c>
      <c r="F970" t="s">
        <v>34</v>
      </c>
      <c r="G970" t="s">
        <v>61</v>
      </c>
      <c r="H970" t="s">
        <v>78</v>
      </c>
      <c r="I970" t="s">
        <v>46</v>
      </c>
      <c r="J970" t="s">
        <v>47</v>
      </c>
      <c r="K970" t="s">
        <v>48</v>
      </c>
      <c r="L970">
        <v>1</v>
      </c>
      <c r="M970">
        <v>180</v>
      </c>
      <c r="N970">
        <v>0</v>
      </c>
      <c r="O970">
        <v>180</v>
      </c>
      <c r="P970">
        <v>77.2</v>
      </c>
      <c r="Q970" t="s">
        <v>74</v>
      </c>
      <c r="R970" t="s">
        <v>29</v>
      </c>
      <c r="S970" t="s">
        <v>40</v>
      </c>
      <c r="T970">
        <f>YEAR(Table1_1[[#This Row],[order_date]])</f>
        <v>2024</v>
      </c>
      <c r="U970">
        <f>MONTH(Table1_1[[#This Row],[order_date]])</f>
        <v>4</v>
      </c>
      <c r="V970" t="str">
        <f>TEXT(Table1_1[[#This Row],[order_date]],"mmm")</f>
        <v>Apr</v>
      </c>
      <c r="W970" t="str">
        <f>"Q"&amp;ROUNDUP(MONTH(Table1_1[[#This Row],[order_date]])/3,0)</f>
        <v>Q2</v>
      </c>
      <c r="X970" t="str">
        <f>TEXT(Table1_1[[#This Row],[order_date]],"yyyy-mm")</f>
        <v>2024-04</v>
      </c>
      <c r="Y970">
        <f>IF(Table1_1[[#This Row],[ship_date]]="","",Table1_1[[#This Row],[ship_date]]-Table1_1[[#This Row],[order_date]])</f>
        <v>6</v>
      </c>
      <c r="Z970">
        <f>ROUND(Table1_1[[#This Row],[profit]]/Table1_1[[#This Row],[sales_fix]]*100,2)</f>
        <v>42.89</v>
      </c>
    </row>
    <row r="971" spans="1:26" x14ac:dyDescent="0.3">
      <c r="A971" t="s">
        <v>411</v>
      </c>
      <c r="B971" s="1">
        <v>45428</v>
      </c>
      <c r="C971" s="1"/>
      <c r="D971" t="s">
        <v>413</v>
      </c>
      <c r="E971" t="s">
        <v>414</v>
      </c>
      <c r="F971" t="s">
        <v>55</v>
      </c>
      <c r="G971" t="s">
        <v>91</v>
      </c>
      <c r="H971" t="s">
        <v>120</v>
      </c>
      <c r="I971" t="s">
        <v>71</v>
      </c>
      <c r="J971" t="s">
        <v>72</v>
      </c>
      <c r="K971" t="s">
        <v>73</v>
      </c>
      <c r="L971">
        <v>2</v>
      </c>
      <c r="M971">
        <v>3500</v>
      </c>
      <c r="N971">
        <v>10</v>
      </c>
      <c r="O971">
        <v>6300</v>
      </c>
      <c r="P971">
        <v>1649</v>
      </c>
      <c r="Q971" t="s">
        <v>156</v>
      </c>
      <c r="R971" t="s">
        <v>29</v>
      </c>
      <c r="S971" t="s">
        <v>110</v>
      </c>
      <c r="T971">
        <f>YEAR(Table1_1[[#This Row],[order_date]])</f>
        <v>2024</v>
      </c>
      <c r="U971">
        <f>MONTH(Table1_1[[#This Row],[order_date]])</f>
        <v>5</v>
      </c>
      <c r="V971" t="str">
        <f>TEXT(Table1_1[[#This Row],[order_date]],"mmm")</f>
        <v>May</v>
      </c>
      <c r="W971" t="str">
        <f>"Q"&amp;ROUNDUP(MONTH(Table1_1[[#This Row],[order_date]])/3,0)</f>
        <v>Q2</v>
      </c>
      <c r="X971" t="str">
        <f>TEXT(Table1_1[[#This Row],[order_date]],"yyyy-mm")</f>
        <v>2024-05</v>
      </c>
      <c r="Y971" t="str">
        <f>IF(Table1_1[[#This Row],[ship_date]]="","",Table1_1[[#This Row],[ship_date]]-Table1_1[[#This Row],[order_date]])</f>
        <v/>
      </c>
      <c r="Z971">
        <f>ROUND(Table1_1[[#This Row],[profit]]/Table1_1[[#This Row],[sales_fix]]*100,2)</f>
        <v>26.17</v>
      </c>
    </row>
    <row r="972" spans="1:26" x14ac:dyDescent="0.3">
      <c r="A972" t="s">
        <v>2478</v>
      </c>
      <c r="B972" s="1">
        <v>45578</v>
      </c>
      <c r="C972" s="1">
        <v>45580</v>
      </c>
      <c r="D972" t="s">
        <v>896</v>
      </c>
      <c r="E972" t="s">
        <v>897</v>
      </c>
      <c r="F972" t="s">
        <v>55</v>
      </c>
      <c r="G972" t="s">
        <v>35</v>
      </c>
      <c r="H972" t="s">
        <v>258</v>
      </c>
      <c r="I972" t="s">
        <v>71</v>
      </c>
      <c r="J972" t="s">
        <v>72</v>
      </c>
      <c r="K972" t="s">
        <v>73</v>
      </c>
      <c r="L972">
        <v>10</v>
      </c>
      <c r="M972">
        <v>3500</v>
      </c>
      <c r="N972">
        <v>10</v>
      </c>
      <c r="O972">
        <v>31500</v>
      </c>
      <c r="P972">
        <v>9706.2999999999993</v>
      </c>
      <c r="Q972" t="s">
        <v>156</v>
      </c>
      <c r="R972" t="s">
        <v>56</v>
      </c>
      <c r="S972" t="s">
        <v>30</v>
      </c>
      <c r="T972">
        <f>YEAR(Table1_1[[#This Row],[order_date]])</f>
        <v>2024</v>
      </c>
      <c r="U972">
        <f>MONTH(Table1_1[[#This Row],[order_date]])</f>
        <v>10</v>
      </c>
      <c r="V972" t="str">
        <f>TEXT(Table1_1[[#This Row],[order_date]],"mmm")</f>
        <v>Oct</v>
      </c>
      <c r="W972" t="str">
        <f>"Q"&amp;ROUNDUP(MONTH(Table1_1[[#This Row],[order_date]])/3,0)</f>
        <v>Q4</v>
      </c>
      <c r="X972" t="str">
        <f>TEXT(Table1_1[[#This Row],[order_date]],"yyyy-mm")</f>
        <v>2024-10</v>
      </c>
      <c r="Y972">
        <f>IF(Table1_1[[#This Row],[ship_date]]="","",Table1_1[[#This Row],[ship_date]]-Table1_1[[#This Row],[order_date]])</f>
        <v>2</v>
      </c>
      <c r="Z972">
        <f>ROUND(Table1_1[[#This Row],[profit]]/Table1_1[[#This Row],[sales_fix]]*100,2)</f>
        <v>30.81</v>
      </c>
    </row>
    <row r="973" spans="1:26" x14ac:dyDescent="0.3">
      <c r="A973" t="s">
        <v>3068</v>
      </c>
      <c r="B973" s="1">
        <v>45941</v>
      </c>
      <c r="C973" s="1">
        <v>45946</v>
      </c>
      <c r="D973" t="s">
        <v>947</v>
      </c>
      <c r="E973" t="s">
        <v>948</v>
      </c>
      <c r="F973" t="s">
        <v>55</v>
      </c>
      <c r="G973" t="s">
        <v>35</v>
      </c>
      <c r="H973" t="s">
        <v>36</v>
      </c>
      <c r="I973" t="s">
        <v>126</v>
      </c>
      <c r="J973" t="s">
        <v>127</v>
      </c>
      <c r="K973" t="s">
        <v>95</v>
      </c>
      <c r="L973">
        <v>1</v>
      </c>
      <c r="M973">
        <v>600</v>
      </c>
      <c r="N973">
        <v>5</v>
      </c>
      <c r="O973">
        <v>570</v>
      </c>
      <c r="P973">
        <v>170.74</v>
      </c>
      <c r="Q973" t="s">
        <v>121</v>
      </c>
      <c r="R973" t="s">
        <v>56</v>
      </c>
      <c r="S973" t="s">
        <v>30</v>
      </c>
      <c r="T973">
        <f>YEAR(Table1_1[[#This Row],[order_date]])</f>
        <v>2025</v>
      </c>
      <c r="U973">
        <f>MONTH(Table1_1[[#This Row],[order_date]])</f>
        <v>10</v>
      </c>
      <c r="V973" t="str">
        <f>TEXT(Table1_1[[#This Row],[order_date]],"mmm")</f>
        <v>Oct</v>
      </c>
      <c r="W973" t="str">
        <f>"Q"&amp;ROUNDUP(MONTH(Table1_1[[#This Row],[order_date]])/3,0)</f>
        <v>Q4</v>
      </c>
      <c r="X973" t="str">
        <f>TEXT(Table1_1[[#This Row],[order_date]],"yyyy-mm")</f>
        <v>2025-10</v>
      </c>
      <c r="Y973">
        <f>IF(Table1_1[[#This Row],[ship_date]]="","",Table1_1[[#This Row],[ship_date]]-Table1_1[[#This Row],[order_date]])</f>
        <v>5</v>
      </c>
      <c r="Z973">
        <f>ROUND(Table1_1[[#This Row],[profit]]/Table1_1[[#This Row],[sales_fix]]*100,2)</f>
        <v>29.95</v>
      </c>
    </row>
    <row r="974" spans="1:26" x14ac:dyDescent="0.3">
      <c r="A974" t="s">
        <v>1087</v>
      </c>
      <c r="B974" s="1">
        <v>45529</v>
      </c>
      <c r="C974" s="1">
        <v>45537</v>
      </c>
      <c r="D974" t="s">
        <v>790</v>
      </c>
      <c r="E974" t="s">
        <v>791</v>
      </c>
      <c r="F974" t="s">
        <v>23</v>
      </c>
      <c r="G974" t="s">
        <v>61</v>
      </c>
      <c r="H974" t="s">
        <v>125</v>
      </c>
      <c r="I974" t="s">
        <v>147</v>
      </c>
      <c r="J974" t="s">
        <v>148</v>
      </c>
      <c r="K974" t="s">
        <v>48</v>
      </c>
      <c r="L974">
        <v>3</v>
      </c>
      <c r="M974">
        <v>250</v>
      </c>
      <c r="N974">
        <v>5</v>
      </c>
      <c r="O974">
        <v>712.5</v>
      </c>
      <c r="P974">
        <v>241.52</v>
      </c>
      <c r="Q974" t="s">
        <v>66</v>
      </c>
      <c r="R974" t="s">
        <v>49</v>
      </c>
      <c r="S974" t="s">
        <v>50</v>
      </c>
      <c r="T974">
        <f>YEAR(Table1_1[[#This Row],[order_date]])</f>
        <v>2024</v>
      </c>
      <c r="U974">
        <f>MONTH(Table1_1[[#This Row],[order_date]])</f>
        <v>8</v>
      </c>
      <c r="V974" t="str">
        <f>TEXT(Table1_1[[#This Row],[order_date]],"mmm")</f>
        <v>Aug</v>
      </c>
      <c r="W974" t="str">
        <f>"Q"&amp;ROUNDUP(MONTH(Table1_1[[#This Row],[order_date]])/3,0)</f>
        <v>Q3</v>
      </c>
      <c r="X974" t="str">
        <f>TEXT(Table1_1[[#This Row],[order_date]],"yyyy-mm")</f>
        <v>2024-08</v>
      </c>
      <c r="Y974">
        <f>IF(Table1_1[[#This Row],[ship_date]]="","",Table1_1[[#This Row],[ship_date]]-Table1_1[[#This Row],[order_date]])</f>
        <v>8</v>
      </c>
      <c r="Z974">
        <f>ROUND(Table1_1[[#This Row],[profit]]/Table1_1[[#This Row],[sales_fix]]*100,2)</f>
        <v>33.9</v>
      </c>
    </row>
    <row r="975" spans="1:26" x14ac:dyDescent="0.3">
      <c r="A975" t="s">
        <v>1857</v>
      </c>
      <c r="B975" s="1">
        <v>45472</v>
      </c>
      <c r="C975" s="1">
        <v>45475</v>
      </c>
      <c r="D975" t="s">
        <v>582</v>
      </c>
      <c r="E975" t="s">
        <v>583</v>
      </c>
      <c r="F975" t="s">
        <v>34</v>
      </c>
      <c r="G975" t="s">
        <v>61</v>
      </c>
      <c r="H975" t="s">
        <v>78</v>
      </c>
      <c r="I975" t="s">
        <v>79</v>
      </c>
      <c r="J975" t="s">
        <v>80</v>
      </c>
      <c r="K975" t="s">
        <v>65</v>
      </c>
      <c r="L975">
        <v>1</v>
      </c>
      <c r="M975">
        <v>3000</v>
      </c>
      <c r="N975">
        <v>5</v>
      </c>
      <c r="O975">
        <v>2850</v>
      </c>
      <c r="P975">
        <v>855</v>
      </c>
      <c r="Q975" t="s">
        <v>156</v>
      </c>
      <c r="R975" t="s">
        <v>49</v>
      </c>
      <c r="S975" t="s">
        <v>86</v>
      </c>
      <c r="T975">
        <f>YEAR(Table1_1[[#This Row],[order_date]])</f>
        <v>2024</v>
      </c>
      <c r="U975">
        <f>MONTH(Table1_1[[#This Row],[order_date]])</f>
        <v>6</v>
      </c>
      <c r="V975" t="str">
        <f>TEXT(Table1_1[[#This Row],[order_date]],"mmm")</f>
        <v>Jun</v>
      </c>
      <c r="W975" t="str">
        <f>"Q"&amp;ROUNDUP(MONTH(Table1_1[[#This Row],[order_date]])/3,0)</f>
        <v>Q2</v>
      </c>
      <c r="X975" t="str">
        <f>TEXT(Table1_1[[#This Row],[order_date]],"yyyy-mm")</f>
        <v>2024-06</v>
      </c>
      <c r="Y975">
        <f>IF(Table1_1[[#This Row],[ship_date]]="","",Table1_1[[#This Row],[ship_date]]-Table1_1[[#This Row],[order_date]])</f>
        <v>3</v>
      </c>
      <c r="Z975">
        <f>ROUND(Table1_1[[#This Row],[profit]]/Table1_1[[#This Row],[sales_fix]]*100,2)</f>
        <v>30</v>
      </c>
    </row>
    <row r="976" spans="1:26" x14ac:dyDescent="0.3">
      <c r="A976" t="s">
        <v>2458</v>
      </c>
      <c r="B976" s="1">
        <v>45473</v>
      </c>
      <c r="C976" s="1">
        <v>45475</v>
      </c>
      <c r="D976" t="s">
        <v>653</v>
      </c>
      <c r="E976" t="s">
        <v>654</v>
      </c>
      <c r="F976" t="s">
        <v>23</v>
      </c>
      <c r="G976" t="s">
        <v>44</v>
      </c>
      <c r="H976" t="s">
        <v>330</v>
      </c>
      <c r="I976" t="s">
        <v>79</v>
      </c>
      <c r="J976" t="s">
        <v>80</v>
      </c>
      <c r="K976" t="s">
        <v>65</v>
      </c>
      <c r="L976">
        <v>4</v>
      </c>
      <c r="M976">
        <v>3000</v>
      </c>
      <c r="N976">
        <v>15</v>
      </c>
      <c r="O976">
        <v>10200</v>
      </c>
      <c r="P976">
        <v>2885.97</v>
      </c>
      <c r="Q976" t="s">
        <v>121</v>
      </c>
      <c r="R976" t="s">
        <v>29</v>
      </c>
      <c r="S976" t="s">
        <v>30</v>
      </c>
      <c r="T976">
        <f>YEAR(Table1_1[[#This Row],[order_date]])</f>
        <v>2024</v>
      </c>
      <c r="U976">
        <f>MONTH(Table1_1[[#This Row],[order_date]])</f>
        <v>6</v>
      </c>
      <c r="V976" t="str">
        <f>TEXT(Table1_1[[#This Row],[order_date]],"mmm")</f>
        <v>Jun</v>
      </c>
      <c r="W976" t="str">
        <f>"Q"&amp;ROUNDUP(MONTH(Table1_1[[#This Row],[order_date]])/3,0)</f>
        <v>Q2</v>
      </c>
      <c r="X976" t="str">
        <f>TEXT(Table1_1[[#This Row],[order_date]],"yyyy-mm")</f>
        <v>2024-06</v>
      </c>
      <c r="Y976">
        <f>IF(Table1_1[[#This Row],[ship_date]]="","",Table1_1[[#This Row],[ship_date]]-Table1_1[[#This Row],[order_date]])</f>
        <v>2</v>
      </c>
      <c r="Z976">
        <f>ROUND(Table1_1[[#This Row],[profit]]/Table1_1[[#This Row],[sales_fix]]*100,2)</f>
        <v>28.29</v>
      </c>
    </row>
    <row r="977" spans="1:26" x14ac:dyDescent="0.3">
      <c r="A977" t="s">
        <v>1452</v>
      </c>
      <c r="B977" s="1">
        <v>45952</v>
      </c>
      <c r="C977" s="1">
        <v>45953</v>
      </c>
      <c r="D977" t="s">
        <v>491</v>
      </c>
      <c r="E977" t="s">
        <v>492</v>
      </c>
      <c r="F977" t="s">
        <v>34</v>
      </c>
      <c r="G977" t="s">
        <v>44</v>
      </c>
      <c r="H977" t="s">
        <v>330</v>
      </c>
      <c r="I977" t="s">
        <v>147</v>
      </c>
      <c r="J977" t="s">
        <v>148</v>
      </c>
      <c r="K977" t="s">
        <v>48</v>
      </c>
      <c r="L977">
        <v>1</v>
      </c>
      <c r="M977">
        <v>250</v>
      </c>
      <c r="N977">
        <v>10</v>
      </c>
      <c r="O977">
        <v>225</v>
      </c>
      <c r="P977">
        <v>67.94</v>
      </c>
      <c r="Q977" t="s">
        <v>39</v>
      </c>
      <c r="R977" t="s">
        <v>29</v>
      </c>
      <c r="S977" t="s">
        <v>30</v>
      </c>
      <c r="T977">
        <f>YEAR(Table1_1[[#This Row],[order_date]])</f>
        <v>2025</v>
      </c>
      <c r="U977">
        <f>MONTH(Table1_1[[#This Row],[order_date]])</f>
        <v>10</v>
      </c>
      <c r="V977" t="str">
        <f>TEXT(Table1_1[[#This Row],[order_date]],"mmm")</f>
        <v>Oct</v>
      </c>
      <c r="W977" t="str">
        <f>"Q"&amp;ROUNDUP(MONTH(Table1_1[[#This Row],[order_date]])/3,0)</f>
        <v>Q4</v>
      </c>
      <c r="X977" t="str">
        <f>TEXT(Table1_1[[#This Row],[order_date]],"yyyy-mm")</f>
        <v>2025-10</v>
      </c>
      <c r="Y977">
        <f>IF(Table1_1[[#This Row],[ship_date]]="","",Table1_1[[#This Row],[ship_date]]-Table1_1[[#This Row],[order_date]])</f>
        <v>1</v>
      </c>
      <c r="Z977">
        <f>ROUND(Table1_1[[#This Row],[profit]]/Table1_1[[#This Row],[sales_fix]]*100,2)</f>
        <v>30.2</v>
      </c>
    </row>
    <row r="978" spans="1:26" x14ac:dyDescent="0.3">
      <c r="A978" t="s">
        <v>2955</v>
      </c>
      <c r="B978" s="1">
        <v>45404</v>
      </c>
      <c r="C978" s="1">
        <v>45405</v>
      </c>
      <c r="D978" t="s">
        <v>802</v>
      </c>
      <c r="E978" t="s">
        <v>803</v>
      </c>
      <c r="F978" t="s">
        <v>55</v>
      </c>
      <c r="G978" t="s">
        <v>35</v>
      </c>
      <c r="H978" t="s">
        <v>258</v>
      </c>
      <c r="I978" t="s">
        <v>114</v>
      </c>
      <c r="J978" t="s">
        <v>115</v>
      </c>
      <c r="K978" t="s">
        <v>65</v>
      </c>
      <c r="L978">
        <v>4</v>
      </c>
      <c r="M978">
        <v>55000</v>
      </c>
      <c r="N978">
        <v>20</v>
      </c>
      <c r="O978">
        <v>176000</v>
      </c>
      <c r="P978">
        <v>32700.31</v>
      </c>
      <c r="Q978" t="s">
        <v>121</v>
      </c>
      <c r="R978" t="s">
        <v>29</v>
      </c>
      <c r="S978" t="s">
        <v>86</v>
      </c>
      <c r="T978">
        <f>YEAR(Table1_1[[#This Row],[order_date]])</f>
        <v>2024</v>
      </c>
      <c r="U978">
        <f>MONTH(Table1_1[[#This Row],[order_date]])</f>
        <v>4</v>
      </c>
      <c r="V978" t="str">
        <f>TEXT(Table1_1[[#This Row],[order_date]],"mmm")</f>
        <v>Apr</v>
      </c>
      <c r="W978" t="str">
        <f>"Q"&amp;ROUNDUP(MONTH(Table1_1[[#This Row],[order_date]])/3,0)</f>
        <v>Q2</v>
      </c>
      <c r="X978" t="str">
        <f>TEXT(Table1_1[[#This Row],[order_date]],"yyyy-mm")</f>
        <v>2024-04</v>
      </c>
      <c r="Y978">
        <f>IF(Table1_1[[#This Row],[ship_date]]="","",Table1_1[[#This Row],[ship_date]]-Table1_1[[#This Row],[order_date]])</f>
        <v>1</v>
      </c>
      <c r="Z978">
        <f>ROUND(Table1_1[[#This Row],[profit]]/Table1_1[[#This Row],[sales_fix]]*100,2)</f>
        <v>18.579999999999998</v>
      </c>
    </row>
    <row r="979" spans="1:26" x14ac:dyDescent="0.3">
      <c r="A979" t="s">
        <v>503</v>
      </c>
      <c r="B979" s="1">
        <v>45934</v>
      </c>
      <c r="C979" s="1">
        <v>45936</v>
      </c>
      <c r="D979" t="s">
        <v>214</v>
      </c>
      <c r="E979" t="s">
        <v>215</v>
      </c>
      <c r="F979" t="s">
        <v>55</v>
      </c>
      <c r="G979" t="s">
        <v>44</v>
      </c>
      <c r="H979" t="s">
        <v>330</v>
      </c>
      <c r="I979" t="s">
        <v>79</v>
      </c>
      <c r="J979" t="s">
        <v>80</v>
      </c>
      <c r="K979" t="s">
        <v>65</v>
      </c>
      <c r="L979">
        <v>3</v>
      </c>
      <c r="M979">
        <v>3000</v>
      </c>
      <c r="N979">
        <v>0</v>
      </c>
      <c r="O979">
        <v>9000</v>
      </c>
      <c r="P979">
        <v>2924.23</v>
      </c>
      <c r="Q979" t="s">
        <v>39</v>
      </c>
      <c r="R979" t="s">
        <v>56</v>
      </c>
      <c r="S979" t="s">
        <v>110</v>
      </c>
      <c r="T979">
        <f>YEAR(Table1_1[[#This Row],[order_date]])</f>
        <v>2025</v>
      </c>
      <c r="U979">
        <f>MONTH(Table1_1[[#This Row],[order_date]])</f>
        <v>10</v>
      </c>
      <c r="V979" t="str">
        <f>TEXT(Table1_1[[#This Row],[order_date]],"mmm")</f>
        <v>Oct</v>
      </c>
      <c r="W979" t="str">
        <f>"Q"&amp;ROUNDUP(MONTH(Table1_1[[#This Row],[order_date]])/3,0)</f>
        <v>Q4</v>
      </c>
      <c r="X979" t="str">
        <f>TEXT(Table1_1[[#This Row],[order_date]],"yyyy-mm")</f>
        <v>2025-10</v>
      </c>
      <c r="Y979">
        <f>IF(Table1_1[[#This Row],[ship_date]]="","",Table1_1[[#This Row],[ship_date]]-Table1_1[[#This Row],[order_date]])</f>
        <v>2</v>
      </c>
      <c r="Z979">
        <f>ROUND(Table1_1[[#This Row],[profit]]/Table1_1[[#This Row],[sales_fix]]*100,2)</f>
        <v>32.49</v>
      </c>
    </row>
    <row r="980" spans="1:26" x14ac:dyDescent="0.3">
      <c r="A980" t="s">
        <v>2033</v>
      </c>
      <c r="B980" s="1">
        <v>45434</v>
      </c>
      <c r="C980" s="1">
        <v>45437</v>
      </c>
      <c r="D980" t="s">
        <v>550</v>
      </c>
      <c r="E980" t="s">
        <v>551</v>
      </c>
      <c r="F980" t="s">
        <v>55</v>
      </c>
      <c r="G980" t="s">
        <v>91</v>
      </c>
      <c r="H980" t="s">
        <v>109</v>
      </c>
      <c r="I980" t="s">
        <v>103</v>
      </c>
      <c r="J980" t="s">
        <v>104</v>
      </c>
      <c r="K980" t="s">
        <v>65</v>
      </c>
      <c r="L980">
        <v>2</v>
      </c>
      <c r="M980">
        <v>8000</v>
      </c>
      <c r="N980">
        <v>10</v>
      </c>
      <c r="O980">
        <v>14400</v>
      </c>
      <c r="P980">
        <v>3805.04</v>
      </c>
      <c r="Q980" t="s">
        <v>74</v>
      </c>
      <c r="R980" t="s">
        <v>49</v>
      </c>
      <c r="S980" t="s">
        <v>30</v>
      </c>
      <c r="T980">
        <f>YEAR(Table1_1[[#This Row],[order_date]])</f>
        <v>2024</v>
      </c>
      <c r="U980">
        <f>MONTH(Table1_1[[#This Row],[order_date]])</f>
        <v>5</v>
      </c>
      <c r="V980" t="str">
        <f>TEXT(Table1_1[[#This Row],[order_date]],"mmm")</f>
        <v>May</v>
      </c>
      <c r="W980" t="str">
        <f>"Q"&amp;ROUNDUP(MONTH(Table1_1[[#This Row],[order_date]])/3,0)</f>
        <v>Q2</v>
      </c>
      <c r="X980" t="str">
        <f>TEXT(Table1_1[[#This Row],[order_date]],"yyyy-mm")</f>
        <v>2024-05</v>
      </c>
      <c r="Y980">
        <f>IF(Table1_1[[#This Row],[ship_date]]="","",Table1_1[[#This Row],[ship_date]]-Table1_1[[#This Row],[order_date]])</f>
        <v>3</v>
      </c>
      <c r="Z980">
        <f>ROUND(Table1_1[[#This Row],[profit]]/Table1_1[[#This Row],[sales_fix]]*100,2)</f>
        <v>26.42</v>
      </c>
    </row>
    <row r="981" spans="1:26" x14ac:dyDescent="0.3">
      <c r="A981" t="s">
        <v>858</v>
      </c>
      <c r="B981" s="1">
        <v>45349</v>
      </c>
      <c r="C981" s="1">
        <v>45351</v>
      </c>
      <c r="D981" t="s">
        <v>790</v>
      </c>
      <c r="E981" t="s">
        <v>791</v>
      </c>
      <c r="F981" t="s">
        <v>23</v>
      </c>
      <c r="G981" t="s">
        <v>61</v>
      </c>
      <c r="H981" t="s">
        <v>125</v>
      </c>
      <c r="I981" t="s">
        <v>103</v>
      </c>
      <c r="J981" t="s">
        <v>104</v>
      </c>
      <c r="K981" t="s">
        <v>65</v>
      </c>
      <c r="L981">
        <v>2</v>
      </c>
      <c r="M981">
        <v>8000</v>
      </c>
      <c r="N981">
        <v>0</v>
      </c>
      <c r="O981">
        <v>16000</v>
      </c>
      <c r="P981">
        <v>3803.98</v>
      </c>
      <c r="Q981" t="s">
        <v>66</v>
      </c>
      <c r="R981" t="s">
        <v>29</v>
      </c>
      <c r="S981" t="s">
        <v>86</v>
      </c>
      <c r="T981">
        <f>YEAR(Table1_1[[#This Row],[order_date]])</f>
        <v>2024</v>
      </c>
      <c r="U981">
        <f>MONTH(Table1_1[[#This Row],[order_date]])</f>
        <v>2</v>
      </c>
      <c r="V981" t="str">
        <f>TEXT(Table1_1[[#This Row],[order_date]],"mmm")</f>
        <v>Feb</v>
      </c>
      <c r="W981" t="str">
        <f>"Q"&amp;ROUNDUP(MONTH(Table1_1[[#This Row],[order_date]])/3,0)</f>
        <v>Q1</v>
      </c>
      <c r="X981" t="str">
        <f>TEXT(Table1_1[[#This Row],[order_date]],"yyyy-mm")</f>
        <v>2024-02</v>
      </c>
      <c r="Y981">
        <f>IF(Table1_1[[#This Row],[ship_date]]="","",Table1_1[[#This Row],[ship_date]]-Table1_1[[#This Row],[order_date]])</f>
        <v>2</v>
      </c>
      <c r="Z981">
        <f>ROUND(Table1_1[[#This Row],[profit]]/Table1_1[[#This Row],[sales_fix]]*100,2)</f>
        <v>23.77</v>
      </c>
    </row>
    <row r="982" spans="1:26" x14ac:dyDescent="0.3">
      <c r="A982" t="s">
        <v>3053</v>
      </c>
      <c r="B982" s="1">
        <v>45397</v>
      </c>
      <c r="C982" s="1">
        <v>45398</v>
      </c>
      <c r="D982" t="s">
        <v>942</v>
      </c>
      <c r="E982" t="s">
        <v>943</v>
      </c>
      <c r="F982" t="s">
        <v>23</v>
      </c>
      <c r="G982" t="s">
        <v>44</v>
      </c>
      <c r="H982" t="s">
        <v>155</v>
      </c>
      <c r="I982" t="s">
        <v>25</v>
      </c>
      <c r="J982" t="s">
        <v>26</v>
      </c>
      <c r="K982" t="s">
        <v>27</v>
      </c>
      <c r="L982">
        <v>2</v>
      </c>
      <c r="M982">
        <v>7000</v>
      </c>
      <c r="N982">
        <v>20</v>
      </c>
      <c r="O982">
        <v>11200</v>
      </c>
      <c r="P982">
        <v>2134.1</v>
      </c>
      <c r="Q982" t="s">
        <v>3113</v>
      </c>
      <c r="R982" t="s">
        <v>29</v>
      </c>
      <c r="S982" t="s">
        <v>50</v>
      </c>
      <c r="T982">
        <f>YEAR(Table1_1[[#This Row],[order_date]])</f>
        <v>2024</v>
      </c>
      <c r="U982">
        <f>MONTH(Table1_1[[#This Row],[order_date]])</f>
        <v>4</v>
      </c>
      <c r="V982" t="str">
        <f>TEXT(Table1_1[[#This Row],[order_date]],"mmm")</f>
        <v>Apr</v>
      </c>
      <c r="W982" t="str">
        <f>"Q"&amp;ROUNDUP(MONTH(Table1_1[[#This Row],[order_date]])/3,0)</f>
        <v>Q2</v>
      </c>
      <c r="X982" t="str">
        <f>TEXT(Table1_1[[#This Row],[order_date]],"yyyy-mm")</f>
        <v>2024-04</v>
      </c>
      <c r="Y982">
        <f>IF(Table1_1[[#This Row],[ship_date]]="","",Table1_1[[#This Row],[ship_date]]-Table1_1[[#This Row],[order_date]])</f>
        <v>1</v>
      </c>
      <c r="Z982">
        <f>ROUND(Table1_1[[#This Row],[profit]]/Table1_1[[#This Row],[sales_fix]]*100,2)</f>
        <v>19.05</v>
      </c>
    </row>
    <row r="983" spans="1:26" x14ac:dyDescent="0.3">
      <c r="A983" t="s">
        <v>1990</v>
      </c>
      <c r="B983" s="1">
        <v>45442</v>
      </c>
      <c r="C983" s="1">
        <v>45449</v>
      </c>
      <c r="D983" t="s">
        <v>297</v>
      </c>
      <c r="E983" t="s">
        <v>1110</v>
      </c>
      <c r="F983" t="s">
        <v>23</v>
      </c>
      <c r="G983" t="s">
        <v>91</v>
      </c>
      <c r="H983" t="s">
        <v>177</v>
      </c>
      <c r="I983" t="s">
        <v>134</v>
      </c>
      <c r="J983" t="s">
        <v>135</v>
      </c>
      <c r="K983" t="s">
        <v>27</v>
      </c>
      <c r="L983">
        <v>1</v>
      </c>
      <c r="M983">
        <v>6000</v>
      </c>
      <c r="N983">
        <v>0</v>
      </c>
      <c r="O983">
        <v>6000</v>
      </c>
      <c r="P983">
        <v>1138.1099999999999</v>
      </c>
      <c r="Q983" t="s">
        <v>156</v>
      </c>
      <c r="R983" t="s">
        <v>56</v>
      </c>
      <c r="S983" t="s">
        <v>86</v>
      </c>
      <c r="T983">
        <f>YEAR(Table1_1[[#This Row],[order_date]])</f>
        <v>2024</v>
      </c>
      <c r="U983">
        <f>MONTH(Table1_1[[#This Row],[order_date]])</f>
        <v>5</v>
      </c>
      <c r="V983" t="str">
        <f>TEXT(Table1_1[[#This Row],[order_date]],"mmm")</f>
        <v>May</v>
      </c>
      <c r="W983" t="str">
        <f>"Q"&amp;ROUNDUP(MONTH(Table1_1[[#This Row],[order_date]])/3,0)</f>
        <v>Q2</v>
      </c>
      <c r="X983" t="str">
        <f>TEXT(Table1_1[[#This Row],[order_date]],"yyyy-mm")</f>
        <v>2024-05</v>
      </c>
      <c r="Y983">
        <f>IF(Table1_1[[#This Row],[ship_date]]="","",Table1_1[[#This Row],[ship_date]]-Table1_1[[#This Row],[order_date]])</f>
        <v>7</v>
      </c>
      <c r="Z983">
        <f>ROUND(Table1_1[[#This Row],[profit]]/Table1_1[[#This Row],[sales_fix]]*100,2)</f>
        <v>18.97</v>
      </c>
    </row>
    <row r="984" spans="1:26" x14ac:dyDescent="0.3">
      <c r="A984" t="s">
        <v>81</v>
      </c>
      <c r="B984" s="1">
        <v>45404</v>
      </c>
      <c r="C984" s="1">
        <v>45410</v>
      </c>
      <c r="D984" t="s">
        <v>83</v>
      </c>
      <c r="E984" t="s">
        <v>84</v>
      </c>
      <c r="F984" t="s">
        <v>34</v>
      </c>
      <c r="G984" t="s">
        <v>35</v>
      </c>
      <c r="H984" t="s">
        <v>85</v>
      </c>
      <c r="I984" t="s">
        <v>79</v>
      </c>
      <c r="J984" t="s">
        <v>80</v>
      </c>
      <c r="K984" t="s">
        <v>65</v>
      </c>
      <c r="L984">
        <v>1</v>
      </c>
      <c r="M984">
        <v>3000</v>
      </c>
      <c r="N984">
        <v>0</v>
      </c>
      <c r="O984">
        <v>3000</v>
      </c>
      <c r="P984">
        <v>758.63</v>
      </c>
      <c r="Q984" t="s">
        <v>66</v>
      </c>
      <c r="R984" t="s">
        <v>49</v>
      </c>
      <c r="S984" t="s">
        <v>86</v>
      </c>
      <c r="T984">
        <f>YEAR(Table1_1[[#This Row],[order_date]])</f>
        <v>2024</v>
      </c>
      <c r="U984">
        <f>MONTH(Table1_1[[#This Row],[order_date]])</f>
        <v>4</v>
      </c>
      <c r="V984" t="str">
        <f>TEXT(Table1_1[[#This Row],[order_date]],"mmm")</f>
        <v>Apr</v>
      </c>
      <c r="W984" t="str">
        <f>"Q"&amp;ROUNDUP(MONTH(Table1_1[[#This Row],[order_date]])/3,0)</f>
        <v>Q2</v>
      </c>
      <c r="X984" t="str">
        <f>TEXT(Table1_1[[#This Row],[order_date]],"yyyy-mm")</f>
        <v>2024-04</v>
      </c>
      <c r="Y984">
        <f>IF(Table1_1[[#This Row],[ship_date]]="","",Table1_1[[#This Row],[ship_date]]-Table1_1[[#This Row],[order_date]])</f>
        <v>6</v>
      </c>
      <c r="Z984">
        <f>ROUND(Table1_1[[#This Row],[profit]]/Table1_1[[#This Row],[sales_fix]]*100,2)</f>
        <v>25.29</v>
      </c>
    </row>
    <row r="985" spans="1:26" x14ac:dyDescent="0.3">
      <c r="A985" t="s">
        <v>2954</v>
      </c>
      <c r="B985" s="1">
        <v>45446</v>
      </c>
      <c r="C985" s="1">
        <v>45449</v>
      </c>
      <c r="D985" t="s">
        <v>592</v>
      </c>
      <c r="E985" t="s">
        <v>593</v>
      </c>
      <c r="F985" t="s">
        <v>55</v>
      </c>
      <c r="G985" t="s">
        <v>35</v>
      </c>
      <c r="H985" t="s">
        <v>258</v>
      </c>
      <c r="I985" t="s">
        <v>93</v>
      </c>
      <c r="J985" t="s">
        <v>94</v>
      </c>
      <c r="K985" t="s">
        <v>95</v>
      </c>
      <c r="L985">
        <v>1</v>
      </c>
      <c r="M985">
        <v>1800</v>
      </c>
      <c r="N985">
        <v>10</v>
      </c>
      <c r="O985">
        <v>1620</v>
      </c>
      <c r="P985">
        <v>472.84</v>
      </c>
      <c r="Q985" t="s">
        <v>156</v>
      </c>
      <c r="R985" t="s">
        <v>49</v>
      </c>
      <c r="S985" t="s">
        <v>50</v>
      </c>
      <c r="T985">
        <f>YEAR(Table1_1[[#This Row],[order_date]])</f>
        <v>2024</v>
      </c>
      <c r="U985">
        <f>MONTH(Table1_1[[#This Row],[order_date]])</f>
        <v>6</v>
      </c>
      <c r="V985" t="str">
        <f>TEXT(Table1_1[[#This Row],[order_date]],"mmm")</f>
        <v>Jun</v>
      </c>
      <c r="W985" t="str">
        <f>"Q"&amp;ROUNDUP(MONTH(Table1_1[[#This Row],[order_date]])/3,0)</f>
        <v>Q2</v>
      </c>
      <c r="X985" t="str">
        <f>TEXT(Table1_1[[#This Row],[order_date]],"yyyy-mm")</f>
        <v>2024-06</v>
      </c>
      <c r="Y985">
        <f>IF(Table1_1[[#This Row],[ship_date]]="","",Table1_1[[#This Row],[ship_date]]-Table1_1[[#This Row],[order_date]])</f>
        <v>3</v>
      </c>
      <c r="Z985">
        <f>ROUND(Table1_1[[#This Row],[profit]]/Table1_1[[#This Row],[sales_fix]]*100,2)</f>
        <v>29.19</v>
      </c>
    </row>
    <row r="986" spans="1:26" x14ac:dyDescent="0.3">
      <c r="A986" t="s">
        <v>976</v>
      </c>
      <c r="B986" s="1">
        <v>45585</v>
      </c>
      <c r="C986" s="1">
        <v>45590</v>
      </c>
      <c r="D986" t="s">
        <v>223</v>
      </c>
      <c r="E986" t="s">
        <v>224</v>
      </c>
      <c r="F986" t="s">
        <v>34</v>
      </c>
      <c r="G986" t="s">
        <v>35</v>
      </c>
      <c r="H986" t="s">
        <v>85</v>
      </c>
      <c r="I986" t="s">
        <v>93</v>
      </c>
      <c r="J986" t="s">
        <v>94</v>
      </c>
      <c r="K986" t="s">
        <v>95</v>
      </c>
      <c r="L986">
        <v>1</v>
      </c>
      <c r="M986">
        <v>1800</v>
      </c>
      <c r="N986">
        <v>5</v>
      </c>
      <c r="O986">
        <v>1710</v>
      </c>
      <c r="P986">
        <v>598.5</v>
      </c>
      <c r="Q986" t="s">
        <v>156</v>
      </c>
      <c r="R986" t="s">
        <v>29</v>
      </c>
      <c r="S986" t="s">
        <v>86</v>
      </c>
      <c r="T986">
        <f>YEAR(Table1_1[[#This Row],[order_date]])</f>
        <v>2024</v>
      </c>
      <c r="U986">
        <f>MONTH(Table1_1[[#This Row],[order_date]])</f>
        <v>10</v>
      </c>
      <c r="V986" t="str">
        <f>TEXT(Table1_1[[#This Row],[order_date]],"mmm")</f>
        <v>Oct</v>
      </c>
      <c r="W986" t="str">
        <f>"Q"&amp;ROUNDUP(MONTH(Table1_1[[#This Row],[order_date]])/3,0)</f>
        <v>Q4</v>
      </c>
      <c r="X986" t="str">
        <f>TEXT(Table1_1[[#This Row],[order_date]],"yyyy-mm")</f>
        <v>2024-10</v>
      </c>
      <c r="Y986">
        <f>IF(Table1_1[[#This Row],[ship_date]]="","",Table1_1[[#This Row],[ship_date]]-Table1_1[[#This Row],[order_date]])</f>
        <v>5</v>
      </c>
      <c r="Z986">
        <f>ROUND(Table1_1[[#This Row],[profit]]/Table1_1[[#This Row],[sales_fix]]*100,2)</f>
        <v>35</v>
      </c>
    </row>
    <row r="987" spans="1:26" x14ac:dyDescent="0.3">
      <c r="A987" t="s">
        <v>1553</v>
      </c>
      <c r="B987" s="1">
        <v>45442</v>
      </c>
      <c r="C987" s="1">
        <v>45450</v>
      </c>
      <c r="D987" t="s">
        <v>1426</v>
      </c>
      <c r="E987" t="s">
        <v>1427</v>
      </c>
      <c r="F987" t="s">
        <v>23</v>
      </c>
      <c r="G987" t="s">
        <v>61</v>
      </c>
      <c r="H987" t="s">
        <v>62</v>
      </c>
      <c r="I987" t="s">
        <v>126</v>
      </c>
      <c r="J987" t="s">
        <v>127</v>
      </c>
      <c r="K987" t="s">
        <v>95</v>
      </c>
      <c r="L987">
        <v>1</v>
      </c>
      <c r="M987">
        <v>600</v>
      </c>
      <c r="N987">
        <v>5</v>
      </c>
      <c r="O987">
        <v>570</v>
      </c>
      <c r="P987">
        <v>190.32</v>
      </c>
      <c r="Q987" t="s">
        <v>66</v>
      </c>
      <c r="R987" t="s">
        <v>29</v>
      </c>
      <c r="S987" t="s">
        <v>40</v>
      </c>
      <c r="T987">
        <f>YEAR(Table1_1[[#This Row],[order_date]])</f>
        <v>2024</v>
      </c>
      <c r="U987">
        <f>MONTH(Table1_1[[#This Row],[order_date]])</f>
        <v>5</v>
      </c>
      <c r="V987" t="str">
        <f>TEXT(Table1_1[[#This Row],[order_date]],"mmm")</f>
        <v>May</v>
      </c>
      <c r="W987" t="str">
        <f>"Q"&amp;ROUNDUP(MONTH(Table1_1[[#This Row],[order_date]])/3,0)</f>
        <v>Q2</v>
      </c>
      <c r="X987" t="str">
        <f>TEXT(Table1_1[[#This Row],[order_date]],"yyyy-mm")</f>
        <v>2024-05</v>
      </c>
      <c r="Y987">
        <f>IF(Table1_1[[#This Row],[ship_date]]="","",Table1_1[[#This Row],[ship_date]]-Table1_1[[#This Row],[order_date]])</f>
        <v>8</v>
      </c>
      <c r="Z987">
        <f>ROUND(Table1_1[[#This Row],[profit]]/Table1_1[[#This Row],[sales_fix]]*100,2)</f>
        <v>33.39</v>
      </c>
    </row>
    <row r="988" spans="1:26" x14ac:dyDescent="0.3">
      <c r="A988" t="s">
        <v>1109</v>
      </c>
      <c r="B988" s="1">
        <v>45577</v>
      </c>
      <c r="C988" s="1">
        <v>45584</v>
      </c>
      <c r="D988" t="s">
        <v>297</v>
      </c>
      <c r="E988" t="s">
        <v>1110</v>
      </c>
      <c r="F988" t="s">
        <v>23</v>
      </c>
      <c r="G988" t="s">
        <v>91</v>
      </c>
      <c r="H988" t="s">
        <v>177</v>
      </c>
      <c r="I988" t="s">
        <v>71</v>
      </c>
      <c r="J988" t="s">
        <v>72</v>
      </c>
      <c r="K988" t="s">
        <v>73</v>
      </c>
      <c r="L988">
        <v>1</v>
      </c>
      <c r="M988">
        <v>3500</v>
      </c>
      <c r="N988">
        <v>0</v>
      </c>
      <c r="O988">
        <v>3500</v>
      </c>
      <c r="P988">
        <v>865.48</v>
      </c>
      <c r="Q988" t="s">
        <v>74</v>
      </c>
      <c r="R988" t="s">
        <v>49</v>
      </c>
      <c r="S988" t="s">
        <v>30</v>
      </c>
      <c r="T988">
        <f>YEAR(Table1_1[[#This Row],[order_date]])</f>
        <v>2024</v>
      </c>
      <c r="U988">
        <f>MONTH(Table1_1[[#This Row],[order_date]])</f>
        <v>10</v>
      </c>
      <c r="V988" t="str">
        <f>TEXT(Table1_1[[#This Row],[order_date]],"mmm")</f>
        <v>Oct</v>
      </c>
      <c r="W988" t="str">
        <f>"Q"&amp;ROUNDUP(MONTH(Table1_1[[#This Row],[order_date]])/3,0)</f>
        <v>Q4</v>
      </c>
      <c r="X988" t="str">
        <f>TEXT(Table1_1[[#This Row],[order_date]],"yyyy-mm")</f>
        <v>2024-10</v>
      </c>
      <c r="Y988">
        <f>IF(Table1_1[[#This Row],[ship_date]]="","",Table1_1[[#This Row],[ship_date]]-Table1_1[[#This Row],[order_date]])</f>
        <v>7</v>
      </c>
      <c r="Z988">
        <f>ROUND(Table1_1[[#This Row],[profit]]/Table1_1[[#This Row],[sales_fix]]*100,2)</f>
        <v>24.73</v>
      </c>
    </row>
    <row r="989" spans="1:26" x14ac:dyDescent="0.3">
      <c r="A989" t="s">
        <v>2131</v>
      </c>
      <c r="B989" s="1">
        <v>46002</v>
      </c>
      <c r="C989" s="1">
        <v>46006</v>
      </c>
      <c r="D989" t="s">
        <v>470</v>
      </c>
      <c r="E989" t="s">
        <v>471</v>
      </c>
      <c r="F989" t="s">
        <v>23</v>
      </c>
      <c r="G989" t="s">
        <v>61</v>
      </c>
      <c r="H989" t="s">
        <v>62</v>
      </c>
      <c r="I989" t="s">
        <v>147</v>
      </c>
      <c r="J989" t="s">
        <v>148</v>
      </c>
      <c r="K989" t="s">
        <v>48</v>
      </c>
      <c r="L989">
        <v>2</v>
      </c>
      <c r="M989">
        <v>250</v>
      </c>
      <c r="N989">
        <v>15</v>
      </c>
      <c r="O989">
        <v>425</v>
      </c>
      <c r="P989">
        <v>141.68</v>
      </c>
      <c r="Q989" t="s">
        <v>28</v>
      </c>
      <c r="R989" t="s">
        <v>49</v>
      </c>
      <c r="S989" t="s">
        <v>40</v>
      </c>
      <c r="T989">
        <f>YEAR(Table1_1[[#This Row],[order_date]])</f>
        <v>2025</v>
      </c>
      <c r="U989">
        <f>MONTH(Table1_1[[#This Row],[order_date]])</f>
        <v>12</v>
      </c>
      <c r="V989" t="str">
        <f>TEXT(Table1_1[[#This Row],[order_date]],"mmm")</f>
        <v>Dec</v>
      </c>
      <c r="W989" t="str">
        <f>"Q"&amp;ROUNDUP(MONTH(Table1_1[[#This Row],[order_date]])/3,0)</f>
        <v>Q4</v>
      </c>
      <c r="X989" t="str">
        <f>TEXT(Table1_1[[#This Row],[order_date]],"yyyy-mm")</f>
        <v>2025-12</v>
      </c>
      <c r="Y989">
        <f>IF(Table1_1[[#This Row],[ship_date]]="","",Table1_1[[#This Row],[ship_date]]-Table1_1[[#This Row],[order_date]])</f>
        <v>4</v>
      </c>
      <c r="Z989">
        <f>ROUND(Table1_1[[#This Row],[profit]]/Table1_1[[#This Row],[sales_fix]]*100,2)</f>
        <v>33.340000000000003</v>
      </c>
    </row>
    <row r="990" spans="1:26" x14ac:dyDescent="0.3">
      <c r="A990" t="s">
        <v>2919</v>
      </c>
      <c r="B990" s="1">
        <v>45838</v>
      </c>
      <c r="C990" s="1">
        <v>45845</v>
      </c>
      <c r="D990" t="s">
        <v>628</v>
      </c>
      <c r="E990" t="s">
        <v>629</v>
      </c>
      <c r="F990" t="s">
        <v>55</v>
      </c>
      <c r="G990" t="s">
        <v>91</v>
      </c>
      <c r="H990" t="s">
        <v>120</v>
      </c>
      <c r="I990" t="s">
        <v>46</v>
      </c>
      <c r="J990" t="s">
        <v>47</v>
      </c>
      <c r="K990" t="s">
        <v>48</v>
      </c>
      <c r="L990">
        <v>2</v>
      </c>
      <c r="M990">
        <v>180</v>
      </c>
      <c r="N990">
        <v>10</v>
      </c>
      <c r="O990">
        <v>324</v>
      </c>
      <c r="P990">
        <v>149.96</v>
      </c>
      <c r="Q990" t="s">
        <v>66</v>
      </c>
      <c r="R990" t="s">
        <v>56</v>
      </c>
      <c r="S990" t="s">
        <v>30</v>
      </c>
      <c r="T990">
        <f>YEAR(Table1_1[[#This Row],[order_date]])</f>
        <v>2025</v>
      </c>
      <c r="U990">
        <f>MONTH(Table1_1[[#This Row],[order_date]])</f>
        <v>6</v>
      </c>
      <c r="V990" t="str">
        <f>TEXT(Table1_1[[#This Row],[order_date]],"mmm")</f>
        <v>Jun</v>
      </c>
      <c r="W990" t="str">
        <f>"Q"&amp;ROUNDUP(MONTH(Table1_1[[#This Row],[order_date]])/3,0)</f>
        <v>Q2</v>
      </c>
      <c r="X990" t="str">
        <f>TEXT(Table1_1[[#This Row],[order_date]],"yyyy-mm")</f>
        <v>2025-06</v>
      </c>
      <c r="Y990">
        <f>IF(Table1_1[[#This Row],[ship_date]]="","",Table1_1[[#This Row],[ship_date]]-Table1_1[[#This Row],[order_date]])</f>
        <v>7</v>
      </c>
      <c r="Z990">
        <f>ROUND(Table1_1[[#This Row],[profit]]/Table1_1[[#This Row],[sales_fix]]*100,2)</f>
        <v>46.28</v>
      </c>
    </row>
    <row r="991" spans="1:26" x14ac:dyDescent="0.3">
      <c r="A991" t="s">
        <v>1979</v>
      </c>
      <c r="B991" s="1">
        <v>46002</v>
      </c>
      <c r="C991" s="1">
        <v>46003</v>
      </c>
      <c r="D991" t="s">
        <v>1380</v>
      </c>
      <c r="E991" t="s">
        <v>1381</v>
      </c>
      <c r="F991" t="s">
        <v>55</v>
      </c>
      <c r="G991" t="s">
        <v>61</v>
      </c>
      <c r="H991" t="s">
        <v>78</v>
      </c>
      <c r="I991" t="s">
        <v>93</v>
      </c>
      <c r="J991" t="s">
        <v>94</v>
      </c>
      <c r="K991" t="s">
        <v>95</v>
      </c>
      <c r="L991">
        <v>1</v>
      </c>
      <c r="M991">
        <v>1800</v>
      </c>
      <c r="N991">
        <v>0</v>
      </c>
      <c r="O991">
        <v>1800</v>
      </c>
      <c r="P991">
        <v>500.27</v>
      </c>
      <c r="Q991" t="s">
        <v>121</v>
      </c>
      <c r="R991" t="s">
        <v>29</v>
      </c>
      <c r="S991" t="s">
        <v>110</v>
      </c>
      <c r="T991">
        <f>YEAR(Table1_1[[#This Row],[order_date]])</f>
        <v>2025</v>
      </c>
      <c r="U991">
        <f>MONTH(Table1_1[[#This Row],[order_date]])</f>
        <v>12</v>
      </c>
      <c r="V991" t="str">
        <f>TEXT(Table1_1[[#This Row],[order_date]],"mmm")</f>
        <v>Dec</v>
      </c>
      <c r="W991" t="str">
        <f>"Q"&amp;ROUNDUP(MONTH(Table1_1[[#This Row],[order_date]])/3,0)</f>
        <v>Q4</v>
      </c>
      <c r="X991" t="str">
        <f>TEXT(Table1_1[[#This Row],[order_date]],"yyyy-mm")</f>
        <v>2025-12</v>
      </c>
      <c r="Y991">
        <f>IF(Table1_1[[#This Row],[ship_date]]="","",Table1_1[[#This Row],[ship_date]]-Table1_1[[#This Row],[order_date]])</f>
        <v>1</v>
      </c>
      <c r="Z991">
        <f>ROUND(Table1_1[[#This Row],[profit]]/Table1_1[[#This Row],[sales_fix]]*100,2)</f>
        <v>27.79</v>
      </c>
    </row>
    <row r="992" spans="1:26" x14ac:dyDescent="0.3">
      <c r="A992" t="s">
        <v>2313</v>
      </c>
      <c r="B992" s="1">
        <v>45428</v>
      </c>
      <c r="C992" s="1">
        <v>45434</v>
      </c>
      <c r="D992" t="s">
        <v>217</v>
      </c>
      <c r="E992" t="s">
        <v>218</v>
      </c>
      <c r="F992" t="s">
        <v>23</v>
      </c>
      <c r="G992" t="s">
        <v>91</v>
      </c>
      <c r="H992" t="s">
        <v>109</v>
      </c>
      <c r="I992" t="s">
        <v>147</v>
      </c>
      <c r="J992" t="s">
        <v>148</v>
      </c>
      <c r="K992" t="s">
        <v>48</v>
      </c>
      <c r="L992">
        <v>5</v>
      </c>
      <c r="M992">
        <v>250</v>
      </c>
      <c r="N992">
        <v>0</v>
      </c>
      <c r="O992">
        <v>1250</v>
      </c>
      <c r="P992">
        <v>500</v>
      </c>
      <c r="Q992" t="s">
        <v>121</v>
      </c>
      <c r="R992" t="s">
        <v>49</v>
      </c>
      <c r="S992" t="s">
        <v>30</v>
      </c>
      <c r="T992">
        <f>YEAR(Table1_1[[#This Row],[order_date]])</f>
        <v>2024</v>
      </c>
      <c r="U992">
        <f>MONTH(Table1_1[[#This Row],[order_date]])</f>
        <v>5</v>
      </c>
      <c r="V992" t="str">
        <f>TEXT(Table1_1[[#This Row],[order_date]],"mmm")</f>
        <v>May</v>
      </c>
      <c r="W992" t="str">
        <f>"Q"&amp;ROUNDUP(MONTH(Table1_1[[#This Row],[order_date]])/3,0)</f>
        <v>Q2</v>
      </c>
      <c r="X992" t="str">
        <f>TEXT(Table1_1[[#This Row],[order_date]],"yyyy-mm")</f>
        <v>2024-05</v>
      </c>
      <c r="Y992">
        <f>IF(Table1_1[[#This Row],[ship_date]]="","",Table1_1[[#This Row],[ship_date]]-Table1_1[[#This Row],[order_date]])</f>
        <v>6</v>
      </c>
      <c r="Z992">
        <f>ROUND(Table1_1[[#This Row],[profit]]/Table1_1[[#This Row],[sales_fix]]*100,2)</f>
        <v>40</v>
      </c>
    </row>
    <row r="993" spans="1:26" x14ac:dyDescent="0.3">
      <c r="A993" t="s">
        <v>2263</v>
      </c>
      <c r="B993" s="1">
        <v>45723</v>
      </c>
      <c r="C993" s="1">
        <v>45726</v>
      </c>
      <c r="D993" t="s">
        <v>625</v>
      </c>
      <c r="E993" t="s">
        <v>626</v>
      </c>
      <c r="F993" t="s">
        <v>34</v>
      </c>
      <c r="G993" t="s">
        <v>61</v>
      </c>
      <c r="H993" t="s">
        <v>211</v>
      </c>
      <c r="I993" t="s">
        <v>46</v>
      </c>
      <c r="J993" t="s">
        <v>47</v>
      </c>
      <c r="K993" t="s">
        <v>48</v>
      </c>
      <c r="L993">
        <v>1</v>
      </c>
      <c r="M993">
        <v>180</v>
      </c>
      <c r="N993">
        <v>20</v>
      </c>
      <c r="O993">
        <v>144</v>
      </c>
      <c r="P993">
        <v>51.18</v>
      </c>
      <c r="Q993" t="s">
        <v>66</v>
      </c>
      <c r="R993" t="s">
        <v>56</v>
      </c>
      <c r="S993" t="s">
        <v>50</v>
      </c>
      <c r="T993">
        <f>YEAR(Table1_1[[#This Row],[order_date]])</f>
        <v>2025</v>
      </c>
      <c r="U993">
        <f>MONTH(Table1_1[[#This Row],[order_date]])</f>
        <v>3</v>
      </c>
      <c r="V993" t="str">
        <f>TEXT(Table1_1[[#This Row],[order_date]],"mmm")</f>
        <v>Mar</v>
      </c>
      <c r="W993" t="str">
        <f>"Q"&amp;ROUNDUP(MONTH(Table1_1[[#This Row],[order_date]])/3,0)</f>
        <v>Q1</v>
      </c>
      <c r="X993" t="str">
        <f>TEXT(Table1_1[[#This Row],[order_date]],"yyyy-mm")</f>
        <v>2025-03</v>
      </c>
      <c r="Y993">
        <f>IF(Table1_1[[#This Row],[ship_date]]="","",Table1_1[[#This Row],[ship_date]]-Table1_1[[#This Row],[order_date]])</f>
        <v>3</v>
      </c>
      <c r="Z993">
        <f>ROUND(Table1_1[[#This Row],[profit]]/Table1_1[[#This Row],[sales_fix]]*100,2)</f>
        <v>35.54</v>
      </c>
    </row>
    <row r="994" spans="1:26" x14ac:dyDescent="0.3">
      <c r="A994" t="s">
        <v>1237</v>
      </c>
      <c r="B994" s="1">
        <v>45318</v>
      </c>
      <c r="C994" s="1"/>
      <c r="D994" t="s">
        <v>617</v>
      </c>
      <c r="E994" t="s">
        <v>618</v>
      </c>
      <c r="F994" t="s">
        <v>23</v>
      </c>
      <c r="G994" t="s">
        <v>91</v>
      </c>
      <c r="H994" t="s">
        <v>120</v>
      </c>
      <c r="I994" t="s">
        <v>71</v>
      </c>
      <c r="J994" t="s">
        <v>72</v>
      </c>
      <c r="K994" t="s">
        <v>73</v>
      </c>
      <c r="L994">
        <v>3</v>
      </c>
      <c r="M994">
        <v>3500</v>
      </c>
      <c r="N994">
        <v>5</v>
      </c>
      <c r="O994">
        <v>9975</v>
      </c>
      <c r="P994">
        <v>2708.97</v>
      </c>
      <c r="Q994" t="s">
        <v>156</v>
      </c>
      <c r="R994" t="s">
        <v>56</v>
      </c>
      <c r="S994" t="s">
        <v>86</v>
      </c>
      <c r="T994">
        <f>YEAR(Table1_1[[#This Row],[order_date]])</f>
        <v>2024</v>
      </c>
      <c r="U994">
        <f>MONTH(Table1_1[[#This Row],[order_date]])</f>
        <v>1</v>
      </c>
      <c r="V994" t="str">
        <f>TEXT(Table1_1[[#This Row],[order_date]],"mmm")</f>
        <v>Jan</v>
      </c>
      <c r="W994" t="str">
        <f>"Q"&amp;ROUNDUP(MONTH(Table1_1[[#This Row],[order_date]])/3,0)</f>
        <v>Q1</v>
      </c>
      <c r="X994" t="str">
        <f>TEXT(Table1_1[[#This Row],[order_date]],"yyyy-mm")</f>
        <v>2024-01</v>
      </c>
      <c r="Y994" t="str">
        <f>IF(Table1_1[[#This Row],[ship_date]]="","",Table1_1[[#This Row],[ship_date]]-Table1_1[[#This Row],[order_date]])</f>
        <v/>
      </c>
      <c r="Z994">
        <f>ROUND(Table1_1[[#This Row],[profit]]/Table1_1[[#This Row],[sales_fix]]*100,2)</f>
        <v>27.16</v>
      </c>
    </row>
    <row r="995" spans="1:26" x14ac:dyDescent="0.3">
      <c r="A995" t="s">
        <v>648</v>
      </c>
      <c r="B995" s="1">
        <v>45453</v>
      </c>
      <c r="C995" s="1">
        <v>45457</v>
      </c>
      <c r="D995" t="s">
        <v>527</v>
      </c>
      <c r="E995" t="s">
        <v>528</v>
      </c>
      <c r="F995" t="s">
        <v>23</v>
      </c>
      <c r="G995" t="s">
        <v>44</v>
      </c>
      <c r="H995" t="s">
        <v>161</v>
      </c>
      <c r="I995" t="s">
        <v>93</v>
      </c>
      <c r="J995" t="s">
        <v>94</v>
      </c>
      <c r="K995" t="s">
        <v>95</v>
      </c>
      <c r="L995">
        <v>1</v>
      </c>
      <c r="M995">
        <v>1800</v>
      </c>
      <c r="N995">
        <v>0</v>
      </c>
      <c r="O995">
        <v>1800</v>
      </c>
      <c r="P995">
        <v>476.6</v>
      </c>
      <c r="Q995" t="s">
        <v>66</v>
      </c>
      <c r="R995" t="s">
        <v>29</v>
      </c>
      <c r="S995" t="s">
        <v>40</v>
      </c>
      <c r="T995">
        <f>YEAR(Table1_1[[#This Row],[order_date]])</f>
        <v>2024</v>
      </c>
      <c r="U995">
        <f>MONTH(Table1_1[[#This Row],[order_date]])</f>
        <v>6</v>
      </c>
      <c r="V995" t="str">
        <f>TEXT(Table1_1[[#This Row],[order_date]],"mmm")</f>
        <v>Jun</v>
      </c>
      <c r="W995" t="str">
        <f>"Q"&amp;ROUNDUP(MONTH(Table1_1[[#This Row],[order_date]])/3,0)</f>
        <v>Q2</v>
      </c>
      <c r="X995" t="str">
        <f>TEXT(Table1_1[[#This Row],[order_date]],"yyyy-mm")</f>
        <v>2024-06</v>
      </c>
      <c r="Y995">
        <f>IF(Table1_1[[#This Row],[ship_date]]="","",Table1_1[[#This Row],[ship_date]]-Table1_1[[#This Row],[order_date]])</f>
        <v>4</v>
      </c>
      <c r="Z995">
        <f>ROUND(Table1_1[[#This Row],[profit]]/Table1_1[[#This Row],[sales_fix]]*100,2)</f>
        <v>26.48</v>
      </c>
    </row>
    <row r="996" spans="1:26" x14ac:dyDescent="0.3">
      <c r="A996" t="s">
        <v>3055</v>
      </c>
      <c r="B996" s="1">
        <v>45478</v>
      </c>
      <c r="C996" s="1">
        <v>45483</v>
      </c>
      <c r="D996" t="s">
        <v>318</v>
      </c>
      <c r="E996" t="s">
        <v>319</v>
      </c>
      <c r="F996" t="s">
        <v>55</v>
      </c>
      <c r="G996" t="s">
        <v>35</v>
      </c>
      <c r="H996" t="s">
        <v>36</v>
      </c>
      <c r="I996" t="s">
        <v>79</v>
      </c>
      <c r="J996" t="s">
        <v>80</v>
      </c>
      <c r="K996" t="s">
        <v>65</v>
      </c>
      <c r="L996">
        <v>2</v>
      </c>
      <c r="M996">
        <v>3000</v>
      </c>
      <c r="N996">
        <v>0</v>
      </c>
      <c r="O996">
        <v>6000</v>
      </c>
      <c r="P996">
        <v>1798.64</v>
      </c>
      <c r="Q996" t="s">
        <v>28</v>
      </c>
      <c r="R996" t="s">
        <v>49</v>
      </c>
      <c r="S996" t="s">
        <v>110</v>
      </c>
      <c r="T996">
        <f>YEAR(Table1_1[[#This Row],[order_date]])</f>
        <v>2024</v>
      </c>
      <c r="U996">
        <f>MONTH(Table1_1[[#This Row],[order_date]])</f>
        <v>7</v>
      </c>
      <c r="V996" t="str">
        <f>TEXT(Table1_1[[#This Row],[order_date]],"mmm")</f>
        <v>Jul</v>
      </c>
      <c r="W996" t="str">
        <f>"Q"&amp;ROUNDUP(MONTH(Table1_1[[#This Row],[order_date]])/3,0)</f>
        <v>Q3</v>
      </c>
      <c r="X996" t="str">
        <f>TEXT(Table1_1[[#This Row],[order_date]],"yyyy-mm")</f>
        <v>2024-07</v>
      </c>
      <c r="Y996">
        <f>IF(Table1_1[[#This Row],[ship_date]]="","",Table1_1[[#This Row],[ship_date]]-Table1_1[[#This Row],[order_date]])</f>
        <v>5</v>
      </c>
      <c r="Z996">
        <f>ROUND(Table1_1[[#This Row],[profit]]/Table1_1[[#This Row],[sales_fix]]*100,2)</f>
        <v>29.98</v>
      </c>
    </row>
    <row r="997" spans="1:26" x14ac:dyDescent="0.3">
      <c r="A997" t="s">
        <v>2133</v>
      </c>
      <c r="B997" s="1">
        <v>46003</v>
      </c>
      <c r="C997" s="1">
        <v>46004</v>
      </c>
      <c r="D997" t="s">
        <v>546</v>
      </c>
      <c r="E997" t="s">
        <v>547</v>
      </c>
      <c r="F997" t="s">
        <v>34</v>
      </c>
      <c r="G997" t="s">
        <v>91</v>
      </c>
      <c r="H997" t="s">
        <v>92</v>
      </c>
      <c r="I997" t="s">
        <v>126</v>
      </c>
      <c r="J997" t="s">
        <v>127</v>
      </c>
      <c r="K997" t="s">
        <v>95</v>
      </c>
      <c r="L997">
        <v>1</v>
      </c>
      <c r="M997">
        <v>600</v>
      </c>
      <c r="N997">
        <v>0</v>
      </c>
      <c r="O997">
        <v>600</v>
      </c>
      <c r="P997">
        <v>239.96</v>
      </c>
      <c r="Q997" t="s">
        <v>39</v>
      </c>
      <c r="R997" t="s">
        <v>29</v>
      </c>
      <c r="S997" t="s">
        <v>40</v>
      </c>
      <c r="T997">
        <f>YEAR(Table1_1[[#This Row],[order_date]])</f>
        <v>2025</v>
      </c>
      <c r="U997">
        <f>MONTH(Table1_1[[#This Row],[order_date]])</f>
        <v>12</v>
      </c>
      <c r="V997" t="str">
        <f>TEXT(Table1_1[[#This Row],[order_date]],"mmm")</f>
        <v>Dec</v>
      </c>
      <c r="W997" t="str">
        <f>"Q"&amp;ROUNDUP(MONTH(Table1_1[[#This Row],[order_date]])/3,0)</f>
        <v>Q4</v>
      </c>
      <c r="X997" t="str">
        <f>TEXT(Table1_1[[#This Row],[order_date]],"yyyy-mm")</f>
        <v>2025-12</v>
      </c>
      <c r="Y997">
        <f>IF(Table1_1[[#This Row],[ship_date]]="","",Table1_1[[#This Row],[ship_date]]-Table1_1[[#This Row],[order_date]])</f>
        <v>1</v>
      </c>
      <c r="Z997">
        <f>ROUND(Table1_1[[#This Row],[profit]]/Table1_1[[#This Row],[sales_fix]]*100,2)</f>
        <v>39.99</v>
      </c>
    </row>
    <row r="998" spans="1:26" x14ac:dyDescent="0.3">
      <c r="A998" t="s">
        <v>1968</v>
      </c>
      <c r="B998" s="1">
        <v>45697</v>
      </c>
      <c r="C998" s="1">
        <v>45705</v>
      </c>
      <c r="D998" t="s">
        <v>761</v>
      </c>
      <c r="E998" t="s">
        <v>762</v>
      </c>
      <c r="F998" t="s">
        <v>23</v>
      </c>
      <c r="G998" t="s">
        <v>44</v>
      </c>
      <c r="H998" t="s">
        <v>330</v>
      </c>
      <c r="I998" t="s">
        <v>114</v>
      </c>
      <c r="J998" t="s">
        <v>115</v>
      </c>
      <c r="K998" t="s">
        <v>65</v>
      </c>
      <c r="L998">
        <v>4</v>
      </c>
      <c r="M998">
        <v>55000</v>
      </c>
      <c r="N998">
        <v>15</v>
      </c>
      <c r="O998">
        <v>187000</v>
      </c>
      <c r="P998">
        <v>36329.129999999997</v>
      </c>
      <c r="Q998" t="s">
        <v>39</v>
      </c>
      <c r="R998" t="s">
        <v>56</v>
      </c>
      <c r="S998" t="s">
        <v>110</v>
      </c>
      <c r="T998">
        <f>YEAR(Table1_1[[#This Row],[order_date]])</f>
        <v>2025</v>
      </c>
      <c r="U998">
        <f>MONTH(Table1_1[[#This Row],[order_date]])</f>
        <v>2</v>
      </c>
      <c r="V998" t="str">
        <f>TEXT(Table1_1[[#This Row],[order_date]],"mmm")</f>
        <v>Feb</v>
      </c>
      <c r="W998" t="str">
        <f>"Q"&amp;ROUNDUP(MONTH(Table1_1[[#This Row],[order_date]])/3,0)</f>
        <v>Q1</v>
      </c>
      <c r="X998" t="str">
        <f>TEXT(Table1_1[[#This Row],[order_date]],"yyyy-mm")</f>
        <v>2025-02</v>
      </c>
      <c r="Y998">
        <f>IF(Table1_1[[#This Row],[ship_date]]="","",Table1_1[[#This Row],[ship_date]]-Table1_1[[#This Row],[order_date]])</f>
        <v>8</v>
      </c>
      <c r="Z998">
        <f>ROUND(Table1_1[[#This Row],[profit]]/Table1_1[[#This Row],[sales_fix]]*100,2)</f>
        <v>19.43</v>
      </c>
    </row>
    <row r="999" spans="1:26" x14ac:dyDescent="0.3">
      <c r="A999" t="s">
        <v>1864</v>
      </c>
      <c r="B999" s="1">
        <v>45605</v>
      </c>
      <c r="C999" s="1">
        <v>45607</v>
      </c>
      <c r="D999" t="s">
        <v>272</v>
      </c>
      <c r="E999" t="s">
        <v>273</v>
      </c>
      <c r="F999" t="s">
        <v>23</v>
      </c>
      <c r="G999" t="s">
        <v>35</v>
      </c>
      <c r="H999" t="s">
        <v>258</v>
      </c>
      <c r="I999" t="s">
        <v>46</v>
      </c>
      <c r="J999" t="s">
        <v>47</v>
      </c>
      <c r="K999" t="s">
        <v>48</v>
      </c>
      <c r="L999">
        <v>2</v>
      </c>
      <c r="M999">
        <v>180</v>
      </c>
      <c r="N999">
        <v>0</v>
      </c>
      <c r="O999">
        <v>360</v>
      </c>
      <c r="P999">
        <v>131.01</v>
      </c>
      <c r="Q999" t="s">
        <v>39</v>
      </c>
      <c r="R999" t="s">
        <v>49</v>
      </c>
      <c r="S999" t="s">
        <v>50</v>
      </c>
      <c r="T999">
        <f>YEAR(Table1_1[[#This Row],[order_date]])</f>
        <v>2024</v>
      </c>
      <c r="U999">
        <f>MONTH(Table1_1[[#This Row],[order_date]])</f>
        <v>11</v>
      </c>
      <c r="V999" t="str">
        <f>TEXT(Table1_1[[#This Row],[order_date]],"mmm")</f>
        <v>Nov</v>
      </c>
      <c r="W999" t="str">
        <f>"Q"&amp;ROUNDUP(MONTH(Table1_1[[#This Row],[order_date]])/3,0)</f>
        <v>Q4</v>
      </c>
      <c r="X999" t="str">
        <f>TEXT(Table1_1[[#This Row],[order_date]],"yyyy-mm")</f>
        <v>2024-11</v>
      </c>
      <c r="Y999">
        <f>IF(Table1_1[[#This Row],[ship_date]]="","",Table1_1[[#This Row],[ship_date]]-Table1_1[[#This Row],[order_date]])</f>
        <v>2</v>
      </c>
      <c r="Z999">
        <f>ROUND(Table1_1[[#This Row],[profit]]/Table1_1[[#This Row],[sales_fix]]*100,2)</f>
        <v>36.39</v>
      </c>
    </row>
    <row r="1000" spans="1:26" x14ac:dyDescent="0.3">
      <c r="A1000" t="s">
        <v>2255</v>
      </c>
      <c r="B1000" s="1">
        <v>45925</v>
      </c>
      <c r="C1000" s="1">
        <v>45927</v>
      </c>
      <c r="D1000" t="s">
        <v>606</v>
      </c>
      <c r="E1000" t="s">
        <v>607</v>
      </c>
      <c r="F1000" t="s">
        <v>23</v>
      </c>
      <c r="G1000" t="s">
        <v>35</v>
      </c>
      <c r="H1000" t="s">
        <v>36</v>
      </c>
      <c r="I1000" t="s">
        <v>134</v>
      </c>
      <c r="J1000" t="s">
        <v>135</v>
      </c>
      <c r="K1000" t="s">
        <v>27</v>
      </c>
      <c r="L1000">
        <v>1</v>
      </c>
      <c r="M1000">
        <v>6000</v>
      </c>
      <c r="N1000">
        <v>5</v>
      </c>
      <c r="O1000">
        <v>5700</v>
      </c>
      <c r="P1000">
        <v>1058.1199999999999</v>
      </c>
      <c r="Q1000" t="s">
        <v>156</v>
      </c>
      <c r="R1000" t="s">
        <v>49</v>
      </c>
      <c r="S1000" t="s">
        <v>30</v>
      </c>
      <c r="T1000">
        <f>YEAR(Table1_1[[#This Row],[order_date]])</f>
        <v>2025</v>
      </c>
      <c r="U1000">
        <f>MONTH(Table1_1[[#This Row],[order_date]])</f>
        <v>9</v>
      </c>
      <c r="V1000" t="str">
        <f>TEXT(Table1_1[[#This Row],[order_date]],"mmm")</f>
        <v>Sep</v>
      </c>
      <c r="W1000" t="str">
        <f>"Q"&amp;ROUNDUP(MONTH(Table1_1[[#This Row],[order_date]])/3,0)</f>
        <v>Q3</v>
      </c>
      <c r="X1000" t="str">
        <f>TEXT(Table1_1[[#This Row],[order_date]],"yyyy-mm")</f>
        <v>2025-09</v>
      </c>
      <c r="Y1000">
        <f>IF(Table1_1[[#This Row],[ship_date]]="","",Table1_1[[#This Row],[ship_date]]-Table1_1[[#This Row],[order_date]])</f>
        <v>2</v>
      </c>
      <c r="Z1000">
        <f>ROUND(Table1_1[[#This Row],[profit]]/Table1_1[[#This Row],[sales_fix]]*100,2)</f>
        <v>18.559999999999999</v>
      </c>
    </row>
    <row r="1001" spans="1:26" x14ac:dyDescent="0.3">
      <c r="A1001" t="s">
        <v>1353</v>
      </c>
      <c r="B1001" s="1">
        <v>45949</v>
      </c>
      <c r="C1001" s="1">
        <v>45956</v>
      </c>
      <c r="D1001" t="s">
        <v>308</v>
      </c>
      <c r="E1001" t="s">
        <v>309</v>
      </c>
      <c r="F1001" t="s">
        <v>34</v>
      </c>
      <c r="G1001" t="s">
        <v>91</v>
      </c>
      <c r="H1001" t="s">
        <v>177</v>
      </c>
      <c r="I1001" t="s">
        <v>126</v>
      </c>
      <c r="J1001" t="s">
        <v>127</v>
      </c>
      <c r="K1001" t="s">
        <v>95</v>
      </c>
      <c r="L1001">
        <v>1</v>
      </c>
      <c r="M1001">
        <v>600</v>
      </c>
      <c r="N1001">
        <v>0</v>
      </c>
      <c r="O1001">
        <v>600</v>
      </c>
      <c r="P1001">
        <v>232.86</v>
      </c>
      <c r="Q1001" t="s">
        <v>121</v>
      </c>
      <c r="R1001" t="s">
        <v>49</v>
      </c>
      <c r="S1001" t="s">
        <v>86</v>
      </c>
      <c r="T1001">
        <f>YEAR(Table1_1[[#This Row],[order_date]])</f>
        <v>2025</v>
      </c>
      <c r="U1001">
        <f>MONTH(Table1_1[[#This Row],[order_date]])</f>
        <v>10</v>
      </c>
      <c r="V1001" t="str">
        <f>TEXT(Table1_1[[#This Row],[order_date]],"mmm")</f>
        <v>Oct</v>
      </c>
      <c r="W1001" t="str">
        <f>"Q"&amp;ROUNDUP(MONTH(Table1_1[[#This Row],[order_date]])/3,0)</f>
        <v>Q4</v>
      </c>
      <c r="X1001" t="str">
        <f>TEXT(Table1_1[[#This Row],[order_date]],"yyyy-mm")</f>
        <v>2025-10</v>
      </c>
      <c r="Y1001">
        <f>IF(Table1_1[[#This Row],[ship_date]]="","",Table1_1[[#This Row],[ship_date]]-Table1_1[[#This Row],[order_date]])</f>
        <v>7</v>
      </c>
      <c r="Z1001">
        <f>ROUND(Table1_1[[#This Row],[profit]]/Table1_1[[#This Row],[sales_fix]]*100,2)</f>
        <v>38.81</v>
      </c>
    </row>
    <row r="1002" spans="1:26" x14ac:dyDescent="0.3">
      <c r="A1002" t="s">
        <v>773</v>
      </c>
      <c r="B1002" s="1">
        <v>45663</v>
      </c>
      <c r="C1002" s="1">
        <v>45667</v>
      </c>
      <c r="D1002" t="s">
        <v>774</v>
      </c>
      <c r="E1002" t="s">
        <v>775</v>
      </c>
      <c r="F1002" t="s">
        <v>55</v>
      </c>
      <c r="G1002" t="s">
        <v>61</v>
      </c>
      <c r="H1002" t="s">
        <v>211</v>
      </c>
      <c r="I1002" t="s">
        <v>63</v>
      </c>
      <c r="J1002" t="s">
        <v>64</v>
      </c>
      <c r="K1002" t="s">
        <v>65</v>
      </c>
      <c r="L1002">
        <v>2</v>
      </c>
      <c r="M1002">
        <v>25000</v>
      </c>
      <c r="N1002">
        <v>20</v>
      </c>
      <c r="O1002">
        <v>40000</v>
      </c>
      <c r="P1002">
        <v>5005.13</v>
      </c>
      <c r="Q1002" t="s">
        <v>74</v>
      </c>
      <c r="R1002" t="s">
        <v>29</v>
      </c>
      <c r="S1002" t="s">
        <v>40</v>
      </c>
      <c r="T1002">
        <f>YEAR(Table1_1[[#This Row],[order_date]])</f>
        <v>2025</v>
      </c>
      <c r="U1002">
        <f>MONTH(Table1_1[[#This Row],[order_date]])</f>
        <v>1</v>
      </c>
      <c r="V1002" t="str">
        <f>TEXT(Table1_1[[#This Row],[order_date]],"mmm")</f>
        <v>Jan</v>
      </c>
      <c r="W1002" t="str">
        <f>"Q"&amp;ROUNDUP(MONTH(Table1_1[[#This Row],[order_date]])/3,0)</f>
        <v>Q1</v>
      </c>
      <c r="X1002" t="str">
        <f>TEXT(Table1_1[[#This Row],[order_date]],"yyyy-mm")</f>
        <v>2025-01</v>
      </c>
      <c r="Y1002">
        <f>IF(Table1_1[[#This Row],[ship_date]]="","",Table1_1[[#This Row],[ship_date]]-Table1_1[[#This Row],[order_date]])</f>
        <v>4</v>
      </c>
      <c r="Z1002">
        <f>ROUND(Table1_1[[#This Row],[profit]]/Table1_1[[#This Row],[sales_fix]]*100,2)</f>
        <v>12.51</v>
      </c>
    </row>
    <row r="1003" spans="1:26" x14ac:dyDescent="0.3">
      <c r="A1003" t="s">
        <v>2283</v>
      </c>
      <c r="B1003" s="1">
        <v>45508</v>
      </c>
      <c r="C1003" s="1">
        <v>45512</v>
      </c>
      <c r="D1003" t="s">
        <v>179</v>
      </c>
      <c r="E1003" t="s">
        <v>180</v>
      </c>
      <c r="F1003" t="s">
        <v>23</v>
      </c>
      <c r="G1003" t="s">
        <v>91</v>
      </c>
      <c r="H1003" t="s">
        <v>177</v>
      </c>
      <c r="I1003" t="s">
        <v>63</v>
      </c>
      <c r="J1003" t="s">
        <v>64</v>
      </c>
      <c r="K1003" t="s">
        <v>65</v>
      </c>
      <c r="L1003">
        <v>2</v>
      </c>
      <c r="M1003">
        <v>25000</v>
      </c>
      <c r="N1003">
        <v>20</v>
      </c>
      <c r="O1003">
        <v>40000</v>
      </c>
      <c r="P1003">
        <v>6000</v>
      </c>
      <c r="Q1003" t="s">
        <v>39</v>
      </c>
      <c r="R1003" t="s">
        <v>29</v>
      </c>
      <c r="S1003" t="s">
        <v>86</v>
      </c>
      <c r="T1003">
        <f>YEAR(Table1_1[[#This Row],[order_date]])</f>
        <v>2024</v>
      </c>
      <c r="U1003">
        <f>MONTH(Table1_1[[#This Row],[order_date]])</f>
        <v>8</v>
      </c>
      <c r="V1003" t="str">
        <f>TEXT(Table1_1[[#This Row],[order_date]],"mmm")</f>
        <v>Aug</v>
      </c>
      <c r="W1003" t="str">
        <f>"Q"&amp;ROUNDUP(MONTH(Table1_1[[#This Row],[order_date]])/3,0)</f>
        <v>Q3</v>
      </c>
      <c r="X1003" t="str">
        <f>TEXT(Table1_1[[#This Row],[order_date]],"yyyy-mm")</f>
        <v>2024-08</v>
      </c>
      <c r="Y1003">
        <f>IF(Table1_1[[#This Row],[ship_date]]="","",Table1_1[[#This Row],[ship_date]]-Table1_1[[#This Row],[order_date]])</f>
        <v>4</v>
      </c>
      <c r="Z1003">
        <f>ROUND(Table1_1[[#This Row],[profit]]/Table1_1[[#This Row],[sales_fix]]*100,2)</f>
        <v>15</v>
      </c>
    </row>
    <row r="1004" spans="1:26" x14ac:dyDescent="0.3">
      <c r="A1004" t="s">
        <v>398</v>
      </c>
      <c r="B1004" s="1">
        <v>45379</v>
      </c>
      <c r="C1004" s="1">
        <v>45387</v>
      </c>
      <c r="D1004" t="s">
        <v>101</v>
      </c>
      <c r="E1004" t="s">
        <v>102</v>
      </c>
      <c r="F1004" t="s">
        <v>55</v>
      </c>
      <c r="G1004" t="s">
        <v>35</v>
      </c>
      <c r="H1004" t="s">
        <v>36</v>
      </c>
      <c r="I1004" t="s">
        <v>25</v>
      </c>
      <c r="J1004" t="s">
        <v>26</v>
      </c>
      <c r="K1004" t="s">
        <v>27</v>
      </c>
      <c r="L1004">
        <v>10</v>
      </c>
      <c r="M1004">
        <v>7000</v>
      </c>
      <c r="N1004">
        <v>10</v>
      </c>
      <c r="O1004">
        <v>63000</v>
      </c>
      <c r="P1004">
        <v>9950.7800000000007</v>
      </c>
      <c r="Q1004" t="s">
        <v>66</v>
      </c>
      <c r="R1004" t="s">
        <v>29</v>
      </c>
      <c r="S1004" t="s">
        <v>110</v>
      </c>
      <c r="T1004">
        <f>YEAR(Table1_1[[#This Row],[order_date]])</f>
        <v>2024</v>
      </c>
      <c r="U1004">
        <f>MONTH(Table1_1[[#This Row],[order_date]])</f>
        <v>3</v>
      </c>
      <c r="V1004" t="str">
        <f>TEXT(Table1_1[[#This Row],[order_date]],"mmm")</f>
        <v>Mar</v>
      </c>
      <c r="W1004" t="str">
        <f>"Q"&amp;ROUNDUP(MONTH(Table1_1[[#This Row],[order_date]])/3,0)</f>
        <v>Q1</v>
      </c>
      <c r="X1004" t="str">
        <f>TEXT(Table1_1[[#This Row],[order_date]],"yyyy-mm")</f>
        <v>2024-03</v>
      </c>
      <c r="Y1004">
        <f>IF(Table1_1[[#This Row],[ship_date]]="","",Table1_1[[#This Row],[ship_date]]-Table1_1[[#This Row],[order_date]])</f>
        <v>8</v>
      </c>
      <c r="Z1004">
        <f>ROUND(Table1_1[[#This Row],[profit]]/Table1_1[[#This Row],[sales_fix]]*100,2)</f>
        <v>15.79</v>
      </c>
    </row>
    <row r="1005" spans="1:26" x14ac:dyDescent="0.3">
      <c r="A1005" t="s">
        <v>2614</v>
      </c>
      <c r="B1005" s="1">
        <v>45300</v>
      </c>
      <c r="C1005" s="1">
        <v>45307</v>
      </c>
      <c r="D1005" t="s">
        <v>554</v>
      </c>
      <c r="E1005" t="s">
        <v>555</v>
      </c>
      <c r="F1005" t="s">
        <v>55</v>
      </c>
      <c r="G1005" t="s">
        <v>61</v>
      </c>
      <c r="H1005" t="s">
        <v>62</v>
      </c>
      <c r="I1005" t="s">
        <v>25</v>
      </c>
      <c r="J1005" t="s">
        <v>26</v>
      </c>
      <c r="K1005" t="s">
        <v>27</v>
      </c>
      <c r="L1005">
        <v>10</v>
      </c>
      <c r="M1005">
        <v>7000</v>
      </c>
      <c r="N1005">
        <v>20</v>
      </c>
      <c r="O1005">
        <v>56000</v>
      </c>
      <c r="P1005">
        <v>10015.68</v>
      </c>
      <c r="Q1005" t="s">
        <v>39</v>
      </c>
      <c r="R1005" t="s">
        <v>29</v>
      </c>
      <c r="S1005" t="s">
        <v>110</v>
      </c>
      <c r="T1005">
        <f>YEAR(Table1_1[[#This Row],[order_date]])</f>
        <v>2024</v>
      </c>
      <c r="U1005">
        <f>MONTH(Table1_1[[#This Row],[order_date]])</f>
        <v>1</v>
      </c>
      <c r="V1005" t="str">
        <f>TEXT(Table1_1[[#This Row],[order_date]],"mmm")</f>
        <v>Jan</v>
      </c>
      <c r="W1005" t="str">
        <f>"Q"&amp;ROUNDUP(MONTH(Table1_1[[#This Row],[order_date]])/3,0)</f>
        <v>Q1</v>
      </c>
      <c r="X1005" t="str">
        <f>TEXT(Table1_1[[#This Row],[order_date]],"yyyy-mm")</f>
        <v>2024-01</v>
      </c>
      <c r="Y1005">
        <f>IF(Table1_1[[#This Row],[ship_date]]="","",Table1_1[[#This Row],[ship_date]]-Table1_1[[#This Row],[order_date]])</f>
        <v>7</v>
      </c>
      <c r="Z1005">
        <f>ROUND(Table1_1[[#This Row],[profit]]/Table1_1[[#This Row],[sales_fix]]*100,2)</f>
        <v>17.89</v>
      </c>
    </row>
    <row r="1006" spans="1:26" x14ac:dyDescent="0.3">
      <c r="A1006" t="s">
        <v>673</v>
      </c>
      <c r="B1006" s="1">
        <v>45656</v>
      </c>
      <c r="C1006" s="1">
        <v>45658</v>
      </c>
      <c r="D1006" t="s">
        <v>674</v>
      </c>
      <c r="E1006" t="s">
        <v>675</v>
      </c>
      <c r="F1006" t="s">
        <v>55</v>
      </c>
      <c r="G1006" t="s">
        <v>91</v>
      </c>
      <c r="H1006" t="s">
        <v>109</v>
      </c>
      <c r="I1006" t="s">
        <v>71</v>
      </c>
      <c r="J1006" t="s">
        <v>72</v>
      </c>
      <c r="K1006" t="s">
        <v>73</v>
      </c>
      <c r="L1006">
        <v>3</v>
      </c>
      <c r="M1006">
        <v>3500</v>
      </c>
      <c r="N1006">
        <v>0</v>
      </c>
      <c r="O1006">
        <v>10500</v>
      </c>
      <c r="P1006">
        <v>2797.29</v>
      </c>
      <c r="Q1006" t="s">
        <v>39</v>
      </c>
      <c r="R1006" t="s">
        <v>29</v>
      </c>
      <c r="S1006" t="s">
        <v>86</v>
      </c>
      <c r="T1006">
        <f>YEAR(Table1_1[[#This Row],[order_date]])</f>
        <v>2024</v>
      </c>
      <c r="U1006">
        <f>MONTH(Table1_1[[#This Row],[order_date]])</f>
        <v>12</v>
      </c>
      <c r="V1006" t="str">
        <f>TEXT(Table1_1[[#This Row],[order_date]],"mmm")</f>
        <v>Dec</v>
      </c>
      <c r="W1006" t="str">
        <f>"Q"&amp;ROUNDUP(MONTH(Table1_1[[#This Row],[order_date]])/3,0)</f>
        <v>Q4</v>
      </c>
      <c r="X1006" t="str">
        <f>TEXT(Table1_1[[#This Row],[order_date]],"yyyy-mm")</f>
        <v>2024-12</v>
      </c>
      <c r="Y1006">
        <f>IF(Table1_1[[#This Row],[ship_date]]="","",Table1_1[[#This Row],[ship_date]]-Table1_1[[#This Row],[order_date]])</f>
        <v>2</v>
      </c>
      <c r="Z1006">
        <f>ROUND(Table1_1[[#This Row],[profit]]/Table1_1[[#This Row],[sales_fix]]*100,2)</f>
        <v>26.64</v>
      </c>
    </row>
    <row r="1007" spans="1:26" x14ac:dyDescent="0.3">
      <c r="A1007" t="s">
        <v>305</v>
      </c>
      <c r="B1007" s="1">
        <v>45892</v>
      </c>
      <c r="C1007" s="1">
        <v>45895</v>
      </c>
      <c r="D1007" t="s">
        <v>159</v>
      </c>
      <c r="E1007" t="s">
        <v>160</v>
      </c>
      <c r="F1007" t="s">
        <v>34</v>
      </c>
      <c r="G1007" t="s">
        <v>44</v>
      </c>
      <c r="H1007" t="s">
        <v>161</v>
      </c>
      <c r="I1007" t="s">
        <v>147</v>
      </c>
      <c r="J1007" t="s">
        <v>148</v>
      </c>
      <c r="K1007" t="s">
        <v>48</v>
      </c>
      <c r="L1007">
        <v>4</v>
      </c>
      <c r="M1007">
        <v>250</v>
      </c>
      <c r="N1007">
        <v>0</v>
      </c>
      <c r="O1007">
        <v>1000</v>
      </c>
      <c r="P1007">
        <v>326.42</v>
      </c>
      <c r="Q1007" t="s">
        <v>156</v>
      </c>
      <c r="R1007" t="s">
        <v>49</v>
      </c>
      <c r="S1007" t="s">
        <v>86</v>
      </c>
      <c r="T1007">
        <f>YEAR(Table1_1[[#This Row],[order_date]])</f>
        <v>2025</v>
      </c>
      <c r="U1007">
        <f>MONTH(Table1_1[[#This Row],[order_date]])</f>
        <v>8</v>
      </c>
      <c r="V1007" t="str">
        <f>TEXT(Table1_1[[#This Row],[order_date]],"mmm")</f>
        <v>Aug</v>
      </c>
      <c r="W1007" t="str">
        <f>"Q"&amp;ROUNDUP(MONTH(Table1_1[[#This Row],[order_date]])/3,0)</f>
        <v>Q3</v>
      </c>
      <c r="X1007" t="str">
        <f>TEXT(Table1_1[[#This Row],[order_date]],"yyyy-mm")</f>
        <v>2025-08</v>
      </c>
      <c r="Y1007">
        <f>IF(Table1_1[[#This Row],[ship_date]]="","",Table1_1[[#This Row],[ship_date]]-Table1_1[[#This Row],[order_date]])</f>
        <v>3</v>
      </c>
      <c r="Z1007">
        <f>ROUND(Table1_1[[#This Row],[profit]]/Table1_1[[#This Row],[sales_fix]]*100,2)</f>
        <v>32.64</v>
      </c>
    </row>
    <row r="1008" spans="1:26" x14ac:dyDescent="0.3">
      <c r="A1008" t="s">
        <v>2869</v>
      </c>
      <c r="B1008" s="1">
        <v>45529</v>
      </c>
      <c r="C1008" s="1">
        <v>45532</v>
      </c>
      <c r="D1008" t="s">
        <v>554</v>
      </c>
      <c r="E1008" t="s">
        <v>555</v>
      </c>
      <c r="F1008" t="s">
        <v>55</v>
      </c>
      <c r="G1008" t="s">
        <v>61</v>
      </c>
      <c r="H1008" t="s">
        <v>62</v>
      </c>
      <c r="I1008" t="s">
        <v>71</v>
      </c>
      <c r="J1008" t="s">
        <v>72</v>
      </c>
      <c r="K1008" t="s">
        <v>73</v>
      </c>
      <c r="L1008">
        <v>4</v>
      </c>
      <c r="M1008">
        <v>3500</v>
      </c>
      <c r="N1008">
        <v>20</v>
      </c>
      <c r="O1008">
        <v>11200</v>
      </c>
      <c r="P1008">
        <v>3485.74</v>
      </c>
      <c r="Q1008" t="s">
        <v>156</v>
      </c>
      <c r="R1008" t="s">
        <v>29</v>
      </c>
      <c r="S1008" t="s">
        <v>40</v>
      </c>
      <c r="T1008">
        <f>YEAR(Table1_1[[#This Row],[order_date]])</f>
        <v>2024</v>
      </c>
      <c r="U1008">
        <f>MONTH(Table1_1[[#This Row],[order_date]])</f>
        <v>8</v>
      </c>
      <c r="V1008" t="str">
        <f>TEXT(Table1_1[[#This Row],[order_date]],"mmm")</f>
        <v>Aug</v>
      </c>
      <c r="W1008" t="str">
        <f>"Q"&amp;ROUNDUP(MONTH(Table1_1[[#This Row],[order_date]])/3,0)</f>
        <v>Q3</v>
      </c>
      <c r="X1008" t="str">
        <f>TEXT(Table1_1[[#This Row],[order_date]],"yyyy-mm")</f>
        <v>2024-08</v>
      </c>
      <c r="Y1008">
        <f>IF(Table1_1[[#This Row],[ship_date]]="","",Table1_1[[#This Row],[ship_date]]-Table1_1[[#This Row],[order_date]])</f>
        <v>3</v>
      </c>
      <c r="Z1008">
        <f>ROUND(Table1_1[[#This Row],[profit]]/Table1_1[[#This Row],[sales_fix]]*100,2)</f>
        <v>31.12</v>
      </c>
    </row>
    <row r="1009" spans="1:26" x14ac:dyDescent="0.3">
      <c r="A1009" t="s">
        <v>1824</v>
      </c>
      <c r="B1009" s="1">
        <v>45915</v>
      </c>
      <c r="C1009" s="1">
        <v>45918</v>
      </c>
      <c r="D1009" t="s">
        <v>488</v>
      </c>
      <c r="E1009" t="s">
        <v>489</v>
      </c>
      <c r="F1009" t="s">
        <v>34</v>
      </c>
      <c r="G1009" t="s">
        <v>35</v>
      </c>
      <c r="H1009" t="s">
        <v>36</v>
      </c>
      <c r="I1009" t="s">
        <v>71</v>
      </c>
      <c r="J1009" t="s">
        <v>72</v>
      </c>
      <c r="K1009" t="s">
        <v>73</v>
      </c>
      <c r="L1009">
        <v>3</v>
      </c>
      <c r="M1009">
        <v>3500</v>
      </c>
      <c r="N1009">
        <v>20</v>
      </c>
      <c r="O1009">
        <v>8400</v>
      </c>
      <c r="P1009">
        <v>2248.69</v>
      </c>
      <c r="Q1009" t="s">
        <v>74</v>
      </c>
      <c r="R1009" t="s">
        <v>49</v>
      </c>
      <c r="S1009" t="s">
        <v>110</v>
      </c>
      <c r="T1009">
        <f>YEAR(Table1_1[[#This Row],[order_date]])</f>
        <v>2025</v>
      </c>
      <c r="U1009">
        <f>MONTH(Table1_1[[#This Row],[order_date]])</f>
        <v>9</v>
      </c>
      <c r="V1009" t="str">
        <f>TEXT(Table1_1[[#This Row],[order_date]],"mmm")</f>
        <v>Sep</v>
      </c>
      <c r="W1009" t="str">
        <f>"Q"&amp;ROUNDUP(MONTH(Table1_1[[#This Row],[order_date]])/3,0)</f>
        <v>Q3</v>
      </c>
      <c r="X1009" t="str">
        <f>TEXT(Table1_1[[#This Row],[order_date]],"yyyy-mm")</f>
        <v>2025-09</v>
      </c>
      <c r="Y1009">
        <f>IF(Table1_1[[#This Row],[ship_date]]="","",Table1_1[[#This Row],[ship_date]]-Table1_1[[#This Row],[order_date]])</f>
        <v>3</v>
      </c>
      <c r="Z1009">
        <f>ROUND(Table1_1[[#This Row],[profit]]/Table1_1[[#This Row],[sales_fix]]*100,2)</f>
        <v>26.77</v>
      </c>
    </row>
    <row r="1010" spans="1:26" x14ac:dyDescent="0.3">
      <c r="A1010" t="s">
        <v>1720</v>
      </c>
      <c r="B1010" s="1">
        <v>46021</v>
      </c>
      <c r="C1010" s="1">
        <v>46023</v>
      </c>
      <c r="D1010" t="s">
        <v>575</v>
      </c>
      <c r="E1010" t="s">
        <v>836</v>
      </c>
      <c r="F1010" t="s">
        <v>34</v>
      </c>
      <c r="G1010" t="s">
        <v>91</v>
      </c>
      <c r="H1010" t="s">
        <v>120</v>
      </c>
      <c r="I1010" t="s">
        <v>114</v>
      </c>
      <c r="J1010" t="s">
        <v>115</v>
      </c>
      <c r="K1010" t="s">
        <v>65</v>
      </c>
      <c r="L1010">
        <v>1</v>
      </c>
      <c r="M1010">
        <v>55000</v>
      </c>
      <c r="N1010">
        <v>0</v>
      </c>
      <c r="O1010">
        <v>55000</v>
      </c>
      <c r="P1010">
        <v>10878.16</v>
      </c>
      <c r="Q1010" t="s">
        <v>121</v>
      </c>
      <c r="R1010" t="s">
        <v>56</v>
      </c>
      <c r="S1010" t="s">
        <v>30</v>
      </c>
      <c r="T1010">
        <f>YEAR(Table1_1[[#This Row],[order_date]])</f>
        <v>2025</v>
      </c>
      <c r="U1010">
        <f>MONTH(Table1_1[[#This Row],[order_date]])</f>
        <v>12</v>
      </c>
      <c r="V1010" t="str">
        <f>TEXT(Table1_1[[#This Row],[order_date]],"mmm")</f>
        <v>Dec</v>
      </c>
      <c r="W1010" t="str">
        <f>"Q"&amp;ROUNDUP(MONTH(Table1_1[[#This Row],[order_date]])/3,0)</f>
        <v>Q4</v>
      </c>
      <c r="X1010" t="str">
        <f>TEXT(Table1_1[[#This Row],[order_date]],"yyyy-mm")</f>
        <v>2025-12</v>
      </c>
      <c r="Y1010">
        <f>IF(Table1_1[[#This Row],[ship_date]]="","",Table1_1[[#This Row],[ship_date]]-Table1_1[[#This Row],[order_date]])</f>
        <v>2</v>
      </c>
      <c r="Z1010">
        <f>ROUND(Table1_1[[#This Row],[profit]]/Table1_1[[#This Row],[sales_fix]]*100,2)</f>
        <v>19.78</v>
      </c>
    </row>
    <row r="1011" spans="1:26" x14ac:dyDescent="0.3">
      <c r="A1011" t="s">
        <v>2748</v>
      </c>
      <c r="B1011" s="1">
        <v>45438</v>
      </c>
      <c r="C1011" s="1">
        <v>45440</v>
      </c>
      <c r="D1011" t="s">
        <v>203</v>
      </c>
      <c r="E1011" t="s">
        <v>204</v>
      </c>
      <c r="F1011" t="s">
        <v>23</v>
      </c>
      <c r="G1011" t="s">
        <v>44</v>
      </c>
      <c r="H1011" t="s">
        <v>45</v>
      </c>
      <c r="I1011" t="s">
        <v>114</v>
      </c>
      <c r="J1011" t="s">
        <v>115</v>
      </c>
      <c r="K1011" t="s">
        <v>65</v>
      </c>
      <c r="L1011">
        <v>3</v>
      </c>
      <c r="M1011">
        <v>55000</v>
      </c>
      <c r="N1011">
        <v>0</v>
      </c>
      <c r="O1011">
        <v>165000</v>
      </c>
      <c r="P1011">
        <v>27289.98</v>
      </c>
      <c r="Q1011" t="s">
        <v>28</v>
      </c>
      <c r="R1011" t="s">
        <v>29</v>
      </c>
      <c r="S1011" t="s">
        <v>30</v>
      </c>
      <c r="T1011">
        <f>YEAR(Table1_1[[#This Row],[order_date]])</f>
        <v>2024</v>
      </c>
      <c r="U1011">
        <f>MONTH(Table1_1[[#This Row],[order_date]])</f>
        <v>5</v>
      </c>
      <c r="V1011" t="str">
        <f>TEXT(Table1_1[[#This Row],[order_date]],"mmm")</f>
        <v>May</v>
      </c>
      <c r="W1011" t="str">
        <f>"Q"&amp;ROUNDUP(MONTH(Table1_1[[#This Row],[order_date]])/3,0)</f>
        <v>Q2</v>
      </c>
      <c r="X1011" t="str">
        <f>TEXT(Table1_1[[#This Row],[order_date]],"yyyy-mm")</f>
        <v>2024-05</v>
      </c>
      <c r="Y1011">
        <f>IF(Table1_1[[#This Row],[ship_date]]="","",Table1_1[[#This Row],[ship_date]]-Table1_1[[#This Row],[order_date]])</f>
        <v>2</v>
      </c>
      <c r="Z1011">
        <f>ROUND(Table1_1[[#This Row],[profit]]/Table1_1[[#This Row],[sales_fix]]*100,2)</f>
        <v>16.54</v>
      </c>
    </row>
    <row r="1012" spans="1:26" x14ac:dyDescent="0.3">
      <c r="A1012" t="s">
        <v>2833</v>
      </c>
      <c r="B1012" s="1">
        <v>45594</v>
      </c>
      <c r="C1012" s="1">
        <v>45596</v>
      </c>
      <c r="D1012" t="s">
        <v>308</v>
      </c>
      <c r="E1012" t="s">
        <v>309</v>
      </c>
      <c r="F1012" t="s">
        <v>34</v>
      </c>
      <c r="G1012" t="s">
        <v>91</v>
      </c>
      <c r="H1012" t="s">
        <v>177</v>
      </c>
      <c r="I1012" t="s">
        <v>79</v>
      </c>
      <c r="J1012" t="s">
        <v>80</v>
      </c>
      <c r="K1012" t="s">
        <v>65</v>
      </c>
      <c r="L1012">
        <v>1</v>
      </c>
      <c r="M1012">
        <v>3000</v>
      </c>
      <c r="N1012">
        <v>0</v>
      </c>
      <c r="O1012">
        <v>3000</v>
      </c>
      <c r="P1012">
        <v>757.21</v>
      </c>
      <c r="Q1012" t="s">
        <v>121</v>
      </c>
      <c r="R1012" t="s">
        <v>56</v>
      </c>
      <c r="S1012" t="s">
        <v>30</v>
      </c>
      <c r="T1012">
        <f>YEAR(Table1_1[[#This Row],[order_date]])</f>
        <v>2024</v>
      </c>
      <c r="U1012">
        <f>MONTH(Table1_1[[#This Row],[order_date]])</f>
        <v>10</v>
      </c>
      <c r="V1012" t="str">
        <f>TEXT(Table1_1[[#This Row],[order_date]],"mmm")</f>
        <v>Oct</v>
      </c>
      <c r="W1012" t="str">
        <f>"Q"&amp;ROUNDUP(MONTH(Table1_1[[#This Row],[order_date]])/3,0)</f>
        <v>Q4</v>
      </c>
      <c r="X1012" t="str">
        <f>TEXT(Table1_1[[#This Row],[order_date]],"yyyy-mm")</f>
        <v>2024-10</v>
      </c>
      <c r="Y1012">
        <f>IF(Table1_1[[#This Row],[ship_date]]="","",Table1_1[[#This Row],[ship_date]]-Table1_1[[#This Row],[order_date]])</f>
        <v>2</v>
      </c>
      <c r="Z1012">
        <f>ROUND(Table1_1[[#This Row],[profit]]/Table1_1[[#This Row],[sales_fix]]*100,2)</f>
        <v>25.24</v>
      </c>
    </row>
    <row r="1013" spans="1:26" x14ac:dyDescent="0.3">
      <c r="A1013" t="s">
        <v>2416</v>
      </c>
      <c r="B1013" s="1">
        <v>45554</v>
      </c>
      <c r="C1013" s="1">
        <v>45557</v>
      </c>
      <c r="D1013" t="s">
        <v>438</v>
      </c>
      <c r="E1013" t="s">
        <v>439</v>
      </c>
      <c r="F1013" t="s">
        <v>34</v>
      </c>
      <c r="G1013" t="s">
        <v>35</v>
      </c>
      <c r="H1013" t="s">
        <v>85</v>
      </c>
      <c r="I1013" t="s">
        <v>147</v>
      </c>
      <c r="J1013" t="s">
        <v>148</v>
      </c>
      <c r="K1013" t="s">
        <v>48</v>
      </c>
      <c r="L1013">
        <v>3</v>
      </c>
      <c r="M1013">
        <v>250</v>
      </c>
      <c r="N1013">
        <v>5</v>
      </c>
      <c r="O1013">
        <v>712.5</v>
      </c>
      <c r="P1013">
        <v>273.63</v>
      </c>
      <c r="Q1013" t="s">
        <v>66</v>
      </c>
      <c r="R1013" t="s">
        <v>56</v>
      </c>
      <c r="S1013" t="s">
        <v>30</v>
      </c>
      <c r="T1013">
        <f>YEAR(Table1_1[[#This Row],[order_date]])</f>
        <v>2024</v>
      </c>
      <c r="U1013">
        <f>MONTH(Table1_1[[#This Row],[order_date]])</f>
        <v>9</v>
      </c>
      <c r="V1013" t="str">
        <f>TEXT(Table1_1[[#This Row],[order_date]],"mmm")</f>
        <v>Sep</v>
      </c>
      <c r="W1013" t="str">
        <f>"Q"&amp;ROUNDUP(MONTH(Table1_1[[#This Row],[order_date]])/3,0)</f>
        <v>Q3</v>
      </c>
      <c r="X1013" t="str">
        <f>TEXT(Table1_1[[#This Row],[order_date]],"yyyy-mm")</f>
        <v>2024-09</v>
      </c>
      <c r="Y1013">
        <f>IF(Table1_1[[#This Row],[ship_date]]="","",Table1_1[[#This Row],[ship_date]]-Table1_1[[#This Row],[order_date]])</f>
        <v>3</v>
      </c>
      <c r="Z1013">
        <f>ROUND(Table1_1[[#This Row],[profit]]/Table1_1[[#This Row],[sales_fix]]*100,2)</f>
        <v>38.4</v>
      </c>
    </row>
    <row r="1014" spans="1:26" x14ac:dyDescent="0.3">
      <c r="A1014" t="s">
        <v>2700</v>
      </c>
      <c r="B1014" s="1">
        <v>45585</v>
      </c>
      <c r="C1014" s="1">
        <v>45591</v>
      </c>
      <c r="D1014" t="s">
        <v>352</v>
      </c>
      <c r="E1014" t="s">
        <v>353</v>
      </c>
      <c r="F1014" t="s">
        <v>55</v>
      </c>
      <c r="G1014" t="s">
        <v>35</v>
      </c>
      <c r="H1014" t="s">
        <v>36</v>
      </c>
      <c r="I1014" t="s">
        <v>37</v>
      </c>
      <c r="J1014" t="s">
        <v>38</v>
      </c>
      <c r="K1014" t="s">
        <v>27</v>
      </c>
      <c r="L1014">
        <v>4</v>
      </c>
      <c r="M1014">
        <v>9500</v>
      </c>
      <c r="N1014">
        <v>15</v>
      </c>
      <c r="O1014">
        <v>32300</v>
      </c>
      <c r="P1014">
        <v>4855.3</v>
      </c>
      <c r="Q1014" t="s">
        <v>39</v>
      </c>
      <c r="R1014" t="s">
        <v>56</v>
      </c>
      <c r="S1014" t="s">
        <v>110</v>
      </c>
      <c r="T1014">
        <f>YEAR(Table1_1[[#This Row],[order_date]])</f>
        <v>2024</v>
      </c>
      <c r="U1014">
        <f>MONTH(Table1_1[[#This Row],[order_date]])</f>
        <v>10</v>
      </c>
      <c r="V1014" t="str">
        <f>TEXT(Table1_1[[#This Row],[order_date]],"mmm")</f>
        <v>Oct</v>
      </c>
      <c r="W1014" t="str">
        <f>"Q"&amp;ROUNDUP(MONTH(Table1_1[[#This Row],[order_date]])/3,0)</f>
        <v>Q4</v>
      </c>
      <c r="X1014" t="str">
        <f>TEXT(Table1_1[[#This Row],[order_date]],"yyyy-mm")</f>
        <v>2024-10</v>
      </c>
      <c r="Y1014">
        <f>IF(Table1_1[[#This Row],[ship_date]]="","",Table1_1[[#This Row],[ship_date]]-Table1_1[[#This Row],[order_date]])</f>
        <v>6</v>
      </c>
      <c r="Z1014">
        <f>ROUND(Table1_1[[#This Row],[profit]]/Table1_1[[#This Row],[sales_fix]]*100,2)</f>
        <v>15.03</v>
      </c>
    </row>
    <row r="1015" spans="1:26" x14ac:dyDescent="0.3">
      <c r="A1015" t="s">
        <v>2771</v>
      </c>
      <c r="B1015" s="1">
        <v>45990</v>
      </c>
      <c r="C1015" s="1">
        <v>45991</v>
      </c>
      <c r="D1015" t="s">
        <v>1028</v>
      </c>
      <c r="E1015" t="s">
        <v>1029</v>
      </c>
      <c r="F1015" t="s">
        <v>34</v>
      </c>
      <c r="G1015" t="s">
        <v>91</v>
      </c>
      <c r="H1015" t="s">
        <v>120</v>
      </c>
      <c r="I1015" t="s">
        <v>63</v>
      </c>
      <c r="J1015" t="s">
        <v>64</v>
      </c>
      <c r="K1015" t="s">
        <v>65</v>
      </c>
      <c r="L1015">
        <v>2</v>
      </c>
      <c r="M1015">
        <v>25000</v>
      </c>
      <c r="N1015">
        <v>15</v>
      </c>
      <c r="O1015">
        <v>42500</v>
      </c>
      <c r="P1015">
        <v>4571.32</v>
      </c>
      <c r="Q1015" t="s">
        <v>156</v>
      </c>
      <c r="R1015" t="s">
        <v>29</v>
      </c>
      <c r="S1015" t="s">
        <v>194</v>
      </c>
      <c r="T1015">
        <f>YEAR(Table1_1[[#This Row],[order_date]])</f>
        <v>2025</v>
      </c>
      <c r="U1015">
        <f>MONTH(Table1_1[[#This Row],[order_date]])</f>
        <v>11</v>
      </c>
      <c r="V1015" t="str">
        <f>TEXT(Table1_1[[#This Row],[order_date]],"mmm")</f>
        <v>Nov</v>
      </c>
      <c r="W1015" t="str">
        <f>"Q"&amp;ROUNDUP(MONTH(Table1_1[[#This Row],[order_date]])/3,0)</f>
        <v>Q4</v>
      </c>
      <c r="X1015" t="str">
        <f>TEXT(Table1_1[[#This Row],[order_date]],"yyyy-mm")</f>
        <v>2025-11</v>
      </c>
      <c r="Y1015">
        <f>IF(Table1_1[[#This Row],[ship_date]]="","",Table1_1[[#This Row],[ship_date]]-Table1_1[[#This Row],[order_date]])</f>
        <v>1</v>
      </c>
      <c r="Z1015">
        <f>ROUND(Table1_1[[#This Row],[profit]]/Table1_1[[#This Row],[sales_fix]]*100,2)</f>
        <v>10.76</v>
      </c>
    </row>
    <row r="1016" spans="1:26" x14ac:dyDescent="0.3">
      <c r="A1016" t="s">
        <v>3047</v>
      </c>
      <c r="B1016" s="1">
        <v>45399</v>
      </c>
      <c r="C1016" s="1">
        <v>45401</v>
      </c>
      <c r="D1016" t="s">
        <v>400</v>
      </c>
      <c r="E1016" t="s">
        <v>401</v>
      </c>
      <c r="F1016" t="s">
        <v>34</v>
      </c>
      <c r="G1016" t="s">
        <v>44</v>
      </c>
      <c r="H1016" t="s">
        <v>24</v>
      </c>
      <c r="I1016" t="s">
        <v>79</v>
      </c>
      <c r="J1016" t="s">
        <v>80</v>
      </c>
      <c r="K1016" t="s">
        <v>65</v>
      </c>
      <c r="L1016">
        <v>1</v>
      </c>
      <c r="M1016">
        <v>3000</v>
      </c>
      <c r="N1016">
        <v>0</v>
      </c>
      <c r="O1016">
        <v>3000</v>
      </c>
      <c r="P1016">
        <v>835.25</v>
      </c>
      <c r="Q1016" t="s">
        <v>121</v>
      </c>
      <c r="R1016" t="s">
        <v>49</v>
      </c>
      <c r="S1016" t="s">
        <v>30</v>
      </c>
      <c r="T1016">
        <f>YEAR(Table1_1[[#This Row],[order_date]])</f>
        <v>2024</v>
      </c>
      <c r="U1016">
        <f>MONTH(Table1_1[[#This Row],[order_date]])</f>
        <v>4</v>
      </c>
      <c r="V1016" t="str">
        <f>TEXT(Table1_1[[#This Row],[order_date]],"mmm")</f>
        <v>Apr</v>
      </c>
      <c r="W1016" t="str">
        <f>"Q"&amp;ROUNDUP(MONTH(Table1_1[[#This Row],[order_date]])/3,0)</f>
        <v>Q2</v>
      </c>
      <c r="X1016" t="str">
        <f>TEXT(Table1_1[[#This Row],[order_date]],"yyyy-mm")</f>
        <v>2024-04</v>
      </c>
      <c r="Y1016">
        <f>IF(Table1_1[[#This Row],[ship_date]]="","",Table1_1[[#This Row],[ship_date]]-Table1_1[[#This Row],[order_date]])</f>
        <v>2</v>
      </c>
      <c r="Z1016">
        <f>ROUND(Table1_1[[#This Row],[profit]]/Table1_1[[#This Row],[sales_fix]]*100,2)</f>
        <v>27.84</v>
      </c>
    </row>
    <row r="1017" spans="1:26" x14ac:dyDescent="0.3">
      <c r="A1017" t="s">
        <v>2947</v>
      </c>
      <c r="B1017" s="1">
        <v>45769</v>
      </c>
      <c r="C1017" s="1">
        <v>45777</v>
      </c>
      <c r="D1017" t="s">
        <v>554</v>
      </c>
      <c r="E1017" t="s">
        <v>555</v>
      </c>
      <c r="F1017" t="s">
        <v>55</v>
      </c>
      <c r="G1017" t="s">
        <v>61</v>
      </c>
      <c r="H1017" t="s">
        <v>62</v>
      </c>
      <c r="I1017" t="s">
        <v>37</v>
      </c>
      <c r="J1017" t="s">
        <v>38</v>
      </c>
      <c r="K1017" t="s">
        <v>27</v>
      </c>
      <c r="L1017">
        <v>2</v>
      </c>
      <c r="M1017">
        <v>9500</v>
      </c>
      <c r="N1017">
        <v>10</v>
      </c>
      <c r="O1017">
        <v>17100</v>
      </c>
      <c r="P1017">
        <v>3625.37</v>
      </c>
      <c r="Q1017" t="s">
        <v>66</v>
      </c>
      <c r="R1017" t="s">
        <v>29</v>
      </c>
      <c r="S1017" t="s">
        <v>50</v>
      </c>
      <c r="T1017">
        <f>YEAR(Table1_1[[#This Row],[order_date]])</f>
        <v>2025</v>
      </c>
      <c r="U1017">
        <f>MONTH(Table1_1[[#This Row],[order_date]])</f>
        <v>4</v>
      </c>
      <c r="V1017" t="str">
        <f>TEXT(Table1_1[[#This Row],[order_date]],"mmm")</f>
        <v>Apr</v>
      </c>
      <c r="W1017" t="str">
        <f>"Q"&amp;ROUNDUP(MONTH(Table1_1[[#This Row],[order_date]])/3,0)</f>
        <v>Q2</v>
      </c>
      <c r="X1017" t="str">
        <f>TEXT(Table1_1[[#This Row],[order_date]],"yyyy-mm")</f>
        <v>2025-04</v>
      </c>
      <c r="Y1017">
        <f>IF(Table1_1[[#This Row],[ship_date]]="","",Table1_1[[#This Row],[ship_date]]-Table1_1[[#This Row],[order_date]])</f>
        <v>8</v>
      </c>
      <c r="Z1017">
        <f>ROUND(Table1_1[[#This Row],[profit]]/Table1_1[[#This Row],[sales_fix]]*100,2)</f>
        <v>21.2</v>
      </c>
    </row>
    <row r="1018" spans="1:26" x14ac:dyDescent="0.3">
      <c r="A1018" t="s">
        <v>1386</v>
      </c>
      <c r="B1018" s="1">
        <v>45735</v>
      </c>
      <c r="C1018" s="1">
        <v>45741</v>
      </c>
      <c r="D1018" t="s">
        <v>172</v>
      </c>
      <c r="E1018" t="s">
        <v>173</v>
      </c>
      <c r="F1018" t="s">
        <v>55</v>
      </c>
      <c r="G1018" t="s">
        <v>91</v>
      </c>
      <c r="H1018" t="s">
        <v>177</v>
      </c>
      <c r="I1018" t="s">
        <v>134</v>
      </c>
      <c r="J1018" t="s">
        <v>135</v>
      </c>
      <c r="K1018" t="s">
        <v>27</v>
      </c>
      <c r="L1018">
        <v>1</v>
      </c>
      <c r="M1018">
        <v>6000</v>
      </c>
      <c r="N1018">
        <v>0</v>
      </c>
      <c r="O1018">
        <v>6000</v>
      </c>
      <c r="P1018">
        <v>1045.1400000000001</v>
      </c>
      <c r="Q1018" t="s">
        <v>39</v>
      </c>
      <c r="R1018" t="s">
        <v>49</v>
      </c>
      <c r="S1018" t="s">
        <v>50</v>
      </c>
      <c r="T1018">
        <f>YEAR(Table1_1[[#This Row],[order_date]])</f>
        <v>2025</v>
      </c>
      <c r="U1018">
        <f>MONTH(Table1_1[[#This Row],[order_date]])</f>
        <v>3</v>
      </c>
      <c r="V1018" t="str">
        <f>TEXT(Table1_1[[#This Row],[order_date]],"mmm")</f>
        <v>Mar</v>
      </c>
      <c r="W1018" t="str">
        <f>"Q"&amp;ROUNDUP(MONTH(Table1_1[[#This Row],[order_date]])/3,0)</f>
        <v>Q1</v>
      </c>
      <c r="X1018" t="str">
        <f>TEXT(Table1_1[[#This Row],[order_date]],"yyyy-mm")</f>
        <v>2025-03</v>
      </c>
      <c r="Y1018">
        <f>IF(Table1_1[[#This Row],[ship_date]]="","",Table1_1[[#This Row],[ship_date]]-Table1_1[[#This Row],[order_date]])</f>
        <v>6</v>
      </c>
      <c r="Z1018">
        <f>ROUND(Table1_1[[#This Row],[profit]]/Table1_1[[#This Row],[sales_fix]]*100,2)</f>
        <v>17.420000000000002</v>
      </c>
    </row>
    <row r="1019" spans="1:26" x14ac:dyDescent="0.3">
      <c r="A1019" t="s">
        <v>136</v>
      </c>
      <c r="B1019" s="1">
        <v>45577</v>
      </c>
      <c r="C1019" s="1">
        <v>45581</v>
      </c>
      <c r="D1019" t="s">
        <v>123</v>
      </c>
      <c r="E1019" t="s">
        <v>124</v>
      </c>
      <c r="F1019" t="s">
        <v>34</v>
      </c>
      <c r="G1019" t="s">
        <v>61</v>
      </c>
      <c r="H1019" t="s">
        <v>125</v>
      </c>
      <c r="I1019" t="s">
        <v>63</v>
      </c>
      <c r="J1019" t="s">
        <v>64</v>
      </c>
      <c r="K1019" t="s">
        <v>65</v>
      </c>
      <c r="L1019">
        <v>2</v>
      </c>
      <c r="M1019">
        <v>25000</v>
      </c>
      <c r="N1019">
        <v>5</v>
      </c>
      <c r="O1019">
        <v>47500</v>
      </c>
      <c r="P1019">
        <v>5402.21</v>
      </c>
      <c r="Q1019" t="s">
        <v>74</v>
      </c>
      <c r="R1019" t="s">
        <v>56</v>
      </c>
      <c r="S1019" t="s">
        <v>86</v>
      </c>
      <c r="T1019">
        <f>YEAR(Table1_1[[#This Row],[order_date]])</f>
        <v>2024</v>
      </c>
      <c r="U1019">
        <f>MONTH(Table1_1[[#This Row],[order_date]])</f>
        <v>10</v>
      </c>
      <c r="V1019" t="str">
        <f>TEXT(Table1_1[[#This Row],[order_date]],"mmm")</f>
        <v>Oct</v>
      </c>
      <c r="W1019" t="str">
        <f>"Q"&amp;ROUNDUP(MONTH(Table1_1[[#This Row],[order_date]])/3,0)</f>
        <v>Q4</v>
      </c>
      <c r="X1019" t="str">
        <f>TEXT(Table1_1[[#This Row],[order_date]],"yyyy-mm")</f>
        <v>2024-10</v>
      </c>
      <c r="Y1019">
        <f>IF(Table1_1[[#This Row],[ship_date]]="","",Table1_1[[#This Row],[ship_date]]-Table1_1[[#This Row],[order_date]])</f>
        <v>4</v>
      </c>
      <c r="Z1019">
        <f>ROUND(Table1_1[[#This Row],[profit]]/Table1_1[[#This Row],[sales_fix]]*100,2)</f>
        <v>11.37</v>
      </c>
    </row>
    <row r="1020" spans="1:26" x14ac:dyDescent="0.3">
      <c r="A1020" t="s">
        <v>3090</v>
      </c>
      <c r="B1020" s="1">
        <v>45662</v>
      </c>
      <c r="C1020" s="1">
        <v>45666</v>
      </c>
      <c r="D1020" t="s">
        <v>1067</v>
      </c>
      <c r="E1020" t="s">
        <v>1068</v>
      </c>
      <c r="F1020" t="s">
        <v>23</v>
      </c>
      <c r="G1020" t="s">
        <v>35</v>
      </c>
      <c r="H1020" t="s">
        <v>85</v>
      </c>
      <c r="I1020" t="s">
        <v>114</v>
      </c>
      <c r="J1020" t="s">
        <v>115</v>
      </c>
      <c r="K1020" t="s">
        <v>65</v>
      </c>
      <c r="L1020">
        <v>3</v>
      </c>
      <c r="M1020">
        <v>55000</v>
      </c>
      <c r="N1020">
        <v>5</v>
      </c>
      <c r="O1020">
        <v>156750</v>
      </c>
      <c r="P1020">
        <v>22159.17</v>
      </c>
      <c r="Q1020" t="s">
        <v>66</v>
      </c>
      <c r="R1020" t="s">
        <v>56</v>
      </c>
      <c r="S1020" t="s">
        <v>30</v>
      </c>
      <c r="T1020">
        <f>YEAR(Table1_1[[#This Row],[order_date]])</f>
        <v>2025</v>
      </c>
      <c r="U1020">
        <f>MONTH(Table1_1[[#This Row],[order_date]])</f>
        <v>1</v>
      </c>
      <c r="V1020" t="str">
        <f>TEXT(Table1_1[[#This Row],[order_date]],"mmm")</f>
        <v>Jan</v>
      </c>
      <c r="W1020" t="str">
        <f>"Q"&amp;ROUNDUP(MONTH(Table1_1[[#This Row],[order_date]])/3,0)</f>
        <v>Q1</v>
      </c>
      <c r="X1020" t="str">
        <f>TEXT(Table1_1[[#This Row],[order_date]],"yyyy-mm")</f>
        <v>2025-01</v>
      </c>
      <c r="Y1020">
        <f>IF(Table1_1[[#This Row],[ship_date]]="","",Table1_1[[#This Row],[ship_date]]-Table1_1[[#This Row],[order_date]])</f>
        <v>4</v>
      </c>
      <c r="Z1020">
        <f>ROUND(Table1_1[[#This Row],[profit]]/Table1_1[[#This Row],[sales_fix]]*100,2)</f>
        <v>14.14</v>
      </c>
    </row>
    <row r="1021" spans="1:26" x14ac:dyDescent="0.3">
      <c r="A1021" t="s">
        <v>1477</v>
      </c>
      <c r="B1021" s="1">
        <v>45942</v>
      </c>
      <c r="C1021" s="1">
        <v>45947</v>
      </c>
      <c r="D1021" t="s">
        <v>805</v>
      </c>
      <c r="E1021" t="s">
        <v>806</v>
      </c>
      <c r="F1021" t="s">
        <v>34</v>
      </c>
      <c r="G1021" t="s">
        <v>61</v>
      </c>
      <c r="H1021" t="s">
        <v>78</v>
      </c>
      <c r="I1021" t="s">
        <v>25</v>
      </c>
      <c r="J1021" t="s">
        <v>26</v>
      </c>
      <c r="K1021" t="s">
        <v>27</v>
      </c>
      <c r="L1021">
        <v>1</v>
      </c>
      <c r="M1021">
        <v>7000</v>
      </c>
      <c r="N1021">
        <v>0</v>
      </c>
      <c r="O1021">
        <v>7000</v>
      </c>
      <c r="P1021">
        <v>1327.52</v>
      </c>
      <c r="Q1021" t="s">
        <v>156</v>
      </c>
      <c r="R1021" t="s">
        <v>49</v>
      </c>
      <c r="S1021" t="s">
        <v>30</v>
      </c>
      <c r="T1021">
        <f>YEAR(Table1_1[[#This Row],[order_date]])</f>
        <v>2025</v>
      </c>
      <c r="U1021">
        <f>MONTH(Table1_1[[#This Row],[order_date]])</f>
        <v>10</v>
      </c>
      <c r="V1021" t="str">
        <f>TEXT(Table1_1[[#This Row],[order_date]],"mmm")</f>
        <v>Oct</v>
      </c>
      <c r="W1021" t="str">
        <f>"Q"&amp;ROUNDUP(MONTH(Table1_1[[#This Row],[order_date]])/3,0)</f>
        <v>Q4</v>
      </c>
      <c r="X1021" t="str">
        <f>TEXT(Table1_1[[#This Row],[order_date]],"yyyy-mm")</f>
        <v>2025-10</v>
      </c>
      <c r="Y1021">
        <f>IF(Table1_1[[#This Row],[ship_date]]="","",Table1_1[[#This Row],[ship_date]]-Table1_1[[#This Row],[order_date]])</f>
        <v>5</v>
      </c>
      <c r="Z1021">
        <f>ROUND(Table1_1[[#This Row],[profit]]/Table1_1[[#This Row],[sales_fix]]*100,2)</f>
        <v>18.96</v>
      </c>
    </row>
    <row r="1022" spans="1:26" x14ac:dyDescent="0.3">
      <c r="A1022" t="s">
        <v>2802</v>
      </c>
      <c r="B1022" s="1">
        <v>45977</v>
      </c>
      <c r="C1022" s="1">
        <v>45984</v>
      </c>
      <c r="D1022" t="s">
        <v>460</v>
      </c>
      <c r="E1022" t="s">
        <v>461</v>
      </c>
      <c r="F1022" t="s">
        <v>34</v>
      </c>
      <c r="G1022" t="s">
        <v>61</v>
      </c>
      <c r="H1022" t="s">
        <v>62</v>
      </c>
      <c r="I1022" t="s">
        <v>103</v>
      </c>
      <c r="J1022" t="s">
        <v>104</v>
      </c>
      <c r="K1022" t="s">
        <v>65</v>
      </c>
      <c r="L1022">
        <v>1</v>
      </c>
      <c r="M1022">
        <v>8000</v>
      </c>
      <c r="N1022">
        <v>0</v>
      </c>
      <c r="O1022">
        <v>8000</v>
      </c>
      <c r="P1022">
        <v>1473.95</v>
      </c>
      <c r="Q1022" t="s">
        <v>74</v>
      </c>
      <c r="R1022" t="s">
        <v>49</v>
      </c>
      <c r="S1022" t="s">
        <v>50</v>
      </c>
      <c r="T1022">
        <f>YEAR(Table1_1[[#This Row],[order_date]])</f>
        <v>2025</v>
      </c>
      <c r="U1022">
        <f>MONTH(Table1_1[[#This Row],[order_date]])</f>
        <v>11</v>
      </c>
      <c r="V1022" t="str">
        <f>TEXT(Table1_1[[#This Row],[order_date]],"mmm")</f>
        <v>Nov</v>
      </c>
      <c r="W1022" t="str">
        <f>"Q"&amp;ROUNDUP(MONTH(Table1_1[[#This Row],[order_date]])/3,0)</f>
        <v>Q4</v>
      </c>
      <c r="X1022" t="str">
        <f>TEXT(Table1_1[[#This Row],[order_date]],"yyyy-mm")</f>
        <v>2025-11</v>
      </c>
      <c r="Y1022">
        <f>IF(Table1_1[[#This Row],[ship_date]]="","",Table1_1[[#This Row],[ship_date]]-Table1_1[[#This Row],[order_date]])</f>
        <v>7</v>
      </c>
      <c r="Z1022">
        <f>ROUND(Table1_1[[#This Row],[profit]]/Table1_1[[#This Row],[sales_fix]]*100,2)</f>
        <v>18.420000000000002</v>
      </c>
    </row>
    <row r="1023" spans="1:26" x14ac:dyDescent="0.3">
      <c r="A1023" t="s">
        <v>1686</v>
      </c>
      <c r="B1023" s="1">
        <v>45721</v>
      </c>
      <c r="C1023" s="1">
        <v>45724</v>
      </c>
      <c r="D1023" t="s">
        <v>959</v>
      </c>
      <c r="E1023" t="s">
        <v>960</v>
      </c>
      <c r="F1023" t="s">
        <v>34</v>
      </c>
      <c r="G1023" t="s">
        <v>35</v>
      </c>
      <c r="H1023" t="s">
        <v>187</v>
      </c>
      <c r="I1023" t="s">
        <v>37</v>
      </c>
      <c r="J1023" t="s">
        <v>38</v>
      </c>
      <c r="K1023" t="s">
        <v>27</v>
      </c>
      <c r="L1023">
        <v>2</v>
      </c>
      <c r="M1023">
        <v>9500</v>
      </c>
      <c r="N1023">
        <v>10</v>
      </c>
      <c r="O1023">
        <v>17100</v>
      </c>
      <c r="P1023">
        <v>3336.32</v>
      </c>
      <c r="Q1023" t="s">
        <v>156</v>
      </c>
      <c r="R1023" t="s">
        <v>49</v>
      </c>
      <c r="S1023" t="s">
        <v>110</v>
      </c>
      <c r="T1023">
        <f>YEAR(Table1_1[[#This Row],[order_date]])</f>
        <v>2025</v>
      </c>
      <c r="U1023">
        <f>MONTH(Table1_1[[#This Row],[order_date]])</f>
        <v>3</v>
      </c>
      <c r="V1023" t="str">
        <f>TEXT(Table1_1[[#This Row],[order_date]],"mmm")</f>
        <v>Mar</v>
      </c>
      <c r="W1023" t="str">
        <f>"Q"&amp;ROUNDUP(MONTH(Table1_1[[#This Row],[order_date]])/3,0)</f>
        <v>Q1</v>
      </c>
      <c r="X1023" t="str">
        <f>TEXT(Table1_1[[#This Row],[order_date]],"yyyy-mm")</f>
        <v>2025-03</v>
      </c>
      <c r="Y1023">
        <f>IF(Table1_1[[#This Row],[ship_date]]="","",Table1_1[[#This Row],[ship_date]]-Table1_1[[#This Row],[order_date]])</f>
        <v>3</v>
      </c>
      <c r="Z1023">
        <f>ROUND(Table1_1[[#This Row],[profit]]/Table1_1[[#This Row],[sales_fix]]*100,2)</f>
        <v>19.510000000000002</v>
      </c>
    </row>
    <row r="1024" spans="1:26" x14ac:dyDescent="0.3">
      <c r="A1024" t="s">
        <v>1722</v>
      </c>
      <c r="B1024" s="1">
        <v>45302</v>
      </c>
      <c r="C1024" s="1">
        <v>45305</v>
      </c>
      <c r="D1024" t="s">
        <v>272</v>
      </c>
      <c r="E1024" t="s">
        <v>273</v>
      </c>
      <c r="F1024" t="s">
        <v>23</v>
      </c>
      <c r="G1024" t="s">
        <v>35</v>
      </c>
      <c r="H1024" t="s">
        <v>258</v>
      </c>
      <c r="I1024" t="s">
        <v>134</v>
      </c>
      <c r="J1024" t="s">
        <v>135</v>
      </c>
      <c r="K1024" t="s">
        <v>27</v>
      </c>
      <c r="L1024">
        <v>2</v>
      </c>
      <c r="M1024">
        <v>6000</v>
      </c>
      <c r="N1024">
        <v>10</v>
      </c>
      <c r="O1024">
        <v>10800</v>
      </c>
      <c r="P1024">
        <v>2020.27</v>
      </c>
      <c r="Q1024" t="s">
        <v>74</v>
      </c>
      <c r="R1024" t="s">
        <v>56</v>
      </c>
      <c r="S1024" t="s">
        <v>110</v>
      </c>
      <c r="T1024">
        <f>YEAR(Table1_1[[#This Row],[order_date]])</f>
        <v>2024</v>
      </c>
      <c r="U1024">
        <f>MONTH(Table1_1[[#This Row],[order_date]])</f>
        <v>1</v>
      </c>
      <c r="V1024" t="str">
        <f>TEXT(Table1_1[[#This Row],[order_date]],"mmm")</f>
        <v>Jan</v>
      </c>
      <c r="W1024" t="str">
        <f>"Q"&amp;ROUNDUP(MONTH(Table1_1[[#This Row],[order_date]])/3,0)</f>
        <v>Q1</v>
      </c>
      <c r="X1024" t="str">
        <f>TEXT(Table1_1[[#This Row],[order_date]],"yyyy-mm")</f>
        <v>2024-01</v>
      </c>
      <c r="Y1024">
        <f>IF(Table1_1[[#This Row],[ship_date]]="","",Table1_1[[#This Row],[ship_date]]-Table1_1[[#This Row],[order_date]])</f>
        <v>3</v>
      </c>
      <c r="Z1024">
        <f>ROUND(Table1_1[[#This Row],[profit]]/Table1_1[[#This Row],[sales_fix]]*100,2)</f>
        <v>18.71</v>
      </c>
    </row>
    <row r="1025" spans="1:26" x14ac:dyDescent="0.3">
      <c r="A1025" t="s">
        <v>1269</v>
      </c>
      <c r="B1025" s="1">
        <v>45761</v>
      </c>
      <c r="C1025" s="1">
        <v>45763</v>
      </c>
      <c r="D1025" t="s">
        <v>332</v>
      </c>
      <c r="E1025" t="s">
        <v>333</v>
      </c>
      <c r="F1025" t="s">
        <v>23</v>
      </c>
      <c r="G1025" t="s">
        <v>91</v>
      </c>
      <c r="H1025" t="s">
        <v>177</v>
      </c>
      <c r="I1025" t="s">
        <v>79</v>
      </c>
      <c r="J1025" t="s">
        <v>80</v>
      </c>
      <c r="K1025" t="s">
        <v>65</v>
      </c>
      <c r="L1025">
        <v>5</v>
      </c>
      <c r="M1025">
        <v>3000</v>
      </c>
      <c r="N1025">
        <v>5</v>
      </c>
      <c r="O1025">
        <v>14250</v>
      </c>
      <c r="P1025">
        <v>4470.46</v>
      </c>
      <c r="Q1025" t="s">
        <v>156</v>
      </c>
      <c r="R1025" t="s">
        <v>49</v>
      </c>
      <c r="S1025" t="s">
        <v>110</v>
      </c>
      <c r="T1025">
        <f>YEAR(Table1_1[[#This Row],[order_date]])</f>
        <v>2025</v>
      </c>
      <c r="U1025">
        <f>MONTH(Table1_1[[#This Row],[order_date]])</f>
        <v>4</v>
      </c>
      <c r="V1025" t="str">
        <f>TEXT(Table1_1[[#This Row],[order_date]],"mmm")</f>
        <v>Apr</v>
      </c>
      <c r="W1025" t="str">
        <f>"Q"&amp;ROUNDUP(MONTH(Table1_1[[#This Row],[order_date]])/3,0)</f>
        <v>Q2</v>
      </c>
      <c r="X1025" t="str">
        <f>TEXT(Table1_1[[#This Row],[order_date]],"yyyy-mm")</f>
        <v>2025-04</v>
      </c>
      <c r="Y1025">
        <f>IF(Table1_1[[#This Row],[ship_date]]="","",Table1_1[[#This Row],[ship_date]]-Table1_1[[#This Row],[order_date]])</f>
        <v>2</v>
      </c>
      <c r="Z1025">
        <f>ROUND(Table1_1[[#This Row],[profit]]/Table1_1[[#This Row],[sales_fix]]*100,2)</f>
        <v>31.37</v>
      </c>
    </row>
    <row r="1026" spans="1:26" x14ac:dyDescent="0.3">
      <c r="A1026" t="s">
        <v>2063</v>
      </c>
      <c r="B1026" s="1">
        <v>45295</v>
      </c>
      <c r="C1026" s="1">
        <v>45303</v>
      </c>
      <c r="D1026" t="s">
        <v>425</v>
      </c>
      <c r="E1026" t="s">
        <v>426</v>
      </c>
      <c r="F1026" t="s">
        <v>34</v>
      </c>
      <c r="G1026" t="s">
        <v>61</v>
      </c>
      <c r="H1026" t="s">
        <v>125</v>
      </c>
      <c r="I1026" t="s">
        <v>71</v>
      </c>
      <c r="J1026" t="s">
        <v>72</v>
      </c>
      <c r="K1026" t="s">
        <v>73</v>
      </c>
      <c r="L1026">
        <v>10</v>
      </c>
      <c r="M1026">
        <v>3500</v>
      </c>
      <c r="N1026">
        <v>20</v>
      </c>
      <c r="O1026">
        <v>28000</v>
      </c>
      <c r="P1026">
        <v>9344.4500000000007</v>
      </c>
      <c r="Q1026" t="s">
        <v>156</v>
      </c>
      <c r="R1026" t="s">
        <v>56</v>
      </c>
      <c r="S1026" t="s">
        <v>86</v>
      </c>
      <c r="T1026">
        <f>YEAR(Table1_1[[#This Row],[order_date]])</f>
        <v>2024</v>
      </c>
      <c r="U1026">
        <f>MONTH(Table1_1[[#This Row],[order_date]])</f>
        <v>1</v>
      </c>
      <c r="V1026" t="str">
        <f>TEXT(Table1_1[[#This Row],[order_date]],"mmm")</f>
        <v>Jan</v>
      </c>
      <c r="W1026" t="str">
        <f>"Q"&amp;ROUNDUP(MONTH(Table1_1[[#This Row],[order_date]])/3,0)</f>
        <v>Q1</v>
      </c>
      <c r="X1026" t="str">
        <f>TEXT(Table1_1[[#This Row],[order_date]],"yyyy-mm")</f>
        <v>2024-01</v>
      </c>
      <c r="Y1026">
        <f>IF(Table1_1[[#This Row],[ship_date]]="","",Table1_1[[#This Row],[ship_date]]-Table1_1[[#This Row],[order_date]])</f>
        <v>8</v>
      </c>
      <c r="Z1026">
        <f>ROUND(Table1_1[[#This Row],[profit]]/Table1_1[[#This Row],[sales_fix]]*100,2)</f>
        <v>33.369999999999997</v>
      </c>
    </row>
    <row r="1027" spans="1:26" x14ac:dyDescent="0.3">
      <c r="A1027" t="s">
        <v>1320</v>
      </c>
      <c r="B1027" s="1">
        <v>45484</v>
      </c>
      <c r="C1027" s="1">
        <v>45491</v>
      </c>
      <c r="D1027" t="s">
        <v>247</v>
      </c>
      <c r="E1027" t="s">
        <v>248</v>
      </c>
      <c r="F1027" t="s">
        <v>34</v>
      </c>
      <c r="G1027" t="s">
        <v>61</v>
      </c>
      <c r="H1027" t="s">
        <v>78</v>
      </c>
      <c r="I1027" t="s">
        <v>103</v>
      </c>
      <c r="J1027" t="s">
        <v>104</v>
      </c>
      <c r="K1027" t="s">
        <v>65</v>
      </c>
      <c r="L1027">
        <v>2</v>
      </c>
      <c r="M1027">
        <v>8000</v>
      </c>
      <c r="N1027">
        <v>10</v>
      </c>
      <c r="O1027">
        <v>14400</v>
      </c>
      <c r="P1027">
        <v>3635.11</v>
      </c>
      <c r="Q1027" t="s">
        <v>121</v>
      </c>
      <c r="R1027" t="s">
        <v>49</v>
      </c>
      <c r="S1027" t="s">
        <v>50</v>
      </c>
      <c r="T1027">
        <f>YEAR(Table1_1[[#This Row],[order_date]])</f>
        <v>2024</v>
      </c>
      <c r="U1027">
        <f>MONTH(Table1_1[[#This Row],[order_date]])</f>
        <v>7</v>
      </c>
      <c r="V1027" t="str">
        <f>TEXT(Table1_1[[#This Row],[order_date]],"mmm")</f>
        <v>Jul</v>
      </c>
      <c r="W1027" t="str">
        <f>"Q"&amp;ROUNDUP(MONTH(Table1_1[[#This Row],[order_date]])/3,0)</f>
        <v>Q3</v>
      </c>
      <c r="X1027" t="str">
        <f>TEXT(Table1_1[[#This Row],[order_date]],"yyyy-mm")</f>
        <v>2024-07</v>
      </c>
      <c r="Y1027">
        <f>IF(Table1_1[[#This Row],[ship_date]]="","",Table1_1[[#This Row],[ship_date]]-Table1_1[[#This Row],[order_date]])</f>
        <v>7</v>
      </c>
      <c r="Z1027">
        <f>ROUND(Table1_1[[#This Row],[profit]]/Table1_1[[#This Row],[sales_fix]]*100,2)</f>
        <v>25.24</v>
      </c>
    </row>
    <row r="1028" spans="1:26" x14ac:dyDescent="0.3">
      <c r="A1028" t="s">
        <v>2064</v>
      </c>
      <c r="B1028" s="1">
        <v>45882</v>
      </c>
      <c r="C1028" s="1">
        <v>45883</v>
      </c>
      <c r="D1028" t="s">
        <v>21</v>
      </c>
      <c r="E1028" t="s">
        <v>22</v>
      </c>
      <c r="F1028" t="s">
        <v>23</v>
      </c>
      <c r="G1028" t="s">
        <v>44</v>
      </c>
      <c r="H1028" t="s">
        <v>24</v>
      </c>
      <c r="I1028" t="s">
        <v>126</v>
      </c>
      <c r="J1028" t="s">
        <v>127</v>
      </c>
      <c r="K1028" t="s">
        <v>95</v>
      </c>
      <c r="L1028">
        <v>5</v>
      </c>
      <c r="M1028">
        <v>600</v>
      </c>
      <c r="N1028">
        <v>0</v>
      </c>
      <c r="O1028">
        <v>3000</v>
      </c>
      <c r="P1028">
        <v>1140</v>
      </c>
      <c r="Q1028" t="s">
        <v>74</v>
      </c>
      <c r="R1028" t="s">
        <v>49</v>
      </c>
      <c r="S1028" t="s">
        <v>40</v>
      </c>
      <c r="T1028">
        <f>YEAR(Table1_1[[#This Row],[order_date]])</f>
        <v>2025</v>
      </c>
      <c r="U1028">
        <f>MONTH(Table1_1[[#This Row],[order_date]])</f>
        <v>8</v>
      </c>
      <c r="V1028" t="str">
        <f>TEXT(Table1_1[[#This Row],[order_date]],"mmm")</f>
        <v>Aug</v>
      </c>
      <c r="W1028" t="str">
        <f>"Q"&amp;ROUNDUP(MONTH(Table1_1[[#This Row],[order_date]])/3,0)</f>
        <v>Q3</v>
      </c>
      <c r="X1028" t="str">
        <f>TEXT(Table1_1[[#This Row],[order_date]],"yyyy-mm")</f>
        <v>2025-08</v>
      </c>
      <c r="Y1028">
        <f>IF(Table1_1[[#This Row],[ship_date]]="","",Table1_1[[#This Row],[ship_date]]-Table1_1[[#This Row],[order_date]])</f>
        <v>1</v>
      </c>
      <c r="Z1028">
        <f>ROUND(Table1_1[[#This Row],[profit]]/Table1_1[[#This Row],[sales_fix]]*100,2)</f>
        <v>38</v>
      </c>
    </row>
    <row r="1029" spans="1:26" x14ac:dyDescent="0.3">
      <c r="A1029" t="s">
        <v>67</v>
      </c>
      <c r="B1029" s="1">
        <v>45803</v>
      </c>
      <c r="C1029" s="1">
        <v>45809</v>
      </c>
      <c r="D1029" t="s">
        <v>69</v>
      </c>
      <c r="E1029" t="s">
        <v>70</v>
      </c>
      <c r="F1029" t="s">
        <v>23</v>
      </c>
      <c r="G1029" t="s">
        <v>44</v>
      </c>
      <c r="H1029" t="s">
        <v>24</v>
      </c>
      <c r="I1029" t="s">
        <v>71</v>
      </c>
      <c r="J1029" t="s">
        <v>72</v>
      </c>
      <c r="K1029" t="s">
        <v>73</v>
      </c>
      <c r="L1029">
        <v>2</v>
      </c>
      <c r="M1029">
        <v>3500</v>
      </c>
      <c r="N1029">
        <v>5</v>
      </c>
      <c r="O1029">
        <v>6650</v>
      </c>
      <c r="P1029">
        <v>1842.04</v>
      </c>
      <c r="Q1029" t="s">
        <v>74</v>
      </c>
      <c r="R1029" t="s">
        <v>56</v>
      </c>
      <c r="S1029" t="s">
        <v>30</v>
      </c>
      <c r="T1029">
        <f>YEAR(Table1_1[[#This Row],[order_date]])</f>
        <v>2025</v>
      </c>
      <c r="U1029">
        <f>MONTH(Table1_1[[#This Row],[order_date]])</f>
        <v>5</v>
      </c>
      <c r="V1029" t="str">
        <f>TEXT(Table1_1[[#This Row],[order_date]],"mmm")</f>
        <v>May</v>
      </c>
      <c r="W1029" t="str">
        <f>"Q"&amp;ROUNDUP(MONTH(Table1_1[[#This Row],[order_date]])/3,0)</f>
        <v>Q2</v>
      </c>
      <c r="X1029" t="str">
        <f>TEXT(Table1_1[[#This Row],[order_date]],"yyyy-mm")</f>
        <v>2025-05</v>
      </c>
      <c r="Y1029">
        <f>IF(Table1_1[[#This Row],[ship_date]]="","",Table1_1[[#This Row],[ship_date]]-Table1_1[[#This Row],[order_date]])</f>
        <v>6</v>
      </c>
      <c r="Z1029">
        <f>ROUND(Table1_1[[#This Row],[profit]]/Table1_1[[#This Row],[sales_fix]]*100,2)</f>
        <v>27.7</v>
      </c>
    </row>
    <row r="1030" spans="1:26" x14ac:dyDescent="0.3">
      <c r="A1030" t="s">
        <v>2382</v>
      </c>
      <c r="B1030" s="1">
        <v>45408</v>
      </c>
      <c r="C1030" s="1">
        <v>45411</v>
      </c>
      <c r="D1030" t="s">
        <v>1191</v>
      </c>
      <c r="E1030" t="s">
        <v>1192</v>
      </c>
      <c r="F1030" t="s">
        <v>23</v>
      </c>
      <c r="G1030" t="s">
        <v>61</v>
      </c>
      <c r="H1030" t="s">
        <v>211</v>
      </c>
      <c r="I1030" t="s">
        <v>37</v>
      </c>
      <c r="J1030" t="s">
        <v>38</v>
      </c>
      <c r="K1030" t="s">
        <v>27</v>
      </c>
      <c r="L1030">
        <v>5</v>
      </c>
      <c r="M1030">
        <v>9500</v>
      </c>
      <c r="N1030">
        <v>5</v>
      </c>
      <c r="O1030">
        <v>45125</v>
      </c>
      <c r="P1030">
        <v>7863.96</v>
      </c>
      <c r="Q1030" t="s">
        <v>39</v>
      </c>
      <c r="R1030" t="s">
        <v>56</v>
      </c>
      <c r="S1030" t="s">
        <v>50</v>
      </c>
      <c r="T1030">
        <f>YEAR(Table1_1[[#This Row],[order_date]])</f>
        <v>2024</v>
      </c>
      <c r="U1030">
        <f>MONTH(Table1_1[[#This Row],[order_date]])</f>
        <v>4</v>
      </c>
      <c r="V1030" t="str">
        <f>TEXT(Table1_1[[#This Row],[order_date]],"mmm")</f>
        <v>Apr</v>
      </c>
      <c r="W1030" t="str">
        <f>"Q"&amp;ROUNDUP(MONTH(Table1_1[[#This Row],[order_date]])/3,0)</f>
        <v>Q2</v>
      </c>
      <c r="X1030" t="str">
        <f>TEXT(Table1_1[[#This Row],[order_date]],"yyyy-mm")</f>
        <v>2024-04</v>
      </c>
      <c r="Y1030">
        <f>IF(Table1_1[[#This Row],[ship_date]]="","",Table1_1[[#This Row],[ship_date]]-Table1_1[[#This Row],[order_date]])</f>
        <v>3</v>
      </c>
      <c r="Z1030">
        <f>ROUND(Table1_1[[#This Row],[profit]]/Table1_1[[#This Row],[sales_fix]]*100,2)</f>
        <v>17.43</v>
      </c>
    </row>
    <row r="1031" spans="1:26" x14ac:dyDescent="0.3">
      <c r="A1031" t="s">
        <v>1310</v>
      </c>
      <c r="B1031" s="1">
        <v>45682</v>
      </c>
      <c r="C1031" s="1">
        <v>45689</v>
      </c>
      <c r="D1031" t="s">
        <v>265</v>
      </c>
      <c r="E1031" t="s">
        <v>266</v>
      </c>
      <c r="F1031" t="s">
        <v>55</v>
      </c>
      <c r="G1031" t="s">
        <v>44</v>
      </c>
      <c r="H1031" t="s">
        <v>45</v>
      </c>
      <c r="I1031" t="s">
        <v>134</v>
      </c>
      <c r="J1031" t="s">
        <v>135</v>
      </c>
      <c r="K1031" t="s">
        <v>27</v>
      </c>
      <c r="L1031">
        <v>1</v>
      </c>
      <c r="M1031">
        <v>6000</v>
      </c>
      <c r="N1031">
        <v>15</v>
      </c>
      <c r="O1031">
        <v>5100</v>
      </c>
      <c r="P1031">
        <v>1193.9100000000001</v>
      </c>
      <c r="Q1031" t="s">
        <v>156</v>
      </c>
      <c r="R1031" t="s">
        <v>49</v>
      </c>
      <c r="S1031" t="s">
        <v>40</v>
      </c>
      <c r="T1031">
        <f>YEAR(Table1_1[[#This Row],[order_date]])</f>
        <v>2025</v>
      </c>
      <c r="U1031">
        <f>MONTH(Table1_1[[#This Row],[order_date]])</f>
        <v>1</v>
      </c>
      <c r="V1031" t="str">
        <f>TEXT(Table1_1[[#This Row],[order_date]],"mmm")</f>
        <v>Jan</v>
      </c>
      <c r="W1031" t="str">
        <f>"Q"&amp;ROUNDUP(MONTH(Table1_1[[#This Row],[order_date]])/3,0)</f>
        <v>Q1</v>
      </c>
      <c r="X1031" t="str">
        <f>TEXT(Table1_1[[#This Row],[order_date]],"yyyy-mm")</f>
        <v>2025-01</v>
      </c>
      <c r="Y1031">
        <f>IF(Table1_1[[#This Row],[ship_date]]="","",Table1_1[[#This Row],[ship_date]]-Table1_1[[#This Row],[order_date]])</f>
        <v>7</v>
      </c>
      <c r="Z1031">
        <f>ROUND(Table1_1[[#This Row],[profit]]/Table1_1[[#This Row],[sales_fix]]*100,2)</f>
        <v>23.41</v>
      </c>
    </row>
    <row r="1032" spans="1:26" x14ac:dyDescent="0.3">
      <c r="A1032" t="s">
        <v>2215</v>
      </c>
      <c r="B1032" s="1">
        <v>45398</v>
      </c>
      <c r="C1032" s="1">
        <v>45405</v>
      </c>
      <c r="D1032" t="s">
        <v>473</v>
      </c>
      <c r="E1032" t="s">
        <v>474</v>
      </c>
      <c r="F1032" t="s">
        <v>34</v>
      </c>
      <c r="G1032" t="s">
        <v>61</v>
      </c>
      <c r="H1032" t="s">
        <v>62</v>
      </c>
      <c r="I1032" t="s">
        <v>63</v>
      </c>
      <c r="J1032" t="s">
        <v>64</v>
      </c>
      <c r="K1032" t="s">
        <v>65</v>
      </c>
      <c r="L1032">
        <v>1</v>
      </c>
      <c r="M1032">
        <v>25000</v>
      </c>
      <c r="N1032">
        <v>0</v>
      </c>
      <c r="O1032">
        <v>25000</v>
      </c>
      <c r="P1032">
        <v>3549.39</v>
      </c>
      <c r="Q1032" t="s">
        <v>66</v>
      </c>
      <c r="R1032" t="s">
        <v>49</v>
      </c>
      <c r="S1032" t="s">
        <v>40</v>
      </c>
      <c r="T1032">
        <f>YEAR(Table1_1[[#This Row],[order_date]])</f>
        <v>2024</v>
      </c>
      <c r="U1032">
        <f>MONTH(Table1_1[[#This Row],[order_date]])</f>
        <v>4</v>
      </c>
      <c r="V1032" t="str">
        <f>TEXT(Table1_1[[#This Row],[order_date]],"mmm")</f>
        <v>Apr</v>
      </c>
      <c r="W1032" t="str">
        <f>"Q"&amp;ROUNDUP(MONTH(Table1_1[[#This Row],[order_date]])/3,0)</f>
        <v>Q2</v>
      </c>
      <c r="X1032" t="str">
        <f>TEXT(Table1_1[[#This Row],[order_date]],"yyyy-mm")</f>
        <v>2024-04</v>
      </c>
      <c r="Y1032">
        <f>IF(Table1_1[[#This Row],[ship_date]]="","",Table1_1[[#This Row],[ship_date]]-Table1_1[[#This Row],[order_date]])</f>
        <v>7</v>
      </c>
      <c r="Z1032">
        <f>ROUND(Table1_1[[#This Row],[profit]]/Table1_1[[#This Row],[sales_fix]]*100,2)</f>
        <v>14.2</v>
      </c>
    </row>
    <row r="1033" spans="1:26" x14ac:dyDescent="0.3">
      <c r="A1033" t="s">
        <v>3084</v>
      </c>
      <c r="B1033" s="1">
        <v>45940</v>
      </c>
      <c r="C1033" s="1">
        <v>45947</v>
      </c>
      <c r="D1033" t="s">
        <v>942</v>
      </c>
      <c r="E1033" t="s">
        <v>943</v>
      </c>
      <c r="F1033" t="s">
        <v>23</v>
      </c>
      <c r="G1033" t="s">
        <v>44</v>
      </c>
      <c r="H1033" t="s">
        <v>155</v>
      </c>
      <c r="I1033" t="s">
        <v>63</v>
      </c>
      <c r="J1033" t="s">
        <v>64</v>
      </c>
      <c r="K1033" t="s">
        <v>65</v>
      </c>
      <c r="L1033">
        <v>2</v>
      </c>
      <c r="M1033">
        <v>25000</v>
      </c>
      <c r="N1033">
        <v>0</v>
      </c>
      <c r="O1033">
        <v>50000</v>
      </c>
      <c r="P1033">
        <v>7253.13</v>
      </c>
      <c r="Q1033" t="s">
        <v>121</v>
      </c>
      <c r="R1033" t="s">
        <v>29</v>
      </c>
      <c r="S1033" t="s">
        <v>30</v>
      </c>
      <c r="T1033">
        <f>YEAR(Table1_1[[#This Row],[order_date]])</f>
        <v>2025</v>
      </c>
      <c r="U1033">
        <f>MONTH(Table1_1[[#This Row],[order_date]])</f>
        <v>10</v>
      </c>
      <c r="V1033" t="str">
        <f>TEXT(Table1_1[[#This Row],[order_date]],"mmm")</f>
        <v>Oct</v>
      </c>
      <c r="W1033" t="str">
        <f>"Q"&amp;ROUNDUP(MONTH(Table1_1[[#This Row],[order_date]])/3,0)</f>
        <v>Q4</v>
      </c>
      <c r="X1033" t="str">
        <f>TEXT(Table1_1[[#This Row],[order_date]],"yyyy-mm")</f>
        <v>2025-10</v>
      </c>
      <c r="Y1033">
        <f>IF(Table1_1[[#This Row],[ship_date]]="","",Table1_1[[#This Row],[ship_date]]-Table1_1[[#This Row],[order_date]])</f>
        <v>7</v>
      </c>
      <c r="Z1033">
        <f>ROUND(Table1_1[[#This Row],[profit]]/Table1_1[[#This Row],[sales_fix]]*100,2)</f>
        <v>14.51</v>
      </c>
    </row>
    <row r="1034" spans="1:26" x14ac:dyDescent="0.3">
      <c r="A1034" t="s">
        <v>290</v>
      </c>
      <c r="B1034" s="1">
        <v>45409</v>
      </c>
      <c r="C1034" s="1">
        <v>45415</v>
      </c>
      <c r="D1034" t="s">
        <v>291</v>
      </c>
      <c r="E1034" t="s">
        <v>292</v>
      </c>
      <c r="F1034" t="s">
        <v>55</v>
      </c>
      <c r="G1034" t="s">
        <v>35</v>
      </c>
      <c r="H1034" t="s">
        <v>187</v>
      </c>
      <c r="I1034" t="s">
        <v>134</v>
      </c>
      <c r="J1034" t="s">
        <v>135</v>
      </c>
      <c r="K1034" t="s">
        <v>27</v>
      </c>
      <c r="L1034">
        <v>1</v>
      </c>
      <c r="M1034">
        <v>6000</v>
      </c>
      <c r="N1034">
        <v>5</v>
      </c>
      <c r="O1034">
        <v>5700</v>
      </c>
      <c r="P1034">
        <v>1368</v>
      </c>
      <c r="Q1034" t="s">
        <v>28</v>
      </c>
      <c r="R1034" t="s">
        <v>49</v>
      </c>
      <c r="S1034" t="s">
        <v>30</v>
      </c>
      <c r="T1034">
        <f>YEAR(Table1_1[[#This Row],[order_date]])</f>
        <v>2024</v>
      </c>
      <c r="U1034">
        <f>MONTH(Table1_1[[#This Row],[order_date]])</f>
        <v>4</v>
      </c>
      <c r="V1034" t="str">
        <f>TEXT(Table1_1[[#This Row],[order_date]],"mmm")</f>
        <v>Apr</v>
      </c>
      <c r="W1034" t="str">
        <f>"Q"&amp;ROUNDUP(MONTH(Table1_1[[#This Row],[order_date]])/3,0)</f>
        <v>Q2</v>
      </c>
      <c r="X1034" t="str">
        <f>TEXT(Table1_1[[#This Row],[order_date]],"yyyy-mm")</f>
        <v>2024-04</v>
      </c>
      <c r="Y1034">
        <f>IF(Table1_1[[#This Row],[ship_date]]="","",Table1_1[[#This Row],[ship_date]]-Table1_1[[#This Row],[order_date]])</f>
        <v>6</v>
      </c>
      <c r="Z1034">
        <f>ROUND(Table1_1[[#This Row],[profit]]/Table1_1[[#This Row],[sales_fix]]*100,2)</f>
        <v>24</v>
      </c>
    </row>
    <row r="1035" spans="1:26" x14ac:dyDescent="0.3">
      <c r="A1035" t="s">
        <v>529</v>
      </c>
      <c r="B1035" s="1">
        <v>45521</v>
      </c>
      <c r="C1035" s="1">
        <v>45526</v>
      </c>
      <c r="D1035" t="s">
        <v>531</v>
      </c>
      <c r="E1035" t="s">
        <v>532</v>
      </c>
      <c r="F1035" t="s">
        <v>23</v>
      </c>
      <c r="G1035" t="s">
        <v>44</v>
      </c>
      <c r="H1035" t="s">
        <v>161</v>
      </c>
      <c r="I1035" t="s">
        <v>37</v>
      </c>
      <c r="J1035" t="s">
        <v>38</v>
      </c>
      <c r="K1035" t="s">
        <v>27</v>
      </c>
      <c r="L1035">
        <v>2</v>
      </c>
      <c r="M1035">
        <v>9500</v>
      </c>
      <c r="N1035">
        <v>0</v>
      </c>
      <c r="O1035">
        <v>19000</v>
      </c>
      <c r="P1035">
        <v>3997</v>
      </c>
      <c r="Q1035" t="s">
        <v>74</v>
      </c>
      <c r="R1035" t="s">
        <v>49</v>
      </c>
      <c r="S1035" t="s">
        <v>50</v>
      </c>
      <c r="T1035">
        <f>YEAR(Table1_1[[#This Row],[order_date]])</f>
        <v>2024</v>
      </c>
      <c r="U1035">
        <f>MONTH(Table1_1[[#This Row],[order_date]])</f>
        <v>8</v>
      </c>
      <c r="V1035" t="str">
        <f>TEXT(Table1_1[[#This Row],[order_date]],"mmm")</f>
        <v>Aug</v>
      </c>
      <c r="W1035" t="str">
        <f>"Q"&amp;ROUNDUP(MONTH(Table1_1[[#This Row],[order_date]])/3,0)</f>
        <v>Q3</v>
      </c>
      <c r="X1035" t="str">
        <f>TEXT(Table1_1[[#This Row],[order_date]],"yyyy-mm")</f>
        <v>2024-08</v>
      </c>
      <c r="Y1035">
        <f>IF(Table1_1[[#This Row],[ship_date]]="","",Table1_1[[#This Row],[ship_date]]-Table1_1[[#This Row],[order_date]])</f>
        <v>5</v>
      </c>
      <c r="Z1035">
        <f>ROUND(Table1_1[[#This Row],[profit]]/Table1_1[[#This Row],[sales_fix]]*100,2)</f>
        <v>21.04</v>
      </c>
    </row>
    <row r="1036" spans="1:26" x14ac:dyDescent="0.3">
      <c r="A1036" t="s">
        <v>2194</v>
      </c>
      <c r="B1036" s="1">
        <v>45325</v>
      </c>
      <c r="C1036" s="1">
        <v>45331</v>
      </c>
      <c r="D1036" t="s">
        <v>483</v>
      </c>
      <c r="E1036" t="s">
        <v>484</v>
      </c>
      <c r="F1036" t="s">
        <v>55</v>
      </c>
      <c r="G1036" t="s">
        <v>61</v>
      </c>
      <c r="H1036" t="s">
        <v>62</v>
      </c>
      <c r="I1036" t="s">
        <v>134</v>
      </c>
      <c r="J1036" t="s">
        <v>135</v>
      </c>
      <c r="K1036" t="s">
        <v>27</v>
      </c>
      <c r="L1036">
        <v>1</v>
      </c>
      <c r="M1036">
        <v>6000</v>
      </c>
      <c r="N1036">
        <v>0</v>
      </c>
      <c r="O1036">
        <v>6000</v>
      </c>
      <c r="P1036">
        <v>1463.33</v>
      </c>
      <c r="Q1036" t="s">
        <v>74</v>
      </c>
      <c r="R1036" t="s">
        <v>29</v>
      </c>
      <c r="S1036" t="s">
        <v>40</v>
      </c>
      <c r="T1036">
        <f>YEAR(Table1_1[[#This Row],[order_date]])</f>
        <v>2024</v>
      </c>
      <c r="U1036">
        <f>MONTH(Table1_1[[#This Row],[order_date]])</f>
        <v>2</v>
      </c>
      <c r="V1036" t="str">
        <f>TEXT(Table1_1[[#This Row],[order_date]],"mmm")</f>
        <v>Feb</v>
      </c>
      <c r="W1036" t="str">
        <f>"Q"&amp;ROUNDUP(MONTH(Table1_1[[#This Row],[order_date]])/3,0)</f>
        <v>Q1</v>
      </c>
      <c r="X1036" t="str">
        <f>TEXT(Table1_1[[#This Row],[order_date]],"yyyy-mm")</f>
        <v>2024-02</v>
      </c>
      <c r="Y1036">
        <f>IF(Table1_1[[#This Row],[ship_date]]="","",Table1_1[[#This Row],[ship_date]]-Table1_1[[#This Row],[order_date]])</f>
        <v>6</v>
      </c>
      <c r="Z1036">
        <f>ROUND(Table1_1[[#This Row],[profit]]/Table1_1[[#This Row],[sales_fix]]*100,2)</f>
        <v>24.39</v>
      </c>
    </row>
    <row r="1037" spans="1:26" x14ac:dyDescent="0.3">
      <c r="A1037" t="s">
        <v>572</v>
      </c>
      <c r="B1037" s="1">
        <v>45861</v>
      </c>
      <c r="C1037" s="1">
        <v>45868</v>
      </c>
      <c r="D1037" t="s">
        <v>575</v>
      </c>
      <c r="E1037" t="s">
        <v>836</v>
      </c>
      <c r="F1037" t="s">
        <v>34</v>
      </c>
      <c r="G1037" t="s">
        <v>91</v>
      </c>
      <c r="H1037" t="s">
        <v>120</v>
      </c>
      <c r="I1037" t="s">
        <v>103</v>
      </c>
      <c r="J1037" t="s">
        <v>104</v>
      </c>
      <c r="K1037" t="s">
        <v>65</v>
      </c>
      <c r="L1037">
        <v>10</v>
      </c>
      <c r="M1037">
        <v>8000</v>
      </c>
      <c r="N1037">
        <v>0</v>
      </c>
      <c r="O1037">
        <v>80000</v>
      </c>
      <c r="P1037">
        <v>18930.14</v>
      </c>
      <c r="Q1037" t="s">
        <v>66</v>
      </c>
      <c r="R1037" t="s">
        <v>56</v>
      </c>
      <c r="S1037" t="s">
        <v>30</v>
      </c>
      <c r="T1037">
        <f>YEAR(Table1_1[[#This Row],[order_date]])</f>
        <v>2025</v>
      </c>
      <c r="U1037">
        <f>MONTH(Table1_1[[#This Row],[order_date]])</f>
        <v>7</v>
      </c>
      <c r="V1037" t="str">
        <f>TEXT(Table1_1[[#This Row],[order_date]],"mmm")</f>
        <v>Jul</v>
      </c>
      <c r="W1037" t="str">
        <f>"Q"&amp;ROUNDUP(MONTH(Table1_1[[#This Row],[order_date]])/3,0)</f>
        <v>Q3</v>
      </c>
      <c r="X1037" t="str">
        <f>TEXT(Table1_1[[#This Row],[order_date]],"yyyy-mm")</f>
        <v>2025-07</v>
      </c>
      <c r="Y1037">
        <f>IF(Table1_1[[#This Row],[ship_date]]="","",Table1_1[[#This Row],[ship_date]]-Table1_1[[#This Row],[order_date]])</f>
        <v>7</v>
      </c>
      <c r="Z1037">
        <f>ROUND(Table1_1[[#This Row],[profit]]/Table1_1[[#This Row],[sales_fix]]*100,2)</f>
        <v>23.66</v>
      </c>
    </row>
    <row r="1038" spans="1:26" x14ac:dyDescent="0.3">
      <c r="A1038" t="s">
        <v>415</v>
      </c>
      <c r="B1038" s="1">
        <v>45691</v>
      </c>
      <c r="C1038" s="1">
        <v>45697</v>
      </c>
      <c r="D1038" t="s">
        <v>150</v>
      </c>
      <c r="E1038" t="s">
        <v>151</v>
      </c>
      <c r="F1038" t="s">
        <v>34</v>
      </c>
      <c r="G1038" t="s">
        <v>35</v>
      </c>
      <c r="H1038" t="s">
        <v>36</v>
      </c>
      <c r="I1038" t="s">
        <v>126</v>
      </c>
      <c r="J1038" t="s">
        <v>127</v>
      </c>
      <c r="K1038" t="s">
        <v>95</v>
      </c>
      <c r="L1038">
        <v>10</v>
      </c>
      <c r="M1038">
        <v>600</v>
      </c>
      <c r="N1038">
        <v>0</v>
      </c>
      <c r="O1038">
        <v>6000</v>
      </c>
      <c r="P1038">
        <v>1963.64</v>
      </c>
      <c r="Q1038" t="s">
        <v>39</v>
      </c>
      <c r="R1038" t="s">
        <v>29</v>
      </c>
      <c r="S1038" t="s">
        <v>30</v>
      </c>
      <c r="T1038">
        <f>YEAR(Table1_1[[#This Row],[order_date]])</f>
        <v>2025</v>
      </c>
      <c r="U1038">
        <f>MONTH(Table1_1[[#This Row],[order_date]])</f>
        <v>2</v>
      </c>
      <c r="V1038" t="str">
        <f>TEXT(Table1_1[[#This Row],[order_date]],"mmm")</f>
        <v>Feb</v>
      </c>
      <c r="W1038" t="str">
        <f>"Q"&amp;ROUNDUP(MONTH(Table1_1[[#This Row],[order_date]])/3,0)</f>
        <v>Q1</v>
      </c>
      <c r="X1038" t="str">
        <f>TEXT(Table1_1[[#This Row],[order_date]],"yyyy-mm")</f>
        <v>2025-02</v>
      </c>
      <c r="Y1038">
        <f>IF(Table1_1[[#This Row],[ship_date]]="","",Table1_1[[#This Row],[ship_date]]-Table1_1[[#This Row],[order_date]])</f>
        <v>6</v>
      </c>
      <c r="Z1038">
        <f>ROUND(Table1_1[[#This Row],[profit]]/Table1_1[[#This Row],[sales_fix]]*100,2)</f>
        <v>32.729999999999997</v>
      </c>
    </row>
    <row r="1039" spans="1:26" x14ac:dyDescent="0.3">
      <c r="A1039" t="s">
        <v>2716</v>
      </c>
      <c r="B1039" s="1">
        <v>46019</v>
      </c>
      <c r="C1039" s="1">
        <v>46026</v>
      </c>
      <c r="D1039" t="s">
        <v>1205</v>
      </c>
      <c r="E1039" t="s">
        <v>1206</v>
      </c>
      <c r="F1039" t="s">
        <v>34</v>
      </c>
      <c r="G1039" t="s">
        <v>44</v>
      </c>
      <c r="H1039" t="s">
        <v>45</v>
      </c>
      <c r="I1039" t="s">
        <v>63</v>
      </c>
      <c r="J1039" t="s">
        <v>64</v>
      </c>
      <c r="K1039" t="s">
        <v>65</v>
      </c>
      <c r="L1039">
        <v>2</v>
      </c>
      <c r="M1039">
        <v>25000</v>
      </c>
      <c r="N1039">
        <v>15</v>
      </c>
      <c r="O1039">
        <v>42500</v>
      </c>
      <c r="P1039">
        <v>5933.68</v>
      </c>
      <c r="Q1039" t="s">
        <v>156</v>
      </c>
      <c r="R1039" t="s">
        <v>49</v>
      </c>
      <c r="S1039" t="s">
        <v>40</v>
      </c>
      <c r="T1039">
        <f>YEAR(Table1_1[[#This Row],[order_date]])</f>
        <v>2025</v>
      </c>
      <c r="U1039">
        <f>MONTH(Table1_1[[#This Row],[order_date]])</f>
        <v>12</v>
      </c>
      <c r="V1039" t="str">
        <f>TEXT(Table1_1[[#This Row],[order_date]],"mmm")</f>
        <v>Dec</v>
      </c>
      <c r="W1039" t="str">
        <f>"Q"&amp;ROUNDUP(MONTH(Table1_1[[#This Row],[order_date]])/3,0)</f>
        <v>Q4</v>
      </c>
      <c r="X1039" t="str">
        <f>TEXT(Table1_1[[#This Row],[order_date]],"yyyy-mm")</f>
        <v>2025-12</v>
      </c>
      <c r="Y1039">
        <f>IF(Table1_1[[#This Row],[ship_date]]="","",Table1_1[[#This Row],[ship_date]]-Table1_1[[#This Row],[order_date]])</f>
        <v>7</v>
      </c>
      <c r="Z1039">
        <f>ROUND(Table1_1[[#This Row],[profit]]/Table1_1[[#This Row],[sales_fix]]*100,2)</f>
        <v>13.96</v>
      </c>
    </row>
    <row r="1040" spans="1:26" x14ac:dyDescent="0.3">
      <c r="A1040" t="s">
        <v>2840</v>
      </c>
      <c r="B1040" s="1">
        <v>45500</v>
      </c>
      <c r="C1040" s="1">
        <v>45503</v>
      </c>
      <c r="D1040" t="s">
        <v>1079</v>
      </c>
      <c r="E1040" t="s">
        <v>1080</v>
      </c>
      <c r="F1040" t="s">
        <v>23</v>
      </c>
      <c r="G1040" t="s">
        <v>44</v>
      </c>
      <c r="H1040" t="s">
        <v>155</v>
      </c>
      <c r="I1040" t="s">
        <v>37</v>
      </c>
      <c r="J1040" t="s">
        <v>38</v>
      </c>
      <c r="K1040" t="s">
        <v>27</v>
      </c>
      <c r="L1040">
        <v>1</v>
      </c>
      <c r="M1040">
        <v>9500</v>
      </c>
      <c r="N1040">
        <v>0</v>
      </c>
      <c r="O1040">
        <v>9500</v>
      </c>
      <c r="P1040">
        <v>1662.44</v>
      </c>
      <c r="Q1040" t="s">
        <v>66</v>
      </c>
      <c r="R1040" t="s">
        <v>56</v>
      </c>
      <c r="S1040" t="s">
        <v>40</v>
      </c>
      <c r="T1040">
        <f>YEAR(Table1_1[[#This Row],[order_date]])</f>
        <v>2024</v>
      </c>
      <c r="U1040">
        <f>MONTH(Table1_1[[#This Row],[order_date]])</f>
        <v>7</v>
      </c>
      <c r="V1040" t="str">
        <f>TEXT(Table1_1[[#This Row],[order_date]],"mmm")</f>
        <v>Jul</v>
      </c>
      <c r="W1040" t="str">
        <f>"Q"&amp;ROUNDUP(MONTH(Table1_1[[#This Row],[order_date]])/3,0)</f>
        <v>Q3</v>
      </c>
      <c r="X1040" t="str">
        <f>TEXT(Table1_1[[#This Row],[order_date]],"yyyy-mm")</f>
        <v>2024-07</v>
      </c>
      <c r="Y1040">
        <f>IF(Table1_1[[#This Row],[ship_date]]="","",Table1_1[[#This Row],[ship_date]]-Table1_1[[#This Row],[order_date]])</f>
        <v>3</v>
      </c>
      <c r="Z1040">
        <f>ROUND(Table1_1[[#This Row],[profit]]/Table1_1[[#This Row],[sales_fix]]*100,2)</f>
        <v>17.5</v>
      </c>
    </row>
    <row r="1041" spans="1:26" x14ac:dyDescent="0.3">
      <c r="A1041" t="s">
        <v>672</v>
      </c>
      <c r="B1041" s="1">
        <v>45683</v>
      </c>
      <c r="C1041" s="1">
        <v>45691</v>
      </c>
      <c r="D1041" t="s">
        <v>53</v>
      </c>
      <c r="E1041" t="s">
        <v>54</v>
      </c>
      <c r="F1041" t="s">
        <v>55</v>
      </c>
      <c r="G1041" t="s">
        <v>44</v>
      </c>
      <c r="H1041" t="s">
        <v>24</v>
      </c>
      <c r="I1041" t="s">
        <v>93</v>
      </c>
      <c r="J1041" t="s">
        <v>94</v>
      </c>
      <c r="K1041" t="s">
        <v>95</v>
      </c>
      <c r="L1041">
        <v>1</v>
      </c>
      <c r="M1041">
        <v>1800</v>
      </c>
      <c r="N1041">
        <v>15</v>
      </c>
      <c r="O1041">
        <v>1530</v>
      </c>
      <c r="P1041">
        <v>402.81</v>
      </c>
      <c r="Q1041" t="s">
        <v>156</v>
      </c>
      <c r="R1041" t="s">
        <v>56</v>
      </c>
      <c r="S1041" t="s">
        <v>110</v>
      </c>
      <c r="T1041">
        <f>YEAR(Table1_1[[#This Row],[order_date]])</f>
        <v>2025</v>
      </c>
      <c r="U1041">
        <f>MONTH(Table1_1[[#This Row],[order_date]])</f>
        <v>1</v>
      </c>
      <c r="V1041" t="str">
        <f>TEXT(Table1_1[[#This Row],[order_date]],"mmm")</f>
        <v>Jan</v>
      </c>
      <c r="W1041" t="str">
        <f>"Q"&amp;ROUNDUP(MONTH(Table1_1[[#This Row],[order_date]])/3,0)</f>
        <v>Q1</v>
      </c>
      <c r="X1041" t="str">
        <f>TEXT(Table1_1[[#This Row],[order_date]],"yyyy-mm")</f>
        <v>2025-01</v>
      </c>
      <c r="Y1041">
        <f>IF(Table1_1[[#This Row],[ship_date]]="","",Table1_1[[#This Row],[ship_date]]-Table1_1[[#This Row],[order_date]])</f>
        <v>8</v>
      </c>
      <c r="Z1041">
        <f>ROUND(Table1_1[[#This Row],[profit]]/Table1_1[[#This Row],[sales_fix]]*100,2)</f>
        <v>26.33</v>
      </c>
    </row>
    <row r="1042" spans="1:26" x14ac:dyDescent="0.3">
      <c r="A1042" t="s">
        <v>2678</v>
      </c>
      <c r="B1042" s="1">
        <v>45960</v>
      </c>
      <c r="C1042" s="1">
        <v>45967</v>
      </c>
      <c r="D1042" t="s">
        <v>787</v>
      </c>
      <c r="E1042" t="s">
        <v>788</v>
      </c>
      <c r="F1042" t="s">
        <v>34</v>
      </c>
      <c r="G1042" t="s">
        <v>35</v>
      </c>
      <c r="H1042" t="s">
        <v>36</v>
      </c>
      <c r="I1042" t="s">
        <v>103</v>
      </c>
      <c r="J1042" t="s">
        <v>104</v>
      </c>
      <c r="K1042" t="s">
        <v>65</v>
      </c>
      <c r="L1042">
        <v>1</v>
      </c>
      <c r="M1042">
        <v>8000</v>
      </c>
      <c r="N1042">
        <v>10</v>
      </c>
      <c r="O1042">
        <v>7200</v>
      </c>
      <c r="P1042">
        <v>1865.13</v>
      </c>
      <c r="Q1042" t="s">
        <v>74</v>
      </c>
      <c r="R1042" t="s">
        <v>56</v>
      </c>
      <c r="S1042" t="s">
        <v>86</v>
      </c>
      <c r="T1042">
        <f>YEAR(Table1_1[[#This Row],[order_date]])</f>
        <v>2025</v>
      </c>
      <c r="U1042">
        <f>MONTH(Table1_1[[#This Row],[order_date]])</f>
        <v>10</v>
      </c>
      <c r="V1042" t="str">
        <f>TEXT(Table1_1[[#This Row],[order_date]],"mmm")</f>
        <v>Oct</v>
      </c>
      <c r="W1042" t="str">
        <f>"Q"&amp;ROUNDUP(MONTH(Table1_1[[#This Row],[order_date]])/3,0)</f>
        <v>Q4</v>
      </c>
      <c r="X1042" t="str">
        <f>TEXT(Table1_1[[#This Row],[order_date]],"yyyy-mm")</f>
        <v>2025-10</v>
      </c>
      <c r="Y1042">
        <f>IF(Table1_1[[#This Row],[ship_date]]="","",Table1_1[[#This Row],[ship_date]]-Table1_1[[#This Row],[order_date]])</f>
        <v>7</v>
      </c>
      <c r="Z1042">
        <f>ROUND(Table1_1[[#This Row],[profit]]/Table1_1[[#This Row],[sales_fix]]*100,2)</f>
        <v>25.9</v>
      </c>
    </row>
    <row r="1043" spans="1:26" x14ac:dyDescent="0.3">
      <c r="A1043" t="s">
        <v>1718</v>
      </c>
      <c r="B1043" s="1">
        <v>45439</v>
      </c>
      <c r="C1043" s="1">
        <v>45441</v>
      </c>
      <c r="D1043" t="s">
        <v>1450</v>
      </c>
      <c r="E1043" t="s">
        <v>1451</v>
      </c>
      <c r="F1043" t="s">
        <v>23</v>
      </c>
      <c r="G1043" t="s">
        <v>61</v>
      </c>
      <c r="H1043" t="s">
        <v>78</v>
      </c>
      <c r="I1043" t="s">
        <v>63</v>
      </c>
      <c r="J1043" t="s">
        <v>64</v>
      </c>
      <c r="K1043" t="s">
        <v>65</v>
      </c>
      <c r="L1043">
        <v>2</v>
      </c>
      <c r="M1043">
        <v>25000</v>
      </c>
      <c r="N1043">
        <v>15</v>
      </c>
      <c r="O1043">
        <v>42500</v>
      </c>
      <c r="P1043">
        <v>6973.73</v>
      </c>
      <c r="Q1043" t="s">
        <v>66</v>
      </c>
      <c r="R1043" t="s">
        <v>49</v>
      </c>
      <c r="S1043" t="s">
        <v>40</v>
      </c>
      <c r="T1043">
        <f>YEAR(Table1_1[[#This Row],[order_date]])</f>
        <v>2024</v>
      </c>
      <c r="U1043">
        <f>MONTH(Table1_1[[#This Row],[order_date]])</f>
        <v>5</v>
      </c>
      <c r="V1043" t="str">
        <f>TEXT(Table1_1[[#This Row],[order_date]],"mmm")</f>
        <v>May</v>
      </c>
      <c r="W1043" t="str">
        <f>"Q"&amp;ROUNDUP(MONTH(Table1_1[[#This Row],[order_date]])/3,0)</f>
        <v>Q2</v>
      </c>
      <c r="X1043" t="str">
        <f>TEXT(Table1_1[[#This Row],[order_date]],"yyyy-mm")</f>
        <v>2024-05</v>
      </c>
      <c r="Y1043">
        <f>IF(Table1_1[[#This Row],[ship_date]]="","",Table1_1[[#This Row],[ship_date]]-Table1_1[[#This Row],[order_date]])</f>
        <v>2</v>
      </c>
      <c r="Z1043">
        <f>ROUND(Table1_1[[#This Row],[profit]]/Table1_1[[#This Row],[sales_fix]]*100,2)</f>
        <v>16.41</v>
      </c>
    </row>
    <row r="1044" spans="1:26" x14ac:dyDescent="0.3">
      <c r="A1044" t="s">
        <v>3048</v>
      </c>
      <c r="B1044" s="1">
        <v>45437</v>
      </c>
      <c r="C1044" s="1">
        <v>45445</v>
      </c>
      <c r="D1044" t="s">
        <v>1659</v>
      </c>
      <c r="E1044" t="s">
        <v>1660</v>
      </c>
      <c r="F1044" t="s">
        <v>34</v>
      </c>
      <c r="G1044" t="s">
        <v>44</v>
      </c>
      <c r="H1044" t="s">
        <v>24</v>
      </c>
      <c r="I1044" t="s">
        <v>63</v>
      </c>
      <c r="J1044" t="s">
        <v>64</v>
      </c>
      <c r="K1044" t="s">
        <v>65</v>
      </c>
      <c r="L1044">
        <v>1</v>
      </c>
      <c r="M1044">
        <v>25000</v>
      </c>
      <c r="N1044">
        <v>0</v>
      </c>
      <c r="O1044">
        <v>25000</v>
      </c>
      <c r="P1044">
        <v>2764.17</v>
      </c>
      <c r="Q1044" t="s">
        <v>74</v>
      </c>
      <c r="R1044" t="s">
        <v>29</v>
      </c>
      <c r="S1044" t="s">
        <v>30</v>
      </c>
      <c r="T1044">
        <f>YEAR(Table1_1[[#This Row],[order_date]])</f>
        <v>2024</v>
      </c>
      <c r="U1044">
        <f>MONTH(Table1_1[[#This Row],[order_date]])</f>
        <v>5</v>
      </c>
      <c r="V1044" t="str">
        <f>TEXT(Table1_1[[#This Row],[order_date]],"mmm")</f>
        <v>May</v>
      </c>
      <c r="W1044" t="str">
        <f>"Q"&amp;ROUNDUP(MONTH(Table1_1[[#This Row],[order_date]])/3,0)</f>
        <v>Q2</v>
      </c>
      <c r="X1044" t="str">
        <f>TEXT(Table1_1[[#This Row],[order_date]],"yyyy-mm")</f>
        <v>2024-05</v>
      </c>
      <c r="Y1044">
        <f>IF(Table1_1[[#This Row],[ship_date]]="","",Table1_1[[#This Row],[ship_date]]-Table1_1[[#This Row],[order_date]])</f>
        <v>8</v>
      </c>
      <c r="Z1044">
        <f>ROUND(Table1_1[[#This Row],[profit]]/Table1_1[[#This Row],[sales_fix]]*100,2)</f>
        <v>11.06</v>
      </c>
    </row>
    <row r="1045" spans="1:26" x14ac:dyDescent="0.3">
      <c r="A1045" t="s">
        <v>1943</v>
      </c>
      <c r="B1045" s="1">
        <v>45314</v>
      </c>
      <c r="C1045" s="1">
        <v>45316</v>
      </c>
      <c r="D1045" t="s">
        <v>861</v>
      </c>
      <c r="E1045" t="s">
        <v>862</v>
      </c>
      <c r="F1045" t="s">
        <v>55</v>
      </c>
      <c r="G1045" t="s">
        <v>44</v>
      </c>
      <c r="H1045" t="s">
        <v>24</v>
      </c>
      <c r="I1045" t="s">
        <v>147</v>
      </c>
      <c r="J1045" t="s">
        <v>148</v>
      </c>
      <c r="K1045" t="s">
        <v>48</v>
      </c>
      <c r="L1045">
        <v>2</v>
      </c>
      <c r="M1045">
        <v>250</v>
      </c>
      <c r="N1045">
        <v>5</v>
      </c>
      <c r="O1045">
        <v>475</v>
      </c>
      <c r="P1045">
        <v>205.9</v>
      </c>
      <c r="Q1045" t="s">
        <v>121</v>
      </c>
      <c r="R1045" t="s">
        <v>56</v>
      </c>
      <c r="S1045" t="s">
        <v>30</v>
      </c>
      <c r="T1045">
        <f>YEAR(Table1_1[[#This Row],[order_date]])</f>
        <v>2024</v>
      </c>
      <c r="U1045">
        <f>MONTH(Table1_1[[#This Row],[order_date]])</f>
        <v>1</v>
      </c>
      <c r="V1045" t="str">
        <f>TEXT(Table1_1[[#This Row],[order_date]],"mmm")</f>
        <v>Jan</v>
      </c>
      <c r="W1045" t="str">
        <f>"Q"&amp;ROUNDUP(MONTH(Table1_1[[#This Row],[order_date]])/3,0)</f>
        <v>Q1</v>
      </c>
      <c r="X1045" t="str">
        <f>TEXT(Table1_1[[#This Row],[order_date]],"yyyy-mm")</f>
        <v>2024-01</v>
      </c>
      <c r="Y1045">
        <f>IF(Table1_1[[#This Row],[ship_date]]="","",Table1_1[[#This Row],[ship_date]]-Table1_1[[#This Row],[order_date]])</f>
        <v>2</v>
      </c>
      <c r="Z1045">
        <f>ROUND(Table1_1[[#This Row],[profit]]/Table1_1[[#This Row],[sales_fix]]*100,2)</f>
        <v>43.35</v>
      </c>
    </row>
    <row r="1046" spans="1:26" x14ac:dyDescent="0.3">
      <c r="A1046" t="s">
        <v>1261</v>
      </c>
      <c r="B1046" s="1">
        <v>45940</v>
      </c>
      <c r="C1046" s="1">
        <v>45943</v>
      </c>
      <c r="D1046" t="s">
        <v>1262</v>
      </c>
      <c r="E1046" t="s">
        <v>1263</v>
      </c>
      <c r="F1046" t="s">
        <v>23</v>
      </c>
      <c r="G1046" t="s">
        <v>91</v>
      </c>
      <c r="H1046" t="s">
        <v>120</v>
      </c>
      <c r="I1046" t="s">
        <v>37</v>
      </c>
      <c r="J1046" t="s">
        <v>38</v>
      </c>
      <c r="K1046" t="s">
        <v>27</v>
      </c>
      <c r="L1046">
        <v>4</v>
      </c>
      <c r="M1046">
        <v>9500</v>
      </c>
      <c r="N1046">
        <v>0</v>
      </c>
      <c r="O1046">
        <v>38000</v>
      </c>
      <c r="P1046">
        <v>6228.22</v>
      </c>
      <c r="Q1046" t="s">
        <v>156</v>
      </c>
      <c r="R1046" t="s">
        <v>56</v>
      </c>
      <c r="S1046" t="s">
        <v>40</v>
      </c>
      <c r="T1046">
        <f>YEAR(Table1_1[[#This Row],[order_date]])</f>
        <v>2025</v>
      </c>
      <c r="U1046">
        <f>MONTH(Table1_1[[#This Row],[order_date]])</f>
        <v>10</v>
      </c>
      <c r="V1046" t="str">
        <f>TEXT(Table1_1[[#This Row],[order_date]],"mmm")</f>
        <v>Oct</v>
      </c>
      <c r="W1046" t="str">
        <f>"Q"&amp;ROUNDUP(MONTH(Table1_1[[#This Row],[order_date]])/3,0)</f>
        <v>Q4</v>
      </c>
      <c r="X1046" t="str">
        <f>TEXT(Table1_1[[#This Row],[order_date]],"yyyy-mm")</f>
        <v>2025-10</v>
      </c>
      <c r="Y1046">
        <f>IF(Table1_1[[#This Row],[ship_date]]="","",Table1_1[[#This Row],[ship_date]]-Table1_1[[#This Row],[order_date]])</f>
        <v>3</v>
      </c>
      <c r="Z1046">
        <f>ROUND(Table1_1[[#This Row],[profit]]/Table1_1[[#This Row],[sales_fix]]*100,2)</f>
        <v>16.39</v>
      </c>
    </row>
    <row r="1047" spans="1:26" x14ac:dyDescent="0.3">
      <c r="A1047" t="s">
        <v>2135</v>
      </c>
      <c r="B1047" s="1">
        <v>45643</v>
      </c>
      <c r="C1047" s="1">
        <v>45644</v>
      </c>
      <c r="D1047" t="s">
        <v>1250</v>
      </c>
      <c r="E1047" t="s">
        <v>1251</v>
      </c>
      <c r="F1047" t="s">
        <v>55</v>
      </c>
      <c r="G1047" t="s">
        <v>35</v>
      </c>
      <c r="H1047" t="s">
        <v>258</v>
      </c>
      <c r="I1047" t="s">
        <v>63</v>
      </c>
      <c r="J1047" t="s">
        <v>64</v>
      </c>
      <c r="K1047" t="s">
        <v>65</v>
      </c>
      <c r="L1047">
        <v>2</v>
      </c>
      <c r="M1047">
        <v>25000</v>
      </c>
      <c r="N1047">
        <v>10</v>
      </c>
      <c r="O1047">
        <v>45000</v>
      </c>
      <c r="P1047">
        <v>6344.98</v>
      </c>
      <c r="Q1047" t="s">
        <v>121</v>
      </c>
      <c r="R1047" t="s">
        <v>56</v>
      </c>
      <c r="S1047" t="s">
        <v>110</v>
      </c>
      <c r="T1047">
        <f>YEAR(Table1_1[[#This Row],[order_date]])</f>
        <v>2024</v>
      </c>
      <c r="U1047">
        <f>MONTH(Table1_1[[#This Row],[order_date]])</f>
        <v>12</v>
      </c>
      <c r="V1047" t="str">
        <f>TEXT(Table1_1[[#This Row],[order_date]],"mmm")</f>
        <v>Dec</v>
      </c>
      <c r="W1047" t="str">
        <f>"Q"&amp;ROUNDUP(MONTH(Table1_1[[#This Row],[order_date]])/3,0)</f>
        <v>Q4</v>
      </c>
      <c r="X1047" t="str">
        <f>TEXT(Table1_1[[#This Row],[order_date]],"yyyy-mm")</f>
        <v>2024-12</v>
      </c>
      <c r="Y1047">
        <f>IF(Table1_1[[#This Row],[ship_date]]="","",Table1_1[[#This Row],[ship_date]]-Table1_1[[#This Row],[order_date]])</f>
        <v>1</v>
      </c>
      <c r="Z1047">
        <f>ROUND(Table1_1[[#This Row],[profit]]/Table1_1[[#This Row],[sales_fix]]*100,2)</f>
        <v>14.1</v>
      </c>
    </row>
    <row r="1048" spans="1:26" x14ac:dyDescent="0.3">
      <c r="A1048" t="s">
        <v>2441</v>
      </c>
      <c r="B1048" s="1">
        <v>45912</v>
      </c>
      <c r="C1048" s="1">
        <v>45915</v>
      </c>
      <c r="D1048" t="s">
        <v>1659</v>
      </c>
      <c r="E1048" t="s">
        <v>1660</v>
      </c>
      <c r="F1048" t="s">
        <v>34</v>
      </c>
      <c r="G1048" t="s">
        <v>44</v>
      </c>
      <c r="H1048" t="s">
        <v>24</v>
      </c>
      <c r="I1048" t="s">
        <v>103</v>
      </c>
      <c r="J1048" t="s">
        <v>104</v>
      </c>
      <c r="K1048" t="s">
        <v>65</v>
      </c>
      <c r="L1048">
        <v>1</v>
      </c>
      <c r="M1048">
        <v>8000</v>
      </c>
      <c r="N1048">
        <v>0</v>
      </c>
      <c r="O1048">
        <v>8000</v>
      </c>
      <c r="P1048">
        <v>1814.4</v>
      </c>
      <c r="Q1048" t="s">
        <v>121</v>
      </c>
      <c r="R1048" t="s">
        <v>49</v>
      </c>
      <c r="S1048" t="s">
        <v>86</v>
      </c>
      <c r="T1048">
        <f>YEAR(Table1_1[[#This Row],[order_date]])</f>
        <v>2025</v>
      </c>
      <c r="U1048">
        <f>MONTH(Table1_1[[#This Row],[order_date]])</f>
        <v>9</v>
      </c>
      <c r="V1048" t="str">
        <f>TEXT(Table1_1[[#This Row],[order_date]],"mmm")</f>
        <v>Sep</v>
      </c>
      <c r="W1048" t="str">
        <f>"Q"&amp;ROUNDUP(MONTH(Table1_1[[#This Row],[order_date]])/3,0)</f>
        <v>Q3</v>
      </c>
      <c r="X1048" t="str">
        <f>TEXT(Table1_1[[#This Row],[order_date]],"yyyy-mm")</f>
        <v>2025-09</v>
      </c>
      <c r="Y1048">
        <f>IF(Table1_1[[#This Row],[ship_date]]="","",Table1_1[[#This Row],[ship_date]]-Table1_1[[#This Row],[order_date]])</f>
        <v>3</v>
      </c>
      <c r="Z1048">
        <f>ROUND(Table1_1[[#This Row],[profit]]/Table1_1[[#This Row],[sales_fix]]*100,2)</f>
        <v>22.68</v>
      </c>
    </row>
    <row r="1049" spans="1:26" x14ac:dyDescent="0.3">
      <c r="A1049" t="s">
        <v>1999</v>
      </c>
      <c r="B1049" s="1">
        <v>45627</v>
      </c>
      <c r="C1049" s="1">
        <v>45632</v>
      </c>
      <c r="D1049" t="s">
        <v>343</v>
      </c>
      <c r="E1049" t="s">
        <v>369</v>
      </c>
      <c r="F1049" t="s">
        <v>34</v>
      </c>
      <c r="G1049" t="s">
        <v>44</v>
      </c>
      <c r="H1049" t="s">
        <v>45</v>
      </c>
      <c r="I1049" t="s">
        <v>114</v>
      </c>
      <c r="J1049" t="s">
        <v>115</v>
      </c>
      <c r="K1049" t="s">
        <v>65</v>
      </c>
      <c r="L1049">
        <v>1</v>
      </c>
      <c r="M1049">
        <v>55000</v>
      </c>
      <c r="N1049">
        <v>15</v>
      </c>
      <c r="O1049">
        <v>46750</v>
      </c>
      <c r="P1049">
        <v>9054.0300000000007</v>
      </c>
      <c r="Q1049" t="s">
        <v>74</v>
      </c>
      <c r="R1049" t="s">
        <v>49</v>
      </c>
      <c r="S1049" t="s">
        <v>50</v>
      </c>
      <c r="T1049">
        <f>YEAR(Table1_1[[#This Row],[order_date]])</f>
        <v>2024</v>
      </c>
      <c r="U1049">
        <f>MONTH(Table1_1[[#This Row],[order_date]])</f>
        <v>12</v>
      </c>
      <c r="V1049" t="str">
        <f>TEXT(Table1_1[[#This Row],[order_date]],"mmm")</f>
        <v>Dec</v>
      </c>
      <c r="W1049" t="str">
        <f>"Q"&amp;ROUNDUP(MONTH(Table1_1[[#This Row],[order_date]])/3,0)</f>
        <v>Q4</v>
      </c>
      <c r="X1049" t="str">
        <f>TEXT(Table1_1[[#This Row],[order_date]],"yyyy-mm")</f>
        <v>2024-12</v>
      </c>
      <c r="Y1049">
        <f>IF(Table1_1[[#This Row],[ship_date]]="","",Table1_1[[#This Row],[ship_date]]-Table1_1[[#This Row],[order_date]])</f>
        <v>5</v>
      </c>
      <c r="Z1049">
        <f>ROUND(Table1_1[[#This Row],[profit]]/Table1_1[[#This Row],[sales_fix]]*100,2)</f>
        <v>19.37</v>
      </c>
    </row>
    <row r="1050" spans="1:26" x14ac:dyDescent="0.3">
      <c r="A1050" t="s">
        <v>1435</v>
      </c>
      <c r="B1050" s="1">
        <v>46017</v>
      </c>
      <c r="C1050" s="1">
        <v>46024</v>
      </c>
      <c r="D1050" t="s">
        <v>554</v>
      </c>
      <c r="E1050" t="s">
        <v>555</v>
      </c>
      <c r="F1050" t="s">
        <v>55</v>
      </c>
      <c r="G1050" t="s">
        <v>61</v>
      </c>
      <c r="H1050" t="s">
        <v>62</v>
      </c>
      <c r="I1050" t="s">
        <v>37</v>
      </c>
      <c r="J1050" t="s">
        <v>38</v>
      </c>
      <c r="K1050" t="s">
        <v>27</v>
      </c>
      <c r="L1050">
        <v>1</v>
      </c>
      <c r="M1050">
        <v>9500</v>
      </c>
      <c r="N1050">
        <v>15</v>
      </c>
      <c r="O1050">
        <v>8075</v>
      </c>
      <c r="P1050">
        <v>1653.12</v>
      </c>
      <c r="Q1050" t="s">
        <v>39</v>
      </c>
      <c r="R1050" t="s">
        <v>49</v>
      </c>
      <c r="S1050" t="s">
        <v>50</v>
      </c>
      <c r="T1050">
        <f>YEAR(Table1_1[[#This Row],[order_date]])</f>
        <v>2025</v>
      </c>
      <c r="U1050">
        <f>MONTH(Table1_1[[#This Row],[order_date]])</f>
        <v>12</v>
      </c>
      <c r="V1050" t="str">
        <f>TEXT(Table1_1[[#This Row],[order_date]],"mmm")</f>
        <v>Dec</v>
      </c>
      <c r="W1050" t="str">
        <f>"Q"&amp;ROUNDUP(MONTH(Table1_1[[#This Row],[order_date]])/3,0)</f>
        <v>Q4</v>
      </c>
      <c r="X1050" t="str">
        <f>TEXT(Table1_1[[#This Row],[order_date]],"yyyy-mm")</f>
        <v>2025-12</v>
      </c>
      <c r="Y1050">
        <f>IF(Table1_1[[#This Row],[ship_date]]="","",Table1_1[[#This Row],[ship_date]]-Table1_1[[#This Row],[order_date]])</f>
        <v>7</v>
      </c>
      <c r="Z1050">
        <f>ROUND(Table1_1[[#This Row],[profit]]/Table1_1[[#This Row],[sales_fix]]*100,2)</f>
        <v>20.47</v>
      </c>
    </row>
    <row r="1051" spans="1:26" x14ac:dyDescent="0.3">
      <c r="A1051" t="s">
        <v>1697</v>
      </c>
      <c r="B1051" s="1">
        <v>45494</v>
      </c>
      <c r="C1051" s="1">
        <v>45501</v>
      </c>
      <c r="D1051" t="s">
        <v>1418</v>
      </c>
      <c r="E1051" t="s">
        <v>1419</v>
      </c>
      <c r="F1051" t="s">
        <v>34</v>
      </c>
      <c r="G1051" t="s">
        <v>61</v>
      </c>
      <c r="H1051" t="s">
        <v>211</v>
      </c>
      <c r="I1051" t="s">
        <v>79</v>
      </c>
      <c r="J1051" t="s">
        <v>80</v>
      </c>
      <c r="K1051" t="s">
        <v>65</v>
      </c>
      <c r="L1051">
        <v>3</v>
      </c>
      <c r="M1051">
        <v>3000</v>
      </c>
      <c r="N1051">
        <v>15</v>
      </c>
      <c r="O1051">
        <v>7650</v>
      </c>
      <c r="P1051">
        <v>1864.53</v>
      </c>
      <c r="Q1051" t="s">
        <v>66</v>
      </c>
      <c r="R1051" t="s">
        <v>56</v>
      </c>
      <c r="S1051" t="s">
        <v>40</v>
      </c>
      <c r="T1051">
        <f>YEAR(Table1_1[[#This Row],[order_date]])</f>
        <v>2024</v>
      </c>
      <c r="U1051">
        <f>MONTH(Table1_1[[#This Row],[order_date]])</f>
        <v>7</v>
      </c>
      <c r="V1051" t="str">
        <f>TEXT(Table1_1[[#This Row],[order_date]],"mmm")</f>
        <v>Jul</v>
      </c>
      <c r="W1051" t="str">
        <f>"Q"&amp;ROUNDUP(MONTH(Table1_1[[#This Row],[order_date]])/3,0)</f>
        <v>Q3</v>
      </c>
      <c r="X1051" t="str">
        <f>TEXT(Table1_1[[#This Row],[order_date]],"yyyy-mm")</f>
        <v>2024-07</v>
      </c>
      <c r="Y1051">
        <f>IF(Table1_1[[#This Row],[ship_date]]="","",Table1_1[[#This Row],[ship_date]]-Table1_1[[#This Row],[order_date]])</f>
        <v>7</v>
      </c>
      <c r="Z1051">
        <f>ROUND(Table1_1[[#This Row],[profit]]/Table1_1[[#This Row],[sales_fix]]*100,2)</f>
        <v>24.37</v>
      </c>
    </row>
    <row r="1052" spans="1:26" x14ac:dyDescent="0.3">
      <c r="A1052" t="s">
        <v>829</v>
      </c>
      <c r="B1052" s="1">
        <v>45502</v>
      </c>
      <c r="C1052" s="1">
        <v>45510</v>
      </c>
      <c r="D1052" t="s">
        <v>830</v>
      </c>
      <c r="E1052" t="s">
        <v>831</v>
      </c>
      <c r="F1052" t="s">
        <v>23</v>
      </c>
      <c r="G1052" t="s">
        <v>61</v>
      </c>
      <c r="H1052" t="s">
        <v>125</v>
      </c>
      <c r="I1052" t="s">
        <v>79</v>
      </c>
      <c r="J1052" t="s">
        <v>80</v>
      </c>
      <c r="K1052" t="s">
        <v>65</v>
      </c>
      <c r="L1052">
        <v>5</v>
      </c>
      <c r="M1052">
        <v>3000</v>
      </c>
      <c r="N1052">
        <v>5</v>
      </c>
      <c r="O1052">
        <v>14250</v>
      </c>
      <c r="P1052">
        <v>3733.74</v>
      </c>
      <c r="Q1052" t="s">
        <v>28</v>
      </c>
      <c r="R1052" t="s">
        <v>56</v>
      </c>
      <c r="S1052" t="s">
        <v>110</v>
      </c>
      <c r="T1052">
        <f>YEAR(Table1_1[[#This Row],[order_date]])</f>
        <v>2024</v>
      </c>
      <c r="U1052">
        <f>MONTH(Table1_1[[#This Row],[order_date]])</f>
        <v>7</v>
      </c>
      <c r="V1052" t="str">
        <f>TEXT(Table1_1[[#This Row],[order_date]],"mmm")</f>
        <v>Jul</v>
      </c>
      <c r="W1052" t="str">
        <f>"Q"&amp;ROUNDUP(MONTH(Table1_1[[#This Row],[order_date]])/3,0)</f>
        <v>Q3</v>
      </c>
      <c r="X1052" t="str">
        <f>TEXT(Table1_1[[#This Row],[order_date]],"yyyy-mm")</f>
        <v>2024-07</v>
      </c>
      <c r="Y1052">
        <f>IF(Table1_1[[#This Row],[ship_date]]="","",Table1_1[[#This Row],[ship_date]]-Table1_1[[#This Row],[order_date]])</f>
        <v>8</v>
      </c>
      <c r="Z1052">
        <f>ROUND(Table1_1[[#This Row],[profit]]/Table1_1[[#This Row],[sales_fix]]*100,2)</f>
        <v>26.2</v>
      </c>
    </row>
    <row r="1053" spans="1:26" x14ac:dyDescent="0.3">
      <c r="A1053" t="s">
        <v>475</v>
      </c>
      <c r="B1053" s="1">
        <v>45402</v>
      </c>
      <c r="C1053" s="1">
        <v>45408</v>
      </c>
      <c r="D1053" t="s">
        <v>324</v>
      </c>
      <c r="E1053" t="s">
        <v>325</v>
      </c>
      <c r="F1053" t="s">
        <v>55</v>
      </c>
      <c r="G1053" t="s">
        <v>91</v>
      </c>
      <c r="H1053" t="s">
        <v>109</v>
      </c>
      <c r="I1053" t="s">
        <v>93</v>
      </c>
      <c r="J1053" t="s">
        <v>94</v>
      </c>
      <c r="K1053" t="s">
        <v>95</v>
      </c>
      <c r="L1053">
        <v>2</v>
      </c>
      <c r="M1053">
        <v>1800</v>
      </c>
      <c r="N1053">
        <v>5</v>
      </c>
      <c r="O1053">
        <v>3420</v>
      </c>
      <c r="P1053">
        <v>933.53</v>
      </c>
      <c r="Q1053" t="s">
        <v>74</v>
      </c>
      <c r="R1053" t="s">
        <v>56</v>
      </c>
      <c r="S1053" t="s">
        <v>86</v>
      </c>
      <c r="T1053">
        <f>YEAR(Table1_1[[#This Row],[order_date]])</f>
        <v>2024</v>
      </c>
      <c r="U1053">
        <f>MONTH(Table1_1[[#This Row],[order_date]])</f>
        <v>4</v>
      </c>
      <c r="V1053" t="str">
        <f>TEXT(Table1_1[[#This Row],[order_date]],"mmm")</f>
        <v>Apr</v>
      </c>
      <c r="W1053" t="str">
        <f>"Q"&amp;ROUNDUP(MONTH(Table1_1[[#This Row],[order_date]])/3,0)</f>
        <v>Q2</v>
      </c>
      <c r="X1053" t="str">
        <f>TEXT(Table1_1[[#This Row],[order_date]],"yyyy-mm")</f>
        <v>2024-04</v>
      </c>
      <c r="Y1053">
        <f>IF(Table1_1[[#This Row],[ship_date]]="","",Table1_1[[#This Row],[ship_date]]-Table1_1[[#This Row],[order_date]])</f>
        <v>6</v>
      </c>
      <c r="Z1053">
        <f>ROUND(Table1_1[[#This Row],[profit]]/Table1_1[[#This Row],[sales_fix]]*100,2)</f>
        <v>27.3</v>
      </c>
    </row>
    <row r="1054" spans="1:26" x14ac:dyDescent="0.3">
      <c r="A1054" t="s">
        <v>2722</v>
      </c>
      <c r="B1054" s="1">
        <v>45326</v>
      </c>
      <c r="C1054" s="1">
        <v>45331</v>
      </c>
      <c r="D1054" t="s">
        <v>192</v>
      </c>
      <c r="E1054" t="s">
        <v>193</v>
      </c>
      <c r="F1054" t="s">
        <v>55</v>
      </c>
      <c r="G1054" t="s">
        <v>35</v>
      </c>
      <c r="H1054" t="s">
        <v>36</v>
      </c>
      <c r="I1054" t="s">
        <v>79</v>
      </c>
      <c r="J1054" t="s">
        <v>80</v>
      </c>
      <c r="K1054" t="s">
        <v>65</v>
      </c>
      <c r="L1054">
        <v>5</v>
      </c>
      <c r="M1054">
        <v>3000</v>
      </c>
      <c r="N1054">
        <v>0</v>
      </c>
      <c r="O1054">
        <v>15000</v>
      </c>
      <c r="P1054">
        <v>4206.3599999999997</v>
      </c>
      <c r="Q1054" t="s">
        <v>39</v>
      </c>
      <c r="R1054" t="s">
        <v>56</v>
      </c>
      <c r="S1054" t="s">
        <v>40</v>
      </c>
      <c r="T1054">
        <f>YEAR(Table1_1[[#This Row],[order_date]])</f>
        <v>2024</v>
      </c>
      <c r="U1054">
        <f>MONTH(Table1_1[[#This Row],[order_date]])</f>
        <v>2</v>
      </c>
      <c r="V1054" t="str">
        <f>TEXT(Table1_1[[#This Row],[order_date]],"mmm")</f>
        <v>Feb</v>
      </c>
      <c r="W1054" t="str">
        <f>"Q"&amp;ROUNDUP(MONTH(Table1_1[[#This Row],[order_date]])/3,0)</f>
        <v>Q1</v>
      </c>
      <c r="X1054" t="str">
        <f>TEXT(Table1_1[[#This Row],[order_date]],"yyyy-mm")</f>
        <v>2024-02</v>
      </c>
      <c r="Y1054">
        <f>IF(Table1_1[[#This Row],[ship_date]]="","",Table1_1[[#This Row],[ship_date]]-Table1_1[[#This Row],[order_date]])</f>
        <v>5</v>
      </c>
      <c r="Z1054">
        <f>ROUND(Table1_1[[#This Row],[profit]]/Table1_1[[#This Row],[sales_fix]]*100,2)</f>
        <v>28.04</v>
      </c>
    </row>
    <row r="1055" spans="1:26" x14ac:dyDescent="0.3">
      <c r="A1055" t="s">
        <v>1103</v>
      </c>
      <c r="B1055" s="1">
        <v>45322</v>
      </c>
      <c r="C1055" s="1">
        <v>45325</v>
      </c>
      <c r="D1055" t="s">
        <v>599</v>
      </c>
      <c r="E1055" t="s">
        <v>600</v>
      </c>
      <c r="F1055" t="s">
        <v>23</v>
      </c>
      <c r="G1055" t="s">
        <v>44</v>
      </c>
      <c r="H1055" t="s">
        <v>161</v>
      </c>
      <c r="I1055" t="s">
        <v>134</v>
      </c>
      <c r="J1055" t="s">
        <v>135</v>
      </c>
      <c r="K1055" t="s">
        <v>27</v>
      </c>
      <c r="L1055">
        <v>1</v>
      </c>
      <c r="M1055">
        <v>6000</v>
      </c>
      <c r="N1055">
        <v>20</v>
      </c>
      <c r="O1055">
        <v>4800</v>
      </c>
      <c r="P1055">
        <v>955.09</v>
      </c>
      <c r="Q1055" t="s">
        <v>74</v>
      </c>
      <c r="R1055" t="s">
        <v>29</v>
      </c>
      <c r="S1055" t="s">
        <v>86</v>
      </c>
      <c r="T1055">
        <f>YEAR(Table1_1[[#This Row],[order_date]])</f>
        <v>2024</v>
      </c>
      <c r="U1055">
        <f>MONTH(Table1_1[[#This Row],[order_date]])</f>
        <v>1</v>
      </c>
      <c r="V1055" t="str">
        <f>TEXT(Table1_1[[#This Row],[order_date]],"mmm")</f>
        <v>Jan</v>
      </c>
      <c r="W1055" t="str">
        <f>"Q"&amp;ROUNDUP(MONTH(Table1_1[[#This Row],[order_date]])/3,0)</f>
        <v>Q1</v>
      </c>
      <c r="X1055" t="str">
        <f>TEXT(Table1_1[[#This Row],[order_date]],"yyyy-mm")</f>
        <v>2024-01</v>
      </c>
      <c r="Y1055">
        <f>IF(Table1_1[[#This Row],[ship_date]]="","",Table1_1[[#This Row],[ship_date]]-Table1_1[[#This Row],[order_date]])</f>
        <v>3</v>
      </c>
      <c r="Z1055">
        <f>ROUND(Table1_1[[#This Row],[profit]]/Table1_1[[#This Row],[sales_fix]]*100,2)</f>
        <v>19.899999999999999</v>
      </c>
    </row>
    <row r="1056" spans="1:26" x14ac:dyDescent="0.3">
      <c r="A1056" t="s">
        <v>3002</v>
      </c>
      <c r="B1056" s="1">
        <v>45672</v>
      </c>
      <c r="C1056" s="1">
        <v>45673</v>
      </c>
      <c r="D1056" t="s">
        <v>349</v>
      </c>
      <c r="E1056" t="s">
        <v>350</v>
      </c>
      <c r="F1056" t="s">
        <v>34</v>
      </c>
      <c r="G1056" t="s">
        <v>91</v>
      </c>
      <c r="H1056" t="s">
        <v>120</v>
      </c>
      <c r="I1056" t="s">
        <v>126</v>
      </c>
      <c r="J1056" t="s">
        <v>127</v>
      </c>
      <c r="K1056" t="s">
        <v>95</v>
      </c>
      <c r="L1056">
        <v>1</v>
      </c>
      <c r="M1056">
        <v>600</v>
      </c>
      <c r="N1056">
        <v>20</v>
      </c>
      <c r="O1056">
        <v>480</v>
      </c>
      <c r="P1056">
        <v>150.62</v>
      </c>
      <c r="Q1056" t="s">
        <v>74</v>
      </c>
      <c r="R1056" t="s">
        <v>56</v>
      </c>
      <c r="S1056" t="s">
        <v>86</v>
      </c>
      <c r="T1056">
        <f>YEAR(Table1_1[[#This Row],[order_date]])</f>
        <v>2025</v>
      </c>
      <c r="U1056">
        <f>MONTH(Table1_1[[#This Row],[order_date]])</f>
        <v>1</v>
      </c>
      <c r="V1056" t="str">
        <f>TEXT(Table1_1[[#This Row],[order_date]],"mmm")</f>
        <v>Jan</v>
      </c>
      <c r="W1056" t="str">
        <f>"Q"&amp;ROUNDUP(MONTH(Table1_1[[#This Row],[order_date]])/3,0)</f>
        <v>Q1</v>
      </c>
      <c r="X1056" t="str">
        <f>TEXT(Table1_1[[#This Row],[order_date]],"yyyy-mm")</f>
        <v>2025-01</v>
      </c>
      <c r="Y1056">
        <f>IF(Table1_1[[#This Row],[ship_date]]="","",Table1_1[[#This Row],[ship_date]]-Table1_1[[#This Row],[order_date]])</f>
        <v>1</v>
      </c>
      <c r="Z1056">
        <f>ROUND(Table1_1[[#This Row],[profit]]/Table1_1[[#This Row],[sales_fix]]*100,2)</f>
        <v>31.38</v>
      </c>
    </row>
    <row r="1057" spans="1:26" x14ac:dyDescent="0.3">
      <c r="A1057" t="s">
        <v>1803</v>
      </c>
      <c r="B1057" s="1">
        <v>45768</v>
      </c>
      <c r="C1057" s="1">
        <v>45770</v>
      </c>
      <c r="D1057" t="s">
        <v>904</v>
      </c>
      <c r="E1057" t="s">
        <v>905</v>
      </c>
      <c r="F1057" t="s">
        <v>23</v>
      </c>
      <c r="G1057" t="s">
        <v>91</v>
      </c>
      <c r="H1057" t="s">
        <v>92</v>
      </c>
      <c r="I1057" t="s">
        <v>103</v>
      </c>
      <c r="J1057" t="s">
        <v>104</v>
      </c>
      <c r="K1057" t="s">
        <v>65</v>
      </c>
      <c r="L1057">
        <v>2</v>
      </c>
      <c r="M1057">
        <v>8000</v>
      </c>
      <c r="N1057">
        <v>0</v>
      </c>
      <c r="O1057">
        <v>16000</v>
      </c>
      <c r="P1057">
        <v>4237.99</v>
      </c>
      <c r="Q1057" t="s">
        <v>3113</v>
      </c>
      <c r="R1057" t="s">
        <v>49</v>
      </c>
      <c r="S1057" t="s">
        <v>40</v>
      </c>
      <c r="T1057">
        <f>YEAR(Table1_1[[#This Row],[order_date]])</f>
        <v>2025</v>
      </c>
      <c r="U1057">
        <f>MONTH(Table1_1[[#This Row],[order_date]])</f>
        <v>4</v>
      </c>
      <c r="V1057" t="str">
        <f>TEXT(Table1_1[[#This Row],[order_date]],"mmm")</f>
        <v>Apr</v>
      </c>
      <c r="W1057" t="str">
        <f>"Q"&amp;ROUNDUP(MONTH(Table1_1[[#This Row],[order_date]])/3,0)</f>
        <v>Q2</v>
      </c>
      <c r="X1057" t="str">
        <f>TEXT(Table1_1[[#This Row],[order_date]],"yyyy-mm")</f>
        <v>2025-04</v>
      </c>
      <c r="Y1057">
        <f>IF(Table1_1[[#This Row],[ship_date]]="","",Table1_1[[#This Row],[ship_date]]-Table1_1[[#This Row],[order_date]])</f>
        <v>2</v>
      </c>
      <c r="Z1057">
        <f>ROUND(Table1_1[[#This Row],[profit]]/Table1_1[[#This Row],[sales_fix]]*100,2)</f>
        <v>26.49</v>
      </c>
    </row>
    <row r="1058" spans="1:26" x14ac:dyDescent="0.3">
      <c r="A1058" t="s">
        <v>1158</v>
      </c>
      <c r="B1058" s="1">
        <v>45514</v>
      </c>
      <c r="C1058" s="1">
        <v>45516</v>
      </c>
      <c r="D1058" t="s">
        <v>606</v>
      </c>
      <c r="E1058" t="s">
        <v>607</v>
      </c>
      <c r="F1058" t="s">
        <v>23</v>
      </c>
      <c r="G1058" t="s">
        <v>35</v>
      </c>
      <c r="H1058" t="s">
        <v>36</v>
      </c>
      <c r="I1058" t="s">
        <v>46</v>
      </c>
      <c r="J1058" t="s">
        <v>47</v>
      </c>
      <c r="K1058" t="s">
        <v>48</v>
      </c>
      <c r="L1058">
        <v>1</v>
      </c>
      <c r="M1058">
        <v>180</v>
      </c>
      <c r="N1058">
        <v>0</v>
      </c>
      <c r="O1058">
        <v>180</v>
      </c>
      <c r="P1058">
        <v>79.91</v>
      </c>
      <c r="Q1058" t="s">
        <v>39</v>
      </c>
      <c r="R1058" t="s">
        <v>56</v>
      </c>
      <c r="S1058" t="s">
        <v>30</v>
      </c>
      <c r="T1058">
        <f>YEAR(Table1_1[[#This Row],[order_date]])</f>
        <v>2024</v>
      </c>
      <c r="U1058">
        <f>MONTH(Table1_1[[#This Row],[order_date]])</f>
        <v>8</v>
      </c>
      <c r="V1058" t="str">
        <f>TEXT(Table1_1[[#This Row],[order_date]],"mmm")</f>
        <v>Aug</v>
      </c>
      <c r="W1058" t="str">
        <f>"Q"&amp;ROUNDUP(MONTH(Table1_1[[#This Row],[order_date]])/3,0)</f>
        <v>Q3</v>
      </c>
      <c r="X1058" t="str">
        <f>TEXT(Table1_1[[#This Row],[order_date]],"yyyy-mm")</f>
        <v>2024-08</v>
      </c>
      <c r="Y1058">
        <f>IF(Table1_1[[#This Row],[ship_date]]="","",Table1_1[[#This Row],[ship_date]]-Table1_1[[#This Row],[order_date]])</f>
        <v>2</v>
      </c>
      <c r="Z1058">
        <f>ROUND(Table1_1[[#This Row],[profit]]/Table1_1[[#This Row],[sales_fix]]*100,2)</f>
        <v>44.39</v>
      </c>
    </row>
    <row r="1059" spans="1:26" x14ac:dyDescent="0.3">
      <c r="A1059" t="s">
        <v>1645</v>
      </c>
      <c r="B1059" s="1">
        <v>45619</v>
      </c>
      <c r="C1059" s="1">
        <v>45624</v>
      </c>
      <c r="D1059" t="s">
        <v>200</v>
      </c>
      <c r="E1059" t="s">
        <v>201</v>
      </c>
      <c r="F1059" t="s">
        <v>23</v>
      </c>
      <c r="G1059" t="s">
        <v>35</v>
      </c>
      <c r="H1059" t="s">
        <v>187</v>
      </c>
      <c r="I1059" t="s">
        <v>37</v>
      </c>
      <c r="J1059" t="s">
        <v>38</v>
      </c>
      <c r="K1059" t="s">
        <v>27</v>
      </c>
      <c r="L1059">
        <v>1</v>
      </c>
      <c r="M1059">
        <v>9500</v>
      </c>
      <c r="N1059">
        <v>5</v>
      </c>
      <c r="O1059">
        <v>9025</v>
      </c>
      <c r="P1059">
        <v>1623.53</v>
      </c>
      <c r="Q1059" t="s">
        <v>28</v>
      </c>
      <c r="R1059" t="s">
        <v>29</v>
      </c>
      <c r="S1059" t="s">
        <v>86</v>
      </c>
      <c r="T1059">
        <f>YEAR(Table1_1[[#This Row],[order_date]])</f>
        <v>2024</v>
      </c>
      <c r="U1059">
        <f>MONTH(Table1_1[[#This Row],[order_date]])</f>
        <v>11</v>
      </c>
      <c r="V1059" t="str">
        <f>TEXT(Table1_1[[#This Row],[order_date]],"mmm")</f>
        <v>Nov</v>
      </c>
      <c r="W1059" t="str">
        <f>"Q"&amp;ROUNDUP(MONTH(Table1_1[[#This Row],[order_date]])/3,0)</f>
        <v>Q4</v>
      </c>
      <c r="X1059" t="str">
        <f>TEXT(Table1_1[[#This Row],[order_date]],"yyyy-mm")</f>
        <v>2024-11</v>
      </c>
      <c r="Y1059">
        <f>IF(Table1_1[[#This Row],[ship_date]]="","",Table1_1[[#This Row],[ship_date]]-Table1_1[[#This Row],[order_date]])</f>
        <v>5</v>
      </c>
      <c r="Z1059">
        <f>ROUND(Table1_1[[#This Row],[profit]]/Table1_1[[#This Row],[sales_fix]]*100,2)</f>
        <v>17.989999999999998</v>
      </c>
    </row>
    <row r="1060" spans="1:26" x14ac:dyDescent="0.3">
      <c r="A1060" t="s">
        <v>1692</v>
      </c>
      <c r="B1060" s="1">
        <v>45907</v>
      </c>
      <c r="C1060" s="1">
        <v>45908</v>
      </c>
      <c r="D1060" t="s">
        <v>362</v>
      </c>
      <c r="E1060" t="s">
        <v>363</v>
      </c>
      <c r="F1060" t="s">
        <v>55</v>
      </c>
      <c r="G1060" t="s">
        <v>35</v>
      </c>
      <c r="H1060" t="s">
        <v>36</v>
      </c>
      <c r="I1060" t="s">
        <v>79</v>
      </c>
      <c r="J1060" t="s">
        <v>80</v>
      </c>
      <c r="K1060" t="s">
        <v>65</v>
      </c>
      <c r="L1060">
        <v>1</v>
      </c>
      <c r="M1060">
        <v>3000</v>
      </c>
      <c r="N1060">
        <v>5</v>
      </c>
      <c r="O1060">
        <v>2850</v>
      </c>
      <c r="P1060">
        <v>679.36</v>
      </c>
      <c r="Q1060" t="s">
        <v>74</v>
      </c>
      <c r="R1060" t="s">
        <v>29</v>
      </c>
      <c r="S1060" t="s">
        <v>40</v>
      </c>
      <c r="T1060">
        <f>YEAR(Table1_1[[#This Row],[order_date]])</f>
        <v>2025</v>
      </c>
      <c r="U1060">
        <f>MONTH(Table1_1[[#This Row],[order_date]])</f>
        <v>9</v>
      </c>
      <c r="V1060" t="str">
        <f>TEXT(Table1_1[[#This Row],[order_date]],"mmm")</f>
        <v>Sep</v>
      </c>
      <c r="W1060" t="str">
        <f>"Q"&amp;ROUNDUP(MONTH(Table1_1[[#This Row],[order_date]])/3,0)</f>
        <v>Q3</v>
      </c>
      <c r="X1060" t="str">
        <f>TEXT(Table1_1[[#This Row],[order_date]],"yyyy-mm")</f>
        <v>2025-09</v>
      </c>
      <c r="Y1060">
        <f>IF(Table1_1[[#This Row],[ship_date]]="","",Table1_1[[#This Row],[ship_date]]-Table1_1[[#This Row],[order_date]])</f>
        <v>1</v>
      </c>
      <c r="Z1060">
        <f>ROUND(Table1_1[[#This Row],[profit]]/Table1_1[[#This Row],[sales_fix]]*100,2)</f>
        <v>23.84</v>
      </c>
    </row>
    <row r="1061" spans="1:26" x14ac:dyDescent="0.3">
      <c r="A1061" t="s">
        <v>1962</v>
      </c>
      <c r="B1061" s="1">
        <v>45583</v>
      </c>
      <c r="C1061" s="1">
        <v>45584</v>
      </c>
      <c r="D1061" t="s">
        <v>483</v>
      </c>
      <c r="E1061" t="s">
        <v>484</v>
      </c>
      <c r="F1061" t="s">
        <v>55</v>
      </c>
      <c r="G1061" t="s">
        <v>61</v>
      </c>
      <c r="H1061" t="s">
        <v>62</v>
      </c>
      <c r="I1061" t="s">
        <v>147</v>
      </c>
      <c r="J1061" t="s">
        <v>148</v>
      </c>
      <c r="K1061" t="s">
        <v>48</v>
      </c>
      <c r="L1061">
        <v>10</v>
      </c>
      <c r="M1061">
        <v>250</v>
      </c>
      <c r="N1061">
        <v>0</v>
      </c>
      <c r="O1061">
        <v>2500</v>
      </c>
      <c r="P1061">
        <v>1058.33</v>
      </c>
      <c r="Q1061" t="s">
        <v>74</v>
      </c>
      <c r="R1061" t="s">
        <v>56</v>
      </c>
      <c r="S1061" t="s">
        <v>86</v>
      </c>
      <c r="T1061">
        <f>YEAR(Table1_1[[#This Row],[order_date]])</f>
        <v>2024</v>
      </c>
      <c r="U1061">
        <f>MONTH(Table1_1[[#This Row],[order_date]])</f>
        <v>10</v>
      </c>
      <c r="V1061" t="str">
        <f>TEXT(Table1_1[[#This Row],[order_date]],"mmm")</f>
        <v>Oct</v>
      </c>
      <c r="W1061" t="str">
        <f>"Q"&amp;ROUNDUP(MONTH(Table1_1[[#This Row],[order_date]])/3,0)</f>
        <v>Q4</v>
      </c>
      <c r="X1061" t="str">
        <f>TEXT(Table1_1[[#This Row],[order_date]],"yyyy-mm")</f>
        <v>2024-10</v>
      </c>
      <c r="Y1061">
        <f>IF(Table1_1[[#This Row],[ship_date]]="","",Table1_1[[#This Row],[ship_date]]-Table1_1[[#This Row],[order_date]])</f>
        <v>1</v>
      </c>
      <c r="Z1061">
        <f>ROUND(Table1_1[[#This Row],[profit]]/Table1_1[[#This Row],[sales_fix]]*100,2)</f>
        <v>42.33</v>
      </c>
    </row>
    <row r="1062" spans="1:26" x14ac:dyDescent="0.3">
      <c r="A1062" t="s">
        <v>2695</v>
      </c>
      <c r="B1062" s="1">
        <v>45389</v>
      </c>
      <c r="C1062" s="1">
        <v>45394</v>
      </c>
      <c r="D1062" t="s">
        <v>1048</v>
      </c>
      <c r="E1062" t="s">
        <v>1049</v>
      </c>
      <c r="F1062" t="s">
        <v>34</v>
      </c>
      <c r="G1062" t="s">
        <v>61</v>
      </c>
      <c r="H1062" t="s">
        <v>125</v>
      </c>
      <c r="I1062" t="s">
        <v>147</v>
      </c>
      <c r="J1062" t="s">
        <v>148</v>
      </c>
      <c r="K1062" t="s">
        <v>48</v>
      </c>
      <c r="L1062">
        <v>4</v>
      </c>
      <c r="M1062">
        <v>250</v>
      </c>
      <c r="N1062">
        <v>5</v>
      </c>
      <c r="O1062">
        <v>950</v>
      </c>
      <c r="P1062">
        <v>375.93</v>
      </c>
      <c r="Q1062" t="s">
        <v>3113</v>
      </c>
      <c r="R1062" t="s">
        <v>49</v>
      </c>
      <c r="S1062" t="s">
        <v>30</v>
      </c>
      <c r="T1062">
        <f>YEAR(Table1_1[[#This Row],[order_date]])</f>
        <v>2024</v>
      </c>
      <c r="U1062">
        <f>MONTH(Table1_1[[#This Row],[order_date]])</f>
        <v>4</v>
      </c>
      <c r="V1062" t="str">
        <f>TEXT(Table1_1[[#This Row],[order_date]],"mmm")</f>
        <v>Apr</v>
      </c>
      <c r="W1062" t="str">
        <f>"Q"&amp;ROUNDUP(MONTH(Table1_1[[#This Row],[order_date]])/3,0)</f>
        <v>Q2</v>
      </c>
      <c r="X1062" t="str">
        <f>TEXT(Table1_1[[#This Row],[order_date]],"yyyy-mm")</f>
        <v>2024-04</v>
      </c>
      <c r="Y1062">
        <f>IF(Table1_1[[#This Row],[ship_date]]="","",Table1_1[[#This Row],[ship_date]]-Table1_1[[#This Row],[order_date]])</f>
        <v>5</v>
      </c>
      <c r="Z1062">
        <f>ROUND(Table1_1[[#This Row],[profit]]/Table1_1[[#This Row],[sales_fix]]*100,2)</f>
        <v>39.57</v>
      </c>
    </row>
    <row r="1063" spans="1:26" x14ac:dyDescent="0.3">
      <c r="A1063" t="s">
        <v>51</v>
      </c>
      <c r="B1063" s="1">
        <v>45612</v>
      </c>
      <c r="C1063" s="1">
        <v>45620</v>
      </c>
      <c r="D1063" t="s">
        <v>53</v>
      </c>
      <c r="E1063" t="s">
        <v>54</v>
      </c>
      <c r="F1063" t="s">
        <v>55</v>
      </c>
      <c r="G1063" t="s">
        <v>44</v>
      </c>
      <c r="H1063" t="s">
        <v>24</v>
      </c>
      <c r="I1063" t="s">
        <v>46</v>
      </c>
      <c r="J1063" t="s">
        <v>47</v>
      </c>
      <c r="K1063" t="s">
        <v>48</v>
      </c>
      <c r="L1063">
        <v>1</v>
      </c>
      <c r="M1063">
        <v>180</v>
      </c>
      <c r="N1063">
        <v>0</v>
      </c>
      <c r="O1063">
        <v>180</v>
      </c>
      <c r="P1063">
        <v>79.27</v>
      </c>
      <c r="Q1063" t="s">
        <v>28</v>
      </c>
      <c r="R1063" t="s">
        <v>56</v>
      </c>
      <c r="S1063" t="s">
        <v>57</v>
      </c>
      <c r="T1063">
        <f>YEAR(Table1_1[[#This Row],[order_date]])</f>
        <v>2024</v>
      </c>
      <c r="U1063">
        <f>MONTH(Table1_1[[#This Row],[order_date]])</f>
        <v>11</v>
      </c>
      <c r="V1063" t="str">
        <f>TEXT(Table1_1[[#This Row],[order_date]],"mmm")</f>
        <v>Nov</v>
      </c>
      <c r="W1063" t="str">
        <f>"Q"&amp;ROUNDUP(MONTH(Table1_1[[#This Row],[order_date]])/3,0)</f>
        <v>Q4</v>
      </c>
      <c r="X1063" t="str">
        <f>TEXT(Table1_1[[#This Row],[order_date]],"yyyy-mm")</f>
        <v>2024-11</v>
      </c>
      <c r="Y1063">
        <f>IF(Table1_1[[#This Row],[ship_date]]="","",Table1_1[[#This Row],[ship_date]]-Table1_1[[#This Row],[order_date]])</f>
        <v>8</v>
      </c>
      <c r="Z1063">
        <f>ROUND(Table1_1[[#This Row],[profit]]/Table1_1[[#This Row],[sales_fix]]*100,2)</f>
        <v>44.04</v>
      </c>
    </row>
    <row r="1064" spans="1:26" x14ac:dyDescent="0.3">
      <c r="A1064" t="s">
        <v>1701</v>
      </c>
      <c r="B1064" s="1">
        <v>45397</v>
      </c>
      <c r="C1064" s="1">
        <v>45400</v>
      </c>
      <c r="D1064" t="s">
        <v>1028</v>
      </c>
      <c r="E1064" t="s">
        <v>1029</v>
      </c>
      <c r="F1064" t="s">
        <v>34</v>
      </c>
      <c r="G1064" t="s">
        <v>91</v>
      </c>
      <c r="H1064" t="s">
        <v>120</v>
      </c>
      <c r="I1064" t="s">
        <v>93</v>
      </c>
      <c r="J1064" t="s">
        <v>94</v>
      </c>
      <c r="K1064" t="s">
        <v>95</v>
      </c>
      <c r="L1064">
        <v>1</v>
      </c>
      <c r="M1064">
        <v>1800</v>
      </c>
      <c r="N1064">
        <v>0</v>
      </c>
      <c r="O1064">
        <v>1800</v>
      </c>
      <c r="P1064">
        <v>649.02</v>
      </c>
      <c r="Q1064" t="s">
        <v>66</v>
      </c>
      <c r="R1064" t="s">
        <v>49</v>
      </c>
      <c r="S1064" t="s">
        <v>30</v>
      </c>
      <c r="T1064">
        <f>YEAR(Table1_1[[#This Row],[order_date]])</f>
        <v>2024</v>
      </c>
      <c r="U1064">
        <f>MONTH(Table1_1[[#This Row],[order_date]])</f>
        <v>4</v>
      </c>
      <c r="V1064" t="str">
        <f>TEXT(Table1_1[[#This Row],[order_date]],"mmm")</f>
        <v>Apr</v>
      </c>
      <c r="W1064" t="str">
        <f>"Q"&amp;ROUNDUP(MONTH(Table1_1[[#This Row],[order_date]])/3,0)</f>
        <v>Q2</v>
      </c>
      <c r="X1064" t="str">
        <f>TEXT(Table1_1[[#This Row],[order_date]],"yyyy-mm")</f>
        <v>2024-04</v>
      </c>
      <c r="Y1064">
        <f>IF(Table1_1[[#This Row],[ship_date]]="","",Table1_1[[#This Row],[ship_date]]-Table1_1[[#This Row],[order_date]])</f>
        <v>3</v>
      </c>
      <c r="Z1064">
        <f>ROUND(Table1_1[[#This Row],[profit]]/Table1_1[[#This Row],[sales_fix]]*100,2)</f>
        <v>36.06</v>
      </c>
    </row>
    <row r="1065" spans="1:26" x14ac:dyDescent="0.3">
      <c r="A1065" t="s">
        <v>1703</v>
      </c>
      <c r="B1065" s="1">
        <v>45382</v>
      </c>
      <c r="C1065" s="1">
        <v>45383</v>
      </c>
      <c r="D1065" t="s">
        <v>588</v>
      </c>
      <c r="E1065" t="s">
        <v>589</v>
      </c>
      <c r="F1065" t="s">
        <v>23</v>
      </c>
      <c r="G1065" t="s">
        <v>61</v>
      </c>
      <c r="H1065" t="s">
        <v>62</v>
      </c>
      <c r="I1065" t="s">
        <v>79</v>
      </c>
      <c r="J1065" t="s">
        <v>80</v>
      </c>
      <c r="K1065" t="s">
        <v>65</v>
      </c>
      <c r="L1065">
        <v>1</v>
      </c>
      <c r="M1065">
        <v>3000</v>
      </c>
      <c r="N1065">
        <v>20</v>
      </c>
      <c r="O1065">
        <v>2400</v>
      </c>
      <c r="P1065">
        <v>610.24</v>
      </c>
      <c r="Q1065" t="s">
        <v>156</v>
      </c>
      <c r="R1065" t="s">
        <v>29</v>
      </c>
      <c r="S1065" t="s">
        <v>110</v>
      </c>
      <c r="T1065">
        <f>YEAR(Table1_1[[#This Row],[order_date]])</f>
        <v>2024</v>
      </c>
      <c r="U1065">
        <f>MONTH(Table1_1[[#This Row],[order_date]])</f>
        <v>3</v>
      </c>
      <c r="V1065" t="str">
        <f>TEXT(Table1_1[[#This Row],[order_date]],"mmm")</f>
        <v>Mar</v>
      </c>
      <c r="W1065" t="str">
        <f>"Q"&amp;ROUNDUP(MONTH(Table1_1[[#This Row],[order_date]])/3,0)</f>
        <v>Q1</v>
      </c>
      <c r="X1065" t="str">
        <f>TEXT(Table1_1[[#This Row],[order_date]],"yyyy-mm")</f>
        <v>2024-03</v>
      </c>
      <c r="Y1065">
        <f>IF(Table1_1[[#This Row],[ship_date]]="","",Table1_1[[#This Row],[ship_date]]-Table1_1[[#This Row],[order_date]])</f>
        <v>1</v>
      </c>
      <c r="Z1065">
        <f>ROUND(Table1_1[[#This Row],[profit]]/Table1_1[[#This Row],[sales_fix]]*100,2)</f>
        <v>25.43</v>
      </c>
    </row>
    <row r="1066" spans="1:26" x14ac:dyDescent="0.3">
      <c r="A1066" t="s">
        <v>1287</v>
      </c>
      <c r="B1066" s="1">
        <v>45341</v>
      </c>
      <c r="C1066" s="1">
        <v>45348</v>
      </c>
      <c r="D1066" t="s">
        <v>592</v>
      </c>
      <c r="E1066" t="s">
        <v>593</v>
      </c>
      <c r="F1066" t="s">
        <v>55</v>
      </c>
      <c r="G1066" t="s">
        <v>35</v>
      </c>
      <c r="H1066" t="s">
        <v>258</v>
      </c>
      <c r="I1066" t="s">
        <v>63</v>
      </c>
      <c r="J1066" t="s">
        <v>64</v>
      </c>
      <c r="K1066" t="s">
        <v>65</v>
      </c>
      <c r="L1066">
        <v>5</v>
      </c>
      <c r="M1066">
        <v>25000</v>
      </c>
      <c r="N1066">
        <v>0</v>
      </c>
      <c r="O1066">
        <v>125000</v>
      </c>
      <c r="P1066">
        <v>15102.95</v>
      </c>
      <c r="Q1066" t="s">
        <v>74</v>
      </c>
      <c r="R1066" t="s">
        <v>56</v>
      </c>
      <c r="S1066" t="s">
        <v>50</v>
      </c>
      <c r="T1066">
        <f>YEAR(Table1_1[[#This Row],[order_date]])</f>
        <v>2024</v>
      </c>
      <c r="U1066">
        <f>MONTH(Table1_1[[#This Row],[order_date]])</f>
        <v>2</v>
      </c>
      <c r="V1066" t="str">
        <f>TEXT(Table1_1[[#This Row],[order_date]],"mmm")</f>
        <v>Feb</v>
      </c>
      <c r="W1066" t="str">
        <f>"Q"&amp;ROUNDUP(MONTH(Table1_1[[#This Row],[order_date]])/3,0)</f>
        <v>Q1</v>
      </c>
      <c r="X1066" t="str">
        <f>TEXT(Table1_1[[#This Row],[order_date]],"yyyy-mm")</f>
        <v>2024-02</v>
      </c>
      <c r="Y1066">
        <f>IF(Table1_1[[#This Row],[ship_date]]="","",Table1_1[[#This Row],[ship_date]]-Table1_1[[#This Row],[order_date]])</f>
        <v>7</v>
      </c>
      <c r="Z1066">
        <f>ROUND(Table1_1[[#This Row],[profit]]/Table1_1[[#This Row],[sales_fix]]*100,2)</f>
        <v>12.08</v>
      </c>
    </row>
    <row r="1067" spans="1:26" x14ac:dyDescent="0.3">
      <c r="A1067" t="s">
        <v>1754</v>
      </c>
      <c r="B1067" s="1">
        <v>45763</v>
      </c>
      <c r="C1067" s="1"/>
      <c r="D1067" t="s">
        <v>748</v>
      </c>
      <c r="E1067" t="s">
        <v>749</v>
      </c>
      <c r="F1067" t="s">
        <v>55</v>
      </c>
      <c r="G1067" t="s">
        <v>91</v>
      </c>
      <c r="H1067" t="s">
        <v>92</v>
      </c>
      <c r="I1067" t="s">
        <v>93</v>
      </c>
      <c r="J1067" t="s">
        <v>94</v>
      </c>
      <c r="K1067" t="s">
        <v>95</v>
      </c>
      <c r="L1067">
        <v>1</v>
      </c>
      <c r="M1067">
        <v>1800</v>
      </c>
      <c r="N1067">
        <v>0</v>
      </c>
      <c r="O1067">
        <v>1800</v>
      </c>
      <c r="P1067">
        <v>658.2</v>
      </c>
      <c r="Q1067" t="s">
        <v>156</v>
      </c>
      <c r="R1067" t="s">
        <v>49</v>
      </c>
      <c r="S1067" t="s">
        <v>86</v>
      </c>
      <c r="T1067">
        <f>YEAR(Table1_1[[#This Row],[order_date]])</f>
        <v>2025</v>
      </c>
      <c r="U1067">
        <f>MONTH(Table1_1[[#This Row],[order_date]])</f>
        <v>4</v>
      </c>
      <c r="V1067" t="str">
        <f>TEXT(Table1_1[[#This Row],[order_date]],"mmm")</f>
        <v>Apr</v>
      </c>
      <c r="W1067" t="str">
        <f>"Q"&amp;ROUNDUP(MONTH(Table1_1[[#This Row],[order_date]])/3,0)</f>
        <v>Q2</v>
      </c>
      <c r="X1067" t="str">
        <f>TEXT(Table1_1[[#This Row],[order_date]],"yyyy-mm")</f>
        <v>2025-04</v>
      </c>
      <c r="Y1067" t="str">
        <f>IF(Table1_1[[#This Row],[ship_date]]="","",Table1_1[[#This Row],[ship_date]]-Table1_1[[#This Row],[order_date]])</f>
        <v/>
      </c>
      <c r="Z1067">
        <f>ROUND(Table1_1[[#This Row],[profit]]/Table1_1[[#This Row],[sales_fix]]*100,2)</f>
        <v>36.57</v>
      </c>
    </row>
    <row r="1068" spans="1:26" x14ac:dyDescent="0.3">
      <c r="A1068" t="s">
        <v>2232</v>
      </c>
      <c r="B1068" s="1">
        <v>45538</v>
      </c>
      <c r="C1068" s="1">
        <v>45543</v>
      </c>
      <c r="D1068" t="s">
        <v>1191</v>
      </c>
      <c r="E1068" t="s">
        <v>1192</v>
      </c>
      <c r="F1068" t="s">
        <v>23</v>
      </c>
      <c r="G1068" t="s">
        <v>61</v>
      </c>
      <c r="H1068" t="s">
        <v>211</v>
      </c>
      <c r="I1068" t="s">
        <v>46</v>
      </c>
      <c r="J1068" t="s">
        <v>47</v>
      </c>
      <c r="K1068" t="s">
        <v>48</v>
      </c>
      <c r="L1068">
        <v>2</v>
      </c>
      <c r="M1068">
        <v>180</v>
      </c>
      <c r="N1068">
        <v>15</v>
      </c>
      <c r="O1068">
        <v>306</v>
      </c>
      <c r="P1068">
        <v>123.38</v>
      </c>
      <c r="Q1068" t="s">
        <v>74</v>
      </c>
      <c r="R1068" t="s">
        <v>56</v>
      </c>
      <c r="S1068" t="s">
        <v>30</v>
      </c>
      <c r="T1068">
        <f>YEAR(Table1_1[[#This Row],[order_date]])</f>
        <v>2024</v>
      </c>
      <c r="U1068">
        <f>MONTH(Table1_1[[#This Row],[order_date]])</f>
        <v>9</v>
      </c>
      <c r="V1068" t="str">
        <f>TEXT(Table1_1[[#This Row],[order_date]],"mmm")</f>
        <v>Sep</v>
      </c>
      <c r="W1068" t="str">
        <f>"Q"&amp;ROUNDUP(MONTH(Table1_1[[#This Row],[order_date]])/3,0)</f>
        <v>Q3</v>
      </c>
      <c r="X1068" t="str">
        <f>TEXT(Table1_1[[#This Row],[order_date]],"yyyy-mm")</f>
        <v>2024-09</v>
      </c>
      <c r="Y1068">
        <f>IF(Table1_1[[#This Row],[ship_date]]="","",Table1_1[[#This Row],[ship_date]]-Table1_1[[#This Row],[order_date]])</f>
        <v>5</v>
      </c>
      <c r="Z1068">
        <f>ROUND(Table1_1[[#This Row],[profit]]/Table1_1[[#This Row],[sales_fix]]*100,2)</f>
        <v>40.32</v>
      </c>
    </row>
    <row r="1069" spans="1:26" x14ac:dyDescent="0.3">
      <c r="A1069" t="s">
        <v>2329</v>
      </c>
      <c r="B1069" s="1">
        <v>45562</v>
      </c>
      <c r="C1069" s="1">
        <v>45566</v>
      </c>
      <c r="D1069" t="s">
        <v>588</v>
      </c>
      <c r="E1069" t="s">
        <v>589</v>
      </c>
      <c r="F1069" t="s">
        <v>23</v>
      </c>
      <c r="G1069" t="s">
        <v>61</v>
      </c>
      <c r="H1069" t="s">
        <v>62</v>
      </c>
      <c r="I1069" t="s">
        <v>63</v>
      </c>
      <c r="J1069" t="s">
        <v>64</v>
      </c>
      <c r="K1069" t="s">
        <v>65</v>
      </c>
      <c r="L1069">
        <v>3</v>
      </c>
      <c r="M1069">
        <v>25000</v>
      </c>
      <c r="N1069">
        <v>15</v>
      </c>
      <c r="O1069">
        <v>63750</v>
      </c>
      <c r="P1069">
        <v>7010.44</v>
      </c>
      <c r="Q1069" t="s">
        <v>156</v>
      </c>
      <c r="R1069" t="s">
        <v>49</v>
      </c>
      <c r="S1069" t="s">
        <v>50</v>
      </c>
      <c r="T1069">
        <f>YEAR(Table1_1[[#This Row],[order_date]])</f>
        <v>2024</v>
      </c>
      <c r="U1069">
        <f>MONTH(Table1_1[[#This Row],[order_date]])</f>
        <v>9</v>
      </c>
      <c r="V1069" t="str">
        <f>TEXT(Table1_1[[#This Row],[order_date]],"mmm")</f>
        <v>Sep</v>
      </c>
      <c r="W1069" t="str">
        <f>"Q"&amp;ROUNDUP(MONTH(Table1_1[[#This Row],[order_date]])/3,0)</f>
        <v>Q3</v>
      </c>
      <c r="X1069" t="str">
        <f>TEXT(Table1_1[[#This Row],[order_date]],"yyyy-mm")</f>
        <v>2024-09</v>
      </c>
      <c r="Y1069">
        <f>IF(Table1_1[[#This Row],[ship_date]]="","",Table1_1[[#This Row],[ship_date]]-Table1_1[[#This Row],[order_date]])</f>
        <v>4</v>
      </c>
      <c r="Z1069">
        <f>ROUND(Table1_1[[#This Row],[profit]]/Table1_1[[#This Row],[sales_fix]]*100,2)</f>
        <v>11</v>
      </c>
    </row>
    <row r="1070" spans="1:26" x14ac:dyDescent="0.3">
      <c r="A1070" t="s">
        <v>1888</v>
      </c>
      <c r="B1070" s="1">
        <v>45798</v>
      </c>
      <c r="C1070" s="1">
        <v>45806</v>
      </c>
      <c r="D1070" t="s">
        <v>1889</v>
      </c>
      <c r="E1070" t="s">
        <v>1890</v>
      </c>
      <c r="F1070" t="s">
        <v>55</v>
      </c>
      <c r="G1070" t="s">
        <v>91</v>
      </c>
      <c r="H1070" t="s">
        <v>120</v>
      </c>
      <c r="I1070" t="s">
        <v>63</v>
      </c>
      <c r="J1070" t="s">
        <v>64</v>
      </c>
      <c r="K1070" t="s">
        <v>65</v>
      </c>
      <c r="L1070">
        <v>1</v>
      </c>
      <c r="M1070">
        <v>25000</v>
      </c>
      <c r="N1070">
        <v>0</v>
      </c>
      <c r="O1070">
        <v>25000</v>
      </c>
      <c r="P1070">
        <v>3630.75</v>
      </c>
      <c r="Q1070" t="s">
        <v>28</v>
      </c>
      <c r="R1070" t="s">
        <v>29</v>
      </c>
      <c r="S1070" t="s">
        <v>30</v>
      </c>
      <c r="T1070">
        <f>YEAR(Table1_1[[#This Row],[order_date]])</f>
        <v>2025</v>
      </c>
      <c r="U1070">
        <f>MONTH(Table1_1[[#This Row],[order_date]])</f>
        <v>5</v>
      </c>
      <c r="V1070" t="str">
        <f>TEXT(Table1_1[[#This Row],[order_date]],"mmm")</f>
        <v>May</v>
      </c>
      <c r="W1070" t="str">
        <f>"Q"&amp;ROUNDUP(MONTH(Table1_1[[#This Row],[order_date]])/3,0)</f>
        <v>Q2</v>
      </c>
      <c r="X1070" t="str">
        <f>TEXT(Table1_1[[#This Row],[order_date]],"yyyy-mm")</f>
        <v>2025-05</v>
      </c>
      <c r="Y1070">
        <f>IF(Table1_1[[#This Row],[ship_date]]="","",Table1_1[[#This Row],[ship_date]]-Table1_1[[#This Row],[order_date]])</f>
        <v>8</v>
      </c>
      <c r="Z1070">
        <f>ROUND(Table1_1[[#This Row],[profit]]/Table1_1[[#This Row],[sales_fix]]*100,2)</f>
        <v>14.52</v>
      </c>
    </row>
    <row r="1071" spans="1:26" x14ac:dyDescent="0.3">
      <c r="A1071" t="s">
        <v>1485</v>
      </c>
      <c r="B1071" s="1">
        <v>45505</v>
      </c>
      <c r="C1071" s="1">
        <v>45511</v>
      </c>
      <c r="D1071" t="s">
        <v>774</v>
      </c>
      <c r="E1071" t="s">
        <v>775</v>
      </c>
      <c r="F1071" t="s">
        <v>55</v>
      </c>
      <c r="G1071" t="s">
        <v>61</v>
      </c>
      <c r="H1071" t="s">
        <v>211</v>
      </c>
      <c r="I1071" t="s">
        <v>37</v>
      </c>
      <c r="J1071" t="s">
        <v>38</v>
      </c>
      <c r="K1071" t="s">
        <v>27</v>
      </c>
      <c r="L1071">
        <v>4</v>
      </c>
      <c r="M1071">
        <v>9500</v>
      </c>
      <c r="N1071">
        <v>20</v>
      </c>
      <c r="O1071">
        <v>30400</v>
      </c>
      <c r="P1071">
        <v>5539.23</v>
      </c>
      <c r="Q1071" t="s">
        <v>74</v>
      </c>
      <c r="R1071" t="s">
        <v>56</v>
      </c>
      <c r="S1071" t="s">
        <v>30</v>
      </c>
      <c r="T1071">
        <f>YEAR(Table1_1[[#This Row],[order_date]])</f>
        <v>2024</v>
      </c>
      <c r="U1071">
        <f>MONTH(Table1_1[[#This Row],[order_date]])</f>
        <v>8</v>
      </c>
      <c r="V1071" t="str">
        <f>TEXT(Table1_1[[#This Row],[order_date]],"mmm")</f>
        <v>Aug</v>
      </c>
      <c r="W1071" t="str">
        <f>"Q"&amp;ROUNDUP(MONTH(Table1_1[[#This Row],[order_date]])/3,0)</f>
        <v>Q3</v>
      </c>
      <c r="X1071" t="str">
        <f>TEXT(Table1_1[[#This Row],[order_date]],"yyyy-mm")</f>
        <v>2024-08</v>
      </c>
      <c r="Y1071">
        <f>IF(Table1_1[[#This Row],[ship_date]]="","",Table1_1[[#This Row],[ship_date]]-Table1_1[[#This Row],[order_date]])</f>
        <v>6</v>
      </c>
      <c r="Z1071">
        <f>ROUND(Table1_1[[#This Row],[profit]]/Table1_1[[#This Row],[sales_fix]]*100,2)</f>
        <v>18.22</v>
      </c>
    </row>
    <row r="1072" spans="1:26" x14ac:dyDescent="0.3">
      <c r="A1072" t="s">
        <v>2874</v>
      </c>
      <c r="B1072" s="1">
        <v>45400</v>
      </c>
      <c r="C1072" s="1">
        <v>45407</v>
      </c>
      <c r="D1072" t="s">
        <v>1532</v>
      </c>
      <c r="E1072" t="s">
        <v>1533</v>
      </c>
      <c r="F1072" t="s">
        <v>34</v>
      </c>
      <c r="G1072" t="s">
        <v>44</v>
      </c>
      <c r="H1072" t="s">
        <v>24</v>
      </c>
      <c r="I1072" t="s">
        <v>46</v>
      </c>
      <c r="J1072" t="s">
        <v>47</v>
      </c>
      <c r="K1072" t="s">
        <v>48</v>
      </c>
      <c r="L1072">
        <v>5</v>
      </c>
      <c r="M1072">
        <v>180</v>
      </c>
      <c r="N1072">
        <v>0</v>
      </c>
      <c r="O1072">
        <v>900</v>
      </c>
      <c r="P1072">
        <v>432</v>
      </c>
      <c r="Q1072" t="s">
        <v>28</v>
      </c>
      <c r="R1072" t="s">
        <v>56</v>
      </c>
      <c r="S1072" t="s">
        <v>40</v>
      </c>
      <c r="T1072">
        <f>YEAR(Table1_1[[#This Row],[order_date]])</f>
        <v>2024</v>
      </c>
      <c r="U1072">
        <f>MONTH(Table1_1[[#This Row],[order_date]])</f>
        <v>4</v>
      </c>
      <c r="V1072" t="str">
        <f>TEXT(Table1_1[[#This Row],[order_date]],"mmm")</f>
        <v>Apr</v>
      </c>
      <c r="W1072" t="str">
        <f>"Q"&amp;ROUNDUP(MONTH(Table1_1[[#This Row],[order_date]])/3,0)</f>
        <v>Q2</v>
      </c>
      <c r="X1072" t="str">
        <f>TEXT(Table1_1[[#This Row],[order_date]],"yyyy-mm")</f>
        <v>2024-04</v>
      </c>
      <c r="Y1072">
        <f>IF(Table1_1[[#This Row],[ship_date]]="","",Table1_1[[#This Row],[ship_date]]-Table1_1[[#This Row],[order_date]])</f>
        <v>7</v>
      </c>
      <c r="Z1072">
        <f>ROUND(Table1_1[[#This Row],[profit]]/Table1_1[[#This Row],[sales_fix]]*100,2)</f>
        <v>48</v>
      </c>
    </row>
    <row r="1073" spans="1:26" x14ac:dyDescent="0.3">
      <c r="A1073" t="s">
        <v>2152</v>
      </c>
      <c r="B1073" s="1">
        <v>45484</v>
      </c>
      <c r="C1073" s="1">
        <v>45489</v>
      </c>
      <c r="D1073" t="s">
        <v>1100</v>
      </c>
      <c r="E1073" t="s">
        <v>1101</v>
      </c>
      <c r="F1073" t="s">
        <v>23</v>
      </c>
      <c r="G1073" t="s">
        <v>44</v>
      </c>
      <c r="H1073" t="s">
        <v>161</v>
      </c>
      <c r="I1073" t="s">
        <v>134</v>
      </c>
      <c r="J1073" t="s">
        <v>135</v>
      </c>
      <c r="K1073" t="s">
        <v>27</v>
      </c>
      <c r="L1073">
        <v>1</v>
      </c>
      <c r="M1073">
        <v>6000</v>
      </c>
      <c r="N1073">
        <v>5</v>
      </c>
      <c r="O1073">
        <v>5700</v>
      </c>
      <c r="P1073">
        <v>1047.45</v>
      </c>
      <c r="Q1073" t="s">
        <v>39</v>
      </c>
      <c r="R1073" t="s">
        <v>56</v>
      </c>
      <c r="S1073" t="s">
        <v>86</v>
      </c>
      <c r="T1073">
        <f>YEAR(Table1_1[[#This Row],[order_date]])</f>
        <v>2024</v>
      </c>
      <c r="U1073">
        <f>MONTH(Table1_1[[#This Row],[order_date]])</f>
        <v>7</v>
      </c>
      <c r="V1073" t="str">
        <f>TEXT(Table1_1[[#This Row],[order_date]],"mmm")</f>
        <v>Jul</v>
      </c>
      <c r="W1073" t="str">
        <f>"Q"&amp;ROUNDUP(MONTH(Table1_1[[#This Row],[order_date]])/3,0)</f>
        <v>Q3</v>
      </c>
      <c r="X1073" t="str">
        <f>TEXT(Table1_1[[#This Row],[order_date]],"yyyy-mm")</f>
        <v>2024-07</v>
      </c>
      <c r="Y1073">
        <f>IF(Table1_1[[#This Row],[ship_date]]="","",Table1_1[[#This Row],[ship_date]]-Table1_1[[#This Row],[order_date]])</f>
        <v>5</v>
      </c>
      <c r="Z1073">
        <f>ROUND(Table1_1[[#This Row],[profit]]/Table1_1[[#This Row],[sales_fix]]*100,2)</f>
        <v>18.38</v>
      </c>
    </row>
    <row r="1074" spans="1:26" x14ac:dyDescent="0.3">
      <c r="A1074" t="s">
        <v>2522</v>
      </c>
      <c r="B1074" s="1">
        <v>45401</v>
      </c>
      <c r="C1074" s="1">
        <v>45409</v>
      </c>
      <c r="D1074" t="s">
        <v>1090</v>
      </c>
      <c r="E1074" t="s">
        <v>1091</v>
      </c>
      <c r="F1074" t="s">
        <v>23</v>
      </c>
      <c r="G1074" t="s">
        <v>61</v>
      </c>
      <c r="H1074" t="s">
        <v>78</v>
      </c>
      <c r="I1074" t="s">
        <v>147</v>
      </c>
      <c r="J1074" t="s">
        <v>148</v>
      </c>
      <c r="K1074" t="s">
        <v>48</v>
      </c>
      <c r="L1074">
        <v>3</v>
      </c>
      <c r="M1074">
        <v>250</v>
      </c>
      <c r="N1074">
        <v>0</v>
      </c>
      <c r="O1074">
        <v>750</v>
      </c>
      <c r="P1074">
        <v>211.99</v>
      </c>
      <c r="Q1074" t="s">
        <v>121</v>
      </c>
      <c r="R1074" t="s">
        <v>49</v>
      </c>
      <c r="S1074" t="s">
        <v>86</v>
      </c>
      <c r="T1074">
        <f>YEAR(Table1_1[[#This Row],[order_date]])</f>
        <v>2024</v>
      </c>
      <c r="U1074">
        <f>MONTH(Table1_1[[#This Row],[order_date]])</f>
        <v>4</v>
      </c>
      <c r="V1074" t="str">
        <f>TEXT(Table1_1[[#This Row],[order_date]],"mmm")</f>
        <v>Apr</v>
      </c>
      <c r="W1074" t="str">
        <f>"Q"&amp;ROUNDUP(MONTH(Table1_1[[#This Row],[order_date]])/3,0)</f>
        <v>Q2</v>
      </c>
      <c r="X1074" t="str">
        <f>TEXT(Table1_1[[#This Row],[order_date]],"yyyy-mm")</f>
        <v>2024-04</v>
      </c>
      <c r="Y1074">
        <f>IF(Table1_1[[#This Row],[ship_date]]="","",Table1_1[[#This Row],[ship_date]]-Table1_1[[#This Row],[order_date]])</f>
        <v>8</v>
      </c>
      <c r="Z1074">
        <f>ROUND(Table1_1[[#This Row],[profit]]/Table1_1[[#This Row],[sales_fix]]*100,2)</f>
        <v>28.27</v>
      </c>
    </row>
    <row r="1075" spans="1:26" x14ac:dyDescent="0.3">
      <c r="A1075" t="s">
        <v>122</v>
      </c>
      <c r="B1075" s="1">
        <v>45835</v>
      </c>
      <c r="C1075" s="1">
        <v>45837</v>
      </c>
      <c r="D1075" t="s">
        <v>123</v>
      </c>
      <c r="E1075" t="s">
        <v>124</v>
      </c>
      <c r="F1075" t="s">
        <v>34</v>
      </c>
      <c r="G1075" t="s">
        <v>61</v>
      </c>
      <c r="H1075" t="s">
        <v>125</v>
      </c>
      <c r="I1075" t="s">
        <v>126</v>
      </c>
      <c r="J1075" t="s">
        <v>127</v>
      </c>
      <c r="K1075" t="s">
        <v>95</v>
      </c>
      <c r="L1075">
        <v>2</v>
      </c>
      <c r="M1075">
        <v>600</v>
      </c>
      <c r="N1075">
        <v>0</v>
      </c>
      <c r="O1075">
        <v>1200</v>
      </c>
      <c r="P1075">
        <v>340.78</v>
      </c>
      <c r="Q1075" t="s">
        <v>74</v>
      </c>
      <c r="R1075" t="s">
        <v>49</v>
      </c>
      <c r="S1075" t="s">
        <v>50</v>
      </c>
      <c r="T1075">
        <f>YEAR(Table1_1[[#This Row],[order_date]])</f>
        <v>2025</v>
      </c>
      <c r="U1075">
        <f>MONTH(Table1_1[[#This Row],[order_date]])</f>
        <v>6</v>
      </c>
      <c r="V1075" t="str">
        <f>TEXT(Table1_1[[#This Row],[order_date]],"mmm")</f>
        <v>Jun</v>
      </c>
      <c r="W1075" t="str">
        <f>"Q"&amp;ROUNDUP(MONTH(Table1_1[[#This Row],[order_date]])/3,0)</f>
        <v>Q2</v>
      </c>
      <c r="X1075" t="str">
        <f>TEXT(Table1_1[[#This Row],[order_date]],"yyyy-mm")</f>
        <v>2025-06</v>
      </c>
      <c r="Y1075">
        <f>IF(Table1_1[[#This Row],[ship_date]]="","",Table1_1[[#This Row],[ship_date]]-Table1_1[[#This Row],[order_date]])</f>
        <v>2</v>
      </c>
      <c r="Z1075">
        <f>ROUND(Table1_1[[#This Row],[profit]]/Table1_1[[#This Row],[sales_fix]]*100,2)</f>
        <v>28.4</v>
      </c>
    </row>
    <row r="1076" spans="1:26" x14ac:dyDescent="0.3">
      <c r="A1076" t="s">
        <v>2682</v>
      </c>
      <c r="B1076" s="1">
        <v>45806</v>
      </c>
      <c r="C1076" s="1">
        <v>45811</v>
      </c>
      <c r="D1076" t="s">
        <v>1609</v>
      </c>
      <c r="E1076" t="s">
        <v>1610</v>
      </c>
      <c r="F1076" t="s">
        <v>55</v>
      </c>
      <c r="G1076" t="s">
        <v>44</v>
      </c>
      <c r="H1076" t="s">
        <v>24</v>
      </c>
      <c r="I1076" t="s">
        <v>134</v>
      </c>
      <c r="J1076" t="s">
        <v>135</v>
      </c>
      <c r="K1076" t="s">
        <v>27</v>
      </c>
      <c r="L1076">
        <v>2</v>
      </c>
      <c r="M1076">
        <v>6000</v>
      </c>
      <c r="N1076">
        <v>0</v>
      </c>
      <c r="O1076">
        <v>12000</v>
      </c>
      <c r="P1076">
        <v>2077.2399999999998</v>
      </c>
      <c r="Q1076" t="s">
        <v>74</v>
      </c>
      <c r="R1076" t="s">
        <v>29</v>
      </c>
      <c r="S1076" t="s">
        <v>86</v>
      </c>
      <c r="T1076">
        <f>YEAR(Table1_1[[#This Row],[order_date]])</f>
        <v>2025</v>
      </c>
      <c r="U1076">
        <f>MONTH(Table1_1[[#This Row],[order_date]])</f>
        <v>5</v>
      </c>
      <c r="V1076" t="str">
        <f>TEXT(Table1_1[[#This Row],[order_date]],"mmm")</f>
        <v>May</v>
      </c>
      <c r="W1076" t="str">
        <f>"Q"&amp;ROUNDUP(MONTH(Table1_1[[#This Row],[order_date]])/3,0)</f>
        <v>Q2</v>
      </c>
      <c r="X1076" t="str">
        <f>TEXT(Table1_1[[#This Row],[order_date]],"yyyy-mm")</f>
        <v>2025-05</v>
      </c>
      <c r="Y1076">
        <f>IF(Table1_1[[#This Row],[ship_date]]="","",Table1_1[[#This Row],[ship_date]]-Table1_1[[#This Row],[order_date]])</f>
        <v>5</v>
      </c>
      <c r="Z1076">
        <f>ROUND(Table1_1[[#This Row],[profit]]/Table1_1[[#This Row],[sales_fix]]*100,2)</f>
        <v>17.309999999999999</v>
      </c>
    </row>
    <row r="1077" spans="1:26" x14ac:dyDescent="0.3">
      <c r="A1077" t="s">
        <v>1859</v>
      </c>
      <c r="B1077" s="1">
        <v>45724</v>
      </c>
      <c r="C1077" s="1">
        <v>45729</v>
      </c>
      <c r="D1077" t="s">
        <v>159</v>
      </c>
      <c r="E1077" t="s">
        <v>160</v>
      </c>
      <c r="F1077" t="s">
        <v>34</v>
      </c>
      <c r="G1077" t="s">
        <v>44</v>
      </c>
      <c r="H1077" t="s">
        <v>161</v>
      </c>
      <c r="I1077" t="s">
        <v>71</v>
      </c>
      <c r="J1077" t="s">
        <v>72</v>
      </c>
      <c r="K1077" t="s">
        <v>73</v>
      </c>
      <c r="L1077">
        <v>1</v>
      </c>
      <c r="M1077">
        <v>3500</v>
      </c>
      <c r="N1077">
        <v>0</v>
      </c>
      <c r="O1077">
        <v>3500</v>
      </c>
      <c r="P1077">
        <v>964.41</v>
      </c>
      <c r="Q1077" t="s">
        <v>39</v>
      </c>
      <c r="R1077" t="s">
        <v>56</v>
      </c>
      <c r="S1077" t="s">
        <v>30</v>
      </c>
      <c r="T1077">
        <f>YEAR(Table1_1[[#This Row],[order_date]])</f>
        <v>2025</v>
      </c>
      <c r="U1077">
        <f>MONTH(Table1_1[[#This Row],[order_date]])</f>
        <v>3</v>
      </c>
      <c r="V1077" t="str">
        <f>TEXT(Table1_1[[#This Row],[order_date]],"mmm")</f>
        <v>Mar</v>
      </c>
      <c r="W1077" t="str">
        <f>"Q"&amp;ROUNDUP(MONTH(Table1_1[[#This Row],[order_date]])/3,0)</f>
        <v>Q1</v>
      </c>
      <c r="X1077" t="str">
        <f>TEXT(Table1_1[[#This Row],[order_date]],"yyyy-mm")</f>
        <v>2025-03</v>
      </c>
      <c r="Y1077">
        <f>IF(Table1_1[[#This Row],[ship_date]]="","",Table1_1[[#This Row],[ship_date]]-Table1_1[[#This Row],[order_date]])</f>
        <v>5</v>
      </c>
      <c r="Z1077">
        <f>ROUND(Table1_1[[#This Row],[profit]]/Table1_1[[#This Row],[sales_fix]]*100,2)</f>
        <v>27.55</v>
      </c>
    </row>
    <row r="1078" spans="1:26" x14ac:dyDescent="0.3">
      <c r="A1078" t="s">
        <v>2893</v>
      </c>
      <c r="B1078" s="1">
        <v>45403</v>
      </c>
      <c r="C1078" s="1">
        <v>45405</v>
      </c>
      <c r="D1078" t="s">
        <v>939</v>
      </c>
      <c r="E1078" t="s">
        <v>940</v>
      </c>
      <c r="F1078" t="s">
        <v>55</v>
      </c>
      <c r="G1078" t="s">
        <v>61</v>
      </c>
      <c r="H1078" t="s">
        <v>78</v>
      </c>
      <c r="I1078" t="s">
        <v>134</v>
      </c>
      <c r="J1078" t="s">
        <v>135</v>
      </c>
      <c r="K1078" t="s">
        <v>27</v>
      </c>
      <c r="L1078">
        <v>3</v>
      </c>
      <c r="M1078">
        <v>6000</v>
      </c>
      <c r="N1078">
        <v>15</v>
      </c>
      <c r="O1078">
        <v>15300</v>
      </c>
      <c r="P1078">
        <v>2936.05</v>
      </c>
      <c r="Q1078" t="s">
        <v>121</v>
      </c>
      <c r="R1078" t="s">
        <v>29</v>
      </c>
      <c r="S1078" t="s">
        <v>86</v>
      </c>
      <c r="T1078">
        <f>YEAR(Table1_1[[#This Row],[order_date]])</f>
        <v>2024</v>
      </c>
      <c r="U1078">
        <f>MONTH(Table1_1[[#This Row],[order_date]])</f>
        <v>4</v>
      </c>
      <c r="V1078" t="str">
        <f>TEXT(Table1_1[[#This Row],[order_date]],"mmm")</f>
        <v>Apr</v>
      </c>
      <c r="W1078" t="str">
        <f>"Q"&amp;ROUNDUP(MONTH(Table1_1[[#This Row],[order_date]])/3,0)</f>
        <v>Q2</v>
      </c>
      <c r="X1078" t="str">
        <f>TEXT(Table1_1[[#This Row],[order_date]],"yyyy-mm")</f>
        <v>2024-04</v>
      </c>
      <c r="Y1078">
        <f>IF(Table1_1[[#This Row],[ship_date]]="","",Table1_1[[#This Row],[ship_date]]-Table1_1[[#This Row],[order_date]])</f>
        <v>2</v>
      </c>
      <c r="Z1078">
        <f>ROUND(Table1_1[[#This Row],[profit]]/Table1_1[[#This Row],[sales_fix]]*100,2)</f>
        <v>19.190000000000001</v>
      </c>
    </row>
    <row r="1079" spans="1:26" x14ac:dyDescent="0.3">
      <c r="A1079" t="s">
        <v>3030</v>
      </c>
      <c r="B1079" s="1">
        <v>45564</v>
      </c>
      <c r="C1079" s="1">
        <v>45568</v>
      </c>
      <c r="D1079" t="s">
        <v>247</v>
      </c>
      <c r="E1079" t="s">
        <v>248</v>
      </c>
      <c r="F1079" t="s">
        <v>34</v>
      </c>
      <c r="G1079" t="s">
        <v>61</v>
      </c>
      <c r="H1079" t="s">
        <v>78</v>
      </c>
      <c r="I1079" t="s">
        <v>93</v>
      </c>
      <c r="J1079" t="s">
        <v>94</v>
      </c>
      <c r="K1079" t="s">
        <v>95</v>
      </c>
      <c r="L1079">
        <v>1</v>
      </c>
      <c r="M1079">
        <v>1800</v>
      </c>
      <c r="N1079">
        <v>10</v>
      </c>
      <c r="O1079">
        <v>1620</v>
      </c>
      <c r="P1079">
        <v>419.81</v>
      </c>
      <c r="Q1079" t="s">
        <v>39</v>
      </c>
      <c r="R1079" t="s">
        <v>441</v>
      </c>
      <c r="S1079" t="s">
        <v>30</v>
      </c>
      <c r="T1079">
        <f>YEAR(Table1_1[[#This Row],[order_date]])</f>
        <v>2024</v>
      </c>
      <c r="U1079">
        <f>MONTH(Table1_1[[#This Row],[order_date]])</f>
        <v>9</v>
      </c>
      <c r="V1079" t="str">
        <f>TEXT(Table1_1[[#This Row],[order_date]],"mmm")</f>
        <v>Sep</v>
      </c>
      <c r="W1079" t="str">
        <f>"Q"&amp;ROUNDUP(MONTH(Table1_1[[#This Row],[order_date]])/3,0)</f>
        <v>Q3</v>
      </c>
      <c r="X1079" t="str">
        <f>TEXT(Table1_1[[#This Row],[order_date]],"yyyy-mm")</f>
        <v>2024-09</v>
      </c>
      <c r="Y1079">
        <f>IF(Table1_1[[#This Row],[ship_date]]="","",Table1_1[[#This Row],[ship_date]]-Table1_1[[#This Row],[order_date]])</f>
        <v>4</v>
      </c>
      <c r="Z1079">
        <f>ROUND(Table1_1[[#This Row],[profit]]/Table1_1[[#This Row],[sales_fix]]*100,2)</f>
        <v>25.91</v>
      </c>
    </row>
    <row r="1080" spans="1:26" x14ac:dyDescent="0.3">
      <c r="A1080" t="s">
        <v>1810</v>
      </c>
      <c r="B1080" s="1">
        <v>45395</v>
      </c>
      <c r="C1080" s="1">
        <v>45400</v>
      </c>
      <c r="D1080" t="s">
        <v>674</v>
      </c>
      <c r="E1080" t="s">
        <v>675</v>
      </c>
      <c r="F1080" t="s">
        <v>55</v>
      </c>
      <c r="G1080" t="s">
        <v>91</v>
      </c>
      <c r="H1080" t="s">
        <v>109</v>
      </c>
      <c r="I1080" t="s">
        <v>134</v>
      </c>
      <c r="J1080" t="s">
        <v>135</v>
      </c>
      <c r="K1080" t="s">
        <v>27</v>
      </c>
      <c r="L1080">
        <v>1</v>
      </c>
      <c r="M1080">
        <v>6000</v>
      </c>
      <c r="N1080">
        <v>20</v>
      </c>
      <c r="O1080">
        <v>4800</v>
      </c>
      <c r="P1080">
        <v>1211.69</v>
      </c>
      <c r="Q1080" t="s">
        <v>28</v>
      </c>
      <c r="R1080" t="s">
        <v>29</v>
      </c>
      <c r="S1080" t="s">
        <v>50</v>
      </c>
      <c r="T1080">
        <f>YEAR(Table1_1[[#This Row],[order_date]])</f>
        <v>2024</v>
      </c>
      <c r="U1080">
        <f>MONTH(Table1_1[[#This Row],[order_date]])</f>
        <v>4</v>
      </c>
      <c r="V1080" t="str">
        <f>TEXT(Table1_1[[#This Row],[order_date]],"mmm")</f>
        <v>Apr</v>
      </c>
      <c r="W1080" t="str">
        <f>"Q"&amp;ROUNDUP(MONTH(Table1_1[[#This Row],[order_date]])/3,0)</f>
        <v>Q2</v>
      </c>
      <c r="X1080" t="str">
        <f>TEXT(Table1_1[[#This Row],[order_date]],"yyyy-mm")</f>
        <v>2024-04</v>
      </c>
      <c r="Y1080">
        <f>IF(Table1_1[[#This Row],[ship_date]]="","",Table1_1[[#This Row],[ship_date]]-Table1_1[[#This Row],[order_date]])</f>
        <v>5</v>
      </c>
      <c r="Z1080">
        <f>ROUND(Table1_1[[#This Row],[profit]]/Table1_1[[#This Row],[sales_fix]]*100,2)</f>
        <v>25.24</v>
      </c>
    </row>
    <row r="1081" spans="1:26" x14ac:dyDescent="0.3">
      <c r="A1081" t="s">
        <v>1317</v>
      </c>
      <c r="B1081" s="1">
        <v>45944</v>
      </c>
      <c r="C1081" s="1">
        <v>45947</v>
      </c>
      <c r="D1081" t="s">
        <v>561</v>
      </c>
      <c r="E1081" t="s">
        <v>562</v>
      </c>
      <c r="F1081" t="s">
        <v>23</v>
      </c>
      <c r="G1081" t="s">
        <v>44</v>
      </c>
      <c r="H1081" t="s">
        <v>155</v>
      </c>
      <c r="I1081" t="s">
        <v>37</v>
      </c>
      <c r="J1081" t="s">
        <v>38</v>
      </c>
      <c r="K1081" t="s">
        <v>27</v>
      </c>
      <c r="L1081">
        <v>2</v>
      </c>
      <c r="M1081">
        <v>9500</v>
      </c>
      <c r="N1081">
        <v>15</v>
      </c>
      <c r="O1081">
        <v>16150</v>
      </c>
      <c r="P1081">
        <v>2265.0100000000002</v>
      </c>
      <c r="Q1081" t="s">
        <v>39</v>
      </c>
      <c r="R1081" t="s">
        <v>56</v>
      </c>
      <c r="S1081" t="s">
        <v>40</v>
      </c>
      <c r="T1081">
        <f>YEAR(Table1_1[[#This Row],[order_date]])</f>
        <v>2025</v>
      </c>
      <c r="U1081">
        <f>MONTH(Table1_1[[#This Row],[order_date]])</f>
        <v>10</v>
      </c>
      <c r="V1081" t="str">
        <f>TEXT(Table1_1[[#This Row],[order_date]],"mmm")</f>
        <v>Oct</v>
      </c>
      <c r="W1081" t="str">
        <f>"Q"&amp;ROUNDUP(MONTH(Table1_1[[#This Row],[order_date]])/3,0)</f>
        <v>Q4</v>
      </c>
      <c r="X1081" t="str">
        <f>TEXT(Table1_1[[#This Row],[order_date]],"yyyy-mm")</f>
        <v>2025-10</v>
      </c>
      <c r="Y1081">
        <f>IF(Table1_1[[#This Row],[ship_date]]="","",Table1_1[[#This Row],[ship_date]]-Table1_1[[#This Row],[order_date]])</f>
        <v>3</v>
      </c>
      <c r="Z1081">
        <f>ROUND(Table1_1[[#This Row],[profit]]/Table1_1[[#This Row],[sales_fix]]*100,2)</f>
        <v>14.02</v>
      </c>
    </row>
    <row r="1082" spans="1:26" x14ac:dyDescent="0.3">
      <c r="A1082" t="s">
        <v>526</v>
      </c>
      <c r="B1082" s="1">
        <v>45604</v>
      </c>
      <c r="C1082" s="1">
        <v>45606</v>
      </c>
      <c r="D1082" t="s">
        <v>527</v>
      </c>
      <c r="E1082" t="s">
        <v>528</v>
      </c>
      <c r="F1082" t="s">
        <v>23</v>
      </c>
      <c r="G1082" t="s">
        <v>44</v>
      </c>
      <c r="H1082" t="s">
        <v>161</v>
      </c>
      <c r="I1082" t="s">
        <v>71</v>
      </c>
      <c r="J1082" t="s">
        <v>72</v>
      </c>
      <c r="K1082" t="s">
        <v>73</v>
      </c>
      <c r="L1082">
        <v>3</v>
      </c>
      <c r="M1082">
        <v>3500</v>
      </c>
      <c r="N1082">
        <v>0</v>
      </c>
      <c r="O1082">
        <v>10500</v>
      </c>
      <c r="P1082">
        <v>2775.51</v>
      </c>
      <c r="Q1082" t="s">
        <v>121</v>
      </c>
      <c r="R1082" t="s">
        <v>29</v>
      </c>
      <c r="S1082" t="s">
        <v>110</v>
      </c>
      <c r="T1082">
        <f>YEAR(Table1_1[[#This Row],[order_date]])</f>
        <v>2024</v>
      </c>
      <c r="U1082">
        <f>MONTH(Table1_1[[#This Row],[order_date]])</f>
        <v>11</v>
      </c>
      <c r="V1082" t="str">
        <f>TEXT(Table1_1[[#This Row],[order_date]],"mmm")</f>
        <v>Nov</v>
      </c>
      <c r="W1082" t="str">
        <f>"Q"&amp;ROUNDUP(MONTH(Table1_1[[#This Row],[order_date]])/3,0)</f>
        <v>Q4</v>
      </c>
      <c r="X1082" t="str">
        <f>TEXT(Table1_1[[#This Row],[order_date]],"yyyy-mm")</f>
        <v>2024-11</v>
      </c>
      <c r="Y1082">
        <f>IF(Table1_1[[#This Row],[ship_date]]="","",Table1_1[[#This Row],[ship_date]]-Table1_1[[#This Row],[order_date]])</f>
        <v>2</v>
      </c>
      <c r="Z1082">
        <f>ROUND(Table1_1[[#This Row],[profit]]/Table1_1[[#This Row],[sales_fix]]*100,2)</f>
        <v>26.43</v>
      </c>
    </row>
    <row r="1083" spans="1:26" x14ac:dyDescent="0.3">
      <c r="A1083" t="s">
        <v>1373</v>
      </c>
      <c r="B1083" s="1">
        <v>45305</v>
      </c>
      <c r="C1083" s="1">
        <v>45308</v>
      </c>
      <c r="D1083" t="s">
        <v>509</v>
      </c>
      <c r="E1083" t="s">
        <v>510</v>
      </c>
      <c r="F1083" t="s">
        <v>23</v>
      </c>
      <c r="G1083" t="s">
        <v>91</v>
      </c>
      <c r="H1083" t="s">
        <v>120</v>
      </c>
      <c r="I1083" t="s">
        <v>79</v>
      </c>
      <c r="J1083" t="s">
        <v>80</v>
      </c>
      <c r="K1083" t="s">
        <v>65</v>
      </c>
      <c r="L1083">
        <v>3</v>
      </c>
      <c r="M1083">
        <v>3000</v>
      </c>
      <c r="N1083">
        <v>5</v>
      </c>
      <c r="O1083">
        <v>8550</v>
      </c>
      <c r="P1083">
        <v>2138.2399999999998</v>
      </c>
      <c r="Q1083" t="s">
        <v>74</v>
      </c>
      <c r="R1083" t="s">
        <v>29</v>
      </c>
      <c r="S1083" t="s">
        <v>50</v>
      </c>
      <c r="T1083">
        <f>YEAR(Table1_1[[#This Row],[order_date]])</f>
        <v>2024</v>
      </c>
      <c r="U1083">
        <f>MONTH(Table1_1[[#This Row],[order_date]])</f>
        <v>1</v>
      </c>
      <c r="V1083" t="str">
        <f>TEXT(Table1_1[[#This Row],[order_date]],"mmm")</f>
        <v>Jan</v>
      </c>
      <c r="W1083" t="str">
        <f>"Q"&amp;ROUNDUP(MONTH(Table1_1[[#This Row],[order_date]])/3,0)</f>
        <v>Q1</v>
      </c>
      <c r="X1083" t="str">
        <f>TEXT(Table1_1[[#This Row],[order_date]],"yyyy-mm")</f>
        <v>2024-01</v>
      </c>
      <c r="Y1083">
        <f>IF(Table1_1[[#This Row],[ship_date]]="","",Table1_1[[#This Row],[ship_date]]-Table1_1[[#This Row],[order_date]])</f>
        <v>3</v>
      </c>
      <c r="Z1083">
        <f>ROUND(Table1_1[[#This Row],[profit]]/Table1_1[[#This Row],[sales_fix]]*100,2)</f>
        <v>25.01</v>
      </c>
    </row>
    <row r="1084" spans="1:26" x14ac:dyDescent="0.3">
      <c r="A1084" t="s">
        <v>2518</v>
      </c>
      <c r="B1084" s="1">
        <v>45652</v>
      </c>
      <c r="C1084" s="1">
        <v>45660</v>
      </c>
      <c r="D1084" t="s">
        <v>400</v>
      </c>
      <c r="E1084" t="s">
        <v>401</v>
      </c>
      <c r="F1084" t="s">
        <v>34</v>
      </c>
      <c r="G1084" t="s">
        <v>44</v>
      </c>
      <c r="H1084" t="s">
        <v>24</v>
      </c>
      <c r="I1084" t="s">
        <v>93</v>
      </c>
      <c r="J1084" t="s">
        <v>94</v>
      </c>
      <c r="K1084" t="s">
        <v>95</v>
      </c>
      <c r="L1084">
        <v>2</v>
      </c>
      <c r="M1084">
        <v>1800</v>
      </c>
      <c r="N1084">
        <v>5</v>
      </c>
      <c r="O1084">
        <v>3420</v>
      </c>
      <c r="P1084">
        <v>1256</v>
      </c>
      <c r="Q1084" t="s">
        <v>66</v>
      </c>
      <c r="R1084" t="s">
        <v>29</v>
      </c>
      <c r="S1084" t="s">
        <v>86</v>
      </c>
      <c r="T1084">
        <f>YEAR(Table1_1[[#This Row],[order_date]])</f>
        <v>2024</v>
      </c>
      <c r="U1084">
        <f>MONTH(Table1_1[[#This Row],[order_date]])</f>
        <v>12</v>
      </c>
      <c r="V1084" t="str">
        <f>TEXT(Table1_1[[#This Row],[order_date]],"mmm")</f>
        <v>Dec</v>
      </c>
      <c r="W1084" t="str">
        <f>"Q"&amp;ROUNDUP(MONTH(Table1_1[[#This Row],[order_date]])/3,0)</f>
        <v>Q4</v>
      </c>
      <c r="X1084" t="str">
        <f>TEXT(Table1_1[[#This Row],[order_date]],"yyyy-mm")</f>
        <v>2024-12</v>
      </c>
      <c r="Y1084">
        <f>IF(Table1_1[[#This Row],[ship_date]]="","",Table1_1[[#This Row],[ship_date]]-Table1_1[[#This Row],[order_date]])</f>
        <v>8</v>
      </c>
      <c r="Z1084">
        <f>ROUND(Table1_1[[#This Row],[profit]]/Table1_1[[#This Row],[sales_fix]]*100,2)</f>
        <v>36.729999999999997</v>
      </c>
    </row>
    <row r="1085" spans="1:26" x14ac:dyDescent="0.3">
      <c r="A1085" t="s">
        <v>2096</v>
      </c>
      <c r="B1085" s="1">
        <v>45589</v>
      </c>
      <c r="C1085" s="1">
        <v>45591</v>
      </c>
      <c r="D1085" t="s">
        <v>403</v>
      </c>
      <c r="E1085" t="s">
        <v>404</v>
      </c>
      <c r="F1085" t="s">
        <v>55</v>
      </c>
      <c r="G1085" t="s">
        <v>35</v>
      </c>
      <c r="H1085" t="s">
        <v>36</v>
      </c>
      <c r="I1085" t="s">
        <v>126</v>
      </c>
      <c r="J1085" t="s">
        <v>127</v>
      </c>
      <c r="K1085" t="s">
        <v>95</v>
      </c>
      <c r="L1085">
        <v>2</v>
      </c>
      <c r="M1085">
        <v>600</v>
      </c>
      <c r="N1085">
        <v>0</v>
      </c>
      <c r="O1085">
        <v>1200</v>
      </c>
      <c r="P1085">
        <v>456.91</v>
      </c>
      <c r="Q1085" t="s">
        <v>66</v>
      </c>
      <c r="R1085" t="s">
        <v>49</v>
      </c>
      <c r="S1085" t="s">
        <v>110</v>
      </c>
      <c r="T1085">
        <f>YEAR(Table1_1[[#This Row],[order_date]])</f>
        <v>2024</v>
      </c>
      <c r="U1085">
        <f>MONTH(Table1_1[[#This Row],[order_date]])</f>
        <v>10</v>
      </c>
      <c r="V1085" t="str">
        <f>TEXT(Table1_1[[#This Row],[order_date]],"mmm")</f>
        <v>Oct</v>
      </c>
      <c r="W1085" t="str">
        <f>"Q"&amp;ROUNDUP(MONTH(Table1_1[[#This Row],[order_date]])/3,0)</f>
        <v>Q4</v>
      </c>
      <c r="X1085" t="str">
        <f>TEXT(Table1_1[[#This Row],[order_date]],"yyyy-mm")</f>
        <v>2024-10</v>
      </c>
      <c r="Y1085">
        <f>IF(Table1_1[[#This Row],[ship_date]]="","",Table1_1[[#This Row],[ship_date]]-Table1_1[[#This Row],[order_date]])</f>
        <v>2</v>
      </c>
      <c r="Z1085">
        <f>ROUND(Table1_1[[#This Row],[profit]]/Table1_1[[#This Row],[sales_fix]]*100,2)</f>
        <v>38.08</v>
      </c>
    </row>
    <row r="1086" spans="1:26" x14ac:dyDescent="0.3">
      <c r="A1086" t="s">
        <v>361</v>
      </c>
      <c r="B1086" s="1">
        <v>45651</v>
      </c>
      <c r="C1086" s="1">
        <v>45659</v>
      </c>
      <c r="D1086" t="s">
        <v>362</v>
      </c>
      <c r="E1086" t="s">
        <v>363</v>
      </c>
      <c r="F1086" t="s">
        <v>55</v>
      </c>
      <c r="G1086" t="s">
        <v>35</v>
      </c>
      <c r="H1086" t="s">
        <v>36</v>
      </c>
      <c r="I1086" t="s">
        <v>147</v>
      </c>
      <c r="J1086" t="s">
        <v>148</v>
      </c>
      <c r="K1086" t="s">
        <v>48</v>
      </c>
      <c r="L1086">
        <v>1</v>
      </c>
      <c r="M1086">
        <v>250</v>
      </c>
      <c r="N1086">
        <v>5</v>
      </c>
      <c r="O1086">
        <v>237.5</v>
      </c>
      <c r="P1086">
        <v>76.13</v>
      </c>
      <c r="Q1086" t="s">
        <v>66</v>
      </c>
      <c r="R1086" t="s">
        <v>49</v>
      </c>
      <c r="S1086" t="s">
        <v>110</v>
      </c>
      <c r="T1086">
        <f>YEAR(Table1_1[[#This Row],[order_date]])</f>
        <v>2024</v>
      </c>
      <c r="U1086">
        <f>MONTH(Table1_1[[#This Row],[order_date]])</f>
        <v>12</v>
      </c>
      <c r="V1086" t="str">
        <f>TEXT(Table1_1[[#This Row],[order_date]],"mmm")</f>
        <v>Dec</v>
      </c>
      <c r="W1086" t="str">
        <f>"Q"&amp;ROUNDUP(MONTH(Table1_1[[#This Row],[order_date]])/3,0)</f>
        <v>Q4</v>
      </c>
      <c r="X1086" t="str">
        <f>TEXT(Table1_1[[#This Row],[order_date]],"yyyy-mm")</f>
        <v>2024-12</v>
      </c>
      <c r="Y1086">
        <f>IF(Table1_1[[#This Row],[ship_date]]="","",Table1_1[[#This Row],[ship_date]]-Table1_1[[#This Row],[order_date]])</f>
        <v>8</v>
      </c>
      <c r="Z1086">
        <f>ROUND(Table1_1[[#This Row],[profit]]/Table1_1[[#This Row],[sales_fix]]*100,2)</f>
        <v>32.049999999999997</v>
      </c>
    </row>
    <row r="1087" spans="1:26" x14ac:dyDescent="0.3">
      <c r="A1087" t="s">
        <v>1401</v>
      </c>
      <c r="B1087" s="1">
        <v>45971</v>
      </c>
      <c r="C1087" s="1">
        <v>45976</v>
      </c>
      <c r="D1087" t="s">
        <v>1402</v>
      </c>
      <c r="E1087" t="s">
        <v>1403</v>
      </c>
      <c r="F1087" t="s">
        <v>23</v>
      </c>
      <c r="G1087" t="s">
        <v>91</v>
      </c>
      <c r="H1087" t="s">
        <v>177</v>
      </c>
      <c r="I1087" t="s">
        <v>46</v>
      </c>
      <c r="J1087" t="s">
        <v>47</v>
      </c>
      <c r="K1087" t="s">
        <v>48</v>
      </c>
      <c r="L1087">
        <v>5</v>
      </c>
      <c r="M1087">
        <v>180</v>
      </c>
      <c r="N1087">
        <v>10</v>
      </c>
      <c r="O1087">
        <v>810</v>
      </c>
      <c r="P1087">
        <v>325.77</v>
      </c>
      <c r="Q1087" t="s">
        <v>156</v>
      </c>
      <c r="R1087" t="s">
        <v>56</v>
      </c>
      <c r="S1087" t="s">
        <v>86</v>
      </c>
      <c r="T1087">
        <f>YEAR(Table1_1[[#This Row],[order_date]])</f>
        <v>2025</v>
      </c>
      <c r="U1087">
        <f>MONTH(Table1_1[[#This Row],[order_date]])</f>
        <v>11</v>
      </c>
      <c r="V1087" t="str">
        <f>TEXT(Table1_1[[#This Row],[order_date]],"mmm")</f>
        <v>Nov</v>
      </c>
      <c r="W1087" t="str">
        <f>"Q"&amp;ROUNDUP(MONTH(Table1_1[[#This Row],[order_date]])/3,0)</f>
        <v>Q4</v>
      </c>
      <c r="X1087" t="str">
        <f>TEXT(Table1_1[[#This Row],[order_date]],"yyyy-mm")</f>
        <v>2025-11</v>
      </c>
      <c r="Y1087">
        <f>IF(Table1_1[[#This Row],[ship_date]]="","",Table1_1[[#This Row],[ship_date]]-Table1_1[[#This Row],[order_date]])</f>
        <v>5</v>
      </c>
      <c r="Z1087">
        <f>ROUND(Table1_1[[#This Row],[profit]]/Table1_1[[#This Row],[sales_fix]]*100,2)</f>
        <v>40.22</v>
      </c>
    </row>
    <row r="1088" spans="1:26" x14ac:dyDescent="0.3">
      <c r="A1088" t="s">
        <v>2387</v>
      </c>
      <c r="B1088" s="1">
        <v>45517</v>
      </c>
      <c r="C1088" s="1">
        <v>45518</v>
      </c>
      <c r="D1088" t="s">
        <v>1090</v>
      </c>
      <c r="E1088" t="s">
        <v>1091</v>
      </c>
      <c r="F1088" t="s">
        <v>23</v>
      </c>
      <c r="G1088" t="s">
        <v>61</v>
      </c>
      <c r="H1088" t="s">
        <v>78</v>
      </c>
      <c r="I1088" t="s">
        <v>134</v>
      </c>
      <c r="J1088" t="s">
        <v>135</v>
      </c>
      <c r="K1088" t="s">
        <v>27</v>
      </c>
      <c r="L1088">
        <v>3</v>
      </c>
      <c r="M1088">
        <v>6000</v>
      </c>
      <c r="N1088">
        <v>0</v>
      </c>
      <c r="O1088">
        <v>18000</v>
      </c>
      <c r="P1088">
        <v>3641.23</v>
      </c>
      <c r="Q1088" t="s">
        <v>121</v>
      </c>
      <c r="R1088" t="s">
        <v>56</v>
      </c>
      <c r="S1088" t="s">
        <v>30</v>
      </c>
      <c r="T1088">
        <f>YEAR(Table1_1[[#This Row],[order_date]])</f>
        <v>2024</v>
      </c>
      <c r="U1088">
        <f>MONTH(Table1_1[[#This Row],[order_date]])</f>
        <v>8</v>
      </c>
      <c r="V1088" t="str">
        <f>TEXT(Table1_1[[#This Row],[order_date]],"mmm")</f>
        <v>Aug</v>
      </c>
      <c r="W1088" t="str">
        <f>"Q"&amp;ROUNDUP(MONTH(Table1_1[[#This Row],[order_date]])/3,0)</f>
        <v>Q3</v>
      </c>
      <c r="X1088" t="str">
        <f>TEXT(Table1_1[[#This Row],[order_date]],"yyyy-mm")</f>
        <v>2024-08</v>
      </c>
      <c r="Y1088">
        <f>IF(Table1_1[[#This Row],[ship_date]]="","",Table1_1[[#This Row],[ship_date]]-Table1_1[[#This Row],[order_date]])</f>
        <v>1</v>
      </c>
      <c r="Z1088">
        <f>ROUND(Table1_1[[#This Row],[profit]]/Table1_1[[#This Row],[sales_fix]]*100,2)</f>
        <v>20.23</v>
      </c>
    </row>
    <row r="1089" spans="1:26" x14ac:dyDescent="0.3">
      <c r="A1089" t="s">
        <v>3041</v>
      </c>
      <c r="B1089" s="1">
        <v>45383</v>
      </c>
      <c r="C1089" s="1">
        <v>45388</v>
      </c>
      <c r="D1089" t="s">
        <v>112</v>
      </c>
      <c r="E1089" t="s">
        <v>113</v>
      </c>
      <c r="F1089" t="s">
        <v>23</v>
      </c>
      <c r="G1089" t="s">
        <v>35</v>
      </c>
      <c r="H1089" t="s">
        <v>36</v>
      </c>
      <c r="I1089" t="s">
        <v>103</v>
      </c>
      <c r="J1089" t="s">
        <v>104</v>
      </c>
      <c r="K1089" t="s">
        <v>65</v>
      </c>
      <c r="L1089">
        <v>1</v>
      </c>
      <c r="M1089">
        <v>8000</v>
      </c>
      <c r="N1089">
        <v>5</v>
      </c>
      <c r="O1089">
        <v>7600</v>
      </c>
      <c r="P1089">
        <v>1815.44</v>
      </c>
      <c r="Q1089" t="s">
        <v>156</v>
      </c>
      <c r="R1089" t="s">
        <v>56</v>
      </c>
      <c r="S1089" t="s">
        <v>40</v>
      </c>
      <c r="T1089">
        <f>YEAR(Table1_1[[#This Row],[order_date]])</f>
        <v>2024</v>
      </c>
      <c r="U1089">
        <f>MONTH(Table1_1[[#This Row],[order_date]])</f>
        <v>4</v>
      </c>
      <c r="V1089" t="str">
        <f>TEXT(Table1_1[[#This Row],[order_date]],"mmm")</f>
        <v>Apr</v>
      </c>
      <c r="W1089" t="str">
        <f>"Q"&amp;ROUNDUP(MONTH(Table1_1[[#This Row],[order_date]])/3,0)</f>
        <v>Q2</v>
      </c>
      <c r="X1089" t="str">
        <f>TEXT(Table1_1[[#This Row],[order_date]],"yyyy-mm")</f>
        <v>2024-04</v>
      </c>
      <c r="Y1089">
        <f>IF(Table1_1[[#This Row],[ship_date]]="","",Table1_1[[#This Row],[ship_date]]-Table1_1[[#This Row],[order_date]])</f>
        <v>5</v>
      </c>
      <c r="Z1089">
        <f>ROUND(Table1_1[[#This Row],[profit]]/Table1_1[[#This Row],[sales_fix]]*100,2)</f>
        <v>23.89</v>
      </c>
    </row>
    <row r="1090" spans="1:26" x14ac:dyDescent="0.3">
      <c r="A1090" t="s">
        <v>1095</v>
      </c>
      <c r="B1090" s="1">
        <v>45471</v>
      </c>
      <c r="C1090" s="1">
        <v>45477</v>
      </c>
      <c r="D1090" t="s">
        <v>192</v>
      </c>
      <c r="E1090" t="s">
        <v>193</v>
      </c>
      <c r="F1090" t="s">
        <v>55</v>
      </c>
      <c r="G1090" t="s">
        <v>35</v>
      </c>
      <c r="H1090" t="s">
        <v>36</v>
      </c>
      <c r="I1090" t="s">
        <v>46</v>
      </c>
      <c r="J1090" t="s">
        <v>47</v>
      </c>
      <c r="K1090" t="s">
        <v>48</v>
      </c>
      <c r="L1090">
        <v>1</v>
      </c>
      <c r="M1090">
        <v>180</v>
      </c>
      <c r="N1090">
        <v>15</v>
      </c>
      <c r="O1090">
        <v>153</v>
      </c>
      <c r="P1090">
        <v>57.8</v>
      </c>
      <c r="Q1090" t="s">
        <v>28</v>
      </c>
      <c r="R1090" t="s">
        <v>56</v>
      </c>
      <c r="S1090" t="s">
        <v>30</v>
      </c>
      <c r="T1090">
        <f>YEAR(Table1_1[[#This Row],[order_date]])</f>
        <v>2024</v>
      </c>
      <c r="U1090">
        <f>MONTH(Table1_1[[#This Row],[order_date]])</f>
        <v>6</v>
      </c>
      <c r="V1090" t="str">
        <f>TEXT(Table1_1[[#This Row],[order_date]],"mmm")</f>
        <v>Jun</v>
      </c>
      <c r="W1090" t="str">
        <f>"Q"&amp;ROUNDUP(MONTH(Table1_1[[#This Row],[order_date]])/3,0)</f>
        <v>Q2</v>
      </c>
      <c r="X1090" t="str">
        <f>TEXT(Table1_1[[#This Row],[order_date]],"yyyy-mm")</f>
        <v>2024-06</v>
      </c>
      <c r="Y1090">
        <f>IF(Table1_1[[#This Row],[ship_date]]="","",Table1_1[[#This Row],[ship_date]]-Table1_1[[#This Row],[order_date]])</f>
        <v>6</v>
      </c>
      <c r="Z1090">
        <f>ROUND(Table1_1[[#This Row],[profit]]/Table1_1[[#This Row],[sales_fix]]*100,2)</f>
        <v>37.78</v>
      </c>
    </row>
    <row r="1091" spans="1:26" x14ac:dyDescent="0.3">
      <c r="A1091" t="s">
        <v>2934</v>
      </c>
      <c r="B1091" s="1">
        <v>45487</v>
      </c>
      <c r="C1091" s="1">
        <v>45489</v>
      </c>
      <c r="D1091" t="s">
        <v>1604</v>
      </c>
      <c r="E1091" t="s">
        <v>1605</v>
      </c>
      <c r="F1091" t="s">
        <v>55</v>
      </c>
      <c r="G1091" t="s">
        <v>44</v>
      </c>
      <c r="H1091" t="s">
        <v>45</v>
      </c>
      <c r="I1091" t="s">
        <v>25</v>
      </c>
      <c r="J1091" t="s">
        <v>26</v>
      </c>
      <c r="K1091" t="s">
        <v>27</v>
      </c>
      <c r="L1091">
        <v>1</v>
      </c>
      <c r="M1091">
        <v>7000</v>
      </c>
      <c r="N1091">
        <v>10</v>
      </c>
      <c r="O1091">
        <v>6300</v>
      </c>
      <c r="P1091">
        <v>1359.3</v>
      </c>
      <c r="Q1091" t="s">
        <v>28</v>
      </c>
      <c r="R1091" t="s">
        <v>49</v>
      </c>
      <c r="S1091" t="s">
        <v>40</v>
      </c>
      <c r="T1091">
        <f>YEAR(Table1_1[[#This Row],[order_date]])</f>
        <v>2024</v>
      </c>
      <c r="U1091">
        <f>MONTH(Table1_1[[#This Row],[order_date]])</f>
        <v>7</v>
      </c>
      <c r="V1091" t="str">
        <f>TEXT(Table1_1[[#This Row],[order_date]],"mmm")</f>
        <v>Jul</v>
      </c>
      <c r="W1091" t="str">
        <f>"Q"&amp;ROUNDUP(MONTH(Table1_1[[#This Row],[order_date]])/3,0)</f>
        <v>Q3</v>
      </c>
      <c r="X1091" t="str">
        <f>TEXT(Table1_1[[#This Row],[order_date]],"yyyy-mm")</f>
        <v>2024-07</v>
      </c>
      <c r="Y1091">
        <f>IF(Table1_1[[#This Row],[ship_date]]="","",Table1_1[[#This Row],[ship_date]]-Table1_1[[#This Row],[order_date]])</f>
        <v>2</v>
      </c>
      <c r="Z1091">
        <f>ROUND(Table1_1[[#This Row],[profit]]/Table1_1[[#This Row],[sales_fix]]*100,2)</f>
        <v>21.58</v>
      </c>
    </row>
    <row r="1092" spans="1:26" x14ac:dyDescent="0.3">
      <c r="A1092" t="s">
        <v>1366</v>
      </c>
      <c r="B1092" s="1">
        <v>45404</v>
      </c>
      <c r="C1092" s="1">
        <v>45407</v>
      </c>
      <c r="D1092" t="s">
        <v>793</v>
      </c>
      <c r="E1092" t="s">
        <v>794</v>
      </c>
      <c r="F1092" t="s">
        <v>23</v>
      </c>
      <c r="G1092" t="s">
        <v>91</v>
      </c>
      <c r="H1092" t="s">
        <v>92</v>
      </c>
      <c r="I1092" t="s">
        <v>25</v>
      </c>
      <c r="J1092" t="s">
        <v>26</v>
      </c>
      <c r="K1092" t="s">
        <v>27</v>
      </c>
      <c r="L1092">
        <v>10</v>
      </c>
      <c r="M1092">
        <v>7000</v>
      </c>
      <c r="N1092">
        <v>5</v>
      </c>
      <c r="O1092">
        <v>66500</v>
      </c>
      <c r="P1092">
        <v>15667.17</v>
      </c>
      <c r="Q1092" t="s">
        <v>28</v>
      </c>
      <c r="R1092" t="s">
        <v>56</v>
      </c>
      <c r="S1092" t="s">
        <v>50</v>
      </c>
      <c r="T1092">
        <f>YEAR(Table1_1[[#This Row],[order_date]])</f>
        <v>2024</v>
      </c>
      <c r="U1092">
        <f>MONTH(Table1_1[[#This Row],[order_date]])</f>
        <v>4</v>
      </c>
      <c r="V1092" t="str">
        <f>TEXT(Table1_1[[#This Row],[order_date]],"mmm")</f>
        <v>Apr</v>
      </c>
      <c r="W1092" t="str">
        <f>"Q"&amp;ROUNDUP(MONTH(Table1_1[[#This Row],[order_date]])/3,0)</f>
        <v>Q2</v>
      </c>
      <c r="X1092" t="str">
        <f>TEXT(Table1_1[[#This Row],[order_date]],"yyyy-mm")</f>
        <v>2024-04</v>
      </c>
      <c r="Y1092">
        <f>IF(Table1_1[[#This Row],[ship_date]]="","",Table1_1[[#This Row],[ship_date]]-Table1_1[[#This Row],[order_date]])</f>
        <v>3</v>
      </c>
      <c r="Z1092">
        <f>ROUND(Table1_1[[#This Row],[profit]]/Table1_1[[#This Row],[sales_fix]]*100,2)</f>
        <v>23.56</v>
      </c>
    </row>
    <row r="1093" spans="1:26" x14ac:dyDescent="0.3">
      <c r="A1093" t="s">
        <v>2899</v>
      </c>
      <c r="B1093" s="1">
        <v>45930</v>
      </c>
      <c r="C1093" s="1">
        <v>45935</v>
      </c>
      <c r="D1093" t="s">
        <v>1191</v>
      </c>
      <c r="E1093" t="s">
        <v>1192</v>
      </c>
      <c r="F1093" t="s">
        <v>23</v>
      </c>
      <c r="G1093" t="s">
        <v>61</v>
      </c>
      <c r="H1093" t="s">
        <v>211</v>
      </c>
      <c r="I1093" t="s">
        <v>25</v>
      </c>
      <c r="J1093" t="s">
        <v>26</v>
      </c>
      <c r="K1093" t="s">
        <v>27</v>
      </c>
      <c r="L1093">
        <v>2</v>
      </c>
      <c r="M1093">
        <v>7000</v>
      </c>
      <c r="N1093">
        <v>0</v>
      </c>
      <c r="O1093">
        <v>14000</v>
      </c>
      <c r="P1093">
        <v>2530.09</v>
      </c>
      <c r="Q1093" t="s">
        <v>66</v>
      </c>
      <c r="R1093" t="s">
        <v>49</v>
      </c>
      <c r="S1093" t="s">
        <v>86</v>
      </c>
      <c r="T1093">
        <f>YEAR(Table1_1[[#This Row],[order_date]])</f>
        <v>2025</v>
      </c>
      <c r="U1093">
        <f>MONTH(Table1_1[[#This Row],[order_date]])</f>
        <v>9</v>
      </c>
      <c r="V1093" t="str">
        <f>TEXT(Table1_1[[#This Row],[order_date]],"mmm")</f>
        <v>Sep</v>
      </c>
      <c r="W1093" t="str">
        <f>"Q"&amp;ROUNDUP(MONTH(Table1_1[[#This Row],[order_date]])/3,0)</f>
        <v>Q3</v>
      </c>
      <c r="X1093" t="str">
        <f>TEXT(Table1_1[[#This Row],[order_date]],"yyyy-mm")</f>
        <v>2025-09</v>
      </c>
      <c r="Y1093">
        <f>IF(Table1_1[[#This Row],[ship_date]]="","",Table1_1[[#This Row],[ship_date]]-Table1_1[[#This Row],[order_date]])</f>
        <v>5</v>
      </c>
      <c r="Z1093">
        <f>ROUND(Table1_1[[#This Row],[profit]]/Table1_1[[#This Row],[sales_fix]]*100,2)</f>
        <v>18.07</v>
      </c>
    </row>
    <row r="1094" spans="1:26" x14ac:dyDescent="0.3">
      <c r="A1094" t="s">
        <v>184</v>
      </c>
      <c r="B1094" s="1">
        <v>45514</v>
      </c>
      <c r="C1094" s="1">
        <v>45522</v>
      </c>
      <c r="D1094" t="s">
        <v>185</v>
      </c>
      <c r="E1094" t="s">
        <v>186</v>
      </c>
      <c r="F1094" t="s">
        <v>55</v>
      </c>
      <c r="G1094" t="s">
        <v>35</v>
      </c>
      <c r="H1094" t="s">
        <v>187</v>
      </c>
      <c r="I1094" t="s">
        <v>114</v>
      </c>
      <c r="J1094" t="s">
        <v>115</v>
      </c>
      <c r="K1094" t="s">
        <v>65</v>
      </c>
      <c r="L1094">
        <v>1</v>
      </c>
      <c r="M1094">
        <v>55000</v>
      </c>
      <c r="N1094">
        <v>10</v>
      </c>
      <c r="O1094">
        <v>49500</v>
      </c>
      <c r="P1094">
        <v>6676.93</v>
      </c>
      <c r="Q1094" t="s">
        <v>74</v>
      </c>
      <c r="R1094" t="s">
        <v>29</v>
      </c>
      <c r="S1094" t="s">
        <v>30</v>
      </c>
      <c r="T1094">
        <f>YEAR(Table1_1[[#This Row],[order_date]])</f>
        <v>2024</v>
      </c>
      <c r="U1094">
        <f>MONTH(Table1_1[[#This Row],[order_date]])</f>
        <v>8</v>
      </c>
      <c r="V1094" t="str">
        <f>TEXT(Table1_1[[#This Row],[order_date]],"mmm")</f>
        <v>Aug</v>
      </c>
      <c r="W1094" t="str">
        <f>"Q"&amp;ROUNDUP(MONTH(Table1_1[[#This Row],[order_date]])/3,0)</f>
        <v>Q3</v>
      </c>
      <c r="X1094" t="str">
        <f>TEXT(Table1_1[[#This Row],[order_date]],"yyyy-mm")</f>
        <v>2024-08</v>
      </c>
      <c r="Y1094">
        <f>IF(Table1_1[[#This Row],[ship_date]]="","",Table1_1[[#This Row],[ship_date]]-Table1_1[[#This Row],[order_date]])</f>
        <v>8</v>
      </c>
      <c r="Z1094">
        <f>ROUND(Table1_1[[#This Row],[profit]]/Table1_1[[#This Row],[sales_fix]]*100,2)</f>
        <v>13.49</v>
      </c>
    </row>
    <row r="1095" spans="1:26" x14ac:dyDescent="0.3">
      <c r="A1095" t="s">
        <v>1021</v>
      </c>
      <c r="B1095" s="1">
        <v>45292</v>
      </c>
      <c r="C1095" s="1">
        <v>45297</v>
      </c>
      <c r="D1095" t="s">
        <v>599</v>
      </c>
      <c r="E1095" t="s">
        <v>600</v>
      </c>
      <c r="F1095" t="s">
        <v>23</v>
      </c>
      <c r="G1095" t="s">
        <v>44</v>
      </c>
      <c r="H1095" t="s">
        <v>161</v>
      </c>
      <c r="I1095" t="s">
        <v>126</v>
      </c>
      <c r="J1095" t="s">
        <v>127</v>
      </c>
      <c r="K1095" t="s">
        <v>95</v>
      </c>
      <c r="L1095">
        <v>1</v>
      </c>
      <c r="M1095">
        <v>600</v>
      </c>
      <c r="N1095">
        <v>0</v>
      </c>
      <c r="O1095">
        <v>600</v>
      </c>
      <c r="P1095">
        <v>191.54</v>
      </c>
      <c r="Q1095" t="s">
        <v>39</v>
      </c>
      <c r="R1095" t="s">
        <v>56</v>
      </c>
      <c r="S1095" t="s">
        <v>40</v>
      </c>
      <c r="T1095">
        <f>YEAR(Table1_1[[#This Row],[order_date]])</f>
        <v>2024</v>
      </c>
      <c r="U1095">
        <f>MONTH(Table1_1[[#This Row],[order_date]])</f>
        <v>1</v>
      </c>
      <c r="V1095" t="str">
        <f>TEXT(Table1_1[[#This Row],[order_date]],"mmm")</f>
        <v>Jan</v>
      </c>
      <c r="W1095" t="str">
        <f>"Q"&amp;ROUNDUP(MONTH(Table1_1[[#This Row],[order_date]])/3,0)</f>
        <v>Q1</v>
      </c>
      <c r="X1095" t="str">
        <f>TEXT(Table1_1[[#This Row],[order_date]],"yyyy-mm")</f>
        <v>2024-01</v>
      </c>
      <c r="Y1095">
        <f>IF(Table1_1[[#This Row],[ship_date]]="","",Table1_1[[#This Row],[ship_date]]-Table1_1[[#This Row],[order_date]])</f>
        <v>5</v>
      </c>
      <c r="Z1095">
        <f>ROUND(Table1_1[[#This Row],[profit]]/Table1_1[[#This Row],[sales_fix]]*100,2)</f>
        <v>31.92</v>
      </c>
    </row>
    <row r="1096" spans="1:26" x14ac:dyDescent="0.3">
      <c r="A1096" t="s">
        <v>2900</v>
      </c>
      <c r="B1096" s="1">
        <v>45569</v>
      </c>
      <c r="C1096" s="1">
        <v>45571</v>
      </c>
      <c r="D1096" t="s">
        <v>790</v>
      </c>
      <c r="E1096" t="s">
        <v>791</v>
      </c>
      <c r="F1096" t="s">
        <v>23</v>
      </c>
      <c r="G1096" t="s">
        <v>61</v>
      </c>
      <c r="H1096" t="s">
        <v>125</v>
      </c>
      <c r="I1096" t="s">
        <v>63</v>
      </c>
      <c r="J1096" t="s">
        <v>64</v>
      </c>
      <c r="K1096" t="s">
        <v>65</v>
      </c>
      <c r="L1096">
        <v>3</v>
      </c>
      <c r="M1096">
        <v>25000</v>
      </c>
      <c r="N1096">
        <v>5</v>
      </c>
      <c r="O1096">
        <v>71250</v>
      </c>
      <c r="P1096">
        <v>9983.09</v>
      </c>
      <c r="Q1096" t="s">
        <v>74</v>
      </c>
      <c r="R1096" t="s">
        <v>29</v>
      </c>
      <c r="S1096" t="s">
        <v>86</v>
      </c>
      <c r="T1096">
        <f>YEAR(Table1_1[[#This Row],[order_date]])</f>
        <v>2024</v>
      </c>
      <c r="U1096">
        <f>MONTH(Table1_1[[#This Row],[order_date]])</f>
        <v>10</v>
      </c>
      <c r="V1096" t="str">
        <f>TEXT(Table1_1[[#This Row],[order_date]],"mmm")</f>
        <v>Oct</v>
      </c>
      <c r="W1096" t="str">
        <f>"Q"&amp;ROUNDUP(MONTH(Table1_1[[#This Row],[order_date]])/3,0)</f>
        <v>Q4</v>
      </c>
      <c r="X1096" t="str">
        <f>TEXT(Table1_1[[#This Row],[order_date]],"yyyy-mm")</f>
        <v>2024-10</v>
      </c>
      <c r="Y1096">
        <f>IF(Table1_1[[#This Row],[ship_date]]="","",Table1_1[[#This Row],[ship_date]]-Table1_1[[#This Row],[order_date]])</f>
        <v>2</v>
      </c>
      <c r="Z1096">
        <f>ROUND(Table1_1[[#This Row],[profit]]/Table1_1[[#This Row],[sales_fix]]*100,2)</f>
        <v>14.01</v>
      </c>
    </row>
    <row r="1097" spans="1:26" x14ac:dyDescent="0.3">
      <c r="A1097" t="s">
        <v>1335</v>
      </c>
      <c r="B1097" s="1">
        <v>45546</v>
      </c>
      <c r="C1097" s="1">
        <v>45553</v>
      </c>
      <c r="D1097" t="s">
        <v>166</v>
      </c>
      <c r="E1097" t="s">
        <v>167</v>
      </c>
      <c r="F1097" t="s">
        <v>23</v>
      </c>
      <c r="G1097" t="s">
        <v>44</v>
      </c>
      <c r="H1097" t="s">
        <v>161</v>
      </c>
      <c r="I1097" t="s">
        <v>37</v>
      </c>
      <c r="J1097" t="s">
        <v>38</v>
      </c>
      <c r="K1097" t="s">
        <v>27</v>
      </c>
      <c r="L1097">
        <v>4</v>
      </c>
      <c r="M1097">
        <v>9500</v>
      </c>
      <c r="N1097">
        <v>15</v>
      </c>
      <c r="O1097">
        <v>32300</v>
      </c>
      <c r="P1097">
        <v>5520.05</v>
      </c>
      <c r="Q1097" t="s">
        <v>66</v>
      </c>
      <c r="R1097" t="s">
        <v>49</v>
      </c>
      <c r="S1097" t="s">
        <v>110</v>
      </c>
      <c r="T1097">
        <f>YEAR(Table1_1[[#This Row],[order_date]])</f>
        <v>2024</v>
      </c>
      <c r="U1097">
        <f>MONTH(Table1_1[[#This Row],[order_date]])</f>
        <v>9</v>
      </c>
      <c r="V1097" t="str">
        <f>TEXT(Table1_1[[#This Row],[order_date]],"mmm")</f>
        <v>Sep</v>
      </c>
      <c r="W1097" t="str">
        <f>"Q"&amp;ROUNDUP(MONTH(Table1_1[[#This Row],[order_date]])/3,0)</f>
        <v>Q3</v>
      </c>
      <c r="X1097" t="str">
        <f>TEXT(Table1_1[[#This Row],[order_date]],"yyyy-mm")</f>
        <v>2024-09</v>
      </c>
      <c r="Y1097">
        <f>IF(Table1_1[[#This Row],[ship_date]]="","",Table1_1[[#This Row],[ship_date]]-Table1_1[[#This Row],[order_date]])</f>
        <v>7</v>
      </c>
      <c r="Z1097">
        <f>ROUND(Table1_1[[#This Row],[profit]]/Table1_1[[#This Row],[sales_fix]]*100,2)</f>
        <v>17.09</v>
      </c>
    </row>
    <row r="1098" spans="1:26" x14ac:dyDescent="0.3">
      <c r="A1098" t="s">
        <v>2961</v>
      </c>
      <c r="B1098" s="1">
        <v>45869</v>
      </c>
      <c r="C1098" s="1">
        <v>45872</v>
      </c>
      <c r="D1098" t="s">
        <v>830</v>
      </c>
      <c r="E1098" t="s">
        <v>831</v>
      </c>
      <c r="F1098" t="s">
        <v>23</v>
      </c>
      <c r="G1098" t="s">
        <v>61</v>
      </c>
      <c r="H1098" t="s">
        <v>125</v>
      </c>
      <c r="I1098" t="s">
        <v>79</v>
      </c>
      <c r="J1098" t="s">
        <v>80</v>
      </c>
      <c r="K1098" t="s">
        <v>65</v>
      </c>
      <c r="L1098">
        <v>2</v>
      </c>
      <c r="M1098">
        <v>3000</v>
      </c>
      <c r="N1098">
        <v>0</v>
      </c>
      <c r="O1098">
        <v>6000</v>
      </c>
      <c r="P1098">
        <v>1839.15</v>
      </c>
      <c r="Q1098" t="s">
        <v>3113</v>
      </c>
      <c r="R1098" t="s">
        <v>29</v>
      </c>
      <c r="S1098" t="s">
        <v>110</v>
      </c>
      <c r="T1098">
        <f>YEAR(Table1_1[[#This Row],[order_date]])</f>
        <v>2025</v>
      </c>
      <c r="U1098">
        <f>MONTH(Table1_1[[#This Row],[order_date]])</f>
        <v>7</v>
      </c>
      <c r="V1098" t="str">
        <f>TEXT(Table1_1[[#This Row],[order_date]],"mmm")</f>
        <v>Jul</v>
      </c>
      <c r="W1098" t="str">
        <f>"Q"&amp;ROUNDUP(MONTH(Table1_1[[#This Row],[order_date]])/3,0)</f>
        <v>Q3</v>
      </c>
      <c r="X1098" t="str">
        <f>TEXT(Table1_1[[#This Row],[order_date]],"yyyy-mm")</f>
        <v>2025-07</v>
      </c>
      <c r="Y1098">
        <f>IF(Table1_1[[#This Row],[ship_date]]="","",Table1_1[[#This Row],[ship_date]]-Table1_1[[#This Row],[order_date]])</f>
        <v>3</v>
      </c>
      <c r="Z1098">
        <f>ROUND(Table1_1[[#This Row],[profit]]/Table1_1[[#This Row],[sales_fix]]*100,2)</f>
        <v>30.65</v>
      </c>
    </row>
    <row r="1099" spans="1:26" x14ac:dyDescent="0.3">
      <c r="A1099" t="s">
        <v>2017</v>
      </c>
      <c r="B1099" s="1">
        <v>45859</v>
      </c>
      <c r="C1099" s="1">
        <v>45867</v>
      </c>
      <c r="D1099" t="s">
        <v>189</v>
      </c>
      <c r="E1099" t="s">
        <v>190</v>
      </c>
      <c r="F1099" t="s">
        <v>23</v>
      </c>
      <c r="G1099" t="s">
        <v>91</v>
      </c>
      <c r="H1099" t="s">
        <v>120</v>
      </c>
      <c r="I1099" t="s">
        <v>134</v>
      </c>
      <c r="J1099" t="s">
        <v>135</v>
      </c>
      <c r="K1099" t="s">
        <v>27</v>
      </c>
      <c r="L1099">
        <v>1</v>
      </c>
      <c r="M1099">
        <v>6000</v>
      </c>
      <c r="N1099">
        <v>0</v>
      </c>
      <c r="O1099">
        <v>6000</v>
      </c>
      <c r="P1099">
        <v>1057.3</v>
      </c>
      <c r="Q1099" t="s">
        <v>39</v>
      </c>
      <c r="R1099" t="s">
        <v>29</v>
      </c>
      <c r="S1099" t="s">
        <v>30</v>
      </c>
      <c r="T1099">
        <f>YEAR(Table1_1[[#This Row],[order_date]])</f>
        <v>2025</v>
      </c>
      <c r="U1099">
        <f>MONTH(Table1_1[[#This Row],[order_date]])</f>
        <v>7</v>
      </c>
      <c r="V1099" t="str">
        <f>TEXT(Table1_1[[#This Row],[order_date]],"mmm")</f>
        <v>Jul</v>
      </c>
      <c r="W1099" t="str">
        <f>"Q"&amp;ROUNDUP(MONTH(Table1_1[[#This Row],[order_date]])/3,0)</f>
        <v>Q3</v>
      </c>
      <c r="X1099" t="str">
        <f>TEXT(Table1_1[[#This Row],[order_date]],"yyyy-mm")</f>
        <v>2025-07</v>
      </c>
      <c r="Y1099">
        <f>IF(Table1_1[[#This Row],[ship_date]]="","",Table1_1[[#This Row],[ship_date]]-Table1_1[[#This Row],[order_date]])</f>
        <v>8</v>
      </c>
      <c r="Z1099">
        <f>ROUND(Table1_1[[#This Row],[profit]]/Table1_1[[#This Row],[sales_fix]]*100,2)</f>
        <v>17.62</v>
      </c>
    </row>
    <row r="1100" spans="1:26" x14ac:dyDescent="0.3">
      <c r="A1100" t="s">
        <v>2727</v>
      </c>
      <c r="B1100" s="1">
        <v>45433</v>
      </c>
      <c r="C1100" s="1">
        <v>45439</v>
      </c>
      <c r="D1100" t="s">
        <v>2290</v>
      </c>
      <c r="E1100" t="s">
        <v>2291</v>
      </c>
      <c r="F1100" t="s">
        <v>55</v>
      </c>
      <c r="G1100" t="s">
        <v>35</v>
      </c>
      <c r="H1100" t="s">
        <v>85</v>
      </c>
      <c r="I1100" t="s">
        <v>63</v>
      </c>
      <c r="J1100" t="s">
        <v>64</v>
      </c>
      <c r="K1100" t="s">
        <v>65</v>
      </c>
      <c r="L1100">
        <v>2</v>
      </c>
      <c r="M1100">
        <v>25000</v>
      </c>
      <c r="N1100">
        <v>15</v>
      </c>
      <c r="O1100">
        <v>42500</v>
      </c>
      <c r="P1100">
        <v>5261.31</v>
      </c>
      <c r="Q1100" t="s">
        <v>28</v>
      </c>
      <c r="R1100" t="s">
        <v>49</v>
      </c>
      <c r="S1100" t="s">
        <v>30</v>
      </c>
      <c r="T1100">
        <f>YEAR(Table1_1[[#This Row],[order_date]])</f>
        <v>2024</v>
      </c>
      <c r="U1100">
        <f>MONTH(Table1_1[[#This Row],[order_date]])</f>
        <v>5</v>
      </c>
      <c r="V1100" t="str">
        <f>TEXT(Table1_1[[#This Row],[order_date]],"mmm")</f>
        <v>May</v>
      </c>
      <c r="W1100" t="str">
        <f>"Q"&amp;ROUNDUP(MONTH(Table1_1[[#This Row],[order_date]])/3,0)</f>
        <v>Q2</v>
      </c>
      <c r="X1100" t="str">
        <f>TEXT(Table1_1[[#This Row],[order_date]],"yyyy-mm")</f>
        <v>2024-05</v>
      </c>
      <c r="Y1100">
        <f>IF(Table1_1[[#This Row],[ship_date]]="","",Table1_1[[#This Row],[ship_date]]-Table1_1[[#This Row],[order_date]])</f>
        <v>6</v>
      </c>
      <c r="Z1100">
        <f>ROUND(Table1_1[[#This Row],[profit]]/Table1_1[[#This Row],[sales_fix]]*100,2)</f>
        <v>12.38</v>
      </c>
    </row>
    <row r="1101" spans="1:26" x14ac:dyDescent="0.3">
      <c r="A1101" t="s">
        <v>1806</v>
      </c>
      <c r="B1101" s="1">
        <v>45712</v>
      </c>
      <c r="C1101" s="1">
        <v>45719</v>
      </c>
      <c r="D1101" t="s">
        <v>1732</v>
      </c>
      <c r="E1101" t="s">
        <v>1733</v>
      </c>
      <c r="F1101" t="s">
        <v>34</v>
      </c>
      <c r="G1101" t="s">
        <v>35</v>
      </c>
      <c r="H1101" t="s">
        <v>85</v>
      </c>
      <c r="I1101" t="s">
        <v>134</v>
      </c>
      <c r="J1101" t="s">
        <v>135</v>
      </c>
      <c r="K1101" t="s">
        <v>27</v>
      </c>
      <c r="L1101">
        <v>2</v>
      </c>
      <c r="M1101">
        <v>6000</v>
      </c>
      <c r="N1101">
        <v>10</v>
      </c>
      <c r="O1101">
        <v>10800</v>
      </c>
      <c r="P1101">
        <v>1841.79</v>
      </c>
      <c r="Q1101" t="s">
        <v>66</v>
      </c>
      <c r="R1101" t="s">
        <v>29</v>
      </c>
      <c r="S1101" t="s">
        <v>40</v>
      </c>
      <c r="T1101">
        <f>YEAR(Table1_1[[#This Row],[order_date]])</f>
        <v>2025</v>
      </c>
      <c r="U1101">
        <f>MONTH(Table1_1[[#This Row],[order_date]])</f>
        <v>2</v>
      </c>
      <c r="V1101" t="str">
        <f>TEXT(Table1_1[[#This Row],[order_date]],"mmm")</f>
        <v>Feb</v>
      </c>
      <c r="W1101" t="str">
        <f>"Q"&amp;ROUNDUP(MONTH(Table1_1[[#This Row],[order_date]])/3,0)</f>
        <v>Q1</v>
      </c>
      <c r="X1101" t="str">
        <f>TEXT(Table1_1[[#This Row],[order_date]],"yyyy-mm")</f>
        <v>2025-02</v>
      </c>
      <c r="Y1101">
        <f>IF(Table1_1[[#This Row],[ship_date]]="","",Table1_1[[#This Row],[ship_date]]-Table1_1[[#This Row],[order_date]])</f>
        <v>7</v>
      </c>
      <c r="Z1101">
        <f>ROUND(Table1_1[[#This Row],[profit]]/Table1_1[[#This Row],[sales_fix]]*100,2)</f>
        <v>17.05</v>
      </c>
    </row>
    <row r="1102" spans="1:26" x14ac:dyDescent="0.3">
      <c r="A1102" t="s">
        <v>2144</v>
      </c>
      <c r="B1102" s="1">
        <v>45886</v>
      </c>
      <c r="C1102" s="1">
        <v>45891</v>
      </c>
      <c r="D1102" t="s">
        <v>223</v>
      </c>
      <c r="E1102" t="s">
        <v>224</v>
      </c>
      <c r="F1102" t="s">
        <v>34</v>
      </c>
      <c r="G1102" t="s">
        <v>35</v>
      </c>
      <c r="H1102" t="s">
        <v>85</v>
      </c>
      <c r="I1102" t="s">
        <v>103</v>
      </c>
      <c r="J1102" t="s">
        <v>104</v>
      </c>
      <c r="K1102" t="s">
        <v>65</v>
      </c>
      <c r="L1102">
        <v>2</v>
      </c>
      <c r="M1102">
        <v>8000</v>
      </c>
      <c r="N1102">
        <v>0</v>
      </c>
      <c r="O1102">
        <v>16000</v>
      </c>
      <c r="P1102">
        <v>3793.42</v>
      </c>
      <c r="Q1102" t="s">
        <v>66</v>
      </c>
      <c r="R1102" t="s">
        <v>49</v>
      </c>
      <c r="S1102" t="s">
        <v>50</v>
      </c>
      <c r="T1102">
        <f>YEAR(Table1_1[[#This Row],[order_date]])</f>
        <v>2025</v>
      </c>
      <c r="U1102">
        <f>MONTH(Table1_1[[#This Row],[order_date]])</f>
        <v>8</v>
      </c>
      <c r="V1102" t="str">
        <f>TEXT(Table1_1[[#This Row],[order_date]],"mmm")</f>
        <v>Aug</v>
      </c>
      <c r="W1102" t="str">
        <f>"Q"&amp;ROUNDUP(MONTH(Table1_1[[#This Row],[order_date]])/3,0)</f>
        <v>Q3</v>
      </c>
      <c r="X1102" t="str">
        <f>TEXT(Table1_1[[#This Row],[order_date]],"yyyy-mm")</f>
        <v>2025-08</v>
      </c>
      <c r="Y1102">
        <f>IF(Table1_1[[#This Row],[ship_date]]="","",Table1_1[[#This Row],[ship_date]]-Table1_1[[#This Row],[order_date]])</f>
        <v>5</v>
      </c>
      <c r="Z1102">
        <f>ROUND(Table1_1[[#This Row],[profit]]/Table1_1[[#This Row],[sales_fix]]*100,2)</f>
        <v>23.71</v>
      </c>
    </row>
    <row r="1103" spans="1:26" x14ac:dyDescent="0.3">
      <c r="A1103" t="s">
        <v>2973</v>
      </c>
      <c r="B1103" s="1">
        <v>45298</v>
      </c>
      <c r="C1103" s="1">
        <v>45306</v>
      </c>
      <c r="D1103" t="s">
        <v>689</v>
      </c>
      <c r="E1103" t="s">
        <v>690</v>
      </c>
      <c r="F1103" t="s">
        <v>55</v>
      </c>
      <c r="G1103" t="s">
        <v>61</v>
      </c>
      <c r="H1103" t="s">
        <v>62</v>
      </c>
      <c r="I1103" t="s">
        <v>126</v>
      </c>
      <c r="J1103" t="s">
        <v>127</v>
      </c>
      <c r="K1103" t="s">
        <v>95</v>
      </c>
      <c r="L1103">
        <v>2</v>
      </c>
      <c r="M1103">
        <v>600</v>
      </c>
      <c r="N1103">
        <v>20</v>
      </c>
      <c r="O1103">
        <v>960</v>
      </c>
      <c r="P1103">
        <v>383.03</v>
      </c>
      <c r="Q1103" t="s">
        <v>66</v>
      </c>
      <c r="R1103" t="s">
        <v>29</v>
      </c>
      <c r="S1103" t="s">
        <v>86</v>
      </c>
      <c r="T1103">
        <f>YEAR(Table1_1[[#This Row],[order_date]])</f>
        <v>2024</v>
      </c>
      <c r="U1103">
        <f>MONTH(Table1_1[[#This Row],[order_date]])</f>
        <v>1</v>
      </c>
      <c r="V1103" t="str">
        <f>TEXT(Table1_1[[#This Row],[order_date]],"mmm")</f>
        <v>Jan</v>
      </c>
      <c r="W1103" t="str">
        <f>"Q"&amp;ROUNDUP(MONTH(Table1_1[[#This Row],[order_date]])/3,0)</f>
        <v>Q1</v>
      </c>
      <c r="X1103" t="str">
        <f>TEXT(Table1_1[[#This Row],[order_date]],"yyyy-mm")</f>
        <v>2024-01</v>
      </c>
      <c r="Y1103">
        <f>IF(Table1_1[[#This Row],[ship_date]]="","",Table1_1[[#This Row],[ship_date]]-Table1_1[[#This Row],[order_date]])</f>
        <v>8</v>
      </c>
      <c r="Z1103">
        <f>ROUND(Table1_1[[#This Row],[profit]]/Table1_1[[#This Row],[sales_fix]]*100,2)</f>
        <v>39.9</v>
      </c>
    </row>
    <row r="1104" spans="1:26" x14ac:dyDescent="0.3">
      <c r="A1104" t="s">
        <v>804</v>
      </c>
      <c r="B1104" s="1">
        <v>45401</v>
      </c>
      <c r="C1104" s="1">
        <v>45409</v>
      </c>
      <c r="D1104" t="s">
        <v>805</v>
      </c>
      <c r="E1104" t="s">
        <v>806</v>
      </c>
      <c r="F1104" t="s">
        <v>34</v>
      </c>
      <c r="G1104" t="s">
        <v>61</v>
      </c>
      <c r="H1104" t="s">
        <v>78</v>
      </c>
      <c r="I1104" t="s">
        <v>126</v>
      </c>
      <c r="J1104" t="s">
        <v>127</v>
      </c>
      <c r="K1104" t="s">
        <v>95</v>
      </c>
      <c r="L1104">
        <v>1</v>
      </c>
      <c r="M1104">
        <v>600</v>
      </c>
      <c r="N1104">
        <v>0</v>
      </c>
      <c r="O1104">
        <v>600</v>
      </c>
      <c r="P1104">
        <v>234.56</v>
      </c>
      <c r="Q1104" t="s">
        <v>156</v>
      </c>
      <c r="R1104" t="s">
        <v>49</v>
      </c>
      <c r="S1104" t="s">
        <v>86</v>
      </c>
      <c r="T1104">
        <f>YEAR(Table1_1[[#This Row],[order_date]])</f>
        <v>2024</v>
      </c>
      <c r="U1104">
        <f>MONTH(Table1_1[[#This Row],[order_date]])</f>
        <v>4</v>
      </c>
      <c r="V1104" t="str">
        <f>TEXT(Table1_1[[#This Row],[order_date]],"mmm")</f>
        <v>Apr</v>
      </c>
      <c r="W1104" t="str">
        <f>"Q"&amp;ROUNDUP(MONTH(Table1_1[[#This Row],[order_date]])/3,0)</f>
        <v>Q2</v>
      </c>
      <c r="X1104" t="str">
        <f>TEXT(Table1_1[[#This Row],[order_date]],"yyyy-mm")</f>
        <v>2024-04</v>
      </c>
      <c r="Y1104">
        <f>IF(Table1_1[[#This Row],[ship_date]]="","",Table1_1[[#This Row],[ship_date]]-Table1_1[[#This Row],[order_date]])</f>
        <v>8</v>
      </c>
      <c r="Z1104">
        <f>ROUND(Table1_1[[#This Row],[profit]]/Table1_1[[#This Row],[sales_fix]]*100,2)</f>
        <v>39.090000000000003</v>
      </c>
    </row>
    <row r="1105" spans="1:26" x14ac:dyDescent="0.3">
      <c r="A1105" t="s">
        <v>1763</v>
      </c>
      <c r="B1105" s="1">
        <v>45890</v>
      </c>
      <c r="C1105" s="1">
        <v>45894</v>
      </c>
      <c r="D1105" t="s">
        <v>1659</v>
      </c>
      <c r="E1105" t="s">
        <v>1660</v>
      </c>
      <c r="F1105" t="s">
        <v>34</v>
      </c>
      <c r="G1105" t="s">
        <v>44</v>
      </c>
      <c r="H1105" t="s">
        <v>24</v>
      </c>
      <c r="I1105" t="s">
        <v>71</v>
      </c>
      <c r="J1105" t="s">
        <v>72</v>
      </c>
      <c r="K1105" t="s">
        <v>73</v>
      </c>
      <c r="L1105">
        <v>3</v>
      </c>
      <c r="M1105">
        <v>3500</v>
      </c>
      <c r="N1105">
        <v>15</v>
      </c>
      <c r="O1105">
        <v>8925</v>
      </c>
      <c r="P1105">
        <v>2818.25</v>
      </c>
      <c r="Q1105" t="s">
        <v>39</v>
      </c>
      <c r="R1105" t="s">
        <v>29</v>
      </c>
      <c r="S1105" t="s">
        <v>194</v>
      </c>
      <c r="T1105">
        <f>YEAR(Table1_1[[#This Row],[order_date]])</f>
        <v>2025</v>
      </c>
      <c r="U1105">
        <f>MONTH(Table1_1[[#This Row],[order_date]])</f>
        <v>8</v>
      </c>
      <c r="V1105" t="str">
        <f>TEXT(Table1_1[[#This Row],[order_date]],"mmm")</f>
        <v>Aug</v>
      </c>
      <c r="W1105" t="str">
        <f>"Q"&amp;ROUNDUP(MONTH(Table1_1[[#This Row],[order_date]])/3,0)</f>
        <v>Q3</v>
      </c>
      <c r="X1105" t="str">
        <f>TEXT(Table1_1[[#This Row],[order_date]],"yyyy-mm")</f>
        <v>2025-08</v>
      </c>
      <c r="Y1105">
        <f>IF(Table1_1[[#This Row],[ship_date]]="","",Table1_1[[#This Row],[ship_date]]-Table1_1[[#This Row],[order_date]])</f>
        <v>4</v>
      </c>
      <c r="Z1105">
        <f>ROUND(Table1_1[[#This Row],[profit]]/Table1_1[[#This Row],[sales_fix]]*100,2)</f>
        <v>31.58</v>
      </c>
    </row>
    <row r="1106" spans="1:26" x14ac:dyDescent="0.3">
      <c r="A1106" t="s">
        <v>1963</v>
      </c>
      <c r="B1106" s="1">
        <v>45520</v>
      </c>
      <c r="C1106" s="1">
        <v>45525</v>
      </c>
      <c r="D1106" t="s">
        <v>1965</v>
      </c>
      <c r="E1106" t="s">
        <v>1966</v>
      </c>
      <c r="F1106" t="s">
        <v>23</v>
      </c>
      <c r="G1106" t="s">
        <v>61</v>
      </c>
      <c r="H1106" t="s">
        <v>125</v>
      </c>
      <c r="I1106" t="s">
        <v>79</v>
      </c>
      <c r="J1106" t="s">
        <v>80</v>
      </c>
      <c r="K1106" t="s">
        <v>65</v>
      </c>
      <c r="L1106">
        <v>4</v>
      </c>
      <c r="M1106">
        <v>3000</v>
      </c>
      <c r="N1106">
        <v>15</v>
      </c>
      <c r="O1106">
        <v>10200</v>
      </c>
      <c r="P1106">
        <v>3185.16</v>
      </c>
      <c r="Q1106" t="s">
        <v>156</v>
      </c>
      <c r="R1106" t="s">
        <v>49</v>
      </c>
      <c r="S1106" t="s">
        <v>86</v>
      </c>
      <c r="T1106">
        <f>YEAR(Table1_1[[#This Row],[order_date]])</f>
        <v>2024</v>
      </c>
      <c r="U1106">
        <f>MONTH(Table1_1[[#This Row],[order_date]])</f>
        <v>8</v>
      </c>
      <c r="V1106" t="str">
        <f>TEXT(Table1_1[[#This Row],[order_date]],"mmm")</f>
        <v>Aug</v>
      </c>
      <c r="W1106" t="str">
        <f>"Q"&amp;ROUNDUP(MONTH(Table1_1[[#This Row],[order_date]])/3,0)</f>
        <v>Q3</v>
      </c>
      <c r="X1106" t="str">
        <f>TEXT(Table1_1[[#This Row],[order_date]],"yyyy-mm")</f>
        <v>2024-08</v>
      </c>
      <c r="Y1106">
        <f>IF(Table1_1[[#This Row],[ship_date]]="","",Table1_1[[#This Row],[ship_date]]-Table1_1[[#This Row],[order_date]])</f>
        <v>5</v>
      </c>
      <c r="Z1106">
        <f>ROUND(Table1_1[[#This Row],[profit]]/Table1_1[[#This Row],[sales_fix]]*100,2)</f>
        <v>31.23</v>
      </c>
    </row>
    <row r="1107" spans="1:26" x14ac:dyDescent="0.3">
      <c r="A1107" t="s">
        <v>2407</v>
      </c>
      <c r="B1107" s="1">
        <v>45996</v>
      </c>
      <c r="C1107" s="1">
        <v>45998</v>
      </c>
      <c r="D1107" t="s">
        <v>660</v>
      </c>
      <c r="E1107" t="s">
        <v>661</v>
      </c>
      <c r="F1107" t="s">
        <v>23</v>
      </c>
      <c r="G1107" t="s">
        <v>44</v>
      </c>
      <c r="H1107" t="s">
        <v>330</v>
      </c>
      <c r="I1107" t="s">
        <v>93</v>
      </c>
      <c r="J1107" t="s">
        <v>94</v>
      </c>
      <c r="K1107" t="s">
        <v>95</v>
      </c>
      <c r="L1107">
        <v>1</v>
      </c>
      <c r="M1107">
        <v>1800</v>
      </c>
      <c r="N1107">
        <v>0</v>
      </c>
      <c r="O1107">
        <v>1800</v>
      </c>
      <c r="P1107">
        <v>593.16</v>
      </c>
      <c r="Q1107" t="s">
        <v>39</v>
      </c>
      <c r="R1107" t="s">
        <v>29</v>
      </c>
      <c r="S1107" t="s">
        <v>50</v>
      </c>
      <c r="T1107">
        <f>YEAR(Table1_1[[#This Row],[order_date]])</f>
        <v>2025</v>
      </c>
      <c r="U1107">
        <f>MONTH(Table1_1[[#This Row],[order_date]])</f>
        <v>12</v>
      </c>
      <c r="V1107" t="str">
        <f>TEXT(Table1_1[[#This Row],[order_date]],"mmm")</f>
        <v>Dec</v>
      </c>
      <c r="W1107" t="str">
        <f>"Q"&amp;ROUNDUP(MONTH(Table1_1[[#This Row],[order_date]])/3,0)</f>
        <v>Q4</v>
      </c>
      <c r="X1107" t="str">
        <f>TEXT(Table1_1[[#This Row],[order_date]],"yyyy-mm")</f>
        <v>2025-12</v>
      </c>
      <c r="Y1107">
        <f>IF(Table1_1[[#This Row],[ship_date]]="","",Table1_1[[#This Row],[ship_date]]-Table1_1[[#This Row],[order_date]])</f>
        <v>2</v>
      </c>
      <c r="Z1107">
        <f>ROUND(Table1_1[[#This Row],[profit]]/Table1_1[[#This Row],[sales_fix]]*100,2)</f>
        <v>32.950000000000003</v>
      </c>
    </row>
    <row r="1108" spans="1:26" x14ac:dyDescent="0.3">
      <c r="A1108" t="s">
        <v>676</v>
      </c>
      <c r="B1108" s="1">
        <v>45777</v>
      </c>
      <c r="C1108" s="1">
        <v>45778</v>
      </c>
      <c r="D1108" t="s">
        <v>561</v>
      </c>
      <c r="E1108" t="s">
        <v>562</v>
      </c>
      <c r="F1108" t="s">
        <v>23</v>
      </c>
      <c r="G1108" t="s">
        <v>44</v>
      </c>
      <c r="H1108" t="s">
        <v>155</v>
      </c>
      <c r="I1108" t="s">
        <v>63</v>
      </c>
      <c r="J1108" t="s">
        <v>64</v>
      </c>
      <c r="K1108" t="s">
        <v>65</v>
      </c>
      <c r="L1108">
        <v>1</v>
      </c>
      <c r="M1108">
        <v>25000</v>
      </c>
      <c r="N1108">
        <v>10</v>
      </c>
      <c r="O1108">
        <v>22500</v>
      </c>
      <c r="P1108">
        <v>2961.65</v>
      </c>
      <c r="Q1108" t="s">
        <v>66</v>
      </c>
      <c r="R1108" t="s">
        <v>49</v>
      </c>
      <c r="S1108" t="s">
        <v>30</v>
      </c>
      <c r="T1108">
        <f>YEAR(Table1_1[[#This Row],[order_date]])</f>
        <v>2025</v>
      </c>
      <c r="U1108">
        <f>MONTH(Table1_1[[#This Row],[order_date]])</f>
        <v>4</v>
      </c>
      <c r="V1108" t="str">
        <f>TEXT(Table1_1[[#This Row],[order_date]],"mmm")</f>
        <v>Apr</v>
      </c>
      <c r="W1108" t="str">
        <f>"Q"&amp;ROUNDUP(MONTH(Table1_1[[#This Row],[order_date]])/3,0)</f>
        <v>Q2</v>
      </c>
      <c r="X1108" t="str">
        <f>TEXT(Table1_1[[#This Row],[order_date]],"yyyy-mm")</f>
        <v>2025-04</v>
      </c>
      <c r="Y1108">
        <f>IF(Table1_1[[#This Row],[ship_date]]="","",Table1_1[[#This Row],[ship_date]]-Table1_1[[#This Row],[order_date]])</f>
        <v>1</v>
      </c>
      <c r="Z1108">
        <f>ROUND(Table1_1[[#This Row],[profit]]/Table1_1[[#This Row],[sales_fix]]*100,2)</f>
        <v>13.16</v>
      </c>
    </row>
    <row r="1109" spans="1:26" x14ac:dyDescent="0.3">
      <c r="A1109" t="s">
        <v>1835</v>
      </c>
      <c r="B1109" s="1">
        <v>45532</v>
      </c>
      <c r="C1109" s="1">
        <v>45540</v>
      </c>
      <c r="D1109" t="s">
        <v>32</v>
      </c>
      <c r="E1109" t="s">
        <v>33</v>
      </c>
      <c r="F1109" t="s">
        <v>34</v>
      </c>
      <c r="G1109" t="s">
        <v>35</v>
      </c>
      <c r="H1109" t="s">
        <v>36</v>
      </c>
      <c r="I1109" t="s">
        <v>79</v>
      </c>
      <c r="J1109" t="s">
        <v>80</v>
      </c>
      <c r="K1109" t="s">
        <v>65</v>
      </c>
      <c r="L1109">
        <v>4</v>
      </c>
      <c r="M1109">
        <v>3000</v>
      </c>
      <c r="N1109">
        <v>10</v>
      </c>
      <c r="O1109">
        <v>10800</v>
      </c>
      <c r="P1109">
        <v>2605.31</v>
      </c>
      <c r="Q1109" t="s">
        <v>156</v>
      </c>
      <c r="R1109" t="s">
        <v>56</v>
      </c>
      <c r="S1109" t="s">
        <v>86</v>
      </c>
      <c r="T1109">
        <f>YEAR(Table1_1[[#This Row],[order_date]])</f>
        <v>2024</v>
      </c>
      <c r="U1109">
        <f>MONTH(Table1_1[[#This Row],[order_date]])</f>
        <v>8</v>
      </c>
      <c r="V1109" t="str">
        <f>TEXT(Table1_1[[#This Row],[order_date]],"mmm")</f>
        <v>Aug</v>
      </c>
      <c r="W1109" t="str">
        <f>"Q"&amp;ROUNDUP(MONTH(Table1_1[[#This Row],[order_date]])/3,0)</f>
        <v>Q3</v>
      </c>
      <c r="X1109" t="str">
        <f>TEXT(Table1_1[[#This Row],[order_date]],"yyyy-mm")</f>
        <v>2024-08</v>
      </c>
      <c r="Y1109">
        <f>IF(Table1_1[[#This Row],[ship_date]]="","",Table1_1[[#This Row],[ship_date]]-Table1_1[[#This Row],[order_date]])</f>
        <v>8</v>
      </c>
      <c r="Z1109">
        <f>ROUND(Table1_1[[#This Row],[profit]]/Table1_1[[#This Row],[sales_fix]]*100,2)</f>
        <v>24.12</v>
      </c>
    </row>
    <row r="1110" spans="1:26" x14ac:dyDescent="0.3">
      <c r="A1110" t="s">
        <v>633</v>
      </c>
      <c r="B1110" s="1">
        <v>45943</v>
      </c>
      <c r="C1110" s="1">
        <v>45946</v>
      </c>
      <c r="D1110" t="s">
        <v>634</v>
      </c>
      <c r="E1110" t="s">
        <v>635</v>
      </c>
      <c r="F1110" t="s">
        <v>23</v>
      </c>
      <c r="G1110" t="s">
        <v>91</v>
      </c>
      <c r="H1110" t="s">
        <v>177</v>
      </c>
      <c r="I1110" t="s">
        <v>79</v>
      </c>
      <c r="J1110" t="s">
        <v>80</v>
      </c>
      <c r="K1110" t="s">
        <v>65</v>
      </c>
      <c r="L1110">
        <v>1</v>
      </c>
      <c r="M1110">
        <v>3000</v>
      </c>
      <c r="N1110">
        <v>15</v>
      </c>
      <c r="O1110">
        <v>2550</v>
      </c>
      <c r="P1110">
        <v>736.68</v>
      </c>
      <c r="Q1110" t="s">
        <v>39</v>
      </c>
      <c r="R1110" t="s">
        <v>56</v>
      </c>
      <c r="S1110" t="s">
        <v>40</v>
      </c>
      <c r="T1110">
        <f>YEAR(Table1_1[[#This Row],[order_date]])</f>
        <v>2025</v>
      </c>
      <c r="U1110">
        <f>MONTH(Table1_1[[#This Row],[order_date]])</f>
        <v>10</v>
      </c>
      <c r="V1110" t="str">
        <f>TEXT(Table1_1[[#This Row],[order_date]],"mmm")</f>
        <v>Oct</v>
      </c>
      <c r="W1110" t="str">
        <f>"Q"&amp;ROUNDUP(MONTH(Table1_1[[#This Row],[order_date]])/3,0)</f>
        <v>Q4</v>
      </c>
      <c r="X1110" t="str">
        <f>TEXT(Table1_1[[#This Row],[order_date]],"yyyy-mm")</f>
        <v>2025-10</v>
      </c>
      <c r="Y1110">
        <f>IF(Table1_1[[#This Row],[ship_date]]="","",Table1_1[[#This Row],[ship_date]]-Table1_1[[#This Row],[order_date]])</f>
        <v>3</v>
      </c>
      <c r="Z1110">
        <f>ROUND(Table1_1[[#This Row],[profit]]/Table1_1[[#This Row],[sales_fix]]*100,2)</f>
        <v>28.89</v>
      </c>
    </row>
    <row r="1111" spans="1:26" x14ac:dyDescent="0.3">
      <c r="A1111" t="s">
        <v>2195</v>
      </c>
      <c r="B1111" s="1">
        <v>45783</v>
      </c>
      <c r="C1111" s="1">
        <v>45791</v>
      </c>
      <c r="D1111" t="s">
        <v>1643</v>
      </c>
      <c r="E1111" t="s">
        <v>1644</v>
      </c>
      <c r="F1111" t="s">
        <v>55</v>
      </c>
      <c r="G1111" t="s">
        <v>91</v>
      </c>
      <c r="H1111" t="s">
        <v>120</v>
      </c>
      <c r="I1111" t="s">
        <v>147</v>
      </c>
      <c r="J1111" t="s">
        <v>148</v>
      </c>
      <c r="K1111" t="s">
        <v>48</v>
      </c>
      <c r="L1111">
        <v>1</v>
      </c>
      <c r="M1111">
        <v>250</v>
      </c>
      <c r="N1111">
        <v>15</v>
      </c>
      <c r="O1111">
        <v>212.5</v>
      </c>
      <c r="P1111">
        <v>62.9</v>
      </c>
      <c r="Q1111" t="s">
        <v>74</v>
      </c>
      <c r="R1111" t="s">
        <v>56</v>
      </c>
      <c r="S1111" t="s">
        <v>110</v>
      </c>
      <c r="T1111">
        <f>YEAR(Table1_1[[#This Row],[order_date]])</f>
        <v>2025</v>
      </c>
      <c r="U1111">
        <f>MONTH(Table1_1[[#This Row],[order_date]])</f>
        <v>5</v>
      </c>
      <c r="V1111" t="str">
        <f>TEXT(Table1_1[[#This Row],[order_date]],"mmm")</f>
        <v>May</v>
      </c>
      <c r="W1111" t="str">
        <f>"Q"&amp;ROUNDUP(MONTH(Table1_1[[#This Row],[order_date]])/3,0)</f>
        <v>Q2</v>
      </c>
      <c r="X1111" t="str">
        <f>TEXT(Table1_1[[#This Row],[order_date]],"yyyy-mm")</f>
        <v>2025-05</v>
      </c>
      <c r="Y1111">
        <f>IF(Table1_1[[#This Row],[ship_date]]="","",Table1_1[[#This Row],[ship_date]]-Table1_1[[#This Row],[order_date]])</f>
        <v>8</v>
      </c>
      <c r="Z1111">
        <f>ROUND(Table1_1[[#This Row],[profit]]/Table1_1[[#This Row],[sales_fix]]*100,2)</f>
        <v>29.6</v>
      </c>
    </row>
    <row r="1112" spans="1:26" x14ac:dyDescent="0.3">
      <c r="A1112" t="s">
        <v>926</v>
      </c>
      <c r="B1112" s="1">
        <v>46006</v>
      </c>
      <c r="C1112" s="1">
        <v>46007</v>
      </c>
      <c r="D1112" t="s">
        <v>674</v>
      </c>
      <c r="E1112" t="s">
        <v>675</v>
      </c>
      <c r="F1112" t="s">
        <v>55</v>
      </c>
      <c r="G1112" t="s">
        <v>91</v>
      </c>
      <c r="H1112" t="s">
        <v>109</v>
      </c>
      <c r="I1112" t="s">
        <v>134</v>
      </c>
      <c r="J1112" t="s">
        <v>135</v>
      </c>
      <c r="K1112" t="s">
        <v>27</v>
      </c>
      <c r="L1112">
        <v>2</v>
      </c>
      <c r="M1112">
        <v>6000</v>
      </c>
      <c r="N1112">
        <v>20</v>
      </c>
      <c r="O1112">
        <v>9600</v>
      </c>
      <c r="P1112">
        <v>2004.33</v>
      </c>
      <c r="Q1112" t="s">
        <v>74</v>
      </c>
      <c r="R1112" t="s">
        <v>49</v>
      </c>
      <c r="S1112" t="s">
        <v>86</v>
      </c>
      <c r="T1112">
        <f>YEAR(Table1_1[[#This Row],[order_date]])</f>
        <v>2025</v>
      </c>
      <c r="U1112">
        <f>MONTH(Table1_1[[#This Row],[order_date]])</f>
        <v>12</v>
      </c>
      <c r="V1112" t="str">
        <f>TEXT(Table1_1[[#This Row],[order_date]],"mmm")</f>
        <v>Dec</v>
      </c>
      <c r="W1112" t="str">
        <f>"Q"&amp;ROUNDUP(MONTH(Table1_1[[#This Row],[order_date]])/3,0)</f>
        <v>Q4</v>
      </c>
      <c r="X1112" t="str">
        <f>TEXT(Table1_1[[#This Row],[order_date]],"yyyy-mm")</f>
        <v>2025-12</v>
      </c>
      <c r="Y1112">
        <f>IF(Table1_1[[#This Row],[ship_date]]="","",Table1_1[[#This Row],[ship_date]]-Table1_1[[#This Row],[order_date]])</f>
        <v>1</v>
      </c>
      <c r="Z1112">
        <f>ROUND(Table1_1[[#This Row],[profit]]/Table1_1[[#This Row],[sales_fix]]*100,2)</f>
        <v>20.88</v>
      </c>
    </row>
    <row r="1113" spans="1:26" x14ac:dyDescent="0.3">
      <c r="A1113" t="s">
        <v>3039</v>
      </c>
      <c r="B1113" s="1">
        <v>45303</v>
      </c>
      <c r="C1113" s="1">
        <v>45311</v>
      </c>
      <c r="D1113" t="s">
        <v>1072</v>
      </c>
      <c r="E1113" t="s">
        <v>1073</v>
      </c>
      <c r="F1113" t="s">
        <v>23</v>
      </c>
      <c r="G1113" t="s">
        <v>44</v>
      </c>
      <c r="H1113" t="s">
        <v>161</v>
      </c>
      <c r="I1113" t="s">
        <v>134</v>
      </c>
      <c r="J1113" t="s">
        <v>135</v>
      </c>
      <c r="K1113" t="s">
        <v>27</v>
      </c>
      <c r="L1113">
        <v>2</v>
      </c>
      <c r="M1113">
        <v>6000</v>
      </c>
      <c r="N1113">
        <v>0</v>
      </c>
      <c r="O1113">
        <v>12000</v>
      </c>
      <c r="P1113">
        <v>2759.17</v>
      </c>
      <c r="Q1113" t="s">
        <v>66</v>
      </c>
      <c r="R1113" t="s">
        <v>49</v>
      </c>
      <c r="S1113" t="s">
        <v>50</v>
      </c>
      <c r="T1113">
        <f>YEAR(Table1_1[[#This Row],[order_date]])</f>
        <v>2024</v>
      </c>
      <c r="U1113">
        <f>MONTH(Table1_1[[#This Row],[order_date]])</f>
        <v>1</v>
      </c>
      <c r="V1113" t="str">
        <f>TEXT(Table1_1[[#This Row],[order_date]],"mmm")</f>
        <v>Jan</v>
      </c>
      <c r="W1113" t="str">
        <f>"Q"&amp;ROUNDUP(MONTH(Table1_1[[#This Row],[order_date]])/3,0)</f>
        <v>Q1</v>
      </c>
      <c r="X1113" t="str">
        <f>TEXT(Table1_1[[#This Row],[order_date]],"yyyy-mm")</f>
        <v>2024-01</v>
      </c>
      <c r="Y1113">
        <f>IF(Table1_1[[#This Row],[ship_date]]="","",Table1_1[[#This Row],[ship_date]]-Table1_1[[#This Row],[order_date]])</f>
        <v>8</v>
      </c>
      <c r="Z1113">
        <f>ROUND(Table1_1[[#This Row],[profit]]/Table1_1[[#This Row],[sales_fix]]*100,2)</f>
        <v>22.99</v>
      </c>
    </row>
    <row r="1114" spans="1:26" x14ac:dyDescent="0.3">
      <c r="A1114" t="s">
        <v>776</v>
      </c>
      <c r="B1114" s="1">
        <v>45761</v>
      </c>
      <c r="C1114" s="1">
        <v>45765</v>
      </c>
      <c r="D1114" t="s">
        <v>779</v>
      </c>
      <c r="E1114" t="s">
        <v>780</v>
      </c>
      <c r="F1114" t="s">
        <v>23</v>
      </c>
      <c r="G1114" t="s">
        <v>35</v>
      </c>
      <c r="H1114" t="s">
        <v>258</v>
      </c>
      <c r="I1114" t="s">
        <v>71</v>
      </c>
      <c r="J1114" t="s">
        <v>72</v>
      </c>
      <c r="K1114" t="s">
        <v>73</v>
      </c>
      <c r="L1114">
        <v>1</v>
      </c>
      <c r="M1114">
        <v>3500</v>
      </c>
      <c r="N1114">
        <v>0</v>
      </c>
      <c r="O1114">
        <v>3500</v>
      </c>
      <c r="P1114">
        <v>944.27</v>
      </c>
      <c r="Q1114" t="s">
        <v>74</v>
      </c>
      <c r="R1114" t="s">
        <v>56</v>
      </c>
      <c r="S1114" t="s">
        <v>40</v>
      </c>
      <c r="T1114">
        <f>YEAR(Table1_1[[#This Row],[order_date]])</f>
        <v>2025</v>
      </c>
      <c r="U1114">
        <f>MONTH(Table1_1[[#This Row],[order_date]])</f>
        <v>4</v>
      </c>
      <c r="V1114" t="str">
        <f>TEXT(Table1_1[[#This Row],[order_date]],"mmm")</f>
        <v>Apr</v>
      </c>
      <c r="W1114" t="str">
        <f>"Q"&amp;ROUNDUP(MONTH(Table1_1[[#This Row],[order_date]])/3,0)</f>
        <v>Q2</v>
      </c>
      <c r="X1114" t="str">
        <f>TEXT(Table1_1[[#This Row],[order_date]],"yyyy-mm")</f>
        <v>2025-04</v>
      </c>
      <c r="Y1114">
        <f>IF(Table1_1[[#This Row],[ship_date]]="","",Table1_1[[#This Row],[ship_date]]-Table1_1[[#This Row],[order_date]])</f>
        <v>4</v>
      </c>
      <c r="Z1114">
        <f>ROUND(Table1_1[[#This Row],[profit]]/Table1_1[[#This Row],[sales_fix]]*100,2)</f>
        <v>26.98</v>
      </c>
    </row>
    <row r="1115" spans="1:26" x14ac:dyDescent="0.3">
      <c r="A1115" t="s">
        <v>2476</v>
      </c>
      <c r="B1115" s="1">
        <v>45356</v>
      </c>
      <c r="C1115" s="1">
        <v>45362</v>
      </c>
      <c r="D1115" t="s">
        <v>1293</v>
      </c>
      <c r="E1115" t="s">
        <v>1294</v>
      </c>
      <c r="F1115" t="s">
        <v>34</v>
      </c>
      <c r="G1115" t="s">
        <v>61</v>
      </c>
      <c r="H1115" t="s">
        <v>211</v>
      </c>
      <c r="I1115" t="s">
        <v>46</v>
      </c>
      <c r="J1115" t="s">
        <v>47</v>
      </c>
      <c r="K1115" t="s">
        <v>48</v>
      </c>
      <c r="L1115">
        <v>1</v>
      </c>
      <c r="M1115">
        <v>180</v>
      </c>
      <c r="N1115">
        <v>0</v>
      </c>
      <c r="O1115">
        <v>180</v>
      </c>
      <c r="P1115">
        <v>68.099999999999994</v>
      </c>
      <c r="Q1115" t="s">
        <v>28</v>
      </c>
      <c r="R1115" t="s">
        <v>56</v>
      </c>
      <c r="S1115" t="s">
        <v>50</v>
      </c>
      <c r="T1115">
        <f>YEAR(Table1_1[[#This Row],[order_date]])</f>
        <v>2024</v>
      </c>
      <c r="U1115">
        <f>MONTH(Table1_1[[#This Row],[order_date]])</f>
        <v>3</v>
      </c>
      <c r="V1115" t="str">
        <f>TEXT(Table1_1[[#This Row],[order_date]],"mmm")</f>
        <v>Mar</v>
      </c>
      <c r="W1115" t="str">
        <f>"Q"&amp;ROUNDUP(MONTH(Table1_1[[#This Row],[order_date]])/3,0)</f>
        <v>Q1</v>
      </c>
      <c r="X1115" t="str">
        <f>TEXT(Table1_1[[#This Row],[order_date]],"yyyy-mm")</f>
        <v>2024-03</v>
      </c>
      <c r="Y1115">
        <f>IF(Table1_1[[#This Row],[ship_date]]="","",Table1_1[[#This Row],[ship_date]]-Table1_1[[#This Row],[order_date]])</f>
        <v>6</v>
      </c>
      <c r="Z1115">
        <f>ROUND(Table1_1[[#This Row],[profit]]/Table1_1[[#This Row],[sales_fix]]*100,2)</f>
        <v>37.83</v>
      </c>
    </row>
    <row r="1116" spans="1:26" x14ac:dyDescent="0.3">
      <c r="A1116" t="s">
        <v>1854</v>
      </c>
      <c r="B1116" s="1">
        <v>45602</v>
      </c>
      <c r="C1116" s="1">
        <v>45609</v>
      </c>
      <c r="D1116" t="s">
        <v>1855</v>
      </c>
      <c r="E1116" t="s">
        <v>1856</v>
      </c>
      <c r="F1116" t="s">
        <v>55</v>
      </c>
      <c r="G1116" t="s">
        <v>35</v>
      </c>
      <c r="H1116" t="s">
        <v>85</v>
      </c>
      <c r="I1116" t="s">
        <v>126</v>
      </c>
      <c r="J1116" t="s">
        <v>127</v>
      </c>
      <c r="K1116" t="s">
        <v>95</v>
      </c>
      <c r="L1116">
        <v>1</v>
      </c>
      <c r="M1116">
        <v>600</v>
      </c>
      <c r="N1116">
        <v>20</v>
      </c>
      <c r="O1116">
        <v>480</v>
      </c>
      <c r="P1116">
        <v>174.75</v>
      </c>
      <c r="Q1116" t="s">
        <v>3113</v>
      </c>
      <c r="R1116" t="s">
        <v>56</v>
      </c>
      <c r="S1116" t="s">
        <v>50</v>
      </c>
      <c r="T1116">
        <f>YEAR(Table1_1[[#This Row],[order_date]])</f>
        <v>2024</v>
      </c>
      <c r="U1116">
        <f>MONTH(Table1_1[[#This Row],[order_date]])</f>
        <v>11</v>
      </c>
      <c r="V1116" t="str">
        <f>TEXT(Table1_1[[#This Row],[order_date]],"mmm")</f>
        <v>Nov</v>
      </c>
      <c r="W1116" t="str">
        <f>"Q"&amp;ROUNDUP(MONTH(Table1_1[[#This Row],[order_date]])/3,0)</f>
        <v>Q4</v>
      </c>
      <c r="X1116" t="str">
        <f>TEXT(Table1_1[[#This Row],[order_date]],"yyyy-mm")</f>
        <v>2024-11</v>
      </c>
      <c r="Y1116">
        <f>IF(Table1_1[[#This Row],[ship_date]]="","",Table1_1[[#This Row],[ship_date]]-Table1_1[[#This Row],[order_date]])</f>
        <v>7</v>
      </c>
      <c r="Z1116">
        <f>ROUND(Table1_1[[#This Row],[profit]]/Table1_1[[#This Row],[sales_fix]]*100,2)</f>
        <v>36.409999999999997</v>
      </c>
    </row>
    <row r="1117" spans="1:26" x14ac:dyDescent="0.3">
      <c r="A1117" t="s">
        <v>3031</v>
      </c>
      <c r="B1117" s="1">
        <v>45811</v>
      </c>
      <c r="C1117" s="1">
        <v>45817</v>
      </c>
      <c r="D1117" t="s">
        <v>477</v>
      </c>
      <c r="E1117" t="s">
        <v>478</v>
      </c>
      <c r="F1117" t="s">
        <v>34</v>
      </c>
      <c r="G1117" t="s">
        <v>44</v>
      </c>
      <c r="H1117" t="s">
        <v>161</v>
      </c>
      <c r="I1117" t="s">
        <v>71</v>
      </c>
      <c r="J1117" t="s">
        <v>72</v>
      </c>
      <c r="K1117" t="s">
        <v>73</v>
      </c>
      <c r="L1117">
        <v>3</v>
      </c>
      <c r="M1117">
        <v>3500</v>
      </c>
      <c r="N1117">
        <v>10</v>
      </c>
      <c r="O1117">
        <v>9450</v>
      </c>
      <c r="P1117">
        <v>2430.36</v>
      </c>
      <c r="Q1117" t="s">
        <v>39</v>
      </c>
      <c r="R1117" t="s">
        <v>56</v>
      </c>
      <c r="S1117" t="s">
        <v>110</v>
      </c>
      <c r="T1117">
        <f>YEAR(Table1_1[[#This Row],[order_date]])</f>
        <v>2025</v>
      </c>
      <c r="U1117">
        <f>MONTH(Table1_1[[#This Row],[order_date]])</f>
        <v>6</v>
      </c>
      <c r="V1117" t="str">
        <f>TEXT(Table1_1[[#This Row],[order_date]],"mmm")</f>
        <v>Jun</v>
      </c>
      <c r="W1117" t="str">
        <f>"Q"&amp;ROUNDUP(MONTH(Table1_1[[#This Row],[order_date]])/3,0)</f>
        <v>Q2</v>
      </c>
      <c r="X1117" t="str">
        <f>TEXT(Table1_1[[#This Row],[order_date]],"yyyy-mm")</f>
        <v>2025-06</v>
      </c>
      <c r="Y1117">
        <f>IF(Table1_1[[#This Row],[ship_date]]="","",Table1_1[[#This Row],[ship_date]]-Table1_1[[#This Row],[order_date]])</f>
        <v>6</v>
      </c>
      <c r="Z1117">
        <f>ROUND(Table1_1[[#This Row],[profit]]/Table1_1[[#This Row],[sales_fix]]*100,2)</f>
        <v>25.72</v>
      </c>
    </row>
    <row r="1118" spans="1:26" x14ac:dyDescent="0.3">
      <c r="A1118" t="s">
        <v>1410</v>
      </c>
      <c r="B1118" s="1">
        <v>45705</v>
      </c>
      <c r="C1118" s="1">
        <v>45708</v>
      </c>
      <c r="D1118" t="s">
        <v>1188</v>
      </c>
      <c r="E1118" t="s">
        <v>1189</v>
      </c>
      <c r="F1118" t="s">
        <v>55</v>
      </c>
      <c r="G1118" t="s">
        <v>61</v>
      </c>
      <c r="H1118" t="s">
        <v>125</v>
      </c>
      <c r="I1118" t="s">
        <v>93</v>
      </c>
      <c r="J1118" t="s">
        <v>94</v>
      </c>
      <c r="K1118" t="s">
        <v>95</v>
      </c>
      <c r="L1118">
        <v>1</v>
      </c>
      <c r="M1118">
        <v>1800</v>
      </c>
      <c r="N1118">
        <v>0</v>
      </c>
      <c r="O1118">
        <v>1800</v>
      </c>
      <c r="P1118">
        <v>655.71</v>
      </c>
      <c r="Q1118" t="s">
        <v>121</v>
      </c>
      <c r="R1118" t="s">
        <v>29</v>
      </c>
      <c r="S1118" t="s">
        <v>86</v>
      </c>
      <c r="T1118">
        <f>YEAR(Table1_1[[#This Row],[order_date]])</f>
        <v>2025</v>
      </c>
      <c r="U1118">
        <f>MONTH(Table1_1[[#This Row],[order_date]])</f>
        <v>2</v>
      </c>
      <c r="V1118" t="str">
        <f>TEXT(Table1_1[[#This Row],[order_date]],"mmm")</f>
        <v>Feb</v>
      </c>
      <c r="W1118" t="str">
        <f>"Q"&amp;ROUNDUP(MONTH(Table1_1[[#This Row],[order_date]])/3,0)</f>
        <v>Q1</v>
      </c>
      <c r="X1118" t="str">
        <f>TEXT(Table1_1[[#This Row],[order_date]],"yyyy-mm")</f>
        <v>2025-02</v>
      </c>
      <c r="Y1118">
        <f>IF(Table1_1[[#This Row],[ship_date]]="","",Table1_1[[#This Row],[ship_date]]-Table1_1[[#This Row],[order_date]])</f>
        <v>3</v>
      </c>
      <c r="Z1118">
        <f>ROUND(Table1_1[[#This Row],[profit]]/Table1_1[[#This Row],[sales_fix]]*100,2)</f>
        <v>36.43</v>
      </c>
    </row>
    <row r="1119" spans="1:26" x14ac:dyDescent="0.3">
      <c r="A1119" t="s">
        <v>2173</v>
      </c>
      <c r="B1119" s="1">
        <v>45779</v>
      </c>
      <c r="C1119" s="1">
        <v>45783</v>
      </c>
      <c r="D1119" t="s">
        <v>498</v>
      </c>
      <c r="E1119" t="s">
        <v>499</v>
      </c>
      <c r="F1119" t="s">
        <v>55</v>
      </c>
      <c r="G1119" t="s">
        <v>91</v>
      </c>
      <c r="H1119" t="s">
        <v>120</v>
      </c>
      <c r="I1119" t="s">
        <v>126</v>
      </c>
      <c r="J1119" t="s">
        <v>127</v>
      </c>
      <c r="K1119" t="s">
        <v>95</v>
      </c>
      <c r="L1119">
        <v>1</v>
      </c>
      <c r="M1119">
        <v>600</v>
      </c>
      <c r="N1119">
        <v>0</v>
      </c>
      <c r="O1119">
        <v>600</v>
      </c>
      <c r="P1119">
        <v>249.1</v>
      </c>
      <c r="Q1119" t="s">
        <v>66</v>
      </c>
      <c r="R1119" t="s">
        <v>29</v>
      </c>
      <c r="S1119" t="s">
        <v>30</v>
      </c>
      <c r="T1119">
        <f>YEAR(Table1_1[[#This Row],[order_date]])</f>
        <v>2025</v>
      </c>
      <c r="U1119">
        <f>MONTH(Table1_1[[#This Row],[order_date]])</f>
        <v>5</v>
      </c>
      <c r="V1119" t="str">
        <f>TEXT(Table1_1[[#This Row],[order_date]],"mmm")</f>
        <v>May</v>
      </c>
      <c r="W1119" t="str">
        <f>"Q"&amp;ROUNDUP(MONTH(Table1_1[[#This Row],[order_date]])/3,0)</f>
        <v>Q2</v>
      </c>
      <c r="X1119" t="str">
        <f>TEXT(Table1_1[[#This Row],[order_date]],"yyyy-mm")</f>
        <v>2025-05</v>
      </c>
      <c r="Y1119">
        <f>IF(Table1_1[[#This Row],[ship_date]]="","",Table1_1[[#This Row],[ship_date]]-Table1_1[[#This Row],[order_date]])</f>
        <v>4</v>
      </c>
      <c r="Z1119">
        <f>ROUND(Table1_1[[#This Row],[profit]]/Table1_1[[#This Row],[sales_fix]]*100,2)</f>
        <v>41.52</v>
      </c>
    </row>
    <row r="1120" spans="1:26" x14ac:dyDescent="0.3">
      <c r="A1120" t="s">
        <v>1325</v>
      </c>
      <c r="B1120" s="1">
        <v>45355</v>
      </c>
      <c r="C1120" s="1">
        <v>45357</v>
      </c>
      <c r="D1120" t="s">
        <v>699</v>
      </c>
      <c r="E1120" t="s">
        <v>700</v>
      </c>
      <c r="F1120" t="s">
        <v>23</v>
      </c>
      <c r="G1120" t="s">
        <v>35</v>
      </c>
      <c r="H1120" t="s">
        <v>36</v>
      </c>
      <c r="I1120" t="s">
        <v>63</v>
      </c>
      <c r="J1120" t="s">
        <v>64</v>
      </c>
      <c r="K1120" t="s">
        <v>65</v>
      </c>
      <c r="L1120">
        <v>2</v>
      </c>
      <c r="M1120">
        <v>25000</v>
      </c>
      <c r="N1120">
        <v>0</v>
      </c>
      <c r="O1120">
        <v>50000</v>
      </c>
      <c r="P1120">
        <v>5362.25</v>
      </c>
      <c r="Q1120" t="s">
        <v>28</v>
      </c>
      <c r="R1120" t="s">
        <v>49</v>
      </c>
      <c r="S1120" t="s">
        <v>40</v>
      </c>
      <c r="T1120">
        <f>YEAR(Table1_1[[#This Row],[order_date]])</f>
        <v>2024</v>
      </c>
      <c r="U1120">
        <f>MONTH(Table1_1[[#This Row],[order_date]])</f>
        <v>3</v>
      </c>
      <c r="V1120" t="str">
        <f>TEXT(Table1_1[[#This Row],[order_date]],"mmm")</f>
        <v>Mar</v>
      </c>
      <c r="W1120" t="str">
        <f>"Q"&amp;ROUNDUP(MONTH(Table1_1[[#This Row],[order_date]])/3,0)</f>
        <v>Q1</v>
      </c>
      <c r="X1120" t="str">
        <f>TEXT(Table1_1[[#This Row],[order_date]],"yyyy-mm")</f>
        <v>2024-03</v>
      </c>
      <c r="Y1120">
        <f>IF(Table1_1[[#This Row],[ship_date]]="","",Table1_1[[#This Row],[ship_date]]-Table1_1[[#This Row],[order_date]])</f>
        <v>2</v>
      </c>
      <c r="Z1120">
        <f>ROUND(Table1_1[[#This Row],[profit]]/Table1_1[[#This Row],[sales_fix]]*100,2)</f>
        <v>10.72</v>
      </c>
    </row>
    <row r="1121" spans="1:26" x14ac:dyDescent="0.3">
      <c r="A1121" t="s">
        <v>1925</v>
      </c>
      <c r="B1121" s="1">
        <v>45620</v>
      </c>
      <c r="C1121" s="1"/>
      <c r="D1121" t="s">
        <v>388</v>
      </c>
      <c r="E1121" t="s">
        <v>389</v>
      </c>
      <c r="F1121" t="s">
        <v>23</v>
      </c>
      <c r="G1121" t="s">
        <v>44</v>
      </c>
      <c r="H1121" t="s">
        <v>161</v>
      </c>
      <c r="I1121" t="s">
        <v>79</v>
      </c>
      <c r="J1121" t="s">
        <v>80</v>
      </c>
      <c r="K1121" t="s">
        <v>65</v>
      </c>
      <c r="L1121">
        <v>2</v>
      </c>
      <c r="M1121">
        <v>3000</v>
      </c>
      <c r="N1121">
        <v>0</v>
      </c>
      <c r="O1121">
        <v>6000</v>
      </c>
      <c r="P1121">
        <v>1971.99</v>
      </c>
      <c r="Q1121" t="s">
        <v>121</v>
      </c>
      <c r="R1121" t="s">
        <v>49</v>
      </c>
      <c r="S1121" t="s">
        <v>30</v>
      </c>
      <c r="T1121">
        <f>YEAR(Table1_1[[#This Row],[order_date]])</f>
        <v>2024</v>
      </c>
      <c r="U1121">
        <f>MONTH(Table1_1[[#This Row],[order_date]])</f>
        <v>11</v>
      </c>
      <c r="V1121" t="str">
        <f>TEXT(Table1_1[[#This Row],[order_date]],"mmm")</f>
        <v>Nov</v>
      </c>
      <c r="W1121" t="str">
        <f>"Q"&amp;ROUNDUP(MONTH(Table1_1[[#This Row],[order_date]])/3,0)</f>
        <v>Q4</v>
      </c>
      <c r="X1121" t="str">
        <f>TEXT(Table1_1[[#This Row],[order_date]],"yyyy-mm")</f>
        <v>2024-11</v>
      </c>
      <c r="Y1121" t="str">
        <f>IF(Table1_1[[#This Row],[ship_date]]="","",Table1_1[[#This Row],[ship_date]]-Table1_1[[#This Row],[order_date]])</f>
        <v/>
      </c>
      <c r="Z1121">
        <f>ROUND(Table1_1[[#This Row],[profit]]/Table1_1[[#This Row],[sales_fix]]*100,2)</f>
        <v>32.869999999999997</v>
      </c>
    </row>
    <row r="1122" spans="1:26" x14ac:dyDescent="0.3">
      <c r="A1122" t="s">
        <v>2705</v>
      </c>
      <c r="B1122" s="1">
        <v>45584</v>
      </c>
      <c r="C1122" s="1">
        <v>45588</v>
      </c>
      <c r="D1122" t="s">
        <v>281</v>
      </c>
      <c r="E1122" t="s">
        <v>282</v>
      </c>
      <c r="F1122" t="s">
        <v>34</v>
      </c>
      <c r="G1122" t="s">
        <v>61</v>
      </c>
      <c r="H1122" t="s">
        <v>62</v>
      </c>
      <c r="I1122" t="s">
        <v>126</v>
      </c>
      <c r="J1122" t="s">
        <v>127</v>
      </c>
      <c r="K1122" t="s">
        <v>95</v>
      </c>
      <c r="L1122">
        <v>3</v>
      </c>
      <c r="M1122">
        <v>600</v>
      </c>
      <c r="N1122">
        <v>5</v>
      </c>
      <c r="O1122">
        <v>1710</v>
      </c>
      <c r="P1122">
        <v>666.39</v>
      </c>
      <c r="Q1122" t="s">
        <v>66</v>
      </c>
      <c r="R1122" t="s">
        <v>56</v>
      </c>
      <c r="S1122" t="s">
        <v>86</v>
      </c>
      <c r="T1122">
        <f>YEAR(Table1_1[[#This Row],[order_date]])</f>
        <v>2024</v>
      </c>
      <c r="U1122">
        <f>MONTH(Table1_1[[#This Row],[order_date]])</f>
        <v>10</v>
      </c>
      <c r="V1122" t="str">
        <f>TEXT(Table1_1[[#This Row],[order_date]],"mmm")</f>
        <v>Oct</v>
      </c>
      <c r="W1122" t="str">
        <f>"Q"&amp;ROUNDUP(MONTH(Table1_1[[#This Row],[order_date]])/3,0)</f>
        <v>Q4</v>
      </c>
      <c r="X1122" t="str">
        <f>TEXT(Table1_1[[#This Row],[order_date]],"yyyy-mm")</f>
        <v>2024-10</v>
      </c>
      <c r="Y1122">
        <f>IF(Table1_1[[#This Row],[ship_date]]="","",Table1_1[[#This Row],[ship_date]]-Table1_1[[#This Row],[order_date]])</f>
        <v>4</v>
      </c>
      <c r="Z1122">
        <f>ROUND(Table1_1[[#This Row],[profit]]/Table1_1[[#This Row],[sales_fix]]*100,2)</f>
        <v>38.97</v>
      </c>
    </row>
    <row r="1123" spans="1:26" x14ac:dyDescent="0.3">
      <c r="A1123" t="s">
        <v>202</v>
      </c>
      <c r="B1123" s="1">
        <v>45326</v>
      </c>
      <c r="C1123" s="1">
        <v>45333</v>
      </c>
      <c r="D1123" t="s">
        <v>203</v>
      </c>
      <c r="E1123" t="s">
        <v>204</v>
      </c>
      <c r="F1123" t="s">
        <v>23</v>
      </c>
      <c r="G1123" t="s">
        <v>44</v>
      </c>
      <c r="H1123" t="s">
        <v>45</v>
      </c>
      <c r="I1123" t="s">
        <v>103</v>
      </c>
      <c r="J1123" t="s">
        <v>104</v>
      </c>
      <c r="K1123" t="s">
        <v>65</v>
      </c>
      <c r="L1123">
        <v>4</v>
      </c>
      <c r="M1123">
        <v>8000</v>
      </c>
      <c r="N1123">
        <v>0</v>
      </c>
      <c r="O1123">
        <v>32000</v>
      </c>
      <c r="P1123">
        <v>6750.6</v>
      </c>
      <c r="Q1123" t="s">
        <v>39</v>
      </c>
      <c r="R1123" t="s">
        <v>56</v>
      </c>
      <c r="S1123" t="s">
        <v>86</v>
      </c>
      <c r="T1123">
        <f>YEAR(Table1_1[[#This Row],[order_date]])</f>
        <v>2024</v>
      </c>
      <c r="U1123">
        <f>MONTH(Table1_1[[#This Row],[order_date]])</f>
        <v>2</v>
      </c>
      <c r="V1123" t="str">
        <f>TEXT(Table1_1[[#This Row],[order_date]],"mmm")</f>
        <v>Feb</v>
      </c>
      <c r="W1123" t="str">
        <f>"Q"&amp;ROUNDUP(MONTH(Table1_1[[#This Row],[order_date]])/3,0)</f>
        <v>Q1</v>
      </c>
      <c r="X1123" t="str">
        <f>TEXT(Table1_1[[#This Row],[order_date]],"yyyy-mm")</f>
        <v>2024-02</v>
      </c>
      <c r="Y1123">
        <f>IF(Table1_1[[#This Row],[ship_date]]="","",Table1_1[[#This Row],[ship_date]]-Table1_1[[#This Row],[order_date]])</f>
        <v>7</v>
      </c>
      <c r="Z1123">
        <f>ROUND(Table1_1[[#This Row],[profit]]/Table1_1[[#This Row],[sales_fix]]*100,2)</f>
        <v>21.1</v>
      </c>
    </row>
    <row r="1124" spans="1:26" x14ac:dyDescent="0.3">
      <c r="A1124" t="s">
        <v>1757</v>
      </c>
      <c r="B1124" s="1">
        <v>45990</v>
      </c>
      <c r="C1124" s="1">
        <v>45994</v>
      </c>
      <c r="D1124" t="s">
        <v>1592</v>
      </c>
      <c r="E1124" t="s">
        <v>1593</v>
      </c>
      <c r="F1124" t="s">
        <v>34</v>
      </c>
      <c r="G1124" t="s">
        <v>44</v>
      </c>
      <c r="H1124" t="s">
        <v>155</v>
      </c>
      <c r="I1124" t="s">
        <v>79</v>
      </c>
      <c r="J1124" t="s">
        <v>80</v>
      </c>
      <c r="K1124" t="s">
        <v>65</v>
      </c>
      <c r="L1124">
        <v>5</v>
      </c>
      <c r="M1124">
        <v>3000</v>
      </c>
      <c r="N1124">
        <v>15</v>
      </c>
      <c r="O1124">
        <v>12750</v>
      </c>
      <c r="P1124">
        <v>3485.58</v>
      </c>
      <c r="Q1124" t="s">
        <v>121</v>
      </c>
      <c r="R1124" t="s">
        <v>56</v>
      </c>
      <c r="S1124" t="s">
        <v>30</v>
      </c>
      <c r="T1124">
        <f>YEAR(Table1_1[[#This Row],[order_date]])</f>
        <v>2025</v>
      </c>
      <c r="U1124">
        <f>MONTH(Table1_1[[#This Row],[order_date]])</f>
        <v>11</v>
      </c>
      <c r="V1124" t="str">
        <f>TEXT(Table1_1[[#This Row],[order_date]],"mmm")</f>
        <v>Nov</v>
      </c>
      <c r="W1124" t="str">
        <f>"Q"&amp;ROUNDUP(MONTH(Table1_1[[#This Row],[order_date]])/3,0)</f>
        <v>Q4</v>
      </c>
      <c r="X1124" t="str">
        <f>TEXT(Table1_1[[#This Row],[order_date]],"yyyy-mm")</f>
        <v>2025-11</v>
      </c>
      <c r="Y1124">
        <f>IF(Table1_1[[#This Row],[ship_date]]="","",Table1_1[[#This Row],[ship_date]]-Table1_1[[#This Row],[order_date]])</f>
        <v>4</v>
      </c>
      <c r="Z1124">
        <f>ROUND(Table1_1[[#This Row],[profit]]/Table1_1[[#This Row],[sales_fix]]*100,2)</f>
        <v>27.34</v>
      </c>
    </row>
    <row r="1125" spans="1:26" x14ac:dyDescent="0.3">
      <c r="A1125" t="s">
        <v>313</v>
      </c>
      <c r="B1125" s="1">
        <v>45657</v>
      </c>
      <c r="C1125" s="1">
        <v>45665</v>
      </c>
      <c r="D1125" t="s">
        <v>314</v>
      </c>
      <c r="E1125" t="s">
        <v>315</v>
      </c>
      <c r="F1125" t="s">
        <v>55</v>
      </c>
      <c r="G1125" t="s">
        <v>44</v>
      </c>
      <c r="H1125" t="s">
        <v>161</v>
      </c>
      <c r="I1125" t="s">
        <v>37</v>
      </c>
      <c r="J1125" t="s">
        <v>38</v>
      </c>
      <c r="K1125" t="s">
        <v>27</v>
      </c>
      <c r="L1125">
        <v>2</v>
      </c>
      <c r="M1125">
        <v>9500</v>
      </c>
      <c r="N1125">
        <v>0</v>
      </c>
      <c r="O1125">
        <v>19000</v>
      </c>
      <c r="P1125">
        <v>3878.43</v>
      </c>
      <c r="Q1125" t="s">
        <v>28</v>
      </c>
      <c r="R1125" t="s">
        <v>56</v>
      </c>
      <c r="S1125" t="s">
        <v>30</v>
      </c>
      <c r="T1125">
        <f>YEAR(Table1_1[[#This Row],[order_date]])</f>
        <v>2024</v>
      </c>
      <c r="U1125">
        <f>MONTH(Table1_1[[#This Row],[order_date]])</f>
        <v>12</v>
      </c>
      <c r="V1125" t="str">
        <f>TEXT(Table1_1[[#This Row],[order_date]],"mmm")</f>
        <v>Dec</v>
      </c>
      <c r="W1125" t="str">
        <f>"Q"&amp;ROUNDUP(MONTH(Table1_1[[#This Row],[order_date]])/3,0)</f>
        <v>Q4</v>
      </c>
      <c r="X1125" t="str">
        <f>TEXT(Table1_1[[#This Row],[order_date]],"yyyy-mm")</f>
        <v>2024-12</v>
      </c>
      <c r="Y1125">
        <f>IF(Table1_1[[#This Row],[ship_date]]="","",Table1_1[[#This Row],[ship_date]]-Table1_1[[#This Row],[order_date]])</f>
        <v>8</v>
      </c>
      <c r="Z1125">
        <f>ROUND(Table1_1[[#This Row],[profit]]/Table1_1[[#This Row],[sales_fix]]*100,2)</f>
        <v>20.41</v>
      </c>
    </row>
    <row r="1126" spans="1:26" x14ac:dyDescent="0.3">
      <c r="A1126" t="s">
        <v>2942</v>
      </c>
      <c r="B1126" s="1">
        <v>45372</v>
      </c>
      <c r="C1126" s="1">
        <v>45374</v>
      </c>
      <c r="D1126" t="s">
        <v>142</v>
      </c>
      <c r="E1126" t="s">
        <v>143</v>
      </c>
      <c r="F1126" t="s">
        <v>34</v>
      </c>
      <c r="G1126" t="s">
        <v>44</v>
      </c>
      <c r="H1126" t="s">
        <v>24</v>
      </c>
      <c r="I1126" t="s">
        <v>93</v>
      </c>
      <c r="J1126" t="s">
        <v>94</v>
      </c>
      <c r="K1126" t="s">
        <v>95</v>
      </c>
      <c r="L1126">
        <v>1</v>
      </c>
      <c r="M1126">
        <v>1800</v>
      </c>
      <c r="N1126">
        <v>10</v>
      </c>
      <c r="O1126">
        <v>1620</v>
      </c>
      <c r="P1126">
        <v>464.54</v>
      </c>
      <c r="Q1126" t="s">
        <v>28</v>
      </c>
      <c r="R1126" t="s">
        <v>29</v>
      </c>
      <c r="S1126" t="s">
        <v>86</v>
      </c>
      <c r="T1126">
        <f>YEAR(Table1_1[[#This Row],[order_date]])</f>
        <v>2024</v>
      </c>
      <c r="U1126">
        <f>MONTH(Table1_1[[#This Row],[order_date]])</f>
        <v>3</v>
      </c>
      <c r="V1126" t="str">
        <f>TEXT(Table1_1[[#This Row],[order_date]],"mmm")</f>
        <v>Mar</v>
      </c>
      <c r="W1126" t="str">
        <f>"Q"&amp;ROUNDUP(MONTH(Table1_1[[#This Row],[order_date]])/3,0)</f>
        <v>Q1</v>
      </c>
      <c r="X1126" t="str">
        <f>TEXT(Table1_1[[#This Row],[order_date]],"yyyy-mm")</f>
        <v>2024-03</v>
      </c>
      <c r="Y1126">
        <f>IF(Table1_1[[#This Row],[ship_date]]="","",Table1_1[[#This Row],[ship_date]]-Table1_1[[#This Row],[order_date]])</f>
        <v>2</v>
      </c>
      <c r="Z1126">
        <f>ROUND(Table1_1[[#This Row],[profit]]/Table1_1[[#This Row],[sales_fix]]*100,2)</f>
        <v>28.68</v>
      </c>
    </row>
    <row r="1127" spans="1:26" x14ac:dyDescent="0.3">
      <c r="A1127" t="s">
        <v>2189</v>
      </c>
      <c r="B1127" s="1">
        <v>45315</v>
      </c>
      <c r="C1127" s="1">
        <v>45320</v>
      </c>
      <c r="D1127" t="s">
        <v>1346</v>
      </c>
      <c r="E1127" t="s">
        <v>1347</v>
      </c>
      <c r="F1127" t="s">
        <v>55</v>
      </c>
      <c r="G1127" t="s">
        <v>44</v>
      </c>
      <c r="H1127" t="s">
        <v>155</v>
      </c>
      <c r="I1127" t="s">
        <v>37</v>
      </c>
      <c r="J1127" t="s">
        <v>38</v>
      </c>
      <c r="K1127" t="s">
        <v>27</v>
      </c>
      <c r="L1127">
        <v>1</v>
      </c>
      <c r="M1127">
        <v>9500</v>
      </c>
      <c r="N1127">
        <v>0</v>
      </c>
      <c r="O1127">
        <v>9500</v>
      </c>
      <c r="P1127">
        <v>2030.93</v>
      </c>
      <c r="Q1127" t="s">
        <v>28</v>
      </c>
      <c r="R1127" t="s">
        <v>56</v>
      </c>
      <c r="S1127" t="s">
        <v>110</v>
      </c>
      <c r="T1127">
        <f>YEAR(Table1_1[[#This Row],[order_date]])</f>
        <v>2024</v>
      </c>
      <c r="U1127">
        <f>MONTH(Table1_1[[#This Row],[order_date]])</f>
        <v>1</v>
      </c>
      <c r="V1127" t="str">
        <f>TEXT(Table1_1[[#This Row],[order_date]],"mmm")</f>
        <v>Jan</v>
      </c>
      <c r="W1127" t="str">
        <f>"Q"&amp;ROUNDUP(MONTH(Table1_1[[#This Row],[order_date]])/3,0)</f>
        <v>Q1</v>
      </c>
      <c r="X1127" t="str">
        <f>TEXT(Table1_1[[#This Row],[order_date]],"yyyy-mm")</f>
        <v>2024-01</v>
      </c>
      <c r="Y1127">
        <f>IF(Table1_1[[#This Row],[ship_date]]="","",Table1_1[[#This Row],[ship_date]]-Table1_1[[#This Row],[order_date]])</f>
        <v>5</v>
      </c>
      <c r="Z1127">
        <f>ROUND(Table1_1[[#This Row],[profit]]/Table1_1[[#This Row],[sales_fix]]*100,2)</f>
        <v>21.38</v>
      </c>
    </row>
    <row r="1128" spans="1:26" x14ac:dyDescent="0.3">
      <c r="A1128" t="s">
        <v>2275</v>
      </c>
      <c r="B1128" s="1">
        <v>45586</v>
      </c>
      <c r="C1128" s="1">
        <v>45591</v>
      </c>
      <c r="D1128" t="s">
        <v>196</v>
      </c>
      <c r="E1128" t="s">
        <v>197</v>
      </c>
      <c r="F1128" t="s">
        <v>34</v>
      </c>
      <c r="G1128" t="s">
        <v>91</v>
      </c>
      <c r="H1128" t="s">
        <v>120</v>
      </c>
      <c r="I1128" t="s">
        <v>79</v>
      </c>
      <c r="J1128" t="s">
        <v>80</v>
      </c>
      <c r="K1128" t="s">
        <v>65</v>
      </c>
      <c r="L1128">
        <v>2</v>
      </c>
      <c r="M1128">
        <v>3000</v>
      </c>
      <c r="N1128">
        <v>20</v>
      </c>
      <c r="O1128">
        <v>4800</v>
      </c>
      <c r="P1128">
        <v>1306.23</v>
      </c>
      <c r="Q1128" t="s">
        <v>28</v>
      </c>
      <c r="R1128" t="s">
        <v>56</v>
      </c>
      <c r="S1128" t="s">
        <v>86</v>
      </c>
      <c r="T1128">
        <f>YEAR(Table1_1[[#This Row],[order_date]])</f>
        <v>2024</v>
      </c>
      <c r="U1128">
        <f>MONTH(Table1_1[[#This Row],[order_date]])</f>
        <v>10</v>
      </c>
      <c r="V1128" t="str">
        <f>TEXT(Table1_1[[#This Row],[order_date]],"mmm")</f>
        <v>Oct</v>
      </c>
      <c r="W1128" t="str">
        <f>"Q"&amp;ROUNDUP(MONTH(Table1_1[[#This Row],[order_date]])/3,0)</f>
        <v>Q4</v>
      </c>
      <c r="X1128" t="str">
        <f>TEXT(Table1_1[[#This Row],[order_date]],"yyyy-mm")</f>
        <v>2024-10</v>
      </c>
      <c r="Y1128">
        <f>IF(Table1_1[[#This Row],[ship_date]]="","",Table1_1[[#This Row],[ship_date]]-Table1_1[[#This Row],[order_date]])</f>
        <v>5</v>
      </c>
      <c r="Z1128">
        <f>ROUND(Table1_1[[#This Row],[profit]]/Table1_1[[#This Row],[sales_fix]]*100,2)</f>
        <v>27.21</v>
      </c>
    </row>
    <row r="1129" spans="1:26" x14ac:dyDescent="0.3">
      <c r="A1129" t="s">
        <v>2981</v>
      </c>
      <c r="B1129" s="1">
        <v>45405</v>
      </c>
      <c r="C1129" s="1">
        <v>45406</v>
      </c>
      <c r="D1129" t="s">
        <v>118</v>
      </c>
      <c r="E1129" t="s">
        <v>119</v>
      </c>
      <c r="F1129" t="s">
        <v>34</v>
      </c>
      <c r="G1129" t="s">
        <v>91</v>
      </c>
      <c r="H1129" t="s">
        <v>120</v>
      </c>
      <c r="I1129" t="s">
        <v>71</v>
      </c>
      <c r="J1129" t="s">
        <v>72</v>
      </c>
      <c r="K1129" t="s">
        <v>73</v>
      </c>
      <c r="L1129">
        <v>2</v>
      </c>
      <c r="M1129">
        <v>3500</v>
      </c>
      <c r="N1129">
        <v>0</v>
      </c>
      <c r="O1129">
        <v>7000</v>
      </c>
      <c r="P1129">
        <v>2153.3000000000002</v>
      </c>
      <c r="Q1129" t="s">
        <v>74</v>
      </c>
      <c r="R1129" t="s">
        <v>49</v>
      </c>
      <c r="S1129" t="s">
        <v>110</v>
      </c>
      <c r="T1129">
        <f>YEAR(Table1_1[[#This Row],[order_date]])</f>
        <v>2024</v>
      </c>
      <c r="U1129">
        <f>MONTH(Table1_1[[#This Row],[order_date]])</f>
        <v>4</v>
      </c>
      <c r="V1129" t="str">
        <f>TEXT(Table1_1[[#This Row],[order_date]],"mmm")</f>
        <v>Apr</v>
      </c>
      <c r="W1129" t="str">
        <f>"Q"&amp;ROUNDUP(MONTH(Table1_1[[#This Row],[order_date]])/3,0)</f>
        <v>Q2</v>
      </c>
      <c r="X1129" t="str">
        <f>TEXT(Table1_1[[#This Row],[order_date]],"yyyy-mm")</f>
        <v>2024-04</v>
      </c>
      <c r="Y1129">
        <f>IF(Table1_1[[#This Row],[ship_date]]="","",Table1_1[[#This Row],[ship_date]]-Table1_1[[#This Row],[order_date]])</f>
        <v>1</v>
      </c>
      <c r="Z1129">
        <f>ROUND(Table1_1[[#This Row],[profit]]/Table1_1[[#This Row],[sales_fix]]*100,2)</f>
        <v>30.76</v>
      </c>
    </row>
    <row r="1130" spans="1:26" x14ac:dyDescent="0.3">
      <c r="A1130" t="s">
        <v>1897</v>
      </c>
      <c r="B1130" s="1">
        <v>45352</v>
      </c>
      <c r="C1130" s="1">
        <v>45358</v>
      </c>
      <c r="D1130" t="s">
        <v>1643</v>
      </c>
      <c r="E1130" t="s">
        <v>1644</v>
      </c>
      <c r="F1130" t="s">
        <v>55</v>
      </c>
      <c r="G1130" t="s">
        <v>91</v>
      </c>
      <c r="H1130" t="s">
        <v>120</v>
      </c>
      <c r="I1130" t="s">
        <v>37</v>
      </c>
      <c r="J1130" t="s">
        <v>38</v>
      </c>
      <c r="K1130" t="s">
        <v>27</v>
      </c>
      <c r="L1130">
        <v>1</v>
      </c>
      <c r="M1130">
        <v>9500</v>
      </c>
      <c r="N1130">
        <v>10</v>
      </c>
      <c r="O1130">
        <v>8550</v>
      </c>
      <c r="P1130">
        <v>1755.67</v>
      </c>
      <c r="Q1130" t="s">
        <v>156</v>
      </c>
      <c r="R1130" t="s">
        <v>29</v>
      </c>
      <c r="S1130" t="s">
        <v>50</v>
      </c>
      <c r="T1130">
        <f>YEAR(Table1_1[[#This Row],[order_date]])</f>
        <v>2024</v>
      </c>
      <c r="U1130">
        <f>MONTH(Table1_1[[#This Row],[order_date]])</f>
        <v>3</v>
      </c>
      <c r="V1130" t="str">
        <f>TEXT(Table1_1[[#This Row],[order_date]],"mmm")</f>
        <v>Mar</v>
      </c>
      <c r="W1130" t="str">
        <f>"Q"&amp;ROUNDUP(MONTH(Table1_1[[#This Row],[order_date]])/3,0)</f>
        <v>Q1</v>
      </c>
      <c r="X1130" t="str">
        <f>TEXT(Table1_1[[#This Row],[order_date]],"yyyy-mm")</f>
        <v>2024-03</v>
      </c>
      <c r="Y1130">
        <f>IF(Table1_1[[#This Row],[ship_date]]="","",Table1_1[[#This Row],[ship_date]]-Table1_1[[#This Row],[order_date]])</f>
        <v>6</v>
      </c>
      <c r="Z1130">
        <f>ROUND(Table1_1[[#This Row],[profit]]/Table1_1[[#This Row],[sales_fix]]*100,2)</f>
        <v>20.53</v>
      </c>
    </row>
    <row r="1131" spans="1:26" x14ac:dyDescent="0.3">
      <c r="A1131" t="s">
        <v>2918</v>
      </c>
      <c r="B1131" s="1">
        <v>45869</v>
      </c>
      <c r="C1131" s="1">
        <v>45870</v>
      </c>
      <c r="D1131" t="s">
        <v>936</v>
      </c>
      <c r="E1131" t="s">
        <v>937</v>
      </c>
      <c r="F1131" t="s">
        <v>23</v>
      </c>
      <c r="G1131" t="s">
        <v>44</v>
      </c>
      <c r="H1131" t="s">
        <v>161</v>
      </c>
      <c r="I1131" t="s">
        <v>63</v>
      </c>
      <c r="J1131" t="s">
        <v>64</v>
      </c>
      <c r="K1131" t="s">
        <v>65</v>
      </c>
      <c r="L1131">
        <v>5</v>
      </c>
      <c r="M1131">
        <v>25000</v>
      </c>
      <c r="N1131">
        <v>15</v>
      </c>
      <c r="O1131">
        <v>106250</v>
      </c>
      <c r="P1131">
        <v>16479.400000000001</v>
      </c>
      <c r="Q1131" t="s">
        <v>74</v>
      </c>
      <c r="R1131" t="s">
        <v>29</v>
      </c>
      <c r="S1131" t="s">
        <v>30</v>
      </c>
      <c r="T1131">
        <f>YEAR(Table1_1[[#This Row],[order_date]])</f>
        <v>2025</v>
      </c>
      <c r="U1131">
        <f>MONTH(Table1_1[[#This Row],[order_date]])</f>
        <v>7</v>
      </c>
      <c r="V1131" t="str">
        <f>TEXT(Table1_1[[#This Row],[order_date]],"mmm")</f>
        <v>Jul</v>
      </c>
      <c r="W1131" t="str">
        <f>"Q"&amp;ROUNDUP(MONTH(Table1_1[[#This Row],[order_date]])/3,0)</f>
        <v>Q3</v>
      </c>
      <c r="X1131" t="str">
        <f>TEXT(Table1_1[[#This Row],[order_date]],"yyyy-mm")</f>
        <v>2025-07</v>
      </c>
      <c r="Y1131">
        <f>IF(Table1_1[[#This Row],[ship_date]]="","",Table1_1[[#This Row],[ship_date]]-Table1_1[[#This Row],[order_date]])</f>
        <v>1</v>
      </c>
      <c r="Z1131">
        <f>ROUND(Table1_1[[#This Row],[profit]]/Table1_1[[#This Row],[sales_fix]]*100,2)</f>
        <v>15.51</v>
      </c>
    </row>
    <row r="1132" spans="1:26" x14ac:dyDescent="0.3">
      <c r="A1132" t="s">
        <v>1811</v>
      </c>
      <c r="B1132" s="1">
        <v>45782</v>
      </c>
      <c r="C1132" s="1">
        <v>45784</v>
      </c>
      <c r="D1132" t="s">
        <v>524</v>
      </c>
      <c r="E1132" t="s">
        <v>525</v>
      </c>
      <c r="F1132" t="s">
        <v>34</v>
      </c>
      <c r="G1132" t="s">
        <v>35</v>
      </c>
      <c r="H1132" t="s">
        <v>187</v>
      </c>
      <c r="I1132" t="s">
        <v>46</v>
      </c>
      <c r="J1132" t="s">
        <v>47</v>
      </c>
      <c r="K1132" t="s">
        <v>48</v>
      </c>
      <c r="L1132">
        <v>5</v>
      </c>
      <c r="M1132">
        <v>180</v>
      </c>
      <c r="N1132">
        <v>0</v>
      </c>
      <c r="O1132">
        <v>900</v>
      </c>
      <c r="P1132">
        <v>400.68</v>
      </c>
      <c r="Q1132" t="s">
        <v>66</v>
      </c>
      <c r="R1132" t="s">
        <v>49</v>
      </c>
      <c r="S1132" t="s">
        <v>40</v>
      </c>
      <c r="T1132">
        <f>YEAR(Table1_1[[#This Row],[order_date]])</f>
        <v>2025</v>
      </c>
      <c r="U1132">
        <f>MONTH(Table1_1[[#This Row],[order_date]])</f>
        <v>5</v>
      </c>
      <c r="V1132" t="str">
        <f>TEXT(Table1_1[[#This Row],[order_date]],"mmm")</f>
        <v>May</v>
      </c>
      <c r="W1132" t="str">
        <f>"Q"&amp;ROUNDUP(MONTH(Table1_1[[#This Row],[order_date]])/3,0)</f>
        <v>Q2</v>
      </c>
      <c r="X1132" t="str">
        <f>TEXT(Table1_1[[#This Row],[order_date]],"yyyy-mm")</f>
        <v>2025-05</v>
      </c>
      <c r="Y1132">
        <f>IF(Table1_1[[#This Row],[ship_date]]="","",Table1_1[[#This Row],[ship_date]]-Table1_1[[#This Row],[order_date]])</f>
        <v>2</v>
      </c>
      <c r="Z1132">
        <f>ROUND(Table1_1[[#This Row],[profit]]/Table1_1[[#This Row],[sales_fix]]*100,2)</f>
        <v>44.52</v>
      </c>
    </row>
    <row r="1133" spans="1:26" x14ac:dyDescent="0.3">
      <c r="A1133" t="s">
        <v>1459</v>
      </c>
      <c r="B1133" s="1">
        <v>45650</v>
      </c>
      <c r="C1133" s="1">
        <v>45654</v>
      </c>
      <c r="D1133" t="s">
        <v>588</v>
      </c>
      <c r="E1133" t="s">
        <v>589</v>
      </c>
      <c r="F1133" t="s">
        <v>23</v>
      </c>
      <c r="G1133" t="s">
        <v>61</v>
      </c>
      <c r="H1133" t="s">
        <v>62</v>
      </c>
      <c r="I1133" t="s">
        <v>126</v>
      </c>
      <c r="J1133" t="s">
        <v>127</v>
      </c>
      <c r="K1133" t="s">
        <v>95</v>
      </c>
      <c r="L1133">
        <v>1</v>
      </c>
      <c r="M1133">
        <v>600</v>
      </c>
      <c r="N1133">
        <v>20</v>
      </c>
      <c r="O1133">
        <v>480</v>
      </c>
      <c r="P1133">
        <v>191.63</v>
      </c>
      <c r="Q1133" t="s">
        <v>66</v>
      </c>
      <c r="R1133" t="s">
        <v>29</v>
      </c>
      <c r="S1133" t="s">
        <v>86</v>
      </c>
      <c r="T1133">
        <f>YEAR(Table1_1[[#This Row],[order_date]])</f>
        <v>2024</v>
      </c>
      <c r="U1133">
        <f>MONTH(Table1_1[[#This Row],[order_date]])</f>
        <v>12</v>
      </c>
      <c r="V1133" t="str">
        <f>TEXT(Table1_1[[#This Row],[order_date]],"mmm")</f>
        <v>Dec</v>
      </c>
      <c r="W1133" t="str">
        <f>"Q"&amp;ROUNDUP(MONTH(Table1_1[[#This Row],[order_date]])/3,0)</f>
        <v>Q4</v>
      </c>
      <c r="X1133" t="str">
        <f>TEXT(Table1_1[[#This Row],[order_date]],"yyyy-mm")</f>
        <v>2024-12</v>
      </c>
      <c r="Y1133">
        <f>IF(Table1_1[[#This Row],[ship_date]]="","",Table1_1[[#This Row],[ship_date]]-Table1_1[[#This Row],[order_date]])</f>
        <v>4</v>
      </c>
      <c r="Z1133">
        <f>ROUND(Table1_1[[#This Row],[profit]]/Table1_1[[#This Row],[sales_fix]]*100,2)</f>
        <v>39.92</v>
      </c>
    </row>
    <row r="1134" spans="1:26" x14ac:dyDescent="0.3">
      <c r="A1134" t="s">
        <v>2357</v>
      </c>
      <c r="B1134" s="1">
        <v>45914</v>
      </c>
      <c r="C1134" s="1">
        <v>45915</v>
      </c>
      <c r="D1134" t="s">
        <v>1695</v>
      </c>
      <c r="E1134" t="s">
        <v>1696</v>
      </c>
      <c r="F1134" t="s">
        <v>34</v>
      </c>
      <c r="G1134" t="s">
        <v>35</v>
      </c>
      <c r="H1134" t="s">
        <v>85</v>
      </c>
      <c r="I1134" t="s">
        <v>46</v>
      </c>
      <c r="J1134" t="s">
        <v>47</v>
      </c>
      <c r="K1134" t="s">
        <v>48</v>
      </c>
      <c r="L1134">
        <v>4</v>
      </c>
      <c r="M1134">
        <v>180</v>
      </c>
      <c r="N1134">
        <v>15</v>
      </c>
      <c r="O1134">
        <v>612</v>
      </c>
      <c r="P1134">
        <v>268.08</v>
      </c>
      <c r="Q1134" t="s">
        <v>39</v>
      </c>
      <c r="R1134" t="s">
        <v>49</v>
      </c>
      <c r="S1134" t="s">
        <v>86</v>
      </c>
      <c r="T1134">
        <f>YEAR(Table1_1[[#This Row],[order_date]])</f>
        <v>2025</v>
      </c>
      <c r="U1134">
        <f>MONTH(Table1_1[[#This Row],[order_date]])</f>
        <v>9</v>
      </c>
      <c r="V1134" t="str">
        <f>TEXT(Table1_1[[#This Row],[order_date]],"mmm")</f>
        <v>Sep</v>
      </c>
      <c r="W1134" t="str">
        <f>"Q"&amp;ROUNDUP(MONTH(Table1_1[[#This Row],[order_date]])/3,0)</f>
        <v>Q3</v>
      </c>
      <c r="X1134" t="str">
        <f>TEXT(Table1_1[[#This Row],[order_date]],"yyyy-mm")</f>
        <v>2025-09</v>
      </c>
      <c r="Y1134">
        <f>IF(Table1_1[[#This Row],[ship_date]]="","",Table1_1[[#This Row],[ship_date]]-Table1_1[[#This Row],[order_date]])</f>
        <v>1</v>
      </c>
      <c r="Z1134">
        <f>ROUND(Table1_1[[#This Row],[profit]]/Table1_1[[#This Row],[sales_fix]]*100,2)</f>
        <v>43.8</v>
      </c>
    </row>
    <row r="1135" spans="1:26" x14ac:dyDescent="0.3">
      <c r="A1135" t="s">
        <v>1921</v>
      </c>
      <c r="B1135" s="1">
        <v>46004</v>
      </c>
      <c r="C1135" s="1">
        <v>46012</v>
      </c>
      <c r="D1135" t="s">
        <v>336</v>
      </c>
      <c r="E1135" t="s">
        <v>337</v>
      </c>
      <c r="F1135" t="s">
        <v>34</v>
      </c>
      <c r="G1135" t="s">
        <v>61</v>
      </c>
      <c r="H1135" t="s">
        <v>211</v>
      </c>
      <c r="I1135" t="s">
        <v>134</v>
      </c>
      <c r="J1135" t="s">
        <v>135</v>
      </c>
      <c r="K1135" t="s">
        <v>27</v>
      </c>
      <c r="L1135">
        <v>3</v>
      </c>
      <c r="M1135">
        <v>6000</v>
      </c>
      <c r="N1135">
        <v>10</v>
      </c>
      <c r="O1135">
        <v>16200</v>
      </c>
      <c r="P1135">
        <v>2935.86</v>
      </c>
      <c r="Q1135" t="s">
        <v>66</v>
      </c>
      <c r="R1135" t="s">
        <v>56</v>
      </c>
      <c r="S1135" t="s">
        <v>110</v>
      </c>
      <c r="T1135">
        <f>YEAR(Table1_1[[#This Row],[order_date]])</f>
        <v>2025</v>
      </c>
      <c r="U1135">
        <f>MONTH(Table1_1[[#This Row],[order_date]])</f>
        <v>12</v>
      </c>
      <c r="V1135" t="str">
        <f>TEXT(Table1_1[[#This Row],[order_date]],"mmm")</f>
        <v>Dec</v>
      </c>
      <c r="W1135" t="str">
        <f>"Q"&amp;ROUNDUP(MONTH(Table1_1[[#This Row],[order_date]])/3,0)</f>
        <v>Q4</v>
      </c>
      <c r="X1135" t="str">
        <f>TEXT(Table1_1[[#This Row],[order_date]],"yyyy-mm")</f>
        <v>2025-12</v>
      </c>
      <c r="Y1135">
        <f>IF(Table1_1[[#This Row],[ship_date]]="","",Table1_1[[#This Row],[ship_date]]-Table1_1[[#This Row],[order_date]])</f>
        <v>8</v>
      </c>
      <c r="Z1135">
        <f>ROUND(Table1_1[[#This Row],[profit]]/Table1_1[[#This Row],[sales_fix]]*100,2)</f>
        <v>18.12</v>
      </c>
    </row>
    <row r="1136" spans="1:26" x14ac:dyDescent="0.3">
      <c r="A1136" t="s">
        <v>2516</v>
      </c>
      <c r="B1136" s="1">
        <v>45643</v>
      </c>
      <c r="C1136" s="1">
        <v>45644</v>
      </c>
      <c r="D1136" t="s">
        <v>599</v>
      </c>
      <c r="E1136" t="s">
        <v>600</v>
      </c>
      <c r="F1136" t="s">
        <v>23</v>
      </c>
      <c r="G1136" t="s">
        <v>44</v>
      </c>
      <c r="H1136" t="s">
        <v>161</v>
      </c>
      <c r="I1136" t="s">
        <v>103</v>
      </c>
      <c r="J1136" t="s">
        <v>104</v>
      </c>
      <c r="K1136" t="s">
        <v>65</v>
      </c>
      <c r="L1136">
        <v>1</v>
      </c>
      <c r="M1136">
        <v>8000</v>
      </c>
      <c r="N1136">
        <v>0</v>
      </c>
      <c r="O1136">
        <v>8000</v>
      </c>
      <c r="P1136">
        <v>1473.59</v>
      </c>
      <c r="Q1136" t="s">
        <v>121</v>
      </c>
      <c r="R1136" t="s">
        <v>49</v>
      </c>
      <c r="S1136" t="s">
        <v>40</v>
      </c>
      <c r="T1136">
        <f>YEAR(Table1_1[[#This Row],[order_date]])</f>
        <v>2024</v>
      </c>
      <c r="U1136">
        <f>MONTH(Table1_1[[#This Row],[order_date]])</f>
        <v>12</v>
      </c>
      <c r="V1136" t="str">
        <f>TEXT(Table1_1[[#This Row],[order_date]],"mmm")</f>
        <v>Dec</v>
      </c>
      <c r="W1136" t="str">
        <f>"Q"&amp;ROUNDUP(MONTH(Table1_1[[#This Row],[order_date]])/3,0)</f>
        <v>Q4</v>
      </c>
      <c r="X1136" t="str">
        <f>TEXT(Table1_1[[#This Row],[order_date]],"yyyy-mm")</f>
        <v>2024-12</v>
      </c>
      <c r="Y1136">
        <f>IF(Table1_1[[#This Row],[ship_date]]="","",Table1_1[[#This Row],[ship_date]]-Table1_1[[#This Row],[order_date]])</f>
        <v>1</v>
      </c>
      <c r="Z1136">
        <f>ROUND(Table1_1[[#This Row],[profit]]/Table1_1[[#This Row],[sales_fix]]*100,2)</f>
        <v>18.420000000000002</v>
      </c>
    </row>
    <row r="1137" spans="1:26" x14ac:dyDescent="0.3">
      <c r="A1137" t="s">
        <v>1163</v>
      </c>
      <c r="B1137" s="1">
        <v>45307</v>
      </c>
      <c r="C1137" s="1">
        <v>45309</v>
      </c>
      <c r="D1137" t="s">
        <v>403</v>
      </c>
      <c r="E1137" t="s">
        <v>404</v>
      </c>
      <c r="F1137" t="s">
        <v>55</v>
      </c>
      <c r="G1137" t="s">
        <v>35</v>
      </c>
      <c r="H1137" t="s">
        <v>36</v>
      </c>
      <c r="I1137" t="s">
        <v>114</v>
      </c>
      <c r="J1137" t="s">
        <v>115</v>
      </c>
      <c r="K1137" t="s">
        <v>65</v>
      </c>
      <c r="L1137">
        <v>4</v>
      </c>
      <c r="M1137">
        <v>55000</v>
      </c>
      <c r="N1137">
        <v>0</v>
      </c>
      <c r="O1137">
        <v>220000</v>
      </c>
      <c r="P1137">
        <v>40591.93</v>
      </c>
      <c r="Q1137" t="s">
        <v>66</v>
      </c>
      <c r="R1137" t="s">
        <v>29</v>
      </c>
      <c r="S1137" t="s">
        <v>30</v>
      </c>
      <c r="T1137">
        <f>YEAR(Table1_1[[#This Row],[order_date]])</f>
        <v>2024</v>
      </c>
      <c r="U1137">
        <f>MONTH(Table1_1[[#This Row],[order_date]])</f>
        <v>1</v>
      </c>
      <c r="V1137" t="str">
        <f>TEXT(Table1_1[[#This Row],[order_date]],"mmm")</f>
        <v>Jan</v>
      </c>
      <c r="W1137" t="str">
        <f>"Q"&amp;ROUNDUP(MONTH(Table1_1[[#This Row],[order_date]])/3,0)</f>
        <v>Q1</v>
      </c>
      <c r="X1137" t="str">
        <f>TEXT(Table1_1[[#This Row],[order_date]],"yyyy-mm")</f>
        <v>2024-01</v>
      </c>
      <c r="Y1137">
        <f>IF(Table1_1[[#This Row],[ship_date]]="","",Table1_1[[#This Row],[ship_date]]-Table1_1[[#This Row],[order_date]])</f>
        <v>2</v>
      </c>
      <c r="Z1137">
        <f>ROUND(Table1_1[[#This Row],[profit]]/Table1_1[[#This Row],[sales_fix]]*100,2)</f>
        <v>18.45</v>
      </c>
    </row>
    <row r="1138" spans="1:26" x14ac:dyDescent="0.3">
      <c r="A1138" t="s">
        <v>2227</v>
      </c>
      <c r="B1138" s="1">
        <v>45336</v>
      </c>
      <c r="C1138" s="1">
        <v>45340</v>
      </c>
      <c r="D1138" t="s">
        <v>570</v>
      </c>
      <c r="E1138" t="s">
        <v>571</v>
      </c>
      <c r="F1138" t="s">
        <v>34</v>
      </c>
      <c r="G1138" t="s">
        <v>44</v>
      </c>
      <c r="H1138" t="s">
        <v>161</v>
      </c>
      <c r="I1138" t="s">
        <v>25</v>
      </c>
      <c r="J1138" t="s">
        <v>26</v>
      </c>
      <c r="K1138" t="s">
        <v>27</v>
      </c>
      <c r="L1138">
        <v>1</v>
      </c>
      <c r="M1138">
        <v>7000</v>
      </c>
      <c r="N1138">
        <v>10</v>
      </c>
      <c r="O1138">
        <v>6300</v>
      </c>
      <c r="P1138">
        <v>1333.45</v>
      </c>
      <c r="Q1138" t="s">
        <v>74</v>
      </c>
      <c r="R1138" t="s">
        <v>29</v>
      </c>
      <c r="S1138" t="s">
        <v>40</v>
      </c>
      <c r="T1138">
        <f>YEAR(Table1_1[[#This Row],[order_date]])</f>
        <v>2024</v>
      </c>
      <c r="U1138">
        <f>MONTH(Table1_1[[#This Row],[order_date]])</f>
        <v>2</v>
      </c>
      <c r="V1138" t="str">
        <f>TEXT(Table1_1[[#This Row],[order_date]],"mmm")</f>
        <v>Feb</v>
      </c>
      <c r="W1138" t="str">
        <f>"Q"&amp;ROUNDUP(MONTH(Table1_1[[#This Row],[order_date]])/3,0)</f>
        <v>Q1</v>
      </c>
      <c r="X1138" t="str">
        <f>TEXT(Table1_1[[#This Row],[order_date]],"yyyy-mm")</f>
        <v>2024-02</v>
      </c>
      <c r="Y1138">
        <f>IF(Table1_1[[#This Row],[ship_date]]="","",Table1_1[[#This Row],[ship_date]]-Table1_1[[#This Row],[order_date]])</f>
        <v>4</v>
      </c>
      <c r="Z1138">
        <f>ROUND(Table1_1[[#This Row],[profit]]/Table1_1[[#This Row],[sales_fix]]*100,2)</f>
        <v>21.17</v>
      </c>
    </row>
    <row r="1139" spans="1:26" x14ac:dyDescent="0.3">
      <c r="A1139" t="s">
        <v>608</v>
      </c>
      <c r="B1139" s="1">
        <v>45965</v>
      </c>
      <c r="C1139" s="1">
        <v>45969</v>
      </c>
      <c r="D1139" t="s">
        <v>609</v>
      </c>
      <c r="E1139" t="s">
        <v>610</v>
      </c>
      <c r="F1139" t="s">
        <v>23</v>
      </c>
      <c r="G1139" t="s">
        <v>44</v>
      </c>
      <c r="H1139" t="s">
        <v>155</v>
      </c>
      <c r="I1139" t="s">
        <v>147</v>
      </c>
      <c r="J1139" t="s">
        <v>148</v>
      </c>
      <c r="K1139" t="s">
        <v>48</v>
      </c>
      <c r="L1139">
        <v>1</v>
      </c>
      <c r="M1139">
        <v>250</v>
      </c>
      <c r="N1139">
        <v>0</v>
      </c>
      <c r="O1139">
        <v>250</v>
      </c>
      <c r="P1139">
        <v>100</v>
      </c>
      <c r="Q1139" t="s">
        <v>28</v>
      </c>
      <c r="R1139" t="s">
        <v>56</v>
      </c>
      <c r="S1139" t="s">
        <v>110</v>
      </c>
      <c r="T1139">
        <f>YEAR(Table1_1[[#This Row],[order_date]])</f>
        <v>2025</v>
      </c>
      <c r="U1139">
        <f>MONTH(Table1_1[[#This Row],[order_date]])</f>
        <v>11</v>
      </c>
      <c r="V1139" t="str">
        <f>TEXT(Table1_1[[#This Row],[order_date]],"mmm")</f>
        <v>Nov</v>
      </c>
      <c r="W1139" t="str">
        <f>"Q"&amp;ROUNDUP(MONTH(Table1_1[[#This Row],[order_date]])/3,0)</f>
        <v>Q4</v>
      </c>
      <c r="X1139" t="str">
        <f>TEXT(Table1_1[[#This Row],[order_date]],"yyyy-mm")</f>
        <v>2025-11</v>
      </c>
      <c r="Y1139">
        <f>IF(Table1_1[[#This Row],[ship_date]]="","",Table1_1[[#This Row],[ship_date]]-Table1_1[[#This Row],[order_date]])</f>
        <v>4</v>
      </c>
      <c r="Z1139">
        <f>ROUND(Table1_1[[#This Row],[profit]]/Table1_1[[#This Row],[sales_fix]]*100,2)</f>
        <v>40</v>
      </c>
    </row>
    <row r="1140" spans="1:26" x14ac:dyDescent="0.3">
      <c r="A1140" t="s">
        <v>2388</v>
      </c>
      <c r="B1140" s="1">
        <v>45601</v>
      </c>
      <c r="C1140" s="1">
        <v>45605</v>
      </c>
      <c r="D1140" t="s">
        <v>896</v>
      </c>
      <c r="E1140" t="s">
        <v>897</v>
      </c>
      <c r="F1140" t="s">
        <v>55</v>
      </c>
      <c r="G1140" t="s">
        <v>35</v>
      </c>
      <c r="H1140" t="s">
        <v>258</v>
      </c>
      <c r="I1140" t="s">
        <v>147</v>
      </c>
      <c r="J1140" t="s">
        <v>148</v>
      </c>
      <c r="K1140" t="s">
        <v>48</v>
      </c>
      <c r="L1140">
        <v>3</v>
      </c>
      <c r="M1140">
        <v>250</v>
      </c>
      <c r="N1140">
        <v>0</v>
      </c>
      <c r="O1140">
        <v>750</v>
      </c>
      <c r="P1140">
        <v>314.27999999999997</v>
      </c>
      <c r="Q1140" t="s">
        <v>39</v>
      </c>
      <c r="R1140" t="s">
        <v>49</v>
      </c>
      <c r="S1140" t="s">
        <v>110</v>
      </c>
      <c r="T1140">
        <f>YEAR(Table1_1[[#This Row],[order_date]])</f>
        <v>2024</v>
      </c>
      <c r="U1140">
        <f>MONTH(Table1_1[[#This Row],[order_date]])</f>
        <v>11</v>
      </c>
      <c r="V1140" t="str">
        <f>TEXT(Table1_1[[#This Row],[order_date]],"mmm")</f>
        <v>Nov</v>
      </c>
      <c r="W1140" t="str">
        <f>"Q"&amp;ROUNDUP(MONTH(Table1_1[[#This Row],[order_date]])/3,0)</f>
        <v>Q4</v>
      </c>
      <c r="X1140" t="str">
        <f>TEXT(Table1_1[[#This Row],[order_date]],"yyyy-mm")</f>
        <v>2024-11</v>
      </c>
      <c r="Y1140">
        <f>IF(Table1_1[[#This Row],[ship_date]]="","",Table1_1[[#This Row],[ship_date]]-Table1_1[[#This Row],[order_date]])</f>
        <v>4</v>
      </c>
      <c r="Z1140">
        <f>ROUND(Table1_1[[#This Row],[profit]]/Table1_1[[#This Row],[sales_fix]]*100,2)</f>
        <v>41.9</v>
      </c>
    </row>
    <row r="1141" spans="1:26" x14ac:dyDescent="0.3">
      <c r="A1141" t="s">
        <v>1871</v>
      </c>
      <c r="B1141" s="1">
        <v>45398</v>
      </c>
      <c r="C1141" s="1">
        <v>45406</v>
      </c>
      <c r="D1141" t="s">
        <v>265</v>
      </c>
      <c r="E1141" t="s">
        <v>266</v>
      </c>
      <c r="F1141" t="s">
        <v>55</v>
      </c>
      <c r="G1141" t="s">
        <v>44</v>
      </c>
      <c r="H1141" t="s">
        <v>45</v>
      </c>
      <c r="I1141" t="s">
        <v>46</v>
      </c>
      <c r="J1141" t="s">
        <v>47</v>
      </c>
      <c r="K1141" t="s">
        <v>48</v>
      </c>
      <c r="L1141">
        <v>1</v>
      </c>
      <c r="M1141">
        <v>180</v>
      </c>
      <c r="N1141">
        <v>5</v>
      </c>
      <c r="O1141">
        <v>171</v>
      </c>
      <c r="P1141">
        <v>75.58</v>
      </c>
      <c r="Q1141" t="s">
        <v>74</v>
      </c>
      <c r="R1141" t="s">
        <v>29</v>
      </c>
      <c r="S1141" t="s">
        <v>50</v>
      </c>
      <c r="T1141">
        <f>YEAR(Table1_1[[#This Row],[order_date]])</f>
        <v>2024</v>
      </c>
      <c r="U1141">
        <f>MONTH(Table1_1[[#This Row],[order_date]])</f>
        <v>4</v>
      </c>
      <c r="V1141" t="str">
        <f>TEXT(Table1_1[[#This Row],[order_date]],"mmm")</f>
        <v>Apr</v>
      </c>
      <c r="W1141" t="str">
        <f>"Q"&amp;ROUNDUP(MONTH(Table1_1[[#This Row],[order_date]])/3,0)</f>
        <v>Q2</v>
      </c>
      <c r="X1141" t="str">
        <f>TEXT(Table1_1[[#This Row],[order_date]],"yyyy-mm")</f>
        <v>2024-04</v>
      </c>
      <c r="Y1141">
        <f>IF(Table1_1[[#This Row],[ship_date]]="","",Table1_1[[#This Row],[ship_date]]-Table1_1[[#This Row],[order_date]])</f>
        <v>8</v>
      </c>
      <c r="Z1141">
        <f>ROUND(Table1_1[[#This Row],[profit]]/Table1_1[[#This Row],[sales_fix]]*100,2)</f>
        <v>44.2</v>
      </c>
    </row>
    <row r="1142" spans="1:26" x14ac:dyDescent="0.3">
      <c r="A1142" t="s">
        <v>2937</v>
      </c>
      <c r="B1142" s="1">
        <v>45528</v>
      </c>
      <c r="C1142" s="1">
        <v>45534</v>
      </c>
      <c r="D1142" t="s">
        <v>748</v>
      </c>
      <c r="E1142" t="s">
        <v>749</v>
      </c>
      <c r="F1142" t="s">
        <v>55</v>
      </c>
      <c r="G1142" t="s">
        <v>91</v>
      </c>
      <c r="H1142" t="s">
        <v>92</v>
      </c>
      <c r="I1142" t="s">
        <v>46</v>
      </c>
      <c r="J1142" t="s">
        <v>47</v>
      </c>
      <c r="K1142" t="s">
        <v>48</v>
      </c>
      <c r="L1142">
        <v>1</v>
      </c>
      <c r="M1142">
        <v>180</v>
      </c>
      <c r="N1142">
        <v>10</v>
      </c>
      <c r="O1142">
        <v>162</v>
      </c>
      <c r="P1142">
        <v>57.18</v>
      </c>
      <c r="Q1142" t="s">
        <v>156</v>
      </c>
      <c r="R1142" t="s">
        <v>29</v>
      </c>
      <c r="S1142" t="s">
        <v>86</v>
      </c>
      <c r="T1142">
        <f>YEAR(Table1_1[[#This Row],[order_date]])</f>
        <v>2024</v>
      </c>
      <c r="U1142">
        <f>MONTH(Table1_1[[#This Row],[order_date]])</f>
        <v>8</v>
      </c>
      <c r="V1142" t="str">
        <f>TEXT(Table1_1[[#This Row],[order_date]],"mmm")</f>
        <v>Aug</v>
      </c>
      <c r="W1142" t="str">
        <f>"Q"&amp;ROUNDUP(MONTH(Table1_1[[#This Row],[order_date]])/3,0)</f>
        <v>Q3</v>
      </c>
      <c r="X1142" t="str">
        <f>TEXT(Table1_1[[#This Row],[order_date]],"yyyy-mm")</f>
        <v>2024-08</v>
      </c>
      <c r="Y1142">
        <f>IF(Table1_1[[#This Row],[ship_date]]="","",Table1_1[[#This Row],[ship_date]]-Table1_1[[#This Row],[order_date]])</f>
        <v>6</v>
      </c>
      <c r="Z1142">
        <f>ROUND(Table1_1[[#This Row],[profit]]/Table1_1[[#This Row],[sales_fix]]*100,2)</f>
        <v>35.299999999999997</v>
      </c>
    </row>
    <row r="1143" spans="1:26" x14ac:dyDescent="0.3">
      <c r="A1143" t="s">
        <v>1240</v>
      </c>
      <c r="B1143" s="1">
        <v>45742</v>
      </c>
      <c r="C1143" s="1">
        <v>45743</v>
      </c>
      <c r="D1143" t="s">
        <v>973</v>
      </c>
      <c r="E1143" t="s">
        <v>974</v>
      </c>
      <c r="F1143" t="s">
        <v>34</v>
      </c>
      <c r="G1143" t="s">
        <v>91</v>
      </c>
      <c r="H1143" t="s">
        <v>177</v>
      </c>
      <c r="I1143" t="s">
        <v>71</v>
      </c>
      <c r="J1143" t="s">
        <v>72</v>
      </c>
      <c r="K1143" t="s">
        <v>73</v>
      </c>
      <c r="L1143">
        <v>2</v>
      </c>
      <c r="M1143">
        <v>3500</v>
      </c>
      <c r="N1143">
        <v>5</v>
      </c>
      <c r="O1143">
        <v>6650</v>
      </c>
      <c r="P1143">
        <v>2300.83</v>
      </c>
      <c r="Q1143" t="s">
        <v>28</v>
      </c>
      <c r="R1143" t="s">
        <v>29</v>
      </c>
      <c r="S1143" t="s">
        <v>110</v>
      </c>
      <c r="T1143">
        <f>YEAR(Table1_1[[#This Row],[order_date]])</f>
        <v>2025</v>
      </c>
      <c r="U1143">
        <f>MONTH(Table1_1[[#This Row],[order_date]])</f>
        <v>3</v>
      </c>
      <c r="V1143" t="str">
        <f>TEXT(Table1_1[[#This Row],[order_date]],"mmm")</f>
        <v>Mar</v>
      </c>
      <c r="W1143" t="str">
        <f>"Q"&amp;ROUNDUP(MONTH(Table1_1[[#This Row],[order_date]])/3,0)</f>
        <v>Q1</v>
      </c>
      <c r="X1143" t="str">
        <f>TEXT(Table1_1[[#This Row],[order_date]],"yyyy-mm")</f>
        <v>2025-03</v>
      </c>
      <c r="Y1143">
        <f>IF(Table1_1[[#This Row],[ship_date]]="","",Table1_1[[#This Row],[ship_date]]-Table1_1[[#This Row],[order_date]])</f>
        <v>1</v>
      </c>
      <c r="Z1143">
        <f>ROUND(Table1_1[[#This Row],[profit]]/Table1_1[[#This Row],[sales_fix]]*100,2)</f>
        <v>34.6</v>
      </c>
    </row>
    <row r="1144" spans="1:26" x14ac:dyDescent="0.3">
      <c r="A1144" t="s">
        <v>3080</v>
      </c>
      <c r="B1144" s="1">
        <v>45685</v>
      </c>
      <c r="C1144" s="1">
        <v>45692</v>
      </c>
      <c r="D1144" t="s">
        <v>1855</v>
      </c>
      <c r="E1144" t="s">
        <v>1856</v>
      </c>
      <c r="F1144" t="s">
        <v>55</v>
      </c>
      <c r="G1144" t="s">
        <v>35</v>
      </c>
      <c r="H1144" t="s">
        <v>85</v>
      </c>
      <c r="I1144" t="s">
        <v>93</v>
      </c>
      <c r="J1144" t="s">
        <v>94</v>
      </c>
      <c r="K1144" t="s">
        <v>95</v>
      </c>
      <c r="L1144">
        <v>1</v>
      </c>
      <c r="M1144">
        <v>1800</v>
      </c>
      <c r="N1144">
        <v>0</v>
      </c>
      <c r="O1144">
        <v>1800</v>
      </c>
      <c r="P1144">
        <v>456.05</v>
      </c>
      <c r="Q1144" t="s">
        <v>28</v>
      </c>
      <c r="R1144" t="s">
        <v>29</v>
      </c>
      <c r="S1144" t="s">
        <v>30</v>
      </c>
      <c r="T1144">
        <f>YEAR(Table1_1[[#This Row],[order_date]])</f>
        <v>2025</v>
      </c>
      <c r="U1144">
        <f>MONTH(Table1_1[[#This Row],[order_date]])</f>
        <v>1</v>
      </c>
      <c r="V1144" t="str">
        <f>TEXT(Table1_1[[#This Row],[order_date]],"mmm")</f>
        <v>Jan</v>
      </c>
      <c r="W1144" t="str">
        <f>"Q"&amp;ROUNDUP(MONTH(Table1_1[[#This Row],[order_date]])/3,0)</f>
        <v>Q1</v>
      </c>
      <c r="X1144" t="str">
        <f>TEXT(Table1_1[[#This Row],[order_date]],"yyyy-mm")</f>
        <v>2025-01</v>
      </c>
      <c r="Y1144">
        <f>IF(Table1_1[[#This Row],[ship_date]]="","",Table1_1[[#This Row],[ship_date]]-Table1_1[[#This Row],[order_date]])</f>
        <v>7</v>
      </c>
      <c r="Z1144">
        <f>ROUND(Table1_1[[#This Row],[profit]]/Table1_1[[#This Row],[sales_fix]]*100,2)</f>
        <v>25.34</v>
      </c>
    </row>
    <row r="1145" spans="1:26" x14ac:dyDescent="0.3">
      <c r="A1145" t="s">
        <v>2037</v>
      </c>
      <c r="B1145" s="1">
        <v>45337</v>
      </c>
      <c r="C1145" s="1">
        <v>45344</v>
      </c>
      <c r="D1145" t="s">
        <v>802</v>
      </c>
      <c r="E1145" t="s">
        <v>803</v>
      </c>
      <c r="F1145" t="s">
        <v>55</v>
      </c>
      <c r="G1145" t="s">
        <v>35</v>
      </c>
      <c r="H1145" t="s">
        <v>258</v>
      </c>
      <c r="I1145" t="s">
        <v>147</v>
      </c>
      <c r="J1145" t="s">
        <v>148</v>
      </c>
      <c r="K1145" t="s">
        <v>48</v>
      </c>
      <c r="L1145">
        <v>1</v>
      </c>
      <c r="M1145">
        <v>250</v>
      </c>
      <c r="N1145">
        <v>5</v>
      </c>
      <c r="O1145">
        <v>237.5</v>
      </c>
      <c r="P1145">
        <v>73.510000000000005</v>
      </c>
      <c r="Q1145" t="s">
        <v>39</v>
      </c>
      <c r="R1145" t="s">
        <v>29</v>
      </c>
      <c r="S1145" t="s">
        <v>110</v>
      </c>
      <c r="T1145">
        <f>YEAR(Table1_1[[#This Row],[order_date]])</f>
        <v>2024</v>
      </c>
      <c r="U1145">
        <f>MONTH(Table1_1[[#This Row],[order_date]])</f>
        <v>2</v>
      </c>
      <c r="V1145" t="str">
        <f>TEXT(Table1_1[[#This Row],[order_date]],"mmm")</f>
        <v>Feb</v>
      </c>
      <c r="W1145" t="str">
        <f>"Q"&amp;ROUNDUP(MONTH(Table1_1[[#This Row],[order_date]])/3,0)</f>
        <v>Q1</v>
      </c>
      <c r="X1145" t="str">
        <f>TEXT(Table1_1[[#This Row],[order_date]],"yyyy-mm")</f>
        <v>2024-02</v>
      </c>
      <c r="Y1145">
        <f>IF(Table1_1[[#This Row],[ship_date]]="","",Table1_1[[#This Row],[ship_date]]-Table1_1[[#This Row],[order_date]])</f>
        <v>7</v>
      </c>
      <c r="Z1145">
        <f>ROUND(Table1_1[[#This Row],[profit]]/Table1_1[[#This Row],[sales_fix]]*100,2)</f>
        <v>30.95</v>
      </c>
    </row>
    <row r="1146" spans="1:26" x14ac:dyDescent="0.3">
      <c r="A1146" t="s">
        <v>1975</v>
      </c>
      <c r="B1146" s="1">
        <v>45648</v>
      </c>
      <c r="C1146" s="1">
        <v>45653</v>
      </c>
      <c r="D1146" t="s">
        <v>1250</v>
      </c>
      <c r="E1146" t="s">
        <v>1251</v>
      </c>
      <c r="F1146" t="s">
        <v>55</v>
      </c>
      <c r="G1146" t="s">
        <v>35</v>
      </c>
      <c r="H1146" t="s">
        <v>258</v>
      </c>
      <c r="I1146" t="s">
        <v>46</v>
      </c>
      <c r="J1146" t="s">
        <v>47</v>
      </c>
      <c r="K1146" t="s">
        <v>48</v>
      </c>
      <c r="L1146">
        <v>5</v>
      </c>
      <c r="M1146">
        <v>180</v>
      </c>
      <c r="N1146">
        <v>20</v>
      </c>
      <c r="O1146">
        <v>720</v>
      </c>
      <c r="P1146">
        <v>342.55</v>
      </c>
      <c r="Q1146" t="s">
        <v>39</v>
      </c>
      <c r="R1146" t="s">
        <v>29</v>
      </c>
      <c r="S1146" t="s">
        <v>86</v>
      </c>
      <c r="T1146">
        <f>YEAR(Table1_1[[#This Row],[order_date]])</f>
        <v>2024</v>
      </c>
      <c r="U1146">
        <f>MONTH(Table1_1[[#This Row],[order_date]])</f>
        <v>12</v>
      </c>
      <c r="V1146" t="str">
        <f>TEXT(Table1_1[[#This Row],[order_date]],"mmm")</f>
        <v>Dec</v>
      </c>
      <c r="W1146" t="str">
        <f>"Q"&amp;ROUNDUP(MONTH(Table1_1[[#This Row],[order_date]])/3,0)</f>
        <v>Q4</v>
      </c>
      <c r="X1146" t="str">
        <f>TEXT(Table1_1[[#This Row],[order_date]],"yyyy-mm")</f>
        <v>2024-12</v>
      </c>
      <c r="Y1146">
        <f>IF(Table1_1[[#This Row],[ship_date]]="","",Table1_1[[#This Row],[ship_date]]-Table1_1[[#This Row],[order_date]])</f>
        <v>5</v>
      </c>
      <c r="Z1146">
        <f>ROUND(Table1_1[[#This Row],[profit]]/Table1_1[[#This Row],[sales_fix]]*100,2)</f>
        <v>47.58</v>
      </c>
    </row>
    <row r="1147" spans="1:26" x14ac:dyDescent="0.3">
      <c r="A1147" t="s">
        <v>2593</v>
      </c>
      <c r="B1147" s="1">
        <v>45928</v>
      </c>
      <c r="C1147" s="1">
        <v>45929</v>
      </c>
      <c r="D1147" t="s">
        <v>1592</v>
      </c>
      <c r="E1147" t="s">
        <v>1593</v>
      </c>
      <c r="F1147" t="s">
        <v>34</v>
      </c>
      <c r="G1147" t="s">
        <v>44</v>
      </c>
      <c r="H1147" t="s">
        <v>155</v>
      </c>
      <c r="I1147" t="s">
        <v>71</v>
      </c>
      <c r="J1147" t="s">
        <v>72</v>
      </c>
      <c r="K1147" t="s">
        <v>73</v>
      </c>
      <c r="L1147">
        <v>2</v>
      </c>
      <c r="M1147">
        <v>3500</v>
      </c>
      <c r="N1147">
        <v>5</v>
      </c>
      <c r="O1147">
        <v>6650</v>
      </c>
      <c r="P1147">
        <v>2155.7600000000002</v>
      </c>
      <c r="Q1147" t="s">
        <v>66</v>
      </c>
      <c r="R1147" t="s">
        <v>56</v>
      </c>
      <c r="S1147" t="s">
        <v>30</v>
      </c>
      <c r="T1147">
        <f>YEAR(Table1_1[[#This Row],[order_date]])</f>
        <v>2025</v>
      </c>
      <c r="U1147">
        <f>MONTH(Table1_1[[#This Row],[order_date]])</f>
        <v>9</v>
      </c>
      <c r="V1147" t="str">
        <f>TEXT(Table1_1[[#This Row],[order_date]],"mmm")</f>
        <v>Sep</v>
      </c>
      <c r="W1147" t="str">
        <f>"Q"&amp;ROUNDUP(MONTH(Table1_1[[#This Row],[order_date]])/3,0)</f>
        <v>Q3</v>
      </c>
      <c r="X1147" t="str">
        <f>TEXT(Table1_1[[#This Row],[order_date]],"yyyy-mm")</f>
        <v>2025-09</v>
      </c>
      <c r="Y1147">
        <f>IF(Table1_1[[#This Row],[ship_date]]="","",Table1_1[[#This Row],[ship_date]]-Table1_1[[#This Row],[order_date]])</f>
        <v>1</v>
      </c>
      <c r="Z1147">
        <f>ROUND(Table1_1[[#This Row],[profit]]/Table1_1[[#This Row],[sales_fix]]*100,2)</f>
        <v>32.42</v>
      </c>
    </row>
    <row r="1148" spans="1:26" x14ac:dyDescent="0.3">
      <c r="A1148" t="s">
        <v>1326</v>
      </c>
      <c r="B1148" s="1">
        <v>45766</v>
      </c>
      <c r="C1148" s="1">
        <v>45771</v>
      </c>
      <c r="D1148" t="s">
        <v>285</v>
      </c>
      <c r="E1148" t="s">
        <v>286</v>
      </c>
      <c r="F1148" t="s">
        <v>23</v>
      </c>
      <c r="G1148" t="s">
        <v>61</v>
      </c>
      <c r="H1148" t="s">
        <v>78</v>
      </c>
      <c r="I1148" t="s">
        <v>46</v>
      </c>
      <c r="J1148" t="s">
        <v>47</v>
      </c>
      <c r="K1148" t="s">
        <v>48</v>
      </c>
      <c r="L1148">
        <v>2</v>
      </c>
      <c r="M1148">
        <v>180</v>
      </c>
      <c r="N1148">
        <v>15</v>
      </c>
      <c r="O1148">
        <v>306</v>
      </c>
      <c r="P1148">
        <v>127.69</v>
      </c>
      <c r="Q1148" t="s">
        <v>121</v>
      </c>
      <c r="R1148" t="s">
        <v>49</v>
      </c>
      <c r="S1148" t="s">
        <v>30</v>
      </c>
      <c r="T1148">
        <f>YEAR(Table1_1[[#This Row],[order_date]])</f>
        <v>2025</v>
      </c>
      <c r="U1148">
        <f>MONTH(Table1_1[[#This Row],[order_date]])</f>
        <v>4</v>
      </c>
      <c r="V1148" t="str">
        <f>TEXT(Table1_1[[#This Row],[order_date]],"mmm")</f>
        <v>Apr</v>
      </c>
      <c r="W1148" t="str">
        <f>"Q"&amp;ROUNDUP(MONTH(Table1_1[[#This Row],[order_date]])/3,0)</f>
        <v>Q2</v>
      </c>
      <c r="X1148" t="str">
        <f>TEXT(Table1_1[[#This Row],[order_date]],"yyyy-mm")</f>
        <v>2025-04</v>
      </c>
      <c r="Y1148">
        <f>IF(Table1_1[[#This Row],[ship_date]]="","",Table1_1[[#This Row],[ship_date]]-Table1_1[[#This Row],[order_date]])</f>
        <v>5</v>
      </c>
      <c r="Z1148">
        <f>ROUND(Table1_1[[#This Row],[profit]]/Table1_1[[#This Row],[sales_fix]]*100,2)</f>
        <v>41.73</v>
      </c>
    </row>
    <row r="1149" spans="1:26" x14ac:dyDescent="0.3">
      <c r="A1149" t="s">
        <v>2229</v>
      </c>
      <c r="B1149" s="1">
        <v>45307</v>
      </c>
      <c r="C1149" s="1">
        <v>45309</v>
      </c>
      <c r="D1149" t="s">
        <v>233</v>
      </c>
      <c r="E1149" t="s">
        <v>234</v>
      </c>
      <c r="F1149" t="s">
        <v>23</v>
      </c>
      <c r="G1149" t="s">
        <v>61</v>
      </c>
      <c r="H1149" t="s">
        <v>211</v>
      </c>
      <c r="I1149" t="s">
        <v>79</v>
      </c>
      <c r="J1149" t="s">
        <v>80</v>
      </c>
      <c r="K1149" t="s">
        <v>65</v>
      </c>
      <c r="L1149">
        <v>1</v>
      </c>
      <c r="M1149">
        <v>3000</v>
      </c>
      <c r="N1149">
        <v>15</v>
      </c>
      <c r="O1149">
        <v>2550</v>
      </c>
      <c r="P1149">
        <v>826.5</v>
      </c>
      <c r="Q1149" t="s">
        <v>3113</v>
      </c>
      <c r="R1149" t="s">
        <v>56</v>
      </c>
      <c r="S1149" t="s">
        <v>110</v>
      </c>
      <c r="T1149">
        <f>YEAR(Table1_1[[#This Row],[order_date]])</f>
        <v>2024</v>
      </c>
      <c r="U1149">
        <f>MONTH(Table1_1[[#This Row],[order_date]])</f>
        <v>1</v>
      </c>
      <c r="V1149" t="str">
        <f>TEXT(Table1_1[[#This Row],[order_date]],"mmm")</f>
        <v>Jan</v>
      </c>
      <c r="W1149" t="str">
        <f>"Q"&amp;ROUNDUP(MONTH(Table1_1[[#This Row],[order_date]])/3,0)</f>
        <v>Q1</v>
      </c>
      <c r="X1149" t="str">
        <f>TEXT(Table1_1[[#This Row],[order_date]],"yyyy-mm")</f>
        <v>2024-01</v>
      </c>
      <c r="Y1149">
        <f>IF(Table1_1[[#This Row],[ship_date]]="","",Table1_1[[#This Row],[ship_date]]-Table1_1[[#This Row],[order_date]])</f>
        <v>2</v>
      </c>
      <c r="Z1149">
        <f>ROUND(Table1_1[[#This Row],[profit]]/Table1_1[[#This Row],[sales_fix]]*100,2)</f>
        <v>32.409999999999997</v>
      </c>
    </row>
    <row r="1150" spans="1:26" x14ac:dyDescent="0.3">
      <c r="A1150" t="s">
        <v>2811</v>
      </c>
      <c r="B1150" s="1">
        <v>45696</v>
      </c>
      <c r="C1150" s="1">
        <v>45701</v>
      </c>
      <c r="D1150" t="s">
        <v>838</v>
      </c>
      <c r="E1150" t="s">
        <v>839</v>
      </c>
      <c r="F1150" t="s">
        <v>23</v>
      </c>
      <c r="G1150" t="s">
        <v>35</v>
      </c>
      <c r="H1150" t="s">
        <v>258</v>
      </c>
      <c r="I1150" t="s">
        <v>93</v>
      </c>
      <c r="J1150" t="s">
        <v>94</v>
      </c>
      <c r="K1150" t="s">
        <v>95</v>
      </c>
      <c r="L1150">
        <v>1</v>
      </c>
      <c r="M1150">
        <v>1800</v>
      </c>
      <c r="N1150">
        <v>0</v>
      </c>
      <c r="O1150">
        <v>1800</v>
      </c>
      <c r="P1150">
        <v>532.15</v>
      </c>
      <c r="Q1150" t="s">
        <v>156</v>
      </c>
      <c r="R1150" t="s">
        <v>56</v>
      </c>
      <c r="S1150" t="s">
        <v>86</v>
      </c>
      <c r="T1150">
        <f>YEAR(Table1_1[[#This Row],[order_date]])</f>
        <v>2025</v>
      </c>
      <c r="U1150">
        <f>MONTH(Table1_1[[#This Row],[order_date]])</f>
        <v>2</v>
      </c>
      <c r="V1150" t="str">
        <f>TEXT(Table1_1[[#This Row],[order_date]],"mmm")</f>
        <v>Feb</v>
      </c>
      <c r="W1150" t="str">
        <f>"Q"&amp;ROUNDUP(MONTH(Table1_1[[#This Row],[order_date]])/3,0)</f>
        <v>Q1</v>
      </c>
      <c r="X1150" t="str">
        <f>TEXT(Table1_1[[#This Row],[order_date]],"yyyy-mm")</f>
        <v>2025-02</v>
      </c>
      <c r="Y1150">
        <f>IF(Table1_1[[#This Row],[ship_date]]="","",Table1_1[[#This Row],[ship_date]]-Table1_1[[#This Row],[order_date]])</f>
        <v>5</v>
      </c>
      <c r="Z1150">
        <f>ROUND(Table1_1[[#This Row],[profit]]/Table1_1[[#This Row],[sales_fix]]*100,2)</f>
        <v>29.56</v>
      </c>
    </row>
    <row r="1151" spans="1:26" x14ac:dyDescent="0.3">
      <c r="A1151" t="s">
        <v>2872</v>
      </c>
      <c r="B1151" s="1">
        <v>45874</v>
      </c>
      <c r="C1151" s="1">
        <v>45877</v>
      </c>
      <c r="D1151" t="s">
        <v>69</v>
      </c>
      <c r="E1151" t="s">
        <v>70</v>
      </c>
      <c r="F1151" t="s">
        <v>23</v>
      </c>
      <c r="G1151" t="s">
        <v>44</v>
      </c>
      <c r="H1151" t="s">
        <v>24</v>
      </c>
      <c r="I1151" t="s">
        <v>25</v>
      </c>
      <c r="J1151" t="s">
        <v>26</v>
      </c>
      <c r="K1151" t="s">
        <v>27</v>
      </c>
      <c r="L1151">
        <v>3</v>
      </c>
      <c r="M1151">
        <v>7000</v>
      </c>
      <c r="N1151">
        <v>20</v>
      </c>
      <c r="O1151">
        <v>16800</v>
      </c>
      <c r="P1151">
        <v>2978.26</v>
      </c>
      <c r="Q1151" t="s">
        <v>28</v>
      </c>
      <c r="R1151" t="s">
        <v>49</v>
      </c>
      <c r="S1151" t="s">
        <v>86</v>
      </c>
      <c r="T1151">
        <f>YEAR(Table1_1[[#This Row],[order_date]])</f>
        <v>2025</v>
      </c>
      <c r="U1151">
        <f>MONTH(Table1_1[[#This Row],[order_date]])</f>
        <v>8</v>
      </c>
      <c r="V1151" t="str">
        <f>TEXT(Table1_1[[#This Row],[order_date]],"mmm")</f>
        <v>Aug</v>
      </c>
      <c r="W1151" t="str">
        <f>"Q"&amp;ROUNDUP(MONTH(Table1_1[[#This Row],[order_date]])/3,0)</f>
        <v>Q3</v>
      </c>
      <c r="X1151" t="str">
        <f>TEXT(Table1_1[[#This Row],[order_date]],"yyyy-mm")</f>
        <v>2025-08</v>
      </c>
      <c r="Y1151">
        <f>IF(Table1_1[[#This Row],[ship_date]]="","",Table1_1[[#This Row],[ship_date]]-Table1_1[[#This Row],[order_date]])</f>
        <v>3</v>
      </c>
      <c r="Z1151">
        <f>ROUND(Table1_1[[#This Row],[profit]]/Table1_1[[#This Row],[sales_fix]]*100,2)</f>
        <v>17.73</v>
      </c>
    </row>
    <row r="1152" spans="1:26" x14ac:dyDescent="0.3">
      <c r="A1152" t="s">
        <v>2711</v>
      </c>
      <c r="B1152" s="1">
        <v>45769</v>
      </c>
      <c r="C1152" s="1">
        <v>45773</v>
      </c>
      <c r="D1152" t="s">
        <v>169</v>
      </c>
      <c r="E1152" t="s">
        <v>170</v>
      </c>
      <c r="F1152" t="s">
        <v>55</v>
      </c>
      <c r="G1152" t="s">
        <v>91</v>
      </c>
      <c r="H1152" t="s">
        <v>92</v>
      </c>
      <c r="I1152" t="s">
        <v>114</v>
      </c>
      <c r="J1152" t="s">
        <v>115</v>
      </c>
      <c r="K1152" t="s">
        <v>65</v>
      </c>
      <c r="L1152">
        <v>1</v>
      </c>
      <c r="M1152">
        <v>55000</v>
      </c>
      <c r="N1152">
        <v>0</v>
      </c>
      <c r="O1152">
        <v>55000</v>
      </c>
      <c r="P1152">
        <v>8831.6200000000008</v>
      </c>
      <c r="Q1152" t="s">
        <v>28</v>
      </c>
      <c r="R1152" t="s">
        <v>29</v>
      </c>
      <c r="S1152" t="s">
        <v>40</v>
      </c>
      <c r="T1152">
        <f>YEAR(Table1_1[[#This Row],[order_date]])</f>
        <v>2025</v>
      </c>
      <c r="U1152">
        <f>MONTH(Table1_1[[#This Row],[order_date]])</f>
        <v>4</v>
      </c>
      <c r="V1152" t="str">
        <f>TEXT(Table1_1[[#This Row],[order_date]],"mmm")</f>
        <v>Apr</v>
      </c>
      <c r="W1152" t="str">
        <f>"Q"&amp;ROUNDUP(MONTH(Table1_1[[#This Row],[order_date]])/3,0)</f>
        <v>Q2</v>
      </c>
      <c r="X1152" t="str">
        <f>TEXT(Table1_1[[#This Row],[order_date]],"yyyy-mm")</f>
        <v>2025-04</v>
      </c>
      <c r="Y1152">
        <f>IF(Table1_1[[#This Row],[ship_date]]="","",Table1_1[[#This Row],[ship_date]]-Table1_1[[#This Row],[order_date]])</f>
        <v>4</v>
      </c>
      <c r="Z1152">
        <f>ROUND(Table1_1[[#This Row],[profit]]/Table1_1[[#This Row],[sales_fix]]*100,2)</f>
        <v>16.059999999999999</v>
      </c>
    </row>
    <row r="1153" spans="1:26" x14ac:dyDescent="0.3">
      <c r="A1153" t="s">
        <v>2600</v>
      </c>
      <c r="B1153" s="1">
        <v>45916</v>
      </c>
      <c r="C1153" s="1">
        <v>45921</v>
      </c>
      <c r="D1153" t="s">
        <v>53</v>
      </c>
      <c r="E1153" t="s">
        <v>54</v>
      </c>
      <c r="F1153" t="s">
        <v>55</v>
      </c>
      <c r="G1153" t="s">
        <v>44</v>
      </c>
      <c r="H1153" t="s">
        <v>24</v>
      </c>
      <c r="I1153" t="s">
        <v>25</v>
      </c>
      <c r="J1153" t="s">
        <v>26</v>
      </c>
      <c r="K1153" t="s">
        <v>27</v>
      </c>
      <c r="L1153">
        <v>2</v>
      </c>
      <c r="M1153">
        <v>7000</v>
      </c>
      <c r="N1153">
        <v>0</v>
      </c>
      <c r="O1153">
        <v>14000</v>
      </c>
      <c r="P1153">
        <v>2698.62</v>
      </c>
      <c r="Q1153" t="s">
        <v>74</v>
      </c>
      <c r="R1153" t="s">
        <v>49</v>
      </c>
      <c r="S1153" t="s">
        <v>30</v>
      </c>
      <c r="T1153">
        <f>YEAR(Table1_1[[#This Row],[order_date]])</f>
        <v>2025</v>
      </c>
      <c r="U1153">
        <f>MONTH(Table1_1[[#This Row],[order_date]])</f>
        <v>9</v>
      </c>
      <c r="V1153" t="str">
        <f>TEXT(Table1_1[[#This Row],[order_date]],"mmm")</f>
        <v>Sep</v>
      </c>
      <c r="W1153" t="str">
        <f>"Q"&amp;ROUNDUP(MONTH(Table1_1[[#This Row],[order_date]])/3,0)</f>
        <v>Q3</v>
      </c>
      <c r="X1153" t="str">
        <f>TEXT(Table1_1[[#This Row],[order_date]],"yyyy-mm")</f>
        <v>2025-09</v>
      </c>
      <c r="Y1153">
        <f>IF(Table1_1[[#This Row],[ship_date]]="","",Table1_1[[#This Row],[ship_date]]-Table1_1[[#This Row],[order_date]])</f>
        <v>5</v>
      </c>
      <c r="Z1153">
        <f>ROUND(Table1_1[[#This Row],[profit]]/Table1_1[[#This Row],[sales_fix]]*100,2)</f>
        <v>19.28</v>
      </c>
    </row>
    <row r="1154" spans="1:26" x14ac:dyDescent="0.3">
      <c r="A1154" t="s">
        <v>1374</v>
      </c>
      <c r="B1154" s="1">
        <v>45937</v>
      </c>
      <c r="C1154" s="1">
        <v>45939</v>
      </c>
      <c r="D1154" t="s">
        <v>150</v>
      </c>
      <c r="E1154" t="s">
        <v>151</v>
      </c>
      <c r="F1154" t="s">
        <v>34</v>
      </c>
      <c r="G1154" t="s">
        <v>35</v>
      </c>
      <c r="H1154" t="s">
        <v>36</v>
      </c>
      <c r="I1154" t="s">
        <v>103</v>
      </c>
      <c r="J1154" t="s">
        <v>104</v>
      </c>
      <c r="K1154" t="s">
        <v>65</v>
      </c>
      <c r="L1154">
        <v>4</v>
      </c>
      <c r="M1154">
        <v>8000</v>
      </c>
      <c r="N1154">
        <v>15</v>
      </c>
      <c r="O1154">
        <v>27200</v>
      </c>
      <c r="P1154">
        <v>4894.8599999999997</v>
      </c>
      <c r="Q1154" t="s">
        <v>156</v>
      </c>
      <c r="R1154" t="s">
        <v>29</v>
      </c>
      <c r="S1154" t="s">
        <v>50</v>
      </c>
      <c r="T1154">
        <f>YEAR(Table1_1[[#This Row],[order_date]])</f>
        <v>2025</v>
      </c>
      <c r="U1154">
        <f>MONTH(Table1_1[[#This Row],[order_date]])</f>
        <v>10</v>
      </c>
      <c r="V1154" t="str">
        <f>TEXT(Table1_1[[#This Row],[order_date]],"mmm")</f>
        <v>Oct</v>
      </c>
      <c r="W1154" t="str">
        <f>"Q"&amp;ROUNDUP(MONTH(Table1_1[[#This Row],[order_date]])/3,0)</f>
        <v>Q4</v>
      </c>
      <c r="X1154" t="str">
        <f>TEXT(Table1_1[[#This Row],[order_date]],"yyyy-mm")</f>
        <v>2025-10</v>
      </c>
      <c r="Y1154">
        <f>IF(Table1_1[[#This Row],[ship_date]]="","",Table1_1[[#This Row],[ship_date]]-Table1_1[[#This Row],[order_date]])</f>
        <v>2</v>
      </c>
      <c r="Z1154">
        <f>ROUND(Table1_1[[#This Row],[profit]]/Table1_1[[#This Row],[sales_fix]]*100,2)</f>
        <v>18</v>
      </c>
    </row>
    <row r="1155" spans="1:26" x14ac:dyDescent="0.3">
      <c r="A1155" t="s">
        <v>863</v>
      </c>
      <c r="B1155" s="1">
        <v>45885</v>
      </c>
      <c r="C1155" s="1">
        <v>45886</v>
      </c>
      <c r="D1155" t="s">
        <v>864</v>
      </c>
      <c r="E1155" t="s">
        <v>865</v>
      </c>
      <c r="F1155" t="s">
        <v>34</v>
      </c>
      <c r="G1155" t="s">
        <v>44</v>
      </c>
      <c r="H1155" t="s">
        <v>155</v>
      </c>
      <c r="I1155" t="s">
        <v>147</v>
      </c>
      <c r="J1155" t="s">
        <v>148</v>
      </c>
      <c r="K1155" t="s">
        <v>48</v>
      </c>
      <c r="L1155">
        <v>1</v>
      </c>
      <c r="M1155">
        <v>250</v>
      </c>
      <c r="N1155">
        <v>10</v>
      </c>
      <c r="O1155">
        <v>225</v>
      </c>
      <c r="P1155">
        <v>88.82</v>
      </c>
      <c r="Q1155" t="s">
        <v>156</v>
      </c>
      <c r="R1155" t="s">
        <v>49</v>
      </c>
      <c r="S1155" t="s">
        <v>110</v>
      </c>
      <c r="T1155">
        <f>YEAR(Table1_1[[#This Row],[order_date]])</f>
        <v>2025</v>
      </c>
      <c r="U1155">
        <f>MONTH(Table1_1[[#This Row],[order_date]])</f>
        <v>8</v>
      </c>
      <c r="V1155" t="str">
        <f>TEXT(Table1_1[[#This Row],[order_date]],"mmm")</f>
        <v>Aug</v>
      </c>
      <c r="W1155" t="str">
        <f>"Q"&amp;ROUNDUP(MONTH(Table1_1[[#This Row],[order_date]])/3,0)</f>
        <v>Q3</v>
      </c>
      <c r="X1155" t="str">
        <f>TEXT(Table1_1[[#This Row],[order_date]],"yyyy-mm")</f>
        <v>2025-08</v>
      </c>
      <c r="Y1155">
        <f>IF(Table1_1[[#This Row],[ship_date]]="","",Table1_1[[#This Row],[ship_date]]-Table1_1[[#This Row],[order_date]])</f>
        <v>1</v>
      </c>
      <c r="Z1155">
        <f>ROUND(Table1_1[[#This Row],[profit]]/Table1_1[[#This Row],[sales_fix]]*100,2)</f>
        <v>39.479999999999997</v>
      </c>
    </row>
    <row r="1156" spans="1:26" x14ac:dyDescent="0.3">
      <c r="A1156" t="s">
        <v>1312</v>
      </c>
      <c r="B1156" s="1">
        <v>45653</v>
      </c>
      <c r="C1156" s="1">
        <v>45655</v>
      </c>
      <c r="D1156" t="s">
        <v>1171</v>
      </c>
      <c r="E1156" t="s">
        <v>1172</v>
      </c>
      <c r="F1156" t="s">
        <v>34</v>
      </c>
      <c r="G1156" t="s">
        <v>35</v>
      </c>
      <c r="H1156" t="s">
        <v>85</v>
      </c>
      <c r="I1156" t="s">
        <v>126</v>
      </c>
      <c r="J1156" t="s">
        <v>127</v>
      </c>
      <c r="K1156" t="s">
        <v>95</v>
      </c>
      <c r="L1156">
        <v>1</v>
      </c>
      <c r="M1156">
        <v>600</v>
      </c>
      <c r="N1156">
        <v>0</v>
      </c>
      <c r="O1156">
        <v>600</v>
      </c>
      <c r="P1156">
        <v>191.5</v>
      </c>
      <c r="Q1156" t="s">
        <v>39</v>
      </c>
      <c r="R1156" t="s">
        <v>49</v>
      </c>
      <c r="S1156" t="s">
        <v>86</v>
      </c>
      <c r="T1156">
        <f>YEAR(Table1_1[[#This Row],[order_date]])</f>
        <v>2024</v>
      </c>
      <c r="U1156">
        <f>MONTH(Table1_1[[#This Row],[order_date]])</f>
        <v>12</v>
      </c>
      <c r="V1156" t="str">
        <f>TEXT(Table1_1[[#This Row],[order_date]],"mmm")</f>
        <v>Dec</v>
      </c>
      <c r="W1156" t="str">
        <f>"Q"&amp;ROUNDUP(MONTH(Table1_1[[#This Row],[order_date]])/3,0)</f>
        <v>Q4</v>
      </c>
      <c r="X1156" t="str">
        <f>TEXT(Table1_1[[#This Row],[order_date]],"yyyy-mm")</f>
        <v>2024-12</v>
      </c>
      <c r="Y1156">
        <f>IF(Table1_1[[#This Row],[ship_date]]="","",Table1_1[[#This Row],[ship_date]]-Table1_1[[#This Row],[order_date]])</f>
        <v>2</v>
      </c>
      <c r="Z1156">
        <f>ROUND(Table1_1[[#This Row],[profit]]/Table1_1[[#This Row],[sales_fix]]*100,2)</f>
        <v>31.92</v>
      </c>
    </row>
    <row r="1157" spans="1:26" x14ac:dyDescent="0.3">
      <c r="A1157" t="s">
        <v>1234</v>
      </c>
      <c r="B1157" s="1">
        <v>45534</v>
      </c>
      <c r="C1157" s="1">
        <v>45541</v>
      </c>
      <c r="D1157" t="s">
        <v>798</v>
      </c>
      <c r="E1157" t="s">
        <v>799</v>
      </c>
      <c r="F1157" t="s">
        <v>23</v>
      </c>
      <c r="G1157" t="s">
        <v>44</v>
      </c>
      <c r="H1157" t="s">
        <v>330</v>
      </c>
      <c r="I1157" t="s">
        <v>63</v>
      </c>
      <c r="J1157" t="s">
        <v>64</v>
      </c>
      <c r="K1157" t="s">
        <v>65</v>
      </c>
      <c r="L1157">
        <v>1</v>
      </c>
      <c r="M1157">
        <v>25000</v>
      </c>
      <c r="N1157">
        <v>10</v>
      </c>
      <c r="O1157">
        <v>22500</v>
      </c>
      <c r="P1157">
        <v>2863.84</v>
      </c>
      <c r="Q1157" t="s">
        <v>3113</v>
      </c>
      <c r="R1157" t="s">
        <v>56</v>
      </c>
      <c r="S1157" t="s">
        <v>30</v>
      </c>
      <c r="T1157">
        <f>YEAR(Table1_1[[#This Row],[order_date]])</f>
        <v>2024</v>
      </c>
      <c r="U1157">
        <f>MONTH(Table1_1[[#This Row],[order_date]])</f>
        <v>8</v>
      </c>
      <c r="V1157" t="str">
        <f>TEXT(Table1_1[[#This Row],[order_date]],"mmm")</f>
        <v>Aug</v>
      </c>
      <c r="W1157" t="str">
        <f>"Q"&amp;ROUNDUP(MONTH(Table1_1[[#This Row],[order_date]])/3,0)</f>
        <v>Q3</v>
      </c>
      <c r="X1157" t="str">
        <f>TEXT(Table1_1[[#This Row],[order_date]],"yyyy-mm")</f>
        <v>2024-08</v>
      </c>
      <c r="Y1157">
        <f>IF(Table1_1[[#This Row],[ship_date]]="","",Table1_1[[#This Row],[ship_date]]-Table1_1[[#This Row],[order_date]])</f>
        <v>7</v>
      </c>
      <c r="Z1157">
        <f>ROUND(Table1_1[[#This Row],[profit]]/Table1_1[[#This Row],[sales_fix]]*100,2)</f>
        <v>12.73</v>
      </c>
    </row>
    <row r="1158" spans="1:26" x14ac:dyDescent="0.3">
      <c r="A1158" t="s">
        <v>2258</v>
      </c>
      <c r="B1158" s="1">
        <v>45317</v>
      </c>
      <c r="C1158" s="1">
        <v>45324</v>
      </c>
      <c r="D1158" t="s">
        <v>132</v>
      </c>
      <c r="E1158" t="s">
        <v>133</v>
      </c>
      <c r="F1158" t="s">
        <v>23</v>
      </c>
      <c r="G1158" t="s">
        <v>91</v>
      </c>
      <c r="H1158" t="s">
        <v>120</v>
      </c>
      <c r="I1158" t="s">
        <v>79</v>
      </c>
      <c r="J1158" t="s">
        <v>80</v>
      </c>
      <c r="K1158" t="s">
        <v>65</v>
      </c>
      <c r="L1158">
        <v>1</v>
      </c>
      <c r="M1158">
        <v>3000</v>
      </c>
      <c r="N1158">
        <v>20</v>
      </c>
      <c r="O1158">
        <v>2400</v>
      </c>
      <c r="P1158">
        <v>607.76</v>
      </c>
      <c r="Q1158" t="s">
        <v>156</v>
      </c>
      <c r="R1158" t="s">
        <v>49</v>
      </c>
      <c r="S1158" t="s">
        <v>30</v>
      </c>
      <c r="T1158">
        <f>YEAR(Table1_1[[#This Row],[order_date]])</f>
        <v>2024</v>
      </c>
      <c r="U1158">
        <f>MONTH(Table1_1[[#This Row],[order_date]])</f>
        <v>1</v>
      </c>
      <c r="V1158" t="str">
        <f>TEXT(Table1_1[[#This Row],[order_date]],"mmm")</f>
        <v>Jan</v>
      </c>
      <c r="W1158" t="str">
        <f>"Q"&amp;ROUNDUP(MONTH(Table1_1[[#This Row],[order_date]])/3,0)</f>
        <v>Q1</v>
      </c>
      <c r="X1158" t="str">
        <f>TEXT(Table1_1[[#This Row],[order_date]],"yyyy-mm")</f>
        <v>2024-01</v>
      </c>
      <c r="Y1158">
        <f>IF(Table1_1[[#This Row],[ship_date]]="","",Table1_1[[#This Row],[ship_date]]-Table1_1[[#This Row],[order_date]])</f>
        <v>7</v>
      </c>
      <c r="Z1158">
        <f>ROUND(Table1_1[[#This Row],[profit]]/Table1_1[[#This Row],[sales_fix]]*100,2)</f>
        <v>25.32</v>
      </c>
    </row>
    <row r="1159" spans="1:26" x14ac:dyDescent="0.3">
      <c r="A1159" t="s">
        <v>2143</v>
      </c>
      <c r="B1159" s="1">
        <v>45323</v>
      </c>
      <c r="C1159" s="1">
        <v>45326</v>
      </c>
      <c r="D1159" t="s">
        <v>919</v>
      </c>
      <c r="E1159" t="s">
        <v>920</v>
      </c>
      <c r="F1159" t="s">
        <v>23</v>
      </c>
      <c r="G1159" t="s">
        <v>35</v>
      </c>
      <c r="H1159" t="s">
        <v>36</v>
      </c>
      <c r="I1159" t="s">
        <v>93</v>
      </c>
      <c r="J1159" t="s">
        <v>94</v>
      </c>
      <c r="K1159" t="s">
        <v>95</v>
      </c>
      <c r="L1159">
        <v>1</v>
      </c>
      <c r="M1159">
        <v>1800</v>
      </c>
      <c r="N1159">
        <v>0</v>
      </c>
      <c r="O1159">
        <v>1800</v>
      </c>
      <c r="P1159">
        <v>514.29999999999995</v>
      </c>
      <c r="Q1159" t="s">
        <v>39</v>
      </c>
      <c r="R1159" t="s">
        <v>29</v>
      </c>
      <c r="S1159" t="s">
        <v>86</v>
      </c>
      <c r="T1159">
        <f>YEAR(Table1_1[[#This Row],[order_date]])</f>
        <v>2024</v>
      </c>
      <c r="U1159">
        <f>MONTH(Table1_1[[#This Row],[order_date]])</f>
        <v>2</v>
      </c>
      <c r="V1159" t="str">
        <f>TEXT(Table1_1[[#This Row],[order_date]],"mmm")</f>
        <v>Feb</v>
      </c>
      <c r="W1159" t="str">
        <f>"Q"&amp;ROUNDUP(MONTH(Table1_1[[#This Row],[order_date]])/3,0)</f>
        <v>Q1</v>
      </c>
      <c r="X1159" t="str">
        <f>TEXT(Table1_1[[#This Row],[order_date]],"yyyy-mm")</f>
        <v>2024-02</v>
      </c>
      <c r="Y1159">
        <f>IF(Table1_1[[#This Row],[ship_date]]="","",Table1_1[[#This Row],[ship_date]]-Table1_1[[#This Row],[order_date]])</f>
        <v>3</v>
      </c>
      <c r="Z1159">
        <f>ROUND(Table1_1[[#This Row],[profit]]/Table1_1[[#This Row],[sales_fix]]*100,2)</f>
        <v>28.57</v>
      </c>
    </row>
    <row r="1160" spans="1:26" x14ac:dyDescent="0.3">
      <c r="A1160" t="s">
        <v>2962</v>
      </c>
      <c r="B1160" s="1">
        <v>45815</v>
      </c>
      <c r="C1160" s="1">
        <v>45821</v>
      </c>
      <c r="D1160" t="s">
        <v>606</v>
      </c>
      <c r="E1160" t="s">
        <v>607</v>
      </c>
      <c r="F1160" t="s">
        <v>23</v>
      </c>
      <c r="G1160" t="s">
        <v>35</v>
      </c>
      <c r="H1160" t="s">
        <v>36</v>
      </c>
      <c r="I1160" t="s">
        <v>37</v>
      </c>
      <c r="J1160" t="s">
        <v>38</v>
      </c>
      <c r="K1160" t="s">
        <v>27</v>
      </c>
      <c r="L1160">
        <v>3</v>
      </c>
      <c r="M1160">
        <v>9500</v>
      </c>
      <c r="N1160">
        <v>15</v>
      </c>
      <c r="O1160">
        <v>24225</v>
      </c>
      <c r="P1160">
        <v>4376.3599999999997</v>
      </c>
      <c r="Q1160" t="s">
        <v>121</v>
      </c>
      <c r="R1160" t="s">
        <v>49</v>
      </c>
      <c r="S1160" t="s">
        <v>40</v>
      </c>
      <c r="T1160">
        <f>YEAR(Table1_1[[#This Row],[order_date]])</f>
        <v>2025</v>
      </c>
      <c r="U1160">
        <f>MONTH(Table1_1[[#This Row],[order_date]])</f>
        <v>6</v>
      </c>
      <c r="V1160" t="str">
        <f>TEXT(Table1_1[[#This Row],[order_date]],"mmm")</f>
        <v>Jun</v>
      </c>
      <c r="W1160" t="str">
        <f>"Q"&amp;ROUNDUP(MONTH(Table1_1[[#This Row],[order_date]])/3,0)</f>
        <v>Q2</v>
      </c>
      <c r="X1160" t="str">
        <f>TEXT(Table1_1[[#This Row],[order_date]],"yyyy-mm")</f>
        <v>2025-06</v>
      </c>
      <c r="Y1160">
        <f>IF(Table1_1[[#This Row],[ship_date]]="","",Table1_1[[#This Row],[ship_date]]-Table1_1[[#This Row],[order_date]])</f>
        <v>6</v>
      </c>
      <c r="Z1160">
        <f>ROUND(Table1_1[[#This Row],[profit]]/Table1_1[[#This Row],[sales_fix]]*100,2)</f>
        <v>18.07</v>
      </c>
    </row>
    <row r="1161" spans="1:26" x14ac:dyDescent="0.3">
      <c r="A1161" t="s">
        <v>1249</v>
      </c>
      <c r="B1161" s="1">
        <v>45445</v>
      </c>
      <c r="C1161" s="1">
        <v>45447</v>
      </c>
      <c r="D1161" t="s">
        <v>1250</v>
      </c>
      <c r="E1161" t="s">
        <v>1251</v>
      </c>
      <c r="F1161" t="s">
        <v>55</v>
      </c>
      <c r="G1161" t="s">
        <v>35</v>
      </c>
      <c r="H1161" t="s">
        <v>258</v>
      </c>
      <c r="I1161" t="s">
        <v>126</v>
      </c>
      <c r="J1161" t="s">
        <v>127</v>
      </c>
      <c r="K1161" t="s">
        <v>95</v>
      </c>
      <c r="L1161">
        <v>1</v>
      </c>
      <c r="M1161">
        <v>600</v>
      </c>
      <c r="N1161">
        <v>15</v>
      </c>
      <c r="O1161">
        <v>510</v>
      </c>
      <c r="P1161">
        <v>141.74</v>
      </c>
      <c r="Q1161" t="s">
        <v>121</v>
      </c>
      <c r="R1161" t="s">
        <v>56</v>
      </c>
      <c r="S1161" t="s">
        <v>40</v>
      </c>
      <c r="T1161">
        <f>YEAR(Table1_1[[#This Row],[order_date]])</f>
        <v>2024</v>
      </c>
      <c r="U1161">
        <f>MONTH(Table1_1[[#This Row],[order_date]])</f>
        <v>6</v>
      </c>
      <c r="V1161" t="str">
        <f>TEXT(Table1_1[[#This Row],[order_date]],"mmm")</f>
        <v>Jun</v>
      </c>
      <c r="W1161" t="str">
        <f>"Q"&amp;ROUNDUP(MONTH(Table1_1[[#This Row],[order_date]])/3,0)</f>
        <v>Q2</v>
      </c>
      <c r="X1161" t="str">
        <f>TEXT(Table1_1[[#This Row],[order_date]],"yyyy-mm")</f>
        <v>2024-06</v>
      </c>
      <c r="Y1161">
        <f>IF(Table1_1[[#This Row],[ship_date]]="","",Table1_1[[#This Row],[ship_date]]-Table1_1[[#This Row],[order_date]])</f>
        <v>2</v>
      </c>
      <c r="Z1161">
        <f>ROUND(Table1_1[[#This Row],[profit]]/Table1_1[[#This Row],[sales_fix]]*100,2)</f>
        <v>27.79</v>
      </c>
    </row>
    <row r="1162" spans="1:26" x14ac:dyDescent="0.3">
      <c r="A1162" t="s">
        <v>1821</v>
      </c>
      <c r="B1162" s="1">
        <v>45853</v>
      </c>
      <c r="C1162" s="1">
        <v>45854</v>
      </c>
      <c r="D1162" t="s">
        <v>477</v>
      </c>
      <c r="E1162" t="s">
        <v>478</v>
      </c>
      <c r="F1162" t="s">
        <v>34</v>
      </c>
      <c r="G1162" t="s">
        <v>44</v>
      </c>
      <c r="H1162" t="s">
        <v>161</v>
      </c>
      <c r="I1162" t="s">
        <v>126</v>
      </c>
      <c r="J1162" t="s">
        <v>127</v>
      </c>
      <c r="K1162" t="s">
        <v>95</v>
      </c>
      <c r="L1162">
        <v>3</v>
      </c>
      <c r="M1162">
        <v>600</v>
      </c>
      <c r="N1162">
        <v>10</v>
      </c>
      <c r="O1162">
        <v>1620</v>
      </c>
      <c r="P1162">
        <v>611.42999999999995</v>
      </c>
      <c r="Q1162" t="s">
        <v>39</v>
      </c>
      <c r="R1162" t="s">
        <v>49</v>
      </c>
      <c r="S1162" t="s">
        <v>40</v>
      </c>
      <c r="T1162">
        <f>YEAR(Table1_1[[#This Row],[order_date]])</f>
        <v>2025</v>
      </c>
      <c r="U1162">
        <f>MONTH(Table1_1[[#This Row],[order_date]])</f>
        <v>7</v>
      </c>
      <c r="V1162" t="str">
        <f>TEXT(Table1_1[[#This Row],[order_date]],"mmm")</f>
        <v>Jul</v>
      </c>
      <c r="W1162" t="str">
        <f>"Q"&amp;ROUNDUP(MONTH(Table1_1[[#This Row],[order_date]])/3,0)</f>
        <v>Q3</v>
      </c>
      <c r="X1162" t="str">
        <f>TEXT(Table1_1[[#This Row],[order_date]],"yyyy-mm")</f>
        <v>2025-07</v>
      </c>
      <c r="Y1162">
        <f>IF(Table1_1[[#This Row],[ship_date]]="","",Table1_1[[#This Row],[ship_date]]-Table1_1[[#This Row],[order_date]])</f>
        <v>1</v>
      </c>
      <c r="Z1162">
        <f>ROUND(Table1_1[[#This Row],[profit]]/Table1_1[[#This Row],[sales_fix]]*100,2)</f>
        <v>37.74</v>
      </c>
    </row>
    <row r="1163" spans="1:26" x14ac:dyDescent="0.3">
      <c r="A1163" t="s">
        <v>2620</v>
      </c>
      <c r="B1163" s="1">
        <v>45616</v>
      </c>
      <c r="C1163" s="1">
        <v>45622</v>
      </c>
      <c r="D1163" t="s">
        <v>425</v>
      </c>
      <c r="E1163" t="s">
        <v>426</v>
      </c>
      <c r="F1163" t="s">
        <v>34</v>
      </c>
      <c r="G1163" t="s">
        <v>61</v>
      </c>
      <c r="H1163" t="s">
        <v>125</v>
      </c>
      <c r="I1163" t="s">
        <v>147</v>
      </c>
      <c r="J1163" t="s">
        <v>148</v>
      </c>
      <c r="K1163" t="s">
        <v>48</v>
      </c>
      <c r="L1163">
        <v>4</v>
      </c>
      <c r="M1163">
        <v>250</v>
      </c>
      <c r="N1163">
        <v>0</v>
      </c>
      <c r="O1163">
        <v>1000</v>
      </c>
      <c r="P1163">
        <v>425.77</v>
      </c>
      <c r="Q1163" t="s">
        <v>121</v>
      </c>
      <c r="R1163" t="s">
        <v>49</v>
      </c>
      <c r="S1163" t="s">
        <v>50</v>
      </c>
      <c r="T1163">
        <f>YEAR(Table1_1[[#This Row],[order_date]])</f>
        <v>2024</v>
      </c>
      <c r="U1163">
        <f>MONTH(Table1_1[[#This Row],[order_date]])</f>
        <v>11</v>
      </c>
      <c r="V1163" t="str">
        <f>TEXT(Table1_1[[#This Row],[order_date]],"mmm")</f>
        <v>Nov</v>
      </c>
      <c r="W1163" t="str">
        <f>"Q"&amp;ROUNDUP(MONTH(Table1_1[[#This Row],[order_date]])/3,0)</f>
        <v>Q4</v>
      </c>
      <c r="X1163" t="str">
        <f>TEXT(Table1_1[[#This Row],[order_date]],"yyyy-mm")</f>
        <v>2024-11</v>
      </c>
      <c r="Y1163">
        <f>IF(Table1_1[[#This Row],[ship_date]]="","",Table1_1[[#This Row],[ship_date]]-Table1_1[[#This Row],[order_date]])</f>
        <v>6</v>
      </c>
      <c r="Z1163">
        <f>ROUND(Table1_1[[#This Row],[profit]]/Table1_1[[#This Row],[sales_fix]]*100,2)</f>
        <v>42.58</v>
      </c>
    </row>
    <row r="1164" spans="1:26" x14ac:dyDescent="0.3">
      <c r="A1164" t="s">
        <v>2093</v>
      </c>
      <c r="B1164" s="1">
        <v>45410</v>
      </c>
      <c r="C1164" s="1">
        <v>45417</v>
      </c>
      <c r="D1164" t="s">
        <v>509</v>
      </c>
      <c r="E1164" t="s">
        <v>510</v>
      </c>
      <c r="F1164" t="s">
        <v>23</v>
      </c>
      <c r="G1164" t="s">
        <v>91</v>
      </c>
      <c r="H1164" t="s">
        <v>120</v>
      </c>
      <c r="I1164" t="s">
        <v>37</v>
      </c>
      <c r="J1164" t="s">
        <v>38</v>
      </c>
      <c r="K1164" t="s">
        <v>27</v>
      </c>
      <c r="L1164">
        <v>3</v>
      </c>
      <c r="M1164">
        <v>9500</v>
      </c>
      <c r="N1164">
        <v>5</v>
      </c>
      <c r="O1164">
        <v>27075</v>
      </c>
      <c r="P1164">
        <v>5377.74</v>
      </c>
      <c r="Q1164" t="s">
        <v>74</v>
      </c>
      <c r="R1164" t="s">
        <v>29</v>
      </c>
      <c r="S1164" t="s">
        <v>110</v>
      </c>
      <c r="T1164">
        <f>YEAR(Table1_1[[#This Row],[order_date]])</f>
        <v>2024</v>
      </c>
      <c r="U1164">
        <f>MONTH(Table1_1[[#This Row],[order_date]])</f>
        <v>4</v>
      </c>
      <c r="V1164" t="str">
        <f>TEXT(Table1_1[[#This Row],[order_date]],"mmm")</f>
        <v>Apr</v>
      </c>
      <c r="W1164" t="str">
        <f>"Q"&amp;ROUNDUP(MONTH(Table1_1[[#This Row],[order_date]])/3,0)</f>
        <v>Q2</v>
      </c>
      <c r="X1164" t="str">
        <f>TEXT(Table1_1[[#This Row],[order_date]],"yyyy-mm")</f>
        <v>2024-04</v>
      </c>
      <c r="Y1164">
        <f>IF(Table1_1[[#This Row],[ship_date]]="","",Table1_1[[#This Row],[ship_date]]-Table1_1[[#This Row],[order_date]])</f>
        <v>7</v>
      </c>
      <c r="Z1164">
        <f>ROUND(Table1_1[[#This Row],[profit]]/Table1_1[[#This Row],[sales_fix]]*100,2)</f>
        <v>19.86</v>
      </c>
    </row>
    <row r="1165" spans="1:26" x14ac:dyDescent="0.3">
      <c r="A1165" t="s">
        <v>41</v>
      </c>
      <c r="B1165" s="1">
        <v>45370</v>
      </c>
      <c r="C1165" s="1">
        <v>45374</v>
      </c>
      <c r="D1165" t="s">
        <v>42</v>
      </c>
      <c r="E1165" t="s">
        <v>43</v>
      </c>
      <c r="F1165" t="s">
        <v>23</v>
      </c>
      <c r="G1165" t="s">
        <v>44</v>
      </c>
      <c r="H1165" t="s">
        <v>45</v>
      </c>
      <c r="I1165" t="s">
        <v>46</v>
      </c>
      <c r="J1165" t="s">
        <v>47</v>
      </c>
      <c r="K1165" t="s">
        <v>48</v>
      </c>
      <c r="L1165">
        <v>5</v>
      </c>
      <c r="M1165">
        <v>180</v>
      </c>
      <c r="N1165">
        <v>15</v>
      </c>
      <c r="O1165">
        <v>765</v>
      </c>
      <c r="P1165">
        <v>307.64</v>
      </c>
      <c r="Q1165" t="s">
        <v>28</v>
      </c>
      <c r="R1165" t="s">
        <v>49</v>
      </c>
      <c r="S1165" t="s">
        <v>50</v>
      </c>
      <c r="T1165">
        <f>YEAR(Table1_1[[#This Row],[order_date]])</f>
        <v>2024</v>
      </c>
      <c r="U1165">
        <f>MONTH(Table1_1[[#This Row],[order_date]])</f>
        <v>3</v>
      </c>
      <c r="V1165" t="str">
        <f>TEXT(Table1_1[[#This Row],[order_date]],"mmm")</f>
        <v>Mar</v>
      </c>
      <c r="W1165" t="str">
        <f>"Q"&amp;ROUNDUP(MONTH(Table1_1[[#This Row],[order_date]])/3,0)</f>
        <v>Q1</v>
      </c>
      <c r="X1165" t="str">
        <f>TEXT(Table1_1[[#This Row],[order_date]],"yyyy-mm")</f>
        <v>2024-03</v>
      </c>
      <c r="Y1165">
        <f>IF(Table1_1[[#This Row],[ship_date]]="","",Table1_1[[#This Row],[ship_date]]-Table1_1[[#This Row],[order_date]])</f>
        <v>4</v>
      </c>
      <c r="Z1165">
        <f>ROUND(Table1_1[[#This Row],[profit]]/Table1_1[[#This Row],[sales_fix]]*100,2)</f>
        <v>40.21</v>
      </c>
    </row>
    <row r="1166" spans="1:26" x14ac:dyDescent="0.3">
      <c r="A1166" t="s">
        <v>320</v>
      </c>
      <c r="B1166" s="1">
        <v>45842</v>
      </c>
      <c r="C1166" s="1">
        <v>45845</v>
      </c>
      <c r="D1166" t="s">
        <v>321</v>
      </c>
      <c r="E1166" t="s">
        <v>322</v>
      </c>
      <c r="F1166" t="s">
        <v>34</v>
      </c>
      <c r="G1166" t="s">
        <v>91</v>
      </c>
      <c r="H1166" t="s">
        <v>109</v>
      </c>
      <c r="I1166" t="s">
        <v>79</v>
      </c>
      <c r="J1166" t="s">
        <v>80</v>
      </c>
      <c r="K1166" t="s">
        <v>65</v>
      </c>
      <c r="L1166">
        <v>1</v>
      </c>
      <c r="M1166">
        <v>3000</v>
      </c>
      <c r="N1166">
        <v>5</v>
      </c>
      <c r="O1166">
        <v>2850</v>
      </c>
      <c r="P1166">
        <v>829.04</v>
      </c>
      <c r="Q1166" t="s">
        <v>39</v>
      </c>
      <c r="R1166" t="s">
        <v>49</v>
      </c>
      <c r="S1166" t="s">
        <v>110</v>
      </c>
      <c r="T1166">
        <f>YEAR(Table1_1[[#This Row],[order_date]])</f>
        <v>2025</v>
      </c>
      <c r="U1166">
        <f>MONTH(Table1_1[[#This Row],[order_date]])</f>
        <v>7</v>
      </c>
      <c r="V1166" t="str">
        <f>TEXT(Table1_1[[#This Row],[order_date]],"mmm")</f>
        <v>Jul</v>
      </c>
      <c r="W1166" t="str">
        <f>"Q"&amp;ROUNDUP(MONTH(Table1_1[[#This Row],[order_date]])/3,0)</f>
        <v>Q3</v>
      </c>
      <c r="X1166" t="str">
        <f>TEXT(Table1_1[[#This Row],[order_date]],"yyyy-mm")</f>
        <v>2025-07</v>
      </c>
      <c r="Y1166">
        <f>IF(Table1_1[[#This Row],[ship_date]]="","",Table1_1[[#This Row],[ship_date]]-Table1_1[[#This Row],[order_date]])</f>
        <v>3</v>
      </c>
      <c r="Z1166">
        <f>ROUND(Table1_1[[#This Row],[profit]]/Table1_1[[#This Row],[sales_fix]]*100,2)</f>
        <v>29.09</v>
      </c>
    </row>
    <row r="1167" spans="1:26" x14ac:dyDescent="0.3">
      <c r="A1167" t="s">
        <v>1591</v>
      </c>
      <c r="B1167" s="1">
        <v>45412</v>
      </c>
      <c r="C1167" s="1">
        <v>45415</v>
      </c>
      <c r="D1167" t="s">
        <v>1592</v>
      </c>
      <c r="E1167" t="s">
        <v>1593</v>
      </c>
      <c r="F1167" t="s">
        <v>34</v>
      </c>
      <c r="G1167" t="s">
        <v>44</v>
      </c>
      <c r="H1167" t="s">
        <v>155</v>
      </c>
      <c r="I1167" t="s">
        <v>37</v>
      </c>
      <c r="J1167" t="s">
        <v>38</v>
      </c>
      <c r="K1167" t="s">
        <v>27</v>
      </c>
      <c r="L1167">
        <v>1</v>
      </c>
      <c r="M1167">
        <v>9500</v>
      </c>
      <c r="N1167">
        <v>5</v>
      </c>
      <c r="O1167">
        <v>9025</v>
      </c>
      <c r="P1167">
        <v>1628.13</v>
      </c>
      <c r="Q1167" t="s">
        <v>39</v>
      </c>
      <c r="R1167" t="s">
        <v>49</v>
      </c>
      <c r="S1167" t="s">
        <v>50</v>
      </c>
      <c r="T1167">
        <f>YEAR(Table1_1[[#This Row],[order_date]])</f>
        <v>2024</v>
      </c>
      <c r="U1167">
        <f>MONTH(Table1_1[[#This Row],[order_date]])</f>
        <v>4</v>
      </c>
      <c r="V1167" t="str">
        <f>TEXT(Table1_1[[#This Row],[order_date]],"mmm")</f>
        <v>Apr</v>
      </c>
      <c r="W1167" t="str">
        <f>"Q"&amp;ROUNDUP(MONTH(Table1_1[[#This Row],[order_date]])/3,0)</f>
        <v>Q2</v>
      </c>
      <c r="X1167" t="str">
        <f>TEXT(Table1_1[[#This Row],[order_date]],"yyyy-mm")</f>
        <v>2024-04</v>
      </c>
      <c r="Y1167">
        <f>IF(Table1_1[[#This Row],[ship_date]]="","",Table1_1[[#This Row],[ship_date]]-Table1_1[[#This Row],[order_date]])</f>
        <v>3</v>
      </c>
      <c r="Z1167">
        <f>ROUND(Table1_1[[#This Row],[profit]]/Table1_1[[#This Row],[sales_fix]]*100,2)</f>
        <v>18.04</v>
      </c>
    </row>
    <row r="1168" spans="1:26" x14ac:dyDescent="0.3">
      <c r="A1168" t="s">
        <v>568</v>
      </c>
      <c r="B1168" s="1">
        <v>45307</v>
      </c>
      <c r="C1168" s="1">
        <v>45315</v>
      </c>
      <c r="D1168" t="s">
        <v>570</v>
      </c>
      <c r="E1168" t="s">
        <v>571</v>
      </c>
      <c r="F1168" t="s">
        <v>34</v>
      </c>
      <c r="G1168" t="s">
        <v>44</v>
      </c>
      <c r="H1168" t="s">
        <v>161</v>
      </c>
      <c r="I1168" t="s">
        <v>147</v>
      </c>
      <c r="J1168" t="s">
        <v>148</v>
      </c>
      <c r="K1168" t="s">
        <v>48</v>
      </c>
      <c r="L1168">
        <v>1</v>
      </c>
      <c r="M1168">
        <v>250</v>
      </c>
      <c r="N1168">
        <v>5</v>
      </c>
      <c r="O1168">
        <v>237.5</v>
      </c>
      <c r="P1168">
        <v>76.510000000000005</v>
      </c>
      <c r="Q1168" t="s">
        <v>156</v>
      </c>
      <c r="R1168" t="s">
        <v>29</v>
      </c>
      <c r="S1168" t="s">
        <v>50</v>
      </c>
      <c r="T1168">
        <f>YEAR(Table1_1[[#This Row],[order_date]])</f>
        <v>2024</v>
      </c>
      <c r="U1168">
        <f>MONTH(Table1_1[[#This Row],[order_date]])</f>
        <v>1</v>
      </c>
      <c r="V1168" t="str">
        <f>TEXT(Table1_1[[#This Row],[order_date]],"mmm")</f>
        <v>Jan</v>
      </c>
      <c r="W1168" t="str">
        <f>"Q"&amp;ROUNDUP(MONTH(Table1_1[[#This Row],[order_date]])/3,0)</f>
        <v>Q1</v>
      </c>
      <c r="X1168" t="str">
        <f>TEXT(Table1_1[[#This Row],[order_date]],"yyyy-mm")</f>
        <v>2024-01</v>
      </c>
      <c r="Y1168">
        <f>IF(Table1_1[[#This Row],[ship_date]]="","",Table1_1[[#This Row],[ship_date]]-Table1_1[[#This Row],[order_date]])</f>
        <v>8</v>
      </c>
      <c r="Z1168">
        <f>ROUND(Table1_1[[#This Row],[profit]]/Table1_1[[#This Row],[sales_fix]]*100,2)</f>
        <v>32.21</v>
      </c>
    </row>
    <row r="1169" spans="1:26" x14ac:dyDescent="0.3">
      <c r="A1169" t="s">
        <v>2997</v>
      </c>
      <c r="B1169" s="1">
        <v>45316</v>
      </c>
      <c r="C1169" s="1">
        <v>45323</v>
      </c>
      <c r="D1169" t="s">
        <v>2178</v>
      </c>
      <c r="E1169" t="s">
        <v>2179</v>
      </c>
      <c r="F1169" t="s">
        <v>55</v>
      </c>
      <c r="G1169" t="s">
        <v>44</v>
      </c>
      <c r="H1169" t="s">
        <v>24</v>
      </c>
      <c r="I1169" t="s">
        <v>134</v>
      </c>
      <c r="J1169" t="s">
        <v>135</v>
      </c>
      <c r="K1169" t="s">
        <v>27</v>
      </c>
      <c r="L1169">
        <v>3</v>
      </c>
      <c r="M1169">
        <v>6000</v>
      </c>
      <c r="N1169">
        <v>0</v>
      </c>
      <c r="O1169">
        <v>18000</v>
      </c>
      <c r="P1169">
        <v>3252.75</v>
      </c>
      <c r="Q1169" t="s">
        <v>28</v>
      </c>
      <c r="R1169" t="s">
        <v>49</v>
      </c>
      <c r="S1169" t="s">
        <v>50</v>
      </c>
      <c r="T1169">
        <f>YEAR(Table1_1[[#This Row],[order_date]])</f>
        <v>2024</v>
      </c>
      <c r="U1169">
        <f>MONTH(Table1_1[[#This Row],[order_date]])</f>
        <v>1</v>
      </c>
      <c r="V1169" t="str">
        <f>TEXT(Table1_1[[#This Row],[order_date]],"mmm")</f>
        <v>Jan</v>
      </c>
      <c r="W1169" t="str">
        <f>"Q"&amp;ROUNDUP(MONTH(Table1_1[[#This Row],[order_date]])/3,0)</f>
        <v>Q1</v>
      </c>
      <c r="X1169" t="str">
        <f>TEXT(Table1_1[[#This Row],[order_date]],"yyyy-mm")</f>
        <v>2024-01</v>
      </c>
      <c r="Y1169">
        <f>IF(Table1_1[[#This Row],[ship_date]]="","",Table1_1[[#This Row],[ship_date]]-Table1_1[[#This Row],[order_date]])</f>
        <v>7</v>
      </c>
      <c r="Z1169">
        <f>ROUND(Table1_1[[#This Row],[profit]]/Table1_1[[#This Row],[sales_fix]]*100,2)</f>
        <v>18.07</v>
      </c>
    </row>
    <row r="1170" spans="1:26" x14ac:dyDescent="0.3">
      <c r="A1170" t="s">
        <v>586</v>
      </c>
      <c r="B1170" s="1">
        <v>45862</v>
      </c>
      <c r="C1170" s="1">
        <v>45868</v>
      </c>
      <c r="D1170" t="s">
        <v>269</v>
      </c>
      <c r="E1170" t="s">
        <v>270</v>
      </c>
      <c r="F1170" t="s">
        <v>23</v>
      </c>
      <c r="G1170" t="s">
        <v>35</v>
      </c>
      <c r="H1170" t="s">
        <v>36</v>
      </c>
      <c r="I1170" t="s">
        <v>71</v>
      </c>
      <c r="J1170" t="s">
        <v>72</v>
      </c>
      <c r="K1170" t="s">
        <v>73</v>
      </c>
      <c r="L1170">
        <v>1</v>
      </c>
      <c r="M1170">
        <v>3500</v>
      </c>
      <c r="N1170">
        <v>0</v>
      </c>
      <c r="O1170">
        <v>3500</v>
      </c>
      <c r="P1170">
        <v>837.33</v>
      </c>
      <c r="Q1170" t="s">
        <v>39</v>
      </c>
      <c r="R1170" t="s">
        <v>56</v>
      </c>
      <c r="S1170" t="s">
        <v>40</v>
      </c>
      <c r="T1170">
        <f>YEAR(Table1_1[[#This Row],[order_date]])</f>
        <v>2025</v>
      </c>
      <c r="U1170">
        <f>MONTH(Table1_1[[#This Row],[order_date]])</f>
        <v>7</v>
      </c>
      <c r="V1170" t="str">
        <f>TEXT(Table1_1[[#This Row],[order_date]],"mmm")</f>
        <v>Jul</v>
      </c>
      <c r="W1170" t="str">
        <f>"Q"&amp;ROUNDUP(MONTH(Table1_1[[#This Row],[order_date]])/3,0)</f>
        <v>Q3</v>
      </c>
      <c r="X1170" t="str">
        <f>TEXT(Table1_1[[#This Row],[order_date]],"yyyy-mm")</f>
        <v>2025-07</v>
      </c>
      <c r="Y1170">
        <f>IF(Table1_1[[#This Row],[ship_date]]="","",Table1_1[[#This Row],[ship_date]]-Table1_1[[#This Row],[order_date]])</f>
        <v>6</v>
      </c>
      <c r="Z1170">
        <f>ROUND(Table1_1[[#This Row],[profit]]/Table1_1[[#This Row],[sales_fix]]*100,2)</f>
        <v>23.92</v>
      </c>
    </row>
    <row r="1171" spans="1:26" x14ac:dyDescent="0.3">
      <c r="A1171" t="s">
        <v>2431</v>
      </c>
      <c r="B1171" s="1">
        <v>45338</v>
      </c>
      <c r="C1171" s="1">
        <v>45345</v>
      </c>
      <c r="D1171" t="s">
        <v>172</v>
      </c>
      <c r="E1171" t="s">
        <v>173</v>
      </c>
      <c r="F1171" t="s">
        <v>55</v>
      </c>
      <c r="G1171" t="s">
        <v>91</v>
      </c>
      <c r="H1171" t="s">
        <v>177</v>
      </c>
      <c r="I1171" t="s">
        <v>71</v>
      </c>
      <c r="J1171" t="s">
        <v>72</v>
      </c>
      <c r="K1171" t="s">
        <v>73</v>
      </c>
      <c r="L1171">
        <v>1</v>
      </c>
      <c r="M1171">
        <v>3500</v>
      </c>
      <c r="N1171">
        <v>0</v>
      </c>
      <c r="O1171">
        <v>3500</v>
      </c>
      <c r="P1171">
        <v>1209.56</v>
      </c>
      <c r="Q1171" t="s">
        <v>156</v>
      </c>
      <c r="R1171" t="s">
        <v>49</v>
      </c>
      <c r="S1171" t="s">
        <v>30</v>
      </c>
      <c r="T1171">
        <f>YEAR(Table1_1[[#This Row],[order_date]])</f>
        <v>2024</v>
      </c>
      <c r="U1171">
        <f>MONTH(Table1_1[[#This Row],[order_date]])</f>
        <v>2</v>
      </c>
      <c r="V1171" t="str">
        <f>TEXT(Table1_1[[#This Row],[order_date]],"mmm")</f>
        <v>Feb</v>
      </c>
      <c r="W1171" t="str">
        <f>"Q"&amp;ROUNDUP(MONTH(Table1_1[[#This Row],[order_date]])/3,0)</f>
        <v>Q1</v>
      </c>
      <c r="X1171" t="str">
        <f>TEXT(Table1_1[[#This Row],[order_date]],"yyyy-mm")</f>
        <v>2024-02</v>
      </c>
      <c r="Y1171">
        <f>IF(Table1_1[[#This Row],[ship_date]]="","",Table1_1[[#This Row],[ship_date]]-Table1_1[[#This Row],[order_date]])</f>
        <v>7</v>
      </c>
      <c r="Z1171">
        <f>ROUND(Table1_1[[#This Row],[profit]]/Table1_1[[#This Row],[sales_fix]]*100,2)</f>
        <v>34.56</v>
      </c>
    </row>
    <row r="1172" spans="1:26" x14ac:dyDescent="0.3">
      <c r="A1172" t="s">
        <v>2914</v>
      </c>
      <c r="B1172" s="1">
        <v>46008</v>
      </c>
      <c r="C1172" s="1"/>
      <c r="D1172" t="s">
        <v>514</v>
      </c>
      <c r="E1172" t="s">
        <v>515</v>
      </c>
      <c r="F1172" t="s">
        <v>23</v>
      </c>
      <c r="G1172" t="s">
        <v>44</v>
      </c>
      <c r="H1172" t="s">
        <v>45</v>
      </c>
      <c r="I1172" t="s">
        <v>147</v>
      </c>
      <c r="J1172" t="s">
        <v>148</v>
      </c>
      <c r="K1172" t="s">
        <v>48</v>
      </c>
      <c r="L1172">
        <v>1</v>
      </c>
      <c r="M1172">
        <v>250</v>
      </c>
      <c r="N1172">
        <v>20</v>
      </c>
      <c r="O1172">
        <v>200</v>
      </c>
      <c r="P1172">
        <v>74.87</v>
      </c>
      <c r="Q1172" t="s">
        <v>121</v>
      </c>
      <c r="R1172" t="s">
        <v>29</v>
      </c>
      <c r="S1172" t="s">
        <v>40</v>
      </c>
      <c r="T1172">
        <f>YEAR(Table1_1[[#This Row],[order_date]])</f>
        <v>2025</v>
      </c>
      <c r="U1172">
        <f>MONTH(Table1_1[[#This Row],[order_date]])</f>
        <v>12</v>
      </c>
      <c r="V1172" t="str">
        <f>TEXT(Table1_1[[#This Row],[order_date]],"mmm")</f>
        <v>Dec</v>
      </c>
      <c r="W1172" t="str">
        <f>"Q"&amp;ROUNDUP(MONTH(Table1_1[[#This Row],[order_date]])/3,0)</f>
        <v>Q4</v>
      </c>
      <c r="X1172" t="str">
        <f>TEXT(Table1_1[[#This Row],[order_date]],"yyyy-mm")</f>
        <v>2025-12</v>
      </c>
      <c r="Y1172" t="str">
        <f>IF(Table1_1[[#This Row],[ship_date]]="","",Table1_1[[#This Row],[ship_date]]-Table1_1[[#This Row],[order_date]])</f>
        <v/>
      </c>
      <c r="Z1172">
        <f>ROUND(Table1_1[[#This Row],[profit]]/Table1_1[[#This Row],[sales_fix]]*100,2)</f>
        <v>37.44</v>
      </c>
    </row>
    <row r="1173" spans="1:26" x14ac:dyDescent="0.3">
      <c r="A1173" t="s">
        <v>1438</v>
      </c>
      <c r="B1173" s="1">
        <v>45956</v>
      </c>
      <c r="C1173" s="1">
        <v>45961</v>
      </c>
      <c r="D1173" t="s">
        <v>278</v>
      </c>
      <c r="E1173" t="s">
        <v>279</v>
      </c>
      <c r="F1173" t="s">
        <v>23</v>
      </c>
      <c r="G1173" t="s">
        <v>91</v>
      </c>
      <c r="H1173" t="s">
        <v>177</v>
      </c>
      <c r="I1173" t="s">
        <v>126</v>
      </c>
      <c r="J1173" t="s">
        <v>127</v>
      </c>
      <c r="K1173" t="s">
        <v>95</v>
      </c>
      <c r="L1173">
        <v>1</v>
      </c>
      <c r="M1173">
        <v>600</v>
      </c>
      <c r="N1173">
        <v>0</v>
      </c>
      <c r="O1173">
        <v>600</v>
      </c>
      <c r="P1173">
        <v>205.99</v>
      </c>
      <c r="Q1173" t="s">
        <v>66</v>
      </c>
      <c r="R1173" t="s">
        <v>29</v>
      </c>
      <c r="S1173" t="s">
        <v>110</v>
      </c>
      <c r="T1173">
        <f>YEAR(Table1_1[[#This Row],[order_date]])</f>
        <v>2025</v>
      </c>
      <c r="U1173">
        <f>MONTH(Table1_1[[#This Row],[order_date]])</f>
        <v>10</v>
      </c>
      <c r="V1173" t="str">
        <f>TEXT(Table1_1[[#This Row],[order_date]],"mmm")</f>
        <v>Oct</v>
      </c>
      <c r="W1173" t="str">
        <f>"Q"&amp;ROUNDUP(MONTH(Table1_1[[#This Row],[order_date]])/3,0)</f>
        <v>Q4</v>
      </c>
      <c r="X1173" t="str">
        <f>TEXT(Table1_1[[#This Row],[order_date]],"yyyy-mm")</f>
        <v>2025-10</v>
      </c>
      <c r="Y1173">
        <f>IF(Table1_1[[#This Row],[ship_date]]="","",Table1_1[[#This Row],[ship_date]]-Table1_1[[#This Row],[order_date]])</f>
        <v>5</v>
      </c>
      <c r="Z1173">
        <f>ROUND(Table1_1[[#This Row],[profit]]/Table1_1[[#This Row],[sales_fix]]*100,2)</f>
        <v>34.33</v>
      </c>
    </row>
    <row r="1174" spans="1:26" x14ac:dyDescent="0.3">
      <c r="A1174" t="s">
        <v>1899</v>
      </c>
      <c r="B1174" s="1">
        <v>45341</v>
      </c>
      <c r="C1174" s="1">
        <v>45348</v>
      </c>
      <c r="D1174" t="s">
        <v>936</v>
      </c>
      <c r="E1174" t="s">
        <v>937</v>
      </c>
      <c r="F1174" t="s">
        <v>23</v>
      </c>
      <c r="G1174" t="s">
        <v>44</v>
      </c>
      <c r="H1174" t="s">
        <v>161</v>
      </c>
      <c r="I1174" t="s">
        <v>37</v>
      </c>
      <c r="J1174" t="s">
        <v>38</v>
      </c>
      <c r="K1174" t="s">
        <v>27</v>
      </c>
      <c r="L1174">
        <v>2</v>
      </c>
      <c r="M1174">
        <v>9500</v>
      </c>
      <c r="N1174">
        <v>10</v>
      </c>
      <c r="O1174">
        <v>17100</v>
      </c>
      <c r="P1174">
        <v>3187.2</v>
      </c>
      <c r="Q1174" t="s">
        <v>74</v>
      </c>
      <c r="R1174" t="s">
        <v>49</v>
      </c>
      <c r="S1174" t="s">
        <v>30</v>
      </c>
      <c r="T1174">
        <f>YEAR(Table1_1[[#This Row],[order_date]])</f>
        <v>2024</v>
      </c>
      <c r="U1174">
        <f>MONTH(Table1_1[[#This Row],[order_date]])</f>
        <v>2</v>
      </c>
      <c r="V1174" t="str">
        <f>TEXT(Table1_1[[#This Row],[order_date]],"mmm")</f>
        <v>Feb</v>
      </c>
      <c r="W1174" t="str">
        <f>"Q"&amp;ROUNDUP(MONTH(Table1_1[[#This Row],[order_date]])/3,0)</f>
        <v>Q1</v>
      </c>
      <c r="X1174" t="str">
        <f>TEXT(Table1_1[[#This Row],[order_date]],"yyyy-mm")</f>
        <v>2024-02</v>
      </c>
      <c r="Y1174">
        <f>IF(Table1_1[[#This Row],[ship_date]]="","",Table1_1[[#This Row],[ship_date]]-Table1_1[[#This Row],[order_date]])</f>
        <v>7</v>
      </c>
      <c r="Z1174">
        <f>ROUND(Table1_1[[#This Row],[profit]]/Table1_1[[#This Row],[sales_fix]]*100,2)</f>
        <v>18.64</v>
      </c>
    </row>
    <row r="1175" spans="1:26" x14ac:dyDescent="0.3">
      <c r="A1175" t="s">
        <v>1980</v>
      </c>
      <c r="B1175" s="1">
        <v>45438</v>
      </c>
      <c r="C1175" s="1">
        <v>45442</v>
      </c>
      <c r="D1175" t="s">
        <v>324</v>
      </c>
      <c r="E1175" t="s">
        <v>325</v>
      </c>
      <c r="F1175" t="s">
        <v>55</v>
      </c>
      <c r="G1175" t="s">
        <v>91</v>
      </c>
      <c r="H1175" t="s">
        <v>109</v>
      </c>
      <c r="I1175" t="s">
        <v>79</v>
      </c>
      <c r="J1175" t="s">
        <v>80</v>
      </c>
      <c r="K1175" t="s">
        <v>65</v>
      </c>
      <c r="L1175">
        <v>1</v>
      </c>
      <c r="M1175">
        <v>3000</v>
      </c>
      <c r="N1175">
        <v>15</v>
      </c>
      <c r="O1175">
        <v>2550</v>
      </c>
      <c r="P1175">
        <v>805.51</v>
      </c>
      <c r="Q1175" t="s">
        <v>28</v>
      </c>
      <c r="R1175" t="s">
        <v>56</v>
      </c>
      <c r="S1175" t="s">
        <v>110</v>
      </c>
      <c r="T1175">
        <f>YEAR(Table1_1[[#This Row],[order_date]])</f>
        <v>2024</v>
      </c>
      <c r="U1175">
        <f>MONTH(Table1_1[[#This Row],[order_date]])</f>
        <v>5</v>
      </c>
      <c r="V1175" t="str">
        <f>TEXT(Table1_1[[#This Row],[order_date]],"mmm")</f>
        <v>May</v>
      </c>
      <c r="W1175" t="str">
        <f>"Q"&amp;ROUNDUP(MONTH(Table1_1[[#This Row],[order_date]])/3,0)</f>
        <v>Q2</v>
      </c>
      <c r="X1175" t="str">
        <f>TEXT(Table1_1[[#This Row],[order_date]],"yyyy-mm")</f>
        <v>2024-05</v>
      </c>
      <c r="Y1175">
        <f>IF(Table1_1[[#This Row],[ship_date]]="","",Table1_1[[#This Row],[ship_date]]-Table1_1[[#This Row],[order_date]])</f>
        <v>4</v>
      </c>
      <c r="Z1175">
        <f>ROUND(Table1_1[[#This Row],[profit]]/Table1_1[[#This Row],[sales_fix]]*100,2)</f>
        <v>31.59</v>
      </c>
    </row>
    <row r="1176" spans="1:26" x14ac:dyDescent="0.3">
      <c r="A1176" t="s">
        <v>1574</v>
      </c>
      <c r="B1176" s="1">
        <v>45613</v>
      </c>
      <c r="C1176" s="1">
        <v>45621</v>
      </c>
      <c r="D1176" t="s">
        <v>477</v>
      </c>
      <c r="E1176" t="s">
        <v>478</v>
      </c>
      <c r="F1176" t="s">
        <v>34</v>
      </c>
      <c r="G1176" t="s">
        <v>44</v>
      </c>
      <c r="H1176" t="s">
        <v>161</v>
      </c>
      <c r="I1176" t="s">
        <v>93</v>
      </c>
      <c r="J1176" t="s">
        <v>94</v>
      </c>
      <c r="K1176" t="s">
        <v>95</v>
      </c>
      <c r="L1176">
        <v>1</v>
      </c>
      <c r="M1176">
        <v>1800</v>
      </c>
      <c r="N1176">
        <v>0</v>
      </c>
      <c r="O1176">
        <v>1800</v>
      </c>
      <c r="P1176">
        <v>513.54</v>
      </c>
      <c r="Q1176" t="s">
        <v>28</v>
      </c>
      <c r="R1176" t="s">
        <v>29</v>
      </c>
      <c r="S1176" t="s">
        <v>50</v>
      </c>
      <c r="T1176">
        <f>YEAR(Table1_1[[#This Row],[order_date]])</f>
        <v>2024</v>
      </c>
      <c r="U1176">
        <f>MONTH(Table1_1[[#This Row],[order_date]])</f>
        <v>11</v>
      </c>
      <c r="V1176" t="str">
        <f>TEXT(Table1_1[[#This Row],[order_date]],"mmm")</f>
        <v>Nov</v>
      </c>
      <c r="W1176" t="str">
        <f>"Q"&amp;ROUNDUP(MONTH(Table1_1[[#This Row],[order_date]])/3,0)</f>
        <v>Q4</v>
      </c>
      <c r="X1176" t="str">
        <f>TEXT(Table1_1[[#This Row],[order_date]],"yyyy-mm")</f>
        <v>2024-11</v>
      </c>
      <c r="Y1176">
        <f>IF(Table1_1[[#This Row],[ship_date]]="","",Table1_1[[#This Row],[ship_date]]-Table1_1[[#This Row],[order_date]])</f>
        <v>8</v>
      </c>
      <c r="Z1176">
        <f>ROUND(Table1_1[[#This Row],[profit]]/Table1_1[[#This Row],[sales_fix]]*100,2)</f>
        <v>28.53</v>
      </c>
    </row>
    <row r="1177" spans="1:26" x14ac:dyDescent="0.3">
      <c r="A1177" t="s">
        <v>2783</v>
      </c>
      <c r="B1177" s="1">
        <v>45912</v>
      </c>
      <c r="C1177" s="1">
        <v>45915</v>
      </c>
      <c r="D1177" t="s">
        <v>285</v>
      </c>
      <c r="E1177" t="s">
        <v>286</v>
      </c>
      <c r="F1177" t="s">
        <v>23</v>
      </c>
      <c r="G1177" t="s">
        <v>61</v>
      </c>
      <c r="H1177" t="s">
        <v>78</v>
      </c>
      <c r="I1177" t="s">
        <v>25</v>
      </c>
      <c r="J1177" t="s">
        <v>26</v>
      </c>
      <c r="K1177" t="s">
        <v>27</v>
      </c>
      <c r="L1177">
        <v>3</v>
      </c>
      <c r="M1177">
        <v>7000</v>
      </c>
      <c r="N1177">
        <v>0</v>
      </c>
      <c r="O1177">
        <v>21000</v>
      </c>
      <c r="P1177">
        <v>4465.57</v>
      </c>
      <c r="Q1177" t="s">
        <v>66</v>
      </c>
      <c r="R1177" t="s">
        <v>29</v>
      </c>
      <c r="S1177" t="s">
        <v>40</v>
      </c>
      <c r="T1177">
        <f>YEAR(Table1_1[[#This Row],[order_date]])</f>
        <v>2025</v>
      </c>
      <c r="U1177">
        <f>MONTH(Table1_1[[#This Row],[order_date]])</f>
        <v>9</v>
      </c>
      <c r="V1177" t="str">
        <f>TEXT(Table1_1[[#This Row],[order_date]],"mmm")</f>
        <v>Sep</v>
      </c>
      <c r="W1177" t="str">
        <f>"Q"&amp;ROUNDUP(MONTH(Table1_1[[#This Row],[order_date]])/3,0)</f>
        <v>Q3</v>
      </c>
      <c r="X1177" t="str">
        <f>TEXT(Table1_1[[#This Row],[order_date]],"yyyy-mm")</f>
        <v>2025-09</v>
      </c>
      <c r="Y1177">
        <f>IF(Table1_1[[#This Row],[ship_date]]="","",Table1_1[[#This Row],[ship_date]]-Table1_1[[#This Row],[order_date]])</f>
        <v>3</v>
      </c>
      <c r="Z1177">
        <f>ROUND(Table1_1[[#This Row],[profit]]/Table1_1[[#This Row],[sales_fix]]*100,2)</f>
        <v>21.26</v>
      </c>
    </row>
    <row r="1178" spans="1:26" x14ac:dyDescent="0.3">
      <c r="A1178" t="s">
        <v>2025</v>
      </c>
      <c r="B1178" s="1">
        <v>45320</v>
      </c>
      <c r="C1178" s="1">
        <v>45324</v>
      </c>
      <c r="D1178" t="s">
        <v>819</v>
      </c>
      <c r="E1178" t="s">
        <v>820</v>
      </c>
      <c r="F1178" t="s">
        <v>34</v>
      </c>
      <c r="G1178" t="s">
        <v>61</v>
      </c>
      <c r="H1178" t="s">
        <v>62</v>
      </c>
      <c r="I1178" t="s">
        <v>79</v>
      </c>
      <c r="J1178" t="s">
        <v>80</v>
      </c>
      <c r="K1178" t="s">
        <v>65</v>
      </c>
      <c r="L1178">
        <v>2</v>
      </c>
      <c r="M1178">
        <v>3000</v>
      </c>
      <c r="N1178">
        <v>0</v>
      </c>
      <c r="O1178">
        <v>6000</v>
      </c>
      <c r="P1178">
        <v>1951.1</v>
      </c>
      <c r="Q1178" t="s">
        <v>66</v>
      </c>
      <c r="R1178" t="s">
        <v>49</v>
      </c>
      <c r="S1178" t="s">
        <v>86</v>
      </c>
      <c r="T1178">
        <f>YEAR(Table1_1[[#This Row],[order_date]])</f>
        <v>2024</v>
      </c>
      <c r="U1178">
        <f>MONTH(Table1_1[[#This Row],[order_date]])</f>
        <v>1</v>
      </c>
      <c r="V1178" t="str">
        <f>TEXT(Table1_1[[#This Row],[order_date]],"mmm")</f>
        <v>Jan</v>
      </c>
      <c r="W1178" t="str">
        <f>"Q"&amp;ROUNDUP(MONTH(Table1_1[[#This Row],[order_date]])/3,0)</f>
        <v>Q1</v>
      </c>
      <c r="X1178" t="str">
        <f>TEXT(Table1_1[[#This Row],[order_date]],"yyyy-mm")</f>
        <v>2024-01</v>
      </c>
      <c r="Y1178">
        <f>IF(Table1_1[[#This Row],[ship_date]]="","",Table1_1[[#This Row],[ship_date]]-Table1_1[[#This Row],[order_date]])</f>
        <v>4</v>
      </c>
      <c r="Z1178">
        <f>ROUND(Table1_1[[#This Row],[profit]]/Table1_1[[#This Row],[sales_fix]]*100,2)</f>
        <v>32.520000000000003</v>
      </c>
    </row>
    <row r="1179" spans="1:26" x14ac:dyDescent="0.3">
      <c r="A1179" t="s">
        <v>1866</v>
      </c>
      <c r="B1179" s="1">
        <v>45580</v>
      </c>
      <c r="C1179" s="1">
        <v>45583</v>
      </c>
      <c r="D1179" t="s">
        <v>278</v>
      </c>
      <c r="E1179" t="s">
        <v>279</v>
      </c>
      <c r="F1179" t="s">
        <v>23</v>
      </c>
      <c r="G1179" t="s">
        <v>91</v>
      </c>
      <c r="H1179" t="s">
        <v>177</v>
      </c>
      <c r="I1179" t="s">
        <v>103</v>
      </c>
      <c r="J1179" t="s">
        <v>104</v>
      </c>
      <c r="K1179" t="s">
        <v>65</v>
      </c>
      <c r="L1179">
        <v>2</v>
      </c>
      <c r="M1179">
        <v>8000</v>
      </c>
      <c r="N1179">
        <v>15</v>
      </c>
      <c r="O1179">
        <v>13600</v>
      </c>
      <c r="P1179">
        <v>2984.96</v>
      </c>
      <c r="Q1179" t="s">
        <v>28</v>
      </c>
      <c r="R1179" t="s">
        <v>49</v>
      </c>
      <c r="S1179" t="s">
        <v>86</v>
      </c>
      <c r="T1179">
        <f>YEAR(Table1_1[[#This Row],[order_date]])</f>
        <v>2024</v>
      </c>
      <c r="U1179">
        <f>MONTH(Table1_1[[#This Row],[order_date]])</f>
        <v>10</v>
      </c>
      <c r="V1179" t="str">
        <f>TEXT(Table1_1[[#This Row],[order_date]],"mmm")</f>
        <v>Oct</v>
      </c>
      <c r="W1179" t="str">
        <f>"Q"&amp;ROUNDUP(MONTH(Table1_1[[#This Row],[order_date]])/3,0)</f>
        <v>Q4</v>
      </c>
      <c r="X1179" t="str">
        <f>TEXT(Table1_1[[#This Row],[order_date]],"yyyy-mm")</f>
        <v>2024-10</v>
      </c>
      <c r="Y1179">
        <f>IF(Table1_1[[#This Row],[ship_date]]="","",Table1_1[[#This Row],[ship_date]]-Table1_1[[#This Row],[order_date]])</f>
        <v>3</v>
      </c>
      <c r="Z1179">
        <f>ROUND(Table1_1[[#This Row],[profit]]/Table1_1[[#This Row],[sales_fix]]*100,2)</f>
        <v>21.95</v>
      </c>
    </row>
    <row r="1180" spans="1:26" x14ac:dyDescent="0.3">
      <c r="A1180" t="s">
        <v>1392</v>
      </c>
      <c r="B1180" s="1">
        <v>45734</v>
      </c>
      <c r="C1180" s="1">
        <v>45739</v>
      </c>
      <c r="D1180" t="s">
        <v>421</v>
      </c>
      <c r="E1180" t="s">
        <v>422</v>
      </c>
      <c r="F1180" t="s">
        <v>34</v>
      </c>
      <c r="G1180" t="s">
        <v>61</v>
      </c>
      <c r="H1180" t="s">
        <v>211</v>
      </c>
      <c r="I1180" t="s">
        <v>147</v>
      </c>
      <c r="J1180" t="s">
        <v>148</v>
      </c>
      <c r="K1180" t="s">
        <v>48</v>
      </c>
      <c r="L1180">
        <v>2</v>
      </c>
      <c r="M1180">
        <v>250</v>
      </c>
      <c r="N1180">
        <v>0</v>
      </c>
      <c r="O1180">
        <v>500</v>
      </c>
      <c r="P1180">
        <v>209.16</v>
      </c>
      <c r="Q1180" t="s">
        <v>156</v>
      </c>
      <c r="R1180" t="s">
        <v>56</v>
      </c>
      <c r="S1180" t="s">
        <v>86</v>
      </c>
      <c r="T1180">
        <f>YEAR(Table1_1[[#This Row],[order_date]])</f>
        <v>2025</v>
      </c>
      <c r="U1180">
        <f>MONTH(Table1_1[[#This Row],[order_date]])</f>
        <v>3</v>
      </c>
      <c r="V1180" t="str">
        <f>TEXT(Table1_1[[#This Row],[order_date]],"mmm")</f>
        <v>Mar</v>
      </c>
      <c r="W1180" t="str">
        <f>"Q"&amp;ROUNDUP(MONTH(Table1_1[[#This Row],[order_date]])/3,0)</f>
        <v>Q1</v>
      </c>
      <c r="X1180" t="str">
        <f>TEXT(Table1_1[[#This Row],[order_date]],"yyyy-mm")</f>
        <v>2025-03</v>
      </c>
      <c r="Y1180">
        <f>IF(Table1_1[[#This Row],[ship_date]]="","",Table1_1[[#This Row],[ship_date]]-Table1_1[[#This Row],[order_date]])</f>
        <v>5</v>
      </c>
      <c r="Z1180">
        <f>ROUND(Table1_1[[#This Row],[profit]]/Table1_1[[#This Row],[sales_fix]]*100,2)</f>
        <v>41.83</v>
      </c>
    </row>
    <row r="1181" spans="1:26" x14ac:dyDescent="0.3">
      <c r="A1181" t="s">
        <v>2546</v>
      </c>
      <c r="B1181" s="1">
        <v>45519</v>
      </c>
      <c r="C1181" s="1">
        <v>45525</v>
      </c>
      <c r="D1181" t="s">
        <v>1464</v>
      </c>
      <c r="E1181" t="s">
        <v>1465</v>
      </c>
      <c r="F1181" t="s">
        <v>23</v>
      </c>
      <c r="G1181" t="s">
        <v>91</v>
      </c>
      <c r="H1181" t="s">
        <v>109</v>
      </c>
      <c r="I1181" t="s">
        <v>63</v>
      </c>
      <c r="J1181" t="s">
        <v>64</v>
      </c>
      <c r="K1181" t="s">
        <v>65</v>
      </c>
      <c r="L1181">
        <v>3</v>
      </c>
      <c r="M1181">
        <v>25000</v>
      </c>
      <c r="N1181">
        <v>0</v>
      </c>
      <c r="O1181">
        <v>75000</v>
      </c>
      <c r="P1181">
        <v>8580.27</v>
      </c>
      <c r="Q1181" t="s">
        <v>74</v>
      </c>
      <c r="R1181" t="s">
        <v>49</v>
      </c>
      <c r="S1181" t="s">
        <v>40</v>
      </c>
      <c r="T1181">
        <f>YEAR(Table1_1[[#This Row],[order_date]])</f>
        <v>2024</v>
      </c>
      <c r="U1181">
        <f>MONTH(Table1_1[[#This Row],[order_date]])</f>
        <v>8</v>
      </c>
      <c r="V1181" t="str">
        <f>TEXT(Table1_1[[#This Row],[order_date]],"mmm")</f>
        <v>Aug</v>
      </c>
      <c r="W1181" t="str">
        <f>"Q"&amp;ROUNDUP(MONTH(Table1_1[[#This Row],[order_date]])/3,0)</f>
        <v>Q3</v>
      </c>
      <c r="X1181" t="str">
        <f>TEXT(Table1_1[[#This Row],[order_date]],"yyyy-mm")</f>
        <v>2024-08</v>
      </c>
      <c r="Y1181">
        <f>IF(Table1_1[[#This Row],[ship_date]]="","",Table1_1[[#This Row],[ship_date]]-Table1_1[[#This Row],[order_date]])</f>
        <v>6</v>
      </c>
      <c r="Z1181">
        <f>ROUND(Table1_1[[#This Row],[profit]]/Table1_1[[#This Row],[sales_fix]]*100,2)</f>
        <v>11.44</v>
      </c>
    </row>
    <row r="1182" spans="1:26" x14ac:dyDescent="0.3">
      <c r="A1182" t="s">
        <v>383</v>
      </c>
      <c r="B1182" s="1">
        <v>45996</v>
      </c>
      <c r="C1182" s="1">
        <v>46002</v>
      </c>
      <c r="D1182" t="s">
        <v>384</v>
      </c>
      <c r="E1182" t="s">
        <v>385</v>
      </c>
      <c r="F1182" t="s">
        <v>55</v>
      </c>
      <c r="G1182" t="s">
        <v>61</v>
      </c>
      <c r="H1182" t="s">
        <v>125</v>
      </c>
      <c r="I1182" t="s">
        <v>71</v>
      </c>
      <c r="J1182" t="s">
        <v>72</v>
      </c>
      <c r="K1182" t="s">
        <v>73</v>
      </c>
      <c r="L1182">
        <v>5</v>
      </c>
      <c r="M1182">
        <v>3500</v>
      </c>
      <c r="N1182">
        <v>5</v>
      </c>
      <c r="O1182">
        <v>16625</v>
      </c>
      <c r="P1182">
        <v>3937.73</v>
      </c>
      <c r="Q1182" t="s">
        <v>121</v>
      </c>
      <c r="R1182" t="s">
        <v>56</v>
      </c>
      <c r="S1182" t="s">
        <v>86</v>
      </c>
      <c r="T1182">
        <f>YEAR(Table1_1[[#This Row],[order_date]])</f>
        <v>2025</v>
      </c>
      <c r="U1182">
        <f>MONTH(Table1_1[[#This Row],[order_date]])</f>
        <v>12</v>
      </c>
      <c r="V1182" t="str">
        <f>TEXT(Table1_1[[#This Row],[order_date]],"mmm")</f>
        <v>Dec</v>
      </c>
      <c r="W1182" t="str">
        <f>"Q"&amp;ROUNDUP(MONTH(Table1_1[[#This Row],[order_date]])/3,0)</f>
        <v>Q4</v>
      </c>
      <c r="X1182" t="str">
        <f>TEXT(Table1_1[[#This Row],[order_date]],"yyyy-mm")</f>
        <v>2025-12</v>
      </c>
      <c r="Y1182">
        <f>IF(Table1_1[[#This Row],[ship_date]]="","",Table1_1[[#This Row],[ship_date]]-Table1_1[[#This Row],[order_date]])</f>
        <v>6</v>
      </c>
      <c r="Z1182">
        <f>ROUND(Table1_1[[#This Row],[profit]]/Table1_1[[#This Row],[sales_fix]]*100,2)</f>
        <v>23.69</v>
      </c>
    </row>
    <row r="1183" spans="1:26" x14ac:dyDescent="0.3">
      <c r="A1183" t="s">
        <v>1940</v>
      </c>
      <c r="B1183" s="1">
        <v>45432</v>
      </c>
      <c r="C1183" s="1">
        <v>45436</v>
      </c>
      <c r="D1183" t="s">
        <v>400</v>
      </c>
      <c r="E1183" t="s">
        <v>401</v>
      </c>
      <c r="F1183" t="s">
        <v>34</v>
      </c>
      <c r="G1183" t="s">
        <v>44</v>
      </c>
      <c r="H1183" t="s">
        <v>24</v>
      </c>
      <c r="I1183" t="s">
        <v>103</v>
      </c>
      <c r="J1183" t="s">
        <v>104</v>
      </c>
      <c r="K1183" t="s">
        <v>65</v>
      </c>
      <c r="L1183">
        <v>2</v>
      </c>
      <c r="M1183">
        <v>8000</v>
      </c>
      <c r="N1183">
        <v>20</v>
      </c>
      <c r="O1183">
        <v>12800</v>
      </c>
      <c r="P1183">
        <v>3447.25</v>
      </c>
      <c r="Q1183" t="s">
        <v>74</v>
      </c>
      <c r="R1183" t="s">
        <v>49</v>
      </c>
      <c r="S1183" t="s">
        <v>50</v>
      </c>
      <c r="T1183">
        <f>YEAR(Table1_1[[#This Row],[order_date]])</f>
        <v>2024</v>
      </c>
      <c r="U1183">
        <f>MONTH(Table1_1[[#This Row],[order_date]])</f>
        <v>5</v>
      </c>
      <c r="V1183" t="str">
        <f>TEXT(Table1_1[[#This Row],[order_date]],"mmm")</f>
        <v>May</v>
      </c>
      <c r="W1183" t="str">
        <f>"Q"&amp;ROUNDUP(MONTH(Table1_1[[#This Row],[order_date]])/3,0)</f>
        <v>Q2</v>
      </c>
      <c r="X1183" t="str">
        <f>TEXT(Table1_1[[#This Row],[order_date]],"yyyy-mm")</f>
        <v>2024-05</v>
      </c>
      <c r="Y1183">
        <f>IF(Table1_1[[#This Row],[ship_date]]="","",Table1_1[[#This Row],[ship_date]]-Table1_1[[#This Row],[order_date]])</f>
        <v>4</v>
      </c>
      <c r="Z1183">
        <f>ROUND(Table1_1[[#This Row],[profit]]/Table1_1[[#This Row],[sales_fix]]*100,2)</f>
        <v>26.93</v>
      </c>
    </row>
    <row r="1184" spans="1:26" x14ac:dyDescent="0.3">
      <c r="A1184" t="s">
        <v>1236</v>
      </c>
      <c r="B1184" s="1">
        <v>45800</v>
      </c>
      <c r="C1184" s="1">
        <v>45802</v>
      </c>
      <c r="D1184" t="s">
        <v>660</v>
      </c>
      <c r="E1184" t="s">
        <v>661</v>
      </c>
      <c r="F1184" t="s">
        <v>23</v>
      </c>
      <c r="G1184" t="s">
        <v>44</v>
      </c>
      <c r="H1184" t="s">
        <v>330</v>
      </c>
      <c r="I1184" t="s">
        <v>79</v>
      </c>
      <c r="J1184" t="s">
        <v>80</v>
      </c>
      <c r="K1184" t="s">
        <v>65</v>
      </c>
      <c r="L1184">
        <v>1</v>
      </c>
      <c r="M1184">
        <v>3000</v>
      </c>
      <c r="N1184">
        <v>0</v>
      </c>
      <c r="O1184">
        <v>3000</v>
      </c>
      <c r="P1184">
        <v>858.52</v>
      </c>
      <c r="Q1184" t="s">
        <v>39</v>
      </c>
      <c r="R1184" t="s">
        <v>56</v>
      </c>
      <c r="S1184" t="s">
        <v>50</v>
      </c>
      <c r="T1184">
        <f>YEAR(Table1_1[[#This Row],[order_date]])</f>
        <v>2025</v>
      </c>
      <c r="U1184">
        <f>MONTH(Table1_1[[#This Row],[order_date]])</f>
        <v>5</v>
      </c>
      <c r="V1184" t="str">
        <f>TEXT(Table1_1[[#This Row],[order_date]],"mmm")</f>
        <v>May</v>
      </c>
      <c r="W1184" t="str">
        <f>"Q"&amp;ROUNDUP(MONTH(Table1_1[[#This Row],[order_date]])/3,0)</f>
        <v>Q2</v>
      </c>
      <c r="X1184" t="str">
        <f>TEXT(Table1_1[[#This Row],[order_date]],"yyyy-mm")</f>
        <v>2025-05</v>
      </c>
      <c r="Y1184">
        <f>IF(Table1_1[[#This Row],[ship_date]]="","",Table1_1[[#This Row],[ship_date]]-Table1_1[[#This Row],[order_date]])</f>
        <v>2</v>
      </c>
      <c r="Z1184">
        <f>ROUND(Table1_1[[#This Row],[profit]]/Table1_1[[#This Row],[sales_fix]]*100,2)</f>
        <v>28.62</v>
      </c>
    </row>
    <row r="1185" spans="1:26" x14ac:dyDescent="0.3">
      <c r="A1185" t="s">
        <v>2119</v>
      </c>
      <c r="B1185" s="1">
        <v>45360</v>
      </c>
      <c r="C1185" s="1">
        <v>45363</v>
      </c>
      <c r="D1185" t="s">
        <v>721</v>
      </c>
      <c r="E1185" t="s">
        <v>722</v>
      </c>
      <c r="F1185" t="s">
        <v>34</v>
      </c>
      <c r="G1185" t="s">
        <v>35</v>
      </c>
      <c r="H1185" t="s">
        <v>258</v>
      </c>
      <c r="I1185" t="s">
        <v>134</v>
      </c>
      <c r="J1185" t="s">
        <v>135</v>
      </c>
      <c r="K1185" t="s">
        <v>27</v>
      </c>
      <c r="L1185">
        <v>2</v>
      </c>
      <c r="M1185">
        <v>6000</v>
      </c>
      <c r="N1185">
        <v>10</v>
      </c>
      <c r="O1185">
        <v>10800</v>
      </c>
      <c r="P1185">
        <v>2030.62</v>
      </c>
      <c r="Q1185" t="s">
        <v>66</v>
      </c>
      <c r="R1185" t="s">
        <v>49</v>
      </c>
      <c r="S1185" t="s">
        <v>110</v>
      </c>
      <c r="T1185">
        <f>YEAR(Table1_1[[#This Row],[order_date]])</f>
        <v>2024</v>
      </c>
      <c r="U1185">
        <f>MONTH(Table1_1[[#This Row],[order_date]])</f>
        <v>3</v>
      </c>
      <c r="V1185" t="str">
        <f>TEXT(Table1_1[[#This Row],[order_date]],"mmm")</f>
        <v>Mar</v>
      </c>
      <c r="W1185" t="str">
        <f>"Q"&amp;ROUNDUP(MONTH(Table1_1[[#This Row],[order_date]])/3,0)</f>
        <v>Q1</v>
      </c>
      <c r="X1185" t="str">
        <f>TEXT(Table1_1[[#This Row],[order_date]],"yyyy-mm")</f>
        <v>2024-03</v>
      </c>
      <c r="Y1185">
        <f>IF(Table1_1[[#This Row],[ship_date]]="","",Table1_1[[#This Row],[ship_date]]-Table1_1[[#This Row],[order_date]])</f>
        <v>3</v>
      </c>
      <c r="Z1185">
        <f>ROUND(Table1_1[[#This Row],[profit]]/Table1_1[[#This Row],[sales_fix]]*100,2)</f>
        <v>18.8</v>
      </c>
    </row>
    <row r="1186" spans="1:26" x14ac:dyDescent="0.3">
      <c r="A1186" t="s">
        <v>2062</v>
      </c>
      <c r="B1186" s="1">
        <v>45889</v>
      </c>
      <c r="C1186" s="1">
        <v>45892</v>
      </c>
      <c r="D1186" t="s">
        <v>1067</v>
      </c>
      <c r="E1186" t="s">
        <v>1068</v>
      </c>
      <c r="F1186" t="s">
        <v>23</v>
      </c>
      <c r="G1186" t="s">
        <v>35</v>
      </c>
      <c r="H1186" t="s">
        <v>85</v>
      </c>
      <c r="I1186" t="s">
        <v>126</v>
      </c>
      <c r="J1186" t="s">
        <v>127</v>
      </c>
      <c r="K1186" t="s">
        <v>95</v>
      </c>
      <c r="L1186">
        <v>1</v>
      </c>
      <c r="M1186">
        <v>600</v>
      </c>
      <c r="N1186">
        <v>0</v>
      </c>
      <c r="O1186">
        <v>600</v>
      </c>
      <c r="P1186">
        <v>203.76</v>
      </c>
      <c r="Q1186" t="s">
        <v>74</v>
      </c>
      <c r="R1186" t="s">
        <v>29</v>
      </c>
      <c r="S1186" t="s">
        <v>110</v>
      </c>
      <c r="T1186">
        <f>YEAR(Table1_1[[#This Row],[order_date]])</f>
        <v>2025</v>
      </c>
      <c r="U1186">
        <f>MONTH(Table1_1[[#This Row],[order_date]])</f>
        <v>8</v>
      </c>
      <c r="V1186" t="str">
        <f>TEXT(Table1_1[[#This Row],[order_date]],"mmm")</f>
        <v>Aug</v>
      </c>
      <c r="W1186" t="str">
        <f>"Q"&amp;ROUNDUP(MONTH(Table1_1[[#This Row],[order_date]])/3,0)</f>
        <v>Q3</v>
      </c>
      <c r="X1186" t="str">
        <f>TEXT(Table1_1[[#This Row],[order_date]],"yyyy-mm")</f>
        <v>2025-08</v>
      </c>
      <c r="Y1186">
        <f>IF(Table1_1[[#This Row],[ship_date]]="","",Table1_1[[#This Row],[ship_date]]-Table1_1[[#This Row],[order_date]])</f>
        <v>3</v>
      </c>
      <c r="Z1186">
        <f>ROUND(Table1_1[[#This Row],[profit]]/Table1_1[[#This Row],[sales_fix]]*100,2)</f>
        <v>33.96</v>
      </c>
    </row>
    <row r="1187" spans="1:26" x14ac:dyDescent="0.3">
      <c r="A1187" t="s">
        <v>659</v>
      </c>
      <c r="B1187" s="1">
        <v>45937</v>
      </c>
      <c r="C1187" s="1">
        <v>45941</v>
      </c>
      <c r="D1187" t="s">
        <v>660</v>
      </c>
      <c r="E1187" t="s">
        <v>661</v>
      </c>
      <c r="F1187" t="s">
        <v>23</v>
      </c>
      <c r="G1187" t="s">
        <v>44</v>
      </c>
      <c r="H1187" t="s">
        <v>330</v>
      </c>
      <c r="I1187" t="s">
        <v>147</v>
      </c>
      <c r="J1187" t="s">
        <v>148</v>
      </c>
      <c r="K1187" t="s">
        <v>48</v>
      </c>
      <c r="L1187">
        <v>1</v>
      </c>
      <c r="M1187">
        <v>250</v>
      </c>
      <c r="N1187">
        <v>5</v>
      </c>
      <c r="O1187">
        <v>237.5</v>
      </c>
      <c r="P1187">
        <v>77.73</v>
      </c>
      <c r="Q1187" t="s">
        <v>66</v>
      </c>
      <c r="R1187" t="s">
        <v>49</v>
      </c>
      <c r="S1187" t="s">
        <v>30</v>
      </c>
      <c r="T1187">
        <f>YEAR(Table1_1[[#This Row],[order_date]])</f>
        <v>2025</v>
      </c>
      <c r="U1187">
        <f>MONTH(Table1_1[[#This Row],[order_date]])</f>
        <v>10</v>
      </c>
      <c r="V1187" t="str">
        <f>TEXT(Table1_1[[#This Row],[order_date]],"mmm")</f>
        <v>Oct</v>
      </c>
      <c r="W1187" t="str">
        <f>"Q"&amp;ROUNDUP(MONTH(Table1_1[[#This Row],[order_date]])/3,0)</f>
        <v>Q4</v>
      </c>
      <c r="X1187" t="str">
        <f>TEXT(Table1_1[[#This Row],[order_date]],"yyyy-mm")</f>
        <v>2025-10</v>
      </c>
      <c r="Y1187">
        <f>IF(Table1_1[[#This Row],[ship_date]]="","",Table1_1[[#This Row],[ship_date]]-Table1_1[[#This Row],[order_date]])</f>
        <v>4</v>
      </c>
      <c r="Z1187">
        <f>ROUND(Table1_1[[#This Row],[profit]]/Table1_1[[#This Row],[sales_fix]]*100,2)</f>
        <v>32.729999999999997</v>
      </c>
    </row>
    <row r="1188" spans="1:26" x14ac:dyDescent="0.3">
      <c r="A1188" t="s">
        <v>1600</v>
      </c>
      <c r="B1188" s="1">
        <v>45545</v>
      </c>
      <c r="C1188" s="1">
        <v>45551</v>
      </c>
      <c r="D1188" t="s">
        <v>965</v>
      </c>
      <c r="E1188" t="s">
        <v>966</v>
      </c>
      <c r="F1188" t="s">
        <v>34</v>
      </c>
      <c r="G1188" t="s">
        <v>44</v>
      </c>
      <c r="H1188" t="s">
        <v>45</v>
      </c>
      <c r="I1188" t="s">
        <v>37</v>
      </c>
      <c r="J1188" t="s">
        <v>38</v>
      </c>
      <c r="K1188" t="s">
        <v>27</v>
      </c>
      <c r="L1188">
        <v>3</v>
      </c>
      <c r="M1188">
        <v>9500</v>
      </c>
      <c r="N1188">
        <v>0</v>
      </c>
      <c r="O1188">
        <v>28500</v>
      </c>
      <c r="P1188">
        <v>4391.72</v>
      </c>
      <c r="Q1188" t="s">
        <v>156</v>
      </c>
      <c r="R1188" t="s">
        <v>29</v>
      </c>
      <c r="S1188" t="s">
        <v>110</v>
      </c>
      <c r="T1188">
        <f>YEAR(Table1_1[[#This Row],[order_date]])</f>
        <v>2024</v>
      </c>
      <c r="U1188">
        <f>MONTH(Table1_1[[#This Row],[order_date]])</f>
        <v>9</v>
      </c>
      <c r="V1188" t="str">
        <f>TEXT(Table1_1[[#This Row],[order_date]],"mmm")</f>
        <v>Sep</v>
      </c>
      <c r="W1188" t="str">
        <f>"Q"&amp;ROUNDUP(MONTH(Table1_1[[#This Row],[order_date]])/3,0)</f>
        <v>Q3</v>
      </c>
      <c r="X1188" t="str">
        <f>TEXT(Table1_1[[#This Row],[order_date]],"yyyy-mm")</f>
        <v>2024-09</v>
      </c>
      <c r="Y1188">
        <f>IF(Table1_1[[#This Row],[ship_date]]="","",Table1_1[[#This Row],[ship_date]]-Table1_1[[#This Row],[order_date]])</f>
        <v>6</v>
      </c>
      <c r="Z1188">
        <f>ROUND(Table1_1[[#This Row],[profit]]/Table1_1[[#This Row],[sales_fix]]*100,2)</f>
        <v>15.41</v>
      </c>
    </row>
    <row r="1189" spans="1:26" x14ac:dyDescent="0.3">
      <c r="A1189" t="s">
        <v>1710</v>
      </c>
      <c r="B1189" s="1">
        <v>45423</v>
      </c>
      <c r="C1189" s="1">
        <v>45431</v>
      </c>
      <c r="D1189" t="s">
        <v>609</v>
      </c>
      <c r="E1189" t="s">
        <v>610</v>
      </c>
      <c r="F1189" t="s">
        <v>23</v>
      </c>
      <c r="G1189" t="s">
        <v>44</v>
      </c>
      <c r="H1189" t="s">
        <v>155</v>
      </c>
      <c r="I1189" t="s">
        <v>71</v>
      </c>
      <c r="J1189" t="s">
        <v>72</v>
      </c>
      <c r="K1189" t="s">
        <v>73</v>
      </c>
      <c r="L1189">
        <v>3</v>
      </c>
      <c r="M1189">
        <v>3500</v>
      </c>
      <c r="N1189">
        <v>5</v>
      </c>
      <c r="O1189">
        <v>9975</v>
      </c>
      <c r="P1189">
        <v>3307.07</v>
      </c>
      <c r="Q1189" t="s">
        <v>39</v>
      </c>
      <c r="R1189" t="s">
        <v>49</v>
      </c>
      <c r="S1189" t="s">
        <v>50</v>
      </c>
      <c r="T1189">
        <f>YEAR(Table1_1[[#This Row],[order_date]])</f>
        <v>2024</v>
      </c>
      <c r="U1189">
        <f>MONTH(Table1_1[[#This Row],[order_date]])</f>
        <v>5</v>
      </c>
      <c r="V1189" t="str">
        <f>TEXT(Table1_1[[#This Row],[order_date]],"mmm")</f>
        <v>May</v>
      </c>
      <c r="W1189" t="str">
        <f>"Q"&amp;ROUNDUP(MONTH(Table1_1[[#This Row],[order_date]])/3,0)</f>
        <v>Q2</v>
      </c>
      <c r="X1189" t="str">
        <f>TEXT(Table1_1[[#This Row],[order_date]],"yyyy-mm")</f>
        <v>2024-05</v>
      </c>
      <c r="Y1189">
        <f>IF(Table1_1[[#This Row],[ship_date]]="","",Table1_1[[#This Row],[ship_date]]-Table1_1[[#This Row],[order_date]])</f>
        <v>8</v>
      </c>
      <c r="Z1189">
        <f>ROUND(Table1_1[[#This Row],[profit]]/Table1_1[[#This Row],[sales_fix]]*100,2)</f>
        <v>33.15</v>
      </c>
    </row>
    <row r="1190" spans="1:26" x14ac:dyDescent="0.3">
      <c r="A1190" t="s">
        <v>106</v>
      </c>
      <c r="B1190" s="1">
        <v>45566</v>
      </c>
      <c r="C1190" s="1">
        <v>45572</v>
      </c>
      <c r="D1190" t="s">
        <v>107</v>
      </c>
      <c r="E1190" t="s">
        <v>108</v>
      </c>
      <c r="F1190" t="s">
        <v>23</v>
      </c>
      <c r="G1190" t="s">
        <v>91</v>
      </c>
      <c r="H1190" t="s">
        <v>109</v>
      </c>
      <c r="I1190" t="s">
        <v>25</v>
      </c>
      <c r="J1190" t="s">
        <v>26</v>
      </c>
      <c r="K1190" t="s">
        <v>27</v>
      </c>
      <c r="L1190">
        <v>4</v>
      </c>
      <c r="M1190">
        <v>7000</v>
      </c>
      <c r="N1190">
        <v>20</v>
      </c>
      <c r="O1190">
        <v>22400</v>
      </c>
      <c r="P1190">
        <v>4255.83</v>
      </c>
      <c r="Q1190" t="s">
        <v>74</v>
      </c>
      <c r="R1190" t="s">
        <v>56</v>
      </c>
      <c r="S1190" t="s">
        <v>110</v>
      </c>
      <c r="T1190">
        <f>YEAR(Table1_1[[#This Row],[order_date]])</f>
        <v>2024</v>
      </c>
      <c r="U1190">
        <f>MONTH(Table1_1[[#This Row],[order_date]])</f>
        <v>10</v>
      </c>
      <c r="V1190" t="str">
        <f>TEXT(Table1_1[[#This Row],[order_date]],"mmm")</f>
        <v>Oct</v>
      </c>
      <c r="W1190" t="str">
        <f>"Q"&amp;ROUNDUP(MONTH(Table1_1[[#This Row],[order_date]])/3,0)</f>
        <v>Q4</v>
      </c>
      <c r="X1190" t="str">
        <f>TEXT(Table1_1[[#This Row],[order_date]],"yyyy-mm")</f>
        <v>2024-10</v>
      </c>
      <c r="Y1190">
        <f>IF(Table1_1[[#This Row],[ship_date]]="","",Table1_1[[#This Row],[ship_date]]-Table1_1[[#This Row],[order_date]])</f>
        <v>6</v>
      </c>
      <c r="Z1190">
        <f>ROUND(Table1_1[[#This Row],[profit]]/Table1_1[[#This Row],[sales_fix]]*100,2)</f>
        <v>19</v>
      </c>
    </row>
    <row r="1191" spans="1:26" x14ac:dyDescent="0.3">
      <c r="A1191" t="s">
        <v>2968</v>
      </c>
      <c r="B1191" s="1">
        <v>45744</v>
      </c>
      <c r="C1191" s="1">
        <v>45749</v>
      </c>
      <c r="D1191" t="s">
        <v>764</v>
      </c>
      <c r="E1191" t="s">
        <v>765</v>
      </c>
      <c r="F1191" t="s">
        <v>34</v>
      </c>
      <c r="G1191" t="s">
        <v>91</v>
      </c>
      <c r="H1191" t="s">
        <v>120</v>
      </c>
      <c r="I1191" t="s">
        <v>134</v>
      </c>
      <c r="J1191" t="s">
        <v>135</v>
      </c>
      <c r="K1191" t="s">
        <v>27</v>
      </c>
      <c r="L1191">
        <v>2</v>
      </c>
      <c r="M1191">
        <v>6000</v>
      </c>
      <c r="N1191">
        <v>0</v>
      </c>
      <c r="O1191">
        <v>12000</v>
      </c>
      <c r="P1191">
        <v>3067.05</v>
      </c>
      <c r="Q1191" t="s">
        <v>28</v>
      </c>
      <c r="R1191" t="s">
        <v>56</v>
      </c>
      <c r="S1191" t="s">
        <v>50</v>
      </c>
      <c r="T1191">
        <f>YEAR(Table1_1[[#This Row],[order_date]])</f>
        <v>2025</v>
      </c>
      <c r="U1191">
        <f>MONTH(Table1_1[[#This Row],[order_date]])</f>
        <v>3</v>
      </c>
      <c r="V1191" t="str">
        <f>TEXT(Table1_1[[#This Row],[order_date]],"mmm")</f>
        <v>Mar</v>
      </c>
      <c r="W1191" t="str">
        <f>"Q"&amp;ROUNDUP(MONTH(Table1_1[[#This Row],[order_date]])/3,0)</f>
        <v>Q1</v>
      </c>
      <c r="X1191" t="str">
        <f>TEXT(Table1_1[[#This Row],[order_date]],"yyyy-mm")</f>
        <v>2025-03</v>
      </c>
      <c r="Y1191">
        <f>IF(Table1_1[[#This Row],[ship_date]]="","",Table1_1[[#This Row],[ship_date]]-Table1_1[[#This Row],[order_date]])</f>
        <v>5</v>
      </c>
      <c r="Z1191">
        <f>ROUND(Table1_1[[#This Row],[profit]]/Table1_1[[#This Row],[sales_fix]]*100,2)</f>
        <v>25.56</v>
      </c>
    </row>
    <row r="1192" spans="1:26" x14ac:dyDescent="0.3">
      <c r="A1192" t="s">
        <v>1670</v>
      </c>
      <c r="B1192" s="1">
        <v>45338</v>
      </c>
      <c r="C1192" s="1">
        <v>45341</v>
      </c>
      <c r="D1192" t="s">
        <v>453</v>
      </c>
      <c r="E1192" t="s">
        <v>454</v>
      </c>
      <c r="F1192" t="s">
        <v>55</v>
      </c>
      <c r="G1192" t="s">
        <v>35</v>
      </c>
      <c r="H1192" t="s">
        <v>187</v>
      </c>
      <c r="I1192" t="s">
        <v>126</v>
      </c>
      <c r="J1192" t="s">
        <v>127</v>
      </c>
      <c r="K1192" t="s">
        <v>95</v>
      </c>
      <c r="L1192">
        <v>1</v>
      </c>
      <c r="M1192">
        <v>600</v>
      </c>
      <c r="N1192">
        <v>5</v>
      </c>
      <c r="O1192">
        <v>570</v>
      </c>
      <c r="P1192">
        <v>170.79</v>
      </c>
      <c r="Q1192" t="s">
        <v>39</v>
      </c>
      <c r="R1192" t="s">
        <v>29</v>
      </c>
      <c r="S1192" t="s">
        <v>86</v>
      </c>
      <c r="T1192">
        <f>YEAR(Table1_1[[#This Row],[order_date]])</f>
        <v>2024</v>
      </c>
      <c r="U1192">
        <f>MONTH(Table1_1[[#This Row],[order_date]])</f>
        <v>2</v>
      </c>
      <c r="V1192" t="str">
        <f>TEXT(Table1_1[[#This Row],[order_date]],"mmm")</f>
        <v>Feb</v>
      </c>
      <c r="W1192" t="str">
        <f>"Q"&amp;ROUNDUP(MONTH(Table1_1[[#This Row],[order_date]])/3,0)</f>
        <v>Q1</v>
      </c>
      <c r="X1192" t="str">
        <f>TEXT(Table1_1[[#This Row],[order_date]],"yyyy-mm")</f>
        <v>2024-02</v>
      </c>
      <c r="Y1192">
        <f>IF(Table1_1[[#This Row],[ship_date]]="","",Table1_1[[#This Row],[ship_date]]-Table1_1[[#This Row],[order_date]])</f>
        <v>3</v>
      </c>
      <c r="Z1192">
        <f>ROUND(Table1_1[[#This Row],[profit]]/Table1_1[[#This Row],[sales_fix]]*100,2)</f>
        <v>29.96</v>
      </c>
    </row>
    <row r="1193" spans="1:26" x14ac:dyDescent="0.3">
      <c r="A1193" t="s">
        <v>912</v>
      </c>
      <c r="B1193" s="1">
        <v>45911</v>
      </c>
      <c r="C1193" s="1">
        <v>45918</v>
      </c>
      <c r="D1193" t="s">
        <v>904</v>
      </c>
      <c r="E1193" t="s">
        <v>905</v>
      </c>
      <c r="F1193" t="s">
        <v>23</v>
      </c>
      <c r="G1193" t="s">
        <v>91</v>
      </c>
      <c r="H1193" t="s">
        <v>92</v>
      </c>
      <c r="I1193" t="s">
        <v>79</v>
      </c>
      <c r="J1193" t="s">
        <v>80</v>
      </c>
      <c r="K1193" t="s">
        <v>65</v>
      </c>
      <c r="L1193">
        <v>2</v>
      </c>
      <c r="M1193">
        <v>3000</v>
      </c>
      <c r="N1193">
        <v>15</v>
      </c>
      <c r="O1193">
        <v>5100</v>
      </c>
      <c r="P1193">
        <v>1083.92</v>
      </c>
      <c r="Q1193" t="s">
        <v>66</v>
      </c>
      <c r="R1193" t="s">
        <v>56</v>
      </c>
      <c r="S1193" t="s">
        <v>110</v>
      </c>
      <c r="T1193">
        <f>YEAR(Table1_1[[#This Row],[order_date]])</f>
        <v>2025</v>
      </c>
      <c r="U1193">
        <f>MONTH(Table1_1[[#This Row],[order_date]])</f>
        <v>9</v>
      </c>
      <c r="V1193" t="str">
        <f>TEXT(Table1_1[[#This Row],[order_date]],"mmm")</f>
        <v>Sep</v>
      </c>
      <c r="W1193" t="str">
        <f>"Q"&amp;ROUNDUP(MONTH(Table1_1[[#This Row],[order_date]])/3,0)</f>
        <v>Q3</v>
      </c>
      <c r="X1193" t="str">
        <f>TEXT(Table1_1[[#This Row],[order_date]],"yyyy-mm")</f>
        <v>2025-09</v>
      </c>
      <c r="Y1193">
        <f>IF(Table1_1[[#This Row],[ship_date]]="","",Table1_1[[#This Row],[ship_date]]-Table1_1[[#This Row],[order_date]])</f>
        <v>7</v>
      </c>
      <c r="Z1193">
        <f>ROUND(Table1_1[[#This Row],[profit]]/Table1_1[[#This Row],[sales_fix]]*100,2)</f>
        <v>21.25</v>
      </c>
    </row>
    <row r="1194" spans="1:26" x14ac:dyDescent="0.3">
      <c r="A1194" t="s">
        <v>1902</v>
      </c>
      <c r="B1194" s="1">
        <v>45356</v>
      </c>
      <c r="C1194" s="1">
        <v>45360</v>
      </c>
      <c r="D1194" t="s">
        <v>599</v>
      </c>
      <c r="E1194" t="s">
        <v>600</v>
      </c>
      <c r="F1194" t="s">
        <v>23</v>
      </c>
      <c r="G1194" t="s">
        <v>44</v>
      </c>
      <c r="H1194" t="s">
        <v>161</v>
      </c>
      <c r="I1194" t="s">
        <v>46</v>
      </c>
      <c r="J1194" t="s">
        <v>47</v>
      </c>
      <c r="K1194" t="s">
        <v>48</v>
      </c>
      <c r="L1194">
        <v>3</v>
      </c>
      <c r="M1194">
        <v>180</v>
      </c>
      <c r="N1194">
        <v>10</v>
      </c>
      <c r="O1194">
        <v>486</v>
      </c>
      <c r="P1194">
        <v>171.5</v>
      </c>
      <c r="Q1194" t="s">
        <v>121</v>
      </c>
      <c r="R1194" t="s">
        <v>56</v>
      </c>
      <c r="S1194" t="s">
        <v>30</v>
      </c>
      <c r="T1194">
        <f>YEAR(Table1_1[[#This Row],[order_date]])</f>
        <v>2024</v>
      </c>
      <c r="U1194">
        <f>MONTH(Table1_1[[#This Row],[order_date]])</f>
        <v>3</v>
      </c>
      <c r="V1194" t="str">
        <f>TEXT(Table1_1[[#This Row],[order_date]],"mmm")</f>
        <v>Mar</v>
      </c>
      <c r="W1194" t="str">
        <f>"Q"&amp;ROUNDUP(MONTH(Table1_1[[#This Row],[order_date]])/3,0)</f>
        <v>Q1</v>
      </c>
      <c r="X1194" t="str">
        <f>TEXT(Table1_1[[#This Row],[order_date]],"yyyy-mm")</f>
        <v>2024-03</v>
      </c>
      <c r="Y1194">
        <f>IF(Table1_1[[#This Row],[ship_date]]="","",Table1_1[[#This Row],[ship_date]]-Table1_1[[#This Row],[order_date]])</f>
        <v>4</v>
      </c>
      <c r="Z1194">
        <f>ROUND(Table1_1[[#This Row],[profit]]/Table1_1[[#This Row],[sales_fix]]*100,2)</f>
        <v>35.29</v>
      </c>
    </row>
    <row r="1195" spans="1:26" x14ac:dyDescent="0.3">
      <c r="A1195" t="s">
        <v>2917</v>
      </c>
      <c r="B1195" s="1">
        <v>45457</v>
      </c>
      <c r="C1195" s="1"/>
      <c r="D1195" t="s">
        <v>1115</v>
      </c>
      <c r="E1195" t="s">
        <v>1116</v>
      </c>
      <c r="F1195" t="s">
        <v>23</v>
      </c>
      <c r="G1195" t="s">
        <v>44</v>
      </c>
      <c r="H1195" t="s">
        <v>45</v>
      </c>
      <c r="I1195" t="s">
        <v>25</v>
      </c>
      <c r="J1195" t="s">
        <v>26</v>
      </c>
      <c r="K1195" t="s">
        <v>27</v>
      </c>
      <c r="L1195">
        <v>5</v>
      </c>
      <c r="M1195">
        <v>7000</v>
      </c>
      <c r="N1195">
        <v>0</v>
      </c>
      <c r="O1195">
        <v>35000</v>
      </c>
      <c r="P1195">
        <v>6663.26</v>
      </c>
      <c r="Q1195" t="s">
        <v>66</v>
      </c>
      <c r="R1195" t="s">
        <v>29</v>
      </c>
      <c r="S1195" t="s">
        <v>86</v>
      </c>
      <c r="T1195">
        <f>YEAR(Table1_1[[#This Row],[order_date]])</f>
        <v>2024</v>
      </c>
      <c r="U1195">
        <f>MONTH(Table1_1[[#This Row],[order_date]])</f>
        <v>6</v>
      </c>
      <c r="V1195" t="str">
        <f>TEXT(Table1_1[[#This Row],[order_date]],"mmm")</f>
        <v>Jun</v>
      </c>
      <c r="W1195" t="str">
        <f>"Q"&amp;ROUNDUP(MONTH(Table1_1[[#This Row],[order_date]])/3,0)</f>
        <v>Q2</v>
      </c>
      <c r="X1195" t="str">
        <f>TEXT(Table1_1[[#This Row],[order_date]],"yyyy-mm")</f>
        <v>2024-06</v>
      </c>
      <c r="Y1195" t="str">
        <f>IF(Table1_1[[#This Row],[ship_date]]="","",Table1_1[[#This Row],[ship_date]]-Table1_1[[#This Row],[order_date]])</f>
        <v/>
      </c>
      <c r="Z1195">
        <f>ROUND(Table1_1[[#This Row],[profit]]/Table1_1[[#This Row],[sales_fix]]*100,2)</f>
        <v>19.04</v>
      </c>
    </row>
    <row r="1196" spans="1:26" x14ac:dyDescent="0.3">
      <c r="A1196" t="s">
        <v>1379</v>
      </c>
      <c r="B1196" s="1">
        <v>45805</v>
      </c>
      <c r="C1196" s="1">
        <v>45810</v>
      </c>
      <c r="D1196" t="s">
        <v>1380</v>
      </c>
      <c r="E1196" t="s">
        <v>1381</v>
      </c>
      <c r="F1196" t="s">
        <v>55</v>
      </c>
      <c r="G1196" t="s">
        <v>61</v>
      </c>
      <c r="H1196" t="s">
        <v>78</v>
      </c>
      <c r="I1196" t="s">
        <v>63</v>
      </c>
      <c r="J1196" t="s">
        <v>64</v>
      </c>
      <c r="K1196" t="s">
        <v>65</v>
      </c>
      <c r="L1196">
        <v>1</v>
      </c>
      <c r="M1196">
        <v>25000</v>
      </c>
      <c r="N1196">
        <v>5</v>
      </c>
      <c r="O1196">
        <v>23750</v>
      </c>
      <c r="P1196">
        <v>2554.0100000000002</v>
      </c>
      <c r="Q1196" t="s">
        <v>74</v>
      </c>
      <c r="R1196" t="s">
        <v>29</v>
      </c>
      <c r="S1196" t="s">
        <v>50</v>
      </c>
      <c r="T1196">
        <f>YEAR(Table1_1[[#This Row],[order_date]])</f>
        <v>2025</v>
      </c>
      <c r="U1196">
        <f>MONTH(Table1_1[[#This Row],[order_date]])</f>
        <v>5</v>
      </c>
      <c r="V1196" t="str">
        <f>TEXT(Table1_1[[#This Row],[order_date]],"mmm")</f>
        <v>May</v>
      </c>
      <c r="W1196" t="str">
        <f>"Q"&amp;ROUNDUP(MONTH(Table1_1[[#This Row],[order_date]])/3,0)</f>
        <v>Q2</v>
      </c>
      <c r="X1196" t="str">
        <f>TEXT(Table1_1[[#This Row],[order_date]],"yyyy-mm")</f>
        <v>2025-05</v>
      </c>
      <c r="Y1196">
        <f>IF(Table1_1[[#This Row],[ship_date]]="","",Table1_1[[#This Row],[ship_date]]-Table1_1[[#This Row],[order_date]])</f>
        <v>5</v>
      </c>
      <c r="Z1196">
        <f>ROUND(Table1_1[[#This Row],[profit]]/Table1_1[[#This Row],[sales_fix]]*100,2)</f>
        <v>10.75</v>
      </c>
    </row>
    <row r="1197" spans="1:26" x14ac:dyDescent="0.3">
      <c r="A1197" t="s">
        <v>2967</v>
      </c>
      <c r="B1197" s="1">
        <v>45570</v>
      </c>
      <c r="C1197" s="1">
        <v>45573</v>
      </c>
      <c r="D1197" t="s">
        <v>1343</v>
      </c>
      <c r="E1197" t="s">
        <v>1344</v>
      </c>
      <c r="F1197" t="s">
        <v>34</v>
      </c>
      <c r="G1197" t="s">
        <v>91</v>
      </c>
      <c r="H1197" t="s">
        <v>177</v>
      </c>
      <c r="I1197" t="s">
        <v>114</v>
      </c>
      <c r="J1197" t="s">
        <v>115</v>
      </c>
      <c r="K1197" t="s">
        <v>65</v>
      </c>
      <c r="L1197">
        <v>4</v>
      </c>
      <c r="M1197">
        <v>55000</v>
      </c>
      <c r="N1197">
        <v>5</v>
      </c>
      <c r="O1197">
        <v>209000</v>
      </c>
      <c r="P1197">
        <v>36194.589999999997</v>
      </c>
      <c r="Q1197" t="s">
        <v>156</v>
      </c>
      <c r="R1197" t="s">
        <v>49</v>
      </c>
      <c r="S1197" t="s">
        <v>86</v>
      </c>
      <c r="T1197">
        <f>YEAR(Table1_1[[#This Row],[order_date]])</f>
        <v>2024</v>
      </c>
      <c r="U1197">
        <f>MONTH(Table1_1[[#This Row],[order_date]])</f>
        <v>10</v>
      </c>
      <c r="V1197" t="str">
        <f>TEXT(Table1_1[[#This Row],[order_date]],"mmm")</f>
        <v>Oct</v>
      </c>
      <c r="W1197" t="str">
        <f>"Q"&amp;ROUNDUP(MONTH(Table1_1[[#This Row],[order_date]])/3,0)</f>
        <v>Q4</v>
      </c>
      <c r="X1197" t="str">
        <f>TEXT(Table1_1[[#This Row],[order_date]],"yyyy-mm")</f>
        <v>2024-10</v>
      </c>
      <c r="Y1197">
        <f>IF(Table1_1[[#This Row],[ship_date]]="","",Table1_1[[#This Row],[ship_date]]-Table1_1[[#This Row],[order_date]])</f>
        <v>3</v>
      </c>
      <c r="Z1197">
        <f>ROUND(Table1_1[[#This Row],[profit]]/Table1_1[[#This Row],[sales_fix]]*100,2)</f>
        <v>17.32</v>
      </c>
    </row>
    <row r="1198" spans="1:26" x14ac:dyDescent="0.3">
      <c r="A1198" t="s">
        <v>2087</v>
      </c>
      <c r="B1198" s="1">
        <v>45808</v>
      </c>
      <c r="C1198" s="1">
        <v>45809</v>
      </c>
      <c r="D1198" t="s">
        <v>1889</v>
      </c>
      <c r="E1198" t="s">
        <v>1890</v>
      </c>
      <c r="F1198" t="s">
        <v>55</v>
      </c>
      <c r="G1198" t="s">
        <v>91</v>
      </c>
      <c r="H1198" t="s">
        <v>120</v>
      </c>
      <c r="I1198" t="s">
        <v>63</v>
      </c>
      <c r="J1198" t="s">
        <v>64</v>
      </c>
      <c r="K1198" t="s">
        <v>65</v>
      </c>
      <c r="L1198">
        <v>3</v>
      </c>
      <c r="M1198">
        <v>25000</v>
      </c>
      <c r="N1198">
        <v>20</v>
      </c>
      <c r="O1198">
        <v>60000</v>
      </c>
      <c r="P1198">
        <v>8937.5</v>
      </c>
      <c r="Q1198" t="s">
        <v>66</v>
      </c>
      <c r="R1198" t="s">
        <v>56</v>
      </c>
      <c r="S1198" t="s">
        <v>40</v>
      </c>
      <c r="T1198">
        <f>YEAR(Table1_1[[#This Row],[order_date]])</f>
        <v>2025</v>
      </c>
      <c r="U1198">
        <f>MONTH(Table1_1[[#This Row],[order_date]])</f>
        <v>5</v>
      </c>
      <c r="V1198" t="str">
        <f>TEXT(Table1_1[[#This Row],[order_date]],"mmm")</f>
        <v>May</v>
      </c>
      <c r="W1198" t="str">
        <f>"Q"&amp;ROUNDUP(MONTH(Table1_1[[#This Row],[order_date]])/3,0)</f>
        <v>Q2</v>
      </c>
      <c r="X1198" t="str">
        <f>TEXT(Table1_1[[#This Row],[order_date]],"yyyy-mm")</f>
        <v>2025-05</v>
      </c>
      <c r="Y1198">
        <f>IF(Table1_1[[#This Row],[ship_date]]="","",Table1_1[[#This Row],[ship_date]]-Table1_1[[#This Row],[order_date]])</f>
        <v>1</v>
      </c>
      <c r="Z1198">
        <f>ROUND(Table1_1[[#This Row],[profit]]/Table1_1[[#This Row],[sales_fix]]*100,2)</f>
        <v>14.9</v>
      </c>
    </row>
    <row r="1199" spans="1:26" x14ac:dyDescent="0.3">
      <c r="A1199" t="s">
        <v>3079</v>
      </c>
      <c r="B1199" s="1">
        <v>45894</v>
      </c>
      <c r="C1199" s="1">
        <v>45899</v>
      </c>
      <c r="D1199" t="s">
        <v>1609</v>
      </c>
      <c r="E1199" t="s">
        <v>1610</v>
      </c>
      <c r="F1199" t="s">
        <v>55</v>
      </c>
      <c r="G1199" t="s">
        <v>44</v>
      </c>
      <c r="H1199" t="s">
        <v>24</v>
      </c>
      <c r="I1199" t="s">
        <v>63</v>
      </c>
      <c r="J1199" t="s">
        <v>64</v>
      </c>
      <c r="K1199" t="s">
        <v>65</v>
      </c>
      <c r="L1199">
        <v>3</v>
      </c>
      <c r="M1199">
        <v>25000</v>
      </c>
      <c r="N1199">
        <v>0</v>
      </c>
      <c r="O1199">
        <v>75000</v>
      </c>
      <c r="P1199">
        <v>11616.62</v>
      </c>
      <c r="Q1199" t="s">
        <v>74</v>
      </c>
      <c r="R1199" t="s">
        <v>49</v>
      </c>
      <c r="S1199" t="s">
        <v>40</v>
      </c>
      <c r="T1199">
        <f>YEAR(Table1_1[[#This Row],[order_date]])</f>
        <v>2025</v>
      </c>
      <c r="U1199">
        <f>MONTH(Table1_1[[#This Row],[order_date]])</f>
        <v>8</v>
      </c>
      <c r="V1199" t="str">
        <f>TEXT(Table1_1[[#This Row],[order_date]],"mmm")</f>
        <v>Aug</v>
      </c>
      <c r="W1199" t="str">
        <f>"Q"&amp;ROUNDUP(MONTH(Table1_1[[#This Row],[order_date]])/3,0)</f>
        <v>Q3</v>
      </c>
      <c r="X1199" t="str">
        <f>TEXT(Table1_1[[#This Row],[order_date]],"yyyy-mm")</f>
        <v>2025-08</v>
      </c>
      <c r="Y1199">
        <f>IF(Table1_1[[#This Row],[ship_date]]="","",Table1_1[[#This Row],[ship_date]]-Table1_1[[#This Row],[order_date]])</f>
        <v>5</v>
      </c>
      <c r="Z1199">
        <f>ROUND(Table1_1[[#This Row],[profit]]/Table1_1[[#This Row],[sales_fix]]*100,2)</f>
        <v>15.49</v>
      </c>
    </row>
    <row r="1200" spans="1:26" x14ac:dyDescent="0.3">
      <c r="A1200" t="s">
        <v>2315</v>
      </c>
      <c r="B1200" s="1">
        <v>45572</v>
      </c>
      <c r="C1200" s="1">
        <v>45579</v>
      </c>
      <c r="D1200" t="s">
        <v>735</v>
      </c>
      <c r="E1200" t="s">
        <v>736</v>
      </c>
      <c r="F1200" t="s">
        <v>23</v>
      </c>
      <c r="G1200" t="s">
        <v>44</v>
      </c>
      <c r="H1200" t="s">
        <v>24</v>
      </c>
      <c r="I1200" t="s">
        <v>25</v>
      </c>
      <c r="J1200" t="s">
        <v>26</v>
      </c>
      <c r="K1200" t="s">
        <v>27</v>
      </c>
      <c r="L1200">
        <v>1</v>
      </c>
      <c r="M1200">
        <v>7000</v>
      </c>
      <c r="N1200">
        <v>15</v>
      </c>
      <c r="O1200">
        <v>5950</v>
      </c>
      <c r="P1200">
        <v>1218</v>
      </c>
      <c r="Q1200" t="s">
        <v>74</v>
      </c>
      <c r="R1200" t="s">
        <v>49</v>
      </c>
      <c r="S1200" t="s">
        <v>86</v>
      </c>
      <c r="T1200">
        <f>YEAR(Table1_1[[#This Row],[order_date]])</f>
        <v>2024</v>
      </c>
      <c r="U1200">
        <f>MONTH(Table1_1[[#This Row],[order_date]])</f>
        <v>10</v>
      </c>
      <c r="V1200" t="str">
        <f>TEXT(Table1_1[[#This Row],[order_date]],"mmm")</f>
        <v>Oct</v>
      </c>
      <c r="W1200" t="str">
        <f>"Q"&amp;ROUNDUP(MONTH(Table1_1[[#This Row],[order_date]])/3,0)</f>
        <v>Q4</v>
      </c>
      <c r="X1200" t="str">
        <f>TEXT(Table1_1[[#This Row],[order_date]],"yyyy-mm")</f>
        <v>2024-10</v>
      </c>
      <c r="Y1200">
        <f>IF(Table1_1[[#This Row],[ship_date]]="","",Table1_1[[#This Row],[ship_date]]-Table1_1[[#This Row],[order_date]])</f>
        <v>7</v>
      </c>
      <c r="Z1200">
        <f>ROUND(Table1_1[[#This Row],[profit]]/Table1_1[[#This Row],[sales_fix]]*100,2)</f>
        <v>20.47</v>
      </c>
    </row>
    <row r="1201" spans="1:26" x14ac:dyDescent="0.3">
      <c r="A1201" t="s">
        <v>1993</v>
      </c>
      <c r="B1201" s="1">
        <v>45866</v>
      </c>
      <c r="C1201" s="1">
        <v>45870</v>
      </c>
      <c r="D1201" t="s">
        <v>444</v>
      </c>
      <c r="E1201" t="s">
        <v>445</v>
      </c>
      <c r="F1201" t="s">
        <v>55</v>
      </c>
      <c r="G1201" t="s">
        <v>91</v>
      </c>
      <c r="H1201" t="s">
        <v>92</v>
      </c>
      <c r="I1201" t="s">
        <v>134</v>
      </c>
      <c r="J1201" t="s">
        <v>135</v>
      </c>
      <c r="K1201" t="s">
        <v>27</v>
      </c>
      <c r="L1201">
        <v>1</v>
      </c>
      <c r="M1201">
        <v>6000</v>
      </c>
      <c r="N1201">
        <v>0</v>
      </c>
      <c r="O1201">
        <v>6000</v>
      </c>
      <c r="P1201">
        <v>1530.82</v>
      </c>
      <c r="Q1201" t="s">
        <v>28</v>
      </c>
      <c r="R1201" t="s">
        <v>29</v>
      </c>
      <c r="S1201" t="s">
        <v>30</v>
      </c>
      <c r="T1201">
        <f>YEAR(Table1_1[[#This Row],[order_date]])</f>
        <v>2025</v>
      </c>
      <c r="U1201">
        <f>MONTH(Table1_1[[#This Row],[order_date]])</f>
        <v>7</v>
      </c>
      <c r="V1201" t="str">
        <f>TEXT(Table1_1[[#This Row],[order_date]],"mmm")</f>
        <v>Jul</v>
      </c>
      <c r="W1201" t="str">
        <f>"Q"&amp;ROUNDUP(MONTH(Table1_1[[#This Row],[order_date]])/3,0)</f>
        <v>Q3</v>
      </c>
      <c r="X1201" t="str">
        <f>TEXT(Table1_1[[#This Row],[order_date]],"yyyy-mm")</f>
        <v>2025-07</v>
      </c>
      <c r="Y1201">
        <f>IF(Table1_1[[#This Row],[ship_date]]="","",Table1_1[[#This Row],[ship_date]]-Table1_1[[#This Row],[order_date]])</f>
        <v>4</v>
      </c>
      <c r="Z1201">
        <f>ROUND(Table1_1[[#This Row],[profit]]/Table1_1[[#This Row],[sales_fix]]*100,2)</f>
        <v>25.51</v>
      </c>
    </row>
    <row r="1202" spans="1:26" x14ac:dyDescent="0.3">
      <c r="A1202" t="s">
        <v>1726</v>
      </c>
      <c r="B1202" s="1">
        <v>45851</v>
      </c>
      <c r="C1202" s="1">
        <v>45852</v>
      </c>
      <c r="D1202" t="s">
        <v>1075</v>
      </c>
      <c r="E1202" t="s">
        <v>1076</v>
      </c>
      <c r="F1202" t="s">
        <v>55</v>
      </c>
      <c r="G1202" t="s">
        <v>61</v>
      </c>
      <c r="H1202" t="s">
        <v>125</v>
      </c>
      <c r="I1202" t="s">
        <v>37</v>
      </c>
      <c r="J1202" t="s">
        <v>38</v>
      </c>
      <c r="K1202" t="s">
        <v>27</v>
      </c>
      <c r="L1202">
        <v>3</v>
      </c>
      <c r="M1202">
        <v>9500</v>
      </c>
      <c r="N1202">
        <v>5</v>
      </c>
      <c r="O1202">
        <v>27075</v>
      </c>
      <c r="P1202">
        <v>4275.82</v>
      </c>
      <c r="Q1202" t="s">
        <v>28</v>
      </c>
      <c r="R1202" t="s">
        <v>29</v>
      </c>
      <c r="S1202" t="s">
        <v>30</v>
      </c>
      <c r="T1202">
        <f>YEAR(Table1_1[[#This Row],[order_date]])</f>
        <v>2025</v>
      </c>
      <c r="U1202">
        <f>MONTH(Table1_1[[#This Row],[order_date]])</f>
        <v>7</v>
      </c>
      <c r="V1202" t="str">
        <f>TEXT(Table1_1[[#This Row],[order_date]],"mmm")</f>
        <v>Jul</v>
      </c>
      <c r="W1202" t="str">
        <f>"Q"&amp;ROUNDUP(MONTH(Table1_1[[#This Row],[order_date]])/3,0)</f>
        <v>Q3</v>
      </c>
      <c r="X1202" t="str">
        <f>TEXT(Table1_1[[#This Row],[order_date]],"yyyy-mm")</f>
        <v>2025-07</v>
      </c>
      <c r="Y1202">
        <f>IF(Table1_1[[#This Row],[ship_date]]="","",Table1_1[[#This Row],[ship_date]]-Table1_1[[#This Row],[order_date]])</f>
        <v>1</v>
      </c>
      <c r="Z1202">
        <f>ROUND(Table1_1[[#This Row],[profit]]/Table1_1[[#This Row],[sales_fix]]*100,2)</f>
        <v>15.79</v>
      </c>
    </row>
    <row r="1203" spans="1:26" x14ac:dyDescent="0.3">
      <c r="A1203" t="s">
        <v>2036</v>
      </c>
      <c r="B1203" s="1">
        <v>45868</v>
      </c>
      <c r="C1203" s="1">
        <v>45870</v>
      </c>
      <c r="D1203" t="s">
        <v>278</v>
      </c>
      <c r="E1203" t="s">
        <v>279</v>
      </c>
      <c r="F1203" t="s">
        <v>23</v>
      </c>
      <c r="G1203" t="s">
        <v>91</v>
      </c>
      <c r="H1203" t="s">
        <v>177</v>
      </c>
      <c r="I1203" t="s">
        <v>147</v>
      </c>
      <c r="J1203" t="s">
        <v>148</v>
      </c>
      <c r="K1203" t="s">
        <v>48</v>
      </c>
      <c r="L1203">
        <v>1</v>
      </c>
      <c r="M1203">
        <v>250</v>
      </c>
      <c r="N1203">
        <v>0</v>
      </c>
      <c r="O1203">
        <v>250</v>
      </c>
      <c r="P1203">
        <v>83.3</v>
      </c>
      <c r="Q1203" t="s">
        <v>66</v>
      </c>
      <c r="R1203" t="s">
        <v>56</v>
      </c>
      <c r="S1203" t="s">
        <v>50</v>
      </c>
      <c r="T1203">
        <f>YEAR(Table1_1[[#This Row],[order_date]])</f>
        <v>2025</v>
      </c>
      <c r="U1203">
        <f>MONTH(Table1_1[[#This Row],[order_date]])</f>
        <v>7</v>
      </c>
      <c r="V1203" t="str">
        <f>TEXT(Table1_1[[#This Row],[order_date]],"mmm")</f>
        <v>Jul</v>
      </c>
      <c r="W1203" t="str">
        <f>"Q"&amp;ROUNDUP(MONTH(Table1_1[[#This Row],[order_date]])/3,0)</f>
        <v>Q3</v>
      </c>
      <c r="X1203" t="str">
        <f>TEXT(Table1_1[[#This Row],[order_date]],"yyyy-mm")</f>
        <v>2025-07</v>
      </c>
      <c r="Y1203">
        <f>IF(Table1_1[[#This Row],[ship_date]]="","",Table1_1[[#This Row],[ship_date]]-Table1_1[[#This Row],[order_date]])</f>
        <v>2</v>
      </c>
      <c r="Z1203">
        <f>ROUND(Table1_1[[#This Row],[profit]]/Table1_1[[#This Row],[sales_fix]]*100,2)</f>
        <v>33.32</v>
      </c>
    </row>
    <row r="1204" spans="1:26" x14ac:dyDescent="0.3">
      <c r="A1204" t="s">
        <v>665</v>
      </c>
      <c r="B1204" s="1">
        <v>45899</v>
      </c>
      <c r="C1204" s="1">
        <v>45907</v>
      </c>
      <c r="D1204" t="s">
        <v>76</v>
      </c>
      <c r="E1204" t="s">
        <v>666</v>
      </c>
      <c r="F1204" t="s">
        <v>23</v>
      </c>
      <c r="G1204" t="s">
        <v>61</v>
      </c>
      <c r="H1204" t="s">
        <v>78</v>
      </c>
      <c r="I1204" t="s">
        <v>147</v>
      </c>
      <c r="J1204" t="s">
        <v>148</v>
      </c>
      <c r="K1204" t="s">
        <v>48</v>
      </c>
      <c r="L1204">
        <v>1</v>
      </c>
      <c r="M1204">
        <v>250</v>
      </c>
      <c r="N1204">
        <v>0</v>
      </c>
      <c r="O1204">
        <v>250</v>
      </c>
      <c r="P1204">
        <v>86.13</v>
      </c>
      <c r="Q1204" t="s">
        <v>39</v>
      </c>
      <c r="R1204" t="s">
        <v>56</v>
      </c>
      <c r="S1204" t="s">
        <v>40</v>
      </c>
      <c r="T1204">
        <f>YEAR(Table1_1[[#This Row],[order_date]])</f>
        <v>2025</v>
      </c>
      <c r="U1204">
        <f>MONTH(Table1_1[[#This Row],[order_date]])</f>
        <v>8</v>
      </c>
      <c r="V1204" t="str">
        <f>TEXT(Table1_1[[#This Row],[order_date]],"mmm")</f>
        <v>Aug</v>
      </c>
      <c r="W1204" t="str">
        <f>"Q"&amp;ROUNDUP(MONTH(Table1_1[[#This Row],[order_date]])/3,0)</f>
        <v>Q3</v>
      </c>
      <c r="X1204" t="str">
        <f>TEXT(Table1_1[[#This Row],[order_date]],"yyyy-mm")</f>
        <v>2025-08</v>
      </c>
      <c r="Y1204">
        <f>IF(Table1_1[[#This Row],[ship_date]]="","",Table1_1[[#This Row],[ship_date]]-Table1_1[[#This Row],[order_date]])</f>
        <v>8</v>
      </c>
      <c r="Z1204">
        <f>ROUND(Table1_1[[#This Row],[profit]]/Table1_1[[#This Row],[sales_fix]]*100,2)</f>
        <v>34.450000000000003</v>
      </c>
    </row>
    <row r="1205" spans="1:26" x14ac:dyDescent="0.3">
      <c r="A1205" t="s">
        <v>293</v>
      </c>
      <c r="B1205" s="1">
        <v>45797</v>
      </c>
      <c r="C1205" s="1">
        <v>45800</v>
      </c>
      <c r="D1205" t="s">
        <v>59</v>
      </c>
      <c r="E1205" t="s">
        <v>60</v>
      </c>
      <c r="F1205" t="s">
        <v>23</v>
      </c>
      <c r="G1205" t="s">
        <v>61</v>
      </c>
      <c r="H1205" t="s">
        <v>62</v>
      </c>
      <c r="I1205" t="s">
        <v>114</v>
      </c>
      <c r="J1205" t="s">
        <v>115</v>
      </c>
      <c r="K1205" t="s">
        <v>65</v>
      </c>
      <c r="L1205">
        <v>1</v>
      </c>
      <c r="M1205">
        <v>55000</v>
      </c>
      <c r="N1205">
        <v>0</v>
      </c>
      <c r="O1205">
        <v>55000</v>
      </c>
      <c r="P1205">
        <v>9862.42</v>
      </c>
      <c r="Q1205" t="s">
        <v>66</v>
      </c>
      <c r="R1205" t="s">
        <v>49</v>
      </c>
      <c r="S1205" t="s">
        <v>40</v>
      </c>
      <c r="T1205">
        <f>YEAR(Table1_1[[#This Row],[order_date]])</f>
        <v>2025</v>
      </c>
      <c r="U1205">
        <f>MONTH(Table1_1[[#This Row],[order_date]])</f>
        <v>5</v>
      </c>
      <c r="V1205" t="str">
        <f>TEXT(Table1_1[[#This Row],[order_date]],"mmm")</f>
        <v>May</v>
      </c>
      <c r="W1205" t="str">
        <f>"Q"&amp;ROUNDUP(MONTH(Table1_1[[#This Row],[order_date]])/3,0)</f>
        <v>Q2</v>
      </c>
      <c r="X1205" t="str">
        <f>TEXT(Table1_1[[#This Row],[order_date]],"yyyy-mm")</f>
        <v>2025-05</v>
      </c>
      <c r="Y1205">
        <f>IF(Table1_1[[#This Row],[ship_date]]="","",Table1_1[[#This Row],[ship_date]]-Table1_1[[#This Row],[order_date]])</f>
        <v>3</v>
      </c>
      <c r="Z1205">
        <f>ROUND(Table1_1[[#This Row],[profit]]/Table1_1[[#This Row],[sales_fix]]*100,2)</f>
        <v>17.93</v>
      </c>
    </row>
    <row r="1206" spans="1:26" x14ac:dyDescent="0.3">
      <c r="A1206" t="s">
        <v>1432</v>
      </c>
      <c r="B1206" s="1">
        <v>45566</v>
      </c>
      <c r="C1206" s="1">
        <v>45574</v>
      </c>
      <c r="D1206" t="s">
        <v>373</v>
      </c>
      <c r="E1206" t="s">
        <v>374</v>
      </c>
      <c r="F1206" t="s">
        <v>55</v>
      </c>
      <c r="G1206" t="s">
        <v>35</v>
      </c>
      <c r="H1206" t="s">
        <v>85</v>
      </c>
      <c r="I1206" t="s">
        <v>114</v>
      </c>
      <c r="J1206" t="s">
        <v>115</v>
      </c>
      <c r="K1206" t="s">
        <v>65</v>
      </c>
      <c r="L1206">
        <v>3</v>
      </c>
      <c r="M1206">
        <v>55000</v>
      </c>
      <c r="N1206">
        <v>20</v>
      </c>
      <c r="O1206">
        <v>132000</v>
      </c>
      <c r="P1206">
        <v>21276.86</v>
      </c>
      <c r="Q1206" t="s">
        <v>74</v>
      </c>
      <c r="R1206" t="s">
        <v>56</v>
      </c>
      <c r="S1206" t="s">
        <v>50</v>
      </c>
      <c r="T1206">
        <f>YEAR(Table1_1[[#This Row],[order_date]])</f>
        <v>2024</v>
      </c>
      <c r="U1206">
        <f>MONTH(Table1_1[[#This Row],[order_date]])</f>
        <v>10</v>
      </c>
      <c r="V1206" t="str">
        <f>TEXT(Table1_1[[#This Row],[order_date]],"mmm")</f>
        <v>Oct</v>
      </c>
      <c r="W1206" t="str">
        <f>"Q"&amp;ROUNDUP(MONTH(Table1_1[[#This Row],[order_date]])/3,0)</f>
        <v>Q4</v>
      </c>
      <c r="X1206" t="str">
        <f>TEXT(Table1_1[[#This Row],[order_date]],"yyyy-mm")</f>
        <v>2024-10</v>
      </c>
      <c r="Y1206">
        <f>IF(Table1_1[[#This Row],[ship_date]]="","",Table1_1[[#This Row],[ship_date]]-Table1_1[[#This Row],[order_date]])</f>
        <v>8</v>
      </c>
      <c r="Z1206">
        <f>ROUND(Table1_1[[#This Row],[profit]]/Table1_1[[#This Row],[sales_fix]]*100,2)</f>
        <v>16.12</v>
      </c>
    </row>
    <row r="1207" spans="1:26" x14ac:dyDescent="0.3">
      <c r="A1207" t="s">
        <v>440</v>
      </c>
      <c r="B1207" s="1">
        <v>46017</v>
      </c>
      <c r="C1207" s="1">
        <v>46019</v>
      </c>
      <c r="D1207" t="s">
        <v>227</v>
      </c>
      <c r="E1207" t="s">
        <v>228</v>
      </c>
      <c r="F1207" t="s">
        <v>23</v>
      </c>
      <c r="G1207" t="s">
        <v>61</v>
      </c>
      <c r="H1207" t="s">
        <v>62</v>
      </c>
      <c r="I1207" t="s">
        <v>147</v>
      </c>
      <c r="J1207" t="s">
        <v>148</v>
      </c>
      <c r="K1207" t="s">
        <v>48</v>
      </c>
      <c r="L1207">
        <v>2</v>
      </c>
      <c r="M1207">
        <v>250</v>
      </c>
      <c r="N1207">
        <v>15</v>
      </c>
      <c r="O1207">
        <v>425</v>
      </c>
      <c r="P1207">
        <v>186.51</v>
      </c>
      <c r="Q1207" t="s">
        <v>66</v>
      </c>
      <c r="R1207" t="s">
        <v>441</v>
      </c>
      <c r="S1207" t="s">
        <v>86</v>
      </c>
      <c r="T1207">
        <f>YEAR(Table1_1[[#This Row],[order_date]])</f>
        <v>2025</v>
      </c>
      <c r="U1207">
        <f>MONTH(Table1_1[[#This Row],[order_date]])</f>
        <v>12</v>
      </c>
      <c r="V1207" t="str">
        <f>TEXT(Table1_1[[#This Row],[order_date]],"mmm")</f>
        <v>Dec</v>
      </c>
      <c r="W1207" t="str">
        <f>"Q"&amp;ROUNDUP(MONTH(Table1_1[[#This Row],[order_date]])/3,0)</f>
        <v>Q4</v>
      </c>
      <c r="X1207" t="str">
        <f>TEXT(Table1_1[[#This Row],[order_date]],"yyyy-mm")</f>
        <v>2025-12</v>
      </c>
      <c r="Y1207">
        <f>IF(Table1_1[[#This Row],[ship_date]]="","",Table1_1[[#This Row],[ship_date]]-Table1_1[[#This Row],[order_date]])</f>
        <v>2</v>
      </c>
      <c r="Z1207">
        <f>ROUND(Table1_1[[#This Row],[profit]]/Table1_1[[#This Row],[sales_fix]]*100,2)</f>
        <v>43.88</v>
      </c>
    </row>
    <row r="1208" spans="1:26" x14ac:dyDescent="0.3">
      <c r="A1208" t="s">
        <v>2435</v>
      </c>
      <c r="B1208" s="1">
        <v>45305</v>
      </c>
      <c r="C1208" s="1">
        <v>45309</v>
      </c>
      <c r="D1208" t="s">
        <v>1262</v>
      </c>
      <c r="E1208" t="s">
        <v>1263</v>
      </c>
      <c r="F1208" t="s">
        <v>23</v>
      </c>
      <c r="G1208" t="s">
        <v>91</v>
      </c>
      <c r="H1208" t="s">
        <v>120</v>
      </c>
      <c r="I1208" t="s">
        <v>79</v>
      </c>
      <c r="J1208" t="s">
        <v>80</v>
      </c>
      <c r="K1208" t="s">
        <v>65</v>
      </c>
      <c r="L1208">
        <v>1</v>
      </c>
      <c r="M1208">
        <v>3000</v>
      </c>
      <c r="N1208">
        <v>15</v>
      </c>
      <c r="O1208">
        <v>2550</v>
      </c>
      <c r="P1208">
        <v>572.66999999999996</v>
      </c>
      <c r="Q1208" t="s">
        <v>28</v>
      </c>
      <c r="R1208" t="s">
        <v>49</v>
      </c>
      <c r="S1208" t="s">
        <v>86</v>
      </c>
      <c r="T1208">
        <f>YEAR(Table1_1[[#This Row],[order_date]])</f>
        <v>2024</v>
      </c>
      <c r="U1208">
        <f>MONTH(Table1_1[[#This Row],[order_date]])</f>
        <v>1</v>
      </c>
      <c r="V1208" t="str">
        <f>TEXT(Table1_1[[#This Row],[order_date]],"mmm")</f>
        <v>Jan</v>
      </c>
      <c r="W1208" t="str">
        <f>"Q"&amp;ROUNDUP(MONTH(Table1_1[[#This Row],[order_date]])/3,0)</f>
        <v>Q1</v>
      </c>
      <c r="X1208" t="str">
        <f>TEXT(Table1_1[[#This Row],[order_date]],"yyyy-mm")</f>
        <v>2024-01</v>
      </c>
      <c r="Y1208">
        <f>IF(Table1_1[[#This Row],[ship_date]]="","",Table1_1[[#This Row],[ship_date]]-Table1_1[[#This Row],[order_date]])</f>
        <v>4</v>
      </c>
      <c r="Z1208">
        <f>ROUND(Table1_1[[#This Row],[profit]]/Table1_1[[#This Row],[sales_fix]]*100,2)</f>
        <v>22.46</v>
      </c>
    </row>
    <row r="1209" spans="1:26" x14ac:dyDescent="0.3">
      <c r="A1209" t="s">
        <v>2857</v>
      </c>
      <c r="B1209" s="1">
        <v>45466</v>
      </c>
      <c r="C1209" s="1">
        <v>45473</v>
      </c>
      <c r="D1209" t="s">
        <v>470</v>
      </c>
      <c r="E1209" t="s">
        <v>471</v>
      </c>
      <c r="F1209" t="s">
        <v>23</v>
      </c>
      <c r="G1209" t="s">
        <v>61</v>
      </c>
      <c r="H1209" t="s">
        <v>62</v>
      </c>
      <c r="I1209" t="s">
        <v>147</v>
      </c>
      <c r="J1209" t="s">
        <v>148</v>
      </c>
      <c r="K1209" t="s">
        <v>48</v>
      </c>
      <c r="L1209">
        <v>2</v>
      </c>
      <c r="M1209">
        <v>250</v>
      </c>
      <c r="N1209">
        <v>10</v>
      </c>
      <c r="O1209">
        <v>450</v>
      </c>
      <c r="P1209">
        <v>161.08000000000001</v>
      </c>
      <c r="Q1209" t="s">
        <v>28</v>
      </c>
      <c r="R1209" t="s">
        <v>29</v>
      </c>
      <c r="S1209" t="s">
        <v>110</v>
      </c>
      <c r="T1209">
        <f>YEAR(Table1_1[[#This Row],[order_date]])</f>
        <v>2024</v>
      </c>
      <c r="U1209">
        <f>MONTH(Table1_1[[#This Row],[order_date]])</f>
        <v>6</v>
      </c>
      <c r="V1209" t="str">
        <f>TEXT(Table1_1[[#This Row],[order_date]],"mmm")</f>
        <v>Jun</v>
      </c>
      <c r="W1209" t="str">
        <f>"Q"&amp;ROUNDUP(MONTH(Table1_1[[#This Row],[order_date]])/3,0)</f>
        <v>Q2</v>
      </c>
      <c r="X1209" t="str">
        <f>TEXT(Table1_1[[#This Row],[order_date]],"yyyy-mm")</f>
        <v>2024-06</v>
      </c>
      <c r="Y1209">
        <f>IF(Table1_1[[#This Row],[ship_date]]="","",Table1_1[[#This Row],[ship_date]]-Table1_1[[#This Row],[order_date]])</f>
        <v>7</v>
      </c>
      <c r="Z1209">
        <f>ROUND(Table1_1[[#This Row],[profit]]/Table1_1[[#This Row],[sales_fix]]*100,2)</f>
        <v>35.799999999999997</v>
      </c>
    </row>
    <row r="1210" spans="1:26" x14ac:dyDescent="0.3">
      <c r="A1210" t="s">
        <v>2910</v>
      </c>
      <c r="B1210" s="1">
        <v>45593</v>
      </c>
      <c r="C1210" s="1">
        <v>45599</v>
      </c>
      <c r="D1210" t="s">
        <v>395</v>
      </c>
      <c r="E1210" t="s">
        <v>396</v>
      </c>
      <c r="F1210" t="s">
        <v>55</v>
      </c>
      <c r="G1210" t="s">
        <v>44</v>
      </c>
      <c r="H1210" t="s">
        <v>161</v>
      </c>
      <c r="I1210" t="s">
        <v>134</v>
      </c>
      <c r="J1210" t="s">
        <v>135</v>
      </c>
      <c r="K1210" t="s">
        <v>27</v>
      </c>
      <c r="L1210">
        <v>4</v>
      </c>
      <c r="M1210">
        <v>6000</v>
      </c>
      <c r="N1210">
        <v>0</v>
      </c>
      <c r="O1210">
        <v>24000</v>
      </c>
      <c r="P1210">
        <v>5235.79</v>
      </c>
      <c r="Q1210" t="s">
        <v>39</v>
      </c>
      <c r="R1210" t="s">
        <v>56</v>
      </c>
      <c r="S1210" t="s">
        <v>50</v>
      </c>
      <c r="T1210">
        <f>YEAR(Table1_1[[#This Row],[order_date]])</f>
        <v>2024</v>
      </c>
      <c r="U1210">
        <f>MONTH(Table1_1[[#This Row],[order_date]])</f>
        <v>10</v>
      </c>
      <c r="V1210" t="str">
        <f>TEXT(Table1_1[[#This Row],[order_date]],"mmm")</f>
        <v>Oct</v>
      </c>
      <c r="W1210" t="str">
        <f>"Q"&amp;ROUNDUP(MONTH(Table1_1[[#This Row],[order_date]])/3,0)</f>
        <v>Q4</v>
      </c>
      <c r="X1210" t="str">
        <f>TEXT(Table1_1[[#This Row],[order_date]],"yyyy-mm")</f>
        <v>2024-10</v>
      </c>
      <c r="Y1210">
        <f>IF(Table1_1[[#This Row],[ship_date]]="","",Table1_1[[#This Row],[ship_date]]-Table1_1[[#This Row],[order_date]])</f>
        <v>6</v>
      </c>
      <c r="Z1210">
        <f>ROUND(Table1_1[[#This Row],[profit]]/Table1_1[[#This Row],[sales_fix]]*100,2)</f>
        <v>21.82</v>
      </c>
    </row>
    <row r="1211" spans="1:26" x14ac:dyDescent="0.3">
      <c r="A1211" t="s">
        <v>2337</v>
      </c>
      <c r="B1211" s="1">
        <v>45827</v>
      </c>
      <c r="C1211" s="1">
        <v>45833</v>
      </c>
      <c r="D1211" t="s">
        <v>657</v>
      </c>
      <c r="E1211" t="s">
        <v>658</v>
      </c>
      <c r="F1211" t="s">
        <v>34</v>
      </c>
      <c r="G1211" t="s">
        <v>91</v>
      </c>
      <c r="H1211" t="s">
        <v>120</v>
      </c>
      <c r="I1211" t="s">
        <v>25</v>
      </c>
      <c r="J1211" t="s">
        <v>26</v>
      </c>
      <c r="K1211" t="s">
        <v>27</v>
      </c>
      <c r="L1211">
        <v>3</v>
      </c>
      <c r="M1211">
        <v>7000</v>
      </c>
      <c r="N1211">
        <v>20</v>
      </c>
      <c r="O1211">
        <v>16800</v>
      </c>
      <c r="P1211">
        <v>3494.94</v>
      </c>
      <c r="Q1211" t="s">
        <v>39</v>
      </c>
      <c r="R1211" t="s">
        <v>56</v>
      </c>
      <c r="S1211" t="s">
        <v>110</v>
      </c>
      <c r="T1211">
        <f>YEAR(Table1_1[[#This Row],[order_date]])</f>
        <v>2025</v>
      </c>
      <c r="U1211">
        <f>MONTH(Table1_1[[#This Row],[order_date]])</f>
        <v>6</v>
      </c>
      <c r="V1211" t="str">
        <f>TEXT(Table1_1[[#This Row],[order_date]],"mmm")</f>
        <v>Jun</v>
      </c>
      <c r="W1211" t="str">
        <f>"Q"&amp;ROUNDUP(MONTH(Table1_1[[#This Row],[order_date]])/3,0)</f>
        <v>Q2</v>
      </c>
      <c r="X1211" t="str">
        <f>TEXT(Table1_1[[#This Row],[order_date]],"yyyy-mm")</f>
        <v>2025-06</v>
      </c>
      <c r="Y1211">
        <f>IF(Table1_1[[#This Row],[ship_date]]="","",Table1_1[[#This Row],[ship_date]]-Table1_1[[#This Row],[order_date]])</f>
        <v>6</v>
      </c>
      <c r="Z1211">
        <f>ROUND(Table1_1[[#This Row],[profit]]/Table1_1[[#This Row],[sales_fix]]*100,2)</f>
        <v>20.8</v>
      </c>
    </row>
    <row r="1212" spans="1:26" x14ac:dyDescent="0.3">
      <c r="A1212" t="s">
        <v>1567</v>
      </c>
      <c r="B1212" s="1">
        <v>45507</v>
      </c>
      <c r="C1212" s="1">
        <v>45510</v>
      </c>
      <c r="D1212" t="s">
        <v>1388</v>
      </c>
      <c r="E1212" t="s">
        <v>1389</v>
      </c>
      <c r="F1212" t="s">
        <v>34</v>
      </c>
      <c r="G1212" t="s">
        <v>61</v>
      </c>
      <c r="H1212" t="s">
        <v>78</v>
      </c>
      <c r="I1212" t="s">
        <v>147</v>
      </c>
      <c r="J1212" t="s">
        <v>148</v>
      </c>
      <c r="K1212" t="s">
        <v>48</v>
      </c>
      <c r="L1212">
        <v>5</v>
      </c>
      <c r="M1212">
        <v>250</v>
      </c>
      <c r="N1212">
        <v>15</v>
      </c>
      <c r="O1212">
        <v>1062.5</v>
      </c>
      <c r="P1212">
        <v>419.92</v>
      </c>
      <c r="Q1212" t="s">
        <v>121</v>
      </c>
      <c r="R1212" t="s">
        <v>56</v>
      </c>
      <c r="S1212" t="s">
        <v>30</v>
      </c>
      <c r="T1212">
        <f>YEAR(Table1_1[[#This Row],[order_date]])</f>
        <v>2024</v>
      </c>
      <c r="U1212">
        <f>MONTH(Table1_1[[#This Row],[order_date]])</f>
        <v>8</v>
      </c>
      <c r="V1212" t="str">
        <f>TEXT(Table1_1[[#This Row],[order_date]],"mmm")</f>
        <v>Aug</v>
      </c>
      <c r="W1212" t="str">
        <f>"Q"&amp;ROUNDUP(MONTH(Table1_1[[#This Row],[order_date]])/3,0)</f>
        <v>Q3</v>
      </c>
      <c r="X1212" t="str">
        <f>TEXT(Table1_1[[#This Row],[order_date]],"yyyy-mm")</f>
        <v>2024-08</v>
      </c>
      <c r="Y1212">
        <f>IF(Table1_1[[#This Row],[ship_date]]="","",Table1_1[[#This Row],[ship_date]]-Table1_1[[#This Row],[order_date]])</f>
        <v>3</v>
      </c>
      <c r="Z1212">
        <f>ROUND(Table1_1[[#This Row],[profit]]/Table1_1[[#This Row],[sales_fix]]*100,2)</f>
        <v>39.520000000000003</v>
      </c>
    </row>
    <row r="1213" spans="1:26" x14ac:dyDescent="0.3">
      <c r="A1213" t="s">
        <v>1155</v>
      </c>
      <c r="B1213" s="1">
        <v>45718</v>
      </c>
      <c r="C1213" s="1">
        <v>45719</v>
      </c>
      <c r="D1213" t="s">
        <v>613</v>
      </c>
      <c r="E1213" t="s">
        <v>614</v>
      </c>
      <c r="F1213" t="s">
        <v>55</v>
      </c>
      <c r="G1213" t="s">
        <v>61</v>
      </c>
      <c r="H1213" t="s">
        <v>211</v>
      </c>
      <c r="I1213" t="s">
        <v>37</v>
      </c>
      <c r="J1213" t="s">
        <v>38</v>
      </c>
      <c r="K1213" t="s">
        <v>27</v>
      </c>
      <c r="L1213">
        <v>1</v>
      </c>
      <c r="M1213">
        <v>9500</v>
      </c>
      <c r="N1213">
        <v>5</v>
      </c>
      <c r="O1213">
        <v>9025</v>
      </c>
      <c r="P1213">
        <v>1311.91</v>
      </c>
      <c r="Q1213" t="s">
        <v>74</v>
      </c>
      <c r="R1213" t="s">
        <v>56</v>
      </c>
      <c r="S1213" t="s">
        <v>50</v>
      </c>
      <c r="T1213">
        <f>YEAR(Table1_1[[#This Row],[order_date]])</f>
        <v>2025</v>
      </c>
      <c r="U1213">
        <f>MONTH(Table1_1[[#This Row],[order_date]])</f>
        <v>3</v>
      </c>
      <c r="V1213" t="str">
        <f>TEXT(Table1_1[[#This Row],[order_date]],"mmm")</f>
        <v>Mar</v>
      </c>
      <c r="W1213" t="str">
        <f>"Q"&amp;ROUNDUP(MONTH(Table1_1[[#This Row],[order_date]])/3,0)</f>
        <v>Q1</v>
      </c>
      <c r="X1213" t="str">
        <f>TEXT(Table1_1[[#This Row],[order_date]],"yyyy-mm")</f>
        <v>2025-03</v>
      </c>
      <c r="Y1213">
        <f>IF(Table1_1[[#This Row],[ship_date]]="","",Table1_1[[#This Row],[ship_date]]-Table1_1[[#This Row],[order_date]])</f>
        <v>1</v>
      </c>
      <c r="Z1213">
        <f>ROUND(Table1_1[[#This Row],[profit]]/Table1_1[[#This Row],[sales_fix]]*100,2)</f>
        <v>14.54</v>
      </c>
    </row>
    <row r="1214" spans="1:26" x14ac:dyDescent="0.3">
      <c r="A1214" t="s">
        <v>3010</v>
      </c>
      <c r="B1214" s="1">
        <v>45388</v>
      </c>
      <c r="C1214" s="1">
        <v>45396</v>
      </c>
      <c r="D1214" t="s">
        <v>1643</v>
      </c>
      <c r="E1214" t="s">
        <v>1644</v>
      </c>
      <c r="F1214" t="s">
        <v>55</v>
      </c>
      <c r="G1214" t="s">
        <v>91</v>
      </c>
      <c r="H1214" t="s">
        <v>120</v>
      </c>
      <c r="I1214" t="s">
        <v>71</v>
      </c>
      <c r="J1214" t="s">
        <v>72</v>
      </c>
      <c r="K1214" t="s">
        <v>73</v>
      </c>
      <c r="L1214">
        <v>2</v>
      </c>
      <c r="M1214">
        <v>3500</v>
      </c>
      <c r="N1214">
        <v>0</v>
      </c>
      <c r="O1214">
        <v>7000</v>
      </c>
      <c r="P1214">
        <v>1652.86</v>
      </c>
      <c r="Q1214" t="s">
        <v>39</v>
      </c>
      <c r="R1214" t="s">
        <v>29</v>
      </c>
      <c r="S1214" t="s">
        <v>86</v>
      </c>
      <c r="T1214">
        <f>YEAR(Table1_1[[#This Row],[order_date]])</f>
        <v>2024</v>
      </c>
      <c r="U1214">
        <f>MONTH(Table1_1[[#This Row],[order_date]])</f>
        <v>4</v>
      </c>
      <c r="V1214" t="str">
        <f>TEXT(Table1_1[[#This Row],[order_date]],"mmm")</f>
        <v>Apr</v>
      </c>
      <c r="W1214" t="str">
        <f>"Q"&amp;ROUNDUP(MONTH(Table1_1[[#This Row],[order_date]])/3,0)</f>
        <v>Q2</v>
      </c>
      <c r="X1214" t="str">
        <f>TEXT(Table1_1[[#This Row],[order_date]],"yyyy-mm")</f>
        <v>2024-04</v>
      </c>
      <c r="Y1214">
        <f>IF(Table1_1[[#This Row],[ship_date]]="","",Table1_1[[#This Row],[ship_date]]-Table1_1[[#This Row],[order_date]])</f>
        <v>8</v>
      </c>
      <c r="Z1214">
        <f>ROUND(Table1_1[[#This Row],[profit]]/Table1_1[[#This Row],[sales_fix]]*100,2)</f>
        <v>23.61</v>
      </c>
    </row>
    <row r="1215" spans="1:26" x14ac:dyDescent="0.3">
      <c r="A1215" t="s">
        <v>2174</v>
      </c>
      <c r="B1215" s="1">
        <v>45864</v>
      </c>
      <c r="C1215" s="1">
        <v>45868</v>
      </c>
      <c r="D1215" t="s">
        <v>409</v>
      </c>
      <c r="E1215" t="s">
        <v>410</v>
      </c>
      <c r="F1215" t="s">
        <v>23</v>
      </c>
      <c r="G1215" t="s">
        <v>61</v>
      </c>
      <c r="H1215" t="s">
        <v>125</v>
      </c>
      <c r="I1215" t="s">
        <v>126</v>
      </c>
      <c r="J1215" t="s">
        <v>127</v>
      </c>
      <c r="K1215" t="s">
        <v>95</v>
      </c>
      <c r="L1215">
        <v>4</v>
      </c>
      <c r="M1215">
        <v>600</v>
      </c>
      <c r="N1215">
        <v>0</v>
      </c>
      <c r="O1215">
        <v>2400</v>
      </c>
      <c r="P1215">
        <v>867.79</v>
      </c>
      <c r="Q1215" t="s">
        <v>3113</v>
      </c>
      <c r="R1215" t="s">
        <v>49</v>
      </c>
      <c r="S1215" t="s">
        <v>30</v>
      </c>
      <c r="T1215">
        <f>YEAR(Table1_1[[#This Row],[order_date]])</f>
        <v>2025</v>
      </c>
      <c r="U1215">
        <f>MONTH(Table1_1[[#This Row],[order_date]])</f>
        <v>7</v>
      </c>
      <c r="V1215" t="str">
        <f>TEXT(Table1_1[[#This Row],[order_date]],"mmm")</f>
        <v>Jul</v>
      </c>
      <c r="W1215" t="str">
        <f>"Q"&amp;ROUNDUP(MONTH(Table1_1[[#This Row],[order_date]])/3,0)</f>
        <v>Q3</v>
      </c>
      <c r="X1215" t="str">
        <f>TEXT(Table1_1[[#This Row],[order_date]],"yyyy-mm")</f>
        <v>2025-07</v>
      </c>
      <c r="Y1215">
        <f>IF(Table1_1[[#This Row],[ship_date]]="","",Table1_1[[#This Row],[ship_date]]-Table1_1[[#This Row],[order_date]])</f>
        <v>4</v>
      </c>
      <c r="Z1215">
        <f>ROUND(Table1_1[[#This Row],[profit]]/Table1_1[[#This Row],[sales_fix]]*100,2)</f>
        <v>36.159999999999997</v>
      </c>
    </row>
    <row r="1216" spans="1:26" x14ac:dyDescent="0.3">
      <c r="A1216" t="s">
        <v>1186</v>
      </c>
      <c r="B1216" s="1">
        <v>45605</v>
      </c>
      <c r="C1216" s="1">
        <v>45609</v>
      </c>
      <c r="D1216" t="s">
        <v>1188</v>
      </c>
      <c r="E1216" t="s">
        <v>1189</v>
      </c>
      <c r="F1216" t="s">
        <v>55</v>
      </c>
      <c r="G1216" t="s">
        <v>61</v>
      </c>
      <c r="H1216" t="s">
        <v>125</v>
      </c>
      <c r="I1216" t="s">
        <v>71</v>
      </c>
      <c r="J1216" t="s">
        <v>72</v>
      </c>
      <c r="K1216" t="s">
        <v>73</v>
      </c>
      <c r="L1216">
        <v>3</v>
      </c>
      <c r="M1216">
        <v>3500</v>
      </c>
      <c r="N1216">
        <v>0</v>
      </c>
      <c r="O1216">
        <v>10500</v>
      </c>
      <c r="P1216">
        <v>3106.13</v>
      </c>
      <c r="Q1216" t="s">
        <v>66</v>
      </c>
      <c r="R1216" t="s">
        <v>56</v>
      </c>
      <c r="S1216" t="s">
        <v>50</v>
      </c>
      <c r="T1216">
        <f>YEAR(Table1_1[[#This Row],[order_date]])</f>
        <v>2024</v>
      </c>
      <c r="U1216">
        <f>MONTH(Table1_1[[#This Row],[order_date]])</f>
        <v>11</v>
      </c>
      <c r="V1216" t="str">
        <f>TEXT(Table1_1[[#This Row],[order_date]],"mmm")</f>
        <v>Nov</v>
      </c>
      <c r="W1216" t="str">
        <f>"Q"&amp;ROUNDUP(MONTH(Table1_1[[#This Row],[order_date]])/3,0)</f>
        <v>Q4</v>
      </c>
      <c r="X1216" t="str">
        <f>TEXT(Table1_1[[#This Row],[order_date]],"yyyy-mm")</f>
        <v>2024-11</v>
      </c>
      <c r="Y1216">
        <f>IF(Table1_1[[#This Row],[ship_date]]="","",Table1_1[[#This Row],[ship_date]]-Table1_1[[#This Row],[order_date]])</f>
        <v>4</v>
      </c>
      <c r="Z1216">
        <f>ROUND(Table1_1[[#This Row],[profit]]/Table1_1[[#This Row],[sales_fix]]*100,2)</f>
        <v>29.58</v>
      </c>
    </row>
    <row r="1217" spans="1:26" x14ac:dyDescent="0.3">
      <c r="A1217" t="s">
        <v>2276</v>
      </c>
      <c r="B1217" s="1">
        <v>45513</v>
      </c>
      <c r="C1217" s="1">
        <v>45516</v>
      </c>
      <c r="D1217" t="s">
        <v>1184</v>
      </c>
      <c r="E1217" t="s">
        <v>1185</v>
      </c>
      <c r="F1217" t="s">
        <v>55</v>
      </c>
      <c r="G1217" t="s">
        <v>91</v>
      </c>
      <c r="H1217" t="s">
        <v>109</v>
      </c>
      <c r="I1217" t="s">
        <v>71</v>
      </c>
      <c r="J1217" t="s">
        <v>72</v>
      </c>
      <c r="K1217" t="s">
        <v>73</v>
      </c>
      <c r="L1217">
        <v>1</v>
      </c>
      <c r="M1217">
        <v>3500</v>
      </c>
      <c r="N1217">
        <v>0</v>
      </c>
      <c r="O1217">
        <v>3500</v>
      </c>
      <c r="P1217">
        <v>1036.52</v>
      </c>
      <c r="Q1217" t="s">
        <v>39</v>
      </c>
      <c r="R1217" t="s">
        <v>56</v>
      </c>
      <c r="S1217" t="s">
        <v>30</v>
      </c>
      <c r="T1217">
        <f>YEAR(Table1_1[[#This Row],[order_date]])</f>
        <v>2024</v>
      </c>
      <c r="U1217">
        <f>MONTH(Table1_1[[#This Row],[order_date]])</f>
        <v>8</v>
      </c>
      <c r="V1217" t="str">
        <f>TEXT(Table1_1[[#This Row],[order_date]],"mmm")</f>
        <v>Aug</v>
      </c>
      <c r="W1217" t="str">
        <f>"Q"&amp;ROUNDUP(MONTH(Table1_1[[#This Row],[order_date]])/3,0)</f>
        <v>Q3</v>
      </c>
      <c r="X1217" t="str">
        <f>TEXT(Table1_1[[#This Row],[order_date]],"yyyy-mm")</f>
        <v>2024-08</v>
      </c>
      <c r="Y1217">
        <f>IF(Table1_1[[#This Row],[ship_date]]="","",Table1_1[[#This Row],[ship_date]]-Table1_1[[#This Row],[order_date]])</f>
        <v>3</v>
      </c>
      <c r="Z1217">
        <f>ROUND(Table1_1[[#This Row],[profit]]/Table1_1[[#This Row],[sales_fix]]*100,2)</f>
        <v>29.61</v>
      </c>
    </row>
    <row r="1218" spans="1:26" x14ac:dyDescent="0.3">
      <c r="A1218" t="s">
        <v>2010</v>
      </c>
      <c r="B1218" s="1">
        <v>45898</v>
      </c>
      <c r="C1218" s="1">
        <v>45906</v>
      </c>
      <c r="D1218" t="s">
        <v>1506</v>
      </c>
      <c r="E1218" t="s">
        <v>1507</v>
      </c>
      <c r="F1218" t="s">
        <v>55</v>
      </c>
      <c r="G1218" t="s">
        <v>61</v>
      </c>
      <c r="H1218" t="s">
        <v>78</v>
      </c>
      <c r="I1218" t="s">
        <v>93</v>
      </c>
      <c r="J1218" t="s">
        <v>94</v>
      </c>
      <c r="K1218" t="s">
        <v>95</v>
      </c>
      <c r="L1218">
        <v>2</v>
      </c>
      <c r="M1218">
        <v>1800</v>
      </c>
      <c r="N1218">
        <v>20</v>
      </c>
      <c r="O1218">
        <v>2880</v>
      </c>
      <c r="P1218">
        <v>1002.87</v>
      </c>
      <c r="Q1218" t="s">
        <v>121</v>
      </c>
      <c r="R1218" t="s">
        <v>29</v>
      </c>
      <c r="S1218" t="s">
        <v>86</v>
      </c>
      <c r="T1218">
        <f>YEAR(Table1_1[[#This Row],[order_date]])</f>
        <v>2025</v>
      </c>
      <c r="U1218">
        <f>MONTH(Table1_1[[#This Row],[order_date]])</f>
        <v>8</v>
      </c>
      <c r="V1218" t="str">
        <f>TEXT(Table1_1[[#This Row],[order_date]],"mmm")</f>
        <v>Aug</v>
      </c>
      <c r="W1218" t="str">
        <f>"Q"&amp;ROUNDUP(MONTH(Table1_1[[#This Row],[order_date]])/3,0)</f>
        <v>Q3</v>
      </c>
      <c r="X1218" t="str">
        <f>TEXT(Table1_1[[#This Row],[order_date]],"yyyy-mm")</f>
        <v>2025-08</v>
      </c>
      <c r="Y1218">
        <f>IF(Table1_1[[#This Row],[ship_date]]="","",Table1_1[[#This Row],[ship_date]]-Table1_1[[#This Row],[order_date]])</f>
        <v>8</v>
      </c>
      <c r="Z1218">
        <f>ROUND(Table1_1[[#This Row],[profit]]/Table1_1[[#This Row],[sales_fix]]*100,2)</f>
        <v>34.82</v>
      </c>
    </row>
    <row r="1219" spans="1:26" x14ac:dyDescent="0.3">
      <c r="A1219" t="s">
        <v>2878</v>
      </c>
      <c r="B1219" s="1">
        <v>45385</v>
      </c>
      <c r="C1219" s="1">
        <v>45388</v>
      </c>
      <c r="D1219" t="s">
        <v>1205</v>
      </c>
      <c r="E1219" t="s">
        <v>1206</v>
      </c>
      <c r="F1219" t="s">
        <v>34</v>
      </c>
      <c r="G1219" t="s">
        <v>44</v>
      </c>
      <c r="H1219" t="s">
        <v>45</v>
      </c>
      <c r="I1219" t="s">
        <v>103</v>
      </c>
      <c r="J1219" t="s">
        <v>104</v>
      </c>
      <c r="K1219" t="s">
        <v>65</v>
      </c>
      <c r="L1219">
        <v>5</v>
      </c>
      <c r="M1219">
        <v>8000</v>
      </c>
      <c r="N1219">
        <v>10</v>
      </c>
      <c r="O1219">
        <v>36000</v>
      </c>
      <c r="P1219">
        <v>6827.37</v>
      </c>
      <c r="Q1219" t="s">
        <v>28</v>
      </c>
      <c r="R1219" t="s">
        <v>29</v>
      </c>
      <c r="S1219" t="s">
        <v>110</v>
      </c>
      <c r="T1219">
        <f>YEAR(Table1_1[[#This Row],[order_date]])</f>
        <v>2024</v>
      </c>
      <c r="U1219">
        <f>MONTH(Table1_1[[#This Row],[order_date]])</f>
        <v>4</v>
      </c>
      <c r="V1219" t="str">
        <f>TEXT(Table1_1[[#This Row],[order_date]],"mmm")</f>
        <v>Apr</v>
      </c>
      <c r="W1219" t="str">
        <f>"Q"&amp;ROUNDUP(MONTH(Table1_1[[#This Row],[order_date]])/3,0)</f>
        <v>Q2</v>
      </c>
      <c r="X1219" t="str">
        <f>TEXT(Table1_1[[#This Row],[order_date]],"yyyy-mm")</f>
        <v>2024-04</v>
      </c>
      <c r="Y1219">
        <f>IF(Table1_1[[#This Row],[ship_date]]="","",Table1_1[[#This Row],[ship_date]]-Table1_1[[#This Row],[order_date]])</f>
        <v>3</v>
      </c>
      <c r="Z1219">
        <f>ROUND(Table1_1[[#This Row],[profit]]/Table1_1[[#This Row],[sales_fix]]*100,2)</f>
        <v>18.96</v>
      </c>
    </row>
    <row r="1220" spans="1:26" x14ac:dyDescent="0.3">
      <c r="A1220" t="s">
        <v>2250</v>
      </c>
      <c r="B1220" s="1">
        <v>45432</v>
      </c>
      <c r="C1220" s="1">
        <v>45440</v>
      </c>
      <c r="D1220" t="s">
        <v>1889</v>
      </c>
      <c r="E1220" t="s">
        <v>1890</v>
      </c>
      <c r="F1220" t="s">
        <v>55</v>
      </c>
      <c r="G1220" t="s">
        <v>91</v>
      </c>
      <c r="H1220" t="s">
        <v>120</v>
      </c>
      <c r="I1220" t="s">
        <v>114</v>
      </c>
      <c r="J1220" t="s">
        <v>115</v>
      </c>
      <c r="K1220" t="s">
        <v>65</v>
      </c>
      <c r="L1220">
        <v>2</v>
      </c>
      <c r="M1220">
        <v>55000</v>
      </c>
      <c r="N1220">
        <v>5</v>
      </c>
      <c r="O1220">
        <v>104500</v>
      </c>
      <c r="P1220">
        <v>16367.75</v>
      </c>
      <c r="Q1220" t="s">
        <v>74</v>
      </c>
      <c r="R1220" t="s">
        <v>567</v>
      </c>
      <c r="S1220" t="s">
        <v>40</v>
      </c>
      <c r="T1220">
        <f>YEAR(Table1_1[[#This Row],[order_date]])</f>
        <v>2024</v>
      </c>
      <c r="U1220">
        <f>MONTH(Table1_1[[#This Row],[order_date]])</f>
        <v>5</v>
      </c>
      <c r="V1220" t="str">
        <f>TEXT(Table1_1[[#This Row],[order_date]],"mmm")</f>
        <v>May</v>
      </c>
      <c r="W1220" t="str">
        <f>"Q"&amp;ROUNDUP(MONTH(Table1_1[[#This Row],[order_date]])/3,0)</f>
        <v>Q2</v>
      </c>
      <c r="X1220" t="str">
        <f>TEXT(Table1_1[[#This Row],[order_date]],"yyyy-mm")</f>
        <v>2024-05</v>
      </c>
      <c r="Y1220">
        <f>IF(Table1_1[[#This Row],[ship_date]]="","",Table1_1[[#This Row],[ship_date]]-Table1_1[[#This Row],[order_date]])</f>
        <v>8</v>
      </c>
      <c r="Z1220">
        <f>ROUND(Table1_1[[#This Row],[profit]]/Table1_1[[#This Row],[sales_fix]]*100,2)</f>
        <v>15.66</v>
      </c>
    </row>
    <row r="1221" spans="1:26" x14ac:dyDescent="0.3">
      <c r="A1221" t="s">
        <v>1941</v>
      </c>
      <c r="B1221" s="1">
        <v>45865</v>
      </c>
      <c r="C1221" s="1">
        <v>45873</v>
      </c>
      <c r="D1221" t="s">
        <v>395</v>
      </c>
      <c r="E1221" t="s">
        <v>396</v>
      </c>
      <c r="F1221" t="s">
        <v>55</v>
      </c>
      <c r="G1221" t="s">
        <v>44</v>
      </c>
      <c r="H1221" t="s">
        <v>161</v>
      </c>
      <c r="I1221" t="s">
        <v>103</v>
      </c>
      <c r="J1221" t="s">
        <v>104</v>
      </c>
      <c r="K1221" t="s">
        <v>65</v>
      </c>
      <c r="L1221">
        <v>1</v>
      </c>
      <c r="M1221">
        <v>8000</v>
      </c>
      <c r="N1221">
        <v>20</v>
      </c>
      <c r="O1221">
        <v>6400</v>
      </c>
      <c r="P1221">
        <v>1366.74</v>
      </c>
      <c r="Q1221" t="s">
        <v>74</v>
      </c>
      <c r="R1221" t="s">
        <v>49</v>
      </c>
      <c r="S1221" t="s">
        <v>40</v>
      </c>
      <c r="T1221">
        <f>YEAR(Table1_1[[#This Row],[order_date]])</f>
        <v>2025</v>
      </c>
      <c r="U1221">
        <f>MONTH(Table1_1[[#This Row],[order_date]])</f>
        <v>7</v>
      </c>
      <c r="V1221" t="str">
        <f>TEXT(Table1_1[[#This Row],[order_date]],"mmm")</f>
        <v>Jul</v>
      </c>
      <c r="W1221" t="str">
        <f>"Q"&amp;ROUNDUP(MONTH(Table1_1[[#This Row],[order_date]])/3,0)</f>
        <v>Q3</v>
      </c>
      <c r="X1221" t="str">
        <f>TEXT(Table1_1[[#This Row],[order_date]],"yyyy-mm")</f>
        <v>2025-07</v>
      </c>
      <c r="Y1221">
        <f>IF(Table1_1[[#This Row],[ship_date]]="","",Table1_1[[#This Row],[ship_date]]-Table1_1[[#This Row],[order_date]])</f>
        <v>8</v>
      </c>
      <c r="Z1221">
        <f>ROUND(Table1_1[[#This Row],[profit]]/Table1_1[[#This Row],[sales_fix]]*100,2)</f>
        <v>21.36</v>
      </c>
    </row>
    <row r="1222" spans="1:26" x14ac:dyDescent="0.3">
      <c r="A1222" t="s">
        <v>2640</v>
      </c>
      <c r="B1222" s="1">
        <v>45372</v>
      </c>
      <c r="C1222" s="1">
        <v>45375</v>
      </c>
      <c r="D1222" t="s">
        <v>1152</v>
      </c>
      <c r="E1222" t="s">
        <v>1153</v>
      </c>
      <c r="F1222" t="s">
        <v>55</v>
      </c>
      <c r="G1222" t="s">
        <v>61</v>
      </c>
      <c r="H1222" t="s">
        <v>211</v>
      </c>
      <c r="I1222" t="s">
        <v>46</v>
      </c>
      <c r="J1222" t="s">
        <v>47</v>
      </c>
      <c r="K1222" t="s">
        <v>48</v>
      </c>
      <c r="L1222">
        <v>4</v>
      </c>
      <c r="M1222">
        <v>180</v>
      </c>
      <c r="N1222">
        <v>20</v>
      </c>
      <c r="O1222">
        <v>576</v>
      </c>
      <c r="P1222">
        <v>203.62</v>
      </c>
      <c r="Q1222" t="s">
        <v>156</v>
      </c>
      <c r="R1222" t="s">
        <v>49</v>
      </c>
      <c r="S1222" t="s">
        <v>50</v>
      </c>
      <c r="T1222">
        <f>YEAR(Table1_1[[#This Row],[order_date]])</f>
        <v>2024</v>
      </c>
      <c r="U1222">
        <f>MONTH(Table1_1[[#This Row],[order_date]])</f>
        <v>3</v>
      </c>
      <c r="V1222" t="str">
        <f>TEXT(Table1_1[[#This Row],[order_date]],"mmm")</f>
        <v>Mar</v>
      </c>
      <c r="W1222" t="str">
        <f>"Q"&amp;ROUNDUP(MONTH(Table1_1[[#This Row],[order_date]])/3,0)</f>
        <v>Q1</v>
      </c>
      <c r="X1222" t="str">
        <f>TEXT(Table1_1[[#This Row],[order_date]],"yyyy-mm")</f>
        <v>2024-03</v>
      </c>
      <c r="Y1222">
        <f>IF(Table1_1[[#This Row],[ship_date]]="","",Table1_1[[#This Row],[ship_date]]-Table1_1[[#This Row],[order_date]])</f>
        <v>3</v>
      </c>
      <c r="Z1222">
        <f>ROUND(Table1_1[[#This Row],[profit]]/Table1_1[[#This Row],[sales_fix]]*100,2)</f>
        <v>35.35</v>
      </c>
    </row>
    <row r="1223" spans="1:26" x14ac:dyDescent="0.3">
      <c r="A1223" t="s">
        <v>2568</v>
      </c>
      <c r="B1223" s="1">
        <v>45744</v>
      </c>
      <c r="C1223" s="1">
        <v>45746</v>
      </c>
      <c r="D1223" t="s">
        <v>2290</v>
      </c>
      <c r="E1223" t="s">
        <v>2291</v>
      </c>
      <c r="F1223" t="s">
        <v>55</v>
      </c>
      <c r="G1223" t="s">
        <v>35</v>
      </c>
      <c r="H1223" t="s">
        <v>85</v>
      </c>
      <c r="I1223" t="s">
        <v>46</v>
      </c>
      <c r="J1223" t="s">
        <v>47</v>
      </c>
      <c r="K1223" t="s">
        <v>48</v>
      </c>
      <c r="L1223">
        <v>2</v>
      </c>
      <c r="M1223">
        <v>180</v>
      </c>
      <c r="N1223">
        <v>20</v>
      </c>
      <c r="O1223">
        <v>288</v>
      </c>
      <c r="P1223">
        <v>103.71</v>
      </c>
      <c r="Q1223" t="s">
        <v>39</v>
      </c>
      <c r="R1223" t="s">
        <v>49</v>
      </c>
      <c r="S1223" t="s">
        <v>110</v>
      </c>
      <c r="T1223">
        <f>YEAR(Table1_1[[#This Row],[order_date]])</f>
        <v>2025</v>
      </c>
      <c r="U1223">
        <f>MONTH(Table1_1[[#This Row],[order_date]])</f>
        <v>3</v>
      </c>
      <c r="V1223" t="str">
        <f>TEXT(Table1_1[[#This Row],[order_date]],"mmm")</f>
        <v>Mar</v>
      </c>
      <c r="W1223" t="str">
        <f>"Q"&amp;ROUNDUP(MONTH(Table1_1[[#This Row],[order_date]])/3,0)</f>
        <v>Q1</v>
      </c>
      <c r="X1223" t="str">
        <f>TEXT(Table1_1[[#This Row],[order_date]],"yyyy-mm")</f>
        <v>2025-03</v>
      </c>
      <c r="Y1223">
        <f>IF(Table1_1[[#This Row],[ship_date]]="","",Table1_1[[#This Row],[ship_date]]-Table1_1[[#This Row],[order_date]])</f>
        <v>2</v>
      </c>
      <c r="Z1223">
        <f>ROUND(Table1_1[[#This Row],[profit]]/Table1_1[[#This Row],[sales_fix]]*100,2)</f>
        <v>36.01</v>
      </c>
    </row>
    <row r="1224" spans="1:26" x14ac:dyDescent="0.3">
      <c r="A1224" t="s">
        <v>2659</v>
      </c>
      <c r="B1224" s="1">
        <v>45666</v>
      </c>
      <c r="C1224" s="1">
        <v>45673</v>
      </c>
      <c r="D1224" t="s">
        <v>220</v>
      </c>
      <c r="E1224" t="s">
        <v>221</v>
      </c>
      <c r="F1224" t="s">
        <v>34</v>
      </c>
      <c r="G1224" t="s">
        <v>44</v>
      </c>
      <c r="H1224" t="s">
        <v>161</v>
      </c>
      <c r="I1224" t="s">
        <v>114</v>
      </c>
      <c r="J1224" t="s">
        <v>115</v>
      </c>
      <c r="K1224" t="s">
        <v>65</v>
      </c>
      <c r="L1224">
        <v>4</v>
      </c>
      <c r="M1224">
        <v>55000</v>
      </c>
      <c r="N1224">
        <v>20</v>
      </c>
      <c r="O1224">
        <v>176000</v>
      </c>
      <c r="P1224">
        <v>30666.74</v>
      </c>
      <c r="Q1224" t="s">
        <v>121</v>
      </c>
      <c r="R1224" t="s">
        <v>56</v>
      </c>
      <c r="S1224" t="s">
        <v>40</v>
      </c>
      <c r="T1224">
        <f>YEAR(Table1_1[[#This Row],[order_date]])</f>
        <v>2025</v>
      </c>
      <c r="U1224">
        <f>MONTH(Table1_1[[#This Row],[order_date]])</f>
        <v>1</v>
      </c>
      <c r="V1224" t="str">
        <f>TEXT(Table1_1[[#This Row],[order_date]],"mmm")</f>
        <v>Jan</v>
      </c>
      <c r="W1224" t="str">
        <f>"Q"&amp;ROUNDUP(MONTH(Table1_1[[#This Row],[order_date]])/3,0)</f>
        <v>Q1</v>
      </c>
      <c r="X1224" t="str">
        <f>TEXT(Table1_1[[#This Row],[order_date]],"yyyy-mm")</f>
        <v>2025-01</v>
      </c>
      <c r="Y1224">
        <f>IF(Table1_1[[#This Row],[ship_date]]="","",Table1_1[[#This Row],[ship_date]]-Table1_1[[#This Row],[order_date]])</f>
        <v>7</v>
      </c>
      <c r="Z1224">
        <f>ROUND(Table1_1[[#This Row],[profit]]/Table1_1[[#This Row],[sales_fix]]*100,2)</f>
        <v>17.420000000000002</v>
      </c>
    </row>
    <row r="1225" spans="1:26" x14ac:dyDescent="0.3">
      <c r="A1225" t="s">
        <v>2760</v>
      </c>
      <c r="B1225" s="1">
        <v>45675</v>
      </c>
      <c r="C1225" s="1">
        <v>45679</v>
      </c>
      <c r="D1225" t="s">
        <v>21</v>
      </c>
      <c r="E1225" t="s">
        <v>22</v>
      </c>
      <c r="F1225" t="s">
        <v>23</v>
      </c>
      <c r="G1225" t="s">
        <v>44</v>
      </c>
      <c r="H1225" t="s">
        <v>24</v>
      </c>
      <c r="I1225" t="s">
        <v>134</v>
      </c>
      <c r="J1225" t="s">
        <v>135</v>
      </c>
      <c r="K1225" t="s">
        <v>27</v>
      </c>
      <c r="L1225">
        <v>1</v>
      </c>
      <c r="M1225">
        <v>6000</v>
      </c>
      <c r="N1225">
        <v>15</v>
      </c>
      <c r="O1225">
        <v>5100</v>
      </c>
      <c r="P1225">
        <v>1344.17</v>
      </c>
      <c r="Q1225" t="s">
        <v>28</v>
      </c>
      <c r="R1225" t="s">
        <v>49</v>
      </c>
      <c r="S1225" t="s">
        <v>40</v>
      </c>
      <c r="T1225">
        <f>YEAR(Table1_1[[#This Row],[order_date]])</f>
        <v>2025</v>
      </c>
      <c r="U1225">
        <f>MONTH(Table1_1[[#This Row],[order_date]])</f>
        <v>1</v>
      </c>
      <c r="V1225" t="str">
        <f>TEXT(Table1_1[[#This Row],[order_date]],"mmm")</f>
        <v>Jan</v>
      </c>
      <c r="W1225" t="str">
        <f>"Q"&amp;ROUNDUP(MONTH(Table1_1[[#This Row],[order_date]])/3,0)</f>
        <v>Q1</v>
      </c>
      <c r="X1225" t="str">
        <f>TEXT(Table1_1[[#This Row],[order_date]],"yyyy-mm")</f>
        <v>2025-01</v>
      </c>
      <c r="Y1225">
        <f>IF(Table1_1[[#This Row],[ship_date]]="","",Table1_1[[#This Row],[ship_date]]-Table1_1[[#This Row],[order_date]])</f>
        <v>4</v>
      </c>
      <c r="Z1225">
        <f>ROUND(Table1_1[[#This Row],[profit]]/Table1_1[[#This Row],[sales_fix]]*100,2)</f>
        <v>26.36</v>
      </c>
    </row>
    <row r="1226" spans="1:26" x14ac:dyDescent="0.3">
      <c r="A1226" t="s">
        <v>2421</v>
      </c>
      <c r="B1226" s="1">
        <v>45892</v>
      </c>
      <c r="C1226" s="1">
        <v>45897</v>
      </c>
      <c r="D1226" t="s">
        <v>1588</v>
      </c>
      <c r="E1226" t="s">
        <v>1589</v>
      </c>
      <c r="F1226" t="s">
        <v>34</v>
      </c>
      <c r="G1226" t="s">
        <v>61</v>
      </c>
      <c r="H1226" t="s">
        <v>78</v>
      </c>
      <c r="I1226" t="s">
        <v>114</v>
      </c>
      <c r="J1226" t="s">
        <v>115</v>
      </c>
      <c r="K1226" t="s">
        <v>65</v>
      </c>
      <c r="L1226">
        <v>1</v>
      </c>
      <c r="M1226">
        <v>55000</v>
      </c>
      <c r="N1226">
        <v>0</v>
      </c>
      <c r="O1226">
        <v>55000</v>
      </c>
      <c r="P1226">
        <v>10537.72</v>
      </c>
      <c r="Q1226" t="s">
        <v>39</v>
      </c>
      <c r="R1226" t="s">
        <v>29</v>
      </c>
      <c r="S1226" t="s">
        <v>40</v>
      </c>
      <c r="T1226">
        <f>YEAR(Table1_1[[#This Row],[order_date]])</f>
        <v>2025</v>
      </c>
      <c r="U1226">
        <f>MONTH(Table1_1[[#This Row],[order_date]])</f>
        <v>8</v>
      </c>
      <c r="V1226" t="str">
        <f>TEXT(Table1_1[[#This Row],[order_date]],"mmm")</f>
        <v>Aug</v>
      </c>
      <c r="W1226" t="str">
        <f>"Q"&amp;ROUNDUP(MONTH(Table1_1[[#This Row],[order_date]])/3,0)</f>
        <v>Q3</v>
      </c>
      <c r="X1226" t="str">
        <f>TEXT(Table1_1[[#This Row],[order_date]],"yyyy-mm")</f>
        <v>2025-08</v>
      </c>
      <c r="Y1226">
        <f>IF(Table1_1[[#This Row],[ship_date]]="","",Table1_1[[#This Row],[ship_date]]-Table1_1[[#This Row],[order_date]])</f>
        <v>5</v>
      </c>
      <c r="Z1226">
        <f>ROUND(Table1_1[[#This Row],[profit]]/Table1_1[[#This Row],[sales_fix]]*100,2)</f>
        <v>19.16</v>
      </c>
    </row>
    <row r="1227" spans="1:26" x14ac:dyDescent="0.3">
      <c r="A1227" t="s">
        <v>619</v>
      </c>
      <c r="B1227" s="1">
        <v>45954</v>
      </c>
      <c r="C1227" s="1">
        <v>45959</v>
      </c>
      <c r="D1227" t="s">
        <v>621</v>
      </c>
      <c r="E1227" t="s">
        <v>622</v>
      </c>
      <c r="F1227" t="s">
        <v>55</v>
      </c>
      <c r="G1227" t="s">
        <v>91</v>
      </c>
      <c r="H1227" t="s">
        <v>109</v>
      </c>
      <c r="I1227" t="s">
        <v>114</v>
      </c>
      <c r="J1227" t="s">
        <v>115</v>
      </c>
      <c r="K1227" t="s">
        <v>65</v>
      </c>
      <c r="L1227">
        <v>2</v>
      </c>
      <c r="M1227">
        <v>55000</v>
      </c>
      <c r="N1227">
        <v>0</v>
      </c>
      <c r="O1227">
        <v>110000</v>
      </c>
      <c r="P1227">
        <v>21746.240000000002</v>
      </c>
      <c r="Q1227" t="s">
        <v>74</v>
      </c>
      <c r="R1227" t="s">
        <v>56</v>
      </c>
      <c r="S1227" t="s">
        <v>86</v>
      </c>
      <c r="T1227">
        <f>YEAR(Table1_1[[#This Row],[order_date]])</f>
        <v>2025</v>
      </c>
      <c r="U1227">
        <f>MONTH(Table1_1[[#This Row],[order_date]])</f>
        <v>10</v>
      </c>
      <c r="V1227" t="str">
        <f>TEXT(Table1_1[[#This Row],[order_date]],"mmm")</f>
        <v>Oct</v>
      </c>
      <c r="W1227" t="str">
        <f>"Q"&amp;ROUNDUP(MONTH(Table1_1[[#This Row],[order_date]])/3,0)</f>
        <v>Q4</v>
      </c>
      <c r="X1227" t="str">
        <f>TEXT(Table1_1[[#This Row],[order_date]],"yyyy-mm")</f>
        <v>2025-10</v>
      </c>
      <c r="Y1227">
        <f>IF(Table1_1[[#This Row],[ship_date]]="","",Table1_1[[#This Row],[ship_date]]-Table1_1[[#This Row],[order_date]])</f>
        <v>5</v>
      </c>
      <c r="Z1227">
        <f>ROUND(Table1_1[[#This Row],[profit]]/Table1_1[[#This Row],[sales_fix]]*100,2)</f>
        <v>19.77</v>
      </c>
    </row>
    <row r="1228" spans="1:26" x14ac:dyDescent="0.3">
      <c r="A1228" t="s">
        <v>1199</v>
      </c>
      <c r="B1228" s="1">
        <v>45774</v>
      </c>
      <c r="C1228" s="1">
        <v>45777</v>
      </c>
      <c r="D1228" t="s">
        <v>272</v>
      </c>
      <c r="E1228" t="s">
        <v>273</v>
      </c>
      <c r="F1228" t="s">
        <v>23</v>
      </c>
      <c r="G1228" t="s">
        <v>35</v>
      </c>
      <c r="H1228" t="s">
        <v>258</v>
      </c>
      <c r="I1228" t="s">
        <v>114</v>
      </c>
      <c r="J1228" t="s">
        <v>115</v>
      </c>
      <c r="K1228" t="s">
        <v>65</v>
      </c>
      <c r="L1228">
        <v>10</v>
      </c>
      <c r="M1228">
        <v>55000</v>
      </c>
      <c r="N1228">
        <v>15</v>
      </c>
      <c r="O1228">
        <v>467500</v>
      </c>
      <c r="P1228">
        <v>74202.820000000007</v>
      </c>
      <c r="Q1228" t="s">
        <v>28</v>
      </c>
      <c r="R1228" t="s">
        <v>56</v>
      </c>
      <c r="S1228" t="s">
        <v>40</v>
      </c>
      <c r="T1228">
        <f>YEAR(Table1_1[[#This Row],[order_date]])</f>
        <v>2025</v>
      </c>
      <c r="U1228">
        <f>MONTH(Table1_1[[#This Row],[order_date]])</f>
        <v>4</v>
      </c>
      <c r="V1228" t="str">
        <f>TEXT(Table1_1[[#This Row],[order_date]],"mmm")</f>
        <v>Apr</v>
      </c>
      <c r="W1228" t="str">
        <f>"Q"&amp;ROUNDUP(MONTH(Table1_1[[#This Row],[order_date]])/3,0)</f>
        <v>Q2</v>
      </c>
      <c r="X1228" t="str">
        <f>TEXT(Table1_1[[#This Row],[order_date]],"yyyy-mm")</f>
        <v>2025-04</v>
      </c>
      <c r="Y1228">
        <f>IF(Table1_1[[#This Row],[ship_date]]="","",Table1_1[[#This Row],[ship_date]]-Table1_1[[#This Row],[order_date]])</f>
        <v>3</v>
      </c>
      <c r="Z1228">
        <f>ROUND(Table1_1[[#This Row],[profit]]/Table1_1[[#This Row],[sales_fix]]*100,2)</f>
        <v>15.87</v>
      </c>
    </row>
    <row r="1229" spans="1:26" x14ac:dyDescent="0.3">
      <c r="A1229" t="s">
        <v>2016</v>
      </c>
      <c r="B1229" s="1">
        <v>45670</v>
      </c>
      <c r="C1229" s="1">
        <v>45673</v>
      </c>
      <c r="D1229" t="s">
        <v>774</v>
      </c>
      <c r="E1229" t="s">
        <v>775</v>
      </c>
      <c r="F1229" t="s">
        <v>55</v>
      </c>
      <c r="G1229" t="s">
        <v>61</v>
      </c>
      <c r="H1229" t="s">
        <v>211</v>
      </c>
      <c r="I1229" t="s">
        <v>114</v>
      </c>
      <c r="J1229" t="s">
        <v>115</v>
      </c>
      <c r="K1229" t="s">
        <v>65</v>
      </c>
      <c r="L1229">
        <v>1</v>
      </c>
      <c r="M1229">
        <v>55000</v>
      </c>
      <c r="N1229">
        <v>15</v>
      </c>
      <c r="O1229">
        <v>46750</v>
      </c>
      <c r="P1229">
        <v>6406.14</v>
      </c>
      <c r="Q1229" t="s">
        <v>121</v>
      </c>
      <c r="R1229" t="s">
        <v>29</v>
      </c>
      <c r="S1229" t="s">
        <v>30</v>
      </c>
      <c r="T1229">
        <f>YEAR(Table1_1[[#This Row],[order_date]])</f>
        <v>2025</v>
      </c>
      <c r="U1229">
        <f>MONTH(Table1_1[[#This Row],[order_date]])</f>
        <v>1</v>
      </c>
      <c r="V1229" t="str">
        <f>TEXT(Table1_1[[#This Row],[order_date]],"mmm")</f>
        <v>Jan</v>
      </c>
      <c r="W1229" t="str">
        <f>"Q"&amp;ROUNDUP(MONTH(Table1_1[[#This Row],[order_date]])/3,0)</f>
        <v>Q1</v>
      </c>
      <c r="X1229" t="str">
        <f>TEXT(Table1_1[[#This Row],[order_date]],"yyyy-mm")</f>
        <v>2025-01</v>
      </c>
      <c r="Y1229">
        <f>IF(Table1_1[[#This Row],[ship_date]]="","",Table1_1[[#This Row],[ship_date]]-Table1_1[[#This Row],[order_date]])</f>
        <v>3</v>
      </c>
      <c r="Z1229">
        <f>ROUND(Table1_1[[#This Row],[profit]]/Table1_1[[#This Row],[sales_fix]]*100,2)</f>
        <v>13.7</v>
      </c>
    </row>
    <row r="1230" spans="1:26" x14ac:dyDescent="0.3">
      <c r="A1230" t="s">
        <v>1923</v>
      </c>
      <c r="B1230" s="1">
        <v>45746</v>
      </c>
      <c r="C1230" s="1">
        <v>45751</v>
      </c>
      <c r="D1230" t="s">
        <v>421</v>
      </c>
      <c r="E1230" t="s">
        <v>422</v>
      </c>
      <c r="F1230" t="s">
        <v>34</v>
      </c>
      <c r="G1230" t="s">
        <v>61</v>
      </c>
      <c r="H1230" t="s">
        <v>211</v>
      </c>
      <c r="I1230" t="s">
        <v>114</v>
      </c>
      <c r="J1230" t="s">
        <v>115</v>
      </c>
      <c r="K1230" t="s">
        <v>65</v>
      </c>
      <c r="L1230">
        <v>2</v>
      </c>
      <c r="M1230">
        <v>55000</v>
      </c>
      <c r="N1230">
        <v>0</v>
      </c>
      <c r="O1230">
        <v>110000</v>
      </c>
      <c r="P1230">
        <v>16348.75</v>
      </c>
      <c r="Q1230" t="s">
        <v>121</v>
      </c>
      <c r="R1230" t="s">
        <v>56</v>
      </c>
      <c r="S1230" t="s">
        <v>40</v>
      </c>
      <c r="T1230">
        <f>YEAR(Table1_1[[#This Row],[order_date]])</f>
        <v>2025</v>
      </c>
      <c r="U1230">
        <f>MONTH(Table1_1[[#This Row],[order_date]])</f>
        <v>3</v>
      </c>
      <c r="V1230" t="str">
        <f>TEXT(Table1_1[[#This Row],[order_date]],"mmm")</f>
        <v>Mar</v>
      </c>
      <c r="W1230" t="str">
        <f>"Q"&amp;ROUNDUP(MONTH(Table1_1[[#This Row],[order_date]])/3,0)</f>
        <v>Q1</v>
      </c>
      <c r="X1230" t="str">
        <f>TEXT(Table1_1[[#This Row],[order_date]],"yyyy-mm")</f>
        <v>2025-03</v>
      </c>
      <c r="Y1230">
        <f>IF(Table1_1[[#This Row],[ship_date]]="","",Table1_1[[#This Row],[ship_date]]-Table1_1[[#This Row],[order_date]])</f>
        <v>5</v>
      </c>
      <c r="Z1230">
        <f>ROUND(Table1_1[[#This Row],[profit]]/Table1_1[[#This Row],[sales_fix]]*100,2)</f>
        <v>14.86</v>
      </c>
    </row>
    <row r="1231" spans="1:26" x14ac:dyDescent="0.3">
      <c r="A1231" t="s">
        <v>1170</v>
      </c>
      <c r="B1231" s="1">
        <v>45980</v>
      </c>
      <c r="C1231" s="1">
        <v>45986</v>
      </c>
      <c r="D1231" t="s">
        <v>1171</v>
      </c>
      <c r="E1231" t="s">
        <v>1172</v>
      </c>
      <c r="F1231" t="s">
        <v>34</v>
      </c>
      <c r="G1231" t="s">
        <v>35</v>
      </c>
      <c r="H1231" t="s">
        <v>85</v>
      </c>
      <c r="I1231" t="s">
        <v>37</v>
      </c>
      <c r="J1231" t="s">
        <v>38</v>
      </c>
      <c r="K1231" t="s">
        <v>27</v>
      </c>
      <c r="L1231">
        <v>1</v>
      </c>
      <c r="M1231">
        <v>9500</v>
      </c>
      <c r="N1231">
        <v>15</v>
      </c>
      <c r="O1231">
        <v>8075</v>
      </c>
      <c r="P1231">
        <v>1239.81</v>
      </c>
      <c r="Q1231" t="s">
        <v>39</v>
      </c>
      <c r="R1231" t="s">
        <v>29</v>
      </c>
      <c r="S1231" t="s">
        <v>30</v>
      </c>
      <c r="T1231">
        <f>YEAR(Table1_1[[#This Row],[order_date]])</f>
        <v>2025</v>
      </c>
      <c r="U1231">
        <f>MONTH(Table1_1[[#This Row],[order_date]])</f>
        <v>11</v>
      </c>
      <c r="V1231" t="str">
        <f>TEXT(Table1_1[[#This Row],[order_date]],"mmm")</f>
        <v>Nov</v>
      </c>
      <c r="W1231" t="str">
        <f>"Q"&amp;ROUNDUP(MONTH(Table1_1[[#This Row],[order_date]])/3,0)</f>
        <v>Q4</v>
      </c>
      <c r="X1231" t="str">
        <f>TEXT(Table1_1[[#This Row],[order_date]],"yyyy-mm")</f>
        <v>2025-11</v>
      </c>
      <c r="Y1231">
        <f>IF(Table1_1[[#This Row],[ship_date]]="","",Table1_1[[#This Row],[ship_date]]-Table1_1[[#This Row],[order_date]])</f>
        <v>6</v>
      </c>
      <c r="Z1231">
        <f>ROUND(Table1_1[[#This Row],[profit]]/Table1_1[[#This Row],[sales_fix]]*100,2)</f>
        <v>15.35</v>
      </c>
    </row>
    <row r="1232" spans="1:26" x14ac:dyDescent="0.3">
      <c r="A1232" t="s">
        <v>2824</v>
      </c>
      <c r="B1232" s="1">
        <v>45977</v>
      </c>
      <c r="C1232" s="1">
        <v>45982</v>
      </c>
      <c r="D1232" t="s">
        <v>318</v>
      </c>
      <c r="E1232" t="s">
        <v>319</v>
      </c>
      <c r="F1232" t="s">
        <v>55</v>
      </c>
      <c r="G1232" t="s">
        <v>35</v>
      </c>
      <c r="H1232" t="s">
        <v>36</v>
      </c>
      <c r="I1232" t="s">
        <v>126</v>
      </c>
      <c r="J1232" t="s">
        <v>127</v>
      </c>
      <c r="K1232" t="s">
        <v>95</v>
      </c>
      <c r="L1232">
        <v>1</v>
      </c>
      <c r="M1232">
        <v>600</v>
      </c>
      <c r="N1232">
        <v>20</v>
      </c>
      <c r="O1232">
        <v>480</v>
      </c>
      <c r="P1232">
        <v>164.27</v>
      </c>
      <c r="Q1232" t="s">
        <v>66</v>
      </c>
      <c r="R1232" t="s">
        <v>29</v>
      </c>
      <c r="S1232" t="s">
        <v>30</v>
      </c>
      <c r="T1232">
        <f>YEAR(Table1_1[[#This Row],[order_date]])</f>
        <v>2025</v>
      </c>
      <c r="U1232">
        <f>MONTH(Table1_1[[#This Row],[order_date]])</f>
        <v>11</v>
      </c>
      <c r="V1232" t="str">
        <f>TEXT(Table1_1[[#This Row],[order_date]],"mmm")</f>
        <v>Nov</v>
      </c>
      <c r="W1232" t="str">
        <f>"Q"&amp;ROUNDUP(MONTH(Table1_1[[#This Row],[order_date]])/3,0)</f>
        <v>Q4</v>
      </c>
      <c r="X1232" t="str">
        <f>TEXT(Table1_1[[#This Row],[order_date]],"yyyy-mm")</f>
        <v>2025-11</v>
      </c>
      <c r="Y1232">
        <f>IF(Table1_1[[#This Row],[ship_date]]="","",Table1_1[[#This Row],[ship_date]]-Table1_1[[#This Row],[order_date]])</f>
        <v>5</v>
      </c>
      <c r="Z1232">
        <f>ROUND(Table1_1[[#This Row],[profit]]/Table1_1[[#This Row],[sales_fix]]*100,2)</f>
        <v>34.22</v>
      </c>
    </row>
    <row r="1233" spans="1:26" x14ac:dyDescent="0.3">
      <c r="A1233" t="s">
        <v>2024</v>
      </c>
      <c r="B1233" s="1">
        <v>45915</v>
      </c>
      <c r="C1233" s="1">
        <v>45916</v>
      </c>
      <c r="D1233" t="s">
        <v>592</v>
      </c>
      <c r="E1233" t="s">
        <v>593</v>
      </c>
      <c r="F1233" t="s">
        <v>55</v>
      </c>
      <c r="G1233" t="s">
        <v>35</v>
      </c>
      <c r="H1233" t="s">
        <v>258</v>
      </c>
      <c r="I1233" t="s">
        <v>25</v>
      </c>
      <c r="J1233" t="s">
        <v>26</v>
      </c>
      <c r="K1233" t="s">
        <v>27</v>
      </c>
      <c r="L1233">
        <v>1</v>
      </c>
      <c r="M1233">
        <v>7000</v>
      </c>
      <c r="N1233">
        <v>10</v>
      </c>
      <c r="O1233">
        <v>6300</v>
      </c>
      <c r="P1233">
        <v>1197.0899999999999</v>
      </c>
      <c r="Q1233" t="s">
        <v>74</v>
      </c>
      <c r="R1233" t="s">
        <v>49</v>
      </c>
      <c r="S1233" t="s">
        <v>40</v>
      </c>
      <c r="T1233">
        <f>YEAR(Table1_1[[#This Row],[order_date]])</f>
        <v>2025</v>
      </c>
      <c r="U1233">
        <f>MONTH(Table1_1[[#This Row],[order_date]])</f>
        <v>9</v>
      </c>
      <c r="V1233" t="str">
        <f>TEXT(Table1_1[[#This Row],[order_date]],"mmm")</f>
        <v>Sep</v>
      </c>
      <c r="W1233" t="str">
        <f>"Q"&amp;ROUNDUP(MONTH(Table1_1[[#This Row],[order_date]])/3,0)</f>
        <v>Q3</v>
      </c>
      <c r="X1233" t="str">
        <f>TEXT(Table1_1[[#This Row],[order_date]],"yyyy-mm")</f>
        <v>2025-09</v>
      </c>
      <c r="Y1233">
        <f>IF(Table1_1[[#This Row],[ship_date]]="","",Table1_1[[#This Row],[ship_date]]-Table1_1[[#This Row],[order_date]])</f>
        <v>1</v>
      </c>
      <c r="Z1233">
        <f>ROUND(Table1_1[[#This Row],[profit]]/Table1_1[[#This Row],[sales_fix]]*100,2)</f>
        <v>19</v>
      </c>
    </row>
    <row r="1234" spans="1:26" x14ac:dyDescent="0.3">
      <c r="A1234" t="s">
        <v>408</v>
      </c>
      <c r="B1234" s="1">
        <v>45641</v>
      </c>
      <c r="C1234" s="1">
        <v>45649</v>
      </c>
      <c r="D1234" t="s">
        <v>409</v>
      </c>
      <c r="E1234" t="s">
        <v>410</v>
      </c>
      <c r="F1234" t="s">
        <v>23</v>
      </c>
      <c r="G1234" t="s">
        <v>61</v>
      </c>
      <c r="H1234" t="s">
        <v>125</v>
      </c>
      <c r="I1234" t="s">
        <v>63</v>
      </c>
      <c r="J1234" t="s">
        <v>64</v>
      </c>
      <c r="K1234" t="s">
        <v>65</v>
      </c>
      <c r="L1234">
        <v>4</v>
      </c>
      <c r="M1234">
        <v>25000</v>
      </c>
      <c r="N1234">
        <v>0</v>
      </c>
      <c r="O1234">
        <v>100000</v>
      </c>
      <c r="P1234">
        <v>13897.14</v>
      </c>
      <c r="Q1234" t="s">
        <v>66</v>
      </c>
      <c r="R1234" t="s">
        <v>29</v>
      </c>
      <c r="S1234" t="s">
        <v>86</v>
      </c>
      <c r="T1234">
        <f>YEAR(Table1_1[[#This Row],[order_date]])</f>
        <v>2024</v>
      </c>
      <c r="U1234">
        <f>MONTH(Table1_1[[#This Row],[order_date]])</f>
        <v>12</v>
      </c>
      <c r="V1234" t="str">
        <f>TEXT(Table1_1[[#This Row],[order_date]],"mmm")</f>
        <v>Dec</v>
      </c>
      <c r="W1234" t="str">
        <f>"Q"&amp;ROUNDUP(MONTH(Table1_1[[#This Row],[order_date]])/3,0)</f>
        <v>Q4</v>
      </c>
      <c r="X1234" t="str">
        <f>TEXT(Table1_1[[#This Row],[order_date]],"yyyy-mm")</f>
        <v>2024-12</v>
      </c>
      <c r="Y1234">
        <f>IF(Table1_1[[#This Row],[ship_date]]="","",Table1_1[[#This Row],[ship_date]]-Table1_1[[#This Row],[order_date]])</f>
        <v>8</v>
      </c>
      <c r="Z1234">
        <f>ROUND(Table1_1[[#This Row],[profit]]/Table1_1[[#This Row],[sales_fix]]*100,2)</f>
        <v>13.9</v>
      </c>
    </row>
    <row r="1235" spans="1:26" x14ac:dyDescent="0.3">
      <c r="A1235" t="s">
        <v>2977</v>
      </c>
      <c r="B1235" s="1">
        <v>45380</v>
      </c>
      <c r="C1235" s="1">
        <v>45381</v>
      </c>
      <c r="D1235" t="s">
        <v>356</v>
      </c>
      <c r="E1235" t="s">
        <v>357</v>
      </c>
      <c r="F1235" t="s">
        <v>23</v>
      </c>
      <c r="G1235" t="s">
        <v>91</v>
      </c>
      <c r="H1235" t="s">
        <v>120</v>
      </c>
      <c r="I1235" t="s">
        <v>71</v>
      </c>
      <c r="J1235" t="s">
        <v>72</v>
      </c>
      <c r="K1235" t="s">
        <v>73</v>
      </c>
      <c r="L1235">
        <v>1</v>
      </c>
      <c r="M1235">
        <v>3500</v>
      </c>
      <c r="N1235">
        <v>10</v>
      </c>
      <c r="O1235">
        <v>3150</v>
      </c>
      <c r="P1235">
        <v>958.26</v>
      </c>
      <c r="Q1235" t="s">
        <v>121</v>
      </c>
      <c r="R1235" t="s">
        <v>29</v>
      </c>
      <c r="S1235" t="s">
        <v>50</v>
      </c>
      <c r="T1235">
        <f>YEAR(Table1_1[[#This Row],[order_date]])</f>
        <v>2024</v>
      </c>
      <c r="U1235">
        <f>MONTH(Table1_1[[#This Row],[order_date]])</f>
        <v>3</v>
      </c>
      <c r="V1235" t="str">
        <f>TEXT(Table1_1[[#This Row],[order_date]],"mmm")</f>
        <v>Mar</v>
      </c>
      <c r="W1235" t="str">
        <f>"Q"&amp;ROUNDUP(MONTH(Table1_1[[#This Row],[order_date]])/3,0)</f>
        <v>Q1</v>
      </c>
      <c r="X1235" t="str">
        <f>TEXT(Table1_1[[#This Row],[order_date]],"yyyy-mm")</f>
        <v>2024-03</v>
      </c>
      <c r="Y1235">
        <f>IF(Table1_1[[#This Row],[ship_date]]="","",Table1_1[[#This Row],[ship_date]]-Table1_1[[#This Row],[order_date]])</f>
        <v>1</v>
      </c>
      <c r="Z1235">
        <f>ROUND(Table1_1[[#This Row],[profit]]/Table1_1[[#This Row],[sales_fix]]*100,2)</f>
        <v>30.42</v>
      </c>
    </row>
    <row r="1236" spans="1:26" x14ac:dyDescent="0.3">
      <c r="A1236" t="s">
        <v>1026</v>
      </c>
      <c r="B1236" s="1">
        <v>45375</v>
      </c>
      <c r="C1236" s="1">
        <v>45379</v>
      </c>
      <c r="D1236" t="s">
        <v>1028</v>
      </c>
      <c r="E1236" t="s">
        <v>1029</v>
      </c>
      <c r="F1236" t="s">
        <v>34</v>
      </c>
      <c r="G1236" t="s">
        <v>91</v>
      </c>
      <c r="H1236" t="s">
        <v>120</v>
      </c>
      <c r="I1236" t="s">
        <v>147</v>
      </c>
      <c r="J1236" t="s">
        <v>148</v>
      </c>
      <c r="K1236" t="s">
        <v>48</v>
      </c>
      <c r="L1236">
        <v>4</v>
      </c>
      <c r="M1236">
        <v>250</v>
      </c>
      <c r="N1236">
        <v>0</v>
      </c>
      <c r="O1236">
        <v>1000</v>
      </c>
      <c r="P1236">
        <v>400</v>
      </c>
      <c r="Q1236" t="s">
        <v>156</v>
      </c>
      <c r="R1236" t="s">
        <v>56</v>
      </c>
      <c r="S1236" t="s">
        <v>50</v>
      </c>
      <c r="T1236">
        <f>YEAR(Table1_1[[#This Row],[order_date]])</f>
        <v>2024</v>
      </c>
      <c r="U1236">
        <f>MONTH(Table1_1[[#This Row],[order_date]])</f>
        <v>3</v>
      </c>
      <c r="V1236" t="str">
        <f>TEXT(Table1_1[[#This Row],[order_date]],"mmm")</f>
        <v>Mar</v>
      </c>
      <c r="W1236" t="str">
        <f>"Q"&amp;ROUNDUP(MONTH(Table1_1[[#This Row],[order_date]])/3,0)</f>
        <v>Q1</v>
      </c>
      <c r="X1236" t="str">
        <f>TEXT(Table1_1[[#This Row],[order_date]],"yyyy-mm")</f>
        <v>2024-03</v>
      </c>
      <c r="Y1236">
        <f>IF(Table1_1[[#This Row],[ship_date]]="","",Table1_1[[#This Row],[ship_date]]-Table1_1[[#This Row],[order_date]])</f>
        <v>4</v>
      </c>
      <c r="Z1236">
        <f>ROUND(Table1_1[[#This Row],[profit]]/Table1_1[[#This Row],[sales_fix]]*100,2)</f>
        <v>40</v>
      </c>
    </row>
    <row r="1237" spans="1:26" x14ac:dyDescent="0.3">
      <c r="A1237" t="s">
        <v>2949</v>
      </c>
      <c r="B1237" s="1">
        <v>45680</v>
      </c>
      <c r="C1237" s="1">
        <v>45686</v>
      </c>
      <c r="D1237" t="s">
        <v>653</v>
      </c>
      <c r="E1237" t="s">
        <v>654</v>
      </c>
      <c r="F1237" t="s">
        <v>23</v>
      </c>
      <c r="G1237" t="s">
        <v>44</v>
      </c>
      <c r="H1237" t="s">
        <v>330</v>
      </c>
      <c r="I1237" t="s">
        <v>114</v>
      </c>
      <c r="J1237" t="s">
        <v>115</v>
      </c>
      <c r="K1237" t="s">
        <v>65</v>
      </c>
      <c r="L1237">
        <v>3</v>
      </c>
      <c r="M1237">
        <v>55000</v>
      </c>
      <c r="N1237">
        <v>0</v>
      </c>
      <c r="O1237">
        <v>165000</v>
      </c>
      <c r="P1237">
        <v>24104.09</v>
      </c>
      <c r="Q1237" t="s">
        <v>28</v>
      </c>
      <c r="R1237" t="s">
        <v>29</v>
      </c>
      <c r="S1237" t="s">
        <v>50</v>
      </c>
      <c r="T1237">
        <f>YEAR(Table1_1[[#This Row],[order_date]])</f>
        <v>2025</v>
      </c>
      <c r="U1237">
        <f>MONTH(Table1_1[[#This Row],[order_date]])</f>
        <v>1</v>
      </c>
      <c r="V1237" t="str">
        <f>TEXT(Table1_1[[#This Row],[order_date]],"mmm")</f>
        <v>Jan</v>
      </c>
      <c r="W1237" t="str">
        <f>"Q"&amp;ROUNDUP(MONTH(Table1_1[[#This Row],[order_date]])/3,0)</f>
        <v>Q1</v>
      </c>
      <c r="X1237" t="str">
        <f>TEXT(Table1_1[[#This Row],[order_date]],"yyyy-mm")</f>
        <v>2025-01</v>
      </c>
      <c r="Y1237">
        <f>IF(Table1_1[[#This Row],[ship_date]]="","",Table1_1[[#This Row],[ship_date]]-Table1_1[[#This Row],[order_date]])</f>
        <v>6</v>
      </c>
      <c r="Z1237">
        <f>ROUND(Table1_1[[#This Row],[profit]]/Table1_1[[#This Row],[sales_fix]]*100,2)</f>
        <v>14.61</v>
      </c>
    </row>
    <row r="1238" spans="1:26" x14ac:dyDescent="0.3">
      <c r="A1238" t="s">
        <v>2503</v>
      </c>
      <c r="B1238" s="1">
        <v>45473</v>
      </c>
      <c r="C1238" s="1">
        <v>45478</v>
      </c>
      <c r="D1238" t="s">
        <v>621</v>
      </c>
      <c r="E1238" t="s">
        <v>622</v>
      </c>
      <c r="F1238" t="s">
        <v>55</v>
      </c>
      <c r="G1238" t="s">
        <v>91</v>
      </c>
      <c r="H1238" t="s">
        <v>109</v>
      </c>
      <c r="I1238" t="s">
        <v>103</v>
      </c>
      <c r="J1238" t="s">
        <v>104</v>
      </c>
      <c r="K1238" t="s">
        <v>65</v>
      </c>
      <c r="L1238">
        <v>10</v>
      </c>
      <c r="M1238">
        <v>8000</v>
      </c>
      <c r="N1238">
        <v>0</v>
      </c>
      <c r="O1238">
        <v>80000</v>
      </c>
      <c r="P1238">
        <v>19580.47</v>
      </c>
      <c r="Q1238" t="s">
        <v>66</v>
      </c>
      <c r="R1238" t="s">
        <v>49</v>
      </c>
      <c r="S1238" t="s">
        <v>110</v>
      </c>
      <c r="T1238">
        <f>YEAR(Table1_1[[#This Row],[order_date]])</f>
        <v>2024</v>
      </c>
      <c r="U1238">
        <f>MONTH(Table1_1[[#This Row],[order_date]])</f>
        <v>6</v>
      </c>
      <c r="V1238" t="str">
        <f>TEXT(Table1_1[[#This Row],[order_date]],"mmm")</f>
        <v>Jun</v>
      </c>
      <c r="W1238" t="str">
        <f>"Q"&amp;ROUNDUP(MONTH(Table1_1[[#This Row],[order_date]])/3,0)</f>
        <v>Q2</v>
      </c>
      <c r="X1238" t="str">
        <f>TEXT(Table1_1[[#This Row],[order_date]],"yyyy-mm")</f>
        <v>2024-06</v>
      </c>
      <c r="Y1238">
        <f>IF(Table1_1[[#This Row],[ship_date]]="","",Table1_1[[#This Row],[ship_date]]-Table1_1[[#This Row],[order_date]])</f>
        <v>5</v>
      </c>
      <c r="Z1238">
        <f>ROUND(Table1_1[[#This Row],[profit]]/Table1_1[[#This Row],[sales_fix]]*100,2)</f>
        <v>24.48</v>
      </c>
    </row>
    <row r="1239" spans="1:26" x14ac:dyDescent="0.3">
      <c r="A1239" t="s">
        <v>1509</v>
      </c>
      <c r="B1239" s="1">
        <v>45649</v>
      </c>
      <c r="C1239" s="1">
        <v>45652</v>
      </c>
      <c r="D1239" t="s">
        <v>1482</v>
      </c>
      <c r="E1239" t="s">
        <v>1483</v>
      </c>
      <c r="F1239" t="s">
        <v>23</v>
      </c>
      <c r="G1239" t="s">
        <v>44</v>
      </c>
      <c r="H1239" t="s">
        <v>161</v>
      </c>
      <c r="I1239" t="s">
        <v>37</v>
      </c>
      <c r="J1239" t="s">
        <v>38</v>
      </c>
      <c r="K1239" t="s">
        <v>27</v>
      </c>
      <c r="L1239">
        <v>2</v>
      </c>
      <c r="M1239">
        <v>9500</v>
      </c>
      <c r="N1239">
        <v>20</v>
      </c>
      <c r="O1239">
        <v>15200</v>
      </c>
      <c r="P1239">
        <v>2895.33</v>
      </c>
      <c r="Q1239" t="s">
        <v>66</v>
      </c>
      <c r="R1239" t="s">
        <v>56</v>
      </c>
      <c r="S1239" t="s">
        <v>30</v>
      </c>
      <c r="T1239">
        <f>YEAR(Table1_1[[#This Row],[order_date]])</f>
        <v>2024</v>
      </c>
      <c r="U1239">
        <f>MONTH(Table1_1[[#This Row],[order_date]])</f>
        <v>12</v>
      </c>
      <c r="V1239" t="str">
        <f>TEXT(Table1_1[[#This Row],[order_date]],"mmm")</f>
        <v>Dec</v>
      </c>
      <c r="W1239" t="str">
        <f>"Q"&amp;ROUNDUP(MONTH(Table1_1[[#This Row],[order_date]])/3,0)</f>
        <v>Q4</v>
      </c>
      <c r="X1239" t="str">
        <f>TEXT(Table1_1[[#This Row],[order_date]],"yyyy-mm")</f>
        <v>2024-12</v>
      </c>
      <c r="Y1239">
        <f>IF(Table1_1[[#This Row],[ship_date]]="","",Table1_1[[#This Row],[ship_date]]-Table1_1[[#This Row],[order_date]])</f>
        <v>3</v>
      </c>
      <c r="Z1239">
        <f>ROUND(Table1_1[[#This Row],[profit]]/Table1_1[[#This Row],[sales_fix]]*100,2)</f>
        <v>19.05</v>
      </c>
    </row>
    <row r="1240" spans="1:26" x14ac:dyDescent="0.3">
      <c r="A1240" t="s">
        <v>3087</v>
      </c>
      <c r="B1240" s="1">
        <v>45874</v>
      </c>
      <c r="C1240" s="1">
        <v>45879</v>
      </c>
      <c r="D1240" t="s">
        <v>790</v>
      </c>
      <c r="E1240" t="s">
        <v>791</v>
      </c>
      <c r="F1240" t="s">
        <v>23</v>
      </c>
      <c r="G1240" t="s">
        <v>61</v>
      </c>
      <c r="H1240" t="s">
        <v>125</v>
      </c>
      <c r="I1240" t="s">
        <v>46</v>
      </c>
      <c r="J1240" t="s">
        <v>47</v>
      </c>
      <c r="K1240" t="s">
        <v>48</v>
      </c>
      <c r="L1240">
        <v>1</v>
      </c>
      <c r="M1240">
        <v>180</v>
      </c>
      <c r="N1240">
        <v>15</v>
      </c>
      <c r="O1240">
        <v>153</v>
      </c>
      <c r="P1240">
        <v>60.14</v>
      </c>
      <c r="Q1240" t="s">
        <v>3113</v>
      </c>
      <c r="R1240" t="s">
        <v>49</v>
      </c>
      <c r="S1240" t="s">
        <v>40</v>
      </c>
      <c r="T1240">
        <f>YEAR(Table1_1[[#This Row],[order_date]])</f>
        <v>2025</v>
      </c>
      <c r="U1240">
        <f>MONTH(Table1_1[[#This Row],[order_date]])</f>
        <v>8</v>
      </c>
      <c r="V1240" t="str">
        <f>TEXT(Table1_1[[#This Row],[order_date]],"mmm")</f>
        <v>Aug</v>
      </c>
      <c r="W1240" t="str">
        <f>"Q"&amp;ROUNDUP(MONTH(Table1_1[[#This Row],[order_date]])/3,0)</f>
        <v>Q3</v>
      </c>
      <c r="X1240" t="str">
        <f>TEXT(Table1_1[[#This Row],[order_date]],"yyyy-mm")</f>
        <v>2025-08</v>
      </c>
      <c r="Y1240">
        <f>IF(Table1_1[[#This Row],[ship_date]]="","",Table1_1[[#This Row],[ship_date]]-Table1_1[[#This Row],[order_date]])</f>
        <v>5</v>
      </c>
      <c r="Z1240">
        <f>ROUND(Table1_1[[#This Row],[profit]]/Table1_1[[#This Row],[sales_fix]]*100,2)</f>
        <v>39.31</v>
      </c>
    </row>
    <row r="1241" spans="1:26" x14ac:dyDescent="0.3">
      <c r="A1241" t="s">
        <v>1497</v>
      </c>
      <c r="B1241" s="1">
        <v>45567</v>
      </c>
      <c r="C1241" s="1">
        <v>45572</v>
      </c>
      <c r="D1241" t="s">
        <v>291</v>
      </c>
      <c r="E1241" t="s">
        <v>292</v>
      </c>
      <c r="F1241" t="s">
        <v>55</v>
      </c>
      <c r="G1241" t="s">
        <v>35</v>
      </c>
      <c r="H1241" t="s">
        <v>187</v>
      </c>
      <c r="I1241" t="s">
        <v>71</v>
      </c>
      <c r="J1241" t="s">
        <v>72</v>
      </c>
      <c r="K1241" t="s">
        <v>73</v>
      </c>
      <c r="L1241">
        <v>3</v>
      </c>
      <c r="M1241">
        <v>3500</v>
      </c>
      <c r="N1241">
        <v>0</v>
      </c>
      <c r="O1241">
        <v>10500</v>
      </c>
      <c r="P1241">
        <v>2645.33</v>
      </c>
      <c r="Q1241" t="s">
        <v>66</v>
      </c>
      <c r="R1241" t="s">
        <v>29</v>
      </c>
      <c r="S1241" t="s">
        <v>40</v>
      </c>
      <c r="T1241">
        <f>YEAR(Table1_1[[#This Row],[order_date]])</f>
        <v>2024</v>
      </c>
      <c r="U1241">
        <f>MONTH(Table1_1[[#This Row],[order_date]])</f>
        <v>10</v>
      </c>
      <c r="V1241" t="str">
        <f>TEXT(Table1_1[[#This Row],[order_date]],"mmm")</f>
        <v>Oct</v>
      </c>
      <c r="W1241" t="str">
        <f>"Q"&amp;ROUNDUP(MONTH(Table1_1[[#This Row],[order_date]])/3,0)</f>
        <v>Q4</v>
      </c>
      <c r="X1241" t="str">
        <f>TEXT(Table1_1[[#This Row],[order_date]],"yyyy-mm")</f>
        <v>2024-10</v>
      </c>
      <c r="Y1241">
        <f>IF(Table1_1[[#This Row],[ship_date]]="","",Table1_1[[#This Row],[ship_date]]-Table1_1[[#This Row],[order_date]])</f>
        <v>5</v>
      </c>
      <c r="Z1241">
        <f>ROUND(Table1_1[[#This Row],[profit]]/Table1_1[[#This Row],[sales_fix]]*100,2)</f>
        <v>25.19</v>
      </c>
    </row>
    <row r="1242" spans="1:26" x14ac:dyDescent="0.3">
      <c r="A1242" t="s">
        <v>1849</v>
      </c>
      <c r="B1242" s="1">
        <v>45435</v>
      </c>
      <c r="C1242" s="1">
        <v>45442</v>
      </c>
      <c r="D1242" t="s">
        <v>787</v>
      </c>
      <c r="E1242" t="s">
        <v>788</v>
      </c>
      <c r="F1242" t="s">
        <v>34</v>
      </c>
      <c r="G1242" t="s">
        <v>35</v>
      </c>
      <c r="H1242" t="s">
        <v>36</v>
      </c>
      <c r="I1242" t="s">
        <v>147</v>
      </c>
      <c r="J1242" t="s">
        <v>148</v>
      </c>
      <c r="K1242" t="s">
        <v>48</v>
      </c>
      <c r="L1242">
        <v>2</v>
      </c>
      <c r="M1242">
        <v>250</v>
      </c>
      <c r="N1242">
        <v>0</v>
      </c>
      <c r="O1242">
        <v>500</v>
      </c>
      <c r="P1242">
        <v>169.78</v>
      </c>
      <c r="Q1242" t="s">
        <v>156</v>
      </c>
      <c r="R1242" t="s">
        <v>56</v>
      </c>
      <c r="S1242" t="s">
        <v>86</v>
      </c>
      <c r="T1242">
        <f>YEAR(Table1_1[[#This Row],[order_date]])</f>
        <v>2024</v>
      </c>
      <c r="U1242">
        <f>MONTH(Table1_1[[#This Row],[order_date]])</f>
        <v>5</v>
      </c>
      <c r="V1242" t="str">
        <f>TEXT(Table1_1[[#This Row],[order_date]],"mmm")</f>
        <v>May</v>
      </c>
      <c r="W1242" t="str">
        <f>"Q"&amp;ROUNDUP(MONTH(Table1_1[[#This Row],[order_date]])/3,0)</f>
        <v>Q2</v>
      </c>
      <c r="X1242" t="str">
        <f>TEXT(Table1_1[[#This Row],[order_date]],"yyyy-mm")</f>
        <v>2024-05</v>
      </c>
      <c r="Y1242">
        <f>IF(Table1_1[[#This Row],[ship_date]]="","",Table1_1[[#This Row],[ship_date]]-Table1_1[[#This Row],[order_date]])</f>
        <v>7</v>
      </c>
      <c r="Z1242">
        <f>ROUND(Table1_1[[#This Row],[profit]]/Table1_1[[#This Row],[sales_fix]]*100,2)</f>
        <v>33.96</v>
      </c>
    </row>
    <row r="1243" spans="1:26" x14ac:dyDescent="0.3">
      <c r="A1243" t="s">
        <v>3070</v>
      </c>
      <c r="B1243" s="1">
        <v>45399</v>
      </c>
      <c r="C1243" s="1"/>
      <c r="D1243" t="s">
        <v>2043</v>
      </c>
      <c r="E1243" t="s">
        <v>2044</v>
      </c>
      <c r="F1243" t="s">
        <v>55</v>
      </c>
      <c r="G1243" t="s">
        <v>61</v>
      </c>
      <c r="H1243" t="s">
        <v>125</v>
      </c>
      <c r="I1243" t="s">
        <v>71</v>
      </c>
      <c r="J1243" t="s">
        <v>72</v>
      </c>
      <c r="K1243" t="s">
        <v>73</v>
      </c>
      <c r="L1243">
        <v>2</v>
      </c>
      <c r="M1243">
        <v>3500</v>
      </c>
      <c r="N1243">
        <v>20</v>
      </c>
      <c r="O1243">
        <v>5600</v>
      </c>
      <c r="P1243">
        <v>1900.25</v>
      </c>
      <c r="Q1243" t="s">
        <v>28</v>
      </c>
      <c r="R1243" t="s">
        <v>49</v>
      </c>
      <c r="S1243" t="s">
        <v>110</v>
      </c>
      <c r="T1243">
        <f>YEAR(Table1_1[[#This Row],[order_date]])</f>
        <v>2024</v>
      </c>
      <c r="U1243">
        <f>MONTH(Table1_1[[#This Row],[order_date]])</f>
        <v>4</v>
      </c>
      <c r="V1243" t="str">
        <f>TEXT(Table1_1[[#This Row],[order_date]],"mmm")</f>
        <v>Apr</v>
      </c>
      <c r="W1243" t="str">
        <f>"Q"&amp;ROUNDUP(MONTH(Table1_1[[#This Row],[order_date]])/3,0)</f>
        <v>Q2</v>
      </c>
      <c r="X1243" t="str">
        <f>TEXT(Table1_1[[#This Row],[order_date]],"yyyy-mm")</f>
        <v>2024-04</v>
      </c>
      <c r="Y1243" t="str">
        <f>IF(Table1_1[[#This Row],[ship_date]]="","",Table1_1[[#This Row],[ship_date]]-Table1_1[[#This Row],[order_date]])</f>
        <v/>
      </c>
      <c r="Z1243">
        <f>ROUND(Table1_1[[#This Row],[profit]]/Table1_1[[#This Row],[sales_fix]]*100,2)</f>
        <v>33.93</v>
      </c>
    </row>
    <row r="1244" spans="1:26" x14ac:dyDescent="0.3">
      <c r="A1244" t="s">
        <v>1932</v>
      </c>
      <c r="B1244" s="1">
        <v>45394</v>
      </c>
      <c r="C1244" s="1">
        <v>45402</v>
      </c>
      <c r="D1244" t="s">
        <v>838</v>
      </c>
      <c r="E1244" t="s">
        <v>839</v>
      </c>
      <c r="F1244" t="s">
        <v>23</v>
      </c>
      <c r="G1244" t="s">
        <v>35</v>
      </c>
      <c r="H1244" t="s">
        <v>258</v>
      </c>
      <c r="I1244" t="s">
        <v>126</v>
      </c>
      <c r="J1244" t="s">
        <v>127</v>
      </c>
      <c r="K1244" t="s">
        <v>95</v>
      </c>
      <c r="L1244">
        <v>1</v>
      </c>
      <c r="M1244">
        <v>600</v>
      </c>
      <c r="N1244">
        <v>0</v>
      </c>
      <c r="O1244">
        <v>600</v>
      </c>
      <c r="P1244">
        <v>187.53</v>
      </c>
      <c r="Q1244" t="s">
        <v>39</v>
      </c>
      <c r="R1244" t="s">
        <v>29</v>
      </c>
      <c r="S1244" t="s">
        <v>86</v>
      </c>
      <c r="T1244">
        <f>YEAR(Table1_1[[#This Row],[order_date]])</f>
        <v>2024</v>
      </c>
      <c r="U1244">
        <f>MONTH(Table1_1[[#This Row],[order_date]])</f>
        <v>4</v>
      </c>
      <c r="V1244" t="str">
        <f>TEXT(Table1_1[[#This Row],[order_date]],"mmm")</f>
        <v>Apr</v>
      </c>
      <c r="W1244" t="str">
        <f>"Q"&amp;ROUNDUP(MONTH(Table1_1[[#This Row],[order_date]])/3,0)</f>
        <v>Q2</v>
      </c>
      <c r="X1244" t="str">
        <f>TEXT(Table1_1[[#This Row],[order_date]],"yyyy-mm")</f>
        <v>2024-04</v>
      </c>
      <c r="Y1244">
        <f>IF(Table1_1[[#This Row],[ship_date]]="","",Table1_1[[#This Row],[ship_date]]-Table1_1[[#This Row],[order_date]])</f>
        <v>8</v>
      </c>
      <c r="Z1244">
        <f>ROUND(Table1_1[[#This Row],[profit]]/Table1_1[[#This Row],[sales_fix]]*100,2)</f>
        <v>31.26</v>
      </c>
    </row>
    <row r="1245" spans="1:26" x14ac:dyDescent="0.3">
      <c r="A1245" t="s">
        <v>1996</v>
      </c>
      <c r="B1245" s="1">
        <v>45759</v>
      </c>
      <c r="C1245" s="1">
        <v>45766</v>
      </c>
      <c r="D1245" t="s">
        <v>281</v>
      </c>
      <c r="E1245" t="s">
        <v>282</v>
      </c>
      <c r="F1245" t="s">
        <v>34</v>
      </c>
      <c r="G1245" t="s">
        <v>61</v>
      </c>
      <c r="H1245" t="s">
        <v>62</v>
      </c>
      <c r="I1245" t="s">
        <v>93</v>
      </c>
      <c r="J1245" t="s">
        <v>94</v>
      </c>
      <c r="K1245" t="s">
        <v>95</v>
      </c>
      <c r="L1245">
        <v>2</v>
      </c>
      <c r="M1245">
        <v>1800</v>
      </c>
      <c r="N1245">
        <v>15</v>
      </c>
      <c r="O1245">
        <v>3060</v>
      </c>
      <c r="P1245">
        <v>936.04</v>
      </c>
      <c r="Q1245" t="s">
        <v>28</v>
      </c>
      <c r="R1245" t="s">
        <v>29</v>
      </c>
      <c r="S1245" t="s">
        <v>110</v>
      </c>
      <c r="T1245">
        <f>YEAR(Table1_1[[#This Row],[order_date]])</f>
        <v>2025</v>
      </c>
      <c r="U1245">
        <f>MONTH(Table1_1[[#This Row],[order_date]])</f>
        <v>4</v>
      </c>
      <c r="V1245" t="str">
        <f>TEXT(Table1_1[[#This Row],[order_date]],"mmm")</f>
        <v>Apr</v>
      </c>
      <c r="W1245" t="str">
        <f>"Q"&amp;ROUNDUP(MONTH(Table1_1[[#This Row],[order_date]])/3,0)</f>
        <v>Q2</v>
      </c>
      <c r="X1245" t="str">
        <f>TEXT(Table1_1[[#This Row],[order_date]],"yyyy-mm")</f>
        <v>2025-04</v>
      </c>
      <c r="Y1245">
        <f>IF(Table1_1[[#This Row],[ship_date]]="","",Table1_1[[#This Row],[ship_date]]-Table1_1[[#This Row],[order_date]])</f>
        <v>7</v>
      </c>
      <c r="Z1245">
        <f>ROUND(Table1_1[[#This Row],[profit]]/Table1_1[[#This Row],[sales_fix]]*100,2)</f>
        <v>30.59</v>
      </c>
    </row>
    <row r="1246" spans="1:26" x14ac:dyDescent="0.3">
      <c r="A1246" t="s">
        <v>2367</v>
      </c>
      <c r="B1246" s="1">
        <v>45637</v>
      </c>
      <c r="C1246" s="1">
        <v>45641</v>
      </c>
      <c r="D1246" t="s">
        <v>1028</v>
      </c>
      <c r="E1246" t="s">
        <v>1029</v>
      </c>
      <c r="F1246" t="s">
        <v>34</v>
      </c>
      <c r="G1246" t="s">
        <v>91</v>
      </c>
      <c r="H1246" t="s">
        <v>120</v>
      </c>
      <c r="I1246" t="s">
        <v>93</v>
      </c>
      <c r="J1246" t="s">
        <v>94</v>
      </c>
      <c r="K1246" t="s">
        <v>95</v>
      </c>
      <c r="L1246">
        <v>2</v>
      </c>
      <c r="M1246">
        <v>1800</v>
      </c>
      <c r="N1246">
        <v>0</v>
      </c>
      <c r="O1246">
        <v>3600</v>
      </c>
      <c r="P1246">
        <v>1371.27</v>
      </c>
      <c r="Q1246" t="s">
        <v>39</v>
      </c>
      <c r="R1246" t="s">
        <v>29</v>
      </c>
      <c r="S1246" t="s">
        <v>30</v>
      </c>
      <c r="T1246">
        <f>YEAR(Table1_1[[#This Row],[order_date]])</f>
        <v>2024</v>
      </c>
      <c r="U1246">
        <f>MONTH(Table1_1[[#This Row],[order_date]])</f>
        <v>12</v>
      </c>
      <c r="V1246" t="str">
        <f>TEXT(Table1_1[[#This Row],[order_date]],"mmm")</f>
        <v>Dec</v>
      </c>
      <c r="W1246" t="str">
        <f>"Q"&amp;ROUNDUP(MONTH(Table1_1[[#This Row],[order_date]])/3,0)</f>
        <v>Q4</v>
      </c>
      <c r="X1246" t="str">
        <f>TEXT(Table1_1[[#This Row],[order_date]],"yyyy-mm")</f>
        <v>2024-12</v>
      </c>
      <c r="Y1246">
        <f>IF(Table1_1[[#This Row],[ship_date]]="","",Table1_1[[#This Row],[ship_date]]-Table1_1[[#This Row],[order_date]])</f>
        <v>4</v>
      </c>
      <c r="Z1246">
        <f>ROUND(Table1_1[[#This Row],[profit]]/Table1_1[[#This Row],[sales_fix]]*100,2)</f>
        <v>38.090000000000003</v>
      </c>
    </row>
    <row r="1247" spans="1:26" x14ac:dyDescent="0.3">
      <c r="A1247" t="s">
        <v>295</v>
      </c>
      <c r="B1247" s="1">
        <v>45883</v>
      </c>
      <c r="C1247" s="1">
        <v>45886</v>
      </c>
      <c r="D1247" t="s">
        <v>297</v>
      </c>
      <c r="E1247" t="s">
        <v>1110</v>
      </c>
      <c r="F1247" t="s">
        <v>23</v>
      </c>
      <c r="G1247" t="s">
        <v>91</v>
      </c>
      <c r="H1247" t="s">
        <v>177</v>
      </c>
      <c r="I1247" t="s">
        <v>25</v>
      </c>
      <c r="J1247" t="s">
        <v>26</v>
      </c>
      <c r="K1247" t="s">
        <v>27</v>
      </c>
      <c r="L1247">
        <v>2</v>
      </c>
      <c r="M1247">
        <v>7000</v>
      </c>
      <c r="N1247">
        <v>0</v>
      </c>
      <c r="O1247">
        <v>14000</v>
      </c>
      <c r="P1247">
        <v>2358.08</v>
      </c>
      <c r="Q1247" t="s">
        <v>74</v>
      </c>
      <c r="R1247" t="s">
        <v>56</v>
      </c>
      <c r="S1247" t="s">
        <v>40</v>
      </c>
      <c r="T1247">
        <f>YEAR(Table1_1[[#This Row],[order_date]])</f>
        <v>2025</v>
      </c>
      <c r="U1247">
        <f>MONTH(Table1_1[[#This Row],[order_date]])</f>
        <v>8</v>
      </c>
      <c r="V1247" t="str">
        <f>TEXT(Table1_1[[#This Row],[order_date]],"mmm")</f>
        <v>Aug</v>
      </c>
      <c r="W1247" t="str">
        <f>"Q"&amp;ROUNDUP(MONTH(Table1_1[[#This Row],[order_date]])/3,0)</f>
        <v>Q3</v>
      </c>
      <c r="X1247" t="str">
        <f>TEXT(Table1_1[[#This Row],[order_date]],"yyyy-mm")</f>
        <v>2025-08</v>
      </c>
      <c r="Y1247">
        <f>IF(Table1_1[[#This Row],[ship_date]]="","",Table1_1[[#This Row],[ship_date]]-Table1_1[[#This Row],[order_date]])</f>
        <v>3</v>
      </c>
      <c r="Z1247">
        <f>ROUND(Table1_1[[#This Row],[profit]]/Table1_1[[#This Row],[sales_fix]]*100,2)</f>
        <v>16.84</v>
      </c>
    </row>
    <row r="1248" spans="1:26" x14ac:dyDescent="0.3">
      <c r="A1248" t="s">
        <v>1715</v>
      </c>
      <c r="B1248" s="1">
        <v>45434</v>
      </c>
      <c r="C1248" s="1">
        <v>45435</v>
      </c>
      <c r="D1248" t="s">
        <v>959</v>
      </c>
      <c r="E1248" t="s">
        <v>960</v>
      </c>
      <c r="F1248" t="s">
        <v>34</v>
      </c>
      <c r="G1248" t="s">
        <v>35</v>
      </c>
      <c r="H1248" t="s">
        <v>187</v>
      </c>
      <c r="I1248" t="s">
        <v>93</v>
      </c>
      <c r="J1248" t="s">
        <v>94</v>
      </c>
      <c r="K1248" t="s">
        <v>95</v>
      </c>
      <c r="L1248">
        <v>1</v>
      </c>
      <c r="M1248">
        <v>1800</v>
      </c>
      <c r="N1248">
        <v>0</v>
      </c>
      <c r="O1248">
        <v>1800</v>
      </c>
      <c r="P1248">
        <v>639.72</v>
      </c>
      <c r="Q1248" t="s">
        <v>66</v>
      </c>
      <c r="R1248" t="s">
        <v>49</v>
      </c>
      <c r="S1248" t="s">
        <v>50</v>
      </c>
      <c r="T1248">
        <f>YEAR(Table1_1[[#This Row],[order_date]])</f>
        <v>2024</v>
      </c>
      <c r="U1248">
        <f>MONTH(Table1_1[[#This Row],[order_date]])</f>
        <v>5</v>
      </c>
      <c r="V1248" t="str">
        <f>TEXT(Table1_1[[#This Row],[order_date]],"mmm")</f>
        <v>May</v>
      </c>
      <c r="W1248" t="str">
        <f>"Q"&amp;ROUNDUP(MONTH(Table1_1[[#This Row],[order_date]])/3,0)</f>
        <v>Q2</v>
      </c>
      <c r="X1248" t="str">
        <f>TEXT(Table1_1[[#This Row],[order_date]],"yyyy-mm")</f>
        <v>2024-05</v>
      </c>
      <c r="Y1248">
        <f>IF(Table1_1[[#This Row],[ship_date]]="","",Table1_1[[#This Row],[ship_date]]-Table1_1[[#This Row],[order_date]])</f>
        <v>1</v>
      </c>
      <c r="Z1248">
        <f>ROUND(Table1_1[[#This Row],[profit]]/Table1_1[[#This Row],[sales_fix]]*100,2)</f>
        <v>35.54</v>
      </c>
    </row>
    <row r="1249" spans="1:26" x14ac:dyDescent="0.3">
      <c r="A1249" t="s">
        <v>2972</v>
      </c>
      <c r="B1249" s="1">
        <v>45697</v>
      </c>
      <c r="C1249" s="1">
        <v>45701</v>
      </c>
      <c r="D1249" t="s">
        <v>793</v>
      </c>
      <c r="E1249" t="s">
        <v>794</v>
      </c>
      <c r="F1249" t="s">
        <v>23</v>
      </c>
      <c r="G1249" t="s">
        <v>91</v>
      </c>
      <c r="H1249" t="s">
        <v>92</v>
      </c>
      <c r="I1249" t="s">
        <v>147</v>
      </c>
      <c r="J1249" t="s">
        <v>148</v>
      </c>
      <c r="K1249" t="s">
        <v>48</v>
      </c>
      <c r="L1249">
        <v>1</v>
      </c>
      <c r="M1249">
        <v>250</v>
      </c>
      <c r="N1249">
        <v>0</v>
      </c>
      <c r="O1249">
        <v>250</v>
      </c>
      <c r="P1249">
        <v>96.34</v>
      </c>
      <c r="Q1249" t="s">
        <v>121</v>
      </c>
      <c r="R1249" t="s">
        <v>49</v>
      </c>
      <c r="S1249" t="s">
        <v>110</v>
      </c>
      <c r="T1249">
        <f>YEAR(Table1_1[[#This Row],[order_date]])</f>
        <v>2025</v>
      </c>
      <c r="U1249">
        <f>MONTH(Table1_1[[#This Row],[order_date]])</f>
        <v>2</v>
      </c>
      <c r="V1249" t="str">
        <f>TEXT(Table1_1[[#This Row],[order_date]],"mmm")</f>
        <v>Feb</v>
      </c>
      <c r="W1249" t="str">
        <f>"Q"&amp;ROUNDUP(MONTH(Table1_1[[#This Row],[order_date]])/3,0)</f>
        <v>Q1</v>
      </c>
      <c r="X1249" t="str">
        <f>TEXT(Table1_1[[#This Row],[order_date]],"yyyy-mm")</f>
        <v>2025-02</v>
      </c>
      <c r="Y1249">
        <f>IF(Table1_1[[#This Row],[ship_date]]="","",Table1_1[[#This Row],[ship_date]]-Table1_1[[#This Row],[order_date]])</f>
        <v>4</v>
      </c>
      <c r="Z1249">
        <f>ROUND(Table1_1[[#This Row],[profit]]/Table1_1[[#This Row],[sales_fix]]*100,2)</f>
        <v>38.54</v>
      </c>
    </row>
    <row r="1250" spans="1:26" x14ac:dyDescent="0.3">
      <c r="A1250" t="s">
        <v>2343</v>
      </c>
      <c r="B1250" s="1">
        <v>45533</v>
      </c>
      <c r="C1250" s="1">
        <v>45537</v>
      </c>
      <c r="D1250" t="s">
        <v>524</v>
      </c>
      <c r="E1250" t="s">
        <v>525</v>
      </c>
      <c r="F1250" t="s">
        <v>34</v>
      </c>
      <c r="G1250" t="s">
        <v>35</v>
      </c>
      <c r="H1250" t="s">
        <v>187</v>
      </c>
      <c r="I1250" t="s">
        <v>79</v>
      </c>
      <c r="J1250" t="s">
        <v>80</v>
      </c>
      <c r="K1250" t="s">
        <v>65</v>
      </c>
      <c r="L1250">
        <v>4</v>
      </c>
      <c r="M1250">
        <v>3000</v>
      </c>
      <c r="N1250">
        <v>5</v>
      </c>
      <c r="O1250">
        <v>11400</v>
      </c>
      <c r="P1250">
        <v>2517.35</v>
      </c>
      <c r="Q1250" t="s">
        <v>121</v>
      </c>
      <c r="R1250" t="s">
        <v>56</v>
      </c>
      <c r="S1250" t="s">
        <v>40</v>
      </c>
      <c r="T1250">
        <f>YEAR(Table1_1[[#This Row],[order_date]])</f>
        <v>2024</v>
      </c>
      <c r="U1250">
        <f>MONTH(Table1_1[[#This Row],[order_date]])</f>
        <v>8</v>
      </c>
      <c r="V1250" t="str">
        <f>TEXT(Table1_1[[#This Row],[order_date]],"mmm")</f>
        <v>Aug</v>
      </c>
      <c r="W1250" t="str">
        <f>"Q"&amp;ROUNDUP(MONTH(Table1_1[[#This Row],[order_date]])/3,0)</f>
        <v>Q3</v>
      </c>
      <c r="X1250" t="str">
        <f>TEXT(Table1_1[[#This Row],[order_date]],"yyyy-mm")</f>
        <v>2024-08</v>
      </c>
      <c r="Y1250">
        <f>IF(Table1_1[[#This Row],[ship_date]]="","",Table1_1[[#This Row],[ship_date]]-Table1_1[[#This Row],[order_date]])</f>
        <v>4</v>
      </c>
      <c r="Z1250">
        <f>ROUND(Table1_1[[#This Row],[profit]]/Table1_1[[#This Row],[sales_fix]]*100,2)</f>
        <v>22.08</v>
      </c>
    </row>
    <row r="1251" spans="1:26" x14ac:dyDescent="0.3">
      <c r="A1251" t="s">
        <v>2668</v>
      </c>
      <c r="B1251" s="1">
        <v>45780</v>
      </c>
      <c r="C1251" s="1">
        <v>45787</v>
      </c>
      <c r="D1251" t="s">
        <v>1028</v>
      </c>
      <c r="E1251" t="s">
        <v>1029</v>
      </c>
      <c r="F1251" t="s">
        <v>34</v>
      </c>
      <c r="G1251" t="s">
        <v>91</v>
      </c>
      <c r="H1251" t="s">
        <v>120</v>
      </c>
      <c r="I1251" t="s">
        <v>114</v>
      </c>
      <c r="J1251" t="s">
        <v>115</v>
      </c>
      <c r="K1251" t="s">
        <v>65</v>
      </c>
      <c r="L1251">
        <v>1</v>
      </c>
      <c r="M1251">
        <v>55000</v>
      </c>
      <c r="N1251">
        <v>0</v>
      </c>
      <c r="O1251">
        <v>55000</v>
      </c>
      <c r="P1251">
        <v>8794.3700000000008</v>
      </c>
      <c r="Q1251" t="s">
        <v>156</v>
      </c>
      <c r="R1251" t="s">
        <v>29</v>
      </c>
      <c r="S1251" t="s">
        <v>30</v>
      </c>
      <c r="T1251">
        <f>YEAR(Table1_1[[#This Row],[order_date]])</f>
        <v>2025</v>
      </c>
      <c r="U1251">
        <f>MONTH(Table1_1[[#This Row],[order_date]])</f>
        <v>5</v>
      </c>
      <c r="V1251" t="str">
        <f>TEXT(Table1_1[[#This Row],[order_date]],"mmm")</f>
        <v>May</v>
      </c>
      <c r="W1251" t="str">
        <f>"Q"&amp;ROUNDUP(MONTH(Table1_1[[#This Row],[order_date]])/3,0)</f>
        <v>Q2</v>
      </c>
      <c r="X1251" t="str">
        <f>TEXT(Table1_1[[#This Row],[order_date]],"yyyy-mm")</f>
        <v>2025-05</v>
      </c>
      <c r="Y1251">
        <f>IF(Table1_1[[#This Row],[ship_date]]="","",Table1_1[[#This Row],[ship_date]]-Table1_1[[#This Row],[order_date]])</f>
        <v>7</v>
      </c>
      <c r="Z1251">
        <f>ROUND(Table1_1[[#This Row],[profit]]/Table1_1[[#This Row],[sales_fix]]*100,2)</f>
        <v>15.99</v>
      </c>
    </row>
    <row r="1252" spans="1:26" x14ac:dyDescent="0.3">
      <c r="A1252" t="s">
        <v>1863</v>
      </c>
      <c r="B1252" s="1">
        <v>46015</v>
      </c>
      <c r="C1252" s="1">
        <v>46018</v>
      </c>
      <c r="D1252" t="s">
        <v>1262</v>
      </c>
      <c r="E1252" t="s">
        <v>1263</v>
      </c>
      <c r="F1252" t="s">
        <v>23</v>
      </c>
      <c r="G1252" t="s">
        <v>91</v>
      </c>
      <c r="H1252" t="s">
        <v>120</v>
      </c>
      <c r="I1252" t="s">
        <v>147</v>
      </c>
      <c r="J1252" t="s">
        <v>148</v>
      </c>
      <c r="K1252" t="s">
        <v>48</v>
      </c>
      <c r="L1252">
        <v>5</v>
      </c>
      <c r="M1252">
        <v>250</v>
      </c>
      <c r="N1252">
        <v>5</v>
      </c>
      <c r="O1252">
        <v>1187.5</v>
      </c>
      <c r="P1252">
        <v>356.92</v>
      </c>
      <c r="Q1252" t="s">
        <v>28</v>
      </c>
      <c r="R1252" t="s">
        <v>49</v>
      </c>
      <c r="S1252" t="s">
        <v>110</v>
      </c>
      <c r="T1252">
        <f>YEAR(Table1_1[[#This Row],[order_date]])</f>
        <v>2025</v>
      </c>
      <c r="U1252">
        <f>MONTH(Table1_1[[#This Row],[order_date]])</f>
        <v>12</v>
      </c>
      <c r="V1252" t="str">
        <f>TEXT(Table1_1[[#This Row],[order_date]],"mmm")</f>
        <v>Dec</v>
      </c>
      <c r="W1252" t="str">
        <f>"Q"&amp;ROUNDUP(MONTH(Table1_1[[#This Row],[order_date]])/3,0)</f>
        <v>Q4</v>
      </c>
      <c r="X1252" t="str">
        <f>TEXT(Table1_1[[#This Row],[order_date]],"yyyy-mm")</f>
        <v>2025-12</v>
      </c>
      <c r="Y1252">
        <f>IF(Table1_1[[#This Row],[ship_date]]="","",Table1_1[[#This Row],[ship_date]]-Table1_1[[#This Row],[order_date]])</f>
        <v>3</v>
      </c>
      <c r="Z1252">
        <f>ROUND(Table1_1[[#This Row],[profit]]/Table1_1[[#This Row],[sales_fix]]*100,2)</f>
        <v>30.06</v>
      </c>
    </row>
    <row r="1253" spans="1:26" x14ac:dyDescent="0.3">
      <c r="A1253" t="s">
        <v>1255</v>
      </c>
      <c r="B1253" s="1">
        <v>45695</v>
      </c>
      <c r="C1253" s="1">
        <v>45696</v>
      </c>
      <c r="D1253" t="s">
        <v>470</v>
      </c>
      <c r="E1253" t="s">
        <v>471</v>
      </c>
      <c r="F1253" t="s">
        <v>23</v>
      </c>
      <c r="G1253" t="s">
        <v>61</v>
      </c>
      <c r="H1253" t="s">
        <v>62</v>
      </c>
      <c r="I1253" t="s">
        <v>93</v>
      </c>
      <c r="J1253" t="s">
        <v>94</v>
      </c>
      <c r="K1253" t="s">
        <v>95</v>
      </c>
      <c r="L1253">
        <v>2</v>
      </c>
      <c r="M1253">
        <v>1800</v>
      </c>
      <c r="N1253">
        <v>0</v>
      </c>
      <c r="O1253">
        <v>3600</v>
      </c>
      <c r="P1253">
        <v>1128.1099999999999</v>
      </c>
      <c r="Q1253" t="s">
        <v>121</v>
      </c>
      <c r="R1253" t="s">
        <v>56</v>
      </c>
      <c r="S1253" t="s">
        <v>50</v>
      </c>
      <c r="T1253">
        <f>YEAR(Table1_1[[#This Row],[order_date]])</f>
        <v>2025</v>
      </c>
      <c r="U1253">
        <f>MONTH(Table1_1[[#This Row],[order_date]])</f>
        <v>2</v>
      </c>
      <c r="V1253" t="str">
        <f>TEXT(Table1_1[[#This Row],[order_date]],"mmm")</f>
        <v>Feb</v>
      </c>
      <c r="W1253" t="str">
        <f>"Q"&amp;ROUNDUP(MONTH(Table1_1[[#This Row],[order_date]])/3,0)</f>
        <v>Q1</v>
      </c>
      <c r="X1253" t="str">
        <f>TEXT(Table1_1[[#This Row],[order_date]],"yyyy-mm")</f>
        <v>2025-02</v>
      </c>
      <c r="Y1253">
        <f>IF(Table1_1[[#This Row],[ship_date]]="","",Table1_1[[#This Row],[ship_date]]-Table1_1[[#This Row],[order_date]])</f>
        <v>1</v>
      </c>
      <c r="Z1253">
        <f>ROUND(Table1_1[[#This Row],[profit]]/Table1_1[[#This Row],[sales_fix]]*100,2)</f>
        <v>31.34</v>
      </c>
    </row>
    <row r="1254" spans="1:26" x14ac:dyDescent="0.3">
      <c r="A1254" t="s">
        <v>1847</v>
      </c>
      <c r="B1254" s="1">
        <v>45662</v>
      </c>
      <c r="C1254" s="1">
        <v>45669</v>
      </c>
      <c r="D1254" t="s">
        <v>973</v>
      </c>
      <c r="E1254" t="s">
        <v>974</v>
      </c>
      <c r="F1254" t="s">
        <v>34</v>
      </c>
      <c r="G1254" t="s">
        <v>91</v>
      </c>
      <c r="H1254" t="s">
        <v>177</v>
      </c>
      <c r="I1254" t="s">
        <v>37</v>
      </c>
      <c r="J1254" t="s">
        <v>38</v>
      </c>
      <c r="K1254" t="s">
        <v>27</v>
      </c>
      <c r="L1254">
        <v>1</v>
      </c>
      <c r="M1254">
        <v>9500</v>
      </c>
      <c r="N1254">
        <v>20</v>
      </c>
      <c r="O1254">
        <v>7600</v>
      </c>
      <c r="P1254">
        <v>1064.97</v>
      </c>
      <c r="Q1254" t="s">
        <v>66</v>
      </c>
      <c r="R1254" t="s">
        <v>56</v>
      </c>
      <c r="S1254" t="s">
        <v>50</v>
      </c>
      <c r="T1254">
        <f>YEAR(Table1_1[[#This Row],[order_date]])</f>
        <v>2025</v>
      </c>
      <c r="U1254">
        <f>MONTH(Table1_1[[#This Row],[order_date]])</f>
        <v>1</v>
      </c>
      <c r="V1254" t="str">
        <f>TEXT(Table1_1[[#This Row],[order_date]],"mmm")</f>
        <v>Jan</v>
      </c>
      <c r="W1254" t="str">
        <f>"Q"&amp;ROUNDUP(MONTH(Table1_1[[#This Row],[order_date]])/3,0)</f>
        <v>Q1</v>
      </c>
      <c r="X1254" t="str">
        <f>TEXT(Table1_1[[#This Row],[order_date]],"yyyy-mm")</f>
        <v>2025-01</v>
      </c>
      <c r="Y1254">
        <f>IF(Table1_1[[#This Row],[ship_date]]="","",Table1_1[[#This Row],[ship_date]]-Table1_1[[#This Row],[order_date]])</f>
        <v>7</v>
      </c>
      <c r="Z1254">
        <f>ROUND(Table1_1[[#This Row],[profit]]/Table1_1[[#This Row],[sales_fix]]*100,2)</f>
        <v>14.01</v>
      </c>
    </row>
    <row r="1255" spans="1:26" x14ac:dyDescent="0.3">
      <c r="A1255" t="s">
        <v>1756</v>
      </c>
      <c r="B1255" s="1">
        <v>45484</v>
      </c>
      <c r="C1255" s="1">
        <v>45490</v>
      </c>
      <c r="D1255" t="s">
        <v>748</v>
      </c>
      <c r="E1255" t="s">
        <v>749</v>
      </c>
      <c r="F1255" t="s">
        <v>55</v>
      </c>
      <c r="G1255" t="s">
        <v>91</v>
      </c>
      <c r="H1255" t="s">
        <v>92</v>
      </c>
      <c r="I1255" t="s">
        <v>147</v>
      </c>
      <c r="J1255" t="s">
        <v>148</v>
      </c>
      <c r="K1255" t="s">
        <v>48</v>
      </c>
      <c r="L1255">
        <v>1</v>
      </c>
      <c r="M1255">
        <v>250</v>
      </c>
      <c r="N1255">
        <v>0</v>
      </c>
      <c r="O1255">
        <v>250</v>
      </c>
      <c r="P1255">
        <v>87.42</v>
      </c>
      <c r="Q1255" t="s">
        <v>28</v>
      </c>
      <c r="R1255" t="s">
        <v>56</v>
      </c>
      <c r="S1255" t="s">
        <v>50</v>
      </c>
      <c r="T1255">
        <f>YEAR(Table1_1[[#This Row],[order_date]])</f>
        <v>2024</v>
      </c>
      <c r="U1255">
        <f>MONTH(Table1_1[[#This Row],[order_date]])</f>
        <v>7</v>
      </c>
      <c r="V1255" t="str">
        <f>TEXT(Table1_1[[#This Row],[order_date]],"mmm")</f>
        <v>Jul</v>
      </c>
      <c r="W1255" t="str">
        <f>"Q"&amp;ROUNDUP(MONTH(Table1_1[[#This Row],[order_date]])/3,0)</f>
        <v>Q3</v>
      </c>
      <c r="X1255" t="str">
        <f>TEXT(Table1_1[[#This Row],[order_date]],"yyyy-mm")</f>
        <v>2024-07</v>
      </c>
      <c r="Y1255">
        <f>IF(Table1_1[[#This Row],[ship_date]]="","",Table1_1[[#This Row],[ship_date]]-Table1_1[[#This Row],[order_date]])</f>
        <v>6</v>
      </c>
      <c r="Z1255">
        <f>ROUND(Table1_1[[#This Row],[profit]]/Table1_1[[#This Row],[sales_fix]]*100,2)</f>
        <v>34.97</v>
      </c>
    </row>
    <row r="1256" spans="1:26" x14ac:dyDescent="0.3">
      <c r="A1256" t="s">
        <v>468</v>
      </c>
      <c r="B1256" s="1">
        <v>45583</v>
      </c>
      <c r="C1256" s="1">
        <v>45590</v>
      </c>
      <c r="D1256" t="s">
        <v>470</v>
      </c>
      <c r="E1256" t="s">
        <v>471</v>
      </c>
      <c r="F1256" t="s">
        <v>23</v>
      </c>
      <c r="G1256" t="s">
        <v>61</v>
      </c>
      <c r="H1256" t="s">
        <v>62</v>
      </c>
      <c r="I1256" t="s">
        <v>79</v>
      </c>
      <c r="J1256" t="s">
        <v>80</v>
      </c>
      <c r="K1256" t="s">
        <v>65</v>
      </c>
      <c r="L1256">
        <v>3</v>
      </c>
      <c r="M1256">
        <v>3000</v>
      </c>
      <c r="N1256">
        <v>5</v>
      </c>
      <c r="O1256">
        <v>8550</v>
      </c>
      <c r="P1256">
        <v>1831.23</v>
      </c>
      <c r="Q1256" t="s">
        <v>121</v>
      </c>
      <c r="R1256" t="s">
        <v>29</v>
      </c>
      <c r="S1256" t="s">
        <v>30</v>
      </c>
      <c r="T1256">
        <f>YEAR(Table1_1[[#This Row],[order_date]])</f>
        <v>2024</v>
      </c>
      <c r="U1256">
        <f>MONTH(Table1_1[[#This Row],[order_date]])</f>
        <v>10</v>
      </c>
      <c r="V1256" t="str">
        <f>TEXT(Table1_1[[#This Row],[order_date]],"mmm")</f>
        <v>Oct</v>
      </c>
      <c r="W1256" t="str">
        <f>"Q"&amp;ROUNDUP(MONTH(Table1_1[[#This Row],[order_date]])/3,0)</f>
        <v>Q4</v>
      </c>
      <c r="X1256" t="str">
        <f>TEXT(Table1_1[[#This Row],[order_date]],"yyyy-mm")</f>
        <v>2024-10</v>
      </c>
      <c r="Y1256">
        <f>IF(Table1_1[[#This Row],[ship_date]]="","",Table1_1[[#This Row],[ship_date]]-Table1_1[[#This Row],[order_date]])</f>
        <v>7</v>
      </c>
      <c r="Z1256">
        <f>ROUND(Table1_1[[#This Row],[profit]]/Table1_1[[#This Row],[sales_fix]]*100,2)</f>
        <v>21.42</v>
      </c>
    </row>
    <row r="1257" spans="1:26" x14ac:dyDescent="0.3">
      <c r="A1257" t="s">
        <v>3092</v>
      </c>
      <c r="B1257" s="1">
        <v>45768</v>
      </c>
      <c r="C1257" s="1">
        <v>45770</v>
      </c>
      <c r="D1257" t="s">
        <v>488</v>
      </c>
      <c r="E1257" t="s">
        <v>489</v>
      </c>
      <c r="F1257" t="s">
        <v>34</v>
      </c>
      <c r="G1257" t="s">
        <v>35</v>
      </c>
      <c r="H1257" t="s">
        <v>36</v>
      </c>
      <c r="I1257" t="s">
        <v>63</v>
      </c>
      <c r="J1257" t="s">
        <v>64</v>
      </c>
      <c r="K1257" t="s">
        <v>65</v>
      </c>
      <c r="L1257">
        <v>4</v>
      </c>
      <c r="M1257">
        <v>25000</v>
      </c>
      <c r="N1257">
        <v>0</v>
      </c>
      <c r="O1257">
        <v>100000</v>
      </c>
      <c r="P1257">
        <v>14616.39</v>
      </c>
      <c r="Q1257" t="s">
        <v>156</v>
      </c>
      <c r="R1257" t="s">
        <v>49</v>
      </c>
      <c r="S1257" t="s">
        <v>86</v>
      </c>
      <c r="T1257">
        <f>YEAR(Table1_1[[#This Row],[order_date]])</f>
        <v>2025</v>
      </c>
      <c r="U1257">
        <f>MONTH(Table1_1[[#This Row],[order_date]])</f>
        <v>4</v>
      </c>
      <c r="V1257" t="str">
        <f>TEXT(Table1_1[[#This Row],[order_date]],"mmm")</f>
        <v>Apr</v>
      </c>
      <c r="W1257" t="str">
        <f>"Q"&amp;ROUNDUP(MONTH(Table1_1[[#This Row],[order_date]])/3,0)</f>
        <v>Q2</v>
      </c>
      <c r="X1257" t="str">
        <f>TEXT(Table1_1[[#This Row],[order_date]],"yyyy-mm")</f>
        <v>2025-04</v>
      </c>
      <c r="Y1257">
        <f>IF(Table1_1[[#This Row],[ship_date]]="","",Table1_1[[#This Row],[ship_date]]-Table1_1[[#This Row],[order_date]])</f>
        <v>2</v>
      </c>
      <c r="Z1257">
        <f>ROUND(Table1_1[[#This Row],[profit]]/Table1_1[[#This Row],[sales_fix]]*100,2)</f>
        <v>14.62</v>
      </c>
    </row>
    <row r="1258" spans="1:26" x14ac:dyDescent="0.3">
      <c r="A1258" t="s">
        <v>760</v>
      </c>
      <c r="B1258" s="1">
        <v>45423</v>
      </c>
      <c r="C1258" s="1">
        <v>45424</v>
      </c>
      <c r="D1258" t="s">
        <v>761</v>
      </c>
      <c r="E1258" t="s">
        <v>762</v>
      </c>
      <c r="F1258" t="s">
        <v>23</v>
      </c>
      <c r="G1258" t="s">
        <v>44</v>
      </c>
      <c r="H1258" t="s">
        <v>330</v>
      </c>
      <c r="I1258" t="s">
        <v>37</v>
      </c>
      <c r="J1258" t="s">
        <v>38</v>
      </c>
      <c r="K1258" t="s">
        <v>27</v>
      </c>
      <c r="L1258">
        <v>2</v>
      </c>
      <c r="M1258">
        <v>9500</v>
      </c>
      <c r="N1258">
        <v>5</v>
      </c>
      <c r="O1258">
        <v>18050</v>
      </c>
      <c r="P1258">
        <v>3518.02</v>
      </c>
      <c r="Q1258" t="s">
        <v>28</v>
      </c>
      <c r="R1258" t="s">
        <v>56</v>
      </c>
      <c r="S1258" t="s">
        <v>30</v>
      </c>
      <c r="T1258">
        <f>YEAR(Table1_1[[#This Row],[order_date]])</f>
        <v>2024</v>
      </c>
      <c r="U1258">
        <f>MONTH(Table1_1[[#This Row],[order_date]])</f>
        <v>5</v>
      </c>
      <c r="V1258" t="str">
        <f>TEXT(Table1_1[[#This Row],[order_date]],"mmm")</f>
        <v>May</v>
      </c>
      <c r="W1258" t="str">
        <f>"Q"&amp;ROUNDUP(MONTH(Table1_1[[#This Row],[order_date]])/3,0)</f>
        <v>Q2</v>
      </c>
      <c r="X1258" t="str">
        <f>TEXT(Table1_1[[#This Row],[order_date]],"yyyy-mm")</f>
        <v>2024-05</v>
      </c>
      <c r="Y1258">
        <f>IF(Table1_1[[#This Row],[ship_date]]="","",Table1_1[[#This Row],[ship_date]]-Table1_1[[#This Row],[order_date]])</f>
        <v>1</v>
      </c>
      <c r="Z1258">
        <f>ROUND(Table1_1[[#This Row],[profit]]/Table1_1[[#This Row],[sales_fix]]*100,2)</f>
        <v>19.489999999999998</v>
      </c>
    </row>
    <row r="1259" spans="1:26" x14ac:dyDescent="0.3">
      <c r="A1259" t="s">
        <v>2039</v>
      </c>
      <c r="B1259" s="1">
        <v>45602</v>
      </c>
      <c r="C1259" s="1">
        <v>45610</v>
      </c>
      <c r="D1259" t="s">
        <v>1301</v>
      </c>
      <c r="E1259" t="s">
        <v>1302</v>
      </c>
      <c r="F1259" t="s">
        <v>23</v>
      </c>
      <c r="G1259" t="s">
        <v>91</v>
      </c>
      <c r="H1259" t="s">
        <v>120</v>
      </c>
      <c r="I1259" t="s">
        <v>114</v>
      </c>
      <c r="J1259" t="s">
        <v>115</v>
      </c>
      <c r="K1259" t="s">
        <v>65</v>
      </c>
      <c r="L1259">
        <v>3</v>
      </c>
      <c r="M1259">
        <v>55000</v>
      </c>
      <c r="N1259">
        <v>0</v>
      </c>
      <c r="O1259">
        <v>165000</v>
      </c>
      <c r="P1259">
        <v>27961.200000000001</v>
      </c>
      <c r="Q1259" t="s">
        <v>39</v>
      </c>
      <c r="R1259" t="s">
        <v>49</v>
      </c>
      <c r="S1259" t="s">
        <v>30</v>
      </c>
      <c r="T1259">
        <f>YEAR(Table1_1[[#This Row],[order_date]])</f>
        <v>2024</v>
      </c>
      <c r="U1259">
        <f>MONTH(Table1_1[[#This Row],[order_date]])</f>
        <v>11</v>
      </c>
      <c r="V1259" t="str">
        <f>TEXT(Table1_1[[#This Row],[order_date]],"mmm")</f>
        <v>Nov</v>
      </c>
      <c r="W1259" t="str">
        <f>"Q"&amp;ROUNDUP(MONTH(Table1_1[[#This Row],[order_date]])/3,0)</f>
        <v>Q4</v>
      </c>
      <c r="X1259" t="str">
        <f>TEXT(Table1_1[[#This Row],[order_date]],"yyyy-mm")</f>
        <v>2024-11</v>
      </c>
      <c r="Y1259">
        <f>IF(Table1_1[[#This Row],[ship_date]]="","",Table1_1[[#This Row],[ship_date]]-Table1_1[[#This Row],[order_date]])</f>
        <v>8</v>
      </c>
      <c r="Z1259">
        <f>ROUND(Table1_1[[#This Row],[profit]]/Table1_1[[#This Row],[sales_fix]]*100,2)</f>
        <v>16.95</v>
      </c>
    </row>
    <row r="1260" spans="1:26" x14ac:dyDescent="0.3">
      <c r="A1260" t="s">
        <v>2286</v>
      </c>
      <c r="B1260" s="1">
        <v>45665</v>
      </c>
      <c r="C1260" s="1">
        <v>45672</v>
      </c>
      <c r="D1260" t="s">
        <v>1107</v>
      </c>
      <c r="E1260" t="s">
        <v>1108</v>
      </c>
      <c r="F1260" t="s">
        <v>55</v>
      </c>
      <c r="G1260" t="s">
        <v>91</v>
      </c>
      <c r="H1260" t="s">
        <v>109</v>
      </c>
      <c r="I1260" t="s">
        <v>46</v>
      </c>
      <c r="J1260" t="s">
        <v>47</v>
      </c>
      <c r="K1260" t="s">
        <v>48</v>
      </c>
      <c r="L1260">
        <v>1</v>
      </c>
      <c r="M1260">
        <v>180</v>
      </c>
      <c r="N1260">
        <v>0</v>
      </c>
      <c r="O1260">
        <v>180</v>
      </c>
      <c r="P1260">
        <v>88.48</v>
      </c>
      <c r="Q1260" t="s">
        <v>156</v>
      </c>
      <c r="R1260" t="s">
        <v>29</v>
      </c>
      <c r="S1260" t="s">
        <v>50</v>
      </c>
      <c r="T1260">
        <f>YEAR(Table1_1[[#This Row],[order_date]])</f>
        <v>2025</v>
      </c>
      <c r="U1260">
        <f>MONTH(Table1_1[[#This Row],[order_date]])</f>
        <v>1</v>
      </c>
      <c r="V1260" t="str">
        <f>TEXT(Table1_1[[#This Row],[order_date]],"mmm")</f>
        <v>Jan</v>
      </c>
      <c r="W1260" t="str">
        <f>"Q"&amp;ROUNDUP(MONTH(Table1_1[[#This Row],[order_date]])/3,0)</f>
        <v>Q1</v>
      </c>
      <c r="X1260" t="str">
        <f>TEXT(Table1_1[[#This Row],[order_date]],"yyyy-mm")</f>
        <v>2025-01</v>
      </c>
      <c r="Y1260">
        <f>IF(Table1_1[[#This Row],[ship_date]]="","",Table1_1[[#This Row],[ship_date]]-Table1_1[[#This Row],[order_date]])</f>
        <v>7</v>
      </c>
      <c r="Z1260">
        <f>ROUND(Table1_1[[#This Row],[profit]]/Table1_1[[#This Row],[sales_fix]]*100,2)</f>
        <v>49.16</v>
      </c>
    </row>
    <row r="1261" spans="1:26" x14ac:dyDescent="0.3">
      <c r="A1261" t="s">
        <v>2321</v>
      </c>
      <c r="B1261" s="1">
        <v>46016</v>
      </c>
      <c r="C1261" s="1">
        <v>46024</v>
      </c>
      <c r="D1261" t="s">
        <v>531</v>
      </c>
      <c r="E1261" t="s">
        <v>532</v>
      </c>
      <c r="F1261" t="s">
        <v>23</v>
      </c>
      <c r="G1261" t="s">
        <v>44</v>
      </c>
      <c r="H1261" t="s">
        <v>161</v>
      </c>
      <c r="I1261" t="s">
        <v>37</v>
      </c>
      <c r="J1261" t="s">
        <v>38</v>
      </c>
      <c r="K1261" t="s">
        <v>27</v>
      </c>
      <c r="L1261">
        <v>1</v>
      </c>
      <c r="M1261">
        <v>9500</v>
      </c>
      <c r="N1261">
        <v>20</v>
      </c>
      <c r="O1261">
        <v>7600</v>
      </c>
      <c r="P1261">
        <v>1437.63</v>
      </c>
      <c r="Q1261" t="s">
        <v>28</v>
      </c>
      <c r="R1261" t="s">
        <v>29</v>
      </c>
      <c r="S1261" t="s">
        <v>30</v>
      </c>
      <c r="T1261">
        <f>YEAR(Table1_1[[#This Row],[order_date]])</f>
        <v>2025</v>
      </c>
      <c r="U1261">
        <f>MONTH(Table1_1[[#This Row],[order_date]])</f>
        <v>12</v>
      </c>
      <c r="V1261" t="str">
        <f>TEXT(Table1_1[[#This Row],[order_date]],"mmm")</f>
        <v>Dec</v>
      </c>
      <c r="W1261" t="str">
        <f>"Q"&amp;ROUNDUP(MONTH(Table1_1[[#This Row],[order_date]])/3,0)</f>
        <v>Q4</v>
      </c>
      <c r="X1261" t="str">
        <f>TEXT(Table1_1[[#This Row],[order_date]],"yyyy-mm")</f>
        <v>2025-12</v>
      </c>
      <c r="Y1261">
        <f>IF(Table1_1[[#This Row],[ship_date]]="","",Table1_1[[#This Row],[ship_date]]-Table1_1[[#This Row],[order_date]])</f>
        <v>8</v>
      </c>
      <c r="Z1261">
        <f>ROUND(Table1_1[[#This Row],[profit]]/Table1_1[[#This Row],[sales_fix]]*100,2)</f>
        <v>18.920000000000002</v>
      </c>
    </row>
    <row r="1262" spans="1:26" x14ac:dyDescent="0.3">
      <c r="A1262" t="s">
        <v>2409</v>
      </c>
      <c r="B1262" s="1">
        <v>45416</v>
      </c>
      <c r="C1262" s="1">
        <v>45422</v>
      </c>
      <c r="D1262" t="s">
        <v>132</v>
      </c>
      <c r="E1262" t="s">
        <v>133</v>
      </c>
      <c r="F1262" t="s">
        <v>23</v>
      </c>
      <c r="G1262" t="s">
        <v>91</v>
      </c>
      <c r="H1262" t="s">
        <v>120</v>
      </c>
      <c r="I1262" t="s">
        <v>114</v>
      </c>
      <c r="J1262" t="s">
        <v>115</v>
      </c>
      <c r="K1262" t="s">
        <v>65</v>
      </c>
      <c r="L1262">
        <v>4</v>
      </c>
      <c r="M1262">
        <v>55000</v>
      </c>
      <c r="N1262">
        <v>5</v>
      </c>
      <c r="O1262">
        <v>209000</v>
      </c>
      <c r="P1262">
        <v>31858.18</v>
      </c>
      <c r="Q1262" t="s">
        <v>74</v>
      </c>
      <c r="R1262" t="s">
        <v>49</v>
      </c>
      <c r="S1262" t="s">
        <v>110</v>
      </c>
      <c r="T1262">
        <f>YEAR(Table1_1[[#This Row],[order_date]])</f>
        <v>2024</v>
      </c>
      <c r="U1262">
        <f>MONTH(Table1_1[[#This Row],[order_date]])</f>
        <v>5</v>
      </c>
      <c r="V1262" t="str">
        <f>TEXT(Table1_1[[#This Row],[order_date]],"mmm")</f>
        <v>May</v>
      </c>
      <c r="W1262" t="str">
        <f>"Q"&amp;ROUNDUP(MONTH(Table1_1[[#This Row],[order_date]])/3,0)</f>
        <v>Q2</v>
      </c>
      <c r="X1262" t="str">
        <f>TEXT(Table1_1[[#This Row],[order_date]],"yyyy-mm")</f>
        <v>2024-05</v>
      </c>
      <c r="Y1262">
        <f>IF(Table1_1[[#This Row],[ship_date]]="","",Table1_1[[#This Row],[ship_date]]-Table1_1[[#This Row],[order_date]])</f>
        <v>6</v>
      </c>
      <c r="Z1262">
        <f>ROUND(Table1_1[[#This Row],[profit]]/Table1_1[[#This Row],[sales_fix]]*100,2)</f>
        <v>15.24</v>
      </c>
    </row>
    <row r="1263" spans="1:26" x14ac:dyDescent="0.3">
      <c r="A1263" t="s">
        <v>1983</v>
      </c>
      <c r="B1263" s="1">
        <v>45847</v>
      </c>
      <c r="C1263" s="1">
        <v>45848</v>
      </c>
      <c r="D1263" t="s">
        <v>175</v>
      </c>
      <c r="E1263" t="s">
        <v>1984</v>
      </c>
      <c r="F1263" t="s">
        <v>55</v>
      </c>
      <c r="G1263" t="s">
        <v>91</v>
      </c>
      <c r="H1263" t="s">
        <v>177</v>
      </c>
      <c r="I1263" t="s">
        <v>114</v>
      </c>
      <c r="J1263" t="s">
        <v>115</v>
      </c>
      <c r="K1263" t="s">
        <v>65</v>
      </c>
      <c r="L1263">
        <v>1</v>
      </c>
      <c r="M1263">
        <v>55000</v>
      </c>
      <c r="N1263">
        <v>0</v>
      </c>
      <c r="O1263">
        <v>55000</v>
      </c>
      <c r="P1263">
        <v>8343.27</v>
      </c>
      <c r="Q1263" t="s">
        <v>28</v>
      </c>
      <c r="R1263" t="s">
        <v>49</v>
      </c>
      <c r="S1263" t="s">
        <v>110</v>
      </c>
      <c r="T1263">
        <f>YEAR(Table1_1[[#This Row],[order_date]])</f>
        <v>2025</v>
      </c>
      <c r="U1263">
        <f>MONTH(Table1_1[[#This Row],[order_date]])</f>
        <v>7</v>
      </c>
      <c r="V1263" t="str">
        <f>TEXT(Table1_1[[#This Row],[order_date]],"mmm")</f>
        <v>Jul</v>
      </c>
      <c r="W1263" t="str">
        <f>"Q"&amp;ROUNDUP(MONTH(Table1_1[[#This Row],[order_date]])/3,0)</f>
        <v>Q3</v>
      </c>
      <c r="X1263" t="str">
        <f>TEXT(Table1_1[[#This Row],[order_date]],"yyyy-mm")</f>
        <v>2025-07</v>
      </c>
      <c r="Y1263">
        <f>IF(Table1_1[[#This Row],[ship_date]]="","",Table1_1[[#This Row],[ship_date]]-Table1_1[[#This Row],[order_date]])</f>
        <v>1</v>
      </c>
      <c r="Z1263">
        <f>ROUND(Table1_1[[#This Row],[profit]]/Table1_1[[#This Row],[sales_fix]]*100,2)</f>
        <v>15.17</v>
      </c>
    </row>
    <row r="1264" spans="1:26" x14ac:dyDescent="0.3">
      <c r="A1264" t="s">
        <v>1154</v>
      </c>
      <c r="B1264" s="1">
        <v>45406</v>
      </c>
      <c r="C1264" s="1">
        <v>45413</v>
      </c>
      <c r="D1264" t="s">
        <v>247</v>
      </c>
      <c r="E1264" t="s">
        <v>248</v>
      </c>
      <c r="F1264" t="s">
        <v>34</v>
      </c>
      <c r="G1264" t="s">
        <v>61</v>
      </c>
      <c r="H1264" t="s">
        <v>78</v>
      </c>
      <c r="I1264" t="s">
        <v>93</v>
      </c>
      <c r="J1264" t="s">
        <v>94</v>
      </c>
      <c r="K1264" t="s">
        <v>95</v>
      </c>
      <c r="L1264">
        <v>1</v>
      </c>
      <c r="M1264">
        <v>1800</v>
      </c>
      <c r="N1264">
        <v>0</v>
      </c>
      <c r="O1264">
        <v>1800</v>
      </c>
      <c r="P1264">
        <v>574.88</v>
      </c>
      <c r="Q1264" t="s">
        <v>121</v>
      </c>
      <c r="R1264" t="s">
        <v>29</v>
      </c>
      <c r="S1264" t="s">
        <v>86</v>
      </c>
      <c r="T1264">
        <f>YEAR(Table1_1[[#This Row],[order_date]])</f>
        <v>2024</v>
      </c>
      <c r="U1264">
        <f>MONTH(Table1_1[[#This Row],[order_date]])</f>
        <v>4</v>
      </c>
      <c r="V1264" t="str">
        <f>TEXT(Table1_1[[#This Row],[order_date]],"mmm")</f>
        <v>Apr</v>
      </c>
      <c r="W1264" t="str">
        <f>"Q"&amp;ROUNDUP(MONTH(Table1_1[[#This Row],[order_date]])/3,0)</f>
        <v>Q2</v>
      </c>
      <c r="X1264" t="str">
        <f>TEXT(Table1_1[[#This Row],[order_date]],"yyyy-mm")</f>
        <v>2024-04</v>
      </c>
      <c r="Y1264">
        <f>IF(Table1_1[[#This Row],[ship_date]]="","",Table1_1[[#This Row],[ship_date]]-Table1_1[[#This Row],[order_date]])</f>
        <v>7</v>
      </c>
      <c r="Z1264">
        <f>ROUND(Table1_1[[#This Row],[profit]]/Table1_1[[#This Row],[sales_fix]]*100,2)</f>
        <v>31.94</v>
      </c>
    </row>
    <row r="1265" spans="1:26" x14ac:dyDescent="0.3">
      <c r="A1265" t="s">
        <v>97</v>
      </c>
      <c r="B1265" s="1">
        <v>45421</v>
      </c>
      <c r="C1265" s="1">
        <v>45426</v>
      </c>
      <c r="D1265" t="s">
        <v>98</v>
      </c>
      <c r="E1265" t="s">
        <v>99</v>
      </c>
      <c r="F1265" t="s">
        <v>34</v>
      </c>
      <c r="G1265" t="s">
        <v>91</v>
      </c>
      <c r="H1265" t="s">
        <v>92</v>
      </c>
      <c r="I1265" t="s">
        <v>63</v>
      </c>
      <c r="J1265" t="s">
        <v>64</v>
      </c>
      <c r="K1265" t="s">
        <v>65</v>
      </c>
      <c r="L1265">
        <v>3</v>
      </c>
      <c r="M1265">
        <v>25000</v>
      </c>
      <c r="N1265">
        <v>15</v>
      </c>
      <c r="O1265">
        <v>63750</v>
      </c>
      <c r="P1265">
        <v>8581.2000000000007</v>
      </c>
      <c r="Q1265" t="s">
        <v>74</v>
      </c>
      <c r="R1265" t="s">
        <v>49</v>
      </c>
      <c r="S1265" t="s">
        <v>40</v>
      </c>
      <c r="T1265">
        <f>YEAR(Table1_1[[#This Row],[order_date]])</f>
        <v>2024</v>
      </c>
      <c r="U1265">
        <f>MONTH(Table1_1[[#This Row],[order_date]])</f>
        <v>5</v>
      </c>
      <c r="V1265" t="str">
        <f>TEXT(Table1_1[[#This Row],[order_date]],"mmm")</f>
        <v>May</v>
      </c>
      <c r="W1265" t="str">
        <f>"Q"&amp;ROUNDUP(MONTH(Table1_1[[#This Row],[order_date]])/3,0)</f>
        <v>Q2</v>
      </c>
      <c r="X1265" t="str">
        <f>TEXT(Table1_1[[#This Row],[order_date]],"yyyy-mm")</f>
        <v>2024-05</v>
      </c>
      <c r="Y1265">
        <f>IF(Table1_1[[#This Row],[ship_date]]="","",Table1_1[[#This Row],[ship_date]]-Table1_1[[#This Row],[order_date]])</f>
        <v>5</v>
      </c>
      <c r="Z1265">
        <f>ROUND(Table1_1[[#This Row],[profit]]/Table1_1[[#This Row],[sales_fix]]*100,2)</f>
        <v>13.46</v>
      </c>
    </row>
    <row r="1266" spans="1:26" x14ac:dyDescent="0.3">
      <c r="A1266" t="s">
        <v>533</v>
      </c>
      <c r="B1266" s="1">
        <v>45828</v>
      </c>
      <c r="C1266" s="1">
        <v>45834</v>
      </c>
      <c r="D1266" t="s">
        <v>534</v>
      </c>
      <c r="E1266" t="s">
        <v>535</v>
      </c>
      <c r="F1266" t="s">
        <v>34</v>
      </c>
      <c r="G1266" t="s">
        <v>61</v>
      </c>
      <c r="H1266" t="s">
        <v>78</v>
      </c>
      <c r="I1266" t="s">
        <v>71</v>
      </c>
      <c r="J1266" t="s">
        <v>72</v>
      </c>
      <c r="K1266" t="s">
        <v>73</v>
      </c>
      <c r="L1266">
        <v>2</v>
      </c>
      <c r="M1266">
        <v>3500</v>
      </c>
      <c r="N1266">
        <v>0</v>
      </c>
      <c r="O1266">
        <v>7000</v>
      </c>
      <c r="P1266">
        <v>1636.58</v>
      </c>
      <c r="Q1266" t="s">
        <v>66</v>
      </c>
      <c r="R1266" t="s">
        <v>29</v>
      </c>
      <c r="S1266" t="s">
        <v>40</v>
      </c>
      <c r="T1266">
        <f>YEAR(Table1_1[[#This Row],[order_date]])</f>
        <v>2025</v>
      </c>
      <c r="U1266">
        <f>MONTH(Table1_1[[#This Row],[order_date]])</f>
        <v>6</v>
      </c>
      <c r="V1266" t="str">
        <f>TEXT(Table1_1[[#This Row],[order_date]],"mmm")</f>
        <v>Jun</v>
      </c>
      <c r="W1266" t="str">
        <f>"Q"&amp;ROUNDUP(MONTH(Table1_1[[#This Row],[order_date]])/3,0)</f>
        <v>Q2</v>
      </c>
      <c r="X1266" t="str">
        <f>TEXT(Table1_1[[#This Row],[order_date]],"yyyy-mm")</f>
        <v>2025-06</v>
      </c>
      <c r="Y1266">
        <f>IF(Table1_1[[#This Row],[ship_date]]="","",Table1_1[[#This Row],[ship_date]]-Table1_1[[#This Row],[order_date]])</f>
        <v>6</v>
      </c>
      <c r="Z1266">
        <f>ROUND(Table1_1[[#This Row],[profit]]/Table1_1[[#This Row],[sales_fix]]*100,2)</f>
        <v>23.38</v>
      </c>
    </row>
    <row r="1267" spans="1:26" x14ac:dyDescent="0.3">
      <c r="A1267" t="s">
        <v>1291</v>
      </c>
      <c r="B1267" s="1">
        <v>45816</v>
      </c>
      <c r="C1267" s="1">
        <v>45821</v>
      </c>
      <c r="D1267" t="s">
        <v>861</v>
      </c>
      <c r="E1267" t="s">
        <v>862</v>
      </c>
      <c r="F1267" t="s">
        <v>55</v>
      </c>
      <c r="G1267" t="s">
        <v>44</v>
      </c>
      <c r="H1267" t="s">
        <v>24</v>
      </c>
      <c r="I1267" t="s">
        <v>134</v>
      </c>
      <c r="J1267" t="s">
        <v>135</v>
      </c>
      <c r="K1267" t="s">
        <v>27</v>
      </c>
      <c r="L1267">
        <v>10</v>
      </c>
      <c r="M1267">
        <v>6000</v>
      </c>
      <c r="N1267">
        <v>0</v>
      </c>
      <c r="O1267">
        <v>60000</v>
      </c>
      <c r="P1267">
        <v>12025.57</v>
      </c>
      <c r="Q1267" t="s">
        <v>28</v>
      </c>
      <c r="R1267" t="s">
        <v>49</v>
      </c>
      <c r="S1267" t="s">
        <v>86</v>
      </c>
      <c r="T1267">
        <f>YEAR(Table1_1[[#This Row],[order_date]])</f>
        <v>2025</v>
      </c>
      <c r="U1267">
        <f>MONTH(Table1_1[[#This Row],[order_date]])</f>
        <v>6</v>
      </c>
      <c r="V1267" t="str">
        <f>TEXT(Table1_1[[#This Row],[order_date]],"mmm")</f>
        <v>Jun</v>
      </c>
      <c r="W1267" t="str">
        <f>"Q"&amp;ROUNDUP(MONTH(Table1_1[[#This Row],[order_date]])/3,0)</f>
        <v>Q2</v>
      </c>
      <c r="X1267" t="str">
        <f>TEXT(Table1_1[[#This Row],[order_date]],"yyyy-mm")</f>
        <v>2025-06</v>
      </c>
      <c r="Y1267">
        <f>IF(Table1_1[[#This Row],[ship_date]]="","",Table1_1[[#This Row],[ship_date]]-Table1_1[[#This Row],[order_date]])</f>
        <v>5</v>
      </c>
      <c r="Z1267">
        <f>ROUND(Table1_1[[#This Row],[profit]]/Table1_1[[#This Row],[sales_fix]]*100,2)</f>
        <v>20.04</v>
      </c>
    </row>
    <row r="1268" spans="1:26" x14ac:dyDescent="0.3">
      <c r="A1268" t="s">
        <v>2423</v>
      </c>
      <c r="B1268" s="1">
        <v>45555</v>
      </c>
      <c r="C1268" s="1">
        <v>45562</v>
      </c>
      <c r="D1268" t="s">
        <v>129</v>
      </c>
      <c r="E1268" t="s">
        <v>130</v>
      </c>
      <c r="F1268" t="s">
        <v>34</v>
      </c>
      <c r="G1268" t="s">
        <v>61</v>
      </c>
      <c r="H1268" t="s">
        <v>78</v>
      </c>
      <c r="I1268" t="s">
        <v>71</v>
      </c>
      <c r="J1268" t="s">
        <v>72</v>
      </c>
      <c r="K1268" t="s">
        <v>73</v>
      </c>
      <c r="L1268">
        <v>3</v>
      </c>
      <c r="M1268">
        <v>3500</v>
      </c>
      <c r="N1268">
        <v>15</v>
      </c>
      <c r="O1268">
        <v>8925</v>
      </c>
      <c r="P1268">
        <v>3007.85</v>
      </c>
      <c r="Q1268" t="s">
        <v>66</v>
      </c>
      <c r="R1268" t="s">
        <v>29</v>
      </c>
      <c r="S1268" t="s">
        <v>40</v>
      </c>
      <c r="T1268">
        <f>YEAR(Table1_1[[#This Row],[order_date]])</f>
        <v>2024</v>
      </c>
      <c r="U1268">
        <f>MONTH(Table1_1[[#This Row],[order_date]])</f>
        <v>9</v>
      </c>
      <c r="V1268" t="str">
        <f>TEXT(Table1_1[[#This Row],[order_date]],"mmm")</f>
        <v>Sep</v>
      </c>
      <c r="W1268" t="str">
        <f>"Q"&amp;ROUNDUP(MONTH(Table1_1[[#This Row],[order_date]])/3,0)</f>
        <v>Q3</v>
      </c>
      <c r="X1268" t="str">
        <f>TEXT(Table1_1[[#This Row],[order_date]],"yyyy-mm")</f>
        <v>2024-09</v>
      </c>
      <c r="Y1268">
        <f>IF(Table1_1[[#This Row],[ship_date]]="","",Table1_1[[#This Row],[ship_date]]-Table1_1[[#This Row],[order_date]])</f>
        <v>7</v>
      </c>
      <c r="Z1268">
        <f>ROUND(Table1_1[[#This Row],[profit]]/Table1_1[[#This Row],[sales_fix]]*100,2)</f>
        <v>33.700000000000003</v>
      </c>
    </row>
    <row r="1269" spans="1:26" x14ac:dyDescent="0.3">
      <c r="A1269" t="s">
        <v>3085</v>
      </c>
      <c r="B1269" s="1">
        <v>45922</v>
      </c>
      <c r="C1269" s="1">
        <v>45923</v>
      </c>
      <c r="D1269" t="s">
        <v>808</v>
      </c>
      <c r="E1269" t="s">
        <v>809</v>
      </c>
      <c r="F1269" t="s">
        <v>55</v>
      </c>
      <c r="G1269" t="s">
        <v>35</v>
      </c>
      <c r="H1269" t="s">
        <v>258</v>
      </c>
      <c r="I1269" t="s">
        <v>25</v>
      </c>
      <c r="J1269" t="s">
        <v>26</v>
      </c>
      <c r="K1269" t="s">
        <v>27</v>
      </c>
      <c r="L1269">
        <v>2</v>
      </c>
      <c r="M1269">
        <v>7000</v>
      </c>
      <c r="N1269">
        <v>20</v>
      </c>
      <c r="O1269">
        <v>11200</v>
      </c>
      <c r="P1269">
        <v>2507.09</v>
      </c>
      <c r="Q1269" t="s">
        <v>74</v>
      </c>
      <c r="R1269" t="s">
        <v>56</v>
      </c>
      <c r="S1269" t="s">
        <v>30</v>
      </c>
      <c r="T1269">
        <f>YEAR(Table1_1[[#This Row],[order_date]])</f>
        <v>2025</v>
      </c>
      <c r="U1269">
        <f>MONTH(Table1_1[[#This Row],[order_date]])</f>
        <v>9</v>
      </c>
      <c r="V1269" t="str">
        <f>TEXT(Table1_1[[#This Row],[order_date]],"mmm")</f>
        <v>Sep</v>
      </c>
      <c r="W1269" t="str">
        <f>"Q"&amp;ROUNDUP(MONTH(Table1_1[[#This Row],[order_date]])/3,0)</f>
        <v>Q3</v>
      </c>
      <c r="X1269" t="str">
        <f>TEXT(Table1_1[[#This Row],[order_date]],"yyyy-mm")</f>
        <v>2025-09</v>
      </c>
      <c r="Y1269">
        <f>IF(Table1_1[[#This Row],[ship_date]]="","",Table1_1[[#This Row],[ship_date]]-Table1_1[[#This Row],[order_date]])</f>
        <v>1</v>
      </c>
      <c r="Z1269">
        <f>ROUND(Table1_1[[#This Row],[profit]]/Table1_1[[#This Row],[sales_fix]]*100,2)</f>
        <v>22.38</v>
      </c>
    </row>
    <row r="1270" spans="1:26" x14ac:dyDescent="0.3">
      <c r="A1270" t="s">
        <v>1684</v>
      </c>
      <c r="B1270" s="1">
        <v>45573</v>
      </c>
      <c r="C1270" s="1">
        <v>45574</v>
      </c>
      <c r="D1270" t="s">
        <v>349</v>
      </c>
      <c r="E1270" t="s">
        <v>350</v>
      </c>
      <c r="F1270" t="s">
        <v>34</v>
      </c>
      <c r="G1270" t="s">
        <v>91</v>
      </c>
      <c r="H1270" t="s">
        <v>120</v>
      </c>
      <c r="I1270" t="s">
        <v>134</v>
      </c>
      <c r="J1270" t="s">
        <v>135</v>
      </c>
      <c r="K1270" t="s">
        <v>27</v>
      </c>
      <c r="L1270">
        <v>3</v>
      </c>
      <c r="M1270">
        <v>6000</v>
      </c>
      <c r="N1270">
        <v>0</v>
      </c>
      <c r="O1270">
        <v>18000</v>
      </c>
      <c r="P1270">
        <v>3890.7</v>
      </c>
      <c r="Q1270" t="s">
        <v>39</v>
      </c>
      <c r="R1270" t="s">
        <v>49</v>
      </c>
      <c r="S1270" t="s">
        <v>50</v>
      </c>
      <c r="T1270">
        <f>YEAR(Table1_1[[#This Row],[order_date]])</f>
        <v>2024</v>
      </c>
      <c r="U1270">
        <f>MONTH(Table1_1[[#This Row],[order_date]])</f>
        <v>10</v>
      </c>
      <c r="V1270" t="str">
        <f>TEXT(Table1_1[[#This Row],[order_date]],"mmm")</f>
        <v>Oct</v>
      </c>
      <c r="W1270" t="str">
        <f>"Q"&amp;ROUNDUP(MONTH(Table1_1[[#This Row],[order_date]])/3,0)</f>
        <v>Q4</v>
      </c>
      <c r="X1270" t="str">
        <f>TEXT(Table1_1[[#This Row],[order_date]],"yyyy-mm")</f>
        <v>2024-10</v>
      </c>
      <c r="Y1270">
        <f>IF(Table1_1[[#This Row],[ship_date]]="","",Table1_1[[#This Row],[ship_date]]-Table1_1[[#This Row],[order_date]])</f>
        <v>1</v>
      </c>
      <c r="Z1270">
        <f>ROUND(Table1_1[[#This Row],[profit]]/Table1_1[[#This Row],[sales_fix]]*100,2)</f>
        <v>21.62</v>
      </c>
    </row>
    <row r="1271" spans="1:26" x14ac:dyDescent="0.3">
      <c r="A1271" t="s">
        <v>1552</v>
      </c>
      <c r="B1271" s="1">
        <v>45297</v>
      </c>
      <c r="C1271" s="1">
        <v>45300</v>
      </c>
      <c r="D1271" t="s">
        <v>924</v>
      </c>
      <c r="E1271" t="s">
        <v>925</v>
      </c>
      <c r="F1271" t="s">
        <v>34</v>
      </c>
      <c r="G1271" t="s">
        <v>35</v>
      </c>
      <c r="H1271" t="s">
        <v>258</v>
      </c>
      <c r="I1271" t="s">
        <v>25</v>
      </c>
      <c r="J1271" t="s">
        <v>26</v>
      </c>
      <c r="K1271" t="s">
        <v>27</v>
      </c>
      <c r="L1271">
        <v>2</v>
      </c>
      <c r="M1271">
        <v>7000</v>
      </c>
      <c r="N1271">
        <v>0</v>
      </c>
      <c r="O1271">
        <v>14000</v>
      </c>
      <c r="P1271">
        <v>3119.49</v>
      </c>
      <c r="Q1271" t="s">
        <v>74</v>
      </c>
      <c r="R1271" t="s">
        <v>49</v>
      </c>
      <c r="S1271" t="s">
        <v>30</v>
      </c>
      <c r="T1271">
        <f>YEAR(Table1_1[[#This Row],[order_date]])</f>
        <v>2024</v>
      </c>
      <c r="U1271">
        <f>MONTH(Table1_1[[#This Row],[order_date]])</f>
        <v>1</v>
      </c>
      <c r="V1271" t="str">
        <f>TEXT(Table1_1[[#This Row],[order_date]],"mmm")</f>
        <v>Jan</v>
      </c>
      <c r="W1271" t="str">
        <f>"Q"&amp;ROUNDUP(MONTH(Table1_1[[#This Row],[order_date]])/3,0)</f>
        <v>Q1</v>
      </c>
      <c r="X1271" t="str">
        <f>TEXT(Table1_1[[#This Row],[order_date]],"yyyy-mm")</f>
        <v>2024-01</v>
      </c>
      <c r="Y1271">
        <f>IF(Table1_1[[#This Row],[ship_date]]="","",Table1_1[[#This Row],[ship_date]]-Table1_1[[#This Row],[order_date]])</f>
        <v>3</v>
      </c>
      <c r="Z1271">
        <f>ROUND(Table1_1[[#This Row],[profit]]/Table1_1[[#This Row],[sales_fix]]*100,2)</f>
        <v>22.28</v>
      </c>
    </row>
    <row r="1272" spans="1:26" x14ac:dyDescent="0.3">
      <c r="A1272" t="s">
        <v>2558</v>
      </c>
      <c r="B1272" s="1">
        <v>45518</v>
      </c>
      <c r="C1272" s="1">
        <v>45520</v>
      </c>
      <c r="D1272" t="s">
        <v>1152</v>
      </c>
      <c r="E1272" t="s">
        <v>1153</v>
      </c>
      <c r="F1272" t="s">
        <v>55</v>
      </c>
      <c r="G1272" t="s">
        <v>61</v>
      </c>
      <c r="H1272" t="s">
        <v>211</v>
      </c>
      <c r="I1272" t="s">
        <v>63</v>
      </c>
      <c r="J1272" t="s">
        <v>64</v>
      </c>
      <c r="K1272" t="s">
        <v>65</v>
      </c>
      <c r="L1272">
        <v>1</v>
      </c>
      <c r="M1272">
        <v>25000</v>
      </c>
      <c r="N1272">
        <v>15</v>
      </c>
      <c r="O1272">
        <v>21250</v>
      </c>
      <c r="P1272">
        <v>2645.13</v>
      </c>
      <c r="Q1272" t="s">
        <v>39</v>
      </c>
      <c r="R1272" t="s">
        <v>49</v>
      </c>
      <c r="S1272" t="s">
        <v>40</v>
      </c>
      <c r="T1272">
        <f>YEAR(Table1_1[[#This Row],[order_date]])</f>
        <v>2024</v>
      </c>
      <c r="U1272">
        <f>MONTH(Table1_1[[#This Row],[order_date]])</f>
        <v>8</v>
      </c>
      <c r="V1272" t="str">
        <f>TEXT(Table1_1[[#This Row],[order_date]],"mmm")</f>
        <v>Aug</v>
      </c>
      <c r="W1272" t="str">
        <f>"Q"&amp;ROUNDUP(MONTH(Table1_1[[#This Row],[order_date]])/3,0)</f>
        <v>Q3</v>
      </c>
      <c r="X1272" t="str">
        <f>TEXT(Table1_1[[#This Row],[order_date]],"yyyy-mm")</f>
        <v>2024-08</v>
      </c>
      <c r="Y1272">
        <f>IF(Table1_1[[#This Row],[ship_date]]="","",Table1_1[[#This Row],[ship_date]]-Table1_1[[#This Row],[order_date]])</f>
        <v>2</v>
      </c>
      <c r="Z1272">
        <f>ROUND(Table1_1[[#This Row],[profit]]/Table1_1[[#This Row],[sales_fix]]*100,2)</f>
        <v>12.45</v>
      </c>
    </row>
    <row r="1273" spans="1:26" x14ac:dyDescent="0.3">
      <c r="A1273" t="s">
        <v>922</v>
      </c>
      <c r="B1273" s="1">
        <v>45722</v>
      </c>
      <c r="C1273" s="1">
        <v>45730</v>
      </c>
      <c r="D1273" t="s">
        <v>582</v>
      </c>
      <c r="E1273" t="s">
        <v>583</v>
      </c>
      <c r="F1273" t="s">
        <v>34</v>
      </c>
      <c r="G1273" t="s">
        <v>61</v>
      </c>
      <c r="H1273" t="s">
        <v>78</v>
      </c>
      <c r="I1273" t="s">
        <v>93</v>
      </c>
      <c r="J1273" t="s">
        <v>94</v>
      </c>
      <c r="K1273" t="s">
        <v>95</v>
      </c>
      <c r="L1273">
        <v>2</v>
      </c>
      <c r="M1273">
        <v>1800</v>
      </c>
      <c r="N1273">
        <v>0</v>
      </c>
      <c r="O1273">
        <v>3600</v>
      </c>
      <c r="P1273">
        <v>1154.8900000000001</v>
      </c>
      <c r="Q1273" t="s">
        <v>39</v>
      </c>
      <c r="R1273" t="s">
        <v>29</v>
      </c>
      <c r="S1273" t="s">
        <v>110</v>
      </c>
      <c r="T1273">
        <f>YEAR(Table1_1[[#This Row],[order_date]])</f>
        <v>2025</v>
      </c>
      <c r="U1273">
        <f>MONTH(Table1_1[[#This Row],[order_date]])</f>
        <v>3</v>
      </c>
      <c r="V1273" t="str">
        <f>TEXT(Table1_1[[#This Row],[order_date]],"mmm")</f>
        <v>Mar</v>
      </c>
      <c r="W1273" t="str">
        <f>"Q"&amp;ROUNDUP(MONTH(Table1_1[[#This Row],[order_date]])/3,0)</f>
        <v>Q1</v>
      </c>
      <c r="X1273" t="str">
        <f>TEXT(Table1_1[[#This Row],[order_date]],"yyyy-mm")</f>
        <v>2025-03</v>
      </c>
      <c r="Y1273">
        <f>IF(Table1_1[[#This Row],[ship_date]]="","",Table1_1[[#This Row],[ship_date]]-Table1_1[[#This Row],[order_date]])</f>
        <v>8</v>
      </c>
      <c r="Z1273">
        <f>ROUND(Table1_1[[#This Row],[profit]]/Table1_1[[#This Row],[sales_fix]]*100,2)</f>
        <v>32.08</v>
      </c>
    </row>
    <row r="1274" spans="1:26" x14ac:dyDescent="0.3">
      <c r="A1274" t="s">
        <v>2434</v>
      </c>
      <c r="B1274" s="1">
        <v>45646</v>
      </c>
      <c r="C1274" s="1">
        <v>45650</v>
      </c>
      <c r="D1274" t="s">
        <v>1592</v>
      </c>
      <c r="E1274" t="s">
        <v>1593</v>
      </c>
      <c r="F1274" t="s">
        <v>34</v>
      </c>
      <c r="G1274" t="s">
        <v>44</v>
      </c>
      <c r="H1274" t="s">
        <v>155</v>
      </c>
      <c r="I1274" t="s">
        <v>37</v>
      </c>
      <c r="J1274" t="s">
        <v>38</v>
      </c>
      <c r="K1274" t="s">
        <v>27</v>
      </c>
      <c r="L1274">
        <v>1</v>
      </c>
      <c r="M1274">
        <v>9500</v>
      </c>
      <c r="N1274">
        <v>20</v>
      </c>
      <c r="O1274">
        <v>7600</v>
      </c>
      <c r="P1274">
        <v>1515.48</v>
      </c>
      <c r="Q1274" t="s">
        <v>39</v>
      </c>
      <c r="R1274" t="s">
        <v>56</v>
      </c>
      <c r="S1274" t="s">
        <v>50</v>
      </c>
      <c r="T1274">
        <f>YEAR(Table1_1[[#This Row],[order_date]])</f>
        <v>2024</v>
      </c>
      <c r="U1274">
        <f>MONTH(Table1_1[[#This Row],[order_date]])</f>
        <v>12</v>
      </c>
      <c r="V1274" t="str">
        <f>TEXT(Table1_1[[#This Row],[order_date]],"mmm")</f>
        <v>Dec</v>
      </c>
      <c r="W1274" t="str">
        <f>"Q"&amp;ROUNDUP(MONTH(Table1_1[[#This Row],[order_date]])/3,0)</f>
        <v>Q4</v>
      </c>
      <c r="X1274" t="str">
        <f>TEXT(Table1_1[[#This Row],[order_date]],"yyyy-mm")</f>
        <v>2024-12</v>
      </c>
      <c r="Y1274">
        <f>IF(Table1_1[[#This Row],[ship_date]]="","",Table1_1[[#This Row],[ship_date]]-Table1_1[[#This Row],[order_date]])</f>
        <v>4</v>
      </c>
      <c r="Z1274">
        <f>ROUND(Table1_1[[#This Row],[profit]]/Table1_1[[#This Row],[sales_fix]]*100,2)</f>
        <v>19.940000000000001</v>
      </c>
    </row>
    <row r="1275" spans="1:26" x14ac:dyDescent="0.3">
      <c r="A1275" t="s">
        <v>2124</v>
      </c>
      <c r="B1275" s="1">
        <v>45704</v>
      </c>
      <c r="C1275" s="1">
        <v>45706</v>
      </c>
      <c r="D1275" t="s">
        <v>1293</v>
      </c>
      <c r="E1275" t="s">
        <v>1294</v>
      </c>
      <c r="F1275" t="s">
        <v>34</v>
      </c>
      <c r="G1275" t="s">
        <v>61</v>
      </c>
      <c r="H1275" t="s">
        <v>211</v>
      </c>
      <c r="I1275" t="s">
        <v>25</v>
      </c>
      <c r="J1275" t="s">
        <v>26</v>
      </c>
      <c r="K1275" t="s">
        <v>27</v>
      </c>
      <c r="L1275">
        <v>1</v>
      </c>
      <c r="M1275">
        <v>7000</v>
      </c>
      <c r="N1275">
        <v>20</v>
      </c>
      <c r="O1275">
        <v>5600</v>
      </c>
      <c r="P1275">
        <v>1143.94</v>
      </c>
      <c r="Q1275" t="s">
        <v>156</v>
      </c>
      <c r="R1275" t="s">
        <v>49</v>
      </c>
      <c r="S1275" t="s">
        <v>40</v>
      </c>
      <c r="T1275">
        <f>YEAR(Table1_1[[#This Row],[order_date]])</f>
        <v>2025</v>
      </c>
      <c r="U1275">
        <f>MONTH(Table1_1[[#This Row],[order_date]])</f>
        <v>2</v>
      </c>
      <c r="V1275" t="str">
        <f>TEXT(Table1_1[[#This Row],[order_date]],"mmm")</f>
        <v>Feb</v>
      </c>
      <c r="W1275" t="str">
        <f>"Q"&amp;ROUNDUP(MONTH(Table1_1[[#This Row],[order_date]])/3,0)</f>
        <v>Q1</v>
      </c>
      <c r="X1275" t="str">
        <f>TEXT(Table1_1[[#This Row],[order_date]],"yyyy-mm")</f>
        <v>2025-02</v>
      </c>
      <c r="Y1275">
        <f>IF(Table1_1[[#This Row],[ship_date]]="","",Table1_1[[#This Row],[ship_date]]-Table1_1[[#This Row],[order_date]])</f>
        <v>2</v>
      </c>
      <c r="Z1275">
        <f>ROUND(Table1_1[[#This Row],[profit]]/Table1_1[[#This Row],[sales_fix]]*100,2)</f>
        <v>20.43</v>
      </c>
    </row>
    <row r="1276" spans="1:26" x14ac:dyDescent="0.3">
      <c r="A1276" t="s">
        <v>2956</v>
      </c>
      <c r="B1276" s="1">
        <v>45504</v>
      </c>
      <c r="C1276" s="1">
        <v>45509</v>
      </c>
      <c r="D1276" t="s">
        <v>539</v>
      </c>
      <c r="E1276" t="s">
        <v>540</v>
      </c>
      <c r="F1276" t="s">
        <v>34</v>
      </c>
      <c r="G1276" t="s">
        <v>61</v>
      </c>
      <c r="H1276" t="s">
        <v>211</v>
      </c>
      <c r="I1276" t="s">
        <v>63</v>
      </c>
      <c r="J1276" t="s">
        <v>64</v>
      </c>
      <c r="K1276" t="s">
        <v>65</v>
      </c>
      <c r="L1276">
        <v>3</v>
      </c>
      <c r="M1276">
        <v>25000</v>
      </c>
      <c r="N1276">
        <v>10</v>
      </c>
      <c r="O1276">
        <v>67500</v>
      </c>
      <c r="P1276">
        <v>8582.73</v>
      </c>
      <c r="Q1276" t="s">
        <v>74</v>
      </c>
      <c r="R1276" t="s">
        <v>49</v>
      </c>
      <c r="S1276" t="s">
        <v>30</v>
      </c>
      <c r="T1276">
        <f>YEAR(Table1_1[[#This Row],[order_date]])</f>
        <v>2024</v>
      </c>
      <c r="U1276">
        <f>MONTH(Table1_1[[#This Row],[order_date]])</f>
        <v>7</v>
      </c>
      <c r="V1276" t="str">
        <f>TEXT(Table1_1[[#This Row],[order_date]],"mmm")</f>
        <v>Jul</v>
      </c>
      <c r="W1276" t="str">
        <f>"Q"&amp;ROUNDUP(MONTH(Table1_1[[#This Row],[order_date]])/3,0)</f>
        <v>Q3</v>
      </c>
      <c r="X1276" t="str">
        <f>TEXT(Table1_1[[#This Row],[order_date]],"yyyy-mm")</f>
        <v>2024-07</v>
      </c>
      <c r="Y1276">
        <f>IF(Table1_1[[#This Row],[ship_date]]="","",Table1_1[[#This Row],[ship_date]]-Table1_1[[#This Row],[order_date]])</f>
        <v>5</v>
      </c>
      <c r="Z1276">
        <f>ROUND(Table1_1[[#This Row],[profit]]/Table1_1[[#This Row],[sales_fix]]*100,2)</f>
        <v>12.72</v>
      </c>
    </row>
    <row r="1277" spans="1:26" x14ac:dyDescent="0.3">
      <c r="A1277" t="s">
        <v>387</v>
      </c>
      <c r="B1277" s="1">
        <v>45931</v>
      </c>
      <c r="C1277" s="1">
        <v>45932</v>
      </c>
      <c r="D1277" t="s">
        <v>388</v>
      </c>
      <c r="E1277" t="s">
        <v>389</v>
      </c>
      <c r="F1277" t="s">
        <v>23</v>
      </c>
      <c r="G1277" t="s">
        <v>44</v>
      </c>
      <c r="H1277" t="s">
        <v>161</v>
      </c>
      <c r="I1277" t="s">
        <v>79</v>
      </c>
      <c r="J1277" t="s">
        <v>80</v>
      </c>
      <c r="K1277" t="s">
        <v>65</v>
      </c>
      <c r="L1277">
        <v>2</v>
      </c>
      <c r="M1277">
        <v>3000</v>
      </c>
      <c r="N1277">
        <v>10</v>
      </c>
      <c r="O1277">
        <v>5400</v>
      </c>
      <c r="P1277">
        <v>1413.63</v>
      </c>
      <c r="Q1277" t="s">
        <v>74</v>
      </c>
      <c r="R1277" t="s">
        <v>56</v>
      </c>
      <c r="S1277" t="s">
        <v>30</v>
      </c>
      <c r="T1277">
        <f>YEAR(Table1_1[[#This Row],[order_date]])</f>
        <v>2025</v>
      </c>
      <c r="U1277">
        <f>MONTH(Table1_1[[#This Row],[order_date]])</f>
        <v>10</v>
      </c>
      <c r="V1277" t="str">
        <f>TEXT(Table1_1[[#This Row],[order_date]],"mmm")</f>
        <v>Oct</v>
      </c>
      <c r="W1277" t="str">
        <f>"Q"&amp;ROUNDUP(MONTH(Table1_1[[#This Row],[order_date]])/3,0)</f>
        <v>Q4</v>
      </c>
      <c r="X1277" t="str">
        <f>TEXT(Table1_1[[#This Row],[order_date]],"yyyy-mm")</f>
        <v>2025-10</v>
      </c>
      <c r="Y1277">
        <f>IF(Table1_1[[#This Row],[ship_date]]="","",Table1_1[[#This Row],[ship_date]]-Table1_1[[#This Row],[order_date]])</f>
        <v>1</v>
      </c>
      <c r="Z1277">
        <f>ROUND(Table1_1[[#This Row],[profit]]/Table1_1[[#This Row],[sales_fix]]*100,2)</f>
        <v>26.18</v>
      </c>
    </row>
    <row r="1278" spans="1:26" x14ac:dyDescent="0.3">
      <c r="A1278" t="s">
        <v>2221</v>
      </c>
      <c r="B1278" s="1">
        <v>45842</v>
      </c>
      <c r="C1278" s="1">
        <v>45844</v>
      </c>
      <c r="D1278" t="s">
        <v>973</v>
      </c>
      <c r="E1278" t="s">
        <v>974</v>
      </c>
      <c r="F1278" t="s">
        <v>34</v>
      </c>
      <c r="G1278" t="s">
        <v>91</v>
      </c>
      <c r="H1278" t="s">
        <v>177</v>
      </c>
      <c r="I1278" t="s">
        <v>134</v>
      </c>
      <c r="J1278" t="s">
        <v>135</v>
      </c>
      <c r="K1278" t="s">
        <v>27</v>
      </c>
      <c r="L1278">
        <v>1</v>
      </c>
      <c r="M1278">
        <v>6000</v>
      </c>
      <c r="N1278">
        <v>10</v>
      </c>
      <c r="O1278">
        <v>5400</v>
      </c>
      <c r="P1278">
        <v>1399.07</v>
      </c>
      <c r="Q1278" t="s">
        <v>66</v>
      </c>
      <c r="R1278" t="s">
        <v>49</v>
      </c>
      <c r="S1278" t="s">
        <v>50</v>
      </c>
      <c r="T1278">
        <f>YEAR(Table1_1[[#This Row],[order_date]])</f>
        <v>2025</v>
      </c>
      <c r="U1278">
        <f>MONTH(Table1_1[[#This Row],[order_date]])</f>
        <v>7</v>
      </c>
      <c r="V1278" t="str">
        <f>TEXT(Table1_1[[#This Row],[order_date]],"mmm")</f>
        <v>Jul</v>
      </c>
      <c r="W1278" t="str">
        <f>"Q"&amp;ROUNDUP(MONTH(Table1_1[[#This Row],[order_date]])/3,0)</f>
        <v>Q3</v>
      </c>
      <c r="X1278" t="str">
        <f>TEXT(Table1_1[[#This Row],[order_date]],"yyyy-mm")</f>
        <v>2025-07</v>
      </c>
      <c r="Y1278">
        <f>IF(Table1_1[[#This Row],[ship_date]]="","",Table1_1[[#This Row],[ship_date]]-Table1_1[[#This Row],[order_date]])</f>
        <v>2</v>
      </c>
      <c r="Z1278">
        <f>ROUND(Table1_1[[#This Row],[profit]]/Table1_1[[#This Row],[sales_fix]]*100,2)</f>
        <v>25.91</v>
      </c>
    </row>
    <row r="1279" spans="1:26" x14ac:dyDescent="0.3">
      <c r="A1279" t="s">
        <v>604</v>
      </c>
      <c r="B1279" s="1">
        <v>45876</v>
      </c>
      <c r="C1279" s="1">
        <v>45883</v>
      </c>
      <c r="D1279" t="s">
        <v>606</v>
      </c>
      <c r="E1279" t="s">
        <v>607</v>
      </c>
      <c r="F1279" t="s">
        <v>23</v>
      </c>
      <c r="G1279" t="s">
        <v>35</v>
      </c>
      <c r="H1279" t="s">
        <v>36</v>
      </c>
      <c r="I1279" t="s">
        <v>63</v>
      </c>
      <c r="J1279" t="s">
        <v>64</v>
      </c>
      <c r="K1279" t="s">
        <v>65</v>
      </c>
      <c r="L1279">
        <v>1</v>
      </c>
      <c r="M1279">
        <v>25000</v>
      </c>
      <c r="N1279">
        <v>20</v>
      </c>
      <c r="O1279">
        <v>20000</v>
      </c>
      <c r="P1279">
        <v>2290.94</v>
      </c>
      <c r="Q1279" t="s">
        <v>39</v>
      </c>
      <c r="R1279" t="s">
        <v>49</v>
      </c>
      <c r="S1279" t="s">
        <v>110</v>
      </c>
      <c r="T1279">
        <f>YEAR(Table1_1[[#This Row],[order_date]])</f>
        <v>2025</v>
      </c>
      <c r="U1279">
        <f>MONTH(Table1_1[[#This Row],[order_date]])</f>
        <v>8</v>
      </c>
      <c r="V1279" t="str">
        <f>TEXT(Table1_1[[#This Row],[order_date]],"mmm")</f>
        <v>Aug</v>
      </c>
      <c r="W1279" t="str">
        <f>"Q"&amp;ROUNDUP(MONTH(Table1_1[[#This Row],[order_date]])/3,0)</f>
        <v>Q3</v>
      </c>
      <c r="X1279" t="str">
        <f>TEXT(Table1_1[[#This Row],[order_date]],"yyyy-mm")</f>
        <v>2025-08</v>
      </c>
      <c r="Y1279">
        <f>IF(Table1_1[[#This Row],[ship_date]]="","",Table1_1[[#This Row],[ship_date]]-Table1_1[[#This Row],[order_date]])</f>
        <v>7</v>
      </c>
      <c r="Z1279">
        <f>ROUND(Table1_1[[#This Row],[profit]]/Table1_1[[#This Row],[sales_fix]]*100,2)</f>
        <v>11.45</v>
      </c>
    </row>
    <row r="1280" spans="1:26" x14ac:dyDescent="0.3">
      <c r="A1280" t="s">
        <v>342</v>
      </c>
      <c r="B1280" s="1">
        <v>45905</v>
      </c>
      <c r="C1280" s="1">
        <v>45907</v>
      </c>
      <c r="D1280" t="s">
        <v>343</v>
      </c>
      <c r="E1280" t="s">
        <v>369</v>
      </c>
      <c r="F1280" t="s">
        <v>34</v>
      </c>
      <c r="G1280" t="s">
        <v>44</v>
      </c>
      <c r="H1280" t="s">
        <v>45</v>
      </c>
      <c r="I1280" t="s">
        <v>134</v>
      </c>
      <c r="J1280" t="s">
        <v>135</v>
      </c>
      <c r="K1280" t="s">
        <v>27</v>
      </c>
      <c r="L1280">
        <v>1</v>
      </c>
      <c r="M1280">
        <v>6000</v>
      </c>
      <c r="N1280">
        <v>20</v>
      </c>
      <c r="O1280">
        <v>4800</v>
      </c>
      <c r="P1280">
        <v>973.75</v>
      </c>
      <c r="Q1280" t="s">
        <v>156</v>
      </c>
      <c r="R1280" t="s">
        <v>56</v>
      </c>
      <c r="S1280" t="s">
        <v>110</v>
      </c>
      <c r="T1280">
        <f>YEAR(Table1_1[[#This Row],[order_date]])</f>
        <v>2025</v>
      </c>
      <c r="U1280">
        <f>MONTH(Table1_1[[#This Row],[order_date]])</f>
        <v>9</v>
      </c>
      <c r="V1280" t="str">
        <f>TEXT(Table1_1[[#This Row],[order_date]],"mmm")</f>
        <v>Sep</v>
      </c>
      <c r="W1280" t="str">
        <f>"Q"&amp;ROUNDUP(MONTH(Table1_1[[#This Row],[order_date]])/3,0)</f>
        <v>Q3</v>
      </c>
      <c r="X1280" t="str">
        <f>TEXT(Table1_1[[#This Row],[order_date]],"yyyy-mm")</f>
        <v>2025-09</v>
      </c>
      <c r="Y1280">
        <f>IF(Table1_1[[#This Row],[ship_date]]="","",Table1_1[[#This Row],[ship_date]]-Table1_1[[#This Row],[order_date]])</f>
        <v>2</v>
      </c>
      <c r="Z1280">
        <f>ROUND(Table1_1[[#This Row],[profit]]/Table1_1[[#This Row],[sales_fix]]*100,2)</f>
        <v>20.29</v>
      </c>
    </row>
    <row r="1281" spans="1:26" x14ac:dyDescent="0.3">
      <c r="A1281" t="s">
        <v>1349</v>
      </c>
      <c r="B1281" s="1">
        <v>45837</v>
      </c>
      <c r="C1281" s="1">
        <v>45845</v>
      </c>
      <c r="D1281" t="s">
        <v>237</v>
      </c>
      <c r="E1281" t="s">
        <v>238</v>
      </c>
      <c r="F1281" t="s">
        <v>55</v>
      </c>
      <c r="G1281" t="s">
        <v>44</v>
      </c>
      <c r="H1281" t="s">
        <v>155</v>
      </c>
      <c r="I1281" t="s">
        <v>46</v>
      </c>
      <c r="J1281" t="s">
        <v>47</v>
      </c>
      <c r="K1281" t="s">
        <v>48</v>
      </c>
      <c r="L1281">
        <v>1</v>
      </c>
      <c r="M1281">
        <v>180</v>
      </c>
      <c r="N1281">
        <v>20</v>
      </c>
      <c r="O1281">
        <v>144</v>
      </c>
      <c r="P1281">
        <v>55.83</v>
      </c>
      <c r="Q1281" t="s">
        <v>74</v>
      </c>
      <c r="R1281" t="s">
        <v>49</v>
      </c>
      <c r="S1281" t="s">
        <v>50</v>
      </c>
      <c r="T1281">
        <f>YEAR(Table1_1[[#This Row],[order_date]])</f>
        <v>2025</v>
      </c>
      <c r="U1281">
        <f>MONTH(Table1_1[[#This Row],[order_date]])</f>
        <v>6</v>
      </c>
      <c r="V1281" t="str">
        <f>TEXT(Table1_1[[#This Row],[order_date]],"mmm")</f>
        <v>Jun</v>
      </c>
      <c r="W1281" t="str">
        <f>"Q"&amp;ROUNDUP(MONTH(Table1_1[[#This Row],[order_date]])/3,0)</f>
        <v>Q2</v>
      </c>
      <c r="X1281" t="str">
        <f>TEXT(Table1_1[[#This Row],[order_date]],"yyyy-mm")</f>
        <v>2025-06</v>
      </c>
      <c r="Y1281">
        <f>IF(Table1_1[[#This Row],[ship_date]]="","",Table1_1[[#This Row],[ship_date]]-Table1_1[[#This Row],[order_date]])</f>
        <v>8</v>
      </c>
      <c r="Z1281">
        <f>ROUND(Table1_1[[#This Row],[profit]]/Table1_1[[#This Row],[sales_fix]]*100,2)</f>
        <v>38.770000000000003</v>
      </c>
    </row>
    <row r="1282" spans="1:26" x14ac:dyDescent="0.3">
      <c r="A1282" t="s">
        <v>1904</v>
      </c>
      <c r="B1282" s="1">
        <v>45587</v>
      </c>
      <c r="C1282" s="1">
        <v>45590</v>
      </c>
      <c r="D1282" t="s">
        <v>153</v>
      </c>
      <c r="E1282" t="s">
        <v>154</v>
      </c>
      <c r="F1282" t="s">
        <v>23</v>
      </c>
      <c r="G1282" t="s">
        <v>44</v>
      </c>
      <c r="H1282" t="s">
        <v>155</v>
      </c>
      <c r="I1282" t="s">
        <v>134</v>
      </c>
      <c r="J1282" t="s">
        <v>135</v>
      </c>
      <c r="K1282" t="s">
        <v>27</v>
      </c>
      <c r="L1282">
        <v>4</v>
      </c>
      <c r="M1282">
        <v>6000</v>
      </c>
      <c r="N1282">
        <v>20</v>
      </c>
      <c r="O1282">
        <v>19200</v>
      </c>
      <c r="P1282">
        <v>4080.88</v>
      </c>
      <c r="Q1282" t="s">
        <v>156</v>
      </c>
      <c r="R1282" t="s">
        <v>29</v>
      </c>
      <c r="S1282" t="s">
        <v>30</v>
      </c>
      <c r="T1282">
        <f>YEAR(Table1_1[[#This Row],[order_date]])</f>
        <v>2024</v>
      </c>
      <c r="U1282">
        <f>MONTH(Table1_1[[#This Row],[order_date]])</f>
        <v>10</v>
      </c>
      <c r="V1282" t="str">
        <f>TEXT(Table1_1[[#This Row],[order_date]],"mmm")</f>
        <v>Oct</v>
      </c>
      <c r="W1282" t="str">
        <f>"Q"&amp;ROUNDUP(MONTH(Table1_1[[#This Row],[order_date]])/3,0)</f>
        <v>Q4</v>
      </c>
      <c r="X1282" t="str">
        <f>TEXT(Table1_1[[#This Row],[order_date]],"yyyy-mm")</f>
        <v>2024-10</v>
      </c>
      <c r="Y1282">
        <f>IF(Table1_1[[#This Row],[ship_date]]="","",Table1_1[[#This Row],[ship_date]]-Table1_1[[#This Row],[order_date]])</f>
        <v>3</v>
      </c>
      <c r="Z1282">
        <f>ROUND(Table1_1[[#This Row],[profit]]/Table1_1[[#This Row],[sales_fix]]*100,2)</f>
        <v>21.25</v>
      </c>
    </row>
    <row r="1283" spans="1:26" x14ac:dyDescent="0.3">
      <c r="A1283" t="s">
        <v>2836</v>
      </c>
      <c r="B1283" s="1">
        <v>45720</v>
      </c>
      <c r="C1283" s="1">
        <v>45721</v>
      </c>
      <c r="D1283" t="s">
        <v>827</v>
      </c>
      <c r="E1283" t="s">
        <v>828</v>
      </c>
      <c r="F1283" t="s">
        <v>34</v>
      </c>
      <c r="G1283" t="s">
        <v>44</v>
      </c>
      <c r="H1283" t="s">
        <v>155</v>
      </c>
      <c r="I1283" t="s">
        <v>126</v>
      </c>
      <c r="J1283" t="s">
        <v>127</v>
      </c>
      <c r="K1283" t="s">
        <v>95</v>
      </c>
      <c r="L1283">
        <v>10</v>
      </c>
      <c r="M1283">
        <v>600</v>
      </c>
      <c r="N1283">
        <v>5</v>
      </c>
      <c r="O1283">
        <v>5700</v>
      </c>
      <c r="P1283">
        <v>1679.84</v>
      </c>
      <c r="Q1283" t="s">
        <v>39</v>
      </c>
      <c r="R1283" t="s">
        <v>29</v>
      </c>
      <c r="S1283" t="s">
        <v>50</v>
      </c>
      <c r="T1283">
        <f>YEAR(Table1_1[[#This Row],[order_date]])</f>
        <v>2025</v>
      </c>
      <c r="U1283">
        <f>MONTH(Table1_1[[#This Row],[order_date]])</f>
        <v>3</v>
      </c>
      <c r="V1283" t="str">
        <f>TEXT(Table1_1[[#This Row],[order_date]],"mmm")</f>
        <v>Mar</v>
      </c>
      <c r="W1283" t="str">
        <f>"Q"&amp;ROUNDUP(MONTH(Table1_1[[#This Row],[order_date]])/3,0)</f>
        <v>Q1</v>
      </c>
      <c r="X1283" t="str">
        <f>TEXT(Table1_1[[#This Row],[order_date]],"yyyy-mm")</f>
        <v>2025-03</v>
      </c>
      <c r="Y1283">
        <f>IF(Table1_1[[#This Row],[ship_date]]="","",Table1_1[[#This Row],[ship_date]]-Table1_1[[#This Row],[order_date]])</f>
        <v>1</v>
      </c>
      <c r="Z1283">
        <f>ROUND(Table1_1[[#This Row],[profit]]/Table1_1[[#This Row],[sales_fix]]*100,2)</f>
        <v>29.47</v>
      </c>
    </row>
    <row r="1284" spans="1:26" x14ac:dyDescent="0.3">
      <c r="A1284" t="s">
        <v>2863</v>
      </c>
      <c r="B1284" s="1">
        <v>45905</v>
      </c>
      <c r="C1284" s="1">
        <v>45911</v>
      </c>
      <c r="D1284" t="s">
        <v>237</v>
      </c>
      <c r="E1284" t="s">
        <v>238</v>
      </c>
      <c r="F1284" t="s">
        <v>55</v>
      </c>
      <c r="G1284" t="s">
        <v>44</v>
      </c>
      <c r="H1284" t="s">
        <v>155</v>
      </c>
      <c r="I1284" t="s">
        <v>63</v>
      </c>
      <c r="J1284" t="s">
        <v>64</v>
      </c>
      <c r="K1284" t="s">
        <v>65</v>
      </c>
      <c r="L1284">
        <v>2</v>
      </c>
      <c r="M1284">
        <v>25000</v>
      </c>
      <c r="N1284">
        <v>5</v>
      </c>
      <c r="O1284">
        <v>47500</v>
      </c>
      <c r="P1284">
        <v>7682.14</v>
      </c>
      <c r="Q1284" t="s">
        <v>39</v>
      </c>
      <c r="R1284" t="s">
        <v>29</v>
      </c>
      <c r="S1284" t="s">
        <v>50</v>
      </c>
      <c r="T1284">
        <f>YEAR(Table1_1[[#This Row],[order_date]])</f>
        <v>2025</v>
      </c>
      <c r="U1284">
        <f>MONTH(Table1_1[[#This Row],[order_date]])</f>
        <v>9</v>
      </c>
      <c r="V1284" t="str">
        <f>TEXT(Table1_1[[#This Row],[order_date]],"mmm")</f>
        <v>Sep</v>
      </c>
      <c r="W1284" t="str">
        <f>"Q"&amp;ROUNDUP(MONTH(Table1_1[[#This Row],[order_date]])/3,0)</f>
        <v>Q3</v>
      </c>
      <c r="X1284" t="str">
        <f>TEXT(Table1_1[[#This Row],[order_date]],"yyyy-mm")</f>
        <v>2025-09</v>
      </c>
      <c r="Y1284">
        <f>IF(Table1_1[[#This Row],[ship_date]]="","",Table1_1[[#This Row],[ship_date]]-Table1_1[[#This Row],[order_date]])</f>
        <v>6</v>
      </c>
      <c r="Z1284">
        <f>ROUND(Table1_1[[#This Row],[profit]]/Table1_1[[#This Row],[sales_fix]]*100,2)</f>
        <v>16.170000000000002</v>
      </c>
    </row>
    <row r="1285" spans="1:26" x14ac:dyDescent="0.3">
      <c r="A1285" t="s">
        <v>1304</v>
      </c>
      <c r="B1285" s="1">
        <v>45775</v>
      </c>
      <c r="C1285" s="1">
        <v>45782</v>
      </c>
      <c r="D1285" t="s">
        <v>321</v>
      </c>
      <c r="E1285" t="s">
        <v>322</v>
      </c>
      <c r="F1285" t="s">
        <v>34</v>
      </c>
      <c r="G1285" t="s">
        <v>91</v>
      </c>
      <c r="H1285" t="s">
        <v>109</v>
      </c>
      <c r="I1285" t="s">
        <v>126</v>
      </c>
      <c r="J1285" t="s">
        <v>127</v>
      </c>
      <c r="K1285" t="s">
        <v>95</v>
      </c>
      <c r="L1285">
        <v>3</v>
      </c>
      <c r="M1285">
        <v>600</v>
      </c>
      <c r="N1285">
        <v>0</v>
      </c>
      <c r="O1285">
        <v>1800</v>
      </c>
      <c r="P1285">
        <v>485.02</v>
      </c>
      <c r="Q1285" t="s">
        <v>39</v>
      </c>
      <c r="R1285" t="s">
        <v>56</v>
      </c>
      <c r="S1285" t="s">
        <v>50</v>
      </c>
      <c r="T1285">
        <f>YEAR(Table1_1[[#This Row],[order_date]])</f>
        <v>2025</v>
      </c>
      <c r="U1285">
        <f>MONTH(Table1_1[[#This Row],[order_date]])</f>
        <v>4</v>
      </c>
      <c r="V1285" t="str">
        <f>TEXT(Table1_1[[#This Row],[order_date]],"mmm")</f>
        <v>Apr</v>
      </c>
      <c r="W1285" t="str">
        <f>"Q"&amp;ROUNDUP(MONTH(Table1_1[[#This Row],[order_date]])/3,0)</f>
        <v>Q2</v>
      </c>
      <c r="X1285" t="str">
        <f>TEXT(Table1_1[[#This Row],[order_date]],"yyyy-mm")</f>
        <v>2025-04</v>
      </c>
      <c r="Y1285">
        <f>IF(Table1_1[[#This Row],[ship_date]]="","",Table1_1[[#This Row],[ship_date]]-Table1_1[[#This Row],[order_date]])</f>
        <v>7</v>
      </c>
      <c r="Z1285">
        <f>ROUND(Table1_1[[#This Row],[profit]]/Table1_1[[#This Row],[sales_fix]]*100,2)</f>
        <v>26.95</v>
      </c>
    </row>
    <row r="1286" spans="1:26" x14ac:dyDescent="0.3">
      <c r="A1286" t="s">
        <v>1454</v>
      </c>
      <c r="B1286" s="1">
        <v>45669</v>
      </c>
      <c r="C1286" s="1">
        <v>45673</v>
      </c>
      <c r="D1286" t="s">
        <v>761</v>
      </c>
      <c r="E1286" t="s">
        <v>762</v>
      </c>
      <c r="F1286" t="s">
        <v>23</v>
      </c>
      <c r="G1286" t="s">
        <v>44</v>
      </c>
      <c r="H1286" t="s">
        <v>330</v>
      </c>
      <c r="I1286" t="s">
        <v>147</v>
      </c>
      <c r="J1286" t="s">
        <v>148</v>
      </c>
      <c r="K1286" t="s">
        <v>48</v>
      </c>
      <c r="L1286">
        <v>3</v>
      </c>
      <c r="M1286">
        <v>250</v>
      </c>
      <c r="N1286">
        <v>0</v>
      </c>
      <c r="O1286">
        <v>750</v>
      </c>
      <c r="P1286">
        <v>231.03</v>
      </c>
      <c r="Q1286" t="s">
        <v>74</v>
      </c>
      <c r="R1286" t="s">
        <v>29</v>
      </c>
      <c r="S1286" t="s">
        <v>110</v>
      </c>
      <c r="T1286">
        <f>YEAR(Table1_1[[#This Row],[order_date]])</f>
        <v>2025</v>
      </c>
      <c r="U1286">
        <f>MONTH(Table1_1[[#This Row],[order_date]])</f>
        <v>1</v>
      </c>
      <c r="V1286" t="str">
        <f>TEXT(Table1_1[[#This Row],[order_date]],"mmm")</f>
        <v>Jan</v>
      </c>
      <c r="W1286" t="str">
        <f>"Q"&amp;ROUNDUP(MONTH(Table1_1[[#This Row],[order_date]])/3,0)</f>
        <v>Q1</v>
      </c>
      <c r="X1286" t="str">
        <f>TEXT(Table1_1[[#This Row],[order_date]],"yyyy-mm")</f>
        <v>2025-01</v>
      </c>
      <c r="Y1286">
        <f>IF(Table1_1[[#This Row],[ship_date]]="","",Table1_1[[#This Row],[ship_date]]-Table1_1[[#This Row],[order_date]])</f>
        <v>4</v>
      </c>
      <c r="Z1286">
        <f>ROUND(Table1_1[[#This Row],[profit]]/Table1_1[[#This Row],[sales_fix]]*100,2)</f>
        <v>30.8</v>
      </c>
    </row>
    <row r="1287" spans="1:26" x14ac:dyDescent="0.3">
      <c r="A1287" t="s">
        <v>137</v>
      </c>
      <c r="B1287" s="1">
        <v>45503</v>
      </c>
      <c r="C1287" s="1">
        <v>45511</v>
      </c>
      <c r="D1287" t="s">
        <v>138</v>
      </c>
      <c r="E1287" t="s">
        <v>139</v>
      </c>
      <c r="F1287" t="s">
        <v>55</v>
      </c>
      <c r="G1287" t="s">
        <v>35</v>
      </c>
      <c r="H1287" t="s">
        <v>36</v>
      </c>
      <c r="I1287" t="s">
        <v>114</v>
      </c>
      <c r="J1287" t="s">
        <v>115</v>
      </c>
      <c r="K1287" t="s">
        <v>65</v>
      </c>
      <c r="L1287">
        <v>2</v>
      </c>
      <c r="M1287">
        <v>55000</v>
      </c>
      <c r="N1287">
        <v>5</v>
      </c>
      <c r="O1287">
        <v>104500</v>
      </c>
      <c r="P1287">
        <v>15010.73</v>
      </c>
      <c r="Q1287" t="s">
        <v>121</v>
      </c>
      <c r="R1287" t="s">
        <v>29</v>
      </c>
      <c r="S1287" t="s">
        <v>30</v>
      </c>
      <c r="T1287">
        <f>YEAR(Table1_1[[#This Row],[order_date]])</f>
        <v>2024</v>
      </c>
      <c r="U1287">
        <f>MONTH(Table1_1[[#This Row],[order_date]])</f>
        <v>7</v>
      </c>
      <c r="V1287" t="str">
        <f>TEXT(Table1_1[[#This Row],[order_date]],"mmm")</f>
        <v>Jul</v>
      </c>
      <c r="W1287" t="str">
        <f>"Q"&amp;ROUNDUP(MONTH(Table1_1[[#This Row],[order_date]])/3,0)</f>
        <v>Q3</v>
      </c>
      <c r="X1287" t="str">
        <f>TEXT(Table1_1[[#This Row],[order_date]],"yyyy-mm")</f>
        <v>2024-07</v>
      </c>
      <c r="Y1287">
        <f>IF(Table1_1[[#This Row],[ship_date]]="","",Table1_1[[#This Row],[ship_date]]-Table1_1[[#This Row],[order_date]])</f>
        <v>8</v>
      </c>
      <c r="Z1287">
        <f>ROUND(Table1_1[[#This Row],[profit]]/Table1_1[[#This Row],[sales_fix]]*100,2)</f>
        <v>14.36</v>
      </c>
    </row>
    <row r="1288" spans="1:26" x14ac:dyDescent="0.3">
      <c r="A1288" t="s">
        <v>1989</v>
      </c>
      <c r="B1288" s="1">
        <v>45405</v>
      </c>
      <c r="C1288" s="1">
        <v>45408</v>
      </c>
      <c r="D1288" t="s">
        <v>314</v>
      </c>
      <c r="E1288" t="s">
        <v>315</v>
      </c>
      <c r="F1288" t="s">
        <v>55</v>
      </c>
      <c r="G1288" t="s">
        <v>44</v>
      </c>
      <c r="H1288" t="s">
        <v>161</v>
      </c>
      <c r="I1288" t="s">
        <v>126</v>
      </c>
      <c r="J1288" t="s">
        <v>127</v>
      </c>
      <c r="K1288" t="s">
        <v>95</v>
      </c>
      <c r="L1288">
        <v>4</v>
      </c>
      <c r="M1288">
        <v>600</v>
      </c>
      <c r="N1288">
        <v>20</v>
      </c>
      <c r="O1288">
        <v>1920</v>
      </c>
      <c r="P1288">
        <v>607.39</v>
      </c>
      <c r="Q1288" t="s">
        <v>121</v>
      </c>
      <c r="R1288" t="s">
        <v>49</v>
      </c>
      <c r="S1288" t="s">
        <v>86</v>
      </c>
      <c r="T1288">
        <f>YEAR(Table1_1[[#This Row],[order_date]])</f>
        <v>2024</v>
      </c>
      <c r="U1288">
        <f>MONTH(Table1_1[[#This Row],[order_date]])</f>
        <v>4</v>
      </c>
      <c r="V1288" t="str">
        <f>TEXT(Table1_1[[#This Row],[order_date]],"mmm")</f>
        <v>Apr</v>
      </c>
      <c r="W1288" t="str">
        <f>"Q"&amp;ROUNDUP(MONTH(Table1_1[[#This Row],[order_date]])/3,0)</f>
        <v>Q2</v>
      </c>
      <c r="X1288" t="str">
        <f>TEXT(Table1_1[[#This Row],[order_date]],"yyyy-mm")</f>
        <v>2024-04</v>
      </c>
      <c r="Y1288">
        <f>IF(Table1_1[[#This Row],[ship_date]]="","",Table1_1[[#This Row],[ship_date]]-Table1_1[[#This Row],[order_date]])</f>
        <v>3</v>
      </c>
      <c r="Z1288">
        <f>ROUND(Table1_1[[#This Row],[profit]]/Table1_1[[#This Row],[sales_fix]]*100,2)</f>
        <v>31.63</v>
      </c>
    </row>
    <row r="1289" spans="1:26" x14ac:dyDescent="0.3">
      <c r="A1289" t="s">
        <v>2604</v>
      </c>
      <c r="B1289" s="1">
        <v>45325</v>
      </c>
      <c r="C1289" s="1">
        <v>45333</v>
      </c>
      <c r="D1289" t="s">
        <v>531</v>
      </c>
      <c r="E1289" t="s">
        <v>532</v>
      </c>
      <c r="F1289" t="s">
        <v>23</v>
      </c>
      <c r="G1289" t="s">
        <v>44</v>
      </c>
      <c r="H1289" t="s">
        <v>161</v>
      </c>
      <c r="I1289" t="s">
        <v>71</v>
      </c>
      <c r="J1289" t="s">
        <v>72</v>
      </c>
      <c r="K1289" t="s">
        <v>73</v>
      </c>
      <c r="L1289">
        <v>3</v>
      </c>
      <c r="M1289">
        <v>3500</v>
      </c>
      <c r="N1289">
        <v>5</v>
      </c>
      <c r="O1289">
        <v>9975</v>
      </c>
      <c r="P1289">
        <v>3341.47</v>
      </c>
      <c r="Q1289" t="s">
        <v>28</v>
      </c>
      <c r="R1289" t="s">
        <v>29</v>
      </c>
      <c r="S1289" t="s">
        <v>30</v>
      </c>
      <c r="T1289">
        <f>YEAR(Table1_1[[#This Row],[order_date]])</f>
        <v>2024</v>
      </c>
      <c r="U1289">
        <f>MONTH(Table1_1[[#This Row],[order_date]])</f>
        <v>2</v>
      </c>
      <c r="V1289" t="str">
        <f>TEXT(Table1_1[[#This Row],[order_date]],"mmm")</f>
        <v>Feb</v>
      </c>
      <c r="W1289" t="str">
        <f>"Q"&amp;ROUNDUP(MONTH(Table1_1[[#This Row],[order_date]])/3,0)</f>
        <v>Q1</v>
      </c>
      <c r="X1289" t="str">
        <f>TEXT(Table1_1[[#This Row],[order_date]],"yyyy-mm")</f>
        <v>2024-02</v>
      </c>
      <c r="Y1289">
        <f>IF(Table1_1[[#This Row],[ship_date]]="","",Table1_1[[#This Row],[ship_date]]-Table1_1[[#This Row],[order_date]])</f>
        <v>8</v>
      </c>
      <c r="Z1289">
        <f>ROUND(Table1_1[[#This Row],[profit]]/Table1_1[[#This Row],[sales_fix]]*100,2)</f>
        <v>33.5</v>
      </c>
    </row>
    <row r="1290" spans="1:26" x14ac:dyDescent="0.3">
      <c r="A1290" t="s">
        <v>1764</v>
      </c>
      <c r="B1290" s="1">
        <v>45842</v>
      </c>
      <c r="C1290" s="1">
        <v>45843</v>
      </c>
      <c r="D1290" t="s">
        <v>808</v>
      </c>
      <c r="E1290" t="s">
        <v>809</v>
      </c>
      <c r="F1290" t="s">
        <v>55</v>
      </c>
      <c r="G1290" t="s">
        <v>35</v>
      </c>
      <c r="H1290" t="s">
        <v>258</v>
      </c>
      <c r="I1290" t="s">
        <v>71</v>
      </c>
      <c r="J1290" t="s">
        <v>72</v>
      </c>
      <c r="K1290" t="s">
        <v>73</v>
      </c>
      <c r="L1290">
        <v>1</v>
      </c>
      <c r="M1290">
        <v>3500</v>
      </c>
      <c r="N1290">
        <v>20</v>
      </c>
      <c r="O1290">
        <v>2800</v>
      </c>
      <c r="P1290">
        <v>844.74</v>
      </c>
      <c r="Q1290" t="s">
        <v>28</v>
      </c>
      <c r="R1290" t="s">
        <v>49</v>
      </c>
      <c r="S1290" t="s">
        <v>86</v>
      </c>
      <c r="T1290">
        <f>YEAR(Table1_1[[#This Row],[order_date]])</f>
        <v>2025</v>
      </c>
      <c r="U1290">
        <f>MONTH(Table1_1[[#This Row],[order_date]])</f>
        <v>7</v>
      </c>
      <c r="V1290" t="str">
        <f>TEXT(Table1_1[[#This Row],[order_date]],"mmm")</f>
        <v>Jul</v>
      </c>
      <c r="W1290" t="str">
        <f>"Q"&amp;ROUNDUP(MONTH(Table1_1[[#This Row],[order_date]])/3,0)</f>
        <v>Q3</v>
      </c>
      <c r="X1290" t="str">
        <f>TEXT(Table1_1[[#This Row],[order_date]],"yyyy-mm")</f>
        <v>2025-07</v>
      </c>
      <c r="Y1290">
        <f>IF(Table1_1[[#This Row],[ship_date]]="","",Table1_1[[#This Row],[ship_date]]-Table1_1[[#This Row],[order_date]])</f>
        <v>1</v>
      </c>
      <c r="Z1290">
        <f>ROUND(Table1_1[[#This Row],[profit]]/Table1_1[[#This Row],[sales_fix]]*100,2)</f>
        <v>30.17</v>
      </c>
    </row>
    <row r="1291" spans="1:26" x14ac:dyDescent="0.3">
      <c r="A1291" t="s">
        <v>1676</v>
      </c>
      <c r="B1291" s="1">
        <v>45332</v>
      </c>
      <c r="C1291" s="1">
        <v>45340</v>
      </c>
      <c r="D1291" t="s">
        <v>1125</v>
      </c>
      <c r="E1291" t="s">
        <v>1126</v>
      </c>
      <c r="F1291" t="s">
        <v>55</v>
      </c>
      <c r="G1291" t="s">
        <v>61</v>
      </c>
      <c r="H1291" t="s">
        <v>125</v>
      </c>
      <c r="I1291" t="s">
        <v>134</v>
      </c>
      <c r="J1291" t="s">
        <v>135</v>
      </c>
      <c r="K1291" t="s">
        <v>27</v>
      </c>
      <c r="L1291">
        <v>1</v>
      </c>
      <c r="M1291">
        <v>6000</v>
      </c>
      <c r="N1291">
        <v>15</v>
      </c>
      <c r="O1291">
        <v>5100</v>
      </c>
      <c r="P1291">
        <v>1310.85</v>
      </c>
      <c r="Q1291" t="s">
        <v>28</v>
      </c>
      <c r="R1291" t="s">
        <v>29</v>
      </c>
      <c r="S1291" t="s">
        <v>86</v>
      </c>
      <c r="T1291">
        <f>YEAR(Table1_1[[#This Row],[order_date]])</f>
        <v>2024</v>
      </c>
      <c r="U1291">
        <f>MONTH(Table1_1[[#This Row],[order_date]])</f>
        <v>2</v>
      </c>
      <c r="V1291" t="str">
        <f>TEXT(Table1_1[[#This Row],[order_date]],"mmm")</f>
        <v>Feb</v>
      </c>
      <c r="W1291" t="str">
        <f>"Q"&amp;ROUNDUP(MONTH(Table1_1[[#This Row],[order_date]])/3,0)</f>
        <v>Q1</v>
      </c>
      <c r="X1291" t="str">
        <f>TEXT(Table1_1[[#This Row],[order_date]],"yyyy-mm")</f>
        <v>2024-02</v>
      </c>
      <c r="Y1291">
        <f>IF(Table1_1[[#This Row],[ship_date]]="","",Table1_1[[#This Row],[ship_date]]-Table1_1[[#This Row],[order_date]])</f>
        <v>8</v>
      </c>
      <c r="Z1291">
        <f>ROUND(Table1_1[[#This Row],[profit]]/Table1_1[[#This Row],[sales_fix]]*100,2)</f>
        <v>25.7</v>
      </c>
    </row>
    <row r="1292" spans="1:26" x14ac:dyDescent="0.3">
      <c r="A1292" t="s">
        <v>2703</v>
      </c>
      <c r="B1292" s="1">
        <v>45885</v>
      </c>
      <c r="C1292" s="1">
        <v>45891</v>
      </c>
      <c r="D1292" t="s">
        <v>2323</v>
      </c>
      <c r="E1292" t="s">
        <v>2324</v>
      </c>
      <c r="F1292" t="s">
        <v>23</v>
      </c>
      <c r="G1292" t="s">
        <v>91</v>
      </c>
      <c r="H1292" t="s">
        <v>177</v>
      </c>
      <c r="I1292" t="s">
        <v>25</v>
      </c>
      <c r="J1292" t="s">
        <v>26</v>
      </c>
      <c r="K1292" t="s">
        <v>27</v>
      </c>
      <c r="L1292">
        <v>3</v>
      </c>
      <c r="M1292">
        <v>7000</v>
      </c>
      <c r="N1292">
        <v>0</v>
      </c>
      <c r="O1292">
        <v>21000</v>
      </c>
      <c r="P1292">
        <v>4568.25</v>
      </c>
      <c r="Q1292" t="s">
        <v>28</v>
      </c>
      <c r="R1292" t="s">
        <v>56</v>
      </c>
      <c r="S1292" t="s">
        <v>110</v>
      </c>
      <c r="T1292">
        <f>YEAR(Table1_1[[#This Row],[order_date]])</f>
        <v>2025</v>
      </c>
      <c r="U1292">
        <f>MONTH(Table1_1[[#This Row],[order_date]])</f>
        <v>8</v>
      </c>
      <c r="V1292" t="str">
        <f>TEXT(Table1_1[[#This Row],[order_date]],"mmm")</f>
        <v>Aug</v>
      </c>
      <c r="W1292" t="str">
        <f>"Q"&amp;ROUNDUP(MONTH(Table1_1[[#This Row],[order_date]])/3,0)</f>
        <v>Q3</v>
      </c>
      <c r="X1292" t="str">
        <f>TEXT(Table1_1[[#This Row],[order_date]],"yyyy-mm")</f>
        <v>2025-08</v>
      </c>
      <c r="Y1292">
        <f>IF(Table1_1[[#This Row],[ship_date]]="","",Table1_1[[#This Row],[ship_date]]-Table1_1[[#This Row],[order_date]])</f>
        <v>6</v>
      </c>
      <c r="Z1292">
        <f>ROUND(Table1_1[[#This Row],[profit]]/Table1_1[[#This Row],[sales_fix]]*100,2)</f>
        <v>21.75</v>
      </c>
    </row>
    <row r="1293" spans="1:26" x14ac:dyDescent="0.3">
      <c r="A1293" t="s">
        <v>1319</v>
      </c>
      <c r="B1293" s="1">
        <v>45786</v>
      </c>
      <c r="C1293" s="1"/>
      <c r="D1293" t="s">
        <v>657</v>
      </c>
      <c r="E1293" t="s">
        <v>658</v>
      </c>
      <c r="F1293" t="s">
        <v>34</v>
      </c>
      <c r="G1293" t="s">
        <v>91</v>
      </c>
      <c r="H1293" t="s">
        <v>120</v>
      </c>
      <c r="I1293" t="s">
        <v>103</v>
      </c>
      <c r="J1293" t="s">
        <v>104</v>
      </c>
      <c r="K1293" t="s">
        <v>65</v>
      </c>
      <c r="L1293">
        <v>1</v>
      </c>
      <c r="M1293">
        <v>8000</v>
      </c>
      <c r="N1293">
        <v>0</v>
      </c>
      <c r="O1293">
        <v>8000</v>
      </c>
      <c r="P1293">
        <v>1664.02</v>
      </c>
      <c r="Q1293" t="s">
        <v>28</v>
      </c>
      <c r="R1293" t="s">
        <v>56</v>
      </c>
      <c r="S1293" t="s">
        <v>30</v>
      </c>
      <c r="T1293">
        <f>YEAR(Table1_1[[#This Row],[order_date]])</f>
        <v>2025</v>
      </c>
      <c r="U1293">
        <f>MONTH(Table1_1[[#This Row],[order_date]])</f>
        <v>5</v>
      </c>
      <c r="V1293" t="str">
        <f>TEXT(Table1_1[[#This Row],[order_date]],"mmm")</f>
        <v>May</v>
      </c>
      <c r="W1293" t="str">
        <f>"Q"&amp;ROUNDUP(MONTH(Table1_1[[#This Row],[order_date]])/3,0)</f>
        <v>Q2</v>
      </c>
      <c r="X1293" t="str">
        <f>TEXT(Table1_1[[#This Row],[order_date]],"yyyy-mm")</f>
        <v>2025-05</v>
      </c>
      <c r="Y1293" t="str">
        <f>IF(Table1_1[[#This Row],[ship_date]]="","",Table1_1[[#This Row],[ship_date]]-Table1_1[[#This Row],[order_date]])</f>
        <v/>
      </c>
      <c r="Z1293">
        <f>ROUND(Table1_1[[#This Row],[profit]]/Table1_1[[#This Row],[sales_fix]]*100,2)</f>
        <v>20.8</v>
      </c>
    </row>
    <row r="1294" spans="1:26" x14ac:dyDescent="0.3">
      <c r="A1294" t="s">
        <v>1040</v>
      </c>
      <c r="B1294" s="1">
        <v>45642</v>
      </c>
      <c r="C1294" s="1">
        <v>45647</v>
      </c>
      <c r="D1294" t="s">
        <v>491</v>
      </c>
      <c r="E1294" t="s">
        <v>492</v>
      </c>
      <c r="F1294" t="s">
        <v>34</v>
      </c>
      <c r="G1294" t="s">
        <v>44</v>
      </c>
      <c r="H1294" t="s">
        <v>330</v>
      </c>
      <c r="I1294" t="s">
        <v>25</v>
      </c>
      <c r="J1294" t="s">
        <v>26</v>
      </c>
      <c r="K1294" t="s">
        <v>27</v>
      </c>
      <c r="L1294">
        <v>2</v>
      </c>
      <c r="M1294">
        <v>7000</v>
      </c>
      <c r="N1294">
        <v>20</v>
      </c>
      <c r="O1294">
        <v>11200</v>
      </c>
      <c r="P1294">
        <v>2168.69</v>
      </c>
      <c r="Q1294" t="s">
        <v>39</v>
      </c>
      <c r="R1294" t="s">
        <v>49</v>
      </c>
      <c r="S1294" t="s">
        <v>40</v>
      </c>
      <c r="T1294">
        <f>YEAR(Table1_1[[#This Row],[order_date]])</f>
        <v>2024</v>
      </c>
      <c r="U1294">
        <f>MONTH(Table1_1[[#This Row],[order_date]])</f>
        <v>12</v>
      </c>
      <c r="V1294" t="str">
        <f>TEXT(Table1_1[[#This Row],[order_date]],"mmm")</f>
        <v>Dec</v>
      </c>
      <c r="W1294" t="str">
        <f>"Q"&amp;ROUNDUP(MONTH(Table1_1[[#This Row],[order_date]])/3,0)</f>
        <v>Q4</v>
      </c>
      <c r="X1294" t="str">
        <f>TEXT(Table1_1[[#This Row],[order_date]],"yyyy-mm")</f>
        <v>2024-12</v>
      </c>
      <c r="Y1294">
        <f>IF(Table1_1[[#This Row],[ship_date]]="","",Table1_1[[#This Row],[ship_date]]-Table1_1[[#This Row],[order_date]])</f>
        <v>5</v>
      </c>
      <c r="Z1294">
        <f>ROUND(Table1_1[[#This Row],[profit]]/Table1_1[[#This Row],[sales_fix]]*100,2)</f>
        <v>19.36</v>
      </c>
    </row>
    <row r="1295" spans="1:26" x14ac:dyDescent="0.3">
      <c r="A1295" t="s">
        <v>246</v>
      </c>
      <c r="B1295" s="1">
        <v>45443</v>
      </c>
      <c r="C1295" s="1">
        <v>45449</v>
      </c>
      <c r="D1295" t="s">
        <v>247</v>
      </c>
      <c r="E1295" t="s">
        <v>248</v>
      </c>
      <c r="F1295" t="s">
        <v>34</v>
      </c>
      <c r="G1295" t="s">
        <v>61</v>
      </c>
      <c r="H1295" t="s">
        <v>78</v>
      </c>
      <c r="I1295" t="s">
        <v>79</v>
      </c>
      <c r="J1295" t="s">
        <v>80</v>
      </c>
      <c r="K1295" t="s">
        <v>65</v>
      </c>
      <c r="L1295">
        <v>2</v>
      </c>
      <c r="M1295">
        <v>3000</v>
      </c>
      <c r="N1295">
        <v>0</v>
      </c>
      <c r="O1295">
        <v>6000</v>
      </c>
      <c r="P1295">
        <v>1419.14</v>
      </c>
      <c r="Q1295" t="s">
        <v>39</v>
      </c>
      <c r="R1295" t="s">
        <v>49</v>
      </c>
      <c r="S1295" t="s">
        <v>110</v>
      </c>
      <c r="T1295">
        <f>YEAR(Table1_1[[#This Row],[order_date]])</f>
        <v>2024</v>
      </c>
      <c r="U1295">
        <f>MONTH(Table1_1[[#This Row],[order_date]])</f>
        <v>5</v>
      </c>
      <c r="V1295" t="str">
        <f>TEXT(Table1_1[[#This Row],[order_date]],"mmm")</f>
        <v>May</v>
      </c>
      <c r="W1295" t="str">
        <f>"Q"&amp;ROUNDUP(MONTH(Table1_1[[#This Row],[order_date]])/3,0)</f>
        <v>Q2</v>
      </c>
      <c r="X1295" t="str">
        <f>TEXT(Table1_1[[#This Row],[order_date]],"yyyy-mm")</f>
        <v>2024-05</v>
      </c>
      <c r="Y1295">
        <f>IF(Table1_1[[#This Row],[ship_date]]="","",Table1_1[[#This Row],[ship_date]]-Table1_1[[#This Row],[order_date]])</f>
        <v>6</v>
      </c>
      <c r="Z1295">
        <f>ROUND(Table1_1[[#This Row],[profit]]/Table1_1[[#This Row],[sales_fix]]*100,2)</f>
        <v>23.65</v>
      </c>
    </row>
    <row r="1296" spans="1:26" x14ac:dyDescent="0.3">
      <c r="A1296" t="s">
        <v>2506</v>
      </c>
      <c r="B1296" s="1">
        <v>45454</v>
      </c>
      <c r="C1296" s="1">
        <v>45462</v>
      </c>
      <c r="D1296" t="s">
        <v>682</v>
      </c>
      <c r="E1296" t="s">
        <v>683</v>
      </c>
      <c r="F1296" t="s">
        <v>55</v>
      </c>
      <c r="G1296" t="s">
        <v>61</v>
      </c>
      <c r="H1296" t="s">
        <v>125</v>
      </c>
      <c r="I1296" t="s">
        <v>71</v>
      </c>
      <c r="J1296" t="s">
        <v>72</v>
      </c>
      <c r="K1296" t="s">
        <v>73</v>
      </c>
      <c r="L1296">
        <v>2</v>
      </c>
      <c r="M1296">
        <v>3500</v>
      </c>
      <c r="N1296">
        <v>0</v>
      </c>
      <c r="O1296">
        <v>7000</v>
      </c>
      <c r="P1296">
        <v>1993.86</v>
      </c>
      <c r="Q1296" t="s">
        <v>156</v>
      </c>
      <c r="R1296" t="s">
        <v>49</v>
      </c>
      <c r="S1296" t="s">
        <v>50</v>
      </c>
      <c r="T1296">
        <f>YEAR(Table1_1[[#This Row],[order_date]])</f>
        <v>2024</v>
      </c>
      <c r="U1296">
        <f>MONTH(Table1_1[[#This Row],[order_date]])</f>
        <v>6</v>
      </c>
      <c r="V1296" t="str">
        <f>TEXT(Table1_1[[#This Row],[order_date]],"mmm")</f>
        <v>Jun</v>
      </c>
      <c r="W1296" t="str">
        <f>"Q"&amp;ROUNDUP(MONTH(Table1_1[[#This Row],[order_date]])/3,0)</f>
        <v>Q2</v>
      </c>
      <c r="X1296" t="str">
        <f>TEXT(Table1_1[[#This Row],[order_date]],"yyyy-mm")</f>
        <v>2024-06</v>
      </c>
      <c r="Y1296">
        <f>IF(Table1_1[[#This Row],[ship_date]]="","",Table1_1[[#This Row],[ship_date]]-Table1_1[[#This Row],[order_date]])</f>
        <v>8</v>
      </c>
      <c r="Z1296">
        <f>ROUND(Table1_1[[#This Row],[profit]]/Table1_1[[#This Row],[sales_fix]]*100,2)</f>
        <v>28.48</v>
      </c>
    </row>
    <row r="1297" spans="1:26" x14ac:dyDescent="0.3">
      <c r="A1297" t="s">
        <v>149</v>
      </c>
      <c r="B1297" s="1">
        <v>45914</v>
      </c>
      <c r="C1297" s="1">
        <v>45918</v>
      </c>
      <c r="D1297" t="s">
        <v>150</v>
      </c>
      <c r="E1297" t="s">
        <v>151</v>
      </c>
      <c r="F1297" t="s">
        <v>34</v>
      </c>
      <c r="G1297" t="s">
        <v>35</v>
      </c>
      <c r="H1297" t="s">
        <v>36</v>
      </c>
      <c r="I1297" t="s">
        <v>79</v>
      </c>
      <c r="J1297" t="s">
        <v>80</v>
      </c>
      <c r="K1297" t="s">
        <v>65</v>
      </c>
      <c r="L1297">
        <v>1</v>
      </c>
      <c r="M1297">
        <v>3000</v>
      </c>
      <c r="N1297">
        <v>5</v>
      </c>
      <c r="O1297">
        <v>2850</v>
      </c>
      <c r="P1297">
        <v>686.5</v>
      </c>
      <c r="Q1297" t="s">
        <v>66</v>
      </c>
      <c r="R1297" t="s">
        <v>29</v>
      </c>
      <c r="S1297" t="s">
        <v>40</v>
      </c>
      <c r="T1297">
        <f>YEAR(Table1_1[[#This Row],[order_date]])</f>
        <v>2025</v>
      </c>
      <c r="U1297">
        <f>MONTH(Table1_1[[#This Row],[order_date]])</f>
        <v>9</v>
      </c>
      <c r="V1297" t="str">
        <f>TEXT(Table1_1[[#This Row],[order_date]],"mmm")</f>
        <v>Sep</v>
      </c>
      <c r="W1297" t="str">
        <f>"Q"&amp;ROUNDUP(MONTH(Table1_1[[#This Row],[order_date]])/3,0)</f>
        <v>Q3</v>
      </c>
      <c r="X1297" t="str">
        <f>TEXT(Table1_1[[#This Row],[order_date]],"yyyy-mm")</f>
        <v>2025-09</v>
      </c>
      <c r="Y1297">
        <f>IF(Table1_1[[#This Row],[ship_date]]="","",Table1_1[[#This Row],[ship_date]]-Table1_1[[#This Row],[order_date]])</f>
        <v>4</v>
      </c>
      <c r="Z1297">
        <f>ROUND(Table1_1[[#This Row],[profit]]/Table1_1[[#This Row],[sales_fix]]*100,2)</f>
        <v>24.09</v>
      </c>
    </row>
    <row r="1298" spans="1:26" x14ac:dyDescent="0.3">
      <c r="A1298" t="s">
        <v>1424</v>
      </c>
      <c r="B1298" s="1">
        <v>45890</v>
      </c>
      <c r="C1298" s="1">
        <v>45897</v>
      </c>
      <c r="D1298" t="s">
        <v>713</v>
      </c>
      <c r="E1298" t="s">
        <v>714</v>
      </c>
      <c r="F1298" t="s">
        <v>34</v>
      </c>
      <c r="G1298" t="s">
        <v>35</v>
      </c>
      <c r="H1298" t="s">
        <v>258</v>
      </c>
      <c r="I1298" t="s">
        <v>79</v>
      </c>
      <c r="J1298" t="s">
        <v>80</v>
      </c>
      <c r="K1298" t="s">
        <v>65</v>
      </c>
      <c r="L1298">
        <v>1</v>
      </c>
      <c r="M1298">
        <v>3000</v>
      </c>
      <c r="N1298">
        <v>0</v>
      </c>
      <c r="O1298">
        <v>3000</v>
      </c>
      <c r="P1298">
        <v>889.61</v>
      </c>
      <c r="Q1298" t="s">
        <v>28</v>
      </c>
      <c r="R1298" t="s">
        <v>56</v>
      </c>
      <c r="S1298" t="s">
        <v>50</v>
      </c>
      <c r="T1298">
        <f>YEAR(Table1_1[[#This Row],[order_date]])</f>
        <v>2025</v>
      </c>
      <c r="U1298">
        <f>MONTH(Table1_1[[#This Row],[order_date]])</f>
        <v>8</v>
      </c>
      <c r="V1298" t="str">
        <f>TEXT(Table1_1[[#This Row],[order_date]],"mmm")</f>
        <v>Aug</v>
      </c>
      <c r="W1298" t="str">
        <f>"Q"&amp;ROUNDUP(MONTH(Table1_1[[#This Row],[order_date]])/3,0)</f>
        <v>Q3</v>
      </c>
      <c r="X1298" t="str">
        <f>TEXT(Table1_1[[#This Row],[order_date]],"yyyy-mm")</f>
        <v>2025-08</v>
      </c>
      <c r="Y1298">
        <f>IF(Table1_1[[#This Row],[ship_date]]="","",Table1_1[[#This Row],[ship_date]]-Table1_1[[#This Row],[order_date]])</f>
        <v>7</v>
      </c>
      <c r="Z1298">
        <f>ROUND(Table1_1[[#This Row],[profit]]/Table1_1[[#This Row],[sales_fix]]*100,2)</f>
        <v>29.65</v>
      </c>
    </row>
    <row r="1299" spans="1:26" x14ac:dyDescent="0.3">
      <c r="A1299" t="s">
        <v>2845</v>
      </c>
      <c r="B1299" s="1">
        <v>45451</v>
      </c>
      <c r="C1299" s="1">
        <v>45457</v>
      </c>
      <c r="D1299" t="s">
        <v>539</v>
      </c>
      <c r="E1299" t="s">
        <v>540</v>
      </c>
      <c r="F1299" t="s">
        <v>34</v>
      </c>
      <c r="G1299" t="s">
        <v>61</v>
      </c>
      <c r="H1299" t="s">
        <v>211</v>
      </c>
      <c r="I1299" t="s">
        <v>126</v>
      </c>
      <c r="J1299" t="s">
        <v>127</v>
      </c>
      <c r="K1299" t="s">
        <v>95</v>
      </c>
      <c r="L1299">
        <v>2</v>
      </c>
      <c r="M1299">
        <v>600</v>
      </c>
      <c r="N1299">
        <v>10</v>
      </c>
      <c r="O1299">
        <v>1080</v>
      </c>
      <c r="P1299">
        <v>338.87</v>
      </c>
      <c r="Q1299" t="s">
        <v>28</v>
      </c>
      <c r="R1299" t="s">
        <v>49</v>
      </c>
      <c r="S1299" t="s">
        <v>50</v>
      </c>
      <c r="T1299">
        <f>YEAR(Table1_1[[#This Row],[order_date]])</f>
        <v>2024</v>
      </c>
      <c r="U1299">
        <f>MONTH(Table1_1[[#This Row],[order_date]])</f>
        <v>6</v>
      </c>
      <c r="V1299" t="str">
        <f>TEXT(Table1_1[[#This Row],[order_date]],"mmm")</f>
        <v>Jun</v>
      </c>
      <c r="W1299" t="str">
        <f>"Q"&amp;ROUNDUP(MONTH(Table1_1[[#This Row],[order_date]])/3,0)</f>
        <v>Q2</v>
      </c>
      <c r="X1299" t="str">
        <f>TEXT(Table1_1[[#This Row],[order_date]],"yyyy-mm")</f>
        <v>2024-06</v>
      </c>
      <c r="Y1299">
        <f>IF(Table1_1[[#This Row],[ship_date]]="","",Table1_1[[#This Row],[ship_date]]-Table1_1[[#This Row],[order_date]])</f>
        <v>6</v>
      </c>
      <c r="Z1299">
        <f>ROUND(Table1_1[[#This Row],[profit]]/Table1_1[[#This Row],[sales_fix]]*100,2)</f>
        <v>31.38</v>
      </c>
    </row>
    <row r="1300" spans="1:26" x14ac:dyDescent="0.3">
      <c r="A1300" t="s">
        <v>2812</v>
      </c>
      <c r="B1300" s="1">
        <v>45471</v>
      </c>
      <c r="C1300" s="1">
        <v>45473</v>
      </c>
      <c r="D1300" t="s">
        <v>460</v>
      </c>
      <c r="E1300" t="s">
        <v>461</v>
      </c>
      <c r="F1300" t="s">
        <v>34</v>
      </c>
      <c r="G1300" t="s">
        <v>61</v>
      </c>
      <c r="H1300" t="s">
        <v>62</v>
      </c>
      <c r="I1300" t="s">
        <v>147</v>
      </c>
      <c r="J1300" t="s">
        <v>148</v>
      </c>
      <c r="K1300" t="s">
        <v>48</v>
      </c>
      <c r="L1300">
        <v>2</v>
      </c>
      <c r="M1300">
        <v>250</v>
      </c>
      <c r="N1300">
        <v>5</v>
      </c>
      <c r="O1300">
        <v>475</v>
      </c>
      <c r="P1300">
        <v>134.08000000000001</v>
      </c>
      <c r="Q1300" t="s">
        <v>74</v>
      </c>
      <c r="R1300" t="s">
        <v>29</v>
      </c>
      <c r="S1300" t="s">
        <v>110</v>
      </c>
      <c r="T1300">
        <f>YEAR(Table1_1[[#This Row],[order_date]])</f>
        <v>2024</v>
      </c>
      <c r="U1300">
        <f>MONTH(Table1_1[[#This Row],[order_date]])</f>
        <v>6</v>
      </c>
      <c r="V1300" t="str">
        <f>TEXT(Table1_1[[#This Row],[order_date]],"mmm")</f>
        <v>Jun</v>
      </c>
      <c r="W1300" t="str">
        <f>"Q"&amp;ROUNDUP(MONTH(Table1_1[[#This Row],[order_date]])/3,0)</f>
        <v>Q2</v>
      </c>
      <c r="X1300" t="str">
        <f>TEXT(Table1_1[[#This Row],[order_date]],"yyyy-mm")</f>
        <v>2024-06</v>
      </c>
      <c r="Y1300">
        <f>IF(Table1_1[[#This Row],[ship_date]]="","",Table1_1[[#This Row],[ship_date]]-Table1_1[[#This Row],[order_date]])</f>
        <v>2</v>
      </c>
      <c r="Z1300">
        <f>ROUND(Table1_1[[#This Row],[profit]]/Table1_1[[#This Row],[sales_fix]]*100,2)</f>
        <v>28.23</v>
      </c>
    </row>
    <row r="1301" spans="1:26" x14ac:dyDescent="0.3">
      <c r="A1301" t="s">
        <v>881</v>
      </c>
      <c r="B1301" s="1">
        <v>45445</v>
      </c>
      <c r="C1301" s="1">
        <v>45447</v>
      </c>
      <c r="D1301" t="s">
        <v>882</v>
      </c>
      <c r="E1301" t="s">
        <v>1545</v>
      </c>
      <c r="F1301" t="s">
        <v>55</v>
      </c>
      <c r="G1301" t="s">
        <v>44</v>
      </c>
      <c r="H1301" t="s">
        <v>24</v>
      </c>
      <c r="I1301" t="s">
        <v>103</v>
      </c>
      <c r="J1301" t="s">
        <v>104</v>
      </c>
      <c r="K1301" t="s">
        <v>65</v>
      </c>
      <c r="L1301">
        <v>1</v>
      </c>
      <c r="M1301">
        <v>8000</v>
      </c>
      <c r="N1301">
        <v>20</v>
      </c>
      <c r="O1301">
        <v>6400</v>
      </c>
      <c r="P1301">
        <v>1586.41</v>
      </c>
      <c r="Q1301" t="s">
        <v>156</v>
      </c>
      <c r="R1301" t="s">
        <v>29</v>
      </c>
      <c r="S1301" t="s">
        <v>110</v>
      </c>
      <c r="T1301">
        <f>YEAR(Table1_1[[#This Row],[order_date]])</f>
        <v>2024</v>
      </c>
      <c r="U1301">
        <f>MONTH(Table1_1[[#This Row],[order_date]])</f>
        <v>6</v>
      </c>
      <c r="V1301" t="str">
        <f>TEXT(Table1_1[[#This Row],[order_date]],"mmm")</f>
        <v>Jun</v>
      </c>
      <c r="W1301" t="str">
        <f>"Q"&amp;ROUNDUP(MONTH(Table1_1[[#This Row],[order_date]])/3,0)</f>
        <v>Q2</v>
      </c>
      <c r="X1301" t="str">
        <f>TEXT(Table1_1[[#This Row],[order_date]],"yyyy-mm")</f>
        <v>2024-06</v>
      </c>
      <c r="Y1301">
        <f>IF(Table1_1[[#This Row],[ship_date]]="","",Table1_1[[#This Row],[ship_date]]-Table1_1[[#This Row],[order_date]])</f>
        <v>2</v>
      </c>
      <c r="Z1301">
        <f>ROUND(Table1_1[[#This Row],[profit]]/Table1_1[[#This Row],[sales_fix]]*100,2)</f>
        <v>24.79</v>
      </c>
    </row>
    <row r="1302" spans="1:26" x14ac:dyDescent="0.3">
      <c r="A1302" t="s">
        <v>1333</v>
      </c>
      <c r="B1302" s="1">
        <v>45875</v>
      </c>
      <c r="C1302" s="1">
        <v>45879</v>
      </c>
      <c r="D1302" t="s">
        <v>498</v>
      </c>
      <c r="E1302" t="s">
        <v>499</v>
      </c>
      <c r="F1302" t="s">
        <v>55</v>
      </c>
      <c r="G1302" t="s">
        <v>91</v>
      </c>
      <c r="H1302" t="s">
        <v>120</v>
      </c>
      <c r="I1302" t="s">
        <v>147</v>
      </c>
      <c r="J1302" t="s">
        <v>148</v>
      </c>
      <c r="K1302" t="s">
        <v>48</v>
      </c>
      <c r="L1302">
        <v>5</v>
      </c>
      <c r="M1302">
        <v>250</v>
      </c>
      <c r="N1302">
        <v>0</v>
      </c>
      <c r="O1302">
        <v>1250</v>
      </c>
      <c r="P1302">
        <v>518</v>
      </c>
      <c r="Q1302" t="s">
        <v>156</v>
      </c>
      <c r="R1302" t="s">
        <v>29</v>
      </c>
      <c r="S1302" t="s">
        <v>110</v>
      </c>
      <c r="T1302">
        <f>YEAR(Table1_1[[#This Row],[order_date]])</f>
        <v>2025</v>
      </c>
      <c r="U1302">
        <f>MONTH(Table1_1[[#This Row],[order_date]])</f>
        <v>8</v>
      </c>
      <c r="V1302" t="str">
        <f>TEXT(Table1_1[[#This Row],[order_date]],"mmm")</f>
        <v>Aug</v>
      </c>
      <c r="W1302" t="str">
        <f>"Q"&amp;ROUNDUP(MONTH(Table1_1[[#This Row],[order_date]])/3,0)</f>
        <v>Q3</v>
      </c>
      <c r="X1302" t="str">
        <f>TEXT(Table1_1[[#This Row],[order_date]],"yyyy-mm")</f>
        <v>2025-08</v>
      </c>
      <c r="Y1302">
        <f>IF(Table1_1[[#This Row],[ship_date]]="","",Table1_1[[#This Row],[ship_date]]-Table1_1[[#This Row],[order_date]])</f>
        <v>4</v>
      </c>
      <c r="Z1302">
        <f>ROUND(Table1_1[[#This Row],[profit]]/Table1_1[[#This Row],[sales_fix]]*100,2)</f>
        <v>41.44</v>
      </c>
    </row>
    <row r="1303" spans="1:26" x14ac:dyDescent="0.3">
      <c r="A1303" t="s">
        <v>1830</v>
      </c>
      <c r="B1303" s="1">
        <v>45933</v>
      </c>
      <c r="C1303" s="1">
        <v>45935</v>
      </c>
      <c r="D1303" t="s">
        <v>1250</v>
      </c>
      <c r="E1303" t="s">
        <v>1251</v>
      </c>
      <c r="F1303" t="s">
        <v>55</v>
      </c>
      <c r="G1303" t="s">
        <v>35</v>
      </c>
      <c r="H1303" t="s">
        <v>258</v>
      </c>
      <c r="I1303" t="s">
        <v>134</v>
      </c>
      <c r="J1303" t="s">
        <v>135</v>
      </c>
      <c r="K1303" t="s">
        <v>27</v>
      </c>
      <c r="L1303">
        <v>1</v>
      </c>
      <c r="M1303">
        <v>6000</v>
      </c>
      <c r="N1303">
        <v>0</v>
      </c>
      <c r="O1303">
        <v>6000</v>
      </c>
      <c r="P1303">
        <v>1164.3699999999999</v>
      </c>
      <c r="Q1303" t="s">
        <v>66</v>
      </c>
      <c r="R1303" t="s">
        <v>49</v>
      </c>
      <c r="S1303" t="s">
        <v>40</v>
      </c>
      <c r="T1303">
        <f>YEAR(Table1_1[[#This Row],[order_date]])</f>
        <v>2025</v>
      </c>
      <c r="U1303">
        <f>MONTH(Table1_1[[#This Row],[order_date]])</f>
        <v>10</v>
      </c>
      <c r="V1303" t="str">
        <f>TEXT(Table1_1[[#This Row],[order_date]],"mmm")</f>
        <v>Oct</v>
      </c>
      <c r="W1303" t="str">
        <f>"Q"&amp;ROUNDUP(MONTH(Table1_1[[#This Row],[order_date]])/3,0)</f>
        <v>Q4</v>
      </c>
      <c r="X1303" t="str">
        <f>TEXT(Table1_1[[#This Row],[order_date]],"yyyy-mm")</f>
        <v>2025-10</v>
      </c>
      <c r="Y1303">
        <f>IF(Table1_1[[#This Row],[ship_date]]="","",Table1_1[[#This Row],[ship_date]]-Table1_1[[#This Row],[order_date]])</f>
        <v>2</v>
      </c>
      <c r="Z1303">
        <f>ROUND(Table1_1[[#This Row],[profit]]/Table1_1[[#This Row],[sales_fix]]*100,2)</f>
        <v>19.41</v>
      </c>
    </row>
    <row r="1304" spans="1:26" x14ac:dyDescent="0.3">
      <c r="A1304" t="s">
        <v>2583</v>
      </c>
      <c r="B1304" s="1">
        <v>45542</v>
      </c>
      <c r="C1304" s="1">
        <v>45546</v>
      </c>
      <c r="D1304" t="s">
        <v>1191</v>
      </c>
      <c r="E1304" t="s">
        <v>1192</v>
      </c>
      <c r="F1304" t="s">
        <v>23</v>
      </c>
      <c r="G1304" t="s">
        <v>61</v>
      </c>
      <c r="H1304" t="s">
        <v>211</v>
      </c>
      <c r="I1304" t="s">
        <v>103</v>
      </c>
      <c r="J1304" t="s">
        <v>104</v>
      </c>
      <c r="K1304" t="s">
        <v>65</v>
      </c>
      <c r="L1304">
        <v>1</v>
      </c>
      <c r="M1304">
        <v>8000</v>
      </c>
      <c r="N1304">
        <v>15</v>
      </c>
      <c r="O1304">
        <v>6800</v>
      </c>
      <c r="P1304">
        <v>1314.23</v>
      </c>
      <c r="Q1304" t="s">
        <v>121</v>
      </c>
      <c r="R1304" t="s">
        <v>56</v>
      </c>
      <c r="S1304" t="s">
        <v>30</v>
      </c>
      <c r="T1304">
        <f>YEAR(Table1_1[[#This Row],[order_date]])</f>
        <v>2024</v>
      </c>
      <c r="U1304">
        <f>MONTH(Table1_1[[#This Row],[order_date]])</f>
        <v>9</v>
      </c>
      <c r="V1304" t="str">
        <f>TEXT(Table1_1[[#This Row],[order_date]],"mmm")</f>
        <v>Sep</v>
      </c>
      <c r="W1304" t="str">
        <f>"Q"&amp;ROUNDUP(MONTH(Table1_1[[#This Row],[order_date]])/3,0)</f>
        <v>Q3</v>
      </c>
      <c r="X1304" t="str">
        <f>TEXT(Table1_1[[#This Row],[order_date]],"yyyy-mm")</f>
        <v>2024-09</v>
      </c>
      <c r="Y1304">
        <f>IF(Table1_1[[#This Row],[ship_date]]="","",Table1_1[[#This Row],[ship_date]]-Table1_1[[#This Row],[order_date]])</f>
        <v>4</v>
      </c>
      <c r="Z1304">
        <f>ROUND(Table1_1[[#This Row],[profit]]/Table1_1[[#This Row],[sales_fix]]*100,2)</f>
        <v>19.329999999999998</v>
      </c>
    </row>
    <row r="1305" spans="1:26" x14ac:dyDescent="0.3">
      <c r="A1305" t="s">
        <v>1844</v>
      </c>
      <c r="B1305" s="1">
        <v>45915</v>
      </c>
      <c r="C1305" s="1">
        <v>45919</v>
      </c>
      <c r="D1305" t="s">
        <v>153</v>
      </c>
      <c r="E1305" t="s">
        <v>154</v>
      </c>
      <c r="F1305" t="s">
        <v>23</v>
      </c>
      <c r="G1305" t="s">
        <v>44</v>
      </c>
      <c r="H1305" t="s">
        <v>155</v>
      </c>
      <c r="I1305" t="s">
        <v>114</v>
      </c>
      <c r="J1305" t="s">
        <v>115</v>
      </c>
      <c r="K1305" t="s">
        <v>65</v>
      </c>
      <c r="L1305">
        <v>1</v>
      </c>
      <c r="M1305">
        <v>55000</v>
      </c>
      <c r="N1305">
        <v>0</v>
      </c>
      <c r="O1305">
        <v>55000</v>
      </c>
      <c r="P1305">
        <v>7291.78</v>
      </c>
      <c r="Q1305" t="s">
        <v>156</v>
      </c>
      <c r="R1305" t="s">
        <v>29</v>
      </c>
      <c r="S1305" t="s">
        <v>50</v>
      </c>
      <c r="T1305">
        <f>YEAR(Table1_1[[#This Row],[order_date]])</f>
        <v>2025</v>
      </c>
      <c r="U1305">
        <f>MONTH(Table1_1[[#This Row],[order_date]])</f>
        <v>9</v>
      </c>
      <c r="V1305" t="str">
        <f>TEXT(Table1_1[[#This Row],[order_date]],"mmm")</f>
        <v>Sep</v>
      </c>
      <c r="W1305" t="str">
        <f>"Q"&amp;ROUNDUP(MONTH(Table1_1[[#This Row],[order_date]])/3,0)</f>
        <v>Q3</v>
      </c>
      <c r="X1305" t="str">
        <f>TEXT(Table1_1[[#This Row],[order_date]],"yyyy-mm")</f>
        <v>2025-09</v>
      </c>
      <c r="Y1305">
        <f>IF(Table1_1[[#This Row],[ship_date]]="","",Table1_1[[#This Row],[ship_date]]-Table1_1[[#This Row],[order_date]])</f>
        <v>4</v>
      </c>
      <c r="Z1305">
        <f>ROUND(Table1_1[[#This Row],[profit]]/Table1_1[[#This Row],[sales_fix]]*100,2)</f>
        <v>13.26</v>
      </c>
    </row>
    <row r="1306" spans="1:26" x14ac:dyDescent="0.3">
      <c r="A1306" t="s">
        <v>1190</v>
      </c>
      <c r="B1306" s="1">
        <v>45354</v>
      </c>
      <c r="C1306" s="1">
        <v>45362</v>
      </c>
      <c r="D1306" t="s">
        <v>1191</v>
      </c>
      <c r="E1306" t="s">
        <v>1192</v>
      </c>
      <c r="F1306" t="s">
        <v>23</v>
      </c>
      <c r="G1306" t="s">
        <v>61</v>
      </c>
      <c r="H1306" t="s">
        <v>211</v>
      </c>
      <c r="I1306" t="s">
        <v>25</v>
      </c>
      <c r="J1306" t="s">
        <v>26</v>
      </c>
      <c r="K1306" t="s">
        <v>27</v>
      </c>
      <c r="L1306">
        <v>1</v>
      </c>
      <c r="M1306">
        <v>7000</v>
      </c>
      <c r="N1306">
        <v>0</v>
      </c>
      <c r="O1306">
        <v>7000</v>
      </c>
      <c r="P1306">
        <v>1438.78</v>
      </c>
      <c r="Q1306" t="s">
        <v>28</v>
      </c>
      <c r="R1306" t="s">
        <v>29</v>
      </c>
      <c r="S1306" t="s">
        <v>40</v>
      </c>
      <c r="T1306">
        <f>YEAR(Table1_1[[#This Row],[order_date]])</f>
        <v>2024</v>
      </c>
      <c r="U1306">
        <f>MONTH(Table1_1[[#This Row],[order_date]])</f>
        <v>3</v>
      </c>
      <c r="V1306" t="str">
        <f>TEXT(Table1_1[[#This Row],[order_date]],"mmm")</f>
        <v>Mar</v>
      </c>
      <c r="W1306" t="str">
        <f>"Q"&amp;ROUNDUP(MONTH(Table1_1[[#This Row],[order_date]])/3,0)</f>
        <v>Q1</v>
      </c>
      <c r="X1306" t="str">
        <f>TEXT(Table1_1[[#This Row],[order_date]],"yyyy-mm")</f>
        <v>2024-03</v>
      </c>
      <c r="Y1306">
        <f>IF(Table1_1[[#This Row],[ship_date]]="","",Table1_1[[#This Row],[ship_date]]-Table1_1[[#This Row],[order_date]])</f>
        <v>8</v>
      </c>
      <c r="Z1306">
        <f>ROUND(Table1_1[[#This Row],[profit]]/Table1_1[[#This Row],[sales_fix]]*100,2)</f>
        <v>20.55</v>
      </c>
    </row>
    <row r="1307" spans="1:26" x14ac:dyDescent="0.3">
      <c r="A1307" t="s">
        <v>870</v>
      </c>
      <c r="B1307" s="1">
        <v>45941</v>
      </c>
      <c r="C1307" s="1">
        <v>45945</v>
      </c>
      <c r="D1307" t="s">
        <v>871</v>
      </c>
      <c r="E1307" t="s">
        <v>872</v>
      </c>
      <c r="F1307" t="s">
        <v>34</v>
      </c>
      <c r="G1307" t="s">
        <v>61</v>
      </c>
      <c r="H1307" t="s">
        <v>78</v>
      </c>
      <c r="I1307" t="s">
        <v>37</v>
      </c>
      <c r="J1307" t="s">
        <v>38</v>
      </c>
      <c r="K1307" t="s">
        <v>27</v>
      </c>
      <c r="L1307">
        <v>2</v>
      </c>
      <c r="M1307">
        <v>9500</v>
      </c>
      <c r="N1307">
        <v>5</v>
      </c>
      <c r="O1307">
        <v>18050</v>
      </c>
      <c r="P1307">
        <v>2647.41</v>
      </c>
      <c r="Q1307" t="s">
        <v>66</v>
      </c>
      <c r="R1307" t="s">
        <v>56</v>
      </c>
      <c r="S1307" t="s">
        <v>40</v>
      </c>
      <c r="T1307">
        <f>YEAR(Table1_1[[#This Row],[order_date]])</f>
        <v>2025</v>
      </c>
      <c r="U1307">
        <f>MONTH(Table1_1[[#This Row],[order_date]])</f>
        <v>10</v>
      </c>
      <c r="V1307" t="str">
        <f>TEXT(Table1_1[[#This Row],[order_date]],"mmm")</f>
        <v>Oct</v>
      </c>
      <c r="W1307" t="str">
        <f>"Q"&amp;ROUNDUP(MONTH(Table1_1[[#This Row],[order_date]])/3,0)</f>
        <v>Q4</v>
      </c>
      <c r="X1307" t="str">
        <f>TEXT(Table1_1[[#This Row],[order_date]],"yyyy-mm")</f>
        <v>2025-10</v>
      </c>
      <c r="Y1307">
        <f>IF(Table1_1[[#This Row],[ship_date]]="","",Table1_1[[#This Row],[ship_date]]-Table1_1[[#This Row],[order_date]])</f>
        <v>4</v>
      </c>
      <c r="Z1307">
        <f>ROUND(Table1_1[[#This Row],[profit]]/Table1_1[[#This Row],[sales_fix]]*100,2)</f>
        <v>14.67</v>
      </c>
    </row>
    <row r="1308" spans="1:26" x14ac:dyDescent="0.3">
      <c r="A1308" t="s">
        <v>1478</v>
      </c>
      <c r="B1308" s="1">
        <v>45790</v>
      </c>
      <c r="C1308" s="1">
        <v>45792</v>
      </c>
      <c r="D1308" t="s">
        <v>349</v>
      </c>
      <c r="E1308" t="s">
        <v>350</v>
      </c>
      <c r="F1308" t="s">
        <v>34</v>
      </c>
      <c r="G1308" t="s">
        <v>91</v>
      </c>
      <c r="H1308" t="s">
        <v>120</v>
      </c>
      <c r="I1308" t="s">
        <v>93</v>
      </c>
      <c r="J1308" t="s">
        <v>94</v>
      </c>
      <c r="K1308" t="s">
        <v>95</v>
      </c>
      <c r="L1308">
        <v>1</v>
      </c>
      <c r="M1308">
        <v>1800</v>
      </c>
      <c r="N1308">
        <v>0</v>
      </c>
      <c r="O1308">
        <v>1800</v>
      </c>
      <c r="P1308">
        <v>587.59</v>
      </c>
      <c r="Q1308" t="s">
        <v>3113</v>
      </c>
      <c r="R1308" t="s">
        <v>49</v>
      </c>
      <c r="S1308" t="s">
        <v>50</v>
      </c>
      <c r="T1308">
        <f>YEAR(Table1_1[[#This Row],[order_date]])</f>
        <v>2025</v>
      </c>
      <c r="U1308">
        <f>MONTH(Table1_1[[#This Row],[order_date]])</f>
        <v>5</v>
      </c>
      <c r="V1308" t="str">
        <f>TEXT(Table1_1[[#This Row],[order_date]],"mmm")</f>
        <v>May</v>
      </c>
      <c r="W1308" t="str">
        <f>"Q"&amp;ROUNDUP(MONTH(Table1_1[[#This Row],[order_date]])/3,0)</f>
        <v>Q2</v>
      </c>
      <c r="X1308" t="str">
        <f>TEXT(Table1_1[[#This Row],[order_date]],"yyyy-mm")</f>
        <v>2025-05</v>
      </c>
      <c r="Y1308">
        <f>IF(Table1_1[[#This Row],[ship_date]]="","",Table1_1[[#This Row],[ship_date]]-Table1_1[[#This Row],[order_date]])</f>
        <v>2</v>
      </c>
      <c r="Z1308">
        <f>ROUND(Table1_1[[#This Row],[profit]]/Table1_1[[#This Row],[sales_fix]]*100,2)</f>
        <v>32.64</v>
      </c>
    </row>
    <row r="1309" spans="1:26" x14ac:dyDescent="0.3">
      <c r="A1309" t="s">
        <v>2876</v>
      </c>
      <c r="B1309" s="1">
        <v>45549</v>
      </c>
      <c r="C1309" s="1">
        <v>45552</v>
      </c>
      <c r="D1309" t="s">
        <v>509</v>
      </c>
      <c r="E1309" t="s">
        <v>510</v>
      </c>
      <c r="F1309" t="s">
        <v>23</v>
      </c>
      <c r="G1309" t="s">
        <v>91</v>
      </c>
      <c r="H1309" t="s">
        <v>120</v>
      </c>
      <c r="I1309" t="s">
        <v>114</v>
      </c>
      <c r="J1309" t="s">
        <v>115</v>
      </c>
      <c r="K1309" t="s">
        <v>65</v>
      </c>
      <c r="L1309">
        <v>3</v>
      </c>
      <c r="M1309">
        <v>55000</v>
      </c>
      <c r="N1309">
        <v>10</v>
      </c>
      <c r="O1309">
        <v>148500</v>
      </c>
      <c r="P1309">
        <v>21605.79</v>
      </c>
      <c r="Q1309" t="s">
        <v>74</v>
      </c>
      <c r="R1309" t="s">
        <v>56</v>
      </c>
      <c r="S1309" t="s">
        <v>30</v>
      </c>
      <c r="T1309">
        <f>YEAR(Table1_1[[#This Row],[order_date]])</f>
        <v>2024</v>
      </c>
      <c r="U1309">
        <f>MONTH(Table1_1[[#This Row],[order_date]])</f>
        <v>9</v>
      </c>
      <c r="V1309" t="str">
        <f>TEXT(Table1_1[[#This Row],[order_date]],"mmm")</f>
        <v>Sep</v>
      </c>
      <c r="W1309" t="str">
        <f>"Q"&amp;ROUNDUP(MONTH(Table1_1[[#This Row],[order_date]])/3,0)</f>
        <v>Q3</v>
      </c>
      <c r="X1309" t="str">
        <f>TEXT(Table1_1[[#This Row],[order_date]],"yyyy-mm")</f>
        <v>2024-09</v>
      </c>
      <c r="Y1309">
        <f>IF(Table1_1[[#This Row],[ship_date]]="","",Table1_1[[#This Row],[ship_date]]-Table1_1[[#This Row],[order_date]])</f>
        <v>3</v>
      </c>
      <c r="Z1309">
        <f>ROUND(Table1_1[[#This Row],[profit]]/Table1_1[[#This Row],[sales_fix]]*100,2)</f>
        <v>14.55</v>
      </c>
    </row>
    <row r="1310" spans="1:26" x14ac:dyDescent="0.3">
      <c r="A1310" t="s">
        <v>2801</v>
      </c>
      <c r="B1310" s="1">
        <v>45952</v>
      </c>
      <c r="C1310" s="1">
        <v>45957</v>
      </c>
      <c r="D1310" t="s">
        <v>2405</v>
      </c>
      <c r="E1310" t="s">
        <v>2406</v>
      </c>
      <c r="F1310" t="s">
        <v>55</v>
      </c>
      <c r="G1310" t="s">
        <v>61</v>
      </c>
      <c r="H1310" t="s">
        <v>78</v>
      </c>
      <c r="I1310" t="s">
        <v>25</v>
      </c>
      <c r="J1310" t="s">
        <v>26</v>
      </c>
      <c r="K1310" t="s">
        <v>27</v>
      </c>
      <c r="L1310">
        <v>4</v>
      </c>
      <c r="M1310">
        <v>7000</v>
      </c>
      <c r="N1310">
        <v>0</v>
      </c>
      <c r="O1310">
        <v>28000</v>
      </c>
      <c r="P1310">
        <v>6160</v>
      </c>
      <c r="Q1310" t="s">
        <v>156</v>
      </c>
      <c r="R1310" t="s">
        <v>49</v>
      </c>
      <c r="S1310" t="s">
        <v>86</v>
      </c>
      <c r="T1310">
        <f>YEAR(Table1_1[[#This Row],[order_date]])</f>
        <v>2025</v>
      </c>
      <c r="U1310">
        <f>MONTH(Table1_1[[#This Row],[order_date]])</f>
        <v>10</v>
      </c>
      <c r="V1310" t="str">
        <f>TEXT(Table1_1[[#This Row],[order_date]],"mmm")</f>
        <v>Oct</v>
      </c>
      <c r="W1310" t="str">
        <f>"Q"&amp;ROUNDUP(MONTH(Table1_1[[#This Row],[order_date]])/3,0)</f>
        <v>Q4</v>
      </c>
      <c r="X1310" t="str">
        <f>TEXT(Table1_1[[#This Row],[order_date]],"yyyy-mm")</f>
        <v>2025-10</v>
      </c>
      <c r="Y1310">
        <f>IF(Table1_1[[#This Row],[ship_date]]="","",Table1_1[[#This Row],[ship_date]]-Table1_1[[#This Row],[order_date]])</f>
        <v>5</v>
      </c>
      <c r="Z1310">
        <f>ROUND(Table1_1[[#This Row],[profit]]/Table1_1[[#This Row],[sales_fix]]*100,2)</f>
        <v>22</v>
      </c>
    </row>
    <row r="1311" spans="1:26" x14ac:dyDescent="0.3">
      <c r="A1311" t="s">
        <v>2866</v>
      </c>
      <c r="B1311" s="1">
        <v>45298</v>
      </c>
      <c r="C1311" s="1">
        <v>45301</v>
      </c>
      <c r="D1311" t="s">
        <v>356</v>
      </c>
      <c r="E1311" t="s">
        <v>357</v>
      </c>
      <c r="F1311" t="s">
        <v>23</v>
      </c>
      <c r="G1311" t="s">
        <v>91</v>
      </c>
      <c r="H1311" t="s">
        <v>120</v>
      </c>
      <c r="I1311" t="s">
        <v>147</v>
      </c>
      <c r="J1311" t="s">
        <v>148</v>
      </c>
      <c r="K1311" t="s">
        <v>48</v>
      </c>
      <c r="L1311">
        <v>1</v>
      </c>
      <c r="M1311">
        <v>250</v>
      </c>
      <c r="N1311">
        <v>10</v>
      </c>
      <c r="O1311">
        <v>225</v>
      </c>
      <c r="P1311">
        <v>79.94</v>
      </c>
      <c r="Q1311" t="s">
        <v>121</v>
      </c>
      <c r="R1311" t="s">
        <v>29</v>
      </c>
      <c r="S1311" t="s">
        <v>30</v>
      </c>
      <c r="T1311">
        <f>YEAR(Table1_1[[#This Row],[order_date]])</f>
        <v>2024</v>
      </c>
      <c r="U1311">
        <f>MONTH(Table1_1[[#This Row],[order_date]])</f>
        <v>1</v>
      </c>
      <c r="V1311" t="str">
        <f>TEXT(Table1_1[[#This Row],[order_date]],"mmm")</f>
        <v>Jan</v>
      </c>
      <c r="W1311" t="str">
        <f>"Q"&amp;ROUNDUP(MONTH(Table1_1[[#This Row],[order_date]])/3,0)</f>
        <v>Q1</v>
      </c>
      <c r="X1311" t="str">
        <f>TEXT(Table1_1[[#This Row],[order_date]],"yyyy-mm")</f>
        <v>2024-01</v>
      </c>
      <c r="Y1311">
        <f>IF(Table1_1[[#This Row],[ship_date]]="","",Table1_1[[#This Row],[ship_date]]-Table1_1[[#This Row],[order_date]])</f>
        <v>3</v>
      </c>
      <c r="Z1311">
        <f>ROUND(Table1_1[[#This Row],[profit]]/Table1_1[[#This Row],[sales_fix]]*100,2)</f>
        <v>35.53</v>
      </c>
    </row>
    <row r="1312" spans="1:26" x14ac:dyDescent="0.3">
      <c r="A1312" t="s">
        <v>3016</v>
      </c>
      <c r="B1312" s="1">
        <v>45745</v>
      </c>
      <c r="C1312" s="1">
        <v>45748</v>
      </c>
      <c r="D1312" t="s">
        <v>713</v>
      </c>
      <c r="E1312" t="s">
        <v>714</v>
      </c>
      <c r="F1312" t="s">
        <v>34</v>
      </c>
      <c r="G1312" t="s">
        <v>35</v>
      </c>
      <c r="H1312" t="s">
        <v>258</v>
      </c>
      <c r="I1312" t="s">
        <v>63</v>
      </c>
      <c r="J1312" t="s">
        <v>64</v>
      </c>
      <c r="K1312" t="s">
        <v>65</v>
      </c>
      <c r="L1312">
        <v>1</v>
      </c>
      <c r="M1312">
        <v>25000</v>
      </c>
      <c r="N1312">
        <v>15</v>
      </c>
      <c r="O1312">
        <v>21250</v>
      </c>
      <c r="P1312">
        <v>2917.95</v>
      </c>
      <c r="Q1312" t="s">
        <v>121</v>
      </c>
      <c r="R1312" t="s">
        <v>29</v>
      </c>
      <c r="S1312" t="s">
        <v>50</v>
      </c>
      <c r="T1312">
        <f>YEAR(Table1_1[[#This Row],[order_date]])</f>
        <v>2025</v>
      </c>
      <c r="U1312">
        <f>MONTH(Table1_1[[#This Row],[order_date]])</f>
        <v>3</v>
      </c>
      <c r="V1312" t="str">
        <f>TEXT(Table1_1[[#This Row],[order_date]],"mmm")</f>
        <v>Mar</v>
      </c>
      <c r="W1312" t="str">
        <f>"Q"&amp;ROUNDUP(MONTH(Table1_1[[#This Row],[order_date]])/3,0)</f>
        <v>Q1</v>
      </c>
      <c r="X1312" t="str">
        <f>TEXT(Table1_1[[#This Row],[order_date]],"yyyy-mm")</f>
        <v>2025-03</v>
      </c>
      <c r="Y1312">
        <f>IF(Table1_1[[#This Row],[ship_date]]="","",Table1_1[[#This Row],[ship_date]]-Table1_1[[#This Row],[order_date]])</f>
        <v>3</v>
      </c>
      <c r="Z1312">
        <f>ROUND(Table1_1[[#This Row],[profit]]/Table1_1[[#This Row],[sales_fix]]*100,2)</f>
        <v>13.73</v>
      </c>
    </row>
    <row r="1313" spans="1:26" x14ac:dyDescent="0.3">
      <c r="A1313" t="s">
        <v>1279</v>
      </c>
      <c r="B1313" s="1">
        <v>45805</v>
      </c>
      <c r="C1313" s="1">
        <v>45807</v>
      </c>
      <c r="D1313" t="s">
        <v>956</v>
      </c>
      <c r="E1313" t="s">
        <v>1086</v>
      </c>
      <c r="F1313" t="s">
        <v>55</v>
      </c>
      <c r="G1313" t="s">
        <v>44</v>
      </c>
      <c r="H1313" t="s">
        <v>24</v>
      </c>
      <c r="I1313" t="s">
        <v>25</v>
      </c>
      <c r="J1313" t="s">
        <v>26</v>
      </c>
      <c r="K1313" t="s">
        <v>27</v>
      </c>
      <c r="L1313">
        <v>1</v>
      </c>
      <c r="M1313">
        <v>7000</v>
      </c>
      <c r="N1313">
        <v>20</v>
      </c>
      <c r="O1313">
        <v>5600</v>
      </c>
      <c r="P1313">
        <v>1123.78</v>
      </c>
      <c r="Q1313" t="s">
        <v>156</v>
      </c>
      <c r="R1313" t="s">
        <v>49</v>
      </c>
      <c r="S1313" t="s">
        <v>40</v>
      </c>
      <c r="T1313">
        <f>YEAR(Table1_1[[#This Row],[order_date]])</f>
        <v>2025</v>
      </c>
      <c r="U1313">
        <f>MONTH(Table1_1[[#This Row],[order_date]])</f>
        <v>5</v>
      </c>
      <c r="V1313" t="str">
        <f>TEXT(Table1_1[[#This Row],[order_date]],"mmm")</f>
        <v>May</v>
      </c>
      <c r="W1313" t="str">
        <f>"Q"&amp;ROUNDUP(MONTH(Table1_1[[#This Row],[order_date]])/3,0)</f>
        <v>Q2</v>
      </c>
      <c r="X1313" t="str">
        <f>TEXT(Table1_1[[#This Row],[order_date]],"yyyy-mm")</f>
        <v>2025-05</v>
      </c>
      <c r="Y1313">
        <f>IF(Table1_1[[#This Row],[ship_date]]="","",Table1_1[[#This Row],[ship_date]]-Table1_1[[#This Row],[order_date]])</f>
        <v>2</v>
      </c>
      <c r="Z1313">
        <f>ROUND(Table1_1[[#This Row],[profit]]/Table1_1[[#This Row],[sales_fix]]*100,2)</f>
        <v>20.07</v>
      </c>
    </row>
    <row r="1314" spans="1:26" x14ac:dyDescent="0.3">
      <c r="A1314" t="s">
        <v>2979</v>
      </c>
      <c r="B1314" s="1">
        <v>45980</v>
      </c>
      <c r="C1314" s="1">
        <v>45983</v>
      </c>
      <c r="D1314" t="s">
        <v>643</v>
      </c>
      <c r="E1314" t="s">
        <v>644</v>
      </c>
      <c r="F1314" t="s">
        <v>34</v>
      </c>
      <c r="G1314" t="s">
        <v>61</v>
      </c>
      <c r="H1314" t="s">
        <v>78</v>
      </c>
      <c r="I1314" t="s">
        <v>93</v>
      </c>
      <c r="J1314" t="s">
        <v>94</v>
      </c>
      <c r="K1314" t="s">
        <v>95</v>
      </c>
      <c r="L1314">
        <v>1</v>
      </c>
      <c r="M1314">
        <v>1800</v>
      </c>
      <c r="N1314">
        <v>20</v>
      </c>
      <c r="O1314">
        <v>1440</v>
      </c>
      <c r="P1314">
        <v>432.68</v>
      </c>
      <c r="Q1314" t="s">
        <v>121</v>
      </c>
      <c r="R1314" t="s">
        <v>56</v>
      </c>
      <c r="S1314" t="s">
        <v>50</v>
      </c>
      <c r="T1314">
        <f>YEAR(Table1_1[[#This Row],[order_date]])</f>
        <v>2025</v>
      </c>
      <c r="U1314">
        <f>MONTH(Table1_1[[#This Row],[order_date]])</f>
        <v>11</v>
      </c>
      <c r="V1314" t="str">
        <f>TEXT(Table1_1[[#This Row],[order_date]],"mmm")</f>
        <v>Nov</v>
      </c>
      <c r="W1314" t="str">
        <f>"Q"&amp;ROUNDUP(MONTH(Table1_1[[#This Row],[order_date]])/3,0)</f>
        <v>Q4</v>
      </c>
      <c r="X1314" t="str">
        <f>TEXT(Table1_1[[#This Row],[order_date]],"yyyy-mm")</f>
        <v>2025-11</v>
      </c>
      <c r="Y1314">
        <f>IF(Table1_1[[#This Row],[ship_date]]="","",Table1_1[[#This Row],[ship_date]]-Table1_1[[#This Row],[order_date]])</f>
        <v>3</v>
      </c>
      <c r="Z1314">
        <f>ROUND(Table1_1[[#This Row],[profit]]/Table1_1[[#This Row],[sales_fix]]*100,2)</f>
        <v>30.05</v>
      </c>
    </row>
    <row r="1315" spans="1:26" x14ac:dyDescent="0.3">
      <c r="A1315" t="s">
        <v>1841</v>
      </c>
      <c r="B1315" s="1">
        <v>45777</v>
      </c>
      <c r="C1315" s="1">
        <v>45782</v>
      </c>
      <c r="D1315" t="s">
        <v>856</v>
      </c>
      <c r="E1315" t="s">
        <v>857</v>
      </c>
      <c r="F1315" t="s">
        <v>55</v>
      </c>
      <c r="G1315" t="s">
        <v>35</v>
      </c>
      <c r="H1315" t="s">
        <v>36</v>
      </c>
      <c r="I1315" t="s">
        <v>46</v>
      </c>
      <c r="J1315" t="s">
        <v>47</v>
      </c>
      <c r="K1315" t="s">
        <v>48</v>
      </c>
      <c r="L1315">
        <v>3</v>
      </c>
      <c r="M1315">
        <v>180</v>
      </c>
      <c r="N1315">
        <v>20</v>
      </c>
      <c r="O1315">
        <v>432</v>
      </c>
      <c r="P1315">
        <v>168.5</v>
      </c>
      <c r="Q1315" t="s">
        <v>121</v>
      </c>
      <c r="R1315" t="s">
        <v>49</v>
      </c>
      <c r="S1315" t="s">
        <v>30</v>
      </c>
      <c r="T1315">
        <f>YEAR(Table1_1[[#This Row],[order_date]])</f>
        <v>2025</v>
      </c>
      <c r="U1315">
        <f>MONTH(Table1_1[[#This Row],[order_date]])</f>
        <v>4</v>
      </c>
      <c r="V1315" t="str">
        <f>TEXT(Table1_1[[#This Row],[order_date]],"mmm")</f>
        <v>Apr</v>
      </c>
      <c r="W1315" t="str">
        <f>"Q"&amp;ROUNDUP(MONTH(Table1_1[[#This Row],[order_date]])/3,0)</f>
        <v>Q2</v>
      </c>
      <c r="X1315" t="str">
        <f>TEXT(Table1_1[[#This Row],[order_date]],"yyyy-mm")</f>
        <v>2025-04</v>
      </c>
      <c r="Y1315">
        <f>IF(Table1_1[[#This Row],[ship_date]]="","",Table1_1[[#This Row],[ship_date]]-Table1_1[[#This Row],[order_date]])</f>
        <v>5</v>
      </c>
      <c r="Z1315">
        <f>ROUND(Table1_1[[#This Row],[profit]]/Table1_1[[#This Row],[sales_fix]]*100,2)</f>
        <v>39</v>
      </c>
    </row>
    <row r="1316" spans="1:26" x14ac:dyDescent="0.3">
      <c r="A1316" t="s">
        <v>2766</v>
      </c>
      <c r="B1316" s="1">
        <v>45440</v>
      </c>
      <c r="C1316" s="1">
        <v>45446</v>
      </c>
      <c r="D1316" t="s">
        <v>713</v>
      </c>
      <c r="E1316" t="s">
        <v>714</v>
      </c>
      <c r="F1316" t="s">
        <v>34</v>
      </c>
      <c r="G1316" t="s">
        <v>35</v>
      </c>
      <c r="H1316" t="s">
        <v>258</v>
      </c>
      <c r="I1316" t="s">
        <v>37</v>
      </c>
      <c r="J1316" t="s">
        <v>38</v>
      </c>
      <c r="K1316" t="s">
        <v>27</v>
      </c>
      <c r="L1316">
        <v>1</v>
      </c>
      <c r="M1316">
        <v>9500</v>
      </c>
      <c r="N1316">
        <v>15</v>
      </c>
      <c r="O1316">
        <v>8075</v>
      </c>
      <c r="P1316">
        <v>1359.14</v>
      </c>
      <c r="Q1316" t="s">
        <v>28</v>
      </c>
      <c r="R1316" t="s">
        <v>49</v>
      </c>
      <c r="S1316" t="s">
        <v>30</v>
      </c>
      <c r="T1316">
        <f>YEAR(Table1_1[[#This Row],[order_date]])</f>
        <v>2024</v>
      </c>
      <c r="U1316">
        <f>MONTH(Table1_1[[#This Row],[order_date]])</f>
        <v>5</v>
      </c>
      <c r="V1316" t="str">
        <f>TEXT(Table1_1[[#This Row],[order_date]],"mmm")</f>
        <v>May</v>
      </c>
      <c r="W1316" t="str">
        <f>"Q"&amp;ROUNDUP(MONTH(Table1_1[[#This Row],[order_date]])/3,0)</f>
        <v>Q2</v>
      </c>
      <c r="X1316" t="str">
        <f>TEXT(Table1_1[[#This Row],[order_date]],"yyyy-mm")</f>
        <v>2024-05</v>
      </c>
      <c r="Y1316">
        <f>IF(Table1_1[[#This Row],[ship_date]]="","",Table1_1[[#This Row],[ship_date]]-Table1_1[[#This Row],[order_date]])</f>
        <v>6</v>
      </c>
      <c r="Z1316">
        <f>ROUND(Table1_1[[#This Row],[profit]]/Table1_1[[#This Row],[sales_fix]]*100,2)</f>
        <v>16.829999999999998</v>
      </c>
    </row>
    <row r="1317" spans="1:26" x14ac:dyDescent="0.3">
      <c r="A1317" t="s">
        <v>2861</v>
      </c>
      <c r="B1317" s="1">
        <v>45719</v>
      </c>
      <c r="C1317" s="1">
        <v>45726</v>
      </c>
      <c r="D1317" t="s">
        <v>1072</v>
      </c>
      <c r="E1317" t="s">
        <v>1073</v>
      </c>
      <c r="F1317" t="s">
        <v>23</v>
      </c>
      <c r="G1317" t="s">
        <v>44</v>
      </c>
      <c r="H1317" t="s">
        <v>161</v>
      </c>
      <c r="I1317" t="s">
        <v>134</v>
      </c>
      <c r="J1317" t="s">
        <v>135</v>
      </c>
      <c r="K1317" t="s">
        <v>27</v>
      </c>
      <c r="L1317">
        <v>1</v>
      </c>
      <c r="M1317">
        <v>6000</v>
      </c>
      <c r="N1317">
        <v>5</v>
      </c>
      <c r="O1317">
        <v>5700</v>
      </c>
      <c r="P1317">
        <v>987.86</v>
      </c>
      <c r="Q1317" t="s">
        <v>74</v>
      </c>
      <c r="R1317" t="s">
        <v>56</v>
      </c>
      <c r="S1317" t="s">
        <v>50</v>
      </c>
      <c r="T1317">
        <f>YEAR(Table1_1[[#This Row],[order_date]])</f>
        <v>2025</v>
      </c>
      <c r="U1317">
        <f>MONTH(Table1_1[[#This Row],[order_date]])</f>
        <v>3</v>
      </c>
      <c r="V1317" t="str">
        <f>TEXT(Table1_1[[#This Row],[order_date]],"mmm")</f>
        <v>Mar</v>
      </c>
      <c r="W1317" t="str">
        <f>"Q"&amp;ROUNDUP(MONTH(Table1_1[[#This Row],[order_date]])/3,0)</f>
        <v>Q1</v>
      </c>
      <c r="X1317" t="str">
        <f>TEXT(Table1_1[[#This Row],[order_date]],"yyyy-mm")</f>
        <v>2025-03</v>
      </c>
      <c r="Y1317">
        <f>IF(Table1_1[[#This Row],[ship_date]]="","",Table1_1[[#This Row],[ship_date]]-Table1_1[[#This Row],[order_date]])</f>
        <v>7</v>
      </c>
      <c r="Z1317">
        <f>ROUND(Table1_1[[#This Row],[profit]]/Table1_1[[#This Row],[sales_fix]]*100,2)</f>
        <v>17.329999999999998</v>
      </c>
    </row>
    <row r="1318" spans="1:26" x14ac:dyDescent="0.3">
      <c r="A1318" t="s">
        <v>1673</v>
      </c>
      <c r="B1318" s="1">
        <v>45311</v>
      </c>
      <c r="C1318" s="1">
        <v>45316</v>
      </c>
      <c r="D1318" t="s">
        <v>509</v>
      </c>
      <c r="E1318" t="s">
        <v>510</v>
      </c>
      <c r="F1318" t="s">
        <v>23</v>
      </c>
      <c r="G1318" t="s">
        <v>91</v>
      </c>
      <c r="H1318" t="s">
        <v>120</v>
      </c>
      <c r="I1318" t="s">
        <v>25</v>
      </c>
      <c r="J1318" t="s">
        <v>26</v>
      </c>
      <c r="K1318" t="s">
        <v>27</v>
      </c>
      <c r="L1318">
        <v>4</v>
      </c>
      <c r="M1318">
        <v>7000</v>
      </c>
      <c r="N1318">
        <v>0</v>
      </c>
      <c r="O1318">
        <v>28000</v>
      </c>
      <c r="P1318">
        <v>4826.01</v>
      </c>
      <c r="Q1318" t="s">
        <v>74</v>
      </c>
      <c r="R1318" t="s">
        <v>49</v>
      </c>
      <c r="S1318" t="s">
        <v>86</v>
      </c>
      <c r="T1318">
        <f>YEAR(Table1_1[[#This Row],[order_date]])</f>
        <v>2024</v>
      </c>
      <c r="U1318">
        <f>MONTH(Table1_1[[#This Row],[order_date]])</f>
        <v>1</v>
      </c>
      <c r="V1318" t="str">
        <f>TEXT(Table1_1[[#This Row],[order_date]],"mmm")</f>
        <v>Jan</v>
      </c>
      <c r="W1318" t="str">
        <f>"Q"&amp;ROUNDUP(MONTH(Table1_1[[#This Row],[order_date]])/3,0)</f>
        <v>Q1</v>
      </c>
      <c r="X1318" t="str">
        <f>TEXT(Table1_1[[#This Row],[order_date]],"yyyy-mm")</f>
        <v>2024-01</v>
      </c>
      <c r="Y1318">
        <f>IF(Table1_1[[#This Row],[ship_date]]="","",Table1_1[[#This Row],[ship_date]]-Table1_1[[#This Row],[order_date]])</f>
        <v>5</v>
      </c>
      <c r="Z1318">
        <f>ROUND(Table1_1[[#This Row],[profit]]/Table1_1[[#This Row],[sales_fix]]*100,2)</f>
        <v>17.239999999999998</v>
      </c>
    </row>
    <row r="1319" spans="1:26" x14ac:dyDescent="0.3">
      <c r="A1319" t="s">
        <v>2825</v>
      </c>
      <c r="B1319" s="1">
        <v>45683</v>
      </c>
      <c r="C1319" s="1"/>
      <c r="D1319" t="s">
        <v>227</v>
      </c>
      <c r="E1319" t="s">
        <v>228</v>
      </c>
      <c r="F1319" t="s">
        <v>23</v>
      </c>
      <c r="G1319" t="s">
        <v>61</v>
      </c>
      <c r="H1319" t="s">
        <v>62</v>
      </c>
      <c r="I1319" t="s">
        <v>134</v>
      </c>
      <c r="J1319" t="s">
        <v>135</v>
      </c>
      <c r="K1319" t="s">
        <v>27</v>
      </c>
      <c r="L1319">
        <v>1</v>
      </c>
      <c r="M1319">
        <v>6000</v>
      </c>
      <c r="N1319">
        <v>10</v>
      </c>
      <c r="O1319">
        <v>5400</v>
      </c>
      <c r="P1319">
        <v>1290.31</v>
      </c>
      <c r="Q1319" t="s">
        <v>39</v>
      </c>
      <c r="R1319" t="s">
        <v>56</v>
      </c>
      <c r="S1319" t="s">
        <v>30</v>
      </c>
      <c r="T1319">
        <f>YEAR(Table1_1[[#This Row],[order_date]])</f>
        <v>2025</v>
      </c>
      <c r="U1319">
        <f>MONTH(Table1_1[[#This Row],[order_date]])</f>
        <v>1</v>
      </c>
      <c r="V1319" t="str">
        <f>TEXT(Table1_1[[#This Row],[order_date]],"mmm")</f>
        <v>Jan</v>
      </c>
      <c r="W1319" t="str">
        <f>"Q"&amp;ROUNDUP(MONTH(Table1_1[[#This Row],[order_date]])/3,0)</f>
        <v>Q1</v>
      </c>
      <c r="X1319" t="str">
        <f>TEXT(Table1_1[[#This Row],[order_date]],"yyyy-mm")</f>
        <v>2025-01</v>
      </c>
      <c r="Y1319" t="str">
        <f>IF(Table1_1[[#This Row],[ship_date]]="","",Table1_1[[#This Row],[ship_date]]-Table1_1[[#This Row],[order_date]])</f>
        <v/>
      </c>
      <c r="Z1319">
        <f>ROUND(Table1_1[[#This Row],[profit]]/Table1_1[[#This Row],[sales_fix]]*100,2)</f>
        <v>23.89</v>
      </c>
    </row>
    <row r="1320" spans="1:26" x14ac:dyDescent="0.3">
      <c r="A1320" t="s">
        <v>2991</v>
      </c>
      <c r="B1320" s="1">
        <v>45368</v>
      </c>
      <c r="C1320" s="1">
        <v>45376</v>
      </c>
      <c r="D1320" t="s">
        <v>1450</v>
      </c>
      <c r="E1320" t="s">
        <v>1451</v>
      </c>
      <c r="F1320" t="s">
        <v>23</v>
      </c>
      <c r="G1320" t="s">
        <v>61</v>
      </c>
      <c r="H1320" t="s">
        <v>78</v>
      </c>
      <c r="I1320" t="s">
        <v>63</v>
      </c>
      <c r="J1320" t="s">
        <v>64</v>
      </c>
      <c r="K1320" t="s">
        <v>65</v>
      </c>
      <c r="L1320">
        <v>1</v>
      </c>
      <c r="M1320">
        <v>25000</v>
      </c>
      <c r="N1320">
        <v>0</v>
      </c>
      <c r="O1320">
        <v>25000</v>
      </c>
      <c r="P1320">
        <v>3709.27</v>
      </c>
      <c r="Q1320" t="s">
        <v>66</v>
      </c>
      <c r="R1320" t="s">
        <v>56</v>
      </c>
      <c r="S1320" t="s">
        <v>30</v>
      </c>
      <c r="T1320">
        <f>YEAR(Table1_1[[#This Row],[order_date]])</f>
        <v>2024</v>
      </c>
      <c r="U1320">
        <f>MONTH(Table1_1[[#This Row],[order_date]])</f>
        <v>3</v>
      </c>
      <c r="V1320" t="str">
        <f>TEXT(Table1_1[[#This Row],[order_date]],"mmm")</f>
        <v>Mar</v>
      </c>
      <c r="W1320" t="str">
        <f>"Q"&amp;ROUNDUP(MONTH(Table1_1[[#This Row],[order_date]])/3,0)</f>
        <v>Q1</v>
      </c>
      <c r="X1320" t="str">
        <f>TEXT(Table1_1[[#This Row],[order_date]],"yyyy-mm")</f>
        <v>2024-03</v>
      </c>
      <c r="Y1320">
        <f>IF(Table1_1[[#This Row],[ship_date]]="","",Table1_1[[#This Row],[ship_date]]-Table1_1[[#This Row],[order_date]])</f>
        <v>8</v>
      </c>
      <c r="Z1320">
        <f>ROUND(Table1_1[[#This Row],[profit]]/Table1_1[[#This Row],[sales_fix]]*100,2)</f>
        <v>14.84</v>
      </c>
    </row>
    <row r="1321" spans="1:26" x14ac:dyDescent="0.3">
      <c r="A1321" t="s">
        <v>397</v>
      </c>
      <c r="B1321" s="1">
        <v>45578</v>
      </c>
      <c r="C1321" s="1">
        <v>45584</v>
      </c>
      <c r="D1321" t="s">
        <v>230</v>
      </c>
      <c r="E1321" t="s">
        <v>231</v>
      </c>
      <c r="F1321" t="s">
        <v>55</v>
      </c>
      <c r="G1321" t="s">
        <v>44</v>
      </c>
      <c r="H1321" t="s">
        <v>161</v>
      </c>
      <c r="I1321" t="s">
        <v>103</v>
      </c>
      <c r="J1321" t="s">
        <v>104</v>
      </c>
      <c r="K1321" t="s">
        <v>65</v>
      </c>
      <c r="L1321">
        <v>2</v>
      </c>
      <c r="M1321">
        <v>8000</v>
      </c>
      <c r="N1321">
        <v>0</v>
      </c>
      <c r="O1321">
        <v>16000</v>
      </c>
      <c r="P1321">
        <v>2962.3</v>
      </c>
      <c r="Q1321" t="s">
        <v>74</v>
      </c>
      <c r="R1321" t="s">
        <v>56</v>
      </c>
      <c r="S1321" t="s">
        <v>110</v>
      </c>
      <c r="T1321">
        <f>YEAR(Table1_1[[#This Row],[order_date]])</f>
        <v>2024</v>
      </c>
      <c r="U1321">
        <f>MONTH(Table1_1[[#This Row],[order_date]])</f>
        <v>10</v>
      </c>
      <c r="V1321" t="str">
        <f>TEXT(Table1_1[[#This Row],[order_date]],"mmm")</f>
        <v>Oct</v>
      </c>
      <c r="W1321" t="str">
        <f>"Q"&amp;ROUNDUP(MONTH(Table1_1[[#This Row],[order_date]])/3,0)</f>
        <v>Q4</v>
      </c>
      <c r="X1321" t="str">
        <f>TEXT(Table1_1[[#This Row],[order_date]],"yyyy-mm")</f>
        <v>2024-10</v>
      </c>
      <c r="Y1321">
        <f>IF(Table1_1[[#This Row],[ship_date]]="","",Table1_1[[#This Row],[ship_date]]-Table1_1[[#This Row],[order_date]])</f>
        <v>6</v>
      </c>
      <c r="Z1321">
        <f>ROUND(Table1_1[[#This Row],[profit]]/Table1_1[[#This Row],[sales_fix]]*100,2)</f>
        <v>18.510000000000002</v>
      </c>
    </row>
    <row r="1322" spans="1:26" x14ac:dyDescent="0.3">
      <c r="A1322" t="s">
        <v>280</v>
      </c>
      <c r="B1322" s="1">
        <v>45405</v>
      </c>
      <c r="C1322" s="1">
        <v>45412</v>
      </c>
      <c r="D1322" t="s">
        <v>281</v>
      </c>
      <c r="E1322" t="s">
        <v>282</v>
      </c>
      <c r="F1322" t="s">
        <v>34</v>
      </c>
      <c r="G1322" t="s">
        <v>61</v>
      </c>
      <c r="H1322" t="s">
        <v>62</v>
      </c>
      <c r="I1322" t="s">
        <v>25</v>
      </c>
      <c r="J1322" t="s">
        <v>26</v>
      </c>
      <c r="K1322" t="s">
        <v>27</v>
      </c>
      <c r="L1322">
        <v>2</v>
      </c>
      <c r="M1322">
        <v>7000</v>
      </c>
      <c r="N1322">
        <v>15</v>
      </c>
      <c r="O1322">
        <v>11900</v>
      </c>
      <c r="P1322">
        <v>1910.08</v>
      </c>
      <c r="Q1322" t="s">
        <v>121</v>
      </c>
      <c r="R1322" t="s">
        <v>29</v>
      </c>
      <c r="S1322" t="s">
        <v>40</v>
      </c>
      <c r="T1322">
        <f>YEAR(Table1_1[[#This Row],[order_date]])</f>
        <v>2024</v>
      </c>
      <c r="U1322">
        <f>MONTH(Table1_1[[#This Row],[order_date]])</f>
        <v>4</v>
      </c>
      <c r="V1322" t="str">
        <f>TEXT(Table1_1[[#This Row],[order_date]],"mmm")</f>
        <v>Apr</v>
      </c>
      <c r="W1322" t="str">
        <f>"Q"&amp;ROUNDUP(MONTH(Table1_1[[#This Row],[order_date]])/3,0)</f>
        <v>Q2</v>
      </c>
      <c r="X1322" t="str">
        <f>TEXT(Table1_1[[#This Row],[order_date]],"yyyy-mm")</f>
        <v>2024-04</v>
      </c>
      <c r="Y1322">
        <f>IF(Table1_1[[#This Row],[ship_date]]="","",Table1_1[[#This Row],[ship_date]]-Table1_1[[#This Row],[order_date]])</f>
        <v>7</v>
      </c>
      <c r="Z1322">
        <f>ROUND(Table1_1[[#This Row],[profit]]/Table1_1[[#This Row],[sales_fix]]*100,2)</f>
        <v>16.05</v>
      </c>
    </row>
    <row r="1323" spans="1:26" x14ac:dyDescent="0.3">
      <c r="A1323" t="s">
        <v>996</v>
      </c>
      <c r="B1323" s="1">
        <v>45496</v>
      </c>
      <c r="C1323" s="1">
        <v>45501</v>
      </c>
      <c r="D1323" t="s">
        <v>163</v>
      </c>
      <c r="E1323" t="s">
        <v>164</v>
      </c>
      <c r="F1323" t="s">
        <v>55</v>
      </c>
      <c r="G1323" t="s">
        <v>44</v>
      </c>
      <c r="H1323" t="s">
        <v>45</v>
      </c>
      <c r="I1323" t="s">
        <v>93</v>
      </c>
      <c r="J1323" t="s">
        <v>94</v>
      </c>
      <c r="K1323" t="s">
        <v>95</v>
      </c>
      <c r="L1323">
        <v>2</v>
      </c>
      <c r="M1323">
        <v>1800</v>
      </c>
      <c r="N1323">
        <v>5</v>
      </c>
      <c r="O1323">
        <v>3420</v>
      </c>
      <c r="P1323">
        <v>955.31</v>
      </c>
      <c r="Q1323" t="s">
        <v>39</v>
      </c>
      <c r="R1323" t="s">
        <v>56</v>
      </c>
      <c r="S1323" t="s">
        <v>110</v>
      </c>
      <c r="T1323">
        <f>YEAR(Table1_1[[#This Row],[order_date]])</f>
        <v>2024</v>
      </c>
      <c r="U1323">
        <f>MONTH(Table1_1[[#This Row],[order_date]])</f>
        <v>7</v>
      </c>
      <c r="V1323" t="str">
        <f>TEXT(Table1_1[[#This Row],[order_date]],"mmm")</f>
        <v>Jul</v>
      </c>
      <c r="W1323" t="str">
        <f>"Q"&amp;ROUNDUP(MONTH(Table1_1[[#This Row],[order_date]])/3,0)</f>
        <v>Q3</v>
      </c>
      <c r="X1323" t="str">
        <f>TEXT(Table1_1[[#This Row],[order_date]],"yyyy-mm")</f>
        <v>2024-07</v>
      </c>
      <c r="Y1323">
        <f>IF(Table1_1[[#This Row],[ship_date]]="","",Table1_1[[#This Row],[ship_date]]-Table1_1[[#This Row],[order_date]])</f>
        <v>5</v>
      </c>
      <c r="Z1323">
        <f>ROUND(Table1_1[[#This Row],[profit]]/Table1_1[[#This Row],[sales_fix]]*100,2)</f>
        <v>27.93</v>
      </c>
    </row>
    <row r="1324" spans="1:26" x14ac:dyDescent="0.3">
      <c r="A1324" t="s">
        <v>2743</v>
      </c>
      <c r="B1324" s="1">
        <v>45361</v>
      </c>
      <c r="C1324" s="1">
        <v>45367</v>
      </c>
      <c r="D1324" t="s">
        <v>735</v>
      </c>
      <c r="E1324" t="s">
        <v>736</v>
      </c>
      <c r="F1324" t="s">
        <v>23</v>
      </c>
      <c r="G1324" t="s">
        <v>44</v>
      </c>
      <c r="H1324" t="s">
        <v>24</v>
      </c>
      <c r="I1324" t="s">
        <v>79</v>
      </c>
      <c r="J1324" t="s">
        <v>80</v>
      </c>
      <c r="K1324" t="s">
        <v>65</v>
      </c>
      <c r="L1324">
        <v>4</v>
      </c>
      <c r="M1324">
        <v>3000</v>
      </c>
      <c r="N1324">
        <v>15</v>
      </c>
      <c r="O1324">
        <v>10200</v>
      </c>
      <c r="P1324">
        <v>3012.76</v>
      </c>
      <c r="Q1324" t="s">
        <v>74</v>
      </c>
      <c r="R1324" t="s">
        <v>49</v>
      </c>
      <c r="S1324" t="s">
        <v>50</v>
      </c>
      <c r="T1324">
        <f>YEAR(Table1_1[[#This Row],[order_date]])</f>
        <v>2024</v>
      </c>
      <c r="U1324">
        <f>MONTH(Table1_1[[#This Row],[order_date]])</f>
        <v>3</v>
      </c>
      <c r="V1324" t="str">
        <f>TEXT(Table1_1[[#This Row],[order_date]],"mmm")</f>
        <v>Mar</v>
      </c>
      <c r="W1324" t="str">
        <f>"Q"&amp;ROUNDUP(MONTH(Table1_1[[#This Row],[order_date]])/3,0)</f>
        <v>Q1</v>
      </c>
      <c r="X1324" t="str">
        <f>TEXT(Table1_1[[#This Row],[order_date]],"yyyy-mm")</f>
        <v>2024-03</v>
      </c>
      <c r="Y1324">
        <f>IF(Table1_1[[#This Row],[ship_date]]="","",Table1_1[[#This Row],[ship_date]]-Table1_1[[#This Row],[order_date]])</f>
        <v>6</v>
      </c>
      <c r="Z1324">
        <f>ROUND(Table1_1[[#This Row],[profit]]/Table1_1[[#This Row],[sales_fix]]*100,2)</f>
        <v>29.54</v>
      </c>
    </row>
    <row r="1325" spans="1:26" x14ac:dyDescent="0.3">
      <c r="A1325" t="s">
        <v>1257</v>
      </c>
      <c r="B1325" s="1">
        <v>45771</v>
      </c>
      <c r="C1325" s="1">
        <v>45776</v>
      </c>
      <c r="D1325" t="s">
        <v>129</v>
      </c>
      <c r="E1325" t="s">
        <v>130</v>
      </c>
      <c r="F1325" t="s">
        <v>34</v>
      </c>
      <c r="G1325" t="s">
        <v>61</v>
      </c>
      <c r="H1325" t="s">
        <v>78</v>
      </c>
      <c r="I1325" t="s">
        <v>37</v>
      </c>
      <c r="J1325" t="s">
        <v>38</v>
      </c>
      <c r="K1325" t="s">
        <v>27</v>
      </c>
      <c r="L1325">
        <v>1</v>
      </c>
      <c r="M1325">
        <v>9500</v>
      </c>
      <c r="N1325">
        <v>0</v>
      </c>
      <c r="O1325">
        <v>9500</v>
      </c>
      <c r="P1325">
        <v>1583.09</v>
      </c>
      <c r="Q1325" t="s">
        <v>74</v>
      </c>
      <c r="R1325" t="s">
        <v>56</v>
      </c>
      <c r="S1325" t="s">
        <v>86</v>
      </c>
      <c r="T1325">
        <f>YEAR(Table1_1[[#This Row],[order_date]])</f>
        <v>2025</v>
      </c>
      <c r="U1325">
        <f>MONTH(Table1_1[[#This Row],[order_date]])</f>
        <v>4</v>
      </c>
      <c r="V1325" t="str">
        <f>TEXT(Table1_1[[#This Row],[order_date]],"mmm")</f>
        <v>Apr</v>
      </c>
      <c r="W1325" t="str">
        <f>"Q"&amp;ROUNDUP(MONTH(Table1_1[[#This Row],[order_date]])/3,0)</f>
        <v>Q2</v>
      </c>
      <c r="X1325" t="str">
        <f>TEXT(Table1_1[[#This Row],[order_date]],"yyyy-mm")</f>
        <v>2025-04</v>
      </c>
      <c r="Y1325">
        <f>IF(Table1_1[[#This Row],[ship_date]]="","",Table1_1[[#This Row],[ship_date]]-Table1_1[[#This Row],[order_date]])</f>
        <v>5</v>
      </c>
      <c r="Z1325">
        <f>ROUND(Table1_1[[#This Row],[profit]]/Table1_1[[#This Row],[sales_fix]]*100,2)</f>
        <v>16.66</v>
      </c>
    </row>
    <row r="1326" spans="1:26" x14ac:dyDescent="0.3">
      <c r="A1326" t="s">
        <v>2327</v>
      </c>
      <c r="B1326" s="1">
        <v>45949</v>
      </c>
      <c r="C1326" s="1">
        <v>45950</v>
      </c>
      <c r="D1326" t="s">
        <v>378</v>
      </c>
      <c r="E1326" t="s">
        <v>379</v>
      </c>
      <c r="F1326" t="s">
        <v>34</v>
      </c>
      <c r="G1326" t="s">
        <v>44</v>
      </c>
      <c r="H1326" t="s">
        <v>24</v>
      </c>
      <c r="I1326" t="s">
        <v>63</v>
      </c>
      <c r="J1326" t="s">
        <v>64</v>
      </c>
      <c r="K1326" t="s">
        <v>65</v>
      </c>
      <c r="L1326">
        <v>1</v>
      </c>
      <c r="M1326">
        <v>25000</v>
      </c>
      <c r="N1326">
        <v>5</v>
      </c>
      <c r="O1326">
        <v>23750</v>
      </c>
      <c r="P1326">
        <v>3631.04</v>
      </c>
      <c r="Q1326" t="s">
        <v>39</v>
      </c>
      <c r="R1326" t="s">
        <v>49</v>
      </c>
      <c r="S1326" t="s">
        <v>86</v>
      </c>
      <c r="T1326">
        <f>YEAR(Table1_1[[#This Row],[order_date]])</f>
        <v>2025</v>
      </c>
      <c r="U1326">
        <f>MONTH(Table1_1[[#This Row],[order_date]])</f>
        <v>10</v>
      </c>
      <c r="V1326" t="str">
        <f>TEXT(Table1_1[[#This Row],[order_date]],"mmm")</f>
        <v>Oct</v>
      </c>
      <c r="W1326" t="str">
        <f>"Q"&amp;ROUNDUP(MONTH(Table1_1[[#This Row],[order_date]])/3,0)</f>
        <v>Q4</v>
      </c>
      <c r="X1326" t="str">
        <f>TEXT(Table1_1[[#This Row],[order_date]],"yyyy-mm")</f>
        <v>2025-10</v>
      </c>
      <c r="Y1326">
        <f>IF(Table1_1[[#This Row],[ship_date]]="","",Table1_1[[#This Row],[ship_date]]-Table1_1[[#This Row],[order_date]])</f>
        <v>1</v>
      </c>
      <c r="Z1326">
        <f>ROUND(Table1_1[[#This Row],[profit]]/Table1_1[[#This Row],[sales_fix]]*100,2)</f>
        <v>15.29</v>
      </c>
    </row>
    <row r="1327" spans="1:26" x14ac:dyDescent="0.3">
      <c r="A1327" t="s">
        <v>1350</v>
      </c>
      <c r="B1327" s="1">
        <v>45324</v>
      </c>
      <c r="C1327" s="1">
        <v>45332</v>
      </c>
      <c r="D1327" t="s">
        <v>340</v>
      </c>
      <c r="E1327" t="s">
        <v>341</v>
      </c>
      <c r="F1327" t="s">
        <v>34</v>
      </c>
      <c r="G1327" t="s">
        <v>91</v>
      </c>
      <c r="H1327" t="s">
        <v>109</v>
      </c>
      <c r="I1327" t="s">
        <v>134</v>
      </c>
      <c r="J1327" t="s">
        <v>135</v>
      </c>
      <c r="K1327" t="s">
        <v>27</v>
      </c>
      <c r="L1327">
        <v>5</v>
      </c>
      <c r="M1327">
        <v>6000</v>
      </c>
      <c r="N1327">
        <v>20</v>
      </c>
      <c r="O1327">
        <v>24000</v>
      </c>
      <c r="P1327">
        <v>5871.23</v>
      </c>
      <c r="Q1327" t="s">
        <v>3113</v>
      </c>
      <c r="R1327" t="s">
        <v>56</v>
      </c>
      <c r="S1327" t="s">
        <v>110</v>
      </c>
      <c r="T1327">
        <f>YEAR(Table1_1[[#This Row],[order_date]])</f>
        <v>2024</v>
      </c>
      <c r="U1327">
        <f>MONTH(Table1_1[[#This Row],[order_date]])</f>
        <v>2</v>
      </c>
      <c r="V1327" t="str">
        <f>TEXT(Table1_1[[#This Row],[order_date]],"mmm")</f>
        <v>Feb</v>
      </c>
      <c r="W1327" t="str">
        <f>"Q"&amp;ROUNDUP(MONTH(Table1_1[[#This Row],[order_date]])/3,0)</f>
        <v>Q1</v>
      </c>
      <c r="X1327" t="str">
        <f>TEXT(Table1_1[[#This Row],[order_date]],"yyyy-mm")</f>
        <v>2024-02</v>
      </c>
      <c r="Y1327">
        <f>IF(Table1_1[[#This Row],[ship_date]]="","",Table1_1[[#This Row],[ship_date]]-Table1_1[[#This Row],[order_date]])</f>
        <v>8</v>
      </c>
      <c r="Z1327">
        <f>ROUND(Table1_1[[#This Row],[profit]]/Table1_1[[#This Row],[sales_fix]]*100,2)</f>
        <v>24.46</v>
      </c>
    </row>
    <row r="1328" spans="1:26" x14ac:dyDescent="0.3">
      <c r="A1328" t="s">
        <v>3063</v>
      </c>
      <c r="B1328" s="1">
        <v>45369</v>
      </c>
      <c r="C1328" s="1">
        <v>45372</v>
      </c>
      <c r="D1328" t="s">
        <v>196</v>
      </c>
      <c r="E1328" t="s">
        <v>197</v>
      </c>
      <c r="F1328" t="s">
        <v>34</v>
      </c>
      <c r="G1328" t="s">
        <v>91</v>
      </c>
      <c r="H1328" t="s">
        <v>120</v>
      </c>
      <c r="I1328" t="s">
        <v>71</v>
      </c>
      <c r="J1328" t="s">
        <v>72</v>
      </c>
      <c r="K1328" t="s">
        <v>73</v>
      </c>
      <c r="L1328">
        <v>2</v>
      </c>
      <c r="M1328">
        <v>3500</v>
      </c>
      <c r="N1328">
        <v>10</v>
      </c>
      <c r="O1328">
        <v>6300</v>
      </c>
      <c r="P1328">
        <v>2040.67</v>
      </c>
      <c r="Q1328" t="s">
        <v>39</v>
      </c>
      <c r="R1328" t="s">
        <v>29</v>
      </c>
      <c r="S1328" t="s">
        <v>40</v>
      </c>
      <c r="T1328">
        <f>YEAR(Table1_1[[#This Row],[order_date]])</f>
        <v>2024</v>
      </c>
      <c r="U1328">
        <f>MONTH(Table1_1[[#This Row],[order_date]])</f>
        <v>3</v>
      </c>
      <c r="V1328" t="str">
        <f>TEXT(Table1_1[[#This Row],[order_date]],"mmm")</f>
        <v>Mar</v>
      </c>
      <c r="W1328" t="str">
        <f>"Q"&amp;ROUNDUP(MONTH(Table1_1[[#This Row],[order_date]])/3,0)</f>
        <v>Q1</v>
      </c>
      <c r="X1328" t="str">
        <f>TEXT(Table1_1[[#This Row],[order_date]],"yyyy-mm")</f>
        <v>2024-03</v>
      </c>
      <c r="Y1328">
        <f>IF(Table1_1[[#This Row],[ship_date]]="","",Table1_1[[#This Row],[ship_date]]-Table1_1[[#This Row],[order_date]])</f>
        <v>3</v>
      </c>
      <c r="Z1328">
        <f>ROUND(Table1_1[[#This Row],[profit]]/Table1_1[[#This Row],[sales_fix]]*100,2)</f>
        <v>32.39</v>
      </c>
    </row>
    <row r="1329" spans="1:26" x14ac:dyDescent="0.3">
      <c r="A1329" t="s">
        <v>2896</v>
      </c>
      <c r="B1329" s="1">
        <v>45957</v>
      </c>
      <c r="C1329" s="1">
        <v>45962</v>
      </c>
      <c r="D1329" t="s">
        <v>779</v>
      </c>
      <c r="E1329" t="s">
        <v>780</v>
      </c>
      <c r="F1329" t="s">
        <v>23</v>
      </c>
      <c r="G1329" t="s">
        <v>35</v>
      </c>
      <c r="H1329" t="s">
        <v>258</v>
      </c>
      <c r="I1329" t="s">
        <v>93</v>
      </c>
      <c r="J1329" t="s">
        <v>94</v>
      </c>
      <c r="K1329" t="s">
        <v>95</v>
      </c>
      <c r="L1329">
        <v>3</v>
      </c>
      <c r="M1329">
        <v>1800</v>
      </c>
      <c r="N1329">
        <v>20</v>
      </c>
      <c r="O1329">
        <v>4320</v>
      </c>
      <c r="P1329">
        <v>1472.05</v>
      </c>
      <c r="Q1329" t="s">
        <v>28</v>
      </c>
      <c r="R1329" t="s">
        <v>49</v>
      </c>
      <c r="S1329" t="s">
        <v>50</v>
      </c>
      <c r="T1329">
        <f>YEAR(Table1_1[[#This Row],[order_date]])</f>
        <v>2025</v>
      </c>
      <c r="U1329">
        <f>MONTH(Table1_1[[#This Row],[order_date]])</f>
        <v>10</v>
      </c>
      <c r="V1329" t="str">
        <f>TEXT(Table1_1[[#This Row],[order_date]],"mmm")</f>
        <v>Oct</v>
      </c>
      <c r="W1329" t="str">
        <f>"Q"&amp;ROUNDUP(MONTH(Table1_1[[#This Row],[order_date]])/3,0)</f>
        <v>Q4</v>
      </c>
      <c r="X1329" t="str">
        <f>TEXT(Table1_1[[#This Row],[order_date]],"yyyy-mm")</f>
        <v>2025-10</v>
      </c>
      <c r="Y1329">
        <f>IF(Table1_1[[#This Row],[ship_date]]="","",Table1_1[[#This Row],[ship_date]]-Table1_1[[#This Row],[order_date]])</f>
        <v>5</v>
      </c>
      <c r="Z1329">
        <f>ROUND(Table1_1[[#This Row],[profit]]/Table1_1[[#This Row],[sales_fix]]*100,2)</f>
        <v>34.08</v>
      </c>
    </row>
    <row r="1330" spans="1:26" x14ac:dyDescent="0.3">
      <c r="A1330" t="s">
        <v>2664</v>
      </c>
      <c r="B1330" s="1">
        <v>45478</v>
      </c>
      <c r="C1330" s="1">
        <v>45485</v>
      </c>
      <c r="D1330" t="s">
        <v>1506</v>
      </c>
      <c r="E1330" t="s">
        <v>1507</v>
      </c>
      <c r="F1330" t="s">
        <v>55</v>
      </c>
      <c r="G1330" t="s">
        <v>61</v>
      </c>
      <c r="H1330" t="s">
        <v>78</v>
      </c>
      <c r="I1330" t="s">
        <v>63</v>
      </c>
      <c r="J1330" t="s">
        <v>64</v>
      </c>
      <c r="K1330" t="s">
        <v>65</v>
      </c>
      <c r="L1330">
        <v>2</v>
      </c>
      <c r="M1330">
        <v>25000</v>
      </c>
      <c r="N1330">
        <v>0</v>
      </c>
      <c r="O1330">
        <v>50000</v>
      </c>
      <c r="P1330">
        <v>6612.14</v>
      </c>
      <c r="Q1330" t="s">
        <v>66</v>
      </c>
      <c r="R1330" t="s">
        <v>49</v>
      </c>
      <c r="S1330" t="s">
        <v>40</v>
      </c>
      <c r="T1330">
        <f>YEAR(Table1_1[[#This Row],[order_date]])</f>
        <v>2024</v>
      </c>
      <c r="U1330">
        <f>MONTH(Table1_1[[#This Row],[order_date]])</f>
        <v>7</v>
      </c>
      <c r="V1330" t="str">
        <f>TEXT(Table1_1[[#This Row],[order_date]],"mmm")</f>
        <v>Jul</v>
      </c>
      <c r="W1330" t="str">
        <f>"Q"&amp;ROUNDUP(MONTH(Table1_1[[#This Row],[order_date]])/3,0)</f>
        <v>Q3</v>
      </c>
      <c r="X1330" t="str">
        <f>TEXT(Table1_1[[#This Row],[order_date]],"yyyy-mm")</f>
        <v>2024-07</v>
      </c>
      <c r="Y1330">
        <f>IF(Table1_1[[#This Row],[ship_date]]="","",Table1_1[[#This Row],[ship_date]]-Table1_1[[#This Row],[order_date]])</f>
        <v>7</v>
      </c>
      <c r="Z1330">
        <f>ROUND(Table1_1[[#This Row],[profit]]/Table1_1[[#This Row],[sales_fix]]*100,2)</f>
        <v>13.22</v>
      </c>
    </row>
    <row r="1331" spans="1:26" x14ac:dyDescent="0.3">
      <c r="A1331" t="s">
        <v>983</v>
      </c>
      <c r="B1331" s="1">
        <v>45930</v>
      </c>
      <c r="C1331" s="1">
        <v>45936</v>
      </c>
      <c r="D1331" t="s">
        <v>919</v>
      </c>
      <c r="E1331" t="s">
        <v>920</v>
      </c>
      <c r="F1331" t="s">
        <v>23</v>
      </c>
      <c r="G1331" t="s">
        <v>35</v>
      </c>
      <c r="H1331" t="s">
        <v>36</v>
      </c>
      <c r="I1331" t="s">
        <v>114</v>
      </c>
      <c r="J1331" t="s">
        <v>115</v>
      </c>
      <c r="K1331" t="s">
        <v>65</v>
      </c>
      <c r="L1331">
        <v>4</v>
      </c>
      <c r="M1331">
        <v>55000</v>
      </c>
      <c r="N1331">
        <v>0</v>
      </c>
      <c r="O1331">
        <v>220000</v>
      </c>
      <c r="P1331">
        <v>27855.24</v>
      </c>
      <c r="Q1331" t="s">
        <v>28</v>
      </c>
      <c r="R1331" t="s">
        <v>29</v>
      </c>
      <c r="S1331" t="s">
        <v>110</v>
      </c>
      <c r="T1331">
        <f>YEAR(Table1_1[[#This Row],[order_date]])</f>
        <v>2025</v>
      </c>
      <c r="U1331">
        <f>MONTH(Table1_1[[#This Row],[order_date]])</f>
        <v>9</v>
      </c>
      <c r="V1331" t="str">
        <f>TEXT(Table1_1[[#This Row],[order_date]],"mmm")</f>
        <v>Sep</v>
      </c>
      <c r="W1331" t="str">
        <f>"Q"&amp;ROUNDUP(MONTH(Table1_1[[#This Row],[order_date]])/3,0)</f>
        <v>Q3</v>
      </c>
      <c r="X1331" t="str">
        <f>TEXT(Table1_1[[#This Row],[order_date]],"yyyy-mm")</f>
        <v>2025-09</v>
      </c>
      <c r="Y1331">
        <f>IF(Table1_1[[#This Row],[ship_date]]="","",Table1_1[[#This Row],[ship_date]]-Table1_1[[#This Row],[order_date]])</f>
        <v>6</v>
      </c>
      <c r="Z1331">
        <f>ROUND(Table1_1[[#This Row],[profit]]/Table1_1[[#This Row],[sales_fix]]*100,2)</f>
        <v>12.66</v>
      </c>
    </row>
    <row r="1332" spans="1:26" x14ac:dyDescent="0.3">
      <c r="A1332" t="s">
        <v>1275</v>
      </c>
      <c r="B1332" s="1">
        <v>45982</v>
      </c>
      <c r="C1332" s="1">
        <v>45988</v>
      </c>
      <c r="D1332" t="s">
        <v>1202</v>
      </c>
      <c r="E1332" t="s">
        <v>1203</v>
      </c>
      <c r="F1332" t="s">
        <v>34</v>
      </c>
      <c r="G1332" t="s">
        <v>44</v>
      </c>
      <c r="H1332" t="s">
        <v>24</v>
      </c>
      <c r="I1332" t="s">
        <v>93</v>
      </c>
      <c r="J1332" t="s">
        <v>94</v>
      </c>
      <c r="K1332" t="s">
        <v>95</v>
      </c>
      <c r="L1332">
        <v>2</v>
      </c>
      <c r="M1332">
        <v>1800</v>
      </c>
      <c r="N1332">
        <v>15</v>
      </c>
      <c r="O1332">
        <v>3060</v>
      </c>
      <c r="P1332">
        <v>1034.76</v>
      </c>
      <c r="Q1332" t="s">
        <v>156</v>
      </c>
      <c r="R1332" t="s">
        <v>56</v>
      </c>
      <c r="S1332" t="s">
        <v>50</v>
      </c>
      <c r="T1332">
        <f>YEAR(Table1_1[[#This Row],[order_date]])</f>
        <v>2025</v>
      </c>
      <c r="U1332">
        <f>MONTH(Table1_1[[#This Row],[order_date]])</f>
        <v>11</v>
      </c>
      <c r="V1332" t="str">
        <f>TEXT(Table1_1[[#This Row],[order_date]],"mmm")</f>
        <v>Nov</v>
      </c>
      <c r="W1332" t="str">
        <f>"Q"&amp;ROUNDUP(MONTH(Table1_1[[#This Row],[order_date]])/3,0)</f>
        <v>Q4</v>
      </c>
      <c r="X1332" t="str">
        <f>TEXT(Table1_1[[#This Row],[order_date]],"yyyy-mm")</f>
        <v>2025-11</v>
      </c>
      <c r="Y1332">
        <f>IF(Table1_1[[#This Row],[ship_date]]="","",Table1_1[[#This Row],[ship_date]]-Table1_1[[#This Row],[order_date]])</f>
        <v>6</v>
      </c>
      <c r="Z1332">
        <f>ROUND(Table1_1[[#This Row],[profit]]/Table1_1[[#This Row],[sales_fix]]*100,2)</f>
        <v>33.82</v>
      </c>
    </row>
    <row r="1333" spans="1:26" x14ac:dyDescent="0.3">
      <c r="A1333" t="s">
        <v>2373</v>
      </c>
      <c r="B1333" s="1">
        <v>45503</v>
      </c>
      <c r="C1333" s="1">
        <v>45504</v>
      </c>
      <c r="D1333" t="s">
        <v>2374</v>
      </c>
      <c r="E1333" t="s">
        <v>2375</v>
      </c>
      <c r="F1333" t="s">
        <v>23</v>
      </c>
      <c r="G1333" t="s">
        <v>35</v>
      </c>
      <c r="H1333" t="s">
        <v>36</v>
      </c>
      <c r="I1333" t="s">
        <v>79</v>
      </c>
      <c r="J1333" t="s">
        <v>80</v>
      </c>
      <c r="K1333" t="s">
        <v>65</v>
      </c>
      <c r="L1333">
        <v>1</v>
      </c>
      <c r="M1333">
        <v>3000</v>
      </c>
      <c r="N1333">
        <v>0</v>
      </c>
      <c r="O1333">
        <v>3000</v>
      </c>
      <c r="P1333">
        <v>639.44000000000005</v>
      </c>
      <c r="Q1333" t="s">
        <v>121</v>
      </c>
      <c r="R1333" t="s">
        <v>56</v>
      </c>
      <c r="S1333" t="s">
        <v>110</v>
      </c>
      <c r="T1333">
        <f>YEAR(Table1_1[[#This Row],[order_date]])</f>
        <v>2024</v>
      </c>
      <c r="U1333">
        <f>MONTH(Table1_1[[#This Row],[order_date]])</f>
        <v>7</v>
      </c>
      <c r="V1333" t="str">
        <f>TEXT(Table1_1[[#This Row],[order_date]],"mmm")</f>
        <v>Jul</v>
      </c>
      <c r="W1333" t="str">
        <f>"Q"&amp;ROUNDUP(MONTH(Table1_1[[#This Row],[order_date]])/3,0)</f>
        <v>Q3</v>
      </c>
      <c r="X1333" t="str">
        <f>TEXT(Table1_1[[#This Row],[order_date]],"yyyy-mm")</f>
        <v>2024-07</v>
      </c>
      <c r="Y1333">
        <f>IF(Table1_1[[#This Row],[ship_date]]="","",Table1_1[[#This Row],[ship_date]]-Table1_1[[#This Row],[order_date]])</f>
        <v>1</v>
      </c>
      <c r="Z1333">
        <f>ROUND(Table1_1[[#This Row],[profit]]/Table1_1[[#This Row],[sales_fix]]*100,2)</f>
        <v>21.31</v>
      </c>
    </row>
    <row r="1334" spans="1:26" x14ac:dyDescent="0.3">
      <c r="A1334" t="s">
        <v>2672</v>
      </c>
      <c r="B1334" s="1">
        <v>45614</v>
      </c>
      <c r="C1334" s="1">
        <v>45621</v>
      </c>
      <c r="D1334" t="s">
        <v>1048</v>
      </c>
      <c r="E1334" t="s">
        <v>1049</v>
      </c>
      <c r="F1334" t="s">
        <v>34</v>
      </c>
      <c r="G1334" t="s">
        <v>61</v>
      </c>
      <c r="H1334" t="s">
        <v>125</v>
      </c>
      <c r="I1334" t="s">
        <v>37</v>
      </c>
      <c r="J1334" t="s">
        <v>38</v>
      </c>
      <c r="K1334" t="s">
        <v>27</v>
      </c>
      <c r="L1334">
        <v>3</v>
      </c>
      <c r="M1334">
        <v>9500</v>
      </c>
      <c r="N1334">
        <v>0</v>
      </c>
      <c r="O1334">
        <v>28500</v>
      </c>
      <c r="P1334">
        <v>4680.68</v>
      </c>
      <c r="Q1334" t="s">
        <v>74</v>
      </c>
      <c r="R1334" t="s">
        <v>29</v>
      </c>
      <c r="S1334" t="s">
        <v>50</v>
      </c>
      <c r="T1334">
        <f>YEAR(Table1_1[[#This Row],[order_date]])</f>
        <v>2024</v>
      </c>
      <c r="U1334">
        <f>MONTH(Table1_1[[#This Row],[order_date]])</f>
        <v>11</v>
      </c>
      <c r="V1334" t="str">
        <f>TEXT(Table1_1[[#This Row],[order_date]],"mmm")</f>
        <v>Nov</v>
      </c>
      <c r="W1334" t="str">
        <f>"Q"&amp;ROUNDUP(MONTH(Table1_1[[#This Row],[order_date]])/3,0)</f>
        <v>Q4</v>
      </c>
      <c r="X1334" t="str">
        <f>TEXT(Table1_1[[#This Row],[order_date]],"yyyy-mm")</f>
        <v>2024-11</v>
      </c>
      <c r="Y1334">
        <f>IF(Table1_1[[#This Row],[ship_date]]="","",Table1_1[[#This Row],[ship_date]]-Table1_1[[#This Row],[order_date]])</f>
        <v>7</v>
      </c>
      <c r="Z1334">
        <f>ROUND(Table1_1[[#This Row],[profit]]/Table1_1[[#This Row],[sales_fix]]*100,2)</f>
        <v>16.420000000000002</v>
      </c>
    </row>
    <row r="1335" spans="1:26" x14ac:dyDescent="0.3">
      <c r="A1335" t="s">
        <v>2792</v>
      </c>
      <c r="B1335" s="1">
        <v>45432</v>
      </c>
      <c r="C1335" s="1">
        <v>45439</v>
      </c>
      <c r="D1335" t="s">
        <v>1464</v>
      </c>
      <c r="E1335" t="s">
        <v>1465</v>
      </c>
      <c r="F1335" t="s">
        <v>23</v>
      </c>
      <c r="G1335" t="s">
        <v>91</v>
      </c>
      <c r="H1335" t="s">
        <v>109</v>
      </c>
      <c r="I1335" t="s">
        <v>114</v>
      </c>
      <c r="J1335" t="s">
        <v>115</v>
      </c>
      <c r="K1335" t="s">
        <v>65</v>
      </c>
      <c r="L1335">
        <v>4</v>
      </c>
      <c r="M1335">
        <v>55000</v>
      </c>
      <c r="N1335">
        <v>5</v>
      </c>
      <c r="O1335">
        <v>209000</v>
      </c>
      <c r="P1335">
        <v>28186.560000000001</v>
      </c>
      <c r="Q1335" t="s">
        <v>66</v>
      </c>
      <c r="R1335" t="s">
        <v>49</v>
      </c>
      <c r="S1335" t="s">
        <v>50</v>
      </c>
      <c r="T1335">
        <f>YEAR(Table1_1[[#This Row],[order_date]])</f>
        <v>2024</v>
      </c>
      <c r="U1335">
        <f>MONTH(Table1_1[[#This Row],[order_date]])</f>
        <v>5</v>
      </c>
      <c r="V1335" t="str">
        <f>TEXT(Table1_1[[#This Row],[order_date]],"mmm")</f>
        <v>May</v>
      </c>
      <c r="W1335" t="str">
        <f>"Q"&amp;ROUNDUP(MONTH(Table1_1[[#This Row],[order_date]])/3,0)</f>
        <v>Q2</v>
      </c>
      <c r="X1335" t="str">
        <f>TEXT(Table1_1[[#This Row],[order_date]],"yyyy-mm")</f>
        <v>2024-05</v>
      </c>
      <c r="Y1335">
        <f>IF(Table1_1[[#This Row],[ship_date]]="","",Table1_1[[#This Row],[ship_date]]-Table1_1[[#This Row],[order_date]])</f>
        <v>7</v>
      </c>
      <c r="Z1335">
        <f>ROUND(Table1_1[[#This Row],[profit]]/Table1_1[[#This Row],[sales_fix]]*100,2)</f>
        <v>13.49</v>
      </c>
    </row>
    <row r="1336" spans="1:26" x14ac:dyDescent="0.3">
      <c r="A1336" t="s">
        <v>2888</v>
      </c>
      <c r="B1336" s="1">
        <v>45749</v>
      </c>
      <c r="C1336" s="1">
        <v>45756</v>
      </c>
      <c r="D1336" t="s">
        <v>1067</v>
      </c>
      <c r="E1336" t="s">
        <v>1068</v>
      </c>
      <c r="F1336" t="s">
        <v>23</v>
      </c>
      <c r="G1336" t="s">
        <v>35</v>
      </c>
      <c r="H1336" t="s">
        <v>85</v>
      </c>
      <c r="I1336" t="s">
        <v>114</v>
      </c>
      <c r="J1336" t="s">
        <v>115</v>
      </c>
      <c r="K1336" t="s">
        <v>65</v>
      </c>
      <c r="L1336">
        <v>2</v>
      </c>
      <c r="M1336">
        <v>55000</v>
      </c>
      <c r="N1336">
        <v>0</v>
      </c>
      <c r="O1336">
        <v>110000</v>
      </c>
      <c r="P1336">
        <v>15488.61</v>
      </c>
      <c r="Q1336" t="s">
        <v>39</v>
      </c>
      <c r="R1336" t="s">
        <v>29</v>
      </c>
      <c r="S1336" t="s">
        <v>86</v>
      </c>
      <c r="T1336">
        <f>YEAR(Table1_1[[#This Row],[order_date]])</f>
        <v>2025</v>
      </c>
      <c r="U1336">
        <f>MONTH(Table1_1[[#This Row],[order_date]])</f>
        <v>4</v>
      </c>
      <c r="V1336" t="str">
        <f>TEXT(Table1_1[[#This Row],[order_date]],"mmm")</f>
        <v>Apr</v>
      </c>
      <c r="W1336" t="str">
        <f>"Q"&amp;ROUNDUP(MONTH(Table1_1[[#This Row],[order_date]])/3,0)</f>
        <v>Q2</v>
      </c>
      <c r="X1336" t="str">
        <f>TEXT(Table1_1[[#This Row],[order_date]],"yyyy-mm")</f>
        <v>2025-04</v>
      </c>
      <c r="Y1336">
        <f>IF(Table1_1[[#This Row],[ship_date]]="","",Table1_1[[#This Row],[ship_date]]-Table1_1[[#This Row],[order_date]])</f>
        <v>7</v>
      </c>
      <c r="Z1336">
        <f>ROUND(Table1_1[[#This Row],[profit]]/Table1_1[[#This Row],[sales_fix]]*100,2)</f>
        <v>14.08</v>
      </c>
    </row>
    <row r="1337" spans="1:26" x14ac:dyDescent="0.3">
      <c r="A1337" t="s">
        <v>1612</v>
      </c>
      <c r="B1337" s="1">
        <v>45884</v>
      </c>
      <c r="C1337" s="1">
        <v>45888</v>
      </c>
      <c r="D1337" t="s">
        <v>288</v>
      </c>
      <c r="E1337" t="s">
        <v>289</v>
      </c>
      <c r="F1337" t="s">
        <v>34</v>
      </c>
      <c r="G1337" t="s">
        <v>44</v>
      </c>
      <c r="H1337" t="s">
        <v>155</v>
      </c>
      <c r="I1337" t="s">
        <v>46</v>
      </c>
      <c r="J1337" t="s">
        <v>47</v>
      </c>
      <c r="K1337" t="s">
        <v>48</v>
      </c>
      <c r="L1337">
        <v>3</v>
      </c>
      <c r="M1337">
        <v>180</v>
      </c>
      <c r="N1337">
        <v>0</v>
      </c>
      <c r="O1337">
        <v>540</v>
      </c>
      <c r="P1337">
        <v>185.93</v>
      </c>
      <c r="Q1337" t="s">
        <v>66</v>
      </c>
      <c r="R1337" t="s">
        <v>49</v>
      </c>
      <c r="S1337" t="s">
        <v>40</v>
      </c>
      <c r="T1337">
        <f>YEAR(Table1_1[[#This Row],[order_date]])</f>
        <v>2025</v>
      </c>
      <c r="U1337">
        <f>MONTH(Table1_1[[#This Row],[order_date]])</f>
        <v>8</v>
      </c>
      <c r="V1337" t="str">
        <f>TEXT(Table1_1[[#This Row],[order_date]],"mmm")</f>
        <v>Aug</v>
      </c>
      <c r="W1337" t="str">
        <f>"Q"&amp;ROUNDUP(MONTH(Table1_1[[#This Row],[order_date]])/3,0)</f>
        <v>Q3</v>
      </c>
      <c r="X1337" t="str">
        <f>TEXT(Table1_1[[#This Row],[order_date]],"yyyy-mm")</f>
        <v>2025-08</v>
      </c>
      <c r="Y1337">
        <f>IF(Table1_1[[#This Row],[ship_date]]="","",Table1_1[[#This Row],[ship_date]]-Table1_1[[#This Row],[order_date]])</f>
        <v>4</v>
      </c>
      <c r="Z1337">
        <f>ROUND(Table1_1[[#This Row],[profit]]/Table1_1[[#This Row],[sales_fix]]*100,2)</f>
        <v>34.43</v>
      </c>
    </row>
    <row r="1338" spans="1:26" x14ac:dyDescent="0.3">
      <c r="A1338" t="s">
        <v>1840</v>
      </c>
      <c r="B1338" s="1">
        <v>45616</v>
      </c>
      <c r="C1338" s="1">
        <v>45622</v>
      </c>
      <c r="D1338" t="s">
        <v>517</v>
      </c>
      <c r="E1338" t="s">
        <v>518</v>
      </c>
      <c r="F1338" t="s">
        <v>34</v>
      </c>
      <c r="G1338" t="s">
        <v>61</v>
      </c>
      <c r="H1338" t="s">
        <v>125</v>
      </c>
      <c r="I1338" t="s">
        <v>71</v>
      </c>
      <c r="J1338" t="s">
        <v>72</v>
      </c>
      <c r="K1338" t="s">
        <v>73</v>
      </c>
      <c r="L1338">
        <v>1</v>
      </c>
      <c r="M1338">
        <v>3500</v>
      </c>
      <c r="N1338">
        <v>0</v>
      </c>
      <c r="O1338">
        <v>3500</v>
      </c>
      <c r="P1338">
        <v>1120</v>
      </c>
      <c r="Q1338" t="s">
        <v>28</v>
      </c>
      <c r="R1338" t="s">
        <v>49</v>
      </c>
      <c r="S1338" t="s">
        <v>40</v>
      </c>
      <c r="T1338">
        <f>YEAR(Table1_1[[#This Row],[order_date]])</f>
        <v>2024</v>
      </c>
      <c r="U1338">
        <f>MONTH(Table1_1[[#This Row],[order_date]])</f>
        <v>11</v>
      </c>
      <c r="V1338" t="str">
        <f>TEXT(Table1_1[[#This Row],[order_date]],"mmm")</f>
        <v>Nov</v>
      </c>
      <c r="W1338" t="str">
        <f>"Q"&amp;ROUNDUP(MONTH(Table1_1[[#This Row],[order_date]])/3,0)</f>
        <v>Q4</v>
      </c>
      <c r="X1338" t="str">
        <f>TEXT(Table1_1[[#This Row],[order_date]],"yyyy-mm")</f>
        <v>2024-11</v>
      </c>
      <c r="Y1338">
        <f>IF(Table1_1[[#This Row],[ship_date]]="","",Table1_1[[#This Row],[ship_date]]-Table1_1[[#This Row],[order_date]])</f>
        <v>6</v>
      </c>
      <c r="Z1338">
        <f>ROUND(Table1_1[[#This Row],[profit]]/Table1_1[[#This Row],[sales_fix]]*100,2)</f>
        <v>32</v>
      </c>
    </row>
    <row r="1339" spans="1:26" x14ac:dyDescent="0.3">
      <c r="A1339" t="s">
        <v>1120</v>
      </c>
      <c r="B1339" s="1">
        <v>45308</v>
      </c>
      <c r="C1339" s="1">
        <v>45310</v>
      </c>
      <c r="D1339" t="s">
        <v>639</v>
      </c>
      <c r="E1339" t="s">
        <v>640</v>
      </c>
      <c r="F1339" t="s">
        <v>55</v>
      </c>
      <c r="G1339" t="s">
        <v>35</v>
      </c>
      <c r="H1339" t="s">
        <v>36</v>
      </c>
      <c r="I1339" t="s">
        <v>147</v>
      </c>
      <c r="J1339" t="s">
        <v>148</v>
      </c>
      <c r="K1339" t="s">
        <v>48</v>
      </c>
      <c r="L1339">
        <v>1</v>
      </c>
      <c r="M1339">
        <v>250</v>
      </c>
      <c r="N1339">
        <v>20</v>
      </c>
      <c r="O1339">
        <v>200</v>
      </c>
      <c r="P1339">
        <v>69.44</v>
      </c>
      <c r="Q1339" t="s">
        <v>74</v>
      </c>
      <c r="R1339" t="s">
        <v>49</v>
      </c>
      <c r="S1339" t="s">
        <v>110</v>
      </c>
      <c r="T1339">
        <f>YEAR(Table1_1[[#This Row],[order_date]])</f>
        <v>2024</v>
      </c>
      <c r="U1339">
        <f>MONTH(Table1_1[[#This Row],[order_date]])</f>
        <v>1</v>
      </c>
      <c r="V1339" t="str">
        <f>TEXT(Table1_1[[#This Row],[order_date]],"mmm")</f>
        <v>Jan</v>
      </c>
      <c r="W1339" t="str">
        <f>"Q"&amp;ROUNDUP(MONTH(Table1_1[[#This Row],[order_date]])/3,0)</f>
        <v>Q1</v>
      </c>
      <c r="X1339" t="str">
        <f>TEXT(Table1_1[[#This Row],[order_date]],"yyyy-mm")</f>
        <v>2024-01</v>
      </c>
      <c r="Y1339">
        <f>IF(Table1_1[[#This Row],[ship_date]]="","",Table1_1[[#This Row],[ship_date]]-Table1_1[[#This Row],[order_date]])</f>
        <v>2</v>
      </c>
      <c r="Z1339">
        <f>ROUND(Table1_1[[#This Row],[profit]]/Table1_1[[#This Row],[sales_fix]]*100,2)</f>
        <v>34.72</v>
      </c>
    </row>
    <row r="1340" spans="1:26" x14ac:dyDescent="0.3">
      <c r="A1340" t="s">
        <v>1290</v>
      </c>
      <c r="B1340" s="1">
        <v>45959</v>
      </c>
      <c r="C1340" s="1">
        <v>45966</v>
      </c>
      <c r="D1340" t="s">
        <v>138</v>
      </c>
      <c r="E1340" t="s">
        <v>139</v>
      </c>
      <c r="F1340" t="s">
        <v>55</v>
      </c>
      <c r="G1340" t="s">
        <v>35</v>
      </c>
      <c r="H1340" t="s">
        <v>36</v>
      </c>
      <c r="I1340" t="s">
        <v>134</v>
      </c>
      <c r="J1340" t="s">
        <v>135</v>
      </c>
      <c r="K1340" t="s">
        <v>27</v>
      </c>
      <c r="L1340">
        <v>10</v>
      </c>
      <c r="M1340">
        <v>6000</v>
      </c>
      <c r="N1340">
        <v>0</v>
      </c>
      <c r="O1340">
        <v>60000</v>
      </c>
      <c r="P1340">
        <v>13826.49</v>
      </c>
      <c r="Q1340" t="s">
        <v>28</v>
      </c>
      <c r="R1340" t="s">
        <v>29</v>
      </c>
      <c r="S1340" t="s">
        <v>110</v>
      </c>
      <c r="T1340">
        <f>YEAR(Table1_1[[#This Row],[order_date]])</f>
        <v>2025</v>
      </c>
      <c r="U1340">
        <f>MONTH(Table1_1[[#This Row],[order_date]])</f>
        <v>10</v>
      </c>
      <c r="V1340" t="str">
        <f>TEXT(Table1_1[[#This Row],[order_date]],"mmm")</f>
        <v>Oct</v>
      </c>
      <c r="W1340" t="str">
        <f>"Q"&amp;ROUNDUP(MONTH(Table1_1[[#This Row],[order_date]])/3,0)</f>
        <v>Q4</v>
      </c>
      <c r="X1340" t="str">
        <f>TEXT(Table1_1[[#This Row],[order_date]],"yyyy-mm")</f>
        <v>2025-10</v>
      </c>
      <c r="Y1340">
        <f>IF(Table1_1[[#This Row],[ship_date]]="","",Table1_1[[#This Row],[ship_date]]-Table1_1[[#This Row],[order_date]])</f>
        <v>7</v>
      </c>
      <c r="Z1340">
        <f>ROUND(Table1_1[[#This Row],[profit]]/Table1_1[[#This Row],[sales_fix]]*100,2)</f>
        <v>23.04</v>
      </c>
    </row>
    <row r="1341" spans="1:26" x14ac:dyDescent="0.3">
      <c r="A1341" t="s">
        <v>2042</v>
      </c>
      <c r="B1341" s="1">
        <v>45436</v>
      </c>
      <c r="C1341" s="1">
        <v>45439</v>
      </c>
      <c r="D1341" t="s">
        <v>2043</v>
      </c>
      <c r="E1341" t="s">
        <v>2044</v>
      </c>
      <c r="F1341" t="s">
        <v>55</v>
      </c>
      <c r="G1341" t="s">
        <v>61</v>
      </c>
      <c r="H1341" t="s">
        <v>125</v>
      </c>
      <c r="I1341" t="s">
        <v>114</v>
      </c>
      <c r="J1341" t="s">
        <v>115</v>
      </c>
      <c r="K1341" t="s">
        <v>65</v>
      </c>
      <c r="L1341">
        <v>4</v>
      </c>
      <c r="M1341">
        <v>55000</v>
      </c>
      <c r="N1341">
        <v>0</v>
      </c>
      <c r="O1341">
        <v>220000</v>
      </c>
      <c r="P1341">
        <v>36662.94</v>
      </c>
      <c r="Q1341" t="s">
        <v>39</v>
      </c>
      <c r="R1341" t="s">
        <v>29</v>
      </c>
      <c r="S1341" t="s">
        <v>50</v>
      </c>
      <c r="T1341">
        <f>YEAR(Table1_1[[#This Row],[order_date]])</f>
        <v>2024</v>
      </c>
      <c r="U1341">
        <f>MONTH(Table1_1[[#This Row],[order_date]])</f>
        <v>5</v>
      </c>
      <c r="V1341" t="str">
        <f>TEXT(Table1_1[[#This Row],[order_date]],"mmm")</f>
        <v>May</v>
      </c>
      <c r="W1341" t="str">
        <f>"Q"&amp;ROUNDUP(MONTH(Table1_1[[#This Row],[order_date]])/3,0)</f>
        <v>Q2</v>
      </c>
      <c r="X1341" t="str">
        <f>TEXT(Table1_1[[#This Row],[order_date]],"yyyy-mm")</f>
        <v>2024-05</v>
      </c>
      <c r="Y1341">
        <f>IF(Table1_1[[#This Row],[ship_date]]="","",Table1_1[[#This Row],[ship_date]]-Table1_1[[#This Row],[order_date]])</f>
        <v>3</v>
      </c>
      <c r="Z1341">
        <f>ROUND(Table1_1[[#This Row],[profit]]/Table1_1[[#This Row],[sales_fix]]*100,2)</f>
        <v>16.66</v>
      </c>
    </row>
    <row r="1342" spans="1:26" x14ac:dyDescent="0.3">
      <c r="A1342" t="s">
        <v>3021</v>
      </c>
      <c r="B1342" s="1">
        <v>45354</v>
      </c>
      <c r="C1342" s="1">
        <v>45359</v>
      </c>
      <c r="D1342" t="s">
        <v>311</v>
      </c>
      <c r="E1342" t="s">
        <v>312</v>
      </c>
      <c r="F1342" t="s">
        <v>34</v>
      </c>
      <c r="G1342" t="s">
        <v>61</v>
      </c>
      <c r="H1342" t="s">
        <v>78</v>
      </c>
      <c r="I1342" t="s">
        <v>114</v>
      </c>
      <c r="J1342" t="s">
        <v>115</v>
      </c>
      <c r="K1342" t="s">
        <v>65</v>
      </c>
      <c r="L1342">
        <v>2</v>
      </c>
      <c r="M1342">
        <v>55000</v>
      </c>
      <c r="N1342">
        <v>0</v>
      </c>
      <c r="O1342">
        <v>110000</v>
      </c>
      <c r="P1342">
        <v>20721.45</v>
      </c>
      <c r="Q1342" t="s">
        <v>74</v>
      </c>
      <c r="R1342" t="s">
        <v>56</v>
      </c>
      <c r="S1342" t="s">
        <v>30</v>
      </c>
      <c r="T1342">
        <f>YEAR(Table1_1[[#This Row],[order_date]])</f>
        <v>2024</v>
      </c>
      <c r="U1342">
        <f>MONTH(Table1_1[[#This Row],[order_date]])</f>
        <v>3</v>
      </c>
      <c r="V1342" t="str">
        <f>TEXT(Table1_1[[#This Row],[order_date]],"mmm")</f>
        <v>Mar</v>
      </c>
      <c r="W1342" t="str">
        <f>"Q"&amp;ROUNDUP(MONTH(Table1_1[[#This Row],[order_date]])/3,0)</f>
        <v>Q1</v>
      </c>
      <c r="X1342" t="str">
        <f>TEXT(Table1_1[[#This Row],[order_date]],"yyyy-mm")</f>
        <v>2024-03</v>
      </c>
      <c r="Y1342">
        <f>IF(Table1_1[[#This Row],[ship_date]]="","",Table1_1[[#This Row],[ship_date]]-Table1_1[[#This Row],[order_date]])</f>
        <v>5</v>
      </c>
      <c r="Z1342">
        <f>ROUND(Table1_1[[#This Row],[profit]]/Table1_1[[#This Row],[sales_fix]]*100,2)</f>
        <v>18.84</v>
      </c>
    </row>
    <row r="1343" spans="1:26" x14ac:dyDescent="0.3">
      <c r="A1343" t="s">
        <v>2707</v>
      </c>
      <c r="B1343" s="1">
        <v>45468</v>
      </c>
      <c r="C1343" s="1">
        <v>45471</v>
      </c>
      <c r="D1343" t="s">
        <v>670</v>
      </c>
      <c r="E1343" t="s">
        <v>1308</v>
      </c>
      <c r="F1343" t="s">
        <v>23</v>
      </c>
      <c r="G1343" t="s">
        <v>91</v>
      </c>
      <c r="H1343" t="s">
        <v>177</v>
      </c>
      <c r="I1343" t="s">
        <v>134</v>
      </c>
      <c r="J1343" t="s">
        <v>135</v>
      </c>
      <c r="K1343" t="s">
        <v>27</v>
      </c>
      <c r="L1343">
        <v>1</v>
      </c>
      <c r="M1343">
        <v>6000</v>
      </c>
      <c r="N1343">
        <v>10</v>
      </c>
      <c r="O1343">
        <v>5400</v>
      </c>
      <c r="P1343">
        <v>1407.61</v>
      </c>
      <c r="Q1343" t="s">
        <v>74</v>
      </c>
      <c r="R1343" t="s">
        <v>29</v>
      </c>
      <c r="S1343" t="s">
        <v>50</v>
      </c>
      <c r="T1343">
        <f>YEAR(Table1_1[[#This Row],[order_date]])</f>
        <v>2024</v>
      </c>
      <c r="U1343">
        <f>MONTH(Table1_1[[#This Row],[order_date]])</f>
        <v>6</v>
      </c>
      <c r="V1343" t="str">
        <f>TEXT(Table1_1[[#This Row],[order_date]],"mmm")</f>
        <v>Jun</v>
      </c>
      <c r="W1343" t="str">
        <f>"Q"&amp;ROUNDUP(MONTH(Table1_1[[#This Row],[order_date]])/3,0)</f>
        <v>Q2</v>
      </c>
      <c r="X1343" t="str">
        <f>TEXT(Table1_1[[#This Row],[order_date]],"yyyy-mm")</f>
        <v>2024-06</v>
      </c>
      <c r="Y1343">
        <f>IF(Table1_1[[#This Row],[ship_date]]="","",Table1_1[[#This Row],[ship_date]]-Table1_1[[#This Row],[order_date]])</f>
        <v>3</v>
      </c>
      <c r="Z1343">
        <f>ROUND(Table1_1[[#This Row],[profit]]/Table1_1[[#This Row],[sales_fix]]*100,2)</f>
        <v>26.07</v>
      </c>
    </row>
    <row r="1344" spans="1:26" x14ac:dyDescent="0.3">
      <c r="A1344" t="s">
        <v>2731</v>
      </c>
      <c r="B1344" s="1">
        <v>45500</v>
      </c>
      <c r="C1344" s="1">
        <v>45505</v>
      </c>
      <c r="D1344" t="s">
        <v>388</v>
      </c>
      <c r="E1344" t="s">
        <v>389</v>
      </c>
      <c r="F1344" t="s">
        <v>23</v>
      </c>
      <c r="G1344" t="s">
        <v>44</v>
      </c>
      <c r="H1344" t="s">
        <v>161</v>
      </c>
      <c r="I1344" t="s">
        <v>147</v>
      </c>
      <c r="J1344" t="s">
        <v>148</v>
      </c>
      <c r="K1344" t="s">
        <v>48</v>
      </c>
      <c r="L1344">
        <v>1</v>
      </c>
      <c r="M1344">
        <v>250</v>
      </c>
      <c r="N1344">
        <v>15</v>
      </c>
      <c r="O1344">
        <v>212.5</v>
      </c>
      <c r="P1344">
        <v>72.19</v>
      </c>
      <c r="Q1344" t="s">
        <v>39</v>
      </c>
      <c r="R1344" t="s">
        <v>49</v>
      </c>
      <c r="S1344" t="s">
        <v>86</v>
      </c>
      <c r="T1344">
        <f>YEAR(Table1_1[[#This Row],[order_date]])</f>
        <v>2024</v>
      </c>
      <c r="U1344">
        <f>MONTH(Table1_1[[#This Row],[order_date]])</f>
        <v>7</v>
      </c>
      <c r="V1344" t="str">
        <f>TEXT(Table1_1[[#This Row],[order_date]],"mmm")</f>
        <v>Jul</v>
      </c>
      <c r="W1344" t="str">
        <f>"Q"&amp;ROUNDUP(MONTH(Table1_1[[#This Row],[order_date]])/3,0)</f>
        <v>Q3</v>
      </c>
      <c r="X1344" t="str">
        <f>TEXT(Table1_1[[#This Row],[order_date]],"yyyy-mm")</f>
        <v>2024-07</v>
      </c>
      <c r="Y1344">
        <f>IF(Table1_1[[#This Row],[ship_date]]="","",Table1_1[[#This Row],[ship_date]]-Table1_1[[#This Row],[order_date]])</f>
        <v>5</v>
      </c>
      <c r="Z1344">
        <f>ROUND(Table1_1[[#This Row],[profit]]/Table1_1[[#This Row],[sales_fix]]*100,2)</f>
        <v>33.97</v>
      </c>
    </row>
    <row r="1345" spans="1:26" x14ac:dyDescent="0.3">
      <c r="A1345" t="s">
        <v>1947</v>
      </c>
      <c r="B1345" s="1">
        <v>45321</v>
      </c>
      <c r="C1345" s="1">
        <v>45324</v>
      </c>
      <c r="D1345" t="s">
        <v>740</v>
      </c>
      <c r="E1345" t="s">
        <v>741</v>
      </c>
      <c r="F1345" t="s">
        <v>55</v>
      </c>
      <c r="G1345" t="s">
        <v>35</v>
      </c>
      <c r="H1345" t="s">
        <v>85</v>
      </c>
      <c r="I1345" t="s">
        <v>37</v>
      </c>
      <c r="J1345" t="s">
        <v>38</v>
      </c>
      <c r="K1345" t="s">
        <v>27</v>
      </c>
      <c r="L1345">
        <v>4</v>
      </c>
      <c r="M1345">
        <v>9500</v>
      </c>
      <c r="N1345">
        <v>0</v>
      </c>
      <c r="O1345">
        <v>38000</v>
      </c>
      <c r="P1345">
        <v>7554.25</v>
      </c>
      <c r="Q1345" t="s">
        <v>28</v>
      </c>
      <c r="R1345" t="s">
        <v>29</v>
      </c>
      <c r="S1345" t="s">
        <v>40</v>
      </c>
      <c r="T1345">
        <f>YEAR(Table1_1[[#This Row],[order_date]])</f>
        <v>2024</v>
      </c>
      <c r="U1345">
        <f>MONTH(Table1_1[[#This Row],[order_date]])</f>
        <v>1</v>
      </c>
      <c r="V1345" t="str">
        <f>TEXT(Table1_1[[#This Row],[order_date]],"mmm")</f>
        <v>Jan</v>
      </c>
      <c r="W1345" t="str">
        <f>"Q"&amp;ROUNDUP(MONTH(Table1_1[[#This Row],[order_date]])/3,0)</f>
        <v>Q1</v>
      </c>
      <c r="X1345" t="str">
        <f>TEXT(Table1_1[[#This Row],[order_date]],"yyyy-mm")</f>
        <v>2024-01</v>
      </c>
      <c r="Y1345">
        <f>IF(Table1_1[[#This Row],[ship_date]]="","",Table1_1[[#This Row],[ship_date]]-Table1_1[[#This Row],[order_date]])</f>
        <v>3</v>
      </c>
      <c r="Z1345">
        <f>ROUND(Table1_1[[#This Row],[profit]]/Table1_1[[#This Row],[sales_fix]]*100,2)</f>
        <v>19.88</v>
      </c>
    </row>
    <row r="1346" spans="1:26" x14ac:dyDescent="0.3">
      <c r="A1346" t="s">
        <v>702</v>
      </c>
      <c r="B1346" s="1">
        <v>45829</v>
      </c>
      <c r="C1346" s="1">
        <v>45833</v>
      </c>
      <c r="D1346" t="s">
        <v>617</v>
      </c>
      <c r="E1346" t="s">
        <v>618</v>
      </c>
      <c r="F1346" t="s">
        <v>23</v>
      </c>
      <c r="G1346" t="s">
        <v>91</v>
      </c>
      <c r="H1346" t="s">
        <v>120</v>
      </c>
      <c r="I1346" t="s">
        <v>93</v>
      </c>
      <c r="J1346" t="s">
        <v>94</v>
      </c>
      <c r="K1346" t="s">
        <v>95</v>
      </c>
      <c r="L1346">
        <v>1</v>
      </c>
      <c r="M1346">
        <v>1800</v>
      </c>
      <c r="N1346">
        <v>0</v>
      </c>
      <c r="O1346">
        <v>1800</v>
      </c>
      <c r="P1346">
        <v>444.76</v>
      </c>
      <c r="Q1346" t="s">
        <v>66</v>
      </c>
      <c r="R1346" t="s">
        <v>49</v>
      </c>
      <c r="S1346" t="s">
        <v>86</v>
      </c>
      <c r="T1346">
        <f>YEAR(Table1_1[[#This Row],[order_date]])</f>
        <v>2025</v>
      </c>
      <c r="U1346">
        <f>MONTH(Table1_1[[#This Row],[order_date]])</f>
        <v>6</v>
      </c>
      <c r="V1346" t="str">
        <f>TEXT(Table1_1[[#This Row],[order_date]],"mmm")</f>
        <v>Jun</v>
      </c>
      <c r="W1346" t="str">
        <f>"Q"&amp;ROUNDUP(MONTH(Table1_1[[#This Row],[order_date]])/3,0)</f>
        <v>Q2</v>
      </c>
      <c r="X1346" t="str">
        <f>TEXT(Table1_1[[#This Row],[order_date]],"yyyy-mm")</f>
        <v>2025-06</v>
      </c>
      <c r="Y1346">
        <f>IF(Table1_1[[#This Row],[ship_date]]="","",Table1_1[[#This Row],[ship_date]]-Table1_1[[#This Row],[order_date]])</f>
        <v>4</v>
      </c>
      <c r="Z1346">
        <f>ROUND(Table1_1[[#This Row],[profit]]/Table1_1[[#This Row],[sales_fix]]*100,2)</f>
        <v>24.71</v>
      </c>
    </row>
    <row r="1347" spans="1:26" x14ac:dyDescent="0.3">
      <c r="A1347" t="s">
        <v>2665</v>
      </c>
      <c r="B1347" s="1">
        <v>45767</v>
      </c>
      <c r="C1347" s="1">
        <v>45775</v>
      </c>
      <c r="D1347" t="s">
        <v>639</v>
      </c>
      <c r="E1347" t="s">
        <v>640</v>
      </c>
      <c r="F1347" t="s">
        <v>55</v>
      </c>
      <c r="G1347" t="s">
        <v>35</v>
      </c>
      <c r="H1347" t="s">
        <v>36</v>
      </c>
      <c r="I1347" t="s">
        <v>147</v>
      </c>
      <c r="J1347" t="s">
        <v>148</v>
      </c>
      <c r="K1347" t="s">
        <v>48</v>
      </c>
      <c r="L1347">
        <v>10</v>
      </c>
      <c r="M1347">
        <v>250</v>
      </c>
      <c r="N1347">
        <v>20</v>
      </c>
      <c r="O1347">
        <v>2000</v>
      </c>
      <c r="P1347">
        <v>847.41</v>
      </c>
      <c r="Q1347" t="s">
        <v>121</v>
      </c>
      <c r="R1347" t="s">
        <v>56</v>
      </c>
      <c r="S1347" t="s">
        <v>86</v>
      </c>
      <c r="T1347">
        <f>YEAR(Table1_1[[#This Row],[order_date]])</f>
        <v>2025</v>
      </c>
      <c r="U1347">
        <f>MONTH(Table1_1[[#This Row],[order_date]])</f>
        <v>4</v>
      </c>
      <c r="V1347" t="str">
        <f>TEXT(Table1_1[[#This Row],[order_date]],"mmm")</f>
        <v>Apr</v>
      </c>
      <c r="W1347" t="str">
        <f>"Q"&amp;ROUNDUP(MONTH(Table1_1[[#This Row],[order_date]])/3,0)</f>
        <v>Q2</v>
      </c>
      <c r="X1347" t="str">
        <f>TEXT(Table1_1[[#This Row],[order_date]],"yyyy-mm")</f>
        <v>2025-04</v>
      </c>
      <c r="Y1347">
        <f>IF(Table1_1[[#This Row],[ship_date]]="","",Table1_1[[#This Row],[ship_date]]-Table1_1[[#This Row],[order_date]])</f>
        <v>8</v>
      </c>
      <c r="Z1347">
        <f>ROUND(Table1_1[[#This Row],[profit]]/Table1_1[[#This Row],[sales_fix]]*100,2)</f>
        <v>42.37</v>
      </c>
    </row>
    <row r="1348" spans="1:26" x14ac:dyDescent="0.3">
      <c r="A1348" t="s">
        <v>2377</v>
      </c>
      <c r="B1348" s="1">
        <v>45772</v>
      </c>
      <c r="C1348" s="1">
        <v>45778</v>
      </c>
      <c r="D1348" t="s">
        <v>830</v>
      </c>
      <c r="E1348" t="s">
        <v>831</v>
      </c>
      <c r="F1348" t="s">
        <v>23</v>
      </c>
      <c r="G1348" t="s">
        <v>61</v>
      </c>
      <c r="H1348" t="s">
        <v>125</v>
      </c>
      <c r="I1348" t="s">
        <v>147</v>
      </c>
      <c r="J1348" t="s">
        <v>148</v>
      </c>
      <c r="K1348" t="s">
        <v>48</v>
      </c>
      <c r="L1348">
        <v>4</v>
      </c>
      <c r="M1348">
        <v>250</v>
      </c>
      <c r="N1348">
        <v>0</v>
      </c>
      <c r="O1348">
        <v>1000</v>
      </c>
      <c r="P1348">
        <v>300.51</v>
      </c>
      <c r="Q1348" t="s">
        <v>39</v>
      </c>
      <c r="R1348" t="s">
        <v>56</v>
      </c>
      <c r="S1348" t="s">
        <v>57</v>
      </c>
      <c r="T1348">
        <f>YEAR(Table1_1[[#This Row],[order_date]])</f>
        <v>2025</v>
      </c>
      <c r="U1348">
        <f>MONTH(Table1_1[[#This Row],[order_date]])</f>
        <v>4</v>
      </c>
      <c r="V1348" t="str">
        <f>TEXT(Table1_1[[#This Row],[order_date]],"mmm")</f>
        <v>Apr</v>
      </c>
      <c r="W1348" t="str">
        <f>"Q"&amp;ROUNDUP(MONTH(Table1_1[[#This Row],[order_date]])/3,0)</f>
        <v>Q2</v>
      </c>
      <c r="X1348" t="str">
        <f>TEXT(Table1_1[[#This Row],[order_date]],"yyyy-mm")</f>
        <v>2025-04</v>
      </c>
      <c r="Y1348">
        <f>IF(Table1_1[[#This Row],[ship_date]]="","",Table1_1[[#This Row],[ship_date]]-Table1_1[[#This Row],[order_date]])</f>
        <v>6</v>
      </c>
      <c r="Z1348">
        <f>ROUND(Table1_1[[#This Row],[profit]]/Table1_1[[#This Row],[sales_fix]]*100,2)</f>
        <v>30.05</v>
      </c>
    </row>
    <row r="1349" spans="1:26" x14ac:dyDescent="0.3">
      <c r="A1349" t="s">
        <v>3042</v>
      </c>
      <c r="B1349" s="1">
        <v>45876</v>
      </c>
      <c r="C1349" s="1">
        <v>45879</v>
      </c>
      <c r="D1349" t="s">
        <v>527</v>
      </c>
      <c r="E1349" t="s">
        <v>528</v>
      </c>
      <c r="F1349" t="s">
        <v>23</v>
      </c>
      <c r="G1349" t="s">
        <v>44</v>
      </c>
      <c r="H1349" t="s">
        <v>161</v>
      </c>
      <c r="I1349" t="s">
        <v>147</v>
      </c>
      <c r="J1349" t="s">
        <v>148</v>
      </c>
      <c r="K1349" t="s">
        <v>48</v>
      </c>
      <c r="L1349">
        <v>1</v>
      </c>
      <c r="M1349">
        <v>250</v>
      </c>
      <c r="N1349">
        <v>0</v>
      </c>
      <c r="O1349">
        <v>250</v>
      </c>
      <c r="P1349">
        <v>90.59</v>
      </c>
      <c r="Q1349" t="s">
        <v>121</v>
      </c>
      <c r="R1349" t="s">
        <v>56</v>
      </c>
      <c r="S1349" t="s">
        <v>86</v>
      </c>
      <c r="T1349">
        <f>YEAR(Table1_1[[#This Row],[order_date]])</f>
        <v>2025</v>
      </c>
      <c r="U1349">
        <f>MONTH(Table1_1[[#This Row],[order_date]])</f>
        <v>8</v>
      </c>
      <c r="V1349" t="str">
        <f>TEXT(Table1_1[[#This Row],[order_date]],"mmm")</f>
        <v>Aug</v>
      </c>
      <c r="W1349" t="str">
        <f>"Q"&amp;ROUNDUP(MONTH(Table1_1[[#This Row],[order_date]])/3,0)</f>
        <v>Q3</v>
      </c>
      <c r="X1349" t="str">
        <f>TEXT(Table1_1[[#This Row],[order_date]],"yyyy-mm")</f>
        <v>2025-08</v>
      </c>
      <c r="Y1349">
        <f>IF(Table1_1[[#This Row],[ship_date]]="","",Table1_1[[#This Row],[ship_date]]-Table1_1[[#This Row],[order_date]])</f>
        <v>3</v>
      </c>
      <c r="Z1349">
        <f>ROUND(Table1_1[[#This Row],[profit]]/Table1_1[[#This Row],[sales_fix]]*100,2)</f>
        <v>36.24</v>
      </c>
    </row>
    <row r="1350" spans="1:26" x14ac:dyDescent="0.3">
      <c r="A1350" t="s">
        <v>889</v>
      </c>
      <c r="B1350" s="1">
        <v>45705</v>
      </c>
      <c r="C1350" s="1">
        <v>45709</v>
      </c>
      <c r="D1350" t="s">
        <v>890</v>
      </c>
      <c r="E1350" t="s">
        <v>891</v>
      </c>
      <c r="F1350" t="s">
        <v>34</v>
      </c>
      <c r="G1350" t="s">
        <v>35</v>
      </c>
      <c r="H1350" t="s">
        <v>36</v>
      </c>
      <c r="I1350" t="s">
        <v>71</v>
      </c>
      <c r="J1350" t="s">
        <v>72</v>
      </c>
      <c r="K1350" t="s">
        <v>73</v>
      </c>
      <c r="L1350">
        <v>1</v>
      </c>
      <c r="M1350">
        <v>3500</v>
      </c>
      <c r="N1350">
        <v>10</v>
      </c>
      <c r="O1350">
        <v>3150</v>
      </c>
      <c r="P1350">
        <v>748.03</v>
      </c>
      <c r="Q1350" t="s">
        <v>74</v>
      </c>
      <c r="R1350" t="s">
        <v>29</v>
      </c>
      <c r="S1350" t="s">
        <v>110</v>
      </c>
      <c r="T1350">
        <f>YEAR(Table1_1[[#This Row],[order_date]])</f>
        <v>2025</v>
      </c>
      <c r="U1350">
        <f>MONTH(Table1_1[[#This Row],[order_date]])</f>
        <v>2</v>
      </c>
      <c r="V1350" t="str">
        <f>TEXT(Table1_1[[#This Row],[order_date]],"mmm")</f>
        <v>Feb</v>
      </c>
      <c r="W1350" t="str">
        <f>"Q"&amp;ROUNDUP(MONTH(Table1_1[[#This Row],[order_date]])/3,0)</f>
        <v>Q1</v>
      </c>
      <c r="X1350" t="str">
        <f>TEXT(Table1_1[[#This Row],[order_date]],"yyyy-mm")</f>
        <v>2025-02</v>
      </c>
      <c r="Y1350">
        <f>IF(Table1_1[[#This Row],[ship_date]]="","",Table1_1[[#This Row],[ship_date]]-Table1_1[[#This Row],[order_date]])</f>
        <v>4</v>
      </c>
      <c r="Z1350">
        <f>ROUND(Table1_1[[#This Row],[profit]]/Table1_1[[#This Row],[sales_fix]]*100,2)</f>
        <v>23.75</v>
      </c>
    </row>
    <row r="1351" spans="1:26" x14ac:dyDescent="0.3">
      <c r="A1351" t="s">
        <v>1851</v>
      </c>
      <c r="B1351" s="1">
        <v>45765</v>
      </c>
      <c r="C1351" s="1">
        <v>45770</v>
      </c>
      <c r="D1351" t="s">
        <v>904</v>
      </c>
      <c r="E1351" t="s">
        <v>905</v>
      </c>
      <c r="F1351" t="s">
        <v>23</v>
      </c>
      <c r="G1351" t="s">
        <v>91</v>
      </c>
      <c r="H1351" t="s">
        <v>92</v>
      </c>
      <c r="I1351" t="s">
        <v>71</v>
      </c>
      <c r="J1351" t="s">
        <v>72</v>
      </c>
      <c r="K1351" t="s">
        <v>73</v>
      </c>
      <c r="L1351">
        <v>3</v>
      </c>
      <c r="M1351">
        <v>3500</v>
      </c>
      <c r="N1351">
        <v>10</v>
      </c>
      <c r="O1351">
        <v>9450</v>
      </c>
      <c r="P1351">
        <v>2742.05</v>
      </c>
      <c r="Q1351" t="s">
        <v>121</v>
      </c>
      <c r="R1351" t="s">
        <v>49</v>
      </c>
      <c r="S1351" t="s">
        <v>30</v>
      </c>
      <c r="T1351">
        <f>YEAR(Table1_1[[#This Row],[order_date]])</f>
        <v>2025</v>
      </c>
      <c r="U1351">
        <f>MONTH(Table1_1[[#This Row],[order_date]])</f>
        <v>4</v>
      </c>
      <c r="V1351" t="str">
        <f>TEXT(Table1_1[[#This Row],[order_date]],"mmm")</f>
        <v>Apr</v>
      </c>
      <c r="W1351" t="str">
        <f>"Q"&amp;ROUNDUP(MONTH(Table1_1[[#This Row],[order_date]])/3,0)</f>
        <v>Q2</v>
      </c>
      <c r="X1351" t="str">
        <f>TEXT(Table1_1[[#This Row],[order_date]],"yyyy-mm")</f>
        <v>2025-04</v>
      </c>
      <c r="Y1351">
        <f>IF(Table1_1[[#This Row],[ship_date]]="","",Table1_1[[#This Row],[ship_date]]-Table1_1[[#This Row],[order_date]])</f>
        <v>5</v>
      </c>
      <c r="Z1351">
        <f>ROUND(Table1_1[[#This Row],[profit]]/Table1_1[[#This Row],[sales_fix]]*100,2)</f>
        <v>29.02</v>
      </c>
    </row>
    <row r="1352" spans="1:26" x14ac:dyDescent="0.3">
      <c r="A1352" t="s">
        <v>2116</v>
      </c>
      <c r="B1352" s="1">
        <v>45440</v>
      </c>
      <c r="C1352" s="1">
        <v>45447</v>
      </c>
      <c r="D1352" t="s">
        <v>1028</v>
      </c>
      <c r="E1352" t="s">
        <v>1029</v>
      </c>
      <c r="F1352" t="s">
        <v>34</v>
      </c>
      <c r="G1352" t="s">
        <v>91</v>
      </c>
      <c r="H1352" t="s">
        <v>120</v>
      </c>
      <c r="I1352" t="s">
        <v>126</v>
      </c>
      <c r="J1352" t="s">
        <v>127</v>
      </c>
      <c r="K1352" t="s">
        <v>95</v>
      </c>
      <c r="L1352">
        <v>2</v>
      </c>
      <c r="M1352">
        <v>600</v>
      </c>
      <c r="N1352">
        <v>20</v>
      </c>
      <c r="O1352">
        <v>960</v>
      </c>
      <c r="P1352">
        <v>260.35000000000002</v>
      </c>
      <c r="Q1352" t="s">
        <v>156</v>
      </c>
      <c r="R1352" t="s">
        <v>29</v>
      </c>
      <c r="S1352" t="s">
        <v>50</v>
      </c>
      <c r="T1352">
        <f>YEAR(Table1_1[[#This Row],[order_date]])</f>
        <v>2024</v>
      </c>
      <c r="U1352">
        <f>MONTH(Table1_1[[#This Row],[order_date]])</f>
        <v>5</v>
      </c>
      <c r="V1352" t="str">
        <f>TEXT(Table1_1[[#This Row],[order_date]],"mmm")</f>
        <v>May</v>
      </c>
      <c r="W1352" t="str">
        <f>"Q"&amp;ROUNDUP(MONTH(Table1_1[[#This Row],[order_date]])/3,0)</f>
        <v>Q2</v>
      </c>
      <c r="X1352" t="str">
        <f>TEXT(Table1_1[[#This Row],[order_date]],"yyyy-mm")</f>
        <v>2024-05</v>
      </c>
      <c r="Y1352">
        <f>IF(Table1_1[[#This Row],[ship_date]]="","",Table1_1[[#This Row],[ship_date]]-Table1_1[[#This Row],[order_date]])</f>
        <v>7</v>
      </c>
      <c r="Z1352">
        <f>ROUND(Table1_1[[#This Row],[profit]]/Table1_1[[#This Row],[sales_fix]]*100,2)</f>
        <v>27.12</v>
      </c>
    </row>
    <row r="1353" spans="1:26" x14ac:dyDescent="0.3">
      <c r="A1353" t="s">
        <v>354</v>
      </c>
      <c r="B1353" s="1">
        <v>45438</v>
      </c>
      <c r="C1353" s="1">
        <v>45441</v>
      </c>
      <c r="D1353" t="s">
        <v>356</v>
      </c>
      <c r="E1353" t="s">
        <v>357</v>
      </c>
      <c r="F1353" t="s">
        <v>23</v>
      </c>
      <c r="G1353" t="s">
        <v>91</v>
      </c>
      <c r="H1353" t="s">
        <v>120</v>
      </c>
      <c r="I1353" t="s">
        <v>114</v>
      </c>
      <c r="J1353" t="s">
        <v>115</v>
      </c>
      <c r="K1353" t="s">
        <v>65</v>
      </c>
      <c r="L1353">
        <v>2</v>
      </c>
      <c r="M1353">
        <v>55000</v>
      </c>
      <c r="N1353">
        <v>20</v>
      </c>
      <c r="O1353">
        <v>88000</v>
      </c>
      <c r="P1353">
        <v>16123.68</v>
      </c>
      <c r="Q1353" t="s">
        <v>28</v>
      </c>
      <c r="R1353" t="s">
        <v>49</v>
      </c>
      <c r="S1353" t="s">
        <v>86</v>
      </c>
      <c r="T1353">
        <f>YEAR(Table1_1[[#This Row],[order_date]])</f>
        <v>2024</v>
      </c>
      <c r="U1353">
        <f>MONTH(Table1_1[[#This Row],[order_date]])</f>
        <v>5</v>
      </c>
      <c r="V1353" t="str">
        <f>TEXT(Table1_1[[#This Row],[order_date]],"mmm")</f>
        <v>May</v>
      </c>
      <c r="W1353" t="str">
        <f>"Q"&amp;ROUNDUP(MONTH(Table1_1[[#This Row],[order_date]])/3,0)</f>
        <v>Q2</v>
      </c>
      <c r="X1353" t="str">
        <f>TEXT(Table1_1[[#This Row],[order_date]],"yyyy-mm")</f>
        <v>2024-05</v>
      </c>
      <c r="Y1353">
        <f>IF(Table1_1[[#This Row],[ship_date]]="","",Table1_1[[#This Row],[ship_date]]-Table1_1[[#This Row],[order_date]])</f>
        <v>3</v>
      </c>
      <c r="Z1353">
        <f>ROUND(Table1_1[[#This Row],[profit]]/Table1_1[[#This Row],[sales_fix]]*100,2)</f>
        <v>18.32</v>
      </c>
    </row>
    <row r="1354" spans="1:26" x14ac:dyDescent="0.3">
      <c r="A1354" t="s">
        <v>1102</v>
      </c>
      <c r="B1354" s="1">
        <v>45787</v>
      </c>
      <c r="C1354" s="1">
        <v>45794</v>
      </c>
      <c r="D1354" t="s">
        <v>272</v>
      </c>
      <c r="E1354" t="s">
        <v>273</v>
      </c>
      <c r="F1354" t="s">
        <v>23</v>
      </c>
      <c r="G1354" t="s">
        <v>35</v>
      </c>
      <c r="H1354" t="s">
        <v>258</v>
      </c>
      <c r="I1354" t="s">
        <v>147</v>
      </c>
      <c r="J1354" t="s">
        <v>148</v>
      </c>
      <c r="K1354" t="s">
        <v>48</v>
      </c>
      <c r="L1354">
        <v>4</v>
      </c>
      <c r="M1354">
        <v>250</v>
      </c>
      <c r="N1354">
        <v>0</v>
      </c>
      <c r="O1354">
        <v>1000</v>
      </c>
      <c r="P1354">
        <v>380.59</v>
      </c>
      <c r="Q1354" t="s">
        <v>28</v>
      </c>
      <c r="R1354" t="s">
        <v>29</v>
      </c>
      <c r="S1354" t="s">
        <v>30</v>
      </c>
      <c r="T1354">
        <f>YEAR(Table1_1[[#This Row],[order_date]])</f>
        <v>2025</v>
      </c>
      <c r="U1354">
        <f>MONTH(Table1_1[[#This Row],[order_date]])</f>
        <v>5</v>
      </c>
      <c r="V1354" t="str">
        <f>TEXT(Table1_1[[#This Row],[order_date]],"mmm")</f>
        <v>May</v>
      </c>
      <c r="W1354" t="str">
        <f>"Q"&amp;ROUNDUP(MONTH(Table1_1[[#This Row],[order_date]])/3,0)</f>
        <v>Q2</v>
      </c>
      <c r="X1354" t="str">
        <f>TEXT(Table1_1[[#This Row],[order_date]],"yyyy-mm")</f>
        <v>2025-05</v>
      </c>
      <c r="Y1354">
        <f>IF(Table1_1[[#This Row],[ship_date]]="","",Table1_1[[#This Row],[ship_date]]-Table1_1[[#This Row],[order_date]])</f>
        <v>7</v>
      </c>
      <c r="Z1354">
        <f>ROUND(Table1_1[[#This Row],[profit]]/Table1_1[[#This Row],[sales_fix]]*100,2)</f>
        <v>38.06</v>
      </c>
    </row>
    <row r="1355" spans="1:26" x14ac:dyDescent="0.3">
      <c r="A1355" t="s">
        <v>1584</v>
      </c>
      <c r="B1355" s="1">
        <v>45742</v>
      </c>
      <c r="C1355" s="1">
        <v>45748</v>
      </c>
      <c r="D1355" t="s">
        <v>463</v>
      </c>
      <c r="E1355" t="s">
        <v>464</v>
      </c>
      <c r="F1355" t="s">
        <v>34</v>
      </c>
      <c r="G1355" t="s">
        <v>35</v>
      </c>
      <c r="H1355" t="s">
        <v>85</v>
      </c>
      <c r="I1355" t="s">
        <v>46</v>
      </c>
      <c r="J1355" t="s">
        <v>47</v>
      </c>
      <c r="K1355" t="s">
        <v>48</v>
      </c>
      <c r="L1355">
        <v>1</v>
      </c>
      <c r="M1355">
        <v>180</v>
      </c>
      <c r="N1355">
        <v>0</v>
      </c>
      <c r="O1355">
        <v>180</v>
      </c>
      <c r="P1355">
        <v>77.94</v>
      </c>
      <c r="Q1355" t="s">
        <v>74</v>
      </c>
      <c r="R1355" t="s">
        <v>29</v>
      </c>
      <c r="S1355" t="s">
        <v>110</v>
      </c>
      <c r="T1355">
        <f>YEAR(Table1_1[[#This Row],[order_date]])</f>
        <v>2025</v>
      </c>
      <c r="U1355">
        <f>MONTH(Table1_1[[#This Row],[order_date]])</f>
        <v>3</v>
      </c>
      <c r="V1355" t="str">
        <f>TEXT(Table1_1[[#This Row],[order_date]],"mmm")</f>
        <v>Mar</v>
      </c>
      <c r="W1355" t="str">
        <f>"Q"&amp;ROUNDUP(MONTH(Table1_1[[#This Row],[order_date]])/3,0)</f>
        <v>Q1</v>
      </c>
      <c r="X1355" t="str">
        <f>TEXT(Table1_1[[#This Row],[order_date]],"yyyy-mm")</f>
        <v>2025-03</v>
      </c>
      <c r="Y1355">
        <f>IF(Table1_1[[#This Row],[ship_date]]="","",Table1_1[[#This Row],[ship_date]]-Table1_1[[#This Row],[order_date]])</f>
        <v>6</v>
      </c>
      <c r="Z1355">
        <f>ROUND(Table1_1[[#This Row],[profit]]/Table1_1[[#This Row],[sales_fix]]*100,2)</f>
        <v>43.3</v>
      </c>
    </row>
    <row r="1356" spans="1:26" x14ac:dyDescent="0.3">
      <c r="A1356" t="s">
        <v>2826</v>
      </c>
      <c r="B1356" s="1">
        <v>45854</v>
      </c>
      <c r="C1356" s="1">
        <v>45860</v>
      </c>
      <c r="D1356" t="s">
        <v>1592</v>
      </c>
      <c r="E1356" t="s">
        <v>1593</v>
      </c>
      <c r="F1356" t="s">
        <v>34</v>
      </c>
      <c r="G1356" t="s">
        <v>44</v>
      </c>
      <c r="H1356" t="s">
        <v>155</v>
      </c>
      <c r="I1356" t="s">
        <v>147</v>
      </c>
      <c r="J1356" t="s">
        <v>148</v>
      </c>
      <c r="K1356" t="s">
        <v>48</v>
      </c>
      <c r="L1356">
        <v>2</v>
      </c>
      <c r="M1356">
        <v>250</v>
      </c>
      <c r="N1356">
        <v>0</v>
      </c>
      <c r="O1356">
        <v>500</v>
      </c>
      <c r="P1356">
        <v>193.44</v>
      </c>
      <c r="Q1356" t="s">
        <v>39</v>
      </c>
      <c r="R1356" t="s">
        <v>49</v>
      </c>
      <c r="S1356" t="s">
        <v>86</v>
      </c>
      <c r="T1356">
        <f>YEAR(Table1_1[[#This Row],[order_date]])</f>
        <v>2025</v>
      </c>
      <c r="U1356">
        <f>MONTH(Table1_1[[#This Row],[order_date]])</f>
        <v>7</v>
      </c>
      <c r="V1356" t="str">
        <f>TEXT(Table1_1[[#This Row],[order_date]],"mmm")</f>
        <v>Jul</v>
      </c>
      <c r="W1356" t="str">
        <f>"Q"&amp;ROUNDUP(MONTH(Table1_1[[#This Row],[order_date]])/3,0)</f>
        <v>Q3</v>
      </c>
      <c r="X1356" t="str">
        <f>TEXT(Table1_1[[#This Row],[order_date]],"yyyy-mm")</f>
        <v>2025-07</v>
      </c>
      <c r="Y1356">
        <f>IF(Table1_1[[#This Row],[ship_date]]="","",Table1_1[[#This Row],[ship_date]]-Table1_1[[#This Row],[order_date]])</f>
        <v>6</v>
      </c>
      <c r="Z1356">
        <f>ROUND(Table1_1[[#This Row],[profit]]/Table1_1[[#This Row],[sales_fix]]*100,2)</f>
        <v>38.69</v>
      </c>
    </row>
    <row r="1357" spans="1:26" x14ac:dyDescent="0.3">
      <c r="A1357" t="s">
        <v>1845</v>
      </c>
      <c r="B1357" s="1">
        <v>45949</v>
      </c>
      <c r="C1357" s="1">
        <v>45957</v>
      </c>
      <c r="D1357" t="s">
        <v>990</v>
      </c>
      <c r="E1357" t="s">
        <v>991</v>
      </c>
      <c r="F1357" t="s">
        <v>23</v>
      </c>
      <c r="G1357" t="s">
        <v>61</v>
      </c>
      <c r="H1357" t="s">
        <v>62</v>
      </c>
      <c r="I1357" t="s">
        <v>134</v>
      </c>
      <c r="J1357" t="s">
        <v>135</v>
      </c>
      <c r="K1357" t="s">
        <v>27</v>
      </c>
      <c r="L1357">
        <v>2</v>
      </c>
      <c r="M1357">
        <v>6000</v>
      </c>
      <c r="N1357">
        <v>0</v>
      </c>
      <c r="O1357">
        <v>12000</v>
      </c>
      <c r="P1357">
        <v>2277.65</v>
      </c>
      <c r="Q1357" t="s">
        <v>66</v>
      </c>
      <c r="R1357" t="s">
        <v>29</v>
      </c>
      <c r="S1357" t="s">
        <v>40</v>
      </c>
      <c r="T1357">
        <f>YEAR(Table1_1[[#This Row],[order_date]])</f>
        <v>2025</v>
      </c>
      <c r="U1357">
        <f>MONTH(Table1_1[[#This Row],[order_date]])</f>
        <v>10</v>
      </c>
      <c r="V1357" t="str">
        <f>TEXT(Table1_1[[#This Row],[order_date]],"mmm")</f>
        <v>Oct</v>
      </c>
      <c r="W1357" t="str">
        <f>"Q"&amp;ROUNDUP(MONTH(Table1_1[[#This Row],[order_date]])/3,0)</f>
        <v>Q4</v>
      </c>
      <c r="X1357" t="str">
        <f>TEXT(Table1_1[[#This Row],[order_date]],"yyyy-mm")</f>
        <v>2025-10</v>
      </c>
      <c r="Y1357">
        <f>IF(Table1_1[[#This Row],[ship_date]]="","",Table1_1[[#This Row],[ship_date]]-Table1_1[[#This Row],[order_date]])</f>
        <v>8</v>
      </c>
      <c r="Z1357">
        <f>ROUND(Table1_1[[#This Row],[profit]]/Table1_1[[#This Row],[sales_fix]]*100,2)</f>
        <v>18.98</v>
      </c>
    </row>
    <row r="1358" spans="1:26" x14ac:dyDescent="0.3">
      <c r="A1358" t="s">
        <v>2091</v>
      </c>
      <c r="B1358" s="1">
        <v>45647</v>
      </c>
      <c r="C1358" s="1">
        <v>45650</v>
      </c>
      <c r="D1358" t="s">
        <v>175</v>
      </c>
      <c r="E1358" t="s">
        <v>1984</v>
      </c>
      <c r="F1358" t="s">
        <v>55</v>
      </c>
      <c r="G1358" t="s">
        <v>91</v>
      </c>
      <c r="H1358" t="s">
        <v>177</v>
      </c>
      <c r="I1358" t="s">
        <v>79</v>
      </c>
      <c r="J1358" t="s">
        <v>80</v>
      </c>
      <c r="K1358" t="s">
        <v>65</v>
      </c>
      <c r="L1358">
        <v>2</v>
      </c>
      <c r="M1358">
        <v>3000</v>
      </c>
      <c r="N1358">
        <v>0</v>
      </c>
      <c r="O1358">
        <v>6000</v>
      </c>
      <c r="P1358">
        <v>1955.73</v>
      </c>
      <c r="Q1358" t="s">
        <v>28</v>
      </c>
      <c r="R1358" t="s">
        <v>56</v>
      </c>
      <c r="S1358" t="s">
        <v>50</v>
      </c>
      <c r="T1358">
        <f>YEAR(Table1_1[[#This Row],[order_date]])</f>
        <v>2024</v>
      </c>
      <c r="U1358">
        <f>MONTH(Table1_1[[#This Row],[order_date]])</f>
        <v>12</v>
      </c>
      <c r="V1358" t="str">
        <f>TEXT(Table1_1[[#This Row],[order_date]],"mmm")</f>
        <v>Dec</v>
      </c>
      <c r="W1358" t="str">
        <f>"Q"&amp;ROUNDUP(MONTH(Table1_1[[#This Row],[order_date]])/3,0)</f>
        <v>Q4</v>
      </c>
      <c r="X1358" t="str">
        <f>TEXT(Table1_1[[#This Row],[order_date]],"yyyy-mm")</f>
        <v>2024-12</v>
      </c>
      <c r="Y1358">
        <f>IF(Table1_1[[#This Row],[ship_date]]="","",Table1_1[[#This Row],[ship_date]]-Table1_1[[#This Row],[order_date]])</f>
        <v>3</v>
      </c>
      <c r="Z1358">
        <f>ROUND(Table1_1[[#This Row],[profit]]/Table1_1[[#This Row],[sales_fix]]*100,2)</f>
        <v>32.6</v>
      </c>
    </row>
    <row r="1359" spans="1:26" x14ac:dyDescent="0.3">
      <c r="A1359" t="s">
        <v>2726</v>
      </c>
      <c r="B1359" s="1">
        <v>45519</v>
      </c>
      <c r="C1359" s="1">
        <v>45525</v>
      </c>
      <c r="D1359" t="s">
        <v>657</v>
      </c>
      <c r="E1359" t="s">
        <v>658</v>
      </c>
      <c r="F1359" t="s">
        <v>34</v>
      </c>
      <c r="G1359" t="s">
        <v>91</v>
      </c>
      <c r="H1359" t="s">
        <v>120</v>
      </c>
      <c r="I1359" t="s">
        <v>126</v>
      </c>
      <c r="J1359" t="s">
        <v>127</v>
      </c>
      <c r="K1359" t="s">
        <v>95</v>
      </c>
      <c r="L1359">
        <v>3</v>
      </c>
      <c r="M1359">
        <v>600</v>
      </c>
      <c r="N1359">
        <v>0</v>
      </c>
      <c r="O1359">
        <v>1800</v>
      </c>
      <c r="P1359">
        <v>679.46</v>
      </c>
      <c r="Q1359" t="s">
        <v>39</v>
      </c>
      <c r="R1359" t="s">
        <v>56</v>
      </c>
      <c r="S1359" t="s">
        <v>50</v>
      </c>
      <c r="T1359">
        <f>YEAR(Table1_1[[#This Row],[order_date]])</f>
        <v>2024</v>
      </c>
      <c r="U1359">
        <f>MONTH(Table1_1[[#This Row],[order_date]])</f>
        <v>8</v>
      </c>
      <c r="V1359" t="str">
        <f>TEXT(Table1_1[[#This Row],[order_date]],"mmm")</f>
        <v>Aug</v>
      </c>
      <c r="W1359" t="str">
        <f>"Q"&amp;ROUNDUP(MONTH(Table1_1[[#This Row],[order_date]])/3,0)</f>
        <v>Q3</v>
      </c>
      <c r="X1359" t="str">
        <f>TEXT(Table1_1[[#This Row],[order_date]],"yyyy-mm")</f>
        <v>2024-08</v>
      </c>
      <c r="Y1359">
        <f>IF(Table1_1[[#This Row],[ship_date]]="","",Table1_1[[#This Row],[ship_date]]-Table1_1[[#This Row],[order_date]])</f>
        <v>6</v>
      </c>
      <c r="Z1359">
        <f>ROUND(Table1_1[[#This Row],[profit]]/Table1_1[[#This Row],[sales_fix]]*100,2)</f>
        <v>37.75</v>
      </c>
    </row>
    <row r="1360" spans="1:26" x14ac:dyDescent="0.3">
      <c r="A1360" t="s">
        <v>2761</v>
      </c>
      <c r="B1360" s="1">
        <v>45829</v>
      </c>
      <c r="C1360" s="1">
        <v>45833</v>
      </c>
      <c r="D1360" t="s">
        <v>1072</v>
      </c>
      <c r="E1360" t="s">
        <v>1073</v>
      </c>
      <c r="F1360" t="s">
        <v>23</v>
      </c>
      <c r="G1360" t="s">
        <v>44</v>
      </c>
      <c r="H1360" t="s">
        <v>161</v>
      </c>
      <c r="I1360" t="s">
        <v>46</v>
      </c>
      <c r="J1360" t="s">
        <v>47</v>
      </c>
      <c r="K1360" t="s">
        <v>48</v>
      </c>
      <c r="L1360">
        <v>1</v>
      </c>
      <c r="M1360">
        <v>180</v>
      </c>
      <c r="N1360">
        <v>10</v>
      </c>
      <c r="O1360">
        <v>162</v>
      </c>
      <c r="P1360">
        <v>61.61</v>
      </c>
      <c r="Q1360" t="s">
        <v>156</v>
      </c>
      <c r="R1360" t="s">
        <v>56</v>
      </c>
      <c r="S1360" t="s">
        <v>50</v>
      </c>
      <c r="T1360">
        <f>YEAR(Table1_1[[#This Row],[order_date]])</f>
        <v>2025</v>
      </c>
      <c r="U1360">
        <f>MONTH(Table1_1[[#This Row],[order_date]])</f>
        <v>6</v>
      </c>
      <c r="V1360" t="str">
        <f>TEXT(Table1_1[[#This Row],[order_date]],"mmm")</f>
        <v>Jun</v>
      </c>
      <c r="W1360" t="str">
        <f>"Q"&amp;ROUNDUP(MONTH(Table1_1[[#This Row],[order_date]])/3,0)</f>
        <v>Q2</v>
      </c>
      <c r="X1360" t="str">
        <f>TEXT(Table1_1[[#This Row],[order_date]],"yyyy-mm")</f>
        <v>2025-06</v>
      </c>
      <c r="Y1360">
        <f>IF(Table1_1[[#This Row],[ship_date]]="","",Table1_1[[#This Row],[ship_date]]-Table1_1[[#This Row],[order_date]])</f>
        <v>4</v>
      </c>
      <c r="Z1360">
        <f>ROUND(Table1_1[[#This Row],[profit]]/Table1_1[[#This Row],[sales_fix]]*100,2)</f>
        <v>38.03</v>
      </c>
    </row>
    <row r="1361" spans="1:26" x14ac:dyDescent="0.3">
      <c r="A1361" t="s">
        <v>2145</v>
      </c>
      <c r="B1361" s="1">
        <v>45394</v>
      </c>
      <c r="C1361" s="1">
        <v>45398</v>
      </c>
      <c r="D1361" t="s">
        <v>1028</v>
      </c>
      <c r="E1361" t="s">
        <v>1029</v>
      </c>
      <c r="F1361" t="s">
        <v>34</v>
      </c>
      <c r="G1361" t="s">
        <v>91</v>
      </c>
      <c r="H1361" t="s">
        <v>120</v>
      </c>
      <c r="I1361" t="s">
        <v>79</v>
      </c>
      <c r="J1361" t="s">
        <v>80</v>
      </c>
      <c r="K1361" t="s">
        <v>65</v>
      </c>
      <c r="L1361">
        <v>3</v>
      </c>
      <c r="M1361">
        <v>3000</v>
      </c>
      <c r="N1361">
        <v>15</v>
      </c>
      <c r="O1361">
        <v>7650</v>
      </c>
      <c r="P1361">
        <v>2188.8000000000002</v>
      </c>
      <c r="Q1361" t="s">
        <v>156</v>
      </c>
      <c r="R1361" t="s">
        <v>29</v>
      </c>
      <c r="S1361" t="s">
        <v>40</v>
      </c>
      <c r="T1361">
        <f>YEAR(Table1_1[[#This Row],[order_date]])</f>
        <v>2024</v>
      </c>
      <c r="U1361">
        <f>MONTH(Table1_1[[#This Row],[order_date]])</f>
        <v>4</v>
      </c>
      <c r="V1361" t="str">
        <f>TEXT(Table1_1[[#This Row],[order_date]],"mmm")</f>
        <v>Apr</v>
      </c>
      <c r="W1361" t="str">
        <f>"Q"&amp;ROUNDUP(MONTH(Table1_1[[#This Row],[order_date]])/3,0)</f>
        <v>Q2</v>
      </c>
      <c r="X1361" t="str">
        <f>TEXT(Table1_1[[#This Row],[order_date]],"yyyy-mm")</f>
        <v>2024-04</v>
      </c>
      <c r="Y1361">
        <f>IF(Table1_1[[#This Row],[ship_date]]="","",Table1_1[[#This Row],[ship_date]]-Table1_1[[#This Row],[order_date]])</f>
        <v>4</v>
      </c>
      <c r="Z1361">
        <f>ROUND(Table1_1[[#This Row],[profit]]/Table1_1[[#This Row],[sales_fix]]*100,2)</f>
        <v>28.61</v>
      </c>
    </row>
    <row r="1362" spans="1:26" x14ac:dyDescent="0.3">
      <c r="A1362" t="s">
        <v>1228</v>
      </c>
      <c r="B1362" s="1">
        <v>45577</v>
      </c>
      <c r="C1362" s="1">
        <v>45584</v>
      </c>
      <c r="D1362" t="s">
        <v>470</v>
      </c>
      <c r="E1362" t="s">
        <v>471</v>
      </c>
      <c r="F1362" t="s">
        <v>23</v>
      </c>
      <c r="G1362" t="s">
        <v>61</v>
      </c>
      <c r="H1362" t="s">
        <v>62</v>
      </c>
      <c r="I1362" t="s">
        <v>103</v>
      </c>
      <c r="J1362" t="s">
        <v>104</v>
      </c>
      <c r="K1362" t="s">
        <v>65</v>
      </c>
      <c r="L1362">
        <v>10</v>
      </c>
      <c r="M1362">
        <v>8000</v>
      </c>
      <c r="N1362">
        <v>5</v>
      </c>
      <c r="O1362">
        <v>76000</v>
      </c>
      <c r="P1362">
        <v>15553.37</v>
      </c>
      <c r="Q1362" t="s">
        <v>28</v>
      </c>
      <c r="R1362" t="s">
        <v>49</v>
      </c>
      <c r="S1362" t="s">
        <v>110</v>
      </c>
      <c r="T1362">
        <f>YEAR(Table1_1[[#This Row],[order_date]])</f>
        <v>2024</v>
      </c>
      <c r="U1362">
        <f>MONTH(Table1_1[[#This Row],[order_date]])</f>
        <v>10</v>
      </c>
      <c r="V1362" t="str">
        <f>TEXT(Table1_1[[#This Row],[order_date]],"mmm")</f>
        <v>Oct</v>
      </c>
      <c r="W1362" t="str">
        <f>"Q"&amp;ROUNDUP(MONTH(Table1_1[[#This Row],[order_date]])/3,0)</f>
        <v>Q4</v>
      </c>
      <c r="X1362" t="str">
        <f>TEXT(Table1_1[[#This Row],[order_date]],"yyyy-mm")</f>
        <v>2024-10</v>
      </c>
      <c r="Y1362">
        <f>IF(Table1_1[[#This Row],[ship_date]]="","",Table1_1[[#This Row],[ship_date]]-Table1_1[[#This Row],[order_date]])</f>
        <v>7</v>
      </c>
      <c r="Z1362">
        <f>ROUND(Table1_1[[#This Row],[profit]]/Table1_1[[#This Row],[sales_fix]]*100,2)</f>
        <v>20.46</v>
      </c>
    </row>
    <row r="1363" spans="1:26" x14ac:dyDescent="0.3">
      <c r="A1363" t="s">
        <v>3028</v>
      </c>
      <c r="B1363" s="1">
        <v>45599</v>
      </c>
      <c r="C1363" s="1">
        <v>45603</v>
      </c>
      <c r="D1363" t="s">
        <v>189</v>
      </c>
      <c r="E1363" t="s">
        <v>190</v>
      </c>
      <c r="F1363" t="s">
        <v>23</v>
      </c>
      <c r="G1363" t="s">
        <v>91</v>
      </c>
      <c r="H1363" t="s">
        <v>120</v>
      </c>
      <c r="I1363" t="s">
        <v>71</v>
      </c>
      <c r="J1363" t="s">
        <v>72</v>
      </c>
      <c r="K1363" t="s">
        <v>73</v>
      </c>
      <c r="L1363">
        <v>1</v>
      </c>
      <c r="M1363">
        <v>3500</v>
      </c>
      <c r="N1363">
        <v>10</v>
      </c>
      <c r="O1363">
        <v>3150</v>
      </c>
      <c r="P1363">
        <v>974.99</v>
      </c>
      <c r="Q1363" t="s">
        <v>156</v>
      </c>
      <c r="R1363" t="s">
        <v>56</v>
      </c>
      <c r="S1363" t="s">
        <v>40</v>
      </c>
      <c r="T1363">
        <f>YEAR(Table1_1[[#This Row],[order_date]])</f>
        <v>2024</v>
      </c>
      <c r="U1363">
        <f>MONTH(Table1_1[[#This Row],[order_date]])</f>
        <v>11</v>
      </c>
      <c r="V1363" t="str">
        <f>TEXT(Table1_1[[#This Row],[order_date]],"mmm")</f>
        <v>Nov</v>
      </c>
      <c r="W1363" t="str">
        <f>"Q"&amp;ROUNDUP(MONTH(Table1_1[[#This Row],[order_date]])/3,0)</f>
        <v>Q4</v>
      </c>
      <c r="X1363" t="str">
        <f>TEXT(Table1_1[[#This Row],[order_date]],"yyyy-mm")</f>
        <v>2024-11</v>
      </c>
      <c r="Y1363">
        <f>IF(Table1_1[[#This Row],[ship_date]]="","",Table1_1[[#This Row],[ship_date]]-Table1_1[[#This Row],[order_date]])</f>
        <v>4</v>
      </c>
      <c r="Z1363">
        <f>ROUND(Table1_1[[#This Row],[profit]]/Table1_1[[#This Row],[sales_fix]]*100,2)</f>
        <v>30.95</v>
      </c>
    </row>
    <row r="1364" spans="1:26" x14ac:dyDescent="0.3">
      <c r="A1364" t="s">
        <v>536</v>
      </c>
      <c r="B1364" s="1">
        <v>45712</v>
      </c>
      <c r="C1364" s="1">
        <v>45716</v>
      </c>
      <c r="D1364" t="s">
        <v>196</v>
      </c>
      <c r="E1364" t="s">
        <v>197</v>
      </c>
      <c r="F1364" t="s">
        <v>34</v>
      </c>
      <c r="G1364" t="s">
        <v>91</v>
      </c>
      <c r="H1364" t="s">
        <v>120</v>
      </c>
      <c r="I1364" t="s">
        <v>114</v>
      </c>
      <c r="J1364" t="s">
        <v>115</v>
      </c>
      <c r="K1364" t="s">
        <v>65</v>
      </c>
      <c r="L1364">
        <v>1</v>
      </c>
      <c r="M1364">
        <v>55000</v>
      </c>
      <c r="N1364">
        <v>5</v>
      </c>
      <c r="O1364">
        <v>52250</v>
      </c>
      <c r="P1364">
        <v>9677.52</v>
      </c>
      <c r="Q1364" t="s">
        <v>28</v>
      </c>
      <c r="R1364" t="s">
        <v>29</v>
      </c>
      <c r="S1364" t="s">
        <v>30</v>
      </c>
      <c r="T1364">
        <f>YEAR(Table1_1[[#This Row],[order_date]])</f>
        <v>2025</v>
      </c>
      <c r="U1364">
        <f>MONTH(Table1_1[[#This Row],[order_date]])</f>
        <v>2</v>
      </c>
      <c r="V1364" t="str">
        <f>TEXT(Table1_1[[#This Row],[order_date]],"mmm")</f>
        <v>Feb</v>
      </c>
      <c r="W1364" t="str">
        <f>"Q"&amp;ROUNDUP(MONTH(Table1_1[[#This Row],[order_date]])/3,0)</f>
        <v>Q1</v>
      </c>
      <c r="X1364" t="str">
        <f>TEXT(Table1_1[[#This Row],[order_date]],"yyyy-mm")</f>
        <v>2025-02</v>
      </c>
      <c r="Y1364">
        <f>IF(Table1_1[[#This Row],[ship_date]]="","",Table1_1[[#This Row],[ship_date]]-Table1_1[[#This Row],[order_date]])</f>
        <v>4</v>
      </c>
      <c r="Z1364">
        <f>ROUND(Table1_1[[#This Row],[profit]]/Table1_1[[#This Row],[sales_fix]]*100,2)</f>
        <v>18.52</v>
      </c>
    </row>
    <row r="1365" spans="1:26" x14ac:dyDescent="0.3">
      <c r="A1365" t="s">
        <v>2492</v>
      </c>
      <c r="B1365" s="1">
        <v>45490</v>
      </c>
      <c r="C1365" s="1">
        <v>45495</v>
      </c>
      <c r="D1365" t="s">
        <v>674</v>
      </c>
      <c r="E1365" t="s">
        <v>675</v>
      </c>
      <c r="F1365" t="s">
        <v>55</v>
      </c>
      <c r="G1365" t="s">
        <v>91</v>
      </c>
      <c r="H1365" t="s">
        <v>109</v>
      </c>
      <c r="I1365" t="s">
        <v>93</v>
      </c>
      <c r="J1365" t="s">
        <v>94</v>
      </c>
      <c r="K1365" t="s">
        <v>95</v>
      </c>
      <c r="L1365">
        <v>1</v>
      </c>
      <c r="M1365">
        <v>1800</v>
      </c>
      <c r="N1365">
        <v>0</v>
      </c>
      <c r="O1365">
        <v>1800</v>
      </c>
      <c r="P1365">
        <v>458.77</v>
      </c>
      <c r="Q1365" t="s">
        <v>121</v>
      </c>
      <c r="R1365" t="s">
        <v>49</v>
      </c>
      <c r="S1365" t="s">
        <v>86</v>
      </c>
      <c r="T1365">
        <f>YEAR(Table1_1[[#This Row],[order_date]])</f>
        <v>2024</v>
      </c>
      <c r="U1365">
        <f>MONTH(Table1_1[[#This Row],[order_date]])</f>
        <v>7</v>
      </c>
      <c r="V1365" t="str">
        <f>TEXT(Table1_1[[#This Row],[order_date]],"mmm")</f>
        <v>Jul</v>
      </c>
      <c r="W1365" t="str">
        <f>"Q"&amp;ROUNDUP(MONTH(Table1_1[[#This Row],[order_date]])/3,0)</f>
        <v>Q3</v>
      </c>
      <c r="X1365" t="str">
        <f>TEXT(Table1_1[[#This Row],[order_date]],"yyyy-mm")</f>
        <v>2024-07</v>
      </c>
      <c r="Y1365">
        <f>IF(Table1_1[[#This Row],[ship_date]]="","",Table1_1[[#This Row],[ship_date]]-Table1_1[[#This Row],[order_date]])</f>
        <v>5</v>
      </c>
      <c r="Z1365">
        <f>ROUND(Table1_1[[#This Row],[profit]]/Table1_1[[#This Row],[sales_fix]]*100,2)</f>
        <v>25.49</v>
      </c>
    </row>
    <row r="1366" spans="1:26" x14ac:dyDescent="0.3">
      <c r="A1366" t="s">
        <v>2720</v>
      </c>
      <c r="B1366" s="1">
        <v>45447</v>
      </c>
      <c r="C1366" s="1">
        <v>45453</v>
      </c>
      <c r="D1366" t="s">
        <v>1188</v>
      </c>
      <c r="E1366" t="s">
        <v>1189</v>
      </c>
      <c r="F1366" t="s">
        <v>55</v>
      </c>
      <c r="G1366" t="s">
        <v>61</v>
      </c>
      <c r="H1366" t="s">
        <v>125</v>
      </c>
      <c r="I1366" t="s">
        <v>126</v>
      </c>
      <c r="J1366" t="s">
        <v>127</v>
      </c>
      <c r="K1366" t="s">
        <v>95</v>
      </c>
      <c r="L1366">
        <v>1</v>
      </c>
      <c r="M1366">
        <v>600</v>
      </c>
      <c r="N1366">
        <v>0</v>
      </c>
      <c r="O1366">
        <v>600</v>
      </c>
      <c r="P1366">
        <v>220.91</v>
      </c>
      <c r="Q1366" t="s">
        <v>66</v>
      </c>
      <c r="R1366" t="s">
        <v>56</v>
      </c>
      <c r="S1366" t="s">
        <v>86</v>
      </c>
      <c r="T1366">
        <f>YEAR(Table1_1[[#This Row],[order_date]])</f>
        <v>2024</v>
      </c>
      <c r="U1366">
        <f>MONTH(Table1_1[[#This Row],[order_date]])</f>
        <v>6</v>
      </c>
      <c r="V1366" t="str">
        <f>TEXT(Table1_1[[#This Row],[order_date]],"mmm")</f>
        <v>Jun</v>
      </c>
      <c r="W1366" t="str">
        <f>"Q"&amp;ROUNDUP(MONTH(Table1_1[[#This Row],[order_date]])/3,0)</f>
        <v>Q2</v>
      </c>
      <c r="X1366" t="str">
        <f>TEXT(Table1_1[[#This Row],[order_date]],"yyyy-mm")</f>
        <v>2024-06</v>
      </c>
      <c r="Y1366">
        <f>IF(Table1_1[[#This Row],[ship_date]]="","",Table1_1[[#This Row],[ship_date]]-Table1_1[[#This Row],[order_date]])</f>
        <v>6</v>
      </c>
      <c r="Z1366">
        <f>ROUND(Table1_1[[#This Row],[profit]]/Table1_1[[#This Row],[sales_fix]]*100,2)</f>
        <v>36.82</v>
      </c>
    </row>
    <row r="1367" spans="1:26" x14ac:dyDescent="0.3">
      <c r="A1367" t="s">
        <v>3027</v>
      </c>
      <c r="B1367" s="1">
        <v>45828</v>
      </c>
      <c r="C1367" s="1"/>
      <c r="D1367" t="s">
        <v>425</v>
      </c>
      <c r="E1367" t="s">
        <v>426</v>
      </c>
      <c r="F1367" t="s">
        <v>34</v>
      </c>
      <c r="G1367" t="s">
        <v>61</v>
      </c>
      <c r="H1367" t="s">
        <v>125</v>
      </c>
      <c r="I1367" t="s">
        <v>25</v>
      </c>
      <c r="J1367" t="s">
        <v>26</v>
      </c>
      <c r="K1367" t="s">
        <v>27</v>
      </c>
      <c r="L1367">
        <v>1</v>
      </c>
      <c r="M1367">
        <v>7000</v>
      </c>
      <c r="N1367">
        <v>15</v>
      </c>
      <c r="O1367">
        <v>5950</v>
      </c>
      <c r="P1367">
        <v>1229.6500000000001</v>
      </c>
      <c r="Q1367" t="s">
        <v>156</v>
      </c>
      <c r="R1367" t="s">
        <v>49</v>
      </c>
      <c r="S1367" t="s">
        <v>110</v>
      </c>
      <c r="T1367">
        <f>YEAR(Table1_1[[#This Row],[order_date]])</f>
        <v>2025</v>
      </c>
      <c r="U1367">
        <f>MONTH(Table1_1[[#This Row],[order_date]])</f>
        <v>6</v>
      </c>
      <c r="V1367" t="str">
        <f>TEXT(Table1_1[[#This Row],[order_date]],"mmm")</f>
        <v>Jun</v>
      </c>
      <c r="W1367" t="str">
        <f>"Q"&amp;ROUNDUP(MONTH(Table1_1[[#This Row],[order_date]])/3,0)</f>
        <v>Q2</v>
      </c>
      <c r="X1367" t="str">
        <f>TEXT(Table1_1[[#This Row],[order_date]],"yyyy-mm")</f>
        <v>2025-06</v>
      </c>
      <c r="Y1367" t="str">
        <f>IF(Table1_1[[#This Row],[ship_date]]="","",Table1_1[[#This Row],[ship_date]]-Table1_1[[#This Row],[order_date]])</f>
        <v/>
      </c>
      <c r="Z1367">
        <f>ROUND(Table1_1[[#This Row],[profit]]/Table1_1[[#This Row],[sales_fix]]*100,2)</f>
        <v>20.67</v>
      </c>
    </row>
    <row r="1368" spans="1:26" x14ac:dyDescent="0.3">
      <c r="A1368" t="s">
        <v>3073</v>
      </c>
      <c r="B1368" s="1">
        <v>45916</v>
      </c>
      <c r="C1368" s="1">
        <v>45922</v>
      </c>
      <c r="D1368" t="s">
        <v>69</v>
      </c>
      <c r="E1368" t="s">
        <v>70</v>
      </c>
      <c r="F1368" t="s">
        <v>23</v>
      </c>
      <c r="G1368" t="s">
        <v>44</v>
      </c>
      <c r="H1368" t="s">
        <v>24</v>
      </c>
      <c r="I1368" t="s">
        <v>46</v>
      </c>
      <c r="J1368" t="s">
        <v>47</v>
      </c>
      <c r="K1368" t="s">
        <v>48</v>
      </c>
      <c r="L1368">
        <v>2</v>
      </c>
      <c r="M1368">
        <v>180</v>
      </c>
      <c r="N1368">
        <v>0</v>
      </c>
      <c r="O1368">
        <v>360</v>
      </c>
      <c r="P1368">
        <v>170.44</v>
      </c>
      <c r="Q1368" t="s">
        <v>74</v>
      </c>
      <c r="R1368" t="s">
        <v>29</v>
      </c>
      <c r="S1368" t="s">
        <v>30</v>
      </c>
      <c r="T1368">
        <f>YEAR(Table1_1[[#This Row],[order_date]])</f>
        <v>2025</v>
      </c>
      <c r="U1368">
        <f>MONTH(Table1_1[[#This Row],[order_date]])</f>
        <v>9</v>
      </c>
      <c r="V1368" t="str">
        <f>TEXT(Table1_1[[#This Row],[order_date]],"mmm")</f>
        <v>Sep</v>
      </c>
      <c r="W1368" t="str">
        <f>"Q"&amp;ROUNDUP(MONTH(Table1_1[[#This Row],[order_date]])/3,0)</f>
        <v>Q3</v>
      </c>
      <c r="X1368" t="str">
        <f>TEXT(Table1_1[[#This Row],[order_date]],"yyyy-mm")</f>
        <v>2025-09</v>
      </c>
      <c r="Y1368">
        <f>IF(Table1_1[[#This Row],[ship_date]]="","",Table1_1[[#This Row],[ship_date]]-Table1_1[[#This Row],[order_date]])</f>
        <v>6</v>
      </c>
      <c r="Z1368">
        <f>ROUND(Table1_1[[#This Row],[profit]]/Table1_1[[#This Row],[sales_fix]]*100,2)</f>
        <v>47.34</v>
      </c>
    </row>
    <row r="1369" spans="1:26" x14ac:dyDescent="0.3">
      <c r="A1369" t="s">
        <v>2529</v>
      </c>
      <c r="B1369" s="1">
        <v>45933</v>
      </c>
      <c r="C1369" s="1">
        <v>45941</v>
      </c>
      <c r="D1369" t="s">
        <v>716</v>
      </c>
      <c r="E1369" t="s">
        <v>717</v>
      </c>
      <c r="F1369" t="s">
        <v>23</v>
      </c>
      <c r="G1369" t="s">
        <v>35</v>
      </c>
      <c r="H1369" t="s">
        <v>85</v>
      </c>
      <c r="I1369" t="s">
        <v>63</v>
      </c>
      <c r="J1369" t="s">
        <v>64</v>
      </c>
      <c r="K1369" t="s">
        <v>65</v>
      </c>
      <c r="L1369">
        <v>2</v>
      </c>
      <c r="M1369">
        <v>25000</v>
      </c>
      <c r="N1369">
        <v>15</v>
      </c>
      <c r="O1369">
        <v>42500</v>
      </c>
      <c r="P1369">
        <v>6225.66</v>
      </c>
      <c r="Q1369" t="s">
        <v>74</v>
      </c>
      <c r="R1369" t="s">
        <v>29</v>
      </c>
      <c r="S1369" t="s">
        <v>40</v>
      </c>
      <c r="T1369">
        <f>YEAR(Table1_1[[#This Row],[order_date]])</f>
        <v>2025</v>
      </c>
      <c r="U1369">
        <f>MONTH(Table1_1[[#This Row],[order_date]])</f>
        <v>10</v>
      </c>
      <c r="V1369" t="str">
        <f>TEXT(Table1_1[[#This Row],[order_date]],"mmm")</f>
        <v>Oct</v>
      </c>
      <c r="W1369" t="str">
        <f>"Q"&amp;ROUNDUP(MONTH(Table1_1[[#This Row],[order_date]])/3,0)</f>
        <v>Q4</v>
      </c>
      <c r="X1369" t="str">
        <f>TEXT(Table1_1[[#This Row],[order_date]],"yyyy-mm")</f>
        <v>2025-10</v>
      </c>
      <c r="Y1369">
        <f>IF(Table1_1[[#This Row],[ship_date]]="","",Table1_1[[#This Row],[ship_date]]-Table1_1[[#This Row],[order_date]])</f>
        <v>8</v>
      </c>
      <c r="Z1369">
        <f>ROUND(Table1_1[[#This Row],[profit]]/Table1_1[[#This Row],[sales_fix]]*100,2)</f>
        <v>14.65</v>
      </c>
    </row>
    <row r="1370" spans="1:26" x14ac:dyDescent="0.3">
      <c r="A1370" t="s">
        <v>1183</v>
      </c>
      <c r="B1370" s="1">
        <v>45909</v>
      </c>
      <c r="C1370" s="1">
        <v>45917</v>
      </c>
      <c r="D1370" t="s">
        <v>1184</v>
      </c>
      <c r="E1370" t="s">
        <v>1185</v>
      </c>
      <c r="F1370" t="s">
        <v>55</v>
      </c>
      <c r="G1370" t="s">
        <v>91</v>
      </c>
      <c r="H1370" t="s">
        <v>109</v>
      </c>
      <c r="I1370" t="s">
        <v>63</v>
      </c>
      <c r="J1370" t="s">
        <v>64</v>
      </c>
      <c r="K1370" t="s">
        <v>65</v>
      </c>
      <c r="L1370">
        <v>5</v>
      </c>
      <c r="M1370">
        <v>25000</v>
      </c>
      <c r="N1370">
        <v>20</v>
      </c>
      <c r="O1370">
        <v>100000</v>
      </c>
      <c r="P1370">
        <v>12675.3</v>
      </c>
      <c r="Q1370" t="s">
        <v>156</v>
      </c>
      <c r="R1370" t="s">
        <v>49</v>
      </c>
      <c r="S1370" t="s">
        <v>30</v>
      </c>
      <c r="T1370">
        <f>YEAR(Table1_1[[#This Row],[order_date]])</f>
        <v>2025</v>
      </c>
      <c r="U1370">
        <f>MONTH(Table1_1[[#This Row],[order_date]])</f>
        <v>9</v>
      </c>
      <c r="V1370" t="str">
        <f>TEXT(Table1_1[[#This Row],[order_date]],"mmm")</f>
        <v>Sep</v>
      </c>
      <c r="W1370" t="str">
        <f>"Q"&amp;ROUNDUP(MONTH(Table1_1[[#This Row],[order_date]])/3,0)</f>
        <v>Q3</v>
      </c>
      <c r="X1370" t="str">
        <f>TEXT(Table1_1[[#This Row],[order_date]],"yyyy-mm")</f>
        <v>2025-09</v>
      </c>
      <c r="Y1370">
        <f>IF(Table1_1[[#This Row],[ship_date]]="","",Table1_1[[#This Row],[ship_date]]-Table1_1[[#This Row],[order_date]])</f>
        <v>8</v>
      </c>
      <c r="Z1370">
        <f>ROUND(Table1_1[[#This Row],[profit]]/Table1_1[[#This Row],[sales_fix]]*100,2)</f>
        <v>12.68</v>
      </c>
    </row>
    <row r="1371" spans="1:26" x14ac:dyDescent="0.3">
      <c r="A1371" t="s">
        <v>2274</v>
      </c>
      <c r="B1371" s="1">
        <v>45399</v>
      </c>
      <c r="C1371" s="1">
        <v>45404</v>
      </c>
      <c r="D1371" t="s">
        <v>466</v>
      </c>
      <c r="E1371" t="s">
        <v>467</v>
      </c>
      <c r="F1371" t="s">
        <v>34</v>
      </c>
      <c r="G1371" t="s">
        <v>61</v>
      </c>
      <c r="H1371" t="s">
        <v>78</v>
      </c>
      <c r="I1371" t="s">
        <v>126</v>
      </c>
      <c r="J1371" t="s">
        <v>127</v>
      </c>
      <c r="K1371" t="s">
        <v>95</v>
      </c>
      <c r="L1371">
        <v>4</v>
      </c>
      <c r="M1371">
        <v>600</v>
      </c>
      <c r="N1371">
        <v>0</v>
      </c>
      <c r="O1371">
        <v>2400</v>
      </c>
      <c r="P1371">
        <v>945.68</v>
      </c>
      <c r="Q1371" t="s">
        <v>74</v>
      </c>
      <c r="R1371" t="s">
        <v>56</v>
      </c>
      <c r="S1371" t="s">
        <v>40</v>
      </c>
      <c r="T1371">
        <f>YEAR(Table1_1[[#This Row],[order_date]])</f>
        <v>2024</v>
      </c>
      <c r="U1371">
        <f>MONTH(Table1_1[[#This Row],[order_date]])</f>
        <v>4</v>
      </c>
      <c r="V1371" t="str">
        <f>TEXT(Table1_1[[#This Row],[order_date]],"mmm")</f>
        <v>Apr</v>
      </c>
      <c r="W1371" t="str">
        <f>"Q"&amp;ROUNDUP(MONTH(Table1_1[[#This Row],[order_date]])/3,0)</f>
        <v>Q2</v>
      </c>
      <c r="X1371" t="str">
        <f>TEXT(Table1_1[[#This Row],[order_date]],"yyyy-mm")</f>
        <v>2024-04</v>
      </c>
      <c r="Y1371">
        <f>IF(Table1_1[[#This Row],[ship_date]]="","",Table1_1[[#This Row],[ship_date]]-Table1_1[[#This Row],[order_date]])</f>
        <v>5</v>
      </c>
      <c r="Z1371">
        <f>ROUND(Table1_1[[#This Row],[profit]]/Table1_1[[#This Row],[sales_fix]]*100,2)</f>
        <v>39.4</v>
      </c>
    </row>
    <row r="1372" spans="1:26" x14ac:dyDescent="0.3">
      <c r="A1372" t="s">
        <v>2309</v>
      </c>
      <c r="B1372" s="1">
        <v>45974</v>
      </c>
      <c r="C1372" s="1">
        <v>45982</v>
      </c>
      <c r="D1372" t="s">
        <v>904</v>
      </c>
      <c r="E1372" t="s">
        <v>905</v>
      </c>
      <c r="F1372" t="s">
        <v>23</v>
      </c>
      <c r="G1372" t="s">
        <v>91</v>
      </c>
      <c r="H1372" t="s">
        <v>92</v>
      </c>
      <c r="I1372" t="s">
        <v>134</v>
      </c>
      <c r="J1372" t="s">
        <v>135</v>
      </c>
      <c r="K1372" t="s">
        <v>27</v>
      </c>
      <c r="L1372">
        <v>10</v>
      </c>
      <c r="M1372">
        <v>6000</v>
      </c>
      <c r="N1372">
        <v>0</v>
      </c>
      <c r="O1372">
        <v>60000</v>
      </c>
      <c r="P1372">
        <v>10154.450000000001</v>
      </c>
      <c r="Q1372" t="s">
        <v>121</v>
      </c>
      <c r="R1372" t="s">
        <v>56</v>
      </c>
      <c r="S1372" t="s">
        <v>30</v>
      </c>
      <c r="T1372">
        <f>YEAR(Table1_1[[#This Row],[order_date]])</f>
        <v>2025</v>
      </c>
      <c r="U1372">
        <f>MONTH(Table1_1[[#This Row],[order_date]])</f>
        <v>11</v>
      </c>
      <c r="V1372" t="str">
        <f>TEXT(Table1_1[[#This Row],[order_date]],"mmm")</f>
        <v>Nov</v>
      </c>
      <c r="W1372" t="str">
        <f>"Q"&amp;ROUNDUP(MONTH(Table1_1[[#This Row],[order_date]])/3,0)</f>
        <v>Q4</v>
      </c>
      <c r="X1372" t="str">
        <f>TEXT(Table1_1[[#This Row],[order_date]],"yyyy-mm")</f>
        <v>2025-11</v>
      </c>
      <c r="Y1372">
        <f>IF(Table1_1[[#This Row],[ship_date]]="","",Table1_1[[#This Row],[ship_date]]-Table1_1[[#This Row],[order_date]])</f>
        <v>8</v>
      </c>
      <c r="Z1372">
        <f>ROUND(Table1_1[[#This Row],[profit]]/Table1_1[[#This Row],[sales_fix]]*100,2)</f>
        <v>16.920000000000002</v>
      </c>
    </row>
    <row r="1373" spans="1:26" x14ac:dyDescent="0.3">
      <c r="A1373" t="s">
        <v>2209</v>
      </c>
      <c r="B1373" s="1">
        <v>45736</v>
      </c>
      <c r="C1373" s="1">
        <v>45744</v>
      </c>
      <c r="D1373" t="s">
        <v>444</v>
      </c>
      <c r="E1373" t="s">
        <v>445</v>
      </c>
      <c r="F1373" t="s">
        <v>55</v>
      </c>
      <c r="G1373" t="s">
        <v>91</v>
      </c>
      <c r="H1373" t="s">
        <v>92</v>
      </c>
      <c r="I1373" t="s">
        <v>93</v>
      </c>
      <c r="J1373" t="s">
        <v>94</v>
      </c>
      <c r="K1373" t="s">
        <v>95</v>
      </c>
      <c r="L1373">
        <v>3</v>
      </c>
      <c r="M1373">
        <v>1800</v>
      </c>
      <c r="N1373">
        <v>0</v>
      </c>
      <c r="O1373">
        <v>5400</v>
      </c>
      <c r="P1373">
        <v>2076.96</v>
      </c>
      <c r="Q1373" t="s">
        <v>39</v>
      </c>
      <c r="R1373" t="s">
        <v>56</v>
      </c>
      <c r="S1373" t="s">
        <v>96</v>
      </c>
      <c r="T1373">
        <f>YEAR(Table1_1[[#This Row],[order_date]])</f>
        <v>2025</v>
      </c>
      <c r="U1373">
        <f>MONTH(Table1_1[[#This Row],[order_date]])</f>
        <v>3</v>
      </c>
      <c r="V1373" t="str">
        <f>TEXT(Table1_1[[#This Row],[order_date]],"mmm")</f>
        <v>Mar</v>
      </c>
      <c r="W1373" t="str">
        <f>"Q"&amp;ROUNDUP(MONTH(Table1_1[[#This Row],[order_date]])/3,0)</f>
        <v>Q1</v>
      </c>
      <c r="X1373" t="str">
        <f>TEXT(Table1_1[[#This Row],[order_date]],"yyyy-mm")</f>
        <v>2025-03</v>
      </c>
      <c r="Y1373">
        <f>IF(Table1_1[[#This Row],[ship_date]]="","",Table1_1[[#This Row],[ship_date]]-Table1_1[[#This Row],[order_date]])</f>
        <v>8</v>
      </c>
      <c r="Z1373">
        <f>ROUND(Table1_1[[#This Row],[profit]]/Table1_1[[#This Row],[sales_fix]]*100,2)</f>
        <v>38.46</v>
      </c>
    </row>
    <row r="1374" spans="1:26" x14ac:dyDescent="0.3">
      <c r="A1374" t="s">
        <v>1467</v>
      </c>
      <c r="B1374" s="1">
        <v>45823</v>
      </c>
      <c r="C1374" s="1">
        <v>45825</v>
      </c>
      <c r="D1374" t="s">
        <v>1262</v>
      </c>
      <c r="E1374" t="s">
        <v>1263</v>
      </c>
      <c r="F1374" t="s">
        <v>23</v>
      </c>
      <c r="G1374" t="s">
        <v>91</v>
      </c>
      <c r="H1374" t="s">
        <v>120</v>
      </c>
      <c r="I1374" t="s">
        <v>93</v>
      </c>
      <c r="J1374" t="s">
        <v>94</v>
      </c>
      <c r="K1374" t="s">
        <v>95</v>
      </c>
      <c r="L1374">
        <v>4</v>
      </c>
      <c r="M1374">
        <v>1800</v>
      </c>
      <c r="N1374">
        <v>15</v>
      </c>
      <c r="O1374">
        <v>6120</v>
      </c>
      <c r="P1374">
        <v>1827.2</v>
      </c>
      <c r="Q1374" t="s">
        <v>39</v>
      </c>
      <c r="R1374" t="s">
        <v>56</v>
      </c>
      <c r="S1374" t="s">
        <v>86</v>
      </c>
      <c r="T1374">
        <f>YEAR(Table1_1[[#This Row],[order_date]])</f>
        <v>2025</v>
      </c>
      <c r="U1374">
        <f>MONTH(Table1_1[[#This Row],[order_date]])</f>
        <v>6</v>
      </c>
      <c r="V1374" t="str">
        <f>TEXT(Table1_1[[#This Row],[order_date]],"mmm")</f>
        <v>Jun</v>
      </c>
      <c r="W1374" t="str">
        <f>"Q"&amp;ROUNDUP(MONTH(Table1_1[[#This Row],[order_date]])/3,0)</f>
        <v>Q2</v>
      </c>
      <c r="X1374" t="str">
        <f>TEXT(Table1_1[[#This Row],[order_date]],"yyyy-mm")</f>
        <v>2025-06</v>
      </c>
      <c r="Y1374">
        <f>IF(Table1_1[[#This Row],[ship_date]]="","",Table1_1[[#This Row],[ship_date]]-Table1_1[[#This Row],[order_date]])</f>
        <v>2</v>
      </c>
      <c r="Z1374">
        <f>ROUND(Table1_1[[#This Row],[profit]]/Table1_1[[#This Row],[sales_fix]]*100,2)</f>
        <v>29.86</v>
      </c>
    </row>
    <row r="1375" spans="1:26" x14ac:dyDescent="0.3">
      <c r="A1375" t="s">
        <v>2040</v>
      </c>
      <c r="B1375" s="1">
        <v>45412</v>
      </c>
      <c r="C1375" s="1">
        <v>45419</v>
      </c>
      <c r="D1375" t="s">
        <v>477</v>
      </c>
      <c r="E1375" t="s">
        <v>478</v>
      </c>
      <c r="F1375" t="s">
        <v>34</v>
      </c>
      <c r="G1375" t="s">
        <v>44</v>
      </c>
      <c r="H1375" t="s">
        <v>161</v>
      </c>
      <c r="I1375" t="s">
        <v>63</v>
      </c>
      <c r="J1375" t="s">
        <v>64</v>
      </c>
      <c r="K1375" t="s">
        <v>65</v>
      </c>
      <c r="L1375">
        <v>10</v>
      </c>
      <c r="M1375">
        <v>25000</v>
      </c>
      <c r="N1375">
        <v>0</v>
      </c>
      <c r="O1375">
        <v>250000</v>
      </c>
      <c r="P1375">
        <v>31660.51</v>
      </c>
      <c r="Q1375" t="s">
        <v>28</v>
      </c>
      <c r="R1375" t="s">
        <v>56</v>
      </c>
      <c r="S1375" t="s">
        <v>86</v>
      </c>
      <c r="T1375">
        <f>YEAR(Table1_1[[#This Row],[order_date]])</f>
        <v>2024</v>
      </c>
      <c r="U1375">
        <f>MONTH(Table1_1[[#This Row],[order_date]])</f>
        <v>4</v>
      </c>
      <c r="V1375" t="str">
        <f>TEXT(Table1_1[[#This Row],[order_date]],"mmm")</f>
        <v>Apr</v>
      </c>
      <c r="W1375" t="str">
        <f>"Q"&amp;ROUNDUP(MONTH(Table1_1[[#This Row],[order_date]])/3,0)</f>
        <v>Q2</v>
      </c>
      <c r="X1375" t="str">
        <f>TEXT(Table1_1[[#This Row],[order_date]],"yyyy-mm")</f>
        <v>2024-04</v>
      </c>
      <c r="Y1375">
        <f>IF(Table1_1[[#This Row],[ship_date]]="","",Table1_1[[#This Row],[ship_date]]-Table1_1[[#This Row],[order_date]])</f>
        <v>7</v>
      </c>
      <c r="Z1375">
        <f>ROUND(Table1_1[[#This Row],[profit]]/Table1_1[[#This Row],[sales_fix]]*100,2)</f>
        <v>12.66</v>
      </c>
    </row>
    <row r="1376" spans="1:26" x14ac:dyDescent="0.3">
      <c r="A1376" t="s">
        <v>1958</v>
      </c>
      <c r="B1376" s="1">
        <v>45742</v>
      </c>
      <c r="C1376" s="1">
        <v>45743</v>
      </c>
      <c r="D1376" t="s">
        <v>793</v>
      </c>
      <c r="E1376" t="s">
        <v>794</v>
      </c>
      <c r="F1376" t="s">
        <v>23</v>
      </c>
      <c r="G1376" t="s">
        <v>91</v>
      </c>
      <c r="H1376" t="s">
        <v>92</v>
      </c>
      <c r="I1376" t="s">
        <v>126</v>
      </c>
      <c r="J1376" t="s">
        <v>127</v>
      </c>
      <c r="K1376" t="s">
        <v>95</v>
      </c>
      <c r="L1376">
        <v>4</v>
      </c>
      <c r="M1376">
        <v>600</v>
      </c>
      <c r="N1376">
        <v>10</v>
      </c>
      <c r="O1376">
        <v>2160</v>
      </c>
      <c r="P1376">
        <v>858.04</v>
      </c>
      <c r="Q1376" t="s">
        <v>28</v>
      </c>
      <c r="R1376" t="s">
        <v>56</v>
      </c>
      <c r="S1376" t="s">
        <v>30</v>
      </c>
      <c r="T1376">
        <f>YEAR(Table1_1[[#This Row],[order_date]])</f>
        <v>2025</v>
      </c>
      <c r="U1376">
        <f>MONTH(Table1_1[[#This Row],[order_date]])</f>
        <v>3</v>
      </c>
      <c r="V1376" t="str">
        <f>TEXT(Table1_1[[#This Row],[order_date]],"mmm")</f>
        <v>Mar</v>
      </c>
      <c r="W1376" t="str">
        <f>"Q"&amp;ROUNDUP(MONTH(Table1_1[[#This Row],[order_date]])/3,0)</f>
        <v>Q1</v>
      </c>
      <c r="X1376" t="str">
        <f>TEXT(Table1_1[[#This Row],[order_date]],"yyyy-mm")</f>
        <v>2025-03</v>
      </c>
      <c r="Y1376">
        <f>IF(Table1_1[[#This Row],[ship_date]]="","",Table1_1[[#This Row],[ship_date]]-Table1_1[[#This Row],[order_date]])</f>
        <v>1</v>
      </c>
      <c r="Z1376">
        <f>ROUND(Table1_1[[#This Row],[profit]]/Table1_1[[#This Row],[sales_fix]]*100,2)</f>
        <v>39.72</v>
      </c>
    </row>
    <row r="1377" spans="1:26" x14ac:dyDescent="0.3">
      <c r="A1377" t="s">
        <v>2129</v>
      </c>
      <c r="B1377" s="1">
        <v>45872</v>
      </c>
      <c r="C1377" s="1">
        <v>45874</v>
      </c>
      <c r="D1377" t="s">
        <v>740</v>
      </c>
      <c r="E1377" t="s">
        <v>741</v>
      </c>
      <c r="F1377" t="s">
        <v>55</v>
      </c>
      <c r="G1377" t="s">
        <v>35</v>
      </c>
      <c r="H1377" t="s">
        <v>85</v>
      </c>
      <c r="I1377" t="s">
        <v>103</v>
      </c>
      <c r="J1377" t="s">
        <v>104</v>
      </c>
      <c r="K1377" t="s">
        <v>65</v>
      </c>
      <c r="L1377">
        <v>1</v>
      </c>
      <c r="M1377">
        <v>8000</v>
      </c>
      <c r="N1377">
        <v>15</v>
      </c>
      <c r="O1377">
        <v>6800</v>
      </c>
      <c r="P1377">
        <v>1833.25</v>
      </c>
      <c r="Q1377" t="s">
        <v>74</v>
      </c>
      <c r="R1377" t="s">
        <v>49</v>
      </c>
      <c r="S1377" t="s">
        <v>86</v>
      </c>
      <c r="T1377">
        <f>YEAR(Table1_1[[#This Row],[order_date]])</f>
        <v>2025</v>
      </c>
      <c r="U1377">
        <f>MONTH(Table1_1[[#This Row],[order_date]])</f>
        <v>8</v>
      </c>
      <c r="V1377" t="str">
        <f>TEXT(Table1_1[[#This Row],[order_date]],"mmm")</f>
        <v>Aug</v>
      </c>
      <c r="W1377" t="str">
        <f>"Q"&amp;ROUNDUP(MONTH(Table1_1[[#This Row],[order_date]])/3,0)</f>
        <v>Q3</v>
      </c>
      <c r="X1377" t="str">
        <f>TEXT(Table1_1[[#This Row],[order_date]],"yyyy-mm")</f>
        <v>2025-08</v>
      </c>
      <c r="Y1377">
        <f>IF(Table1_1[[#This Row],[ship_date]]="","",Table1_1[[#This Row],[ship_date]]-Table1_1[[#This Row],[order_date]])</f>
        <v>2</v>
      </c>
      <c r="Z1377">
        <f>ROUND(Table1_1[[#This Row],[profit]]/Table1_1[[#This Row],[sales_fix]]*100,2)</f>
        <v>26.96</v>
      </c>
    </row>
    <row r="1378" spans="1:26" x14ac:dyDescent="0.3">
      <c r="A1378" t="s">
        <v>2564</v>
      </c>
      <c r="B1378" s="1">
        <v>45659</v>
      </c>
      <c r="C1378" s="1">
        <v>45663</v>
      </c>
      <c r="D1378" t="s">
        <v>509</v>
      </c>
      <c r="E1378" t="s">
        <v>510</v>
      </c>
      <c r="F1378" t="s">
        <v>23</v>
      </c>
      <c r="G1378" t="s">
        <v>91</v>
      </c>
      <c r="H1378" t="s">
        <v>120</v>
      </c>
      <c r="I1378" t="s">
        <v>25</v>
      </c>
      <c r="J1378" t="s">
        <v>26</v>
      </c>
      <c r="K1378" t="s">
        <v>27</v>
      </c>
      <c r="L1378">
        <v>4</v>
      </c>
      <c r="M1378">
        <v>7000</v>
      </c>
      <c r="N1378">
        <v>0</v>
      </c>
      <c r="O1378">
        <v>28000</v>
      </c>
      <c r="P1378">
        <v>5180.26</v>
      </c>
      <c r="Q1378" t="s">
        <v>74</v>
      </c>
      <c r="R1378" t="s">
        <v>49</v>
      </c>
      <c r="S1378" t="s">
        <v>86</v>
      </c>
      <c r="T1378">
        <f>YEAR(Table1_1[[#This Row],[order_date]])</f>
        <v>2025</v>
      </c>
      <c r="U1378">
        <f>MONTH(Table1_1[[#This Row],[order_date]])</f>
        <v>1</v>
      </c>
      <c r="V1378" t="str">
        <f>TEXT(Table1_1[[#This Row],[order_date]],"mmm")</f>
        <v>Jan</v>
      </c>
      <c r="W1378" t="str">
        <f>"Q"&amp;ROUNDUP(MONTH(Table1_1[[#This Row],[order_date]])/3,0)</f>
        <v>Q1</v>
      </c>
      <c r="X1378" t="str">
        <f>TEXT(Table1_1[[#This Row],[order_date]],"yyyy-mm")</f>
        <v>2025-01</v>
      </c>
      <c r="Y1378">
        <f>IF(Table1_1[[#This Row],[ship_date]]="","",Table1_1[[#This Row],[ship_date]]-Table1_1[[#This Row],[order_date]])</f>
        <v>4</v>
      </c>
      <c r="Z1378">
        <f>ROUND(Table1_1[[#This Row],[profit]]/Table1_1[[#This Row],[sales_fix]]*100,2)</f>
        <v>18.5</v>
      </c>
    </row>
    <row r="1379" spans="1:26" x14ac:dyDescent="0.3">
      <c r="A1379" t="s">
        <v>2201</v>
      </c>
      <c r="B1379" s="1">
        <v>46007</v>
      </c>
      <c r="C1379" s="1">
        <v>46013</v>
      </c>
      <c r="D1379" t="s">
        <v>856</v>
      </c>
      <c r="E1379" t="s">
        <v>857</v>
      </c>
      <c r="F1379" t="s">
        <v>55</v>
      </c>
      <c r="G1379" t="s">
        <v>35</v>
      </c>
      <c r="H1379" t="s">
        <v>36</v>
      </c>
      <c r="I1379" t="s">
        <v>147</v>
      </c>
      <c r="J1379" t="s">
        <v>148</v>
      </c>
      <c r="K1379" t="s">
        <v>48</v>
      </c>
      <c r="L1379">
        <v>1</v>
      </c>
      <c r="M1379">
        <v>250</v>
      </c>
      <c r="N1379">
        <v>20</v>
      </c>
      <c r="O1379">
        <v>200</v>
      </c>
      <c r="P1379">
        <v>61.14</v>
      </c>
      <c r="Q1379" t="s">
        <v>156</v>
      </c>
      <c r="R1379" t="s">
        <v>49</v>
      </c>
      <c r="S1379" t="s">
        <v>110</v>
      </c>
      <c r="T1379">
        <f>YEAR(Table1_1[[#This Row],[order_date]])</f>
        <v>2025</v>
      </c>
      <c r="U1379">
        <f>MONTH(Table1_1[[#This Row],[order_date]])</f>
        <v>12</v>
      </c>
      <c r="V1379" t="str">
        <f>TEXT(Table1_1[[#This Row],[order_date]],"mmm")</f>
        <v>Dec</v>
      </c>
      <c r="W1379" t="str">
        <f>"Q"&amp;ROUNDUP(MONTH(Table1_1[[#This Row],[order_date]])/3,0)</f>
        <v>Q4</v>
      </c>
      <c r="X1379" t="str">
        <f>TEXT(Table1_1[[#This Row],[order_date]],"yyyy-mm")</f>
        <v>2025-12</v>
      </c>
      <c r="Y1379">
        <f>IF(Table1_1[[#This Row],[ship_date]]="","",Table1_1[[#This Row],[ship_date]]-Table1_1[[#This Row],[order_date]])</f>
        <v>6</v>
      </c>
      <c r="Z1379">
        <f>ROUND(Table1_1[[#This Row],[profit]]/Table1_1[[#This Row],[sales_fix]]*100,2)</f>
        <v>30.57</v>
      </c>
    </row>
    <row r="1380" spans="1:26" x14ac:dyDescent="0.3">
      <c r="A1380" t="s">
        <v>2055</v>
      </c>
      <c r="B1380" s="1">
        <v>45383</v>
      </c>
      <c r="C1380" s="1">
        <v>45387</v>
      </c>
      <c r="D1380" t="s">
        <v>450</v>
      </c>
      <c r="E1380" t="s">
        <v>451</v>
      </c>
      <c r="F1380" t="s">
        <v>55</v>
      </c>
      <c r="G1380" t="s">
        <v>61</v>
      </c>
      <c r="H1380" t="s">
        <v>62</v>
      </c>
      <c r="I1380" t="s">
        <v>147</v>
      </c>
      <c r="J1380" t="s">
        <v>148</v>
      </c>
      <c r="K1380" t="s">
        <v>48</v>
      </c>
      <c r="L1380">
        <v>1</v>
      </c>
      <c r="M1380">
        <v>250</v>
      </c>
      <c r="N1380">
        <v>10</v>
      </c>
      <c r="O1380">
        <v>225</v>
      </c>
      <c r="P1380">
        <v>82.38</v>
      </c>
      <c r="Q1380" t="s">
        <v>74</v>
      </c>
      <c r="R1380" t="s">
        <v>49</v>
      </c>
      <c r="S1380" t="s">
        <v>86</v>
      </c>
      <c r="T1380">
        <f>YEAR(Table1_1[[#This Row],[order_date]])</f>
        <v>2024</v>
      </c>
      <c r="U1380">
        <f>MONTH(Table1_1[[#This Row],[order_date]])</f>
        <v>4</v>
      </c>
      <c r="V1380" t="str">
        <f>TEXT(Table1_1[[#This Row],[order_date]],"mmm")</f>
        <v>Apr</v>
      </c>
      <c r="W1380" t="str">
        <f>"Q"&amp;ROUNDUP(MONTH(Table1_1[[#This Row],[order_date]])/3,0)</f>
        <v>Q2</v>
      </c>
      <c r="X1380" t="str">
        <f>TEXT(Table1_1[[#This Row],[order_date]],"yyyy-mm")</f>
        <v>2024-04</v>
      </c>
      <c r="Y1380">
        <f>IF(Table1_1[[#This Row],[ship_date]]="","",Table1_1[[#This Row],[ship_date]]-Table1_1[[#This Row],[order_date]])</f>
        <v>4</v>
      </c>
      <c r="Z1380">
        <f>ROUND(Table1_1[[#This Row],[profit]]/Table1_1[[#This Row],[sales_fix]]*100,2)</f>
        <v>36.61</v>
      </c>
    </row>
    <row r="1381" spans="1:26" x14ac:dyDescent="0.3">
      <c r="A1381" t="s">
        <v>1030</v>
      </c>
      <c r="B1381" s="1">
        <v>45707</v>
      </c>
      <c r="C1381" s="1">
        <v>45714</v>
      </c>
      <c r="D1381" t="s">
        <v>1031</v>
      </c>
      <c r="E1381" t="s">
        <v>1032</v>
      </c>
      <c r="F1381" t="s">
        <v>23</v>
      </c>
      <c r="G1381" t="s">
        <v>61</v>
      </c>
      <c r="H1381" t="s">
        <v>211</v>
      </c>
      <c r="I1381" t="s">
        <v>126</v>
      </c>
      <c r="J1381" t="s">
        <v>127</v>
      </c>
      <c r="K1381" t="s">
        <v>95</v>
      </c>
      <c r="L1381">
        <v>1</v>
      </c>
      <c r="M1381">
        <v>600</v>
      </c>
      <c r="N1381">
        <v>5</v>
      </c>
      <c r="O1381">
        <v>570</v>
      </c>
      <c r="P1381">
        <v>207.02</v>
      </c>
      <c r="Q1381" t="s">
        <v>121</v>
      </c>
      <c r="R1381" t="s">
        <v>49</v>
      </c>
      <c r="S1381" t="s">
        <v>30</v>
      </c>
      <c r="T1381">
        <f>YEAR(Table1_1[[#This Row],[order_date]])</f>
        <v>2025</v>
      </c>
      <c r="U1381">
        <f>MONTH(Table1_1[[#This Row],[order_date]])</f>
        <v>2</v>
      </c>
      <c r="V1381" t="str">
        <f>TEXT(Table1_1[[#This Row],[order_date]],"mmm")</f>
        <v>Feb</v>
      </c>
      <c r="W1381" t="str">
        <f>"Q"&amp;ROUNDUP(MONTH(Table1_1[[#This Row],[order_date]])/3,0)</f>
        <v>Q1</v>
      </c>
      <c r="X1381" t="str">
        <f>TEXT(Table1_1[[#This Row],[order_date]],"yyyy-mm")</f>
        <v>2025-02</v>
      </c>
      <c r="Y1381">
        <f>IF(Table1_1[[#This Row],[ship_date]]="","",Table1_1[[#This Row],[ship_date]]-Table1_1[[#This Row],[order_date]])</f>
        <v>7</v>
      </c>
      <c r="Z1381">
        <f>ROUND(Table1_1[[#This Row],[profit]]/Table1_1[[#This Row],[sales_fix]]*100,2)</f>
        <v>36.32</v>
      </c>
    </row>
    <row r="1382" spans="1:26" x14ac:dyDescent="0.3">
      <c r="A1382" t="s">
        <v>1784</v>
      </c>
      <c r="B1382" s="1">
        <v>45740</v>
      </c>
      <c r="C1382" s="1">
        <v>45743</v>
      </c>
      <c r="D1382" t="s">
        <v>409</v>
      </c>
      <c r="E1382" t="s">
        <v>410</v>
      </c>
      <c r="F1382" t="s">
        <v>23</v>
      </c>
      <c r="G1382" t="s">
        <v>61</v>
      </c>
      <c r="H1382" t="s">
        <v>125</v>
      </c>
      <c r="I1382" t="s">
        <v>37</v>
      </c>
      <c r="J1382" t="s">
        <v>38</v>
      </c>
      <c r="K1382" t="s">
        <v>27</v>
      </c>
      <c r="L1382">
        <v>4</v>
      </c>
      <c r="M1382">
        <v>9500</v>
      </c>
      <c r="N1382">
        <v>20</v>
      </c>
      <c r="O1382">
        <v>30400</v>
      </c>
      <c r="P1382">
        <v>4643.22</v>
      </c>
      <c r="Q1382" t="s">
        <v>74</v>
      </c>
      <c r="R1382" t="s">
        <v>29</v>
      </c>
      <c r="S1382" t="s">
        <v>86</v>
      </c>
      <c r="T1382">
        <f>YEAR(Table1_1[[#This Row],[order_date]])</f>
        <v>2025</v>
      </c>
      <c r="U1382">
        <f>MONTH(Table1_1[[#This Row],[order_date]])</f>
        <v>3</v>
      </c>
      <c r="V1382" t="str">
        <f>TEXT(Table1_1[[#This Row],[order_date]],"mmm")</f>
        <v>Mar</v>
      </c>
      <c r="W1382" t="str">
        <f>"Q"&amp;ROUNDUP(MONTH(Table1_1[[#This Row],[order_date]])/3,0)</f>
        <v>Q1</v>
      </c>
      <c r="X1382" t="str">
        <f>TEXT(Table1_1[[#This Row],[order_date]],"yyyy-mm")</f>
        <v>2025-03</v>
      </c>
      <c r="Y1382">
        <f>IF(Table1_1[[#This Row],[ship_date]]="","",Table1_1[[#This Row],[ship_date]]-Table1_1[[#This Row],[order_date]])</f>
        <v>3</v>
      </c>
      <c r="Z1382">
        <f>ROUND(Table1_1[[#This Row],[profit]]/Table1_1[[#This Row],[sales_fix]]*100,2)</f>
        <v>15.27</v>
      </c>
    </row>
    <row r="1383" spans="1:26" x14ac:dyDescent="0.3">
      <c r="A1383" t="s">
        <v>2070</v>
      </c>
      <c r="B1383" s="1">
        <v>45609</v>
      </c>
      <c r="C1383" s="1">
        <v>45612</v>
      </c>
      <c r="D1383" t="s">
        <v>21</v>
      </c>
      <c r="E1383" t="s">
        <v>22</v>
      </c>
      <c r="F1383" t="s">
        <v>23</v>
      </c>
      <c r="G1383" t="s">
        <v>44</v>
      </c>
      <c r="H1383" t="s">
        <v>24</v>
      </c>
      <c r="I1383" t="s">
        <v>93</v>
      </c>
      <c r="J1383" t="s">
        <v>94</v>
      </c>
      <c r="K1383" t="s">
        <v>95</v>
      </c>
      <c r="L1383">
        <v>3</v>
      </c>
      <c r="M1383">
        <v>1800</v>
      </c>
      <c r="N1383">
        <v>10</v>
      </c>
      <c r="O1383">
        <v>4860</v>
      </c>
      <c r="P1383">
        <v>1392.24</v>
      </c>
      <c r="Q1383" t="s">
        <v>28</v>
      </c>
      <c r="R1383" t="s">
        <v>56</v>
      </c>
      <c r="S1383" t="s">
        <v>86</v>
      </c>
      <c r="T1383">
        <f>YEAR(Table1_1[[#This Row],[order_date]])</f>
        <v>2024</v>
      </c>
      <c r="U1383">
        <f>MONTH(Table1_1[[#This Row],[order_date]])</f>
        <v>11</v>
      </c>
      <c r="V1383" t="str">
        <f>TEXT(Table1_1[[#This Row],[order_date]],"mmm")</f>
        <v>Nov</v>
      </c>
      <c r="W1383" t="str">
        <f>"Q"&amp;ROUNDUP(MONTH(Table1_1[[#This Row],[order_date]])/3,0)</f>
        <v>Q4</v>
      </c>
      <c r="X1383" t="str">
        <f>TEXT(Table1_1[[#This Row],[order_date]],"yyyy-mm")</f>
        <v>2024-11</v>
      </c>
      <c r="Y1383">
        <f>IF(Table1_1[[#This Row],[ship_date]]="","",Table1_1[[#This Row],[ship_date]]-Table1_1[[#This Row],[order_date]])</f>
        <v>3</v>
      </c>
      <c r="Z1383">
        <f>ROUND(Table1_1[[#This Row],[profit]]/Table1_1[[#This Row],[sales_fix]]*100,2)</f>
        <v>28.65</v>
      </c>
    </row>
    <row r="1384" spans="1:26" x14ac:dyDescent="0.3">
      <c r="A1384" t="s">
        <v>1490</v>
      </c>
      <c r="B1384" s="1">
        <v>45384</v>
      </c>
      <c r="C1384" s="1">
        <v>45389</v>
      </c>
      <c r="D1384" t="s">
        <v>959</v>
      </c>
      <c r="E1384" t="s">
        <v>960</v>
      </c>
      <c r="F1384" t="s">
        <v>34</v>
      </c>
      <c r="G1384" t="s">
        <v>35</v>
      </c>
      <c r="H1384" t="s">
        <v>187</v>
      </c>
      <c r="I1384" t="s">
        <v>63</v>
      </c>
      <c r="J1384" t="s">
        <v>64</v>
      </c>
      <c r="K1384" t="s">
        <v>65</v>
      </c>
      <c r="L1384">
        <v>3</v>
      </c>
      <c r="M1384">
        <v>25000</v>
      </c>
      <c r="N1384">
        <v>15</v>
      </c>
      <c r="O1384">
        <v>63750</v>
      </c>
      <c r="P1384">
        <v>9562.5</v>
      </c>
      <c r="Q1384" t="s">
        <v>121</v>
      </c>
      <c r="R1384" t="s">
        <v>56</v>
      </c>
      <c r="S1384" t="s">
        <v>110</v>
      </c>
      <c r="T1384">
        <f>YEAR(Table1_1[[#This Row],[order_date]])</f>
        <v>2024</v>
      </c>
      <c r="U1384">
        <f>MONTH(Table1_1[[#This Row],[order_date]])</f>
        <v>4</v>
      </c>
      <c r="V1384" t="str">
        <f>TEXT(Table1_1[[#This Row],[order_date]],"mmm")</f>
        <v>Apr</v>
      </c>
      <c r="W1384" t="str">
        <f>"Q"&amp;ROUNDUP(MONTH(Table1_1[[#This Row],[order_date]])/3,0)</f>
        <v>Q2</v>
      </c>
      <c r="X1384" t="str">
        <f>TEXT(Table1_1[[#This Row],[order_date]],"yyyy-mm")</f>
        <v>2024-04</v>
      </c>
      <c r="Y1384">
        <f>IF(Table1_1[[#This Row],[ship_date]]="","",Table1_1[[#This Row],[ship_date]]-Table1_1[[#This Row],[order_date]])</f>
        <v>5</v>
      </c>
      <c r="Z1384">
        <f>ROUND(Table1_1[[#This Row],[profit]]/Table1_1[[#This Row],[sales_fix]]*100,2)</f>
        <v>15</v>
      </c>
    </row>
    <row r="1385" spans="1:26" x14ac:dyDescent="0.3">
      <c r="A1385" t="s">
        <v>2532</v>
      </c>
      <c r="B1385" s="1">
        <v>45698</v>
      </c>
      <c r="C1385" s="1">
        <v>45703</v>
      </c>
      <c r="D1385" t="s">
        <v>241</v>
      </c>
      <c r="E1385" t="s">
        <v>242</v>
      </c>
      <c r="F1385" t="s">
        <v>55</v>
      </c>
      <c r="G1385" t="s">
        <v>91</v>
      </c>
      <c r="H1385" t="s">
        <v>120</v>
      </c>
      <c r="I1385" t="s">
        <v>37</v>
      </c>
      <c r="J1385" t="s">
        <v>38</v>
      </c>
      <c r="K1385" t="s">
        <v>27</v>
      </c>
      <c r="L1385">
        <v>1</v>
      </c>
      <c r="M1385">
        <v>9500</v>
      </c>
      <c r="N1385">
        <v>5</v>
      </c>
      <c r="O1385">
        <v>9025</v>
      </c>
      <c r="P1385">
        <v>1338.32</v>
      </c>
      <c r="Q1385" t="s">
        <v>39</v>
      </c>
      <c r="R1385" t="s">
        <v>56</v>
      </c>
      <c r="S1385" t="s">
        <v>86</v>
      </c>
      <c r="T1385">
        <f>YEAR(Table1_1[[#This Row],[order_date]])</f>
        <v>2025</v>
      </c>
      <c r="U1385">
        <f>MONTH(Table1_1[[#This Row],[order_date]])</f>
        <v>2</v>
      </c>
      <c r="V1385" t="str">
        <f>TEXT(Table1_1[[#This Row],[order_date]],"mmm")</f>
        <v>Feb</v>
      </c>
      <c r="W1385" t="str">
        <f>"Q"&amp;ROUNDUP(MONTH(Table1_1[[#This Row],[order_date]])/3,0)</f>
        <v>Q1</v>
      </c>
      <c r="X1385" t="str">
        <f>TEXT(Table1_1[[#This Row],[order_date]],"yyyy-mm")</f>
        <v>2025-02</v>
      </c>
      <c r="Y1385">
        <f>IF(Table1_1[[#This Row],[ship_date]]="","",Table1_1[[#This Row],[ship_date]]-Table1_1[[#This Row],[order_date]])</f>
        <v>5</v>
      </c>
      <c r="Z1385">
        <f>ROUND(Table1_1[[#This Row],[profit]]/Table1_1[[#This Row],[sales_fix]]*100,2)</f>
        <v>14.83</v>
      </c>
    </row>
    <row r="1386" spans="1:26" x14ac:dyDescent="0.3">
      <c r="A1386" t="s">
        <v>2976</v>
      </c>
      <c r="B1386" s="1">
        <v>45745</v>
      </c>
      <c r="C1386" s="1">
        <v>45750</v>
      </c>
      <c r="D1386" t="s">
        <v>2043</v>
      </c>
      <c r="E1386" t="s">
        <v>2044</v>
      </c>
      <c r="F1386" t="s">
        <v>55</v>
      </c>
      <c r="G1386" t="s">
        <v>61</v>
      </c>
      <c r="H1386" t="s">
        <v>125</v>
      </c>
      <c r="I1386" t="s">
        <v>103</v>
      </c>
      <c r="J1386" t="s">
        <v>104</v>
      </c>
      <c r="K1386" t="s">
        <v>65</v>
      </c>
      <c r="L1386">
        <v>4</v>
      </c>
      <c r="M1386">
        <v>8000</v>
      </c>
      <c r="N1386">
        <v>0</v>
      </c>
      <c r="O1386">
        <v>32000</v>
      </c>
      <c r="P1386">
        <v>7353.56</v>
      </c>
      <c r="Q1386" t="s">
        <v>66</v>
      </c>
      <c r="R1386" t="s">
        <v>49</v>
      </c>
      <c r="S1386" t="s">
        <v>50</v>
      </c>
      <c r="T1386">
        <f>YEAR(Table1_1[[#This Row],[order_date]])</f>
        <v>2025</v>
      </c>
      <c r="U1386">
        <f>MONTH(Table1_1[[#This Row],[order_date]])</f>
        <v>3</v>
      </c>
      <c r="V1386" t="str">
        <f>TEXT(Table1_1[[#This Row],[order_date]],"mmm")</f>
        <v>Mar</v>
      </c>
      <c r="W1386" t="str">
        <f>"Q"&amp;ROUNDUP(MONTH(Table1_1[[#This Row],[order_date]])/3,0)</f>
        <v>Q1</v>
      </c>
      <c r="X1386" t="str">
        <f>TEXT(Table1_1[[#This Row],[order_date]],"yyyy-mm")</f>
        <v>2025-03</v>
      </c>
      <c r="Y1386">
        <f>IF(Table1_1[[#This Row],[ship_date]]="","",Table1_1[[#This Row],[ship_date]]-Table1_1[[#This Row],[order_date]])</f>
        <v>5</v>
      </c>
      <c r="Z1386">
        <f>ROUND(Table1_1[[#This Row],[profit]]/Table1_1[[#This Row],[sales_fix]]*100,2)</f>
        <v>22.98</v>
      </c>
    </row>
    <row r="1387" spans="1:26" x14ac:dyDescent="0.3">
      <c r="A1387" t="s">
        <v>2587</v>
      </c>
      <c r="B1387" s="1">
        <v>45523</v>
      </c>
      <c r="C1387" s="1">
        <v>45524</v>
      </c>
      <c r="D1387" t="s">
        <v>896</v>
      </c>
      <c r="E1387" t="s">
        <v>897</v>
      </c>
      <c r="F1387" t="s">
        <v>55</v>
      </c>
      <c r="G1387" t="s">
        <v>35</v>
      </c>
      <c r="H1387" t="s">
        <v>258</v>
      </c>
      <c r="I1387" t="s">
        <v>103</v>
      </c>
      <c r="J1387" t="s">
        <v>104</v>
      </c>
      <c r="K1387" t="s">
        <v>65</v>
      </c>
      <c r="L1387">
        <v>2</v>
      </c>
      <c r="M1387">
        <v>8000</v>
      </c>
      <c r="N1387">
        <v>20</v>
      </c>
      <c r="O1387">
        <v>12800</v>
      </c>
      <c r="P1387">
        <v>2516.44</v>
      </c>
      <c r="Q1387" t="s">
        <v>74</v>
      </c>
      <c r="R1387" t="s">
        <v>29</v>
      </c>
      <c r="S1387" t="s">
        <v>86</v>
      </c>
      <c r="T1387">
        <f>YEAR(Table1_1[[#This Row],[order_date]])</f>
        <v>2024</v>
      </c>
      <c r="U1387">
        <f>MONTH(Table1_1[[#This Row],[order_date]])</f>
        <v>8</v>
      </c>
      <c r="V1387" t="str">
        <f>TEXT(Table1_1[[#This Row],[order_date]],"mmm")</f>
        <v>Aug</v>
      </c>
      <c r="W1387" t="str">
        <f>"Q"&amp;ROUNDUP(MONTH(Table1_1[[#This Row],[order_date]])/3,0)</f>
        <v>Q3</v>
      </c>
      <c r="X1387" t="str">
        <f>TEXT(Table1_1[[#This Row],[order_date]],"yyyy-mm")</f>
        <v>2024-08</v>
      </c>
      <c r="Y1387">
        <f>IF(Table1_1[[#This Row],[ship_date]]="","",Table1_1[[#This Row],[ship_date]]-Table1_1[[#This Row],[order_date]])</f>
        <v>1</v>
      </c>
      <c r="Z1387">
        <f>ROUND(Table1_1[[#This Row],[profit]]/Table1_1[[#This Row],[sales_fix]]*100,2)</f>
        <v>19.66</v>
      </c>
    </row>
    <row r="1388" spans="1:26" x14ac:dyDescent="0.3">
      <c r="A1388" t="s">
        <v>2514</v>
      </c>
      <c r="B1388" s="1">
        <v>45716</v>
      </c>
      <c r="C1388" s="1">
        <v>45719</v>
      </c>
      <c r="D1388" t="s">
        <v>32</v>
      </c>
      <c r="E1388" t="s">
        <v>33</v>
      </c>
      <c r="F1388" t="s">
        <v>34</v>
      </c>
      <c r="G1388" t="s">
        <v>35</v>
      </c>
      <c r="H1388" t="s">
        <v>36</v>
      </c>
      <c r="I1388" t="s">
        <v>147</v>
      </c>
      <c r="J1388" t="s">
        <v>148</v>
      </c>
      <c r="K1388" t="s">
        <v>48</v>
      </c>
      <c r="L1388">
        <v>2</v>
      </c>
      <c r="M1388">
        <v>250</v>
      </c>
      <c r="N1388">
        <v>10</v>
      </c>
      <c r="O1388">
        <v>450</v>
      </c>
      <c r="P1388">
        <v>139.84</v>
      </c>
      <c r="Q1388" t="s">
        <v>39</v>
      </c>
      <c r="R1388" t="s">
        <v>56</v>
      </c>
      <c r="S1388" t="s">
        <v>30</v>
      </c>
      <c r="T1388">
        <f>YEAR(Table1_1[[#This Row],[order_date]])</f>
        <v>2025</v>
      </c>
      <c r="U1388">
        <f>MONTH(Table1_1[[#This Row],[order_date]])</f>
        <v>2</v>
      </c>
      <c r="V1388" t="str">
        <f>TEXT(Table1_1[[#This Row],[order_date]],"mmm")</f>
        <v>Feb</v>
      </c>
      <c r="W1388" t="str">
        <f>"Q"&amp;ROUNDUP(MONTH(Table1_1[[#This Row],[order_date]])/3,0)</f>
        <v>Q1</v>
      </c>
      <c r="X1388" t="str">
        <f>TEXT(Table1_1[[#This Row],[order_date]],"yyyy-mm")</f>
        <v>2025-02</v>
      </c>
      <c r="Y1388">
        <f>IF(Table1_1[[#This Row],[ship_date]]="","",Table1_1[[#This Row],[ship_date]]-Table1_1[[#This Row],[order_date]])</f>
        <v>3</v>
      </c>
      <c r="Z1388">
        <f>ROUND(Table1_1[[#This Row],[profit]]/Table1_1[[#This Row],[sales_fix]]*100,2)</f>
        <v>31.08</v>
      </c>
    </row>
    <row r="1389" spans="1:26" x14ac:dyDescent="0.3">
      <c r="A1389" t="s">
        <v>892</v>
      </c>
      <c r="B1389" s="1">
        <v>45559</v>
      </c>
      <c r="C1389" s="1">
        <v>45564</v>
      </c>
      <c r="D1389" t="s">
        <v>477</v>
      </c>
      <c r="E1389" t="s">
        <v>478</v>
      </c>
      <c r="F1389" t="s">
        <v>34</v>
      </c>
      <c r="G1389" t="s">
        <v>44</v>
      </c>
      <c r="H1389" t="s">
        <v>161</v>
      </c>
      <c r="I1389" t="s">
        <v>134</v>
      </c>
      <c r="J1389" t="s">
        <v>135</v>
      </c>
      <c r="K1389" t="s">
        <v>27</v>
      </c>
      <c r="L1389">
        <v>3</v>
      </c>
      <c r="M1389">
        <v>6000</v>
      </c>
      <c r="N1389">
        <v>0</v>
      </c>
      <c r="O1389">
        <v>18000</v>
      </c>
      <c r="P1389">
        <v>4412.32</v>
      </c>
      <c r="Q1389" t="s">
        <v>28</v>
      </c>
      <c r="R1389" t="s">
        <v>49</v>
      </c>
      <c r="S1389" t="s">
        <v>110</v>
      </c>
      <c r="T1389">
        <f>YEAR(Table1_1[[#This Row],[order_date]])</f>
        <v>2024</v>
      </c>
      <c r="U1389">
        <f>MONTH(Table1_1[[#This Row],[order_date]])</f>
        <v>9</v>
      </c>
      <c r="V1389" t="str">
        <f>TEXT(Table1_1[[#This Row],[order_date]],"mmm")</f>
        <v>Sep</v>
      </c>
      <c r="W1389" t="str">
        <f>"Q"&amp;ROUNDUP(MONTH(Table1_1[[#This Row],[order_date]])/3,0)</f>
        <v>Q3</v>
      </c>
      <c r="X1389" t="str">
        <f>TEXT(Table1_1[[#This Row],[order_date]],"yyyy-mm")</f>
        <v>2024-09</v>
      </c>
      <c r="Y1389">
        <f>IF(Table1_1[[#This Row],[ship_date]]="","",Table1_1[[#This Row],[ship_date]]-Table1_1[[#This Row],[order_date]])</f>
        <v>5</v>
      </c>
      <c r="Z1389">
        <f>ROUND(Table1_1[[#This Row],[profit]]/Table1_1[[#This Row],[sales_fix]]*100,2)</f>
        <v>24.51</v>
      </c>
    </row>
    <row r="1390" spans="1:26" x14ac:dyDescent="0.3">
      <c r="A1390" t="s">
        <v>1404</v>
      </c>
      <c r="B1390" s="1">
        <v>45845</v>
      </c>
      <c r="C1390" s="1">
        <v>45849</v>
      </c>
      <c r="D1390" t="s">
        <v>973</v>
      </c>
      <c r="E1390" t="s">
        <v>974</v>
      </c>
      <c r="F1390" t="s">
        <v>34</v>
      </c>
      <c r="G1390" t="s">
        <v>91</v>
      </c>
      <c r="H1390" t="s">
        <v>177</v>
      </c>
      <c r="I1390" t="s">
        <v>37</v>
      </c>
      <c r="J1390" t="s">
        <v>38</v>
      </c>
      <c r="K1390" t="s">
        <v>27</v>
      </c>
      <c r="L1390">
        <v>1</v>
      </c>
      <c r="M1390">
        <v>9500</v>
      </c>
      <c r="N1390">
        <v>15</v>
      </c>
      <c r="O1390">
        <v>8075</v>
      </c>
      <c r="P1390">
        <v>1615</v>
      </c>
      <c r="Q1390" t="s">
        <v>39</v>
      </c>
      <c r="R1390" t="s">
        <v>56</v>
      </c>
      <c r="S1390" t="s">
        <v>50</v>
      </c>
      <c r="T1390">
        <f>YEAR(Table1_1[[#This Row],[order_date]])</f>
        <v>2025</v>
      </c>
      <c r="U1390">
        <f>MONTH(Table1_1[[#This Row],[order_date]])</f>
        <v>7</v>
      </c>
      <c r="V1390" t="str">
        <f>TEXT(Table1_1[[#This Row],[order_date]],"mmm")</f>
        <v>Jul</v>
      </c>
      <c r="W1390" t="str">
        <f>"Q"&amp;ROUNDUP(MONTH(Table1_1[[#This Row],[order_date]])/3,0)</f>
        <v>Q3</v>
      </c>
      <c r="X1390" t="str">
        <f>TEXT(Table1_1[[#This Row],[order_date]],"yyyy-mm")</f>
        <v>2025-07</v>
      </c>
      <c r="Y1390">
        <f>IF(Table1_1[[#This Row],[ship_date]]="","",Table1_1[[#This Row],[ship_date]]-Table1_1[[#This Row],[order_date]])</f>
        <v>4</v>
      </c>
      <c r="Z1390">
        <f>ROUND(Table1_1[[#This Row],[profit]]/Table1_1[[#This Row],[sales_fix]]*100,2)</f>
        <v>20</v>
      </c>
    </row>
    <row r="1391" spans="1:26" x14ac:dyDescent="0.3">
      <c r="A1391" t="s">
        <v>2757</v>
      </c>
      <c r="B1391" s="1">
        <v>46017</v>
      </c>
      <c r="C1391" s="1">
        <v>46021</v>
      </c>
      <c r="D1391" t="s">
        <v>203</v>
      </c>
      <c r="E1391" t="s">
        <v>204</v>
      </c>
      <c r="F1391" t="s">
        <v>23</v>
      </c>
      <c r="G1391" t="s">
        <v>44</v>
      </c>
      <c r="H1391" t="s">
        <v>45</v>
      </c>
      <c r="I1391" t="s">
        <v>46</v>
      </c>
      <c r="J1391" t="s">
        <v>47</v>
      </c>
      <c r="K1391" t="s">
        <v>48</v>
      </c>
      <c r="L1391">
        <v>1</v>
      </c>
      <c r="M1391">
        <v>180</v>
      </c>
      <c r="N1391">
        <v>20</v>
      </c>
      <c r="O1391">
        <v>144</v>
      </c>
      <c r="P1391">
        <v>66.78</v>
      </c>
      <c r="Q1391" t="s">
        <v>156</v>
      </c>
      <c r="R1391" t="s">
        <v>49</v>
      </c>
      <c r="S1391" t="s">
        <v>40</v>
      </c>
      <c r="T1391">
        <f>YEAR(Table1_1[[#This Row],[order_date]])</f>
        <v>2025</v>
      </c>
      <c r="U1391">
        <f>MONTH(Table1_1[[#This Row],[order_date]])</f>
        <v>12</v>
      </c>
      <c r="V1391" t="str">
        <f>TEXT(Table1_1[[#This Row],[order_date]],"mmm")</f>
        <v>Dec</v>
      </c>
      <c r="W1391" t="str">
        <f>"Q"&amp;ROUNDUP(MONTH(Table1_1[[#This Row],[order_date]])/3,0)</f>
        <v>Q4</v>
      </c>
      <c r="X1391" t="str">
        <f>TEXT(Table1_1[[#This Row],[order_date]],"yyyy-mm")</f>
        <v>2025-12</v>
      </c>
      <c r="Y1391">
        <f>IF(Table1_1[[#This Row],[ship_date]]="","",Table1_1[[#This Row],[ship_date]]-Table1_1[[#This Row],[order_date]])</f>
        <v>4</v>
      </c>
      <c r="Z1391">
        <f>ROUND(Table1_1[[#This Row],[profit]]/Table1_1[[#This Row],[sales_fix]]*100,2)</f>
        <v>46.38</v>
      </c>
    </row>
    <row r="1392" spans="1:26" x14ac:dyDescent="0.3">
      <c r="A1392" t="s">
        <v>1201</v>
      </c>
      <c r="B1392" s="1">
        <v>45567</v>
      </c>
      <c r="C1392" s="1"/>
      <c r="D1392" t="s">
        <v>1202</v>
      </c>
      <c r="E1392" t="s">
        <v>1203</v>
      </c>
      <c r="F1392" t="s">
        <v>34</v>
      </c>
      <c r="G1392" t="s">
        <v>44</v>
      </c>
      <c r="H1392" t="s">
        <v>24</v>
      </c>
      <c r="I1392" t="s">
        <v>147</v>
      </c>
      <c r="J1392" t="s">
        <v>148</v>
      </c>
      <c r="K1392" t="s">
        <v>48</v>
      </c>
      <c r="L1392">
        <v>1</v>
      </c>
      <c r="M1392">
        <v>250</v>
      </c>
      <c r="N1392">
        <v>10</v>
      </c>
      <c r="O1392">
        <v>225</v>
      </c>
      <c r="P1392">
        <v>78.760000000000005</v>
      </c>
      <c r="Q1392" t="s">
        <v>66</v>
      </c>
      <c r="R1392" t="s">
        <v>29</v>
      </c>
      <c r="S1392" t="s">
        <v>86</v>
      </c>
      <c r="T1392">
        <f>YEAR(Table1_1[[#This Row],[order_date]])</f>
        <v>2024</v>
      </c>
      <c r="U1392">
        <f>MONTH(Table1_1[[#This Row],[order_date]])</f>
        <v>10</v>
      </c>
      <c r="V1392" t="str">
        <f>TEXT(Table1_1[[#This Row],[order_date]],"mmm")</f>
        <v>Oct</v>
      </c>
      <c r="W1392" t="str">
        <f>"Q"&amp;ROUNDUP(MONTH(Table1_1[[#This Row],[order_date]])/3,0)</f>
        <v>Q4</v>
      </c>
      <c r="X1392" t="str">
        <f>TEXT(Table1_1[[#This Row],[order_date]],"yyyy-mm")</f>
        <v>2024-10</v>
      </c>
      <c r="Y1392" t="str">
        <f>IF(Table1_1[[#This Row],[ship_date]]="","",Table1_1[[#This Row],[ship_date]]-Table1_1[[#This Row],[order_date]])</f>
        <v/>
      </c>
      <c r="Z1392">
        <f>ROUND(Table1_1[[#This Row],[profit]]/Table1_1[[#This Row],[sales_fix]]*100,2)</f>
        <v>35</v>
      </c>
    </row>
    <row r="1393" spans="1:26" x14ac:dyDescent="0.3">
      <c r="A1393" t="s">
        <v>1515</v>
      </c>
      <c r="B1393" s="1">
        <v>45864</v>
      </c>
      <c r="C1393" s="1">
        <v>45867</v>
      </c>
      <c r="D1393" t="s">
        <v>42</v>
      </c>
      <c r="E1393" t="s">
        <v>43</v>
      </c>
      <c r="F1393" t="s">
        <v>23</v>
      </c>
      <c r="G1393" t="s">
        <v>44</v>
      </c>
      <c r="H1393" t="s">
        <v>45</v>
      </c>
      <c r="I1393" t="s">
        <v>147</v>
      </c>
      <c r="J1393" t="s">
        <v>148</v>
      </c>
      <c r="K1393" t="s">
        <v>48</v>
      </c>
      <c r="L1393">
        <v>3</v>
      </c>
      <c r="M1393">
        <v>250</v>
      </c>
      <c r="N1393">
        <v>0</v>
      </c>
      <c r="O1393">
        <v>750</v>
      </c>
      <c r="P1393">
        <v>267.2</v>
      </c>
      <c r="Q1393" t="s">
        <v>66</v>
      </c>
      <c r="R1393" t="s">
        <v>56</v>
      </c>
      <c r="S1393" t="s">
        <v>110</v>
      </c>
      <c r="T1393">
        <f>YEAR(Table1_1[[#This Row],[order_date]])</f>
        <v>2025</v>
      </c>
      <c r="U1393">
        <f>MONTH(Table1_1[[#This Row],[order_date]])</f>
        <v>7</v>
      </c>
      <c r="V1393" t="str">
        <f>TEXT(Table1_1[[#This Row],[order_date]],"mmm")</f>
        <v>Jul</v>
      </c>
      <c r="W1393" t="str">
        <f>"Q"&amp;ROUNDUP(MONTH(Table1_1[[#This Row],[order_date]])/3,0)</f>
        <v>Q3</v>
      </c>
      <c r="X1393" t="str">
        <f>TEXT(Table1_1[[#This Row],[order_date]],"yyyy-mm")</f>
        <v>2025-07</v>
      </c>
      <c r="Y1393">
        <f>IF(Table1_1[[#This Row],[ship_date]]="","",Table1_1[[#This Row],[ship_date]]-Table1_1[[#This Row],[order_date]])</f>
        <v>3</v>
      </c>
      <c r="Z1393">
        <f>ROUND(Table1_1[[#This Row],[profit]]/Table1_1[[#This Row],[sales_fix]]*100,2)</f>
        <v>35.630000000000003</v>
      </c>
    </row>
    <row r="1394" spans="1:26" x14ac:dyDescent="0.3">
      <c r="A1394" t="s">
        <v>2317</v>
      </c>
      <c r="B1394" s="1">
        <v>45574</v>
      </c>
      <c r="C1394" s="1">
        <v>45582</v>
      </c>
      <c r="D1394" t="s">
        <v>138</v>
      </c>
      <c r="E1394" t="s">
        <v>139</v>
      </c>
      <c r="F1394" t="s">
        <v>55</v>
      </c>
      <c r="G1394" t="s">
        <v>35</v>
      </c>
      <c r="H1394" t="s">
        <v>36</v>
      </c>
      <c r="I1394" t="s">
        <v>71</v>
      </c>
      <c r="J1394" t="s">
        <v>72</v>
      </c>
      <c r="K1394" t="s">
        <v>73</v>
      </c>
      <c r="L1394">
        <v>5</v>
      </c>
      <c r="M1394">
        <v>3500</v>
      </c>
      <c r="N1394">
        <v>15</v>
      </c>
      <c r="O1394">
        <v>14875</v>
      </c>
      <c r="P1394">
        <v>3384.51</v>
      </c>
      <c r="Q1394" t="s">
        <v>28</v>
      </c>
      <c r="R1394" t="s">
        <v>56</v>
      </c>
      <c r="S1394" t="s">
        <v>50</v>
      </c>
      <c r="T1394">
        <f>YEAR(Table1_1[[#This Row],[order_date]])</f>
        <v>2024</v>
      </c>
      <c r="U1394">
        <f>MONTH(Table1_1[[#This Row],[order_date]])</f>
        <v>10</v>
      </c>
      <c r="V1394" t="str">
        <f>TEXT(Table1_1[[#This Row],[order_date]],"mmm")</f>
        <v>Oct</v>
      </c>
      <c r="W1394" t="str">
        <f>"Q"&amp;ROUNDUP(MONTH(Table1_1[[#This Row],[order_date]])/3,0)</f>
        <v>Q4</v>
      </c>
      <c r="X1394" t="str">
        <f>TEXT(Table1_1[[#This Row],[order_date]],"yyyy-mm")</f>
        <v>2024-10</v>
      </c>
      <c r="Y1394">
        <f>IF(Table1_1[[#This Row],[ship_date]]="","",Table1_1[[#This Row],[ship_date]]-Table1_1[[#This Row],[order_date]])</f>
        <v>8</v>
      </c>
      <c r="Z1394">
        <f>ROUND(Table1_1[[#This Row],[profit]]/Table1_1[[#This Row],[sales_fix]]*100,2)</f>
        <v>22.75</v>
      </c>
    </row>
    <row r="1395" spans="1:26" x14ac:dyDescent="0.3">
      <c r="A1395" t="s">
        <v>1311</v>
      </c>
      <c r="B1395" s="1">
        <v>45969</v>
      </c>
      <c r="C1395" s="1">
        <v>45973</v>
      </c>
      <c r="D1395" t="s">
        <v>813</v>
      </c>
      <c r="E1395" t="s">
        <v>814</v>
      </c>
      <c r="F1395" t="s">
        <v>34</v>
      </c>
      <c r="G1395" t="s">
        <v>35</v>
      </c>
      <c r="H1395" t="s">
        <v>187</v>
      </c>
      <c r="I1395" t="s">
        <v>103</v>
      </c>
      <c r="J1395" t="s">
        <v>104</v>
      </c>
      <c r="K1395" t="s">
        <v>65</v>
      </c>
      <c r="L1395">
        <v>2</v>
      </c>
      <c r="M1395">
        <v>8000</v>
      </c>
      <c r="N1395">
        <v>15</v>
      </c>
      <c r="O1395">
        <v>13600</v>
      </c>
      <c r="P1395">
        <v>2794.34</v>
      </c>
      <c r="Q1395" t="s">
        <v>39</v>
      </c>
      <c r="R1395" t="s">
        <v>56</v>
      </c>
      <c r="S1395" t="s">
        <v>30</v>
      </c>
      <c r="T1395">
        <f>YEAR(Table1_1[[#This Row],[order_date]])</f>
        <v>2025</v>
      </c>
      <c r="U1395">
        <f>MONTH(Table1_1[[#This Row],[order_date]])</f>
        <v>11</v>
      </c>
      <c r="V1395" t="str">
        <f>TEXT(Table1_1[[#This Row],[order_date]],"mmm")</f>
        <v>Nov</v>
      </c>
      <c r="W1395" t="str">
        <f>"Q"&amp;ROUNDUP(MONTH(Table1_1[[#This Row],[order_date]])/3,0)</f>
        <v>Q4</v>
      </c>
      <c r="X1395" t="str">
        <f>TEXT(Table1_1[[#This Row],[order_date]],"yyyy-mm")</f>
        <v>2025-11</v>
      </c>
      <c r="Y1395">
        <f>IF(Table1_1[[#This Row],[ship_date]]="","",Table1_1[[#This Row],[ship_date]]-Table1_1[[#This Row],[order_date]])</f>
        <v>4</v>
      </c>
      <c r="Z1395">
        <f>ROUND(Table1_1[[#This Row],[profit]]/Table1_1[[#This Row],[sales_fix]]*100,2)</f>
        <v>20.55</v>
      </c>
    </row>
    <row r="1396" spans="1:26" x14ac:dyDescent="0.3">
      <c r="A1396" t="s">
        <v>1162</v>
      </c>
      <c r="B1396" s="1">
        <v>45989</v>
      </c>
      <c r="C1396" s="1">
        <v>45995</v>
      </c>
      <c r="D1396" t="s">
        <v>625</v>
      </c>
      <c r="E1396" t="s">
        <v>626</v>
      </c>
      <c r="F1396" t="s">
        <v>34</v>
      </c>
      <c r="G1396" t="s">
        <v>61</v>
      </c>
      <c r="H1396" t="s">
        <v>211</v>
      </c>
      <c r="I1396" t="s">
        <v>46</v>
      </c>
      <c r="J1396" t="s">
        <v>47</v>
      </c>
      <c r="K1396" t="s">
        <v>48</v>
      </c>
      <c r="L1396">
        <v>4</v>
      </c>
      <c r="M1396">
        <v>180</v>
      </c>
      <c r="N1396">
        <v>10</v>
      </c>
      <c r="O1396">
        <v>648</v>
      </c>
      <c r="P1396">
        <v>210.3</v>
      </c>
      <c r="Q1396" t="s">
        <v>39</v>
      </c>
      <c r="R1396" t="s">
        <v>29</v>
      </c>
      <c r="S1396" t="s">
        <v>86</v>
      </c>
      <c r="T1396">
        <f>YEAR(Table1_1[[#This Row],[order_date]])</f>
        <v>2025</v>
      </c>
      <c r="U1396">
        <f>MONTH(Table1_1[[#This Row],[order_date]])</f>
        <v>11</v>
      </c>
      <c r="V1396" t="str">
        <f>TEXT(Table1_1[[#This Row],[order_date]],"mmm")</f>
        <v>Nov</v>
      </c>
      <c r="W1396" t="str">
        <f>"Q"&amp;ROUNDUP(MONTH(Table1_1[[#This Row],[order_date]])/3,0)</f>
        <v>Q4</v>
      </c>
      <c r="X1396" t="str">
        <f>TEXT(Table1_1[[#This Row],[order_date]],"yyyy-mm")</f>
        <v>2025-11</v>
      </c>
      <c r="Y1396">
        <f>IF(Table1_1[[#This Row],[ship_date]]="","",Table1_1[[#This Row],[ship_date]]-Table1_1[[#This Row],[order_date]])</f>
        <v>6</v>
      </c>
      <c r="Z1396">
        <f>ROUND(Table1_1[[#This Row],[profit]]/Table1_1[[#This Row],[sales_fix]]*100,2)</f>
        <v>32.450000000000003</v>
      </c>
    </row>
    <row r="1397" spans="1:26" x14ac:dyDescent="0.3">
      <c r="A1397" t="s">
        <v>1945</v>
      </c>
      <c r="B1397" s="1">
        <v>45715</v>
      </c>
      <c r="C1397" s="1">
        <v>45718</v>
      </c>
      <c r="D1397" t="s">
        <v>1394</v>
      </c>
      <c r="E1397" t="s">
        <v>1395</v>
      </c>
      <c r="F1397" t="s">
        <v>55</v>
      </c>
      <c r="G1397" t="s">
        <v>61</v>
      </c>
      <c r="H1397" t="s">
        <v>211</v>
      </c>
      <c r="I1397" t="s">
        <v>46</v>
      </c>
      <c r="J1397" t="s">
        <v>47</v>
      </c>
      <c r="K1397" t="s">
        <v>48</v>
      </c>
      <c r="L1397">
        <v>3</v>
      </c>
      <c r="M1397">
        <v>180</v>
      </c>
      <c r="N1397">
        <v>15</v>
      </c>
      <c r="O1397">
        <v>459</v>
      </c>
      <c r="P1397">
        <v>160.66</v>
      </c>
      <c r="Q1397" t="s">
        <v>121</v>
      </c>
      <c r="R1397" t="s">
        <v>29</v>
      </c>
      <c r="S1397" t="s">
        <v>30</v>
      </c>
      <c r="T1397">
        <f>YEAR(Table1_1[[#This Row],[order_date]])</f>
        <v>2025</v>
      </c>
      <c r="U1397">
        <f>MONTH(Table1_1[[#This Row],[order_date]])</f>
        <v>2</v>
      </c>
      <c r="V1397" t="str">
        <f>TEXT(Table1_1[[#This Row],[order_date]],"mmm")</f>
        <v>Feb</v>
      </c>
      <c r="W1397" t="str">
        <f>"Q"&amp;ROUNDUP(MONTH(Table1_1[[#This Row],[order_date]])/3,0)</f>
        <v>Q1</v>
      </c>
      <c r="X1397" t="str">
        <f>TEXT(Table1_1[[#This Row],[order_date]],"yyyy-mm")</f>
        <v>2025-02</v>
      </c>
      <c r="Y1397">
        <f>IF(Table1_1[[#This Row],[ship_date]]="","",Table1_1[[#This Row],[ship_date]]-Table1_1[[#This Row],[order_date]])</f>
        <v>3</v>
      </c>
      <c r="Z1397">
        <f>ROUND(Table1_1[[#This Row],[profit]]/Table1_1[[#This Row],[sales_fix]]*100,2)</f>
        <v>35</v>
      </c>
    </row>
    <row r="1398" spans="1:26" x14ac:dyDescent="0.3">
      <c r="A1398" t="s">
        <v>1046</v>
      </c>
      <c r="B1398" s="1">
        <v>45383</v>
      </c>
      <c r="C1398" s="1">
        <v>45390</v>
      </c>
      <c r="D1398" t="s">
        <v>421</v>
      </c>
      <c r="E1398" t="s">
        <v>422</v>
      </c>
      <c r="F1398" t="s">
        <v>34</v>
      </c>
      <c r="G1398" t="s">
        <v>61</v>
      </c>
      <c r="H1398" t="s">
        <v>211</v>
      </c>
      <c r="I1398" t="s">
        <v>37</v>
      </c>
      <c r="J1398" t="s">
        <v>38</v>
      </c>
      <c r="K1398" t="s">
        <v>27</v>
      </c>
      <c r="L1398">
        <v>1</v>
      </c>
      <c r="M1398">
        <v>9500</v>
      </c>
      <c r="N1398">
        <v>5</v>
      </c>
      <c r="O1398">
        <v>9025</v>
      </c>
      <c r="P1398">
        <v>1677.93</v>
      </c>
      <c r="Q1398" t="s">
        <v>28</v>
      </c>
      <c r="R1398" t="s">
        <v>49</v>
      </c>
      <c r="S1398" t="s">
        <v>30</v>
      </c>
      <c r="T1398">
        <f>YEAR(Table1_1[[#This Row],[order_date]])</f>
        <v>2024</v>
      </c>
      <c r="U1398">
        <f>MONTH(Table1_1[[#This Row],[order_date]])</f>
        <v>4</v>
      </c>
      <c r="V1398" t="str">
        <f>TEXT(Table1_1[[#This Row],[order_date]],"mmm")</f>
        <v>Apr</v>
      </c>
      <c r="W1398" t="str">
        <f>"Q"&amp;ROUNDUP(MONTH(Table1_1[[#This Row],[order_date]])/3,0)</f>
        <v>Q2</v>
      </c>
      <c r="X1398" t="str">
        <f>TEXT(Table1_1[[#This Row],[order_date]],"yyyy-mm")</f>
        <v>2024-04</v>
      </c>
      <c r="Y1398">
        <f>IF(Table1_1[[#This Row],[ship_date]]="","",Table1_1[[#This Row],[ship_date]]-Table1_1[[#This Row],[order_date]])</f>
        <v>7</v>
      </c>
      <c r="Z1398">
        <f>ROUND(Table1_1[[#This Row],[profit]]/Table1_1[[#This Row],[sales_fix]]*100,2)</f>
        <v>18.59</v>
      </c>
    </row>
    <row r="1399" spans="1:26" x14ac:dyDescent="0.3">
      <c r="A1399" t="s">
        <v>1790</v>
      </c>
      <c r="B1399" s="1">
        <v>45479</v>
      </c>
      <c r="C1399" s="1">
        <v>45486</v>
      </c>
      <c r="D1399" t="s">
        <v>748</v>
      </c>
      <c r="E1399" t="s">
        <v>749</v>
      </c>
      <c r="F1399" t="s">
        <v>55</v>
      </c>
      <c r="G1399" t="s">
        <v>91</v>
      </c>
      <c r="H1399" t="s">
        <v>92</v>
      </c>
      <c r="I1399" t="s">
        <v>37</v>
      </c>
      <c r="J1399" t="s">
        <v>38</v>
      </c>
      <c r="K1399" t="s">
        <v>27</v>
      </c>
      <c r="L1399">
        <v>1</v>
      </c>
      <c r="M1399">
        <v>9500</v>
      </c>
      <c r="N1399">
        <v>0</v>
      </c>
      <c r="O1399">
        <v>9500</v>
      </c>
      <c r="P1399">
        <v>1464.83</v>
      </c>
      <c r="Q1399" t="s">
        <v>74</v>
      </c>
      <c r="R1399" t="s">
        <v>49</v>
      </c>
      <c r="S1399" t="s">
        <v>86</v>
      </c>
      <c r="T1399">
        <f>YEAR(Table1_1[[#This Row],[order_date]])</f>
        <v>2024</v>
      </c>
      <c r="U1399">
        <f>MONTH(Table1_1[[#This Row],[order_date]])</f>
        <v>7</v>
      </c>
      <c r="V1399" t="str">
        <f>TEXT(Table1_1[[#This Row],[order_date]],"mmm")</f>
        <v>Jul</v>
      </c>
      <c r="W1399" t="str">
        <f>"Q"&amp;ROUNDUP(MONTH(Table1_1[[#This Row],[order_date]])/3,0)</f>
        <v>Q3</v>
      </c>
      <c r="X1399" t="str">
        <f>TEXT(Table1_1[[#This Row],[order_date]],"yyyy-mm")</f>
        <v>2024-07</v>
      </c>
      <c r="Y1399">
        <f>IF(Table1_1[[#This Row],[ship_date]]="","",Table1_1[[#This Row],[ship_date]]-Table1_1[[#This Row],[order_date]])</f>
        <v>7</v>
      </c>
      <c r="Z1399">
        <f>ROUND(Table1_1[[#This Row],[profit]]/Table1_1[[#This Row],[sales_fix]]*100,2)</f>
        <v>15.42</v>
      </c>
    </row>
    <row r="1400" spans="1:26" x14ac:dyDescent="0.3">
      <c r="A1400" t="s">
        <v>594</v>
      </c>
      <c r="B1400" s="1">
        <v>45703</v>
      </c>
      <c r="C1400" s="1">
        <v>45705</v>
      </c>
      <c r="D1400" t="s">
        <v>129</v>
      </c>
      <c r="E1400" t="s">
        <v>130</v>
      </c>
      <c r="F1400" t="s">
        <v>34</v>
      </c>
      <c r="G1400" t="s">
        <v>61</v>
      </c>
      <c r="H1400" t="s">
        <v>78</v>
      </c>
      <c r="I1400" t="s">
        <v>25</v>
      </c>
      <c r="J1400" t="s">
        <v>26</v>
      </c>
      <c r="K1400" t="s">
        <v>27</v>
      </c>
      <c r="L1400">
        <v>1</v>
      </c>
      <c r="M1400">
        <v>7000</v>
      </c>
      <c r="N1400">
        <v>0</v>
      </c>
      <c r="O1400">
        <v>7000</v>
      </c>
      <c r="P1400">
        <v>1685.15</v>
      </c>
      <c r="Q1400" t="s">
        <v>74</v>
      </c>
      <c r="R1400" t="s">
        <v>49</v>
      </c>
      <c r="S1400" t="s">
        <v>86</v>
      </c>
      <c r="T1400">
        <f>YEAR(Table1_1[[#This Row],[order_date]])</f>
        <v>2025</v>
      </c>
      <c r="U1400">
        <f>MONTH(Table1_1[[#This Row],[order_date]])</f>
        <v>2</v>
      </c>
      <c r="V1400" t="str">
        <f>TEXT(Table1_1[[#This Row],[order_date]],"mmm")</f>
        <v>Feb</v>
      </c>
      <c r="W1400" t="str">
        <f>"Q"&amp;ROUNDUP(MONTH(Table1_1[[#This Row],[order_date]])/3,0)</f>
        <v>Q1</v>
      </c>
      <c r="X1400" t="str">
        <f>TEXT(Table1_1[[#This Row],[order_date]],"yyyy-mm")</f>
        <v>2025-02</v>
      </c>
      <c r="Y1400">
        <f>IF(Table1_1[[#This Row],[ship_date]]="","",Table1_1[[#This Row],[ship_date]]-Table1_1[[#This Row],[order_date]])</f>
        <v>2</v>
      </c>
      <c r="Z1400">
        <f>ROUND(Table1_1[[#This Row],[profit]]/Table1_1[[#This Row],[sales_fix]]*100,2)</f>
        <v>24.07</v>
      </c>
    </row>
    <row r="1401" spans="1:26" x14ac:dyDescent="0.3">
      <c r="A1401" t="s">
        <v>795</v>
      </c>
      <c r="B1401" s="1">
        <v>45312</v>
      </c>
      <c r="C1401" s="1">
        <v>45313</v>
      </c>
      <c r="D1401" t="s">
        <v>460</v>
      </c>
      <c r="E1401" t="s">
        <v>461</v>
      </c>
      <c r="F1401" t="s">
        <v>34</v>
      </c>
      <c r="G1401" t="s">
        <v>61</v>
      </c>
      <c r="H1401" t="s">
        <v>62</v>
      </c>
      <c r="I1401" t="s">
        <v>25</v>
      </c>
      <c r="J1401" t="s">
        <v>26</v>
      </c>
      <c r="K1401" t="s">
        <v>27</v>
      </c>
      <c r="L1401">
        <v>4</v>
      </c>
      <c r="M1401">
        <v>7000</v>
      </c>
      <c r="N1401">
        <v>0</v>
      </c>
      <c r="O1401">
        <v>28000</v>
      </c>
      <c r="P1401">
        <v>6731.67</v>
      </c>
      <c r="Q1401" t="s">
        <v>156</v>
      </c>
      <c r="R1401" t="s">
        <v>49</v>
      </c>
      <c r="S1401" t="s">
        <v>86</v>
      </c>
      <c r="T1401">
        <f>YEAR(Table1_1[[#This Row],[order_date]])</f>
        <v>2024</v>
      </c>
      <c r="U1401">
        <f>MONTH(Table1_1[[#This Row],[order_date]])</f>
        <v>1</v>
      </c>
      <c r="V1401" t="str">
        <f>TEXT(Table1_1[[#This Row],[order_date]],"mmm")</f>
        <v>Jan</v>
      </c>
      <c r="W1401" t="str">
        <f>"Q"&amp;ROUNDUP(MONTH(Table1_1[[#This Row],[order_date]])/3,0)</f>
        <v>Q1</v>
      </c>
      <c r="X1401" t="str">
        <f>TEXT(Table1_1[[#This Row],[order_date]],"yyyy-mm")</f>
        <v>2024-01</v>
      </c>
      <c r="Y1401">
        <f>IF(Table1_1[[#This Row],[ship_date]]="","",Table1_1[[#This Row],[ship_date]]-Table1_1[[#This Row],[order_date]])</f>
        <v>1</v>
      </c>
      <c r="Z1401">
        <f>ROUND(Table1_1[[#This Row],[profit]]/Table1_1[[#This Row],[sales_fix]]*100,2)</f>
        <v>24.04</v>
      </c>
    </row>
    <row r="1402" spans="1:26" x14ac:dyDescent="0.3">
      <c r="A1402" t="s">
        <v>2566</v>
      </c>
      <c r="B1402" s="1">
        <v>45833</v>
      </c>
      <c r="C1402" s="1">
        <v>45834</v>
      </c>
      <c r="D1402" t="s">
        <v>428</v>
      </c>
      <c r="E1402" t="s">
        <v>429</v>
      </c>
      <c r="F1402" t="s">
        <v>34</v>
      </c>
      <c r="G1402" t="s">
        <v>44</v>
      </c>
      <c r="H1402" t="s">
        <v>45</v>
      </c>
      <c r="I1402" t="s">
        <v>114</v>
      </c>
      <c r="J1402" t="s">
        <v>115</v>
      </c>
      <c r="K1402" t="s">
        <v>65</v>
      </c>
      <c r="L1402">
        <v>1</v>
      </c>
      <c r="M1402">
        <v>55000</v>
      </c>
      <c r="N1402">
        <v>0</v>
      </c>
      <c r="O1402">
        <v>55000</v>
      </c>
      <c r="P1402">
        <v>8453.6200000000008</v>
      </c>
      <c r="Q1402" t="s">
        <v>39</v>
      </c>
      <c r="R1402" t="s">
        <v>56</v>
      </c>
      <c r="S1402" t="s">
        <v>110</v>
      </c>
      <c r="T1402">
        <f>YEAR(Table1_1[[#This Row],[order_date]])</f>
        <v>2025</v>
      </c>
      <c r="U1402">
        <f>MONTH(Table1_1[[#This Row],[order_date]])</f>
        <v>6</v>
      </c>
      <c r="V1402" t="str">
        <f>TEXT(Table1_1[[#This Row],[order_date]],"mmm")</f>
        <v>Jun</v>
      </c>
      <c r="W1402" t="str">
        <f>"Q"&amp;ROUNDUP(MONTH(Table1_1[[#This Row],[order_date]])/3,0)</f>
        <v>Q2</v>
      </c>
      <c r="X1402" t="str">
        <f>TEXT(Table1_1[[#This Row],[order_date]],"yyyy-mm")</f>
        <v>2025-06</v>
      </c>
      <c r="Y1402">
        <f>IF(Table1_1[[#This Row],[ship_date]]="","",Table1_1[[#This Row],[ship_date]]-Table1_1[[#This Row],[order_date]])</f>
        <v>1</v>
      </c>
      <c r="Z1402">
        <f>ROUND(Table1_1[[#This Row],[profit]]/Table1_1[[#This Row],[sales_fix]]*100,2)</f>
        <v>15.37</v>
      </c>
    </row>
    <row r="1403" spans="1:26" x14ac:dyDescent="0.3">
      <c r="A1403" t="s">
        <v>2562</v>
      </c>
      <c r="B1403" s="1">
        <v>45485</v>
      </c>
      <c r="C1403" s="1">
        <v>45489</v>
      </c>
      <c r="D1403" t="s">
        <v>1048</v>
      </c>
      <c r="E1403" t="s">
        <v>1049</v>
      </c>
      <c r="F1403" t="s">
        <v>34</v>
      </c>
      <c r="G1403" t="s">
        <v>61</v>
      </c>
      <c r="H1403" t="s">
        <v>125</v>
      </c>
      <c r="I1403" t="s">
        <v>79</v>
      </c>
      <c r="J1403" t="s">
        <v>80</v>
      </c>
      <c r="K1403" t="s">
        <v>65</v>
      </c>
      <c r="L1403">
        <v>2</v>
      </c>
      <c r="M1403">
        <v>3000</v>
      </c>
      <c r="N1403">
        <v>5</v>
      </c>
      <c r="O1403">
        <v>5700</v>
      </c>
      <c r="P1403">
        <v>1321.34</v>
      </c>
      <c r="Q1403" t="s">
        <v>74</v>
      </c>
      <c r="R1403" t="s">
        <v>29</v>
      </c>
      <c r="S1403" t="s">
        <v>50</v>
      </c>
      <c r="T1403">
        <f>YEAR(Table1_1[[#This Row],[order_date]])</f>
        <v>2024</v>
      </c>
      <c r="U1403">
        <f>MONTH(Table1_1[[#This Row],[order_date]])</f>
        <v>7</v>
      </c>
      <c r="V1403" t="str">
        <f>TEXT(Table1_1[[#This Row],[order_date]],"mmm")</f>
        <v>Jul</v>
      </c>
      <c r="W1403" t="str">
        <f>"Q"&amp;ROUNDUP(MONTH(Table1_1[[#This Row],[order_date]])/3,0)</f>
        <v>Q3</v>
      </c>
      <c r="X1403" t="str">
        <f>TEXT(Table1_1[[#This Row],[order_date]],"yyyy-mm")</f>
        <v>2024-07</v>
      </c>
      <c r="Y1403">
        <f>IF(Table1_1[[#This Row],[ship_date]]="","",Table1_1[[#This Row],[ship_date]]-Table1_1[[#This Row],[order_date]])</f>
        <v>4</v>
      </c>
      <c r="Z1403">
        <f>ROUND(Table1_1[[#This Row],[profit]]/Table1_1[[#This Row],[sales_fix]]*100,2)</f>
        <v>23.18</v>
      </c>
    </row>
    <row r="1404" spans="1:26" x14ac:dyDescent="0.3">
      <c r="A1404" t="s">
        <v>1967</v>
      </c>
      <c r="B1404" s="1">
        <v>45473</v>
      </c>
      <c r="C1404" s="1">
        <v>45476</v>
      </c>
      <c r="D1404" t="s">
        <v>1028</v>
      </c>
      <c r="E1404" t="s">
        <v>1029</v>
      </c>
      <c r="F1404" t="s">
        <v>34</v>
      </c>
      <c r="G1404" t="s">
        <v>91</v>
      </c>
      <c r="H1404" t="s">
        <v>120</v>
      </c>
      <c r="I1404" t="s">
        <v>93</v>
      </c>
      <c r="J1404" t="s">
        <v>94</v>
      </c>
      <c r="K1404" t="s">
        <v>95</v>
      </c>
      <c r="L1404">
        <v>4</v>
      </c>
      <c r="M1404">
        <v>1800</v>
      </c>
      <c r="N1404">
        <v>15</v>
      </c>
      <c r="O1404">
        <v>6120</v>
      </c>
      <c r="P1404">
        <v>2224.23</v>
      </c>
      <c r="Q1404" t="s">
        <v>39</v>
      </c>
      <c r="R1404" t="s">
        <v>29</v>
      </c>
      <c r="S1404" t="s">
        <v>30</v>
      </c>
      <c r="T1404">
        <f>YEAR(Table1_1[[#This Row],[order_date]])</f>
        <v>2024</v>
      </c>
      <c r="U1404">
        <f>MONTH(Table1_1[[#This Row],[order_date]])</f>
        <v>6</v>
      </c>
      <c r="V1404" t="str">
        <f>TEXT(Table1_1[[#This Row],[order_date]],"mmm")</f>
        <v>Jun</v>
      </c>
      <c r="W1404" t="str">
        <f>"Q"&amp;ROUNDUP(MONTH(Table1_1[[#This Row],[order_date]])/3,0)</f>
        <v>Q2</v>
      </c>
      <c r="X1404" t="str">
        <f>TEXT(Table1_1[[#This Row],[order_date]],"yyyy-mm")</f>
        <v>2024-06</v>
      </c>
      <c r="Y1404">
        <f>IF(Table1_1[[#This Row],[ship_date]]="","",Table1_1[[#This Row],[ship_date]]-Table1_1[[#This Row],[order_date]])</f>
        <v>3</v>
      </c>
      <c r="Z1404">
        <f>ROUND(Table1_1[[#This Row],[profit]]/Table1_1[[#This Row],[sales_fix]]*100,2)</f>
        <v>36.340000000000003</v>
      </c>
    </row>
    <row r="1405" spans="1:26" x14ac:dyDescent="0.3">
      <c r="A1405" t="s">
        <v>2047</v>
      </c>
      <c r="B1405" s="1">
        <v>45331</v>
      </c>
      <c r="C1405" s="1">
        <v>45336</v>
      </c>
      <c r="D1405" t="s">
        <v>388</v>
      </c>
      <c r="E1405" t="s">
        <v>389</v>
      </c>
      <c r="F1405" t="s">
        <v>23</v>
      </c>
      <c r="G1405" t="s">
        <v>44</v>
      </c>
      <c r="H1405" t="s">
        <v>161</v>
      </c>
      <c r="I1405" t="s">
        <v>93</v>
      </c>
      <c r="J1405" t="s">
        <v>94</v>
      </c>
      <c r="K1405" t="s">
        <v>95</v>
      </c>
      <c r="L1405">
        <v>5</v>
      </c>
      <c r="M1405">
        <v>1800</v>
      </c>
      <c r="N1405">
        <v>20</v>
      </c>
      <c r="O1405">
        <v>7200</v>
      </c>
      <c r="P1405">
        <v>2712.23</v>
      </c>
      <c r="Q1405" t="s">
        <v>74</v>
      </c>
      <c r="R1405" t="s">
        <v>29</v>
      </c>
      <c r="S1405" t="s">
        <v>110</v>
      </c>
      <c r="T1405">
        <f>YEAR(Table1_1[[#This Row],[order_date]])</f>
        <v>2024</v>
      </c>
      <c r="U1405">
        <f>MONTH(Table1_1[[#This Row],[order_date]])</f>
        <v>2</v>
      </c>
      <c r="V1405" t="str">
        <f>TEXT(Table1_1[[#This Row],[order_date]],"mmm")</f>
        <v>Feb</v>
      </c>
      <c r="W1405" t="str">
        <f>"Q"&amp;ROUNDUP(MONTH(Table1_1[[#This Row],[order_date]])/3,0)</f>
        <v>Q1</v>
      </c>
      <c r="X1405" t="str">
        <f>TEXT(Table1_1[[#This Row],[order_date]],"yyyy-mm")</f>
        <v>2024-02</v>
      </c>
      <c r="Y1405">
        <f>IF(Table1_1[[#This Row],[ship_date]]="","",Table1_1[[#This Row],[ship_date]]-Table1_1[[#This Row],[order_date]])</f>
        <v>5</v>
      </c>
      <c r="Z1405">
        <f>ROUND(Table1_1[[#This Row],[profit]]/Table1_1[[#This Row],[sales_fix]]*100,2)</f>
        <v>37.67</v>
      </c>
    </row>
    <row r="1406" spans="1:26" x14ac:dyDescent="0.3">
      <c r="A1406" t="s">
        <v>2603</v>
      </c>
      <c r="B1406" s="1">
        <v>45822</v>
      </c>
      <c r="C1406" s="1">
        <v>45825</v>
      </c>
      <c r="D1406" t="s">
        <v>570</v>
      </c>
      <c r="E1406" t="s">
        <v>571</v>
      </c>
      <c r="F1406" t="s">
        <v>34</v>
      </c>
      <c r="G1406" t="s">
        <v>44</v>
      </c>
      <c r="H1406" t="s">
        <v>161</v>
      </c>
      <c r="I1406" t="s">
        <v>93</v>
      </c>
      <c r="J1406" t="s">
        <v>94</v>
      </c>
      <c r="K1406" t="s">
        <v>95</v>
      </c>
      <c r="L1406">
        <v>1</v>
      </c>
      <c r="M1406">
        <v>1800</v>
      </c>
      <c r="N1406">
        <v>0</v>
      </c>
      <c r="O1406">
        <v>1800</v>
      </c>
      <c r="P1406">
        <v>566.41</v>
      </c>
      <c r="Q1406" t="s">
        <v>39</v>
      </c>
      <c r="R1406" t="s">
        <v>49</v>
      </c>
      <c r="S1406" t="s">
        <v>30</v>
      </c>
      <c r="T1406">
        <f>YEAR(Table1_1[[#This Row],[order_date]])</f>
        <v>2025</v>
      </c>
      <c r="U1406">
        <f>MONTH(Table1_1[[#This Row],[order_date]])</f>
        <v>6</v>
      </c>
      <c r="V1406" t="str">
        <f>TEXT(Table1_1[[#This Row],[order_date]],"mmm")</f>
        <v>Jun</v>
      </c>
      <c r="W1406" t="str">
        <f>"Q"&amp;ROUNDUP(MONTH(Table1_1[[#This Row],[order_date]])/3,0)</f>
        <v>Q2</v>
      </c>
      <c r="X1406" t="str">
        <f>TEXT(Table1_1[[#This Row],[order_date]],"yyyy-mm")</f>
        <v>2025-06</v>
      </c>
      <c r="Y1406">
        <f>IF(Table1_1[[#This Row],[ship_date]]="","",Table1_1[[#This Row],[ship_date]]-Table1_1[[#This Row],[order_date]])</f>
        <v>3</v>
      </c>
      <c r="Z1406">
        <f>ROUND(Table1_1[[#This Row],[profit]]/Table1_1[[#This Row],[sales_fix]]*100,2)</f>
        <v>31.47</v>
      </c>
    </row>
    <row r="1407" spans="1:26" x14ac:dyDescent="0.3">
      <c r="A1407" t="s">
        <v>1911</v>
      </c>
      <c r="B1407" s="1">
        <v>45750</v>
      </c>
      <c r="C1407" s="1">
        <v>45756</v>
      </c>
      <c r="D1407" t="s">
        <v>145</v>
      </c>
      <c r="E1407" t="s">
        <v>146</v>
      </c>
      <c r="F1407" t="s">
        <v>34</v>
      </c>
      <c r="G1407" t="s">
        <v>91</v>
      </c>
      <c r="H1407" t="s">
        <v>92</v>
      </c>
      <c r="I1407" t="s">
        <v>134</v>
      </c>
      <c r="J1407" t="s">
        <v>135</v>
      </c>
      <c r="K1407" t="s">
        <v>27</v>
      </c>
      <c r="L1407">
        <v>5</v>
      </c>
      <c r="M1407">
        <v>6000</v>
      </c>
      <c r="N1407">
        <v>15</v>
      </c>
      <c r="O1407">
        <v>25500</v>
      </c>
      <c r="P1407">
        <v>5641.32</v>
      </c>
      <c r="Q1407" t="s">
        <v>121</v>
      </c>
      <c r="R1407" t="s">
        <v>49</v>
      </c>
      <c r="S1407" t="s">
        <v>50</v>
      </c>
      <c r="T1407">
        <f>YEAR(Table1_1[[#This Row],[order_date]])</f>
        <v>2025</v>
      </c>
      <c r="U1407">
        <f>MONTH(Table1_1[[#This Row],[order_date]])</f>
        <v>4</v>
      </c>
      <c r="V1407" t="str">
        <f>TEXT(Table1_1[[#This Row],[order_date]],"mmm")</f>
        <v>Apr</v>
      </c>
      <c r="W1407" t="str">
        <f>"Q"&amp;ROUNDUP(MONTH(Table1_1[[#This Row],[order_date]])/3,0)</f>
        <v>Q2</v>
      </c>
      <c r="X1407" t="str">
        <f>TEXT(Table1_1[[#This Row],[order_date]],"yyyy-mm")</f>
        <v>2025-04</v>
      </c>
      <c r="Y1407">
        <f>IF(Table1_1[[#This Row],[ship_date]]="","",Table1_1[[#This Row],[ship_date]]-Table1_1[[#This Row],[order_date]])</f>
        <v>6</v>
      </c>
      <c r="Z1407">
        <f>ROUND(Table1_1[[#This Row],[profit]]/Table1_1[[#This Row],[sales_fix]]*100,2)</f>
        <v>22.12</v>
      </c>
    </row>
    <row r="1408" spans="1:26" x14ac:dyDescent="0.3">
      <c r="A1408" t="s">
        <v>2565</v>
      </c>
      <c r="B1408" s="1">
        <v>45484</v>
      </c>
      <c r="C1408" s="1">
        <v>45492</v>
      </c>
      <c r="D1408" t="s">
        <v>1369</v>
      </c>
      <c r="E1408" t="s">
        <v>1370</v>
      </c>
      <c r="F1408" t="s">
        <v>55</v>
      </c>
      <c r="G1408" t="s">
        <v>44</v>
      </c>
      <c r="H1408" t="s">
        <v>155</v>
      </c>
      <c r="I1408" t="s">
        <v>147</v>
      </c>
      <c r="J1408" t="s">
        <v>148</v>
      </c>
      <c r="K1408" t="s">
        <v>48</v>
      </c>
      <c r="L1408">
        <v>3</v>
      </c>
      <c r="M1408">
        <v>250</v>
      </c>
      <c r="N1408">
        <v>0</v>
      </c>
      <c r="O1408">
        <v>750</v>
      </c>
      <c r="P1408">
        <v>253</v>
      </c>
      <c r="Q1408" t="s">
        <v>156</v>
      </c>
      <c r="R1408" t="s">
        <v>56</v>
      </c>
      <c r="S1408" t="s">
        <v>40</v>
      </c>
      <c r="T1408">
        <f>YEAR(Table1_1[[#This Row],[order_date]])</f>
        <v>2024</v>
      </c>
      <c r="U1408">
        <f>MONTH(Table1_1[[#This Row],[order_date]])</f>
        <v>7</v>
      </c>
      <c r="V1408" t="str">
        <f>TEXT(Table1_1[[#This Row],[order_date]],"mmm")</f>
        <v>Jul</v>
      </c>
      <c r="W1408" t="str">
        <f>"Q"&amp;ROUNDUP(MONTH(Table1_1[[#This Row],[order_date]])/3,0)</f>
        <v>Q3</v>
      </c>
      <c r="X1408" t="str">
        <f>TEXT(Table1_1[[#This Row],[order_date]],"yyyy-mm")</f>
        <v>2024-07</v>
      </c>
      <c r="Y1408">
        <f>IF(Table1_1[[#This Row],[ship_date]]="","",Table1_1[[#This Row],[ship_date]]-Table1_1[[#This Row],[order_date]])</f>
        <v>8</v>
      </c>
      <c r="Z1408">
        <f>ROUND(Table1_1[[#This Row],[profit]]/Table1_1[[#This Row],[sales_fix]]*100,2)</f>
        <v>33.729999999999997</v>
      </c>
    </row>
    <row r="1409" spans="1:26" x14ac:dyDescent="0.3">
      <c r="A1409" t="s">
        <v>501</v>
      </c>
      <c r="B1409" s="1">
        <v>45385</v>
      </c>
      <c r="C1409" s="1">
        <v>45392</v>
      </c>
      <c r="D1409" t="s">
        <v>473</v>
      </c>
      <c r="E1409" t="s">
        <v>474</v>
      </c>
      <c r="F1409" t="s">
        <v>34</v>
      </c>
      <c r="G1409" t="s">
        <v>61</v>
      </c>
      <c r="H1409" t="s">
        <v>62</v>
      </c>
      <c r="I1409" t="s">
        <v>46</v>
      </c>
      <c r="J1409" t="s">
        <v>47</v>
      </c>
      <c r="K1409" t="s">
        <v>48</v>
      </c>
      <c r="L1409">
        <v>3</v>
      </c>
      <c r="M1409">
        <v>180</v>
      </c>
      <c r="N1409">
        <v>0</v>
      </c>
      <c r="O1409">
        <v>540</v>
      </c>
      <c r="P1409">
        <v>258.73</v>
      </c>
      <c r="Q1409" t="s">
        <v>39</v>
      </c>
      <c r="R1409" t="s">
        <v>56</v>
      </c>
      <c r="S1409" t="s">
        <v>50</v>
      </c>
      <c r="T1409">
        <f>YEAR(Table1_1[[#This Row],[order_date]])</f>
        <v>2024</v>
      </c>
      <c r="U1409">
        <f>MONTH(Table1_1[[#This Row],[order_date]])</f>
        <v>4</v>
      </c>
      <c r="V1409" t="str">
        <f>TEXT(Table1_1[[#This Row],[order_date]],"mmm")</f>
        <v>Apr</v>
      </c>
      <c r="W1409" t="str">
        <f>"Q"&amp;ROUNDUP(MONTH(Table1_1[[#This Row],[order_date]])/3,0)</f>
        <v>Q2</v>
      </c>
      <c r="X1409" t="str">
        <f>TEXT(Table1_1[[#This Row],[order_date]],"yyyy-mm")</f>
        <v>2024-04</v>
      </c>
      <c r="Y1409">
        <f>IF(Table1_1[[#This Row],[ship_date]]="","",Table1_1[[#This Row],[ship_date]]-Table1_1[[#This Row],[order_date]])</f>
        <v>7</v>
      </c>
      <c r="Z1409">
        <f>ROUND(Table1_1[[#This Row],[profit]]/Table1_1[[#This Row],[sales_fix]]*100,2)</f>
        <v>47.91</v>
      </c>
    </row>
    <row r="1410" spans="1:26" x14ac:dyDescent="0.3">
      <c r="A1410" t="s">
        <v>2995</v>
      </c>
      <c r="B1410" s="1">
        <v>45430</v>
      </c>
      <c r="C1410" s="1">
        <v>45437</v>
      </c>
      <c r="D1410" t="s">
        <v>132</v>
      </c>
      <c r="E1410" t="s">
        <v>133</v>
      </c>
      <c r="F1410" t="s">
        <v>23</v>
      </c>
      <c r="G1410" t="s">
        <v>91</v>
      </c>
      <c r="H1410" t="s">
        <v>120</v>
      </c>
      <c r="I1410" t="s">
        <v>37</v>
      </c>
      <c r="J1410" t="s">
        <v>38</v>
      </c>
      <c r="K1410" t="s">
        <v>27</v>
      </c>
      <c r="L1410">
        <v>2</v>
      </c>
      <c r="M1410">
        <v>9500</v>
      </c>
      <c r="N1410">
        <v>0</v>
      </c>
      <c r="O1410">
        <v>19000</v>
      </c>
      <c r="P1410">
        <v>3105.3</v>
      </c>
      <c r="Q1410" t="s">
        <v>28</v>
      </c>
      <c r="R1410" t="s">
        <v>49</v>
      </c>
      <c r="S1410" t="s">
        <v>30</v>
      </c>
      <c r="T1410">
        <f>YEAR(Table1_1[[#This Row],[order_date]])</f>
        <v>2024</v>
      </c>
      <c r="U1410">
        <f>MONTH(Table1_1[[#This Row],[order_date]])</f>
        <v>5</v>
      </c>
      <c r="V1410" t="str">
        <f>TEXT(Table1_1[[#This Row],[order_date]],"mmm")</f>
        <v>May</v>
      </c>
      <c r="W1410" t="str">
        <f>"Q"&amp;ROUNDUP(MONTH(Table1_1[[#This Row],[order_date]])/3,0)</f>
        <v>Q2</v>
      </c>
      <c r="X1410" t="str">
        <f>TEXT(Table1_1[[#This Row],[order_date]],"yyyy-mm")</f>
        <v>2024-05</v>
      </c>
      <c r="Y1410">
        <f>IF(Table1_1[[#This Row],[ship_date]]="","",Table1_1[[#This Row],[ship_date]]-Table1_1[[#This Row],[order_date]])</f>
        <v>7</v>
      </c>
      <c r="Z1410">
        <f>ROUND(Table1_1[[#This Row],[profit]]/Table1_1[[#This Row],[sales_fix]]*100,2)</f>
        <v>16.34</v>
      </c>
    </row>
    <row r="1411" spans="1:26" x14ac:dyDescent="0.3">
      <c r="A1411" t="s">
        <v>1735</v>
      </c>
      <c r="B1411" s="1">
        <v>45316</v>
      </c>
      <c r="C1411" s="1">
        <v>45323</v>
      </c>
      <c r="D1411" t="s">
        <v>1736</v>
      </c>
      <c r="E1411" t="s">
        <v>1737</v>
      </c>
      <c r="F1411" t="s">
        <v>34</v>
      </c>
      <c r="G1411" t="s">
        <v>35</v>
      </c>
      <c r="H1411" t="s">
        <v>36</v>
      </c>
      <c r="I1411" t="s">
        <v>147</v>
      </c>
      <c r="J1411" t="s">
        <v>148</v>
      </c>
      <c r="K1411" t="s">
        <v>48</v>
      </c>
      <c r="L1411">
        <v>2</v>
      </c>
      <c r="M1411">
        <v>250</v>
      </c>
      <c r="N1411">
        <v>0</v>
      </c>
      <c r="O1411">
        <v>500</v>
      </c>
      <c r="P1411">
        <v>184.9</v>
      </c>
      <c r="Q1411" t="s">
        <v>74</v>
      </c>
      <c r="R1411" t="s">
        <v>49</v>
      </c>
      <c r="S1411" t="s">
        <v>110</v>
      </c>
      <c r="T1411">
        <f>YEAR(Table1_1[[#This Row],[order_date]])</f>
        <v>2024</v>
      </c>
      <c r="U1411">
        <f>MONTH(Table1_1[[#This Row],[order_date]])</f>
        <v>1</v>
      </c>
      <c r="V1411" t="str">
        <f>TEXT(Table1_1[[#This Row],[order_date]],"mmm")</f>
        <v>Jan</v>
      </c>
      <c r="W1411" t="str">
        <f>"Q"&amp;ROUNDUP(MONTH(Table1_1[[#This Row],[order_date]])/3,0)</f>
        <v>Q1</v>
      </c>
      <c r="X1411" t="str">
        <f>TEXT(Table1_1[[#This Row],[order_date]],"yyyy-mm")</f>
        <v>2024-01</v>
      </c>
      <c r="Y1411">
        <f>IF(Table1_1[[#This Row],[ship_date]]="","",Table1_1[[#This Row],[ship_date]]-Table1_1[[#This Row],[order_date]])</f>
        <v>7</v>
      </c>
      <c r="Z1411">
        <f>ROUND(Table1_1[[#This Row],[profit]]/Table1_1[[#This Row],[sales_fix]]*100,2)</f>
        <v>36.979999999999997</v>
      </c>
    </row>
    <row r="1412" spans="1:26" x14ac:dyDescent="0.3">
      <c r="A1412" t="s">
        <v>2484</v>
      </c>
      <c r="B1412" s="1">
        <v>45334</v>
      </c>
      <c r="C1412" s="1">
        <v>45337</v>
      </c>
      <c r="D1412" t="s">
        <v>596</v>
      </c>
      <c r="E1412" t="s">
        <v>597</v>
      </c>
      <c r="F1412" t="s">
        <v>34</v>
      </c>
      <c r="G1412" t="s">
        <v>91</v>
      </c>
      <c r="H1412" t="s">
        <v>120</v>
      </c>
      <c r="I1412" t="s">
        <v>46</v>
      </c>
      <c r="J1412" t="s">
        <v>47</v>
      </c>
      <c r="K1412" t="s">
        <v>48</v>
      </c>
      <c r="L1412">
        <v>1</v>
      </c>
      <c r="M1412">
        <v>180</v>
      </c>
      <c r="N1412">
        <v>0</v>
      </c>
      <c r="O1412">
        <v>180</v>
      </c>
      <c r="P1412">
        <v>66.650000000000006</v>
      </c>
      <c r="Q1412" t="s">
        <v>156</v>
      </c>
      <c r="R1412" t="s">
        <v>49</v>
      </c>
      <c r="S1412" t="s">
        <v>86</v>
      </c>
      <c r="T1412">
        <f>YEAR(Table1_1[[#This Row],[order_date]])</f>
        <v>2024</v>
      </c>
      <c r="U1412">
        <f>MONTH(Table1_1[[#This Row],[order_date]])</f>
        <v>2</v>
      </c>
      <c r="V1412" t="str">
        <f>TEXT(Table1_1[[#This Row],[order_date]],"mmm")</f>
        <v>Feb</v>
      </c>
      <c r="W1412" t="str">
        <f>"Q"&amp;ROUNDUP(MONTH(Table1_1[[#This Row],[order_date]])/3,0)</f>
        <v>Q1</v>
      </c>
      <c r="X1412" t="str">
        <f>TEXT(Table1_1[[#This Row],[order_date]],"yyyy-mm")</f>
        <v>2024-02</v>
      </c>
      <c r="Y1412">
        <f>IF(Table1_1[[#This Row],[ship_date]]="","",Table1_1[[#This Row],[ship_date]]-Table1_1[[#This Row],[order_date]])</f>
        <v>3</v>
      </c>
      <c r="Z1412">
        <f>ROUND(Table1_1[[#This Row],[profit]]/Table1_1[[#This Row],[sales_fix]]*100,2)</f>
        <v>37.03</v>
      </c>
    </row>
    <row r="1413" spans="1:26" x14ac:dyDescent="0.3">
      <c r="A1413" t="s">
        <v>2585</v>
      </c>
      <c r="B1413" s="1">
        <v>45340</v>
      </c>
      <c r="C1413" s="1">
        <v>45341</v>
      </c>
      <c r="D1413" t="s">
        <v>98</v>
      </c>
      <c r="E1413" t="s">
        <v>99</v>
      </c>
      <c r="F1413" t="s">
        <v>34</v>
      </c>
      <c r="G1413" t="s">
        <v>91</v>
      </c>
      <c r="H1413" t="s">
        <v>92</v>
      </c>
      <c r="I1413" t="s">
        <v>114</v>
      </c>
      <c r="J1413" t="s">
        <v>115</v>
      </c>
      <c r="K1413" t="s">
        <v>65</v>
      </c>
      <c r="L1413">
        <v>10</v>
      </c>
      <c r="M1413">
        <v>55000</v>
      </c>
      <c r="N1413">
        <v>5</v>
      </c>
      <c r="O1413">
        <v>522500</v>
      </c>
      <c r="P1413">
        <v>72916.55</v>
      </c>
      <c r="Q1413" t="s">
        <v>156</v>
      </c>
      <c r="R1413" t="s">
        <v>49</v>
      </c>
      <c r="S1413" t="s">
        <v>40</v>
      </c>
      <c r="T1413">
        <f>YEAR(Table1_1[[#This Row],[order_date]])</f>
        <v>2024</v>
      </c>
      <c r="U1413">
        <f>MONTH(Table1_1[[#This Row],[order_date]])</f>
        <v>2</v>
      </c>
      <c r="V1413" t="str">
        <f>TEXT(Table1_1[[#This Row],[order_date]],"mmm")</f>
        <v>Feb</v>
      </c>
      <c r="W1413" t="str">
        <f>"Q"&amp;ROUNDUP(MONTH(Table1_1[[#This Row],[order_date]])/3,0)</f>
        <v>Q1</v>
      </c>
      <c r="X1413" t="str">
        <f>TEXT(Table1_1[[#This Row],[order_date]],"yyyy-mm")</f>
        <v>2024-02</v>
      </c>
      <c r="Y1413">
        <f>IF(Table1_1[[#This Row],[ship_date]]="","",Table1_1[[#This Row],[ship_date]]-Table1_1[[#This Row],[order_date]])</f>
        <v>1</v>
      </c>
      <c r="Z1413">
        <f>ROUND(Table1_1[[#This Row],[profit]]/Table1_1[[#This Row],[sales_fix]]*100,2)</f>
        <v>13.96</v>
      </c>
    </row>
    <row r="1414" spans="1:26" x14ac:dyDescent="0.3">
      <c r="A1414" t="s">
        <v>1458</v>
      </c>
      <c r="B1414" s="1">
        <v>45812</v>
      </c>
      <c r="C1414" s="1">
        <v>45816</v>
      </c>
      <c r="D1414" t="s">
        <v>460</v>
      </c>
      <c r="E1414" t="s">
        <v>461</v>
      </c>
      <c r="F1414" t="s">
        <v>34</v>
      </c>
      <c r="G1414" t="s">
        <v>61</v>
      </c>
      <c r="H1414" t="s">
        <v>62</v>
      </c>
      <c r="I1414" t="s">
        <v>79</v>
      </c>
      <c r="J1414" t="s">
        <v>80</v>
      </c>
      <c r="K1414" t="s">
        <v>65</v>
      </c>
      <c r="L1414">
        <v>1</v>
      </c>
      <c r="M1414">
        <v>3000</v>
      </c>
      <c r="N1414">
        <v>15</v>
      </c>
      <c r="O1414">
        <v>2550</v>
      </c>
      <c r="P1414">
        <v>549.17999999999995</v>
      </c>
      <c r="Q1414" t="s">
        <v>66</v>
      </c>
      <c r="R1414" t="s">
        <v>49</v>
      </c>
      <c r="S1414" t="s">
        <v>50</v>
      </c>
      <c r="T1414">
        <f>YEAR(Table1_1[[#This Row],[order_date]])</f>
        <v>2025</v>
      </c>
      <c r="U1414">
        <f>MONTH(Table1_1[[#This Row],[order_date]])</f>
        <v>6</v>
      </c>
      <c r="V1414" t="str">
        <f>TEXT(Table1_1[[#This Row],[order_date]],"mmm")</f>
        <v>Jun</v>
      </c>
      <c r="W1414" t="str">
        <f>"Q"&amp;ROUNDUP(MONTH(Table1_1[[#This Row],[order_date]])/3,0)</f>
        <v>Q2</v>
      </c>
      <c r="X1414" t="str">
        <f>TEXT(Table1_1[[#This Row],[order_date]],"yyyy-mm")</f>
        <v>2025-06</v>
      </c>
      <c r="Y1414">
        <f>IF(Table1_1[[#This Row],[ship_date]]="","",Table1_1[[#This Row],[ship_date]]-Table1_1[[#This Row],[order_date]])</f>
        <v>4</v>
      </c>
      <c r="Z1414">
        <f>ROUND(Table1_1[[#This Row],[profit]]/Table1_1[[#This Row],[sales_fix]]*100,2)</f>
        <v>21.54</v>
      </c>
    </row>
    <row r="1415" spans="1:26" x14ac:dyDescent="0.3">
      <c r="A1415" t="s">
        <v>3052</v>
      </c>
      <c r="B1415" s="1">
        <v>45619</v>
      </c>
      <c r="C1415" s="1">
        <v>45620</v>
      </c>
      <c r="D1415" t="s">
        <v>444</v>
      </c>
      <c r="E1415" t="s">
        <v>445</v>
      </c>
      <c r="F1415" t="s">
        <v>55</v>
      </c>
      <c r="G1415" t="s">
        <v>91</v>
      </c>
      <c r="H1415" t="s">
        <v>92</v>
      </c>
      <c r="I1415" t="s">
        <v>71</v>
      </c>
      <c r="J1415" t="s">
        <v>72</v>
      </c>
      <c r="K1415" t="s">
        <v>73</v>
      </c>
      <c r="L1415">
        <v>1</v>
      </c>
      <c r="M1415">
        <v>3500</v>
      </c>
      <c r="N1415">
        <v>0</v>
      </c>
      <c r="O1415">
        <v>3500</v>
      </c>
      <c r="P1415">
        <v>1039.8699999999999</v>
      </c>
      <c r="Q1415" t="s">
        <v>66</v>
      </c>
      <c r="R1415" t="s">
        <v>49</v>
      </c>
      <c r="S1415" t="s">
        <v>50</v>
      </c>
      <c r="T1415">
        <f>YEAR(Table1_1[[#This Row],[order_date]])</f>
        <v>2024</v>
      </c>
      <c r="U1415">
        <f>MONTH(Table1_1[[#This Row],[order_date]])</f>
        <v>11</v>
      </c>
      <c r="V1415" t="str">
        <f>TEXT(Table1_1[[#This Row],[order_date]],"mmm")</f>
        <v>Nov</v>
      </c>
      <c r="W1415" t="str">
        <f>"Q"&amp;ROUNDUP(MONTH(Table1_1[[#This Row],[order_date]])/3,0)</f>
        <v>Q4</v>
      </c>
      <c r="X1415" t="str">
        <f>TEXT(Table1_1[[#This Row],[order_date]],"yyyy-mm")</f>
        <v>2024-11</v>
      </c>
      <c r="Y1415">
        <f>IF(Table1_1[[#This Row],[ship_date]]="","",Table1_1[[#This Row],[ship_date]]-Table1_1[[#This Row],[order_date]])</f>
        <v>1</v>
      </c>
      <c r="Z1415">
        <f>ROUND(Table1_1[[#This Row],[profit]]/Table1_1[[#This Row],[sales_fix]]*100,2)</f>
        <v>29.71</v>
      </c>
    </row>
    <row r="1416" spans="1:26" x14ac:dyDescent="0.3">
      <c r="A1416" t="s">
        <v>2658</v>
      </c>
      <c r="B1416" s="1">
        <v>45296</v>
      </c>
      <c r="C1416" s="1">
        <v>45302</v>
      </c>
      <c r="D1416" t="s">
        <v>557</v>
      </c>
      <c r="E1416" t="s">
        <v>558</v>
      </c>
      <c r="F1416" t="s">
        <v>23</v>
      </c>
      <c r="G1416" t="s">
        <v>61</v>
      </c>
      <c r="H1416" t="s">
        <v>62</v>
      </c>
      <c r="I1416" t="s">
        <v>25</v>
      </c>
      <c r="J1416" t="s">
        <v>26</v>
      </c>
      <c r="K1416" t="s">
        <v>27</v>
      </c>
      <c r="L1416">
        <v>5</v>
      </c>
      <c r="M1416">
        <v>7000</v>
      </c>
      <c r="N1416">
        <v>15</v>
      </c>
      <c r="O1416">
        <v>29750</v>
      </c>
      <c r="P1416">
        <v>6711.6</v>
      </c>
      <c r="Q1416" t="s">
        <v>121</v>
      </c>
      <c r="R1416" t="s">
        <v>49</v>
      </c>
      <c r="S1416" t="s">
        <v>50</v>
      </c>
      <c r="T1416">
        <f>YEAR(Table1_1[[#This Row],[order_date]])</f>
        <v>2024</v>
      </c>
      <c r="U1416">
        <f>MONTH(Table1_1[[#This Row],[order_date]])</f>
        <v>1</v>
      </c>
      <c r="V1416" t="str">
        <f>TEXT(Table1_1[[#This Row],[order_date]],"mmm")</f>
        <v>Jan</v>
      </c>
      <c r="W1416" t="str">
        <f>"Q"&amp;ROUNDUP(MONTH(Table1_1[[#This Row],[order_date]])/3,0)</f>
        <v>Q1</v>
      </c>
      <c r="X1416" t="str">
        <f>TEXT(Table1_1[[#This Row],[order_date]],"yyyy-mm")</f>
        <v>2024-01</v>
      </c>
      <c r="Y1416">
        <f>IF(Table1_1[[#This Row],[ship_date]]="","",Table1_1[[#This Row],[ship_date]]-Table1_1[[#This Row],[order_date]])</f>
        <v>6</v>
      </c>
      <c r="Z1416">
        <f>ROUND(Table1_1[[#This Row],[profit]]/Table1_1[[#This Row],[sales_fix]]*100,2)</f>
        <v>22.56</v>
      </c>
    </row>
    <row r="1417" spans="1:26" x14ac:dyDescent="0.3">
      <c r="A1417" t="s">
        <v>3000</v>
      </c>
      <c r="B1417" s="1">
        <v>45337</v>
      </c>
      <c r="C1417" s="1">
        <v>45342</v>
      </c>
      <c r="D1417" t="s">
        <v>1003</v>
      </c>
      <c r="E1417" t="s">
        <v>1004</v>
      </c>
      <c r="F1417" t="s">
        <v>23</v>
      </c>
      <c r="G1417" t="s">
        <v>61</v>
      </c>
      <c r="H1417" t="s">
        <v>62</v>
      </c>
      <c r="I1417" t="s">
        <v>134</v>
      </c>
      <c r="J1417" t="s">
        <v>135</v>
      </c>
      <c r="K1417" t="s">
        <v>27</v>
      </c>
      <c r="L1417">
        <v>1</v>
      </c>
      <c r="M1417">
        <v>6000</v>
      </c>
      <c r="N1417">
        <v>10</v>
      </c>
      <c r="O1417">
        <v>5400</v>
      </c>
      <c r="P1417">
        <v>1034.82</v>
      </c>
      <c r="Q1417" t="s">
        <v>28</v>
      </c>
      <c r="R1417" t="s">
        <v>56</v>
      </c>
      <c r="S1417" t="s">
        <v>40</v>
      </c>
      <c r="T1417">
        <f>YEAR(Table1_1[[#This Row],[order_date]])</f>
        <v>2024</v>
      </c>
      <c r="U1417">
        <f>MONTH(Table1_1[[#This Row],[order_date]])</f>
        <v>2</v>
      </c>
      <c r="V1417" t="str">
        <f>TEXT(Table1_1[[#This Row],[order_date]],"mmm")</f>
        <v>Feb</v>
      </c>
      <c r="W1417" t="str">
        <f>"Q"&amp;ROUNDUP(MONTH(Table1_1[[#This Row],[order_date]])/3,0)</f>
        <v>Q1</v>
      </c>
      <c r="X1417" t="str">
        <f>TEXT(Table1_1[[#This Row],[order_date]],"yyyy-mm")</f>
        <v>2024-02</v>
      </c>
      <c r="Y1417">
        <f>IF(Table1_1[[#This Row],[ship_date]]="","",Table1_1[[#This Row],[ship_date]]-Table1_1[[#This Row],[order_date]])</f>
        <v>5</v>
      </c>
      <c r="Z1417">
        <f>ROUND(Table1_1[[#This Row],[profit]]/Table1_1[[#This Row],[sales_fix]]*100,2)</f>
        <v>19.16</v>
      </c>
    </row>
    <row r="1418" spans="1:26" x14ac:dyDescent="0.3">
      <c r="A1418" t="s">
        <v>906</v>
      </c>
      <c r="B1418" s="1">
        <v>45961</v>
      </c>
      <c r="C1418" s="1">
        <v>45968</v>
      </c>
      <c r="D1418" t="s">
        <v>653</v>
      </c>
      <c r="E1418" t="s">
        <v>654</v>
      </c>
      <c r="F1418" t="s">
        <v>23</v>
      </c>
      <c r="G1418" t="s">
        <v>44</v>
      </c>
      <c r="H1418" t="s">
        <v>330</v>
      </c>
      <c r="I1418" t="s">
        <v>103</v>
      </c>
      <c r="J1418" t="s">
        <v>104</v>
      </c>
      <c r="K1418" t="s">
        <v>65</v>
      </c>
      <c r="L1418">
        <v>1</v>
      </c>
      <c r="M1418">
        <v>8000</v>
      </c>
      <c r="N1418">
        <v>15</v>
      </c>
      <c r="O1418">
        <v>6800</v>
      </c>
      <c r="P1418">
        <v>1196.95</v>
      </c>
      <c r="Q1418" t="s">
        <v>28</v>
      </c>
      <c r="R1418" t="s">
        <v>49</v>
      </c>
      <c r="S1418" t="s">
        <v>50</v>
      </c>
      <c r="T1418">
        <f>YEAR(Table1_1[[#This Row],[order_date]])</f>
        <v>2025</v>
      </c>
      <c r="U1418">
        <f>MONTH(Table1_1[[#This Row],[order_date]])</f>
        <v>10</v>
      </c>
      <c r="V1418" t="str">
        <f>TEXT(Table1_1[[#This Row],[order_date]],"mmm")</f>
        <v>Oct</v>
      </c>
      <c r="W1418" t="str">
        <f>"Q"&amp;ROUNDUP(MONTH(Table1_1[[#This Row],[order_date]])/3,0)</f>
        <v>Q4</v>
      </c>
      <c r="X1418" t="str">
        <f>TEXT(Table1_1[[#This Row],[order_date]],"yyyy-mm")</f>
        <v>2025-10</v>
      </c>
      <c r="Y1418">
        <f>IF(Table1_1[[#This Row],[ship_date]]="","",Table1_1[[#This Row],[ship_date]]-Table1_1[[#This Row],[order_date]])</f>
        <v>7</v>
      </c>
      <c r="Z1418">
        <f>ROUND(Table1_1[[#This Row],[profit]]/Table1_1[[#This Row],[sales_fix]]*100,2)</f>
        <v>17.600000000000001</v>
      </c>
    </row>
    <row r="1419" spans="1:26" x14ac:dyDescent="0.3">
      <c r="A1419" t="s">
        <v>2525</v>
      </c>
      <c r="B1419" s="1">
        <v>45906</v>
      </c>
      <c r="C1419" s="1">
        <v>45914</v>
      </c>
      <c r="D1419" t="s">
        <v>230</v>
      </c>
      <c r="E1419" t="s">
        <v>231</v>
      </c>
      <c r="F1419" t="s">
        <v>55</v>
      </c>
      <c r="G1419" t="s">
        <v>44</v>
      </c>
      <c r="H1419" t="s">
        <v>161</v>
      </c>
      <c r="I1419" t="s">
        <v>25</v>
      </c>
      <c r="J1419" t="s">
        <v>26</v>
      </c>
      <c r="K1419" t="s">
        <v>27</v>
      </c>
      <c r="L1419">
        <v>1</v>
      </c>
      <c r="M1419">
        <v>7000</v>
      </c>
      <c r="N1419">
        <v>15</v>
      </c>
      <c r="O1419">
        <v>5950</v>
      </c>
      <c r="P1419">
        <v>1123.3699999999999</v>
      </c>
      <c r="Q1419" t="s">
        <v>121</v>
      </c>
      <c r="R1419" t="s">
        <v>56</v>
      </c>
      <c r="S1419" t="s">
        <v>50</v>
      </c>
      <c r="T1419">
        <f>YEAR(Table1_1[[#This Row],[order_date]])</f>
        <v>2025</v>
      </c>
      <c r="U1419">
        <f>MONTH(Table1_1[[#This Row],[order_date]])</f>
        <v>9</v>
      </c>
      <c r="V1419" t="str">
        <f>TEXT(Table1_1[[#This Row],[order_date]],"mmm")</f>
        <v>Sep</v>
      </c>
      <c r="W1419" t="str">
        <f>"Q"&amp;ROUNDUP(MONTH(Table1_1[[#This Row],[order_date]])/3,0)</f>
        <v>Q3</v>
      </c>
      <c r="X1419" t="str">
        <f>TEXT(Table1_1[[#This Row],[order_date]],"yyyy-mm")</f>
        <v>2025-09</v>
      </c>
      <c r="Y1419">
        <f>IF(Table1_1[[#This Row],[ship_date]]="","",Table1_1[[#This Row],[ship_date]]-Table1_1[[#This Row],[order_date]])</f>
        <v>8</v>
      </c>
      <c r="Z1419">
        <f>ROUND(Table1_1[[#This Row],[profit]]/Table1_1[[#This Row],[sales_fix]]*100,2)</f>
        <v>18.88</v>
      </c>
    </row>
    <row r="1420" spans="1:26" x14ac:dyDescent="0.3">
      <c r="A1420" t="s">
        <v>140</v>
      </c>
      <c r="B1420" s="1">
        <v>45409</v>
      </c>
      <c r="C1420" s="1">
        <v>45412</v>
      </c>
      <c r="D1420" t="s">
        <v>142</v>
      </c>
      <c r="E1420" t="s">
        <v>143</v>
      </c>
      <c r="F1420" t="s">
        <v>34</v>
      </c>
      <c r="G1420" t="s">
        <v>44</v>
      </c>
      <c r="H1420" t="s">
        <v>24</v>
      </c>
      <c r="I1420" t="s">
        <v>126</v>
      </c>
      <c r="J1420" t="s">
        <v>127</v>
      </c>
      <c r="K1420" t="s">
        <v>95</v>
      </c>
      <c r="L1420">
        <v>1</v>
      </c>
      <c r="M1420">
        <v>600</v>
      </c>
      <c r="N1420">
        <v>20</v>
      </c>
      <c r="O1420">
        <v>480</v>
      </c>
      <c r="P1420">
        <v>163.32</v>
      </c>
      <c r="Q1420" t="s">
        <v>39</v>
      </c>
      <c r="R1420" t="s">
        <v>49</v>
      </c>
      <c r="S1420" t="s">
        <v>57</v>
      </c>
      <c r="T1420">
        <f>YEAR(Table1_1[[#This Row],[order_date]])</f>
        <v>2024</v>
      </c>
      <c r="U1420">
        <f>MONTH(Table1_1[[#This Row],[order_date]])</f>
        <v>4</v>
      </c>
      <c r="V1420" t="str">
        <f>TEXT(Table1_1[[#This Row],[order_date]],"mmm")</f>
        <v>Apr</v>
      </c>
      <c r="W1420" t="str">
        <f>"Q"&amp;ROUNDUP(MONTH(Table1_1[[#This Row],[order_date]])/3,0)</f>
        <v>Q2</v>
      </c>
      <c r="X1420" t="str">
        <f>TEXT(Table1_1[[#This Row],[order_date]],"yyyy-mm")</f>
        <v>2024-04</v>
      </c>
      <c r="Y1420">
        <f>IF(Table1_1[[#This Row],[ship_date]]="","",Table1_1[[#This Row],[ship_date]]-Table1_1[[#This Row],[order_date]])</f>
        <v>3</v>
      </c>
      <c r="Z1420">
        <f>ROUND(Table1_1[[#This Row],[profit]]/Table1_1[[#This Row],[sales_fix]]*100,2)</f>
        <v>34.03</v>
      </c>
    </row>
    <row r="1421" spans="1:26" x14ac:dyDescent="0.3">
      <c r="A1421" t="s">
        <v>1707</v>
      </c>
      <c r="B1421" s="1">
        <v>46003</v>
      </c>
      <c r="C1421" s="1">
        <v>46008</v>
      </c>
      <c r="D1421" t="s">
        <v>947</v>
      </c>
      <c r="E1421" t="s">
        <v>948</v>
      </c>
      <c r="F1421" t="s">
        <v>55</v>
      </c>
      <c r="G1421" t="s">
        <v>35</v>
      </c>
      <c r="H1421" t="s">
        <v>36</v>
      </c>
      <c r="I1421" t="s">
        <v>126</v>
      </c>
      <c r="J1421" t="s">
        <v>127</v>
      </c>
      <c r="K1421" t="s">
        <v>95</v>
      </c>
      <c r="L1421">
        <v>2</v>
      </c>
      <c r="M1421">
        <v>600</v>
      </c>
      <c r="N1421">
        <v>0</v>
      </c>
      <c r="O1421">
        <v>1200</v>
      </c>
      <c r="P1421">
        <v>456</v>
      </c>
      <c r="Q1421" t="s">
        <v>66</v>
      </c>
      <c r="R1421" t="s">
        <v>29</v>
      </c>
      <c r="S1421" t="s">
        <v>30</v>
      </c>
      <c r="T1421">
        <f>YEAR(Table1_1[[#This Row],[order_date]])</f>
        <v>2025</v>
      </c>
      <c r="U1421">
        <f>MONTH(Table1_1[[#This Row],[order_date]])</f>
        <v>12</v>
      </c>
      <c r="V1421" t="str">
        <f>TEXT(Table1_1[[#This Row],[order_date]],"mmm")</f>
        <v>Dec</v>
      </c>
      <c r="W1421" t="str">
        <f>"Q"&amp;ROUNDUP(MONTH(Table1_1[[#This Row],[order_date]])/3,0)</f>
        <v>Q4</v>
      </c>
      <c r="X1421" t="str">
        <f>TEXT(Table1_1[[#This Row],[order_date]],"yyyy-mm")</f>
        <v>2025-12</v>
      </c>
      <c r="Y1421">
        <f>IF(Table1_1[[#This Row],[ship_date]]="","",Table1_1[[#This Row],[ship_date]]-Table1_1[[#This Row],[order_date]])</f>
        <v>5</v>
      </c>
      <c r="Z1421">
        <f>ROUND(Table1_1[[#This Row],[profit]]/Table1_1[[#This Row],[sales_fix]]*100,2)</f>
        <v>38</v>
      </c>
    </row>
    <row r="1422" spans="1:26" x14ac:dyDescent="0.3">
      <c r="A1422" t="s">
        <v>1920</v>
      </c>
      <c r="B1422" s="1">
        <v>45860</v>
      </c>
      <c r="C1422" s="1">
        <v>45861</v>
      </c>
      <c r="D1422" t="s">
        <v>1100</v>
      </c>
      <c r="E1422" t="s">
        <v>1101</v>
      </c>
      <c r="F1422" t="s">
        <v>23</v>
      </c>
      <c r="G1422" t="s">
        <v>44</v>
      </c>
      <c r="H1422" t="s">
        <v>161</v>
      </c>
      <c r="I1422" t="s">
        <v>63</v>
      </c>
      <c r="J1422" t="s">
        <v>64</v>
      </c>
      <c r="K1422" t="s">
        <v>65</v>
      </c>
      <c r="L1422">
        <v>4</v>
      </c>
      <c r="M1422">
        <v>25000</v>
      </c>
      <c r="N1422">
        <v>0</v>
      </c>
      <c r="O1422">
        <v>100000</v>
      </c>
      <c r="P1422">
        <v>11262.69</v>
      </c>
      <c r="Q1422" t="s">
        <v>28</v>
      </c>
      <c r="R1422" t="s">
        <v>49</v>
      </c>
      <c r="S1422" t="s">
        <v>86</v>
      </c>
      <c r="T1422">
        <f>YEAR(Table1_1[[#This Row],[order_date]])</f>
        <v>2025</v>
      </c>
      <c r="U1422">
        <f>MONTH(Table1_1[[#This Row],[order_date]])</f>
        <v>7</v>
      </c>
      <c r="V1422" t="str">
        <f>TEXT(Table1_1[[#This Row],[order_date]],"mmm")</f>
        <v>Jul</v>
      </c>
      <c r="W1422" t="str">
        <f>"Q"&amp;ROUNDUP(MONTH(Table1_1[[#This Row],[order_date]])/3,0)</f>
        <v>Q3</v>
      </c>
      <c r="X1422" t="str">
        <f>TEXT(Table1_1[[#This Row],[order_date]],"yyyy-mm")</f>
        <v>2025-07</v>
      </c>
      <c r="Y1422">
        <f>IF(Table1_1[[#This Row],[ship_date]]="","",Table1_1[[#This Row],[ship_date]]-Table1_1[[#This Row],[order_date]])</f>
        <v>1</v>
      </c>
      <c r="Z1422">
        <f>ROUND(Table1_1[[#This Row],[profit]]/Table1_1[[#This Row],[sales_fix]]*100,2)</f>
        <v>11.26</v>
      </c>
    </row>
    <row r="1423" spans="1:26" x14ac:dyDescent="0.3">
      <c r="A1423" t="s">
        <v>2280</v>
      </c>
      <c r="B1423" s="1">
        <v>45330</v>
      </c>
      <c r="C1423" s="1">
        <v>45332</v>
      </c>
      <c r="D1423" t="s">
        <v>639</v>
      </c>
      <c r="E1423" t="s">
        <v>640</v>
      </c>
      <c r="F1423" t="s">
        <v>55</v>
      </c>
      <c r="G1423" t="s">
        <v>35</v>
      </c>
      <c r="H1423" t="s">
        <v>36</v>
      </c>
      <c r="I1423" t="s">
        <v>103</v>
      </c>
      <c r="J1423" t="s">
        <v>104</v>
      </c>
      <c r="K1423" t="s">
        <v>65</v>
      </c>
      <c r="L1423">
        <v>4</v>
      </c>
      <c r="M1423">
        <v>8000</v>
      </c>
      <c r="N1423">
        <v>0</v>
      </c>
      <c r="O1423">
        <v>32000</v>
      </c>
      <c r="P1423">
        <v>5867.55</v>
      </c>
      <c r="Q1423" t="s">
        <v>121</v>
      </c>
      <c r="R1423" t="s">
        <v>49</v>
      </c>
      <c r="S1423" t="s">
        <v>40</v>
      </c>
      <c r="T1423">
        <f>YEAR(Table1_1[[#This Row],[order_date]])</f>
        <v>2024</v>
      </c>
      <c r="U1423">
        <f>MONTH(Table1_1[[#This Row],[order_date]])</f>
        <v>2</v>
      </c>
      <c r="V1423" t="str">
        <f>TEXT(Table1_1[[#This Row],[order_date]],"mmm")</f>
        <v>Feb</v>
      </c>
      <c r="W1423" t="str">
        <f>"Q"&amp;ROUNDUP(MONTH(Table1_1[[#This Row],[order_date]])/3,0)</f>
        <v>Q1</v>
      </c>
      <c r="X1423" t="str">
        <f>TEXT(Table1_1[[#This Row],[order_date]],"yyyy-mm")</f>
        <v>2024-02</v>
      </c>
      <c r="Y1423">
        <f>IF(Table1_1[[#This Row],[ship_date]]="","",Table1_1[[#This Row],[ship_date]]-Table1_1[[#This Row],[order_date]])</f>
        <v>2</v>
      </c>
      <c r="Z1423">
        <f>ROUND(Table1_1[[#This Row],[profit]]/Table1_1[[#This Row],[sales_fix]]*100,2)</f>
        <v>18.34</v>
      </c>
    </row>
    <row r="1424" spans="1:26" x14ac:dyDescent="0.3">
      <c r="A1424" t="s">
        <v>2165</v>
      </c>
      <c r="B1424" s="1">
        <v>45438</v>
      </c>
      <c r="C1424" s="1">
        <v>45442</v>
      </c>
      <c r="D1424" t="s">
        <v>278</v>
      </c>
      <c r="E1424" t="s">
        <v>279</v>
      </c>
      <c r="F1424" t="s">
        <v>23</v>
      </c>
      <c r="G1424" t="s">
        <v>91</v>
      </c>
      <c r="H1424" t="s">
        <v>177</v>
      </c>
      <c r="I1424" t="s">
        <v>147</v>
      </c>
      <c r="J1424" t="s">
        <v>148</v>
      </c>
      <c r="K1424" t="s">
        <v>48</v>
      </c>
      <c r="L1424">
        <v>2</v>
      </c>
      <c r="M1424">
        <v>250</v>
      </c>
      <c r="N1424">
        <v>20</v>
      </c>
      <c r="O1424">
        <v>400</v>
      </c>
      <c r="P1424">
        <v>114.63</v>
      </c>
      <c r="Q1424" t="s">
        <v>121</v>
      </c>
      <c r="R1424" t="s">
        <v>56</v>
      </c>
      <c r="S1424" t="s">
        <v>110</v>
      </c>
      <c r="T1424">
        <f>YEAR(Table1_1[[#This Row],[order_date]])</f>
        <v>2024</v>
      </c>
      <c r="U1424">
        <f>MONTH(Table1_1[[#This Row],[order_date]])</f>
        <v>5</v>
      </c>
      <c r="V1424" t="str">
        <f>TEXT(Table1_1[[#This Row],[order_date]],"mmm")</f>
        <v>May</v>
      </c>
      <c r="W1424" t="str">
        <f>"Q"&amp;ROUNDUP(MONTH(Table1_1[[#This Row],[order_date]])/3,0)</f>
        <v>Q2</v>
      </c>
      <c r="X1424" t="str">
        <f>TEXT(Table1_1[[#This Row],[order_date]],"yyyy-mm")</f>
        <v>2024-05</v>
      </c>
      <c r="Y1424">
        <f>IF(Table1_1[[#This Row],[ship_date]]="","",Table1_1[[#This Row],[ship_date]]-Table1_1[[#This Row],[order_date]])</f>
        <v>4</v>
      </c>
      <c r="Z1424">
        <f>ROUND(Table1_1[[#This Row],[profit]]/Table1_1[[#This Row],[sales_fix]]*100,2)</f>
        <v>28.66</v>
      </c>
    </row>
    <row r="1425" spans="1:26" x14ac:dyDescent="0.3">
      <c r="A1425" t="s">
        <v>1160</v>
      </c>
      <c r="B1425" s="1">
        <v>45306</v>
      </c>
      <c r="C1425" s="1">
        <v>45311</v>
      </c>
      <c r="D1425" t="s">
        <v>592</v>
      </c>
      <c r="E1425" t="s">
        <v>593</v>
      </c>
      <c r="F1425" t="s">
        <v>55</v>
      </c>
      <c r="G1425" t="s">
        <v>35</v>
      </c>
      <c r="H1425" t="s">
        <v>258</v>
      </c>
      <c r="I1425" t="s">
        <v>93</v>
      </c>
      <c r="J1425" t="s">
        <v>94</v>
      </c>
      <c r="K1425" t="s">
        <v>95</v>
      </c>
      <c r="L1425">
        <v>5</v>
      </c>
      <c r="M1425">
        <v>1800</v>
      </c>
      <c r="N1425">
        <v>0</v>
      </c>
      <c r="O1425">
        <v>9000</v>
      </c>
      <c r="P1425">
        <v>3287.95</v>
      </c>
      <c r="Q1425" t="s">
        <v>121</v>
      </c>
      <c r="R1425" t="s">
        <v>49</v>
      </c>
      <c r="S1425" t="s">
        <v>30</v>
      </c>
      <c r="T1425">
        <f>YEAR(Table1_1[[#This Row],[order_date]])</f>
        <v>2024</v>
      </c>
      <c r="U1425">
        <f>MONTH(Table1_1[[#This Row],[order_date]])</f>
        <v>1</v>
      </c>
      <c r="V1425" t="str">
        <f>TEXT(Table1_1[[#This Row],[order_date]],"mmm")</f>
        <v>Jan</v>
      </c>
      <c r="W1425" t="str">
        <f>"Q"&amp;ROUNDUP(MONTH(Table1_1[[#This Row],[order_date]])/3,0)</f>
        <v>Q1</v>
      </c>
      <c r="X1425" t="str">
        <f>TEXT(Table1_1[[#This Row],[order_date]],"yyyy-mm")</f>
        <v>2024-01</v>
      </c>
      <c r="Y1425">
        <f>IF(Table1_1[[#This Row],[ship_date]]="","",Table1_1[[#This Row],[ship_date]]-Table1_1[[#This Row],[order_date]])</f>
        <v>5</v>
      </c>
      <c r="Z1425">
        <f>ROUND(Table1_1[[#This Row],[profit]]/Table1_1[[#This Row],[sales_fix]]*100,2)</f>
        <v>36.53</v>
      </c>
    </row>
    <row r="1426" spans="1:26" x14ac:dyDescent="0.3">
      <c r="A1426" t="s">
        <v>2058</v>
      </c>
      <c r="B1426" s="1">
        <v>45349</v>
      </c>
      <c r="C1426" s="1">
        <v>45351</v>
      </c>
      <c r="D1426" t="s">
        <v>1643</v>
      </c>
      <c r="E1426" t="s">
        <v>1644</v>
      </c>
      <c r="F1426" t="s">
        <v>55</v>
      </c>
      <c r="G1426" t="s">
        <v>91</v>
      </c>
      <c r="H1426" t="s">
        <v>120</v>
      </c>
      <c r="I1426" t="s">
        <v>126</v>
      </c>
      <c r="J1426" t="s">
        <v>127</v>
      </c>
      <c r="K1426" t="s">
        <v>95</v>
      </c>
      <c r="L1426">
        <v>1</v>
      </c>
      <c r="M1426">
        <v>600</v>
      </c>
      <c r="N1426">
        <v>0</v>
      </c>
      <c r="O1426">
        <v>600</v>
      </c>
      <c r="P1426">
        <v>245.95</v>
      </c>
      <c r="Q1426" t="s">
        <v>121</v>
      </c>
      <c r="R1426" t="s">
        <v>29</v>
      </c>
      <c r="S1426" t="s">
        <v>50</v>
      </c>
      <c r="T1426">
        <f>YEAR(Table1_1[[#This Row],[order_date]])</f>
        <v>2024</v>
      </c>
      <c r="U1426">
        <f>MONTH(Table1_1[[#This Row],[order_date]])</f>
        <v>2</v>
      </c>
      <c r="V1426" t="str">
        <f>TEXT(Table1_1[[#This Row],[order_date]],"mmm")</f>
        <v>Feb</v>
      </c>
      <c r="W1426" t="str">
        <f>"Q"&amp;ROUNDUP(MONTH(Table1_1[[#This Row],[order_date]])/3,0)</f>
        <v>Q1</v>
      </c>
      <c r="X1426" t="str">
        <f>TEXT(Table1_1[[#This Row],[order_date]],"yyyy-mm")</f>
        <v>2024-02</v>
      </c>
      <c r="Y1426">
        <f>IF(Table1_1[[#This Row],[ship_date]]="","",Table1_1[[#This Row],[ship_date]]-Table1_1[[#This Row],[order_date]])</f>
        <v>2</v>
      </c>
      <c r="Z1426">
        <f>ROUND(Table1_1[[#This Row],[profit]]/Table1_1[[#This Row],[sales_fix]]*100,2)</f>
        <v>40.99</v>
      </c>
    </row>
    <row r="1427" spans="1:26" x14ac:dyDescent="0.3">
      <c r="A1427" t="s">
        <v>1105</v>
      </c>
      <c r="B1427" s="1">
        <v>45741</v>
      </c>
      <c r="C1427" s="1">
        <v>45745</v>
      </c>
      <c r="D1427" t="s">
        <v>1107</v>
      </c>
      <c r="E1427" t="s">
        <v>1108</v>
      </c>
      <c r="F1427" t="s">
        <v>55</v>
      </c>
      <c r="G1427" t="s">
        <v>91</v>
      </c>
      <c r="H1427" t="s">
        <v>109</v>
      </c>
      <c r="I1427" t="s">
        <v>126</v>
      </c>
      <c r="J1427" t="s">
        <v>127</v>
      </c>
      <c r="K1427" t="s">
        <v>95</v>
      </c>
      <c r="L1427">
        <v>1</v>
      </c>
      <c r="M1427">
        <v>600</v>
      </c>
      <c r="N1427">
        <v>5</v>
      </c>
      <c r="O1427">
        <v>570</v>
      </c>
      <c r="P1427">
        <v>157.63</v>
      </c>
      <c r="Q1427" t="s">
        <v>39</v>
      </c>
      <c r="R1427" t="s">
        <v>56</v>
      </c>
      <c r="S1427" t="s">
        <v>110</v>
      </c>
      <c r="T1427">
        <f>YEAR(Table1_1[[#This Row],[order_date]])</f>
        <v>2025</v>
      </c>
      <c r="U1427">
        <f>MONTH(Table1_1[[#This Row],[order_date]])</f>
        <v>3</v>
      </c>
      <c r="V1427" t="str">
        <f>TEXT(Table1_1[[#This Row],[order_date]],"mmm")</f>
        <v>Mar</v>
      </c>
      <c r="W1427" t="str">
        <f>"Q"&amp;ROUNDUP(MONTH(Table1_1[[#This Row],[order_date]])/3,0)</f>
        <v>Q1</v>
      </c>
      <c r="X1427" t="str">
        <f>TEXT(Table1_1[[#This Row],[order_date]],"yyyy-mm")</f>
        <v>2025-03</v>
      </c>
      <c r="Y1427">
        <f>IF(Table1_1[[#This Row],[ship_date]]="","",Table1_1[[#This Row],[ship_date]]-Table1_1[[#This Row],[order_date]])</f>
        <v>4</v>
      </c>
      <c r="Z1427">
        <f>ROUND(Table1_1[[#This Row],[profit]]/Table1_1[[#This Row],[sales_fix]]*100,2)</f>
        <v>27.65</v>
      </c>
    </row>
    <row r="1428" spans="1:26" x14ac:dyDescent="0.3">
      <c r="A1428" t="s">
        <v>216</v>
      </c>
      <c r="B1428" s="1">
        <v>45438</v>
      </c>
      <c r="C1428" s="1">
        <v>45440</v>
      </c>
      <c r="D1428" t="s">
        <v>217</v>
      </c>
      <c r="E1428" t="s">
        <v>218</v>
      </c>
      <c r="F1428" t="s">
        <v>23</v>
      </c>
      <c r="G1428" t="s">
        <v>91</v>
      </c>
      <c r="H1428" t="s">
        <v>109</v>
      </c>
      <c r="I1428" t="s">
        <v>79</v>
      </c>
      <c r="J1428" t="s">
        <v>80</v>
      </c>
      <c r="K1428" t="s">
        <v>65</v>
      </c>
      <c r="L1428">
        <v>2</v>
      </c>
      <c r="M1428">
        <v>3000</v>
      </c>
      <c r="N1428">
        <v>0</v>
      </c>
      <c r="O1428">
        <v>6000</v>
      </c>
      <c r="P1428">
        <v>1300.83</v>
      </c>
      <c r="Q1428" t="s">
        <v>28</v>
      </c>
      <c r="R1428" t="s">
        <v>56</v>
      </c>
      <c r="S1428" t="s">
        <v>40</v>
      </c>
      <c r="T1428">
        <f>YEAR(Table1_1[[#This Row],[order_date]])</f>
        <v>2024</v>
      </c>
      <c r="U1428">
        <f>MONTH(Table1_1[[#This Row],[order_date]])</f>
        <v>5</v>
      </c>
      <c r="V1428" t="str">
        <f>TEXT(Table1_1[[#This Row],[order_date]],"mmm")</f>
        <v>May</v>
      </c>
      <c r="W1428" t="str">
        <f>"Q"&amp;ROUNDUP(MONTH(Table1_1[[#This Row],[order_date]])/3,0)</f>
        <v>Q2</v>
      </c>
      <c r="X1428" t="str">
        <f>TEXT(Table1_1[[#This Row],[order_date]],"yyyy-mm")</f>
        <v>2024-05</v>
      </c>
      <c r="Y1428">
        <f>IF(Table1_1[[#This Row],[ship_date]]="","",Table1_1[[#This Row],[ship_date]]-Table1_1[[#This Row],[order_date]])</f>
        <v>2</v>
      </c>
      <c r="Z1428">
        <f>ROUND(Table1_1[[#This Row],[profit]]/Table1_1[[#This Row],[sales_fix]]*100,2)</f>
        <v>21.68</v>
      </c>
    </row>
    <row r="1429" spans="1:26" x14ac:dyDescent="0.3">
      <c r="A1429" t="s">
        <v>2618</v>
      </c>
      <c r="B1429" s="1">
        <v>45465</v>
      </c>
      <c r="C1429" s="1"/>
      <c r="D1429" t="s">
        <v>1171</v>
      </c>
      <c r="E1429" t="s">
        <v>1172</v>
      </c>
      <c r="F1429" t="s">
        <v>34</v>
      </c>
      <c r="G1429" t="s">
        <v>35</v>
      </c>
      <c r="H1429" t="s">
        <v>85</v>
      </c>
      <c r="I1429" t="s">
        <v>93</v>
      </c>
      <c r="J1429" t="s">
        <v>94</v>
      </c>
      <c r="K1429" t="s">
        <v>95</v>
      </c>
      <c r="L1429">
        <v>3</v>
      </c>
      <c r="M1429">
        <v>1800</v>
      </c>
      <c r="N1429">
        <v>0</v>
      </c>
      <c r="O1429">
        <v>5400</v>
      </c>
      <c r="P1429">
        <v>1603</v>
      </c>
      <c r="Q1429" t="s">
        <v>66</v>
      </c>
      <c r="R1429" t="s">
        <v>56</v>
      </c>
      <c r="S1429" t="s">
        <v>50</v>
      </c>
      <c r="T1429">
        <f>YEAR(Table1_1[[#This Row],[order_date]])</f>
        <v>2024</v>
      </c>
      <c r="U1429">
        <f>MONTH(Table1_1[[#This Row],[order_date]])</f>
        <v>6</v>
      </c>
      <c r="V1429" t="str">
        <f>TEXT(Table1_1[[#This Row],[order_date]],"mmm")</f>
        <v>Jun</v>
      </c>
      <c r="W1429" t="str">
        <f>"Q"&amp;ROUNDUP(MONTH(Table1_1[[#This Row],[order_date]])/3,0)</f>
        <v>Q2</v>
      </c>
      <c r="X1429" t="str">
        <f>TEXT(Table1_1[[#This Row],[order_date]],"yyyy-mm")</f>
        <v>2024-06</v>
      </c>
      <c r="Y1429" t="str">
        <f>IF(Table1_1[[#This Row],[ship_date]]="","",Table1_1[[#This Row],[ship_date]]-Table1_1[[#This Row],[order_date]])</f>
        <v/>
      </c>
      <c r="Z1429">
        <f>ROUND(Table1_1[[#This Row],[profit]]/Table1_1[[#This Row],[sales_fix]]*100,2)</f>
        <v>29.69</v>
      </c>
    </row>
    <row r="1430" spans="1:26" x14ac:dyDescent="0.3">
      <c r="A1430" t="s">
        <v>1759</v>
      </c>
      <c r="B1430" s="1">
        <v>45295</v>
      </c>
      <c r="C1430" s="1">
        <v>45297</v>
      </c>
      <c r="D1430" t="s">
        <v>531</v>
      </c>
      <c r="E1430" t="s">
        <v>532</v>
      </c>
      <c r="F1430" t="s">
        <v>23</v>
      </c>
      <c r="G1430" t="s">
        <v>44</v>
      </c>
      <c r="H1430" t="s">
        <v>161</v>
      </c>
      <c r="I1430" t="s">
        <v>134</v>
      </c>
      <c r="J1430" t="s">
        <v>135</v>
      </c>
      <c r="K1430" t="s">
        <v>27</v>
      </c>
      <c r="L1430">
        <v>2</v>
      </c>
      <c r="M1430">
        <v>6000</v>
      </c>
      <c r="N1430">
        <v>20</v>
      </c>
      <c r="O1430">
        <v>9600</v>
      </c>
      <c r="P1430">
        <v>1969.95</v>
      </c>
      <c r="Q1430" t="s">
        <v>121</v>
      </c>
      <c r="R1430" t="s">
        <v>56</v>
      </c>
      <c r="S1430" t="s">
        <v>86</v>
      </c>
      <c r="T1430">
        <f>YEAR(Table1_1[[#This Row],[order_date]])</f>
        <v>2024</v>
      </c>
      <c r="U1430">
        <f>MONTH(Table1_1[[#This Row],[order_date]])</f>
        <v>1</v>
      </c>
      <c r="V1430" t="str">
        <f>TEXT(Table1_1[[#This Row],[order_date]],"mmm")</f>
        <v>Jan</v>
      </c>
      <c r="W1430" t="str">
        <f>"Q"&amp;ROUNDUP(MONTH(Table1_1[[#This Row],[order_date]])/3,0)</f>
        <v>Q1</v>
      </c>
      <c r="X1430" t="str">
        <f>TEXT(Table1_1[[#This Row],[order_date]],"yyyy-mm")</f>
        <v>2024-01</v>
      </c>
      <c r="Y1430">
        <f>IF(Table1_1[[#This Row],[ship_date]]="","",Table1_1[[#This Row],[ship_date]]-Table1_1[[#This Row],[order_date]])</f>
        <v>2</v>
      </c>
      <c r="Z1430">
        <f>ROUND(Table1_1[[#This Row],[profit]]/Table1_1[[#This Row],[sales_fix]]*100,2)</f>
        <v>20.52</v>
      </c>
    </row>
    <row r="1431" spans="1:26" x14ac:dyDescent="0.3">
      <c r="A1431" t="s">
        <v>1280</v>
      </c>
      <c r="B1431" s="1">
        <v>45367</v>
      </c>
      <c r="C1431" s="1">
        <v>45374</v>
      </c>
      <c r="D1431" t="s">
        <v>1072</v>
      </c>
      <c r="E1431" t="s">
        <v>1073</v>
      </c>
      <c r="F1431" t="s">
        <v>23</v>
      </c>
      <c r="G1431" t="s">
        <v>44</v>
      </c>
      <c r="H1431" t="s">
        <v>161</v>
      </c>
      <c r="I1431" t="s">
        <v>46</v>
      </c>
      <c r="J1431" t="s">
        <v>47</v>
      </c>
      <c r="K1431" t="s">
        <v>48</v>
      </c>
      <c r="L1431">
        <v>1</v>
      </c>
      <c r="M1431">
        <v>180</v>
      </c>
      <c r="N1431">
        <v>20</v>
      </c>
      <c r="O1431">
        <v>144</v>
      </c>
      <c r="P1431">
        <v>68.97</v>
      </c>
      <c r="Q1431" t="s">
        <v>74</v>
      </c>
      <c r="R1431" t="s">
        <v>56</v>
      </c>
      <c r="S1431" t="s">
        <v>40</v>
      </c>
      <c r="T1431">
        <f>YEAR(Table1_1[[#This Row],[order_date]])</f>
        <v>2024</v>
      </c>
      <c r="U1431">
        <f>MONTH(Table1_1[[#This Row],[order_date]])</f>
        <v>3</v>
      </c>
      <c r="V1431" t="str">
        <f>TEXT(Table1_1[[#This Row],[order_date]],"mmm")</f>
        <v>Mar</v>
      </c>
      <c r="W1431" t="str">
        <f>"Q"&amp;ROUNDUP(MONTH(Table1_1[[#This Row],[order_date]])/3,0)</f>
        <v>Q1</v>
      </c>
      <c r="X1431" t="str">
        <f>TEXT(Table1_1[[#This Row],[order_date]],"yyyy-mm")</f>
        <v>2024-03</v>
      </c>
      <c r="Y1431">
        <f>IF(Table1_1[[#This Row],[ship_date]]="","",Table1_1[[#This Row],[ship_date]]-Table1_1[[#This Row],[order_date]])</f>
        <v>7</v>
      </c>
      <c r="Z1431">
        <f>ROUND(Table1_1[[#This Row],[profit]]/Table1_1[[#This Row],[sales_fix]]*100,2)</f>
        <v>47.9</v>
      </c>
    </row>
    <row r="1432" spans="1:26" x14ac:dyDescent="0.3">
      <c r="A1432" t="s">
        <v>2482</v>
      </c>
      <c r="B1432" s="1">
        <v>45535</v>
      </c>
      <c r="C1432" s="1">
        <v>45543</v>
      </c>
      <c r="D1432" t="s">
        <v>336</v>
      </c>
      <c r="E1432" t="s">
        <v>337</v>
      </c>
      <c r="F1432" t="s">
        <v>34</v>
      </c>
      <c r="G1432" t="s">
        <v>61</v>
      </c>
      <c r="H1432" t="s">
        <v>211</v>
      </c>
      <c r="I1432" t="s">
        <v>147</v>
      </c>
      <c r="J1432" t="s">
        <v>148</v>
      </c>
      <c r="K1432" t="s">
        <v>48</v>
      </c>
      <c r="L1432">
        <v>3</v>
      </c>
      <c r="M1432">
        <v>250</v>
      </c>
      <c r="N1432">
        <v>10</v>
      </c>
      <c r="O1432">
        <v>675</v>
      </c>
      <c r="P1432">
        <v>216</v>
      </c>
      <c r="Q1432" t="s">
        <v>28</v>
      </c>
      <c r="R1432" t="s">
        <v>29</v>
      </c>
      <c r="S1432" t="s">
        <v>30</v>
      </c>
      <c r="T1432">
        <f>YEAR(Table1_1[[#This Row],[order_date]])</f>
        <v>2024</v>
      </c>
      <c r="U1432">
        <f>MONTH(Table1_1[[#This Row],[order_date]])</f>
        <v>8</v>
      </c>
      <c r="V1432" t="str">
        <f>TEXT(Table1_1[[#This Row],[order_date]],"mmm")</f>
        <v>Aug</v>
      </c>
      <c r="W1432" t="str">
        <f>"Q"&amp;ROUNDUP(MONTH(Table1_1[[#This Row],[order_date]])/3,0)</f>
        <v>Q3</v>
      </c>
      <c r="X1432" t="str">
        <f>TEXT(Table1_1[[#This Row],[order_date]],"yyyy-mm")</f>
        <v>2024-08</v>
      </c>
      <c r="Y1432">
        <f>IF(Table1_1[[#This Row],[ship_date]]="","",Table1_1[[#This Row],[ship_date]]-Table1_1[[#This Row],[order_date]])</f>
        <v>8</v>
      </c>
      <c r="Z1432">
        <f>ROUND(Table1_1[[#This Row],[profit]]/Table1_1[[#This Row],[sales_fix]]*100,2)</f>
        <v>32</v>
      </c>
    </row>
    <row r="1433" spans="1:26" x14ac:dyDescent="0.3">
      <c r="A1433" t="s">
        <v>2414</v>
      </c>
      <c r="B1433" s="1">
        <v>45521</v>
      </c>
      <c r="C1433" s="1">
        <v>45528</v>
      </c>
      <c r="D1433" t="s">
        <v>1796</v>
      </c>
      <c r="E1433" t="s">
        <v>1797</v>
      </c>
      <c r="F1433" t="s">
        <v>55</v>
      </c>
      <c r="G1433" t="s">
        <v>44</v>
      </c>
      <c r="H1433" t="s">
        <v>330</v>
      </c>
      <c r="I1433" t="s">
        <v>37</v>
      </c>
      <c r="J1433" t="s">
        <v>38</v>
      </c>
      <c r="K1433" t="s">
        <v>27</v>
      </c>
      <c r="L1433">
        <v>1</v>
      </c>
      <c r="M1433">
        <v>9500</v>
      </c>
      <c r="N1433">
        <v>15</v>
      </c>
      <c r="O1433">
        <v>8075</v>
      </c>
      <c r="P1433">
        <v>1602.71</v>
      </c>
      <c r="Q1433" t="s">
        <v>74</v>
      </c>
      <c r="R1433" t="s">
        <v>29</v>
      </c>
      <c r="S1433" t="s">
        <v>110</v>
      </c>
      <c r="T1433">
        <f>YEAR(Table1_1[[#This Row],[order_date]])</f>
        <v>2024</v>
      </c>
      <c r="U1433">
        <f>MONTH(Table1_1[[#This Row],[order_date]])</f>
        <v>8</v>
      </c>
      <c r="V1433" t="str">
        <f>TEXT(Table1_1[[#This Row],[order_date]],"mmm")</f>
        <v>Aug</v>
      </c>
      <c r="W1433" t="str">
        <f>"Q"&amp;ROUNDUP(MONTH(Table1_1[[#This Row],[order_date]])/3,0)</f>
        <v>Q3</v>
      </c>
      <c r="X1433" t="str">
        <f>TEXT(Table1_1[[#This Row],[order_date]],"yyyy-mm")</f>
        <v>2024-08</v>
      </c>
      <c r="Y1433">
        <f>IF(Table1_1[[#This Row],[ship_date]]="","",Table1_1[[#This Row],[ship_date]]-Table1_1[[#This Row],[order_date]])</f>
        <v>7</v>
      </c>
      <c r="Z1433">
        <f>ROUND(Table1_1[[#This Row],[profit]]/Table1_1[[#This Row],[sales_fix]]*100,2)</f>
        <v>19.850000000000001</v>
      </c>
    </row>
    <row r="1434" spans="1:26" x14ac:dyDescent="0.3">
      <c r="A1434" t="s">
        <v>2996</v>
      </c>
      <c r="B1434" s="1">
        <v>45599</v>
      </c>
      <c r="C1434" s="1">
        <v>45603</v>
      </c>
      <c r="D1434" t="s">
        <v>1036</v>
      </c>
      <c r="E1434" t="s">
        <v>1037</v>
      </c>
      <c r="F1434" t="s">
        <v>23</v>
      </c>
      <c r="G1434" t="s">
        <v>61</v>
      </c>
      <c r="H1434" t="s">
        <v>211</v>
      </c>
      <c r="I1434" t="s">
        <v>134</v>
      </c>
      <c r="J1434" t="s">
        <v>135</v>
      </c>
      <c r="K1434" t="s">
        <v>27</v>
      </c>
      <c r="L1434">
        <v>2</v>
      </c>
      <c r="M1434">
        <v>6000</v>
      </c>
      <c r="N1434">
        <v>15</v>
      </c>
      <c r="O1434">
        <v>10200</v>
      </c>
      <c r="P1434">
        <v>2575.11</v>
      </c>
      <c r="Q1434" t="s">
        <v>28</v>
      </c>
      <c r="R1434" t="s">
        <v>29</v>
      </c>
      <c r="S1434" t="s">
        <v>110</v>
      </c>
      <c r="T1434">
        <f>YEAR(Table1_1[[#This Row],[order_date]])</f>
        <v>2024</v>
      </c>
      <c r="U1434">
        <f>MONTH(Table1_1[[#This Row],[order_date]])</f>
        <v>11</v>
      </c>
      <c r="V1434" t="str">
        <f>TEXT(Table1_1[[#This Row],[order_date]],"mmm")</f>
        <v>Nov</v>
      </c>
      <c r="W1434" t="str">
        <f>"Q"&amp;ROUNDUP(MONTH(Table1_1[[#This Row],[order_date]])/3,0)</f>
        <v>Q4</v>
      </c>
      <c r="X1434" t="str">
        <f>TEXT(Table1_1[[#This Row],[order_date]],"yyyy-mm")</f>
        <v>2024-11</v>
      </c>
      <c r="Y1434">
        <f>IF(Table1_1[[#This Row],[ship_date]]="","",Table1_1[[#This Row],[ship_date]]-Table1_1[[#This Row],[order_date]])</f>
        <v>4</v>
      </c>
      <c r="Z1434">
        <f>ROUND(Table1_1[[#This Row],[profit]]/Table1_1[[#This Row],[sales_fix]]*100,2)</f>
        <v>25.25</v>
      </c>
    </row>
    <row r="1435" spans="1:26" x14ac:dyDescent="0.3">
      <c r="A1435" t="s">
        <v>984</v>
      </c>
      <c r="B1435" s="1">
        <v>45723</v>
      </c>
      <c r="C1435" s="1">
        <v>45731</v>
      </c>
      <c r="D1435" t="s">
        <v>76</v>
      </c>
      <c r="E1435" t="s">
        <v>666</v>
      </c>
      <c r="F1435" t="s">
        <v>23</v>
      </c>
      <c r="G1435" t="s">
        <v>61</v>
      </c>
      <c r="H1435" t="s">
        <v>78</v>
      </c>
      <c r="I1435" t="s">
        <v>134</v>
      </c>
      <c r="J1435" t="s">
        <v>135</v>
      </c>
      <c r="K1435" t="s">
        <v>27</v>
      </c>
      <c r="L1435">
        <v>4</v>
      </c>
      <c r="M1435">
        <v>6000</v>
      </c>
      <c r="N1435">
        <v>5</v>
      </c>
      <c r="O1435">
        <v>22800</v>
      </c>
      <c r="P1435">
        <v>5435.77</v>
      </c>
      <c r="Q1435" t="s">
        <v>28</v>
      </c>
      <c r="R1435" t="s">
        <v>49</v>
      </c>
      <c r="S1435" t="s">
        <v>110</v>
      </c>
      <c r="T1435">
        <f>YEAR(Table1_1[[#This Row],[order_date]])</f>
        <v>2025</v>
      </c>
      <c r="U1435">
        <f>MONTH(Table1_1[[#This Row],[order_date]])</f>
        <v>3</v>
      </c>
      <c r="V1435" t="str">
        <f>TEXT(Table1_1[[#This Row],[order_date]],"mmm")</f>
        <v>Mar</v>
      </c>
      <c r="W1435" t="str">
        <f>"Q"&amp;ROUNDUP(MONTH(Table1_1[[#This Row],[order_date]])/3,0)</f>
        <v>Q1</v>
      </c>
      <c r="X1435" t="str">
        <f>TEXT(Table1_1[[#This Row],[order_date]],"yyyy-mm")</f>
        <v>2025-03</v>
      </c>
      <c r="Y1435">
        <f>IF(Table1_1[[#This Row],[ship_date]]="","",Table1_1[[#This Row],[ship_date]]-Table1_1[[#This Row],[order_date]])</f>
        <v>8</v>
      </c>
      <c r="Z1435">
        <f>ROUND(Table1_1[[#This Row],[profit]]/Table1_1[[#This Row],[sales_fix]]*100,2)</f>
        <v>23.84</v>
      </c>
    </row>
    <row r="1436" spans="1:26" x14ac:dyDescent="0.3">
      <c r="A1436" t="s">
        <v>993</v>
      </c>
      <c r="B1436" s="1">
        <v>45973</v>
      </c>
      <c r="C1436" s="1">
        <v>45977</v>
      </c>
      <c r="D1436" t="s">
        <v>838</v>
      </c>
      <c r="E1436" t="s">
        <v>839</v>
      </c>
      <c r="F1436" t="s">
        <v>23</v>
      </c>
      <c r="G1436" t="s">
        <v>35</v>
      </c>
      <c r="H1436" t="s">
        <v>258</v>
      </c>
      <c r="I1436" t="s">
        <v>37</v>
      </c>
      <c r="J1436" t="s">
        <v>38</v>
      </c>
      <c r="K1436" t="s">
        <v>27</v>
      </c>
      <c r="L1436">
        <v>3</v>
      </c>
      <c r="M1436">
        <v>9500</v>
      </c>
      <c r="N1436">
        <v>0</v>
      </c>
      <c r="O1436">
        <v>28500</v>
      </c>
      <c r="P1436">
        <v>4550.8999999999996</v>
      </c>
      <c r="Q1436" t="s">
        <v>39</v>
      </c>
      <c r="R1436" t="s">
        <v>29</v>
      </c>
      <c r="S1436" t="s">
        <v>40</v>
      </c>
      <c r="T1436">
        <f>YEAR(Table1_1[[#This Row],[order_date]])</f>
        <v>2025</v>
      </c>
      <c r="U1436">
        <f>MONTH(Table1_1[[#This Row],[order_date]])</f>
        <v>11</v>
      </c>
      <c r="V1436" t="str">
        <f>TEXT(Table1_1[[#This Row],[order_date]],"mmm")</f>
        <v>Nov</v>
      </c>
      <c r="W1436" t="str">
        <f>"Q"&amp;ROUNDUP(MONTH(Table1_1[[#This Row],[order_date]])/3,0)</f>
        <v>Q4</v>
      </c>
      <c r="X1436" t="str">
        <f>TEXT(Table1_1[[#This Row],[order_date]],"yyyy-mm")</f>
        <v>2025-11</v>
      </c>
      <c r="Y1436">
        <f>IF(Table1_1[[#This Row],[ship_date]]="","",Table1_1[[#This Row],[ship_date]]-Table1_1[[#This Row],[order_date]])</f>
        <v>4</v>
      </c>
      <c r="Z1436">
        <f>ROUND(Table1_1[[#This Row],[profit]]/Table1_1[[#This Row],[sales_fix]]*100,2)</f>
        <v>15.97</v>
      </c>
    </row>
    <row r="1437" spans="1:26" x14ac:dyDescent="0.3">
      <c r="A1437" t="s">
        <v>2169</v>
      </c>
      <c r="B1437" s="1">
        <v>45853</v>
      </c>
      <c r="C1437" s="1">
        <v>45858</v>
      </c>
      <c r="D1437" t="s">
        <v>981</v>
      </c>
      <c r="E1437" t="s">
        <v>982</v>
      </c>
      <c r="F1437" t="s">
        <v>23</v>
      </c>
      <c r="G1437" t="s">
        <v>91</v>
      </c>
      <c r="H1437" t="s">
        <v>177</v>
      </c>
      <c r="I1437" t="s">
        <v>147</v>
      </c>
      <c r="J1437" t="s">
        <v>148</v>
      </c>
      <c r="K1437" t="s">
        <v>48</v>
      </c>
      <c r="L1437">
        <v>4</v>
      </c>
      <c r="M1437">
        <v>250</v>
      </c>
      <c r="N1437">
        <v>20</v>
      </c>
      <c r="O1437">
        <v>800</v>
      </c>
      <c r="P1437">
        <v>276.25</v>
      </c>
      <c r="Q1437" t="s">
        <v>121</v>
      </c>
      <c r="R1437" t="s">
        <v>49</v>
      </c>
      <c r="S1437" t="s">
        <v>50</v>
      </c>
      <c r="T1437">
        <f>YEAR(Table1_1[[#This Row],[order_date]])</f>
        <v>2025</v>
      </c>
      <c r="U1437">
        <f>MONTH(Table1_1[[#This Row],[order_date]])</f>
        <v>7</v>
      </c>
      <c r="V1437" t="str">
        <f>TEXT(Table1_1[[#This Row],[order_date]],"mmm")</f>
        <v>Jul</v>
      </c>
      <c r="W1437" t="str">
        <f>"Q"&amp;ROUNDUP(MONTH(Table1_1[[#This Row],[order_date]])/3,0)</f>
        <v>Q3</v>
      </c>
      <c r="X1437" t="str">
        <f>TEXT(Table1_1[[#This Row],[order_date]],"yyyy-mm")</f>
        <v>2025-07</v>
      </c>
      <c r="Y1437">
        <f>IF(Table1_1[[#This Row],[ship_date]]="","",Table1_1[[#This Row],[ship_date]]-Table1_1[[#This Row],[order_date]])</f>
        <v>5</v>
      </c>
      <c r="Z1437">
        <f>ROUND(Table1_1[[#This Row],[profit]]/Table1_1[[#This Row],[sales_fix]]*100,2)</f>
        <v>34.53</v>
      </c>
    </row>
    <row r="1438" spans="1:26" x14ac:dyDescent="0.3">
      <c r="A1438" t="s">
        <v>310</v>
      </c>
      <c r="B1438" s="1">
        <v>45847</v>
      </c>
      <c r="C1438" s="1">
        <v>45854</v>
      </c>
      <c r="D1438" t="s">
        <v>311</v>
      </c>
      <c r="E1438" t="s">
        <v>312</v>
      </c>
      <c r="F1438" t="s">
        <v>34</v>
      </c>
      <c r="G1438" t="s">
        <v>61</v>
      </c>
      <c r="H1438" t="s">
        <v>78</v>
      </c>
      <c r="I1438" t="s">
        <v>63</v>
      </c>
      <c r="J1438" t="s">
        <v>64</v>
      </c>
      <c r="K1438" t="s">
        <v>65</v>
      </c>
      <c r="L1438">
        <v>3</v>
      </c>
      <c r="M1438">
        <v>25000</v>
      </c>
      <c r="N1438">
        <v>0</v>
      </c>
      <c r="O1438">
        <v>75000</v>
      </c>
      <c r="P1438">
        <v>11946.04</v>
      </c>
      <c r="Q1438" t="s">
        <v>66</v>
      </c>
      <c r="R1438" t="s">
        <v>29</v>
      </c>
      <c r="S1438" t="s">
        <v>50</v>
      </c>
      <c r="T1438">
        <f>YEAR(Table1_1[[#This Row],[order_date]])</f>
        <v>2025</v>
      </c>
      <c r="U1438">
        <f>MONTH(Table1_1[[#This Row],[order_date]])</f>
        <v>7</v>
      </c>
      <c r="V1438" t="str">
        <f>TEXT(Table1_1[[#This Row],[order_date]],"mmm")</f>
        <v>Jul</v>
      </c>
      <c r="W1438" t="str">
        <f>"Q"&amp;ROUNDUP(MONTH(Table1_1[[#This Row],[order_date]])/3,0)</f>
        <v>Q3</v>
      </c>
      <c r="X1438" t="str">
        <f>TEXT(Table1_1[[#This Row],[order_date]],"yyyy-mm")</f>
        <v>2025-07</v>
      </c>
      <c r="Y1438">
        <f>IF(Table1_1[[#This Row],[ship_date]]="","",Table1_1[[#This Row],[ship_date]]-Table1_1[[#This Row],[order_date]])</f>
        <v>7</v>
      </c>
      <c r="Z1438">
        <f>ROUND(Table1_1[[#This Row],[profit]]/Table1_1[[#This Row],[sales_fix]]*100,2)</f>
        <v>15.93</v>
      </c>
    </row>
    <row r="1439" spans="1:26" x14ac:dyDescent="0.3">
      <c r="A1439" t="s">
        <v>2785</v>
      </c>
      <c r="B1439" s="1">
        <v>45452</v>
      </c>
      <c r="C1439" s="1">
        <v>45460</v>
      </c>
      <c r="D1439" t="s">
        <v>838</v>
      </c>
      <c r="E1439" t="s">
        <v>839</v>
      </c>
      <c r="F1439" t="s">
        <v>23</v>
      </c>
      <c r="G1439" t="s">
        <v>35</v>
      </c>
      <c r="H1439" t="s">
        <v>258</v>
      </c>
      <c r="I1439" t="s">
        <v>46</v>
      </c>
      <c r="J1439" t="s">
        <v>47</v>
      </c>
      <c r="K1439" t="s">
        <v>48</v>
      </c>
      <c r="L1439">
        <v>3</v>
      </c>
      <c r="M1439">
        <v>180</v>
      </c>
      <c r="N1439">
        <v>10</v>
      </c>
      <c r="O1439">
        <v>486</v>
      </c>
      <c r="P1439">
        <v>190.86</v>
      </c>
      <c r="Q1439" t="s">
        <v>66</v>
      </c>
      <c r="R1439" t="s">
        <v>56</v>
      </c>
      <c r="S1439" t="s">
        <v>50</v>
      </c>
      <c r="T1439">
        <f>YEAR(Table1_1[[#This Row],[order_date]])</f>
        <v>2024</v>
      </c>
      <c r="U1439">
        <f>MONTH(Table1_1[[#This Row],[order_date]])</f>
        <v>6</v>
      </c>
      <c r="V1439" t="str">
        <f>TEXT(Table1_1[[#This Row],[order_date]],"mmm")</f>
        <v>Jun</v>
      </c>
      <c r="W1439" t="str">
        <f>"Q"&amp;ROUNDUP(MONTH(Table1_1[[#This Row],[order_date]])/3,0)</f>
        <v>Q2</v>
      </c>
      <c r="X1439" t="str">
        <f>TEXT(Table1_1[[#This Row],[order_date]],"yyyy-mm")</f>
        <v>2024-06</v>
      </c>
      <c r="Y1439">
        <f>IF(Table1_1[[#This Row],[ship_date]]="","",Table1_1[[#This Row],[ship_date]]-Table1_1[[#This Row],[order_date]])</f>
        <v>8</v>
      </c>
      <c r="Z1439">
        <f>ROUND(Table1_1[[#This Row],[profit]]/Table1_1[[#This Row],[sales_fix]]*100,2)</f>
        <v>39.270000000000003</v>
      </c>
    </row>
    <row r="1440" spans="1:26" x14ac:dyDescent="0.3">
      <c r="A1440" t="s">
        <v>878</v>
      </c>
      <c r="B1440" s="1">
        <v>45975</v>
      </c>
      <c r="C1440" s="1">
        <v>45978</v>
      </c>
      <c r="D1440" t="s">
        <v>301</v>
      </c>
      <c r="E1440" t="s">
        <v>302</v>
      </c>
      <c r="F1440" t="s">
        <v>34</v>
      </c>
      <c r="G1440" t="s">
        <v>44</v>
      </c>
      <c r="H1440" t="s">
        <v>24</v>
      </c>
      <c r="I1440" t="s">
        <v>93</v>
      </c>
      <c r="J1440" t="s">
        <v>94</v>
      </c>
      <c r="K1440" t="s">
        <v>95</v>
      </c>
      <c r="L1440">
        <v>10</v>
      </c>
      <c r="M1440">
        <v>1800</v>
      </c>
      <c r="N1440">
        <v>15</v>
      </c>
      <c r="O1440">
        <v>15300</v>
      </c>
      <c r="P1440">
        <v>4955.2299999999996</v>
      </c>
      <c r="Q1440" t="s">
        <v>156</v>
      </c>
      <c r="R1440" t="s">
        <v>49</v>
      </c>
      <c r="S1440" t="s">
        <v>40</v>
      </c>
      <c r="T1440">
        <f>YEAR(Table1_1[[#This Row],[order_date]])</f>
        <v>2025</v>
      </c>
      <c r="U1440">
        <f>MONTH(Table1_1[[#This Row],[order_date]])</f>
        <v>11</v>
      </c>
      <c r="V1440" t="str">
        <f>TEXT(Table1_1[[#This Row],[order_date]],"mmm")</f>
        <v>Nov</v>
      </c>
      <c r="W1440" t="str">
        <f>"Q"&amp;ROUNDUP(MONTH(Table1_1[[#This Row],[order_date]])/3,0)</f>
        <v>Q4</v>
      </c>
      <c r="X1440" t="str">
        <f>TEXT(Table1_1[[#This Row],[order_date]],"yyyy-mm")</f>
        <v>2025-11</v>
      </c>
      <c r="Y1440">
        <f>IF(Table1_1[[#This Row],[ship_date]]="","",Table1_1[[#This Row],[ship_date]]-Table1_1[[#This Row],[order_date]])</f>
        <v>3</v>
      </c>
      <c r="Z1440">
        <f>ROUND(Table1_1[[#This Row],[profit]]/Table1_1[[#This Row],[sales_fix]]*100,2)</f>
        <v>32.39</v>
      </c>
    </row>
    <row r="1441" spans="1:26" x14ac:dyDescent="0.3">
      <c r="A1441" t="s">
        <v>1640</v>
      </c>
      <c r="B1441" s="1">
        <v>45713</v>
      </c>
      <c r="C1441" s="1">
        <v>45716</v>
      </c>
      <c r="D1441" t="s">
        <v>959</v>
      </c>
      <c r="E1441" t="s">
        <v>960</v>
      </c>
      <c r="F1441" t="s">
        <v>34</v>
      </c>
      <c r="G1441" t="s">
        <v>35</v>
      </c>
      <c r="H1441" t="s">
        <v>187</v>
      </c>
      <c r="I1441" t="s">
        <v>79</v>
      </c>
      <c r="J1441" t="s">
        <v>80</v>
      </c>
      <c r="K1441" t="s">
        <v>65</v>
      </c>
      <c r="L1441">
        <v>1</v>
      </c>
      <c r="M1441">
        <v>3000</v>
      </c>
      <c r="N1441">
        <v>0</v>
      </c>
      <c r="O1441">
        <v>3000</v>
      </c>
      <c r="P1441">
        <v>942.49</v>
      </c>
      <c r="Q1441" t="s">
        <v>28</v>
      </c>
      <c r="R1441" t="s">
        <v>49</v>
      </c>
      <c r="S1441" t="s">
        <v>40</v>
      </c>
      <c r="T1441">
        <f>YEAR(Table1_1[[#This Row],[order_date]])</f>
        <v>2025</v>
      </c>
      <c r="U1441">
        <f>MONTH(Table1_1[[#This Row],[order_date]])</f>
        <v>2</v>
      </c>
      <c r="V1441" t="str">
        <f>TEXT(Table1_1[[#This Row],[order_date]],"mmm")</f>
        <v>Feb</v>
      </c>
      <c r="W1441" t="str">
        <f>"Q"&amp;ROUNDUP(MONTH(Table1_1[[#This Row],[order_date]])/3,0)</f>
        <v>Q1</v>
      </c>
      <c r="X1441" t="str">
        <f>TEXT(Table1_1[[#This Row],[order_date]],"yyyy-mm")</f>
        <v>2025-02</v>
      </c>
      <c r="Y1441">
        <f>IF(Table1_1[[#This Row],[ship_date]]="","",Table1_1[[#This Row],[ship_date]]-Table1_1[[#This Row],[order_date]])</f>
        <v>3</v>
      </c>
      <c r="Z1441">
        <f>ROUND(Table1_1[[#This Row],[profit]]/Table1_1[[#This Row],[sales_fix]]*100,2)</f>
        <v>31.42</v>
      </c>
    </row>
    <row r="1442" spans="1:26" x14ac:dyDescent="0.3">
      <c r="A1442" t="s">
        <v>691</v>
      </c>
      <c r="B1442" s="1">
        <v>45935</v>
      </c>
      <c r="C1442" s="1">
        <v>45936</v>
      </c>
      <c r="D1442" t="s">
        <v>692</v>
      </c>
      <c r="E1442" t="s">
        <v>2006</v>
      </c>
      <c r="F1442" t="s">
        <v>55</v>
      </c>
      <c r="G1442" t="s">
        <v>91</v>
      </c>
      <c r="H1442" t="s">
        <v>120</v>
      </c>
      <c r="I1442" t="s">
        <v>71</v>
      </c>
      <c r="J1442" t="s">
        <v>72</v>
      </c>
      <c r="K1442" t="s">
        <v>73</v>
      </c>
      <c r="L1442">
        <v>3</v>
      </c>
      <c r="M1442">
        <v>3500</v>
      </c>
      <c r="N1442">
        <v>20</v>
      </c>
      <c r="O1442">
        <v>8400</v>
      </c>
      <c r="P1442">
        <v>1951.87</v>
      </c>
      <c r="Q1442" t="s">
        <v>66</v>
      </c>
      <c r="R1442" t="s">
        <v>29</v>
      </c>
      <c r="S1442" t="s">
        <v>110</v>
      </c>
      <c r="T1442">
        <f>YEAR(Table1_1[[#This Row],[order_date]])</f>
        <v>2025</v>
      </c>
      <c r="U1442">
        <f>MONTH(Table1_1[[#This Row],[order_date]])</f>
        <v>10</v>
      </c>
      <c r="V1442" t="str">
        <f>TEXT(Table1_1[[#This Row],[order_date]],"mmm")</f>
        <v>Oct</v>
      </c>
      <c r="W1442" t="str">
        <f>"Q"&amp;ROUNDUP(MONTH(Table1_1[[#This Row],[order_date]])/3,0)</f>
        <v>Q4</v>
      </c>
      <c r="X1442" t="str">
        <f>TEXT(Table1_1[[#This Row],[order_date]],"yyyy-mm")</f>
        <v>2025-10</v>
      </c>
      <c r="Y1442">
        <f>IF(Table1_1[[#This Row],[ship_date]]="","",Table1_1[[#This Row],[ship_date]]-Table1_1[[#This Row],[order_date]])</f>
        <v>1</v>
      </c>
      <c r="Z1442">
        <f>ROUND(Table1_1[[#This Row],[profit]]/Table1_1[[#This Row],[sales_fix]]*100,2)</f>
        <v>23.24</v>
      </c>
    </row>
    <row r="1443" spans="1:26" x14ac:dyDescent="0.3">
      <c r="A1443" t="s">
        <v>2877</v>
      </c>
      <c r="B1443" s="1">
        <v>45657</v>
      </c>
      <c r="C1443" s="1">
        <v>45659</v>
      </c>
      <c r="D1443" t="s">
        <v>1031</v>
      </c>
      <c r="E1443" t="s">
        <v>1032</v>
      </c>
      <c r="F1443" t="s">
        <v>23</v>
      </c>
      <c r="G1443" t="s">
        <v>61</v>
      </c>
      <c r="H1443" t="s">
        <v>211</v>
      </c>
      <c r="I1443" t="s">
        <v>37</v>
      </c>
      <c r="J1443" t="s">
        <v>38</v>
      </c>
      <c r="K1443" t="s">
        <v>27</v>
      </c>
      <c r="L1443">
        <v>1</v>
      </c>
      <c r="M1443">
        <v>9500</v>
      </c>
      <c r="N1443">
        <v>0</v>
      </c>
      <c r="O1443">
        <v>9500</v>
      </c>
      <c r="P1443">
        <v>1563.75</v>
      </c>
      <c r="Q1443" t="s">
        <v>74</v>
      </c>
      <c r="R1443" t="s">
        <v>56</v>
      </c>
      <c r="S1443" t="s">
        <v>110</v>
      </c>
      <c r="T1443">
        <f>YEAR(Table1_1[[#This Row],[order_date]])</f>
        <v>2024</v>
      </c>
      <c r="U1443">
        <f>MONTH(Table1_1[[#This Row],[order_date]])</f>
        <v>12</v>
      </c>
      <c r="V1443" t="str">
        <f>TEXT(Table1_1[[#This Row],[order_date]],"mmm")</f>
        <v>Dec</v>
      </c>
      <c r="W1443" t="str">
        <f>"Q"&amp;ROUNDUP(MONTH(Table1_1[[#This Row],[order_date]])/3,0)</f>
        <v>Q4</v>
      </c>
      <c r="X1443" t="str">
        <f>TEXT(Table1_1[[#This Row],[order_date]],"yyyy-mm")</f>
        <v>2024-12</v>
      </c>
      <c r="Y1443">
        <f>IF(Table1_1[[#This Row],[ship_date]]="","",Table1_1[[#This Row],[ship_date]]-Table1_1[[#This Row],[order_date]])</f>
        <v>2</v>
      </c>
      <c r="Z1443">
        <f>ROUND(Table1_1[[#This Row],[profit]]/Table1_1[[#This Row],[sales_fix]]*100,2)</f>
        <v>16.46</v>
      </c>
    </row>
    <row r="1444" spans="1:26" x14ac:dyDescent="0.3">
      <c r="A1444" t="s">
        <v>1460</v>
      </c>
      <c r="B1444" s="1">
        <v>45778</v>
      </c>
      <c r="C1444" s="1">
        <v>45780</v>
      </c>
      <c r="D1444" t="s">
        <v>1461</v>
      </c>
      <c r="E1444" t="s">
        <v>1462</v>
      </c>
      <c r="F1444" t="s">
        <v>55</v>
      </c>
      <c r="G1444" t="s">
        <v>91</v>
      </c>
      <c r="H1444" t="s">
        <v>109</v>
      </c>
      <c r="I1444" t="s">
        <v>147</v>
      </c>
      <c r="J1444" t="s">
        <v>148</v>
      </c>
      <c r="K1444" t="s">
        <v>48</v>
      </c>
      <c r="L1444">
        <v>1</v>
      </c>
      <c r="M1444">
        <v>250</v>
      </c>
      <c r="N1444">
        <v>0</v>
      </c>
      <c r="O1444">
        <v>250</v>
      </c>
      <c r="P1444">
        <v>81.59</v>
      </c>
      <c r="Q1444" t="s">
        <v>39</v>
      </c>
      <c r="R1444" t="s">
        <v>29</v>
      </c>
      <c r="S1444" t="s">
        <v>50</v>
      </c>
      <c r="T1444">
        <f>YEAR(Table1_1[[#This Row],[order_date]])</f>
        <v>2025</v>
      </c>
      <c r="U1444">
        <f>MONTH(Table1_1[[#This Row],[order_date]])</f>
        <v>5</v>
      </c>
      <c r="V1444" t="str">
        <f>TEXT(Table1_1[[#This Row],[order_date]],"mmm")</f>
        <v>May</v>
      </c>
      <c r="W1444" t="str">
        <f>"Q"&amp;ROUNDUP(MONTH(Table1_1[[#This Row],[order_date]])/3,0)</f>
        <v>Q2</v>
      </c>
      <c r="X1444" t="str">
        <f>TEXT(Table1_1[[#This Row],[order_date]],"yyyy-mm")</f>
        <v>2025-05</v>
      </c>
      <c r="Y1444">
        <f>IF(Table1_1[[#This Row],[ship_date]]="","",Table1_1[[#This Row],[ship_date]]-Table1_1[[#This Row],[order_date]])</f>
        <v>2</v>
      </c>
      <c r="Z1444">
        <f>ROUND(Table1_1[[#This Row],[profit]]/Table1_1[[#This Row],[sales_fix]]*100,2)</f>
        <v>32.64</v>
      </c>
    </row>
    <row r="1445" spans="1:26" x14ac:dyDescent="0.3">
      <c r="A1445" t="s">
        <v>2257</v>
      </c>
      <c r="B1445" s="1">
        <v>45413</v>
      </c>
      <c r="C1445" s="1">
        <v>45421</v>
      </c>
      <c r="D1445" t="s">
        <v>431</v>
      </c>
      <c r="E1445" t="s">
        <v>432</v>
      </c>
      <c r="F1445" t="s">
        <v>23</v>
      </c>
      <c r="G1445" t="s">
        <v>91</v>
      </c>
      <c r="H1445" t="s">
        <v>120</v>
      </c>
      <c r="I1445" t="s">
        <v>134</v>
      </c>
      <c r="J1445" t="s">
        <v>135</v>
      </c>
      <c r="K1445" t="s">
        <v>27</v>
      </c>
      <c r="L1445">
        <v>2</v>
      </c>
      <c r="M1445">
        <v>6000</v>
      </c>
      <c r="N1445">
        <v>10</v>
      </c>
      <c r="O1445">
        <v>10800</v>
      </c>
      <c r="P1445">
        <v>2239.16</v>
      </c>
      <c r="Q1445" t="s">
        <v>156</v>
      </c>
      <c r="R1445" t="s">
        <v>49</v>
      </c>
      <c r="S1445" t="s">
        <v>50</v>
      </c>
      <c r="T1445">
        <f>YEAR(Table1_1[[#This Row],[order_date]])</f>
        <v>2024</v>
      </c>
      <c r="U1445">
        <f>MONTH(Table1_1[[#This Row],[order_date]])</f>
        <v>5</v>
      </c>
      <c r="V1445" t="str">
        <f>TEXT(Table1_1[[#This Row],[order_date]],"mmm")</f>
        <v>May</v>
      </c>
      <c r="W1445" t="str">
        <f>"Q"&amp;ROUNDUP(MONTH(Table1_1[[#This Row],[order_date]])/3,0)</f>
        <v>Q2</v>
      </c>
      <c r="X1445" t="str">
        <f>TEXT(Table1_1[[#This Row],[order_date]],"yyyy-mm")</f>
        <v>2024-05</v>
      </c>
      <c r="Y1445">
        <f>IF(Table1_1[[#This Row],[ship_date]]="","",Table1_1[[#This Row],[ship_date]]-Table1_1[[#This Row],[order_date]])</f>
        <v>8</v>
      </c>
      <c r="Z1445">
        <f>ROUND(Table1_1[[#This Row],[profit]]/Table1_1[[#This Row],[sales_fix]]*100,2)</f>
        <v>20.73</v>
      </c>
    </row>
    <row r="1446" spans="1:26" x14ac:dyDescent="0.3">
      <c r="A1446" t="s">
        <v>1874</v>
      </c>
      <c r="B1446" s="1">
        <v>45442</v>
      </c>
      <c r="C1446" s="1">
        <v>45445</v>
      </c>
      <c r="D1446" t="s">
        <v>1875</v>
      </c>
      <c r="E1446" t="s">
        <v>1876</v>
      </c>
      <c r="F1446" t="s">
        <v>34</v>
      </c>
      <c r="G1446" t="s">
        <v>91</v>
      </c>
      <c r="H1446" t="s">
        <v>109</v>
      </c>
      <c r="I1446" t="s">
        <v>126</v>
      </c>
      <c r="J1446" t="s">
        <v>127</v>
      </c>
      <c r="K1446" t="s">
        <v>95</v>
      </c>
      <c r="L1446">
        <v>5</v>
      </c>
      <c r="M1446">
        <v>600</v>
      </c>
      <c r="N1446">
        <v>0</v>
      </c>
      <c r="O1446">
        <v>3000</v>
      </c>
      <c r="P1446">
        <v>1142.5899999999999</v>
      </c>
      <c r="Q1446" t="s">
        <v>28</v>
      </c>
      <c r="R1446" t="s">
        <v>49</v>
      </c>
      <c r="S1446" t="s">
        <v>30</v>
      </c>
      <c r="T1446">
        <f>YEAR(Table1_1[[#This Row],[order_date]])</f>
        <v>2024</v>
      </c>
      <c r="U1446">
        <f>MONTH(Table1_1[[#This Row],[order_date]])</f>
        <v>5</v>
      </c>
      <c r="V1446" t="str">
        <f>TEXT(Table1_1[[#This Row],[order_date]],"mmm")</f>
        <v>May</v>
      </c>
      <c r="W1446" t="str">
        <f>"Q"&amp;ROUNDUP(MONTH(Table1_1[[#This Row],[order_date]])/3,0)</f>
        <v>Q2</v>
      </c>
      <c r="X1446" t="str">
        <f>TEXT(Table1_1[[#This Row],[order_date]],"yyyy-mm")</f>
        <v>2024-05</v>
      </c>
      <c r="Y1446">
        <f>IF(Table1_1[[#This Row],[ship_date]]="","",Table1_1[[#This Row],[ship_date]]-Table1_1[[#This Row],[order_date]])</f>
        <v>3</v>
      </c>
      <c r="Z1446">
        <f>ROUND(Table1_1[[#This Row],[profit]]/Table1_1[[#This Row],[sales_fix]]*100,2)</f>
        <v>38.090000000000003</v>
      </c>
    </row>
    <row r="1447" spans="1:26" x14ac:dyDescent="0.3">
      <c r="A1447" t="s">
        <v>2432</v>
      </c>
      <c r="B1447" s="1">
        <v>45312</v>
      </c>
      <c r="C1447" s="1">
        <v>45320</v>
      </c>
      <c r="D1447" t="s">
        <v>527</v>
      </c>
      <c r="E1447" t="s">
        <v>528</v>
      </c>
      <c r="F1447" t="s">
        <v>23</v>
      </c>
      <c r="G1447" t="s">
        <v>44</v>
      </c>
      <c r="H1447" t="s">
        <v>161</v>
      </c>
      <c r="I1447" t="s">
        <v>79</v>
      </c>
      <c r="J1447" t="s">
        <v>80</v>
      </c>
      <c r="K1447" t="s">
        <v>65</v>
      </c>
      <c r="L1447">
        <v>2</v>
      </c>
      <c r="M1447">
        <v>3000</v>
      </c>
      <c r="N1447">
        <v>20</v>
      </c>
      <c r="O1447">
        <v>4800</v>
      </c>
      <c r="P1447">
        <v>1216.73</v>
      </c>
      <c r="Q1447" t="s">
        <v>39</v>
      </c>
      <c r="R1447" t="s">
        <v>56</v>
      </c>
      <c r="S1447" t="s">
        <v>50</v>
      </c>
      <c r="T1447">
        <f>YEAR(Table1_1[[#This Row],[order_date]])</f>
        <v>2024</v>
      </c>
      <c r="U1447">
        <f>MONTH(Table1_1[[#This Row],[order_date]])</f>
        <v>1</v>
      </c>
      <c r="V1447" t="str">
        <f>TEXT(Table1_1[[#This Row],[order_date]],"mmm")</f>
        <v>Jan</v>
      </c>
      <c r="W1447" t="str">
        <f>"Q"&amp;ROUNDUP(MONTH(Table1_1[[#This Row],[order_date]])/3,0)</f>
        <v>Q1</v>
      </c>
      <c r="X1447" t="str">
        <f>TEXT(Table1_1[[#This Row],[order_date]],"yyyy-mm")</f>
        <v>2024-01</v>
      </c>
      <c r="Y1447">
        <f>IF(Table1_1[[#This Row],[ship_date]]="","",Table1_1[[#This Row],[ship_date]]-Table1_1[[#This Row],[order_date]])</f>
        <v>8</v>
      </c>
      <c r="Z1447">
        <f>ROUND(Table1_1[[#This Row],[profit]]/Table1_1[[#This Row],[sales_fix]]*100,2)</f>
        <v>25.35</v>
      </c>
    </row>
    <row r="1448" spans="1:26" x14ac:dyDescent="0.3">
      <c r="A1448" t="s">
        <v>2158</v>
      </c>
      <c r="B1448" s="1">
        <v>45795</v>
      </c>
      <c r="C1448" s="1">
        <v>45801</v>
      </c>
      <c r="D1448" t="s">
        <v>578</v>
      </c>
      <c r="E1448" t="s">
        <v>579</v>
      </c>
      <c r="F1448" t="s">
        <v>23</v>
      </c>
      <c r="G1448" t="s">
        <v>91</v>
      </c>
      <c r="H1448" t="s">
        <v>177</v>
      </c>
      <c r="I1448" t="s">
        <v>114</v>
      </c>
      <c r="J1448" t="s">
        <v>115</v>
      </c>
      <c r="K1448" t="s">
        <v>65</v>
      </c>
      <c r="L1448">
        <v>5</v>
      </c>
      <c r="M1448">
        <v>55000</v>
      </c>
      <c r="N1448">
        <v>10</v>
      </c>
      <c r="O1448">
        <v>247500</v>
      </c>
      <c r="P1448">
        <v>37312.03</v>
      </c>
      <c r="Q1448" t="s">
        <v>66</v>
      </c>
      <c r="R1448" t="s">
        <v>49</v>
      </c>
      <c r="S1448" t="s">
        <v>86</v>
      </c>
      <c r="T1448">
        <f>YEAR(Table1_1[[#This Row],[order_date]])</f>
        <v>2025</v>
      </c>
      <c r="U1448">
        <f>MONTH(Table1_1[[#This Row],[order_date]])</f>
        <v>5</v>
      </c>
      <c r="V1448" t="str">
        <f>TEXT(Table1_1[[#This Row],[order_date]],"mmm")</f>
        <v>May</v>
      </c>
      <c r="W1448" t="str">
        <f>"Q"&amp;ROUNDUP(MONTH(Table1_1[[#This Row],[order_date]])/3,0)</f>
        <v>Q2</v>
      </c>
      <c r="X1448" t="str">
        <f>TEXT(Table1_1[[#This Row],[order_date]],"yyyy-mm")</f>
        <v>2025-05</v>
      </c>
      <c r="Y1448">
        <f>IF(Table1_1[[#This Row],[ship_date]]="","",Table1_1[[#This Row],[ship_date]]-Table1_1[[#This Row],[order_date]])</f>
        <v>6</v>
      </c>
      <c r="Z1448">
        <f>ROUND(Table1_1[[#This Row],[profit]]/Table1_1[[#This Row],[sales_fix]]*100,2)</f>
        <v>15.08</v>
      </c>
    </row>
    <row r="1449" spans="1:26" x14ac:dyDescent="0.3">
      <c r="A1449" t="s">
        <v>152</v>
      </c>
      <c r="B1449" s="1">
        <v>45931</v>
      </c>
      <c r="C1449" s="1">
        <v>45935</v>
      </c>
      <c r="D1449" t="s">
        <v>153</v>
      </c>
      <c r="E1449" t="s">
        <v>154</v>
      </c>
      <c r="F1449" t="s">
        <v>23</v>
      </c>
      <c r="G1449" t="s">
        <v>44</v>
      </c>
      <c r="H1449" t="s">
        <v>155</v>
      </c>
      <c r="I1449" t="s">
        <v>79</v>
      </c>
      <c r="J1449" t="s">
        <v>80</v>
      </c>
      <c r="K1449" t="s">
        <v>65</v>
      </c>
      <c r="L1449">
        <v>1</v>
      </c>
      <c r="M1449">
        <v>3000</v>
      </c>
      <c r="N1449">
        <v>0</v>
      </c>
      <c r="O1449">
        <v>3000</v>
      </c>
      <c r="P1449">
        <v>669.95</v>
      </c>
      <c r="Q1449" t="s">
        <v>156</v>
      </c>
      <c r="R1449" t="s">
        <v>49</v>
      </c>
      <c r="S1449" t="s">
        <v>110</v>
      </c>
      <c r="T1449">
        <f>YEAR(Table1_1[[#This Row],[order_date]])</f>
        <v>2025</v>
      </c>
      <c r="U1449">
        <f>MONTH(Table1_1[[#This Row],[order_date]])</f>
        <v>10</v>
      </c>
      <c r="V1449" t="str">
        <f>TEXT(Table1_1[[#This Row],[order_date]],"mmm")</f>
        <v>Oct</v>
      </c>
      <c r="W1449" t="str">
        <f>"Q"&amp;ROUNDUP(MONTH(Table1_1[[#This Row],[order_date]])/3,0)</f>
        <v>Q4</v>
      </c>
      <c r="X1449" t="str">
        <f>TEXT(Table1_1[[#This Row],[order_date]],"yyyy-mm")</f>
        <v>2025-10</v>
      </c>
      <c r="Y1449">
        <f>IF(Table1_1[[#This Row],[ship_date]]="","",Table1_1[[#This Row],[ship_date]]-Table1_1[[#This Row],[order_date]])</f>
        <v>4</v>
      </c>
      <c r="Z1449">
        <f>ROUND(Table1_1[[#This Row],[profit]]/Table1_1[[#This Row],[sales_fix]]*100,2)</f>
        <v>22.33</v>
      </c>
    </row>
    <row r="1450" spans="1:26" x14ac:dyDescent="0.3">
      <c r="A1450" t="s">
        <v>2445</v>
      </c>
      <c r="B1450" s="1">
        <v>45909</v>
      </c>
      <c r="C1450" s="1">
        <v>45916</v>
      </c>
      <c r="D1450" t="s">
        <v>1736</v>
      </c>
      <c r="E1450" t="s">
        <v>1737</v>
      </c>
      <c r="F1450" t="s">
        <v>34</v>
      </c>
      <c r="G1450" t="s">
        <v>35</v>
      </c>
      <c r="H1450" t="s">
        <v>36</v>
      </c>
      <c r="I1450" t="s">
        <v>37</v>
      </c>
      <c r="J1450" t="s">
        <v>38</v>
      </c>
      <c r="K1450" t="s">
        <v>27</v>
      </c>
      <c r="L1450">
        <v>10</v>
      </c>
      <c r="M1450">
        <v>9500</v>
      </c>
      <c r="N1450">
        <v>5</v>
      </c>
      <c r="O1450">
        <v>90250</v>
      </c>
      <c r="P1450">
        <v>12750.2</v>
      </c>
      <c r="Q1450" t="s">
        <v>121</v>
      </c>
      <c r="R1450" t="s">
        <v>49</v>
      </c>
      <c r="S1450" t="s">
        <v>110</v>
      </c>
      <c r="T1450">
        <f>YEAR(Table1_1[[#This Row],[order_date]])</f>
        <v>2025</v>
      </c>
      <c r="U1450">
        <f>MONTH(Table1_1[[#This Row],[order_date]])</f>
        <v>9</v>
      </c>
      <c r="V1450" t="str">
        <f>TEXT(Table1_1[[#This Row],[order_date]],"mmm")</f>
        <v>Sep</v>
      </c>
      <c r="W1450" t="str">
        <f>"Q"&amp;ROUNDUP(MONTH(Table1_1[[#This Row],[order_date]])/3,0)</f>
        <v>Q3</v>
      </c>
      <c r="X1450" t="str">
        <f>TEXT(Table1_1[[#This Row],[order_date]],"yyyy-mm")</f>
        <v>2025-09</v>
      </c>
      <c r="Y1450">
        <f>IF(Table1_1[[#This Row],[ship_date]]="","",Table1_1[[#This Row],[ship_date]]-Table1_1[[#This Row],[order_date]])</f>
        <v>7</v>
      </c>
      <c r="Z1450">
        <f>ROUND(Table1_1[[#This Row],[profit]]/Table1_1[[#This Row],[sales_fix]]*100,2)</f>
        <v>14.13</v>
      </c>
    </row>
    <row r="1451" spans="1:26" x14ac:dyDescent="0.3">
      <c r="A1451" t="s">
        <v>2060</v>
      </c>
      <c r="B1451" s="1">
        <v>45578</v>
      </c>
      <c r="C1451" s="1">
        <v>45581</v>
      </c>
      <c r="D1451" t="s">
        <v>206</v>
      </c>
      <c r="E1451" t="s">
        <v>207</v>
      </c>
      <c r="F1451" t="s">
        <v>55</v>
      </c>
      <c r="G1451" t="s">
        <v>44</v>
      </c>
      <c r="H1451" t="s">
        <v>24</v>
      </c>
      <c r="I1451" t="s">
        <v>46</v>
      </c>
      <c r="J1451" t="s">
        <v>47</v>
      </c>
      <c r="K1451" t="s">
        <v>48</v>
      </c>
      <c r="L1451">
        <v>5</v>
      </c>
      <c r="M1451">
        <v>180</v>
      </c>
      <c r="N1451">
        <v>0</v>
      </c>
      <c r="O1451">
        <v>900</v>
      </c>
      <c r="P1451">
        <v>362.82</v>
      </c>
      <c r="Q1451" t="s">
        <v>66</v>
      </c>
      <c r="R1451" t="s">
        <v>56</v>
      </c>
      <c r="S1451" t="s">
        <v>50</v>
      </c>
      <c r="T1451">
        <f>YEAR(Table1_1[[#This Row],[order_date]])</f>
        <v>2024</v>
      </c>
      <c r="U1451">
        <f>MONTH(Table1_1[[#This Row],[order_date]])</f>
        <v>10</v>
      </c>
      <c r="V1451" t="str">
        <f>TEXT(Table1_1[[#This Row],[order_date]],"mmm")</f>
        <v>Oct</v>
      </c>
      <c r="W1451" t="str">
        <f>"Q"&amp;ROUNDUP(MONTH(Table1_1[[#This Row],[order_date]])/3,0)</f>
        <v>Q4</v>
      </c>
      <c r="X1451" t="str">
        <f>TEXT(Table1_1[[#This Row],[order_date]],"yyyy-mm")</f>
        <v>2024-10</v>
      </c>
      <c r="Y1451">
        <f>IF(Table1_1[[#This Row],[ship_date]]="","",Table1_1[[#This Row],[ship_date]]-Table1_1[[#This Row],[order_date]])</f>
        <v>3</v>
      </c>
      <c r="Z1451">
        <f>ROUND(Table1_1[[#This Row],[profit]]/Table1_1[[#This Row],[sales_fix]]*100,2)</f>
        <v>40.31</v>
      </c>
    </row>
    <row r="1452" spans="1:26" x14ac:dyDescent="0.3">
      <c r="A1452" t="s">
        <v>1217</v>
      </c>
      <c r="B1452" s="1">
        <v>45751</v>
      </c>
      <c r="C1452" s="1">
        <v>45759</v>
      </c>
      <c r="D1452" t="s">
        <v>1218</v>
      </c>
      <c r="E1452" t="s">
        <v>1219</v>
      </c>
      <c r="F1452" t="s">
        <v>34</v>
      </c>
      <c r="G1452" t="s">
        <v>61</v>
      </c>
      <c r="H1452" t="s">
        <v>62</v>
      </c>
      <c r="I1452" t="s">
        <v>25</v>
      </c>
      <c r="J1452" t="s">
        <v>26</v>
      </c>
      <c r="K1452" t="s">
        <v>27</v>
      </c>
      <c r="L1452">
        <v>10</v>
      </c>
      <c r="M1452">
        <v>7000</v>
      </c>
      <c r="N1452">
        <v>0</v>
      </c>
      <c r="O1452">
        <v>70000</v>
      </c>
      <c r="P1452">
        <v>11029.21</v>
      </c>
      <c r="Q1452" t="s">
        <v>156</v>
      </c>
      <c r="R1452" t="s">
        <v>29</v>
      </c>
      <c r="S1452" t="s">
        <v>110</v>
      </c>
      <c r="T1452">
        <f>YEAR(Table1_1[[#This Row],[order_date]])</f>
        <v>2025</v>
      </c>
      <c r="U1452">
        <f>MONTH(Table1_1[[#This Row],[order_date]])</f>
        <v>4</v>
      </c>
      <c r="V1452" t="str">
        <f>TEXT(Table1_1[[#This Row],[order_date]],"mmm")</f>
        <v>Apr</v>
      </c>
      <c r="W1452" t="str">
        <f>"Q"&amp;ROUNDUP(MONTH(Table1_1[[#This Row],[order_date]])/3,0)</f>
        <v>Q2</v>
      </c>
      <c r="X1452" t="str">
        <f>TEXT(Table1_1[[#This Row],[order_date]],"yyyy-mm")</f>
        <v>2025-04</v>
      </c>
      <c r="Y1452">
        <f>IF(Table1_1[[#This Row],[ship_date]]="","",Table1_1[[#This Row],[ship_date]]-Table1_1[[#This Row],[order_date]])</f>
        <v>8</v>
      </c>
      <c r="Z1452">
        <f>ROUND(Table1_1[[#This Row],[profit]]/Table1_1[[#This Row],[sales_fix]]*100,2)</f>
        <v>15.76</v>
      </c>
    </row>
    <row r="1453" spans="1:26" x14ac:dyDescent="0.3">
      <c r="A1453" t="s">
        <v>1620</v>
      </c>
      <c r="B1453" s="1">
        <v>45425</v>
      </c>
      <c r="C1453" s="1">
        <v>45426</v>
      </c>
      <c r="D1453" t="s">
        <v>291</v>
      </c>
      <c r="E1453" t="s">
        <v>292</v>
      </c>
      <c r="F1453" t="s">
        <v>55</v>
      </c>
      <c r="G1453" t="s">
        <v>35</v>
      </c>
      <c r="H1453" t="s">
        <v>187</v>
      </c>
      <c r="I1453" t="s">
        <v>114</v>
      </c>
      <c r="J1453" t="s">
        <v>115</v>
      </c>
      <c r="K1453" t="s">
        <v>65</v>
      </c>
      <c r="L1453">
        <v>4</v>
      </c>
      <c r="M1453">
        <v>55000</v>
      </c>
      <c r="N1453">
        <v>10</v>
      </c>
      <c r="O1453">
        <v>198000</v>
      </c>
      <c r="P1453">
        <v>25100.22</v>
      </c>
      <c r="Q1453" t="s">
        <v>74</v>
      </c>
      <c r="R1453" t="s">
        <v>49</v>
      </c>
      <c r="S1453" t="s">
        <v>50</v>
      </c>
      <c r="T1453">
        <f>YEAR(Table1_1[[#This Row],[order_date]])</f>
        <v>2024</v>
      </c>
      <c r="U1453">
        <f>MONTH(Table1_1[[#This Row],[order_date]])</f>
        <v>5</v>
      </c>
      <c r="V1453" t="str">
        <f>TEXT(Table1_1[[#This Row],[order_date]],"mmm")</f>
        <v>May</v>
      </c>
      <c r="W1453" t="str">
        <f>"Q"&amp;ROUNDUP(MONTH(Table1_1[[#This Row],[order_date]])/3,0)</f>
        <v>Q2</v>
      </c>
      <c r="X1453" t="str">
        <f>TEXT(Table1_1[[#This Row],[order_date]],"yyyy-mm")</f>
        <v>2024-05</v>
      </c>
      <c r="Y1453">
        <f>IF(Table1_1[[#This Row],[ship_date]]="","",Table1_1[[#This Row],[ship_date]]-Table1_1[[#This Row],[order_date]])</f>
        <v>1</v>
      </c>
      <c r="Z1453">
        <f>ROUND(Table1_1[[#This Row],[profit]]/Table1_1[[#This Row],[sales_fix]]*100,2)</f>
        <v>12.68</v>
      </c>
    </row>
    <row r="1454" spans="1:26" x14ac:dyDescent="0.3">
      <c r="A1454" t="s">
        <v>2002</v>
      </c>
      <c r="B1454" s="1">
        <v>45689</v>
      </c>
      <c r="C1454" s="1">
        <v>45696</v>
      </c>
      <c r="D1454" t="s">
        <v>311</v>
      </c>
      <c r="E1454" t="s">
        <v>312</v>
      </c>
      <c r="F1454" t="s">
        <v>34</v>
      </c>
      <c r="G1454" t="s">
        <v>61</v>
      </c>
      <c r="H1454" t="s">
        <v>78</v>
      </c>
      <c r="I1454" t="s">
        <v>134</v>
      </c>
      <c r="J1454" t="s">
        <v>135</v>
      </c>
      <c r="K1454" t="s">
        <v>27</v>
      </c>
      <c r="L1454">
        <v>1</v>
      </c>
      <c r="M1454">
        <v>6000</v>
      </c>
      <c r="N1454">
        <v>15</v>
      </c>
      <c r="O1454">
        <v>5100</v>
      </c>
      <c r="P1454">
        <v>989.13</v>
      </c>
      <c r="Q1454" t="s">
        <v>74</v>
      </c>
      <c r="R1454" t="s">
        <v>49</v>
      </c>
      <c r="S1454" t="s">
        <v>40</v>
      </c>
      <c r="T1454">
        <f>YEAR(Table1_1[[#This Row],[order_date]])</f>
        <v>2025</v>
      </c>
      <c r="U1454">
        <f>MONTH(Table1_1[[#This Row],[order_date]])</f>
        <v>2</v>
      </c>
      <c r="V1454" t="str">
        <f>TEXT(Table1_1[[#This Row],[order_date]],"mmm")</f>
        <v>Feb</v>
      </c>
      <c r="W1454" t="str">
        <f>"Q"&amp;ROUNDUP(MONTH(Table1_1[[#This Row],[order_date]])/3,0)</f>
        <v>Q1</v>
      </c>
      <c r="X1454" t="str">
        <f>TEXT(Table1_1[[#This Row],[order_date]],"yyyy-mm")</f>
        <v>2025-02</v>
      </c>
      <c r="Y1454">
        <f>IF(Table1_1[[#This Row],[ship_date]]="","",Table1_1[[#This Row],[ship_date]]-Table1_1[[#This Row],[order_date]])</f>
        <v>7</v>
      </c>
      <c r="Z1454">
        <f>ROUND(Table1_1[[#This Row],[profit]]/Table1_1[[#This Row],[sales_fix]]*100,2)</f>
        <v>19.39</v>
      </c>
    </row>
    <row r="1455" spans="1:26" x14ac:dyDescent="0.3">
      <c r="A1455" t="s">
        <v>1038</v>
      </c>
      <c r="B1455" s="1">
        <v>46016</v>
      </c>
      <c r="C1455" s="1">
        <v>46020</v>
      </c>
      <c r="D1455" t="s">
        <v>470</v>
      </c>
      <c r="E1455" t="s">
        <v>471</v>
      </c>
      <c r="F1455" t="s">
        <v>23</v>
      </c>
      <c r="G1455" t="s">
        <v>61</v>
      </c>
      <c r="H1455" t="s">
        <v>62</v>
      </c>
      <c r="I1455" t="s">
        <v>134</v>
      </c>
      <c r="J1455" t="s">
        <v>135</v>
      </c>
      <c r="K1455" t="s">
        <v>27</v>
      </c>
      <c r="L1455">
        <v>5</v>
      </c>
      <c r="M1455">
        <v>6000</v>
      </c>
      <c r="N1455">
        <v>15</v>
      </c>
      <c r="O1455">
        <v>25500</v>
      </c>
      <c r="P1455">
        <v>4924.37</v>
      </c>
      <c r="Q1455" t="s">
        <v>28</v>
      </c>
      <c r="R1455" t="s">
        <v>49</v>
      </c>
      <c r="S1455" t="s">
        <v>110</v>
      </c>
      <c r="T1455">
        <f>YEAR(Table1_1[[#This Row],[order_date]])</f>
        <v>2025</v>
      </c>
      <c r="U1455">
        <f>MONTH(Table1_1[[#This Row],[order_date]])</f>
        <v>12</v>
      </c>
      <c r="V1455" t="str">
        <f>TEXT(Table1_1[[#This Row],[order_date]],"mmm")</f>
        <v>Dec</v>
      </c>
      <c r="W1455" t="str">
        <f>"Q"&amp;ROUNDUP(MONTH(Table1_1[[#This Row],[order_date]])/3,0)</f>
        <v>Q4</v>
      </c>
      <c r="X1455" t="str">
        <f>TEXT(Table1_1[[#This Row],[order_date]],"yyyy-mm")</f>
        <v>2025-12</v>
      </c>
      <c r="Y1455">
        <f>IF(Table1_1[[#This Row],[ship_date]]="","",Table1_1[[#This Row],[ship_date]]-Table1_1[[#This Row],[order_date]])</f>
        <v>4</v>
      </c>
      <c r="Z1455">
        <f>ROUND(Table1_1[[#This Row],[profit]]/Table1_1[[#This Row],[sales_fix]]*100,2)</f>
        <v>19.309999999999999</v>
      </c>
    </row>
    <row r="1456" spans="1:26" x14ac:dyDescent="0.3">
      <c r="A1456" t="s">
        <v>2240</v>
      </c>
      <c r="B1456" s="1">
        <v>45979</v>
      </c>
      <c r="C1456" s="1">
        <v>45981</v>
      </c>
      <c r="D1456" t="s">
        <v>1736</v>
      </c>
      <c r="E1456" t="s">
        <v>1737</v>
      </c>
      <c r="F1456" t="s">
        <v>34</v>
      </c>
      <c r="G1456" t="s">
        <v>35</v>
      </c>
      <c r="H1456" t="s">
        <v>36</v>
      </c>
      <c r="I1456" t="s">
        <v>147</v>
      </c>
      <c r="J1456" t="s">
        <v>148</v>
      </c>
      <c r="K1456" t="s">
        <v>48</v>
      </c>
      <c r="L1456">
        <v>3</v>
      </c>
      <c r="M1456">
        <v>250</v>
      </c>
      <c r="N1456">
        <v>0</v>
      </c>
      <c r="O1456">
        <v>750</v>
      </c>
      <c r="P1456">
        <v>313.38</v>
      </c>
      <c r="Q1456" t="s">
        <v>3113</v>
      </c>
      <c r="R1456" t="s">
        <v>29</v>
      </c>
      <c r="S1456" t="s">
        <v>86</v>
      </c>
      <c r="T1456">
        <f>YEAR(Table1_1[[#This Row],[order_date]])</f>
        <v>2025</v>
      </c>
      <c r="U1456">
        <f>MONTH(Table1_1[[#This Row],[order_date]])</f>
        <v>11</v>
      </c>
      <c r="V1456" t="str">
        <f>TEXT(Table1_1[[#This Row],[order_date]],"mmm")</f>
        <v>Nov</v>
      </c>
      <c r="W1456" t="str">
        <f>"Q"&amp;ROUNDUP(MONTH(Table1_1[[#This Row],[order_date]])/3,0)</f>
        <v>Q4</v>
      </c>
      <c r="X1456" t="str">
        <f>TEXT(Table1_1[[#This Row],[order_date]],"yyyy-mm")</f>
        <v>2025-11</v>
      </c>
      <c r="Y1456">
        <f>IF(Table1_1[[#This Row],[ship_date]]="","",Table1_1[[#This Row],[ship_date]]-Table1_1[[#This Row],[order_date]])</f>
        <v>2</v>
      </c>
      <c r="Z1456">
        <f>ROUND(Table1_1[[#This Row],[profit]]/Table1_1[[#This Row],[sales_fix]]*100,2)</f>
        <v>41.78</v>
      </c>
    </row>
    <row r="1457" spans="1:26" x14ac:dyDescent="0.3">
      <c r="A1457" t="s">
        <v>2928</v>
      </c>
      <c r="B1457" s="1">
        <v>45473</v>
      </c>
      <c r="C1457" s="1">
        <v>45477</v>
      </c>
      <c r="D1457" t="s">
        <v>534</v>
      </c>
      <c r="E1457" t="s">
        <v>535</v>
      </c>
      <c r="F1457" t="s">
        <v>34</v>
      </c>
      <c r="G1457" t="s">
        <v>61</v>
      </c>
      <c r="H1457" t="s">
        <v>78</v>
      </c>
      <c r="I1457" t="s">
        <v>63</v>
      </c>
      <c r="J1457" t="s">
        <v>64</v>
      </c>
      <c r="K1457" t="s">
        <v>65</v>
      </c>
      <c r="L1457">
        <v>1</v>
      </c>
      <c r="M1457">
        <v>25000</v>
      </c>
      <c r="N1457">
        <v>0</v>
      </c>
      <c r="O1457">
        <v>25000</v>
      </c>
      <c r="P1457">
        <v>3482.86</v>
      </c>
      <c r="Q1457" t="s">
        <v>66</v>
      </c>
      <c r="R1457" t="s">
        <v>29</v>
      </c>
      <c r="S1457" t="s">
        <v>86</v>
      </c>
      <c r="T1457">
        <f>YEAR(Table1_1[[#This Row],[order_date]])</f>
        <v>2024</v>
      </c>
      <c r="U1457">
        <f>MONTH(Table1_1[[#This Row],[order_date]])</f>
        <v>6</v>
      </c>
      <c r="V1457" t="str">
        <f>TEXT(Table1_1[[#This Row],[order_date]],"mmm")</f>
        <v>Jun</v>
      </c>
      <c r="W1457" t="str">
        <f>"Q"&amp;ROUNDUP(MONTH(Table1_1[[#This Row],[order_date]])/3,0)</f>
        <v>Q2</v>
      </c>
      <c r="X1457" t="str">
        <f>TEXT(Table1_1[[#This Row],[order_date]],"yyyy-mm")</f>
        <v>2024-06</v>
      </c>
      <c r="Y1457">
        <f>IF(Table1_1[[#This Row],[ship_date]]="","",Table1_1[[#This Row],[ship_date]]-Table1_1[[#This Row],[order_date]])</f>
        <v>4</v>
      </c>
      <c r="Z1457">
        <f>ROUND(Table1_1[[#This Row],[profit]]/Table1_1[[#This Row],[sales_fix]]*100,2)</f>
        <v>13.93</v>
      </c>
    </row>
    <row r="1458" spans="1:26" x14ac:dyDescent="0.3">
      <c r="A1458" t="s">
        <v>1384</v>
      </c>
      <c r="B1458" s="1">
        <v>45641</v>
      </c>
      <c r="C1458" s="1">
        <v>45649</v>
      </c>
      <c r="D1458" t="s">
        <v>770</v>
      </c>
      <c r="E1458" t="s">
        <v>771</v>
      </c>
      <c r="F1458" t="s">
        <v>34</v>
      </c>
      <c r="G1458" t="s">
        <v>44</v>
      </c>
      <c r="H1458" t="s">
        <v>161</v>
      </c>
      <c r="I1458" t="s">
        <v>71</v>
      </c>
      <c r="J1458" t="s">
        <v>72</v>
      </c>
      <c r="K1458" t="s">
        <v>73</v>
      </c>
      <c r="L1458">
        <v>2</v>
      </c>
      <c r="M1458">
        <v>3500</v>
      </c>
      <c r="N1458">
        <v>0</v>
      </c>
      <c r="O1458">
        <v>7000</v>
      </c>
      <c r="P1458">
        <v>2090.15</v>
      </c>
      <c r="Q1458" t="s">
        <v>156</v>
      </c>
      <c r="R1458" t="s">
        <v>49</v>
      </c>
      <c r="S1458" t="s">
        <v>86</v>
      </c>
      <c r="T1458">
        <f>YEAR(Table1_1[[#This Row],[order_date]])</f>
        <v>2024</v>
      </c>
      <c r="U1458">
        <f>MONTH(Table1_1[[#This Row],[order_date]])</f>
        <v>12</v>
      </c>
      <c r="V1458" t="str">
        <f>TEXT(Table1_1[[#This Row],[order_date]],"mmm")</f>
        <v>Dec</v>
      </c>
      <c r="W1458" t="str">
        <f>"Q"&amp;ROUNDUP(MONTH(Table1_1[[#This Row],[order_date]])/3,0)</f>
        <v>Q4</v>
      </c>
      <c r="X1458" t="str">
        <f>TEXT(Table1_1[[#This Row],[order_date]],"yyyy-mm")</f>
        <v>2024-12</v>
      </c>
      <c r="Y1458">
        <f>IF(Table1_1[[#This Row],[ship_date]]="","",Table1_1[[#This Row],[ship_date]]-Table1_1[[#This Row],[order_date]])</f>
        <v>8</v>
      </c>
      <c r="Z1458">
        <f>ROUND(Table1_1[[#This Row],[profit]]/Table1_1[[#This Row],[sales_fix]]*100,2)</f>
        <v>29.86</v>
      </c>
    </row>
    <row r="1459" spans="1:26" x14ac:dyDescent="0.3">
      <c r="A1459" t="s">
        <v>1924</v>
      </c>
      <c r="B1459" s="1">
        <v>46013</v>
      </c>
      <c r="C1459" s="1">
        <v>46015</v>
      </c>
      <c r="D1459" t="s">
        <v>1659</v>
      </c>
      <c r="E1459" t="s">
        <v>1660</v>
      </c>
      <c r="F1459" t="s">
        <v>34</v>
      </c>
      <c r="G1459" t="s">
        <v>44</v>
      </c>
      <c r="H1459" t="s">
        <v>24</v>
      </c>
      <c r="I1459" t="s">
        <v>114</v>
      </c>
      <c r="J1459" t="s">
        <v>115</v>
      </c>
      <c r="K1459" t="s">
        <v>65</v>
      </c>
      <c r="L1459">
        <v>5</v>
      </c>
      <c r="M1459">
        <v>55000</v>
      </c>
      <c r="N1459">
        <v>0</v>
      </c>
      <c r="O1459">
        <v>275000</v>
      </c>
      <c r="P1459">
        <v>38324.379999999997</v>
      </c>
      <c r="Q1459" t="s">
        <v>66</v>
      </c>
      <c r="R1459" t="s">
        <v>49</v>
      </c>
      <c r="S1459" t="s">
        <v>50</v>
      </c>
      <c r="T1459">
        <f>YEAR(Table1_1[[#This Row],[order_date]])</f>
        <v>2025</v>
      </c>
      <c r="U1459">
        <f>MONTH(Table1_1[[#This Row],[order_date]])</f>
        <v>12</v>
      </c>
      <c r="V1459" t="str">
        <f>TEXT(Table1_1[[#This Row],[order_date]],"mmm")</f>
        <v>Dec</v>
      </c>
      <c r="W1459" t="str">
        <f>"Q"&amp;ROUNDUP(MONTH(Table1_1[[#This Row],[order_date]])/3,0)</f>
        <v>Q4</v>
      </c>
      <c r="X1459" t="str">
        <f>TEXT(Table1_1[[#This Row],[order_date]],"yyyy-mm")</f>
        <v>2025-12</v>
      </c>
      <c r="Y1459">
        <f>IF(Table1_1[[#This Row],[ship_date]]="","",Table1_1[[#This Row],[ship_date]]-Table1_1[[#This Row],[order_date]])</f>
        <v>2</v>
      </c>
      <c r="Z1459">
        <f>ROUND(Table1_1[[#This Row],[profit]]/Table1_1[[#This Row],[sales_fix]]*100,2)</f>
        <v>13.94</v>
      </c>
    </row>
    <row r="1460" spans="1:26" x14ac:dyDescent="0.3">
      <c r="A1460" t="s">
        <v>1337</v>
      </c>
      <c r="B1460" s="1">
        <v>45373</v>
      </c>
      <c r="C1460" s="1"/>
      <c r="D1460" t="s">
        <v>643</v>
      </c>
      <c r="E1460" t="s">
        <v>644</v>
      </c>
      <c r="F1460" t="s">
        <v>34</v>
      </c>
      <c r="G1460" t="s">
        <v>61</v>
      </c>
      <c r="H1460" t="s">
        <v>78</v>
      </c>
      <c r="I1460" t="s">
        <v>114</v>
      </c>
      <c r="J1460" t="s">
        <v>115</v>
      </c>
      <c r="K1460" t="s">
        <v>65</v>
      </c>
      <c r="L1460">
        <v>1</v>
      </c>
      <c r="M1460">
        <v>55000</v>
      </c>
      <c r="N1460">
        <v>15</v>
      </c>
      <c r="O1460">
        <v>46750</v>
      </c>
      <c r="P1460">
        <v>7672.24</v>
      </c>
      <c r="Q1460" t="s">
        <v>121</v>
      </c>
      <c r="R1460" t="s">
        <v>56</v>
      </c>
      <c r="S1460" t="s">
        <v>30</v>
      </c>
      <c r="T1460">
        <f>YEAR(Table1_1[[#This Row],[order_date]])</f>
        <v>2024</v>
      </c>
      <c r="U1460">
        <f>MONTH(Table1_1[[#This Row],[order_date]])</f>
        <v>3</v>
      </c>
      <c r="V1460" t="str">
        <f>TEXT(Table1_1[[#This Row],[order_date]],"mmm")</f>
        <v>Mar</v>
      </c>
      <c r="W1460" t="str">
        <f>"Q"&amp;ROUNDUP(MONTH(Table1_1[[#This Row],[order_date]])/3,0)</f>
        <v>Q1</v>
      </c>
      <c r="X1460" t="str">
        <f>TEXT(Table1_1[[#This Row],[order_date]],"yyyy-mm")</f>
        <v>2024-03</v>
      </c>
      <c r="Y1460" t="str">
        <f>IF(Table1_1[[#This Row],[ship_date]]="","",Table1_1[[#This Row],[ship_date]]-Table1_1[[#This Row],[order_date]])</f>
        <v/>
      </c>
      <c r="Z1460">
        <f>ROUND(Table1_1[[#This Row],[profit]]/Table1_1[[#This Row],[sales_fix]]*100,2)</f>
        <v>16.41</v>
      </c>
    </row>
    <row r="1461" spans="1:26" x14ac:dyDescent="0.3">
      <c r="A1461" t="s">
        <v>986</v>
      </c>
      <c r="B1461" s="1">
        <v>45586</v>
      </c>
      <c r="C1461" s="1">
        <v>45589</v>
      </c>
      <c r="D1461" t="s">
        <v>787</v>
      </c>
      <c r="E1461" t="s">
        <v>788</v>
      </c>
      <c r="F1461" t="s">
        <v>34</v>
      </c>
      <c r="G1461" t="s">
        <v>35</v>
      </c>
      <c r="H1461" t="s">
        <v>36</v>
      </c>
      <c r="I1461" t="s">
        <v>147</v>
      </c>
      <c r="J1461" t="s">
        <v>148</v>
      </c>
      <c r="K1461" t="s">
        <v>48</v>
      </c>
      <c r="L1461">
        <v>2</v>
      </c>
      <c r="M1461">
        <v>250</v>
      </c>
      <c r="N1461">
        <v>20</v>
      </c>
      <c r="O1461">
        <v>400</v>
      </c>
      <c r="P1461">
        <v>115.92</v>
      </c>
      <c r="Q1461" t="s">
        <v>39</v>
      </c>
      <c r="R1461" t="s">
        <v>29</v>
      </c>
      <c r="S1461" t="s">
        <v>86</v>
      </c>
      <c r="T1461">
        <f>YEAR(Table1_1[[#This Row],[order_date]])</f>
        <v>2024</v>
      </c>
      <c r="U1461">
        <f>MONTH(Table1_1[[#This Row],[order_date]])</f>
        <v>10</v>
      </c>
      <c r="V1461" t="str">
        <f>TEXT(Table1_1[[#This Row],[order_date]],"mmm")</f>
        <v>Oct</v>
      </c>
      <c r="W1461" t="str">
        <f>"Q"&amp;ROUNDUP(MONTH(Table1_1[[#This Row],[order_date]])/3,0)</f>
        <v>Q4</v>
      </c>
      <c r="X1461" t="str">
        <f>TEXT(Table1_1[[#This Row],[order_date]],"yyyy-mm")</f>
        <v>2024-10</v>
      </c>
      <c r="Y1461">
        <f>IF(Table1_1[[#This Row],[ship_date]]="","",Table1_1[[#This Row],[ship_date]]-Table1_1[[#This Row],[order_date]])</f>
        <v>3</v>
      </c>
      <c r="Z1461">
        <f>ROUND(Table1_1[[#This Row],[profit]]/Table1_1[[#This Row],[sales_fix]]*100,2)</f>
        <v>28.98</v>
      </c>
    </row>
    <row r="1462" spans="1:26" x14ac:dyDescent="0.3">
      <c r="A1462" t="s">
        <v>1988</v>
      </c>
      <c r="B1462" s="1">
        <v>45561</v>
      </c>
      <c r="C1462" s="1"/>
      <c r="D1462" t="s">
        <v>153</v>
      </c>
      <c r="E1462" t="s">
        <v>154</v>
      </c>
      <c r="F1462" t="s">
        <v>23</v>
      </c>
      <c r="G1462" t="s">
        <v>44</v>
      </c>
      <c r="H1462" t="s">
        <v>155</v>
      </c>
      <c r="I1462" t="s">
        <v>103</v>
      </c>
      <c r="J1462" t="s">
        <v>104</v>
      </c>
      <c r="K1462" t="s">
        <v>65</v>
      </c>
      <c r="L1462">
        <v>1</v>
      </c>
      <c r="M1462">
        <v>8000</v>
      </c>
      <c r="N1462">
        <v>10</v>
      </c>
      <c r="O1462">
        <v>7200</v>
      </c>
      <c r="P1462">
        <v>1674.31</v>
      </c>
      <c r="Q1462" t="s">
        <v>156</v>
      </c>
      <c r="R1462" t="s">
        <v>29</v>
      </c>
      <c r="S1462" t="s">
        <v>86</v>
      </c>
      <c r="T1462">
        <f>YEAR(Table1_1[[#This Row],[order_date]])</f>
        <v>2024</v>
      </c>
      <c r="U1462">
        <f>MONTH(Table1_1[[#This Row],[order_date]])</f>
        <v>9</v>
      </c>
      <c r="V1462" t="str">
        <f>TEXT(Table1_1[[#This Row],[order_date]],"mmm")</f>
        <v>Sep</v>
      </c>
      <c r="W1462" t="str">
        <f>"Q"&amp;ROUNDUP(MONTH(Table1_1[[#This Row],[order_date]])/3,0)</f>
        <v>Q3</v>
      </c>
      <c r="X1462" t="str">
        <f>TEXT(Table1_1[[#This Row],[order_date]],"yyyy-mm")</f>
        <v>2024-09</v>
      </c>
      <c r="Y1462" t="str">
        <f>IF(Table1_1[[#This Row],[ship_date]]="","",Table1_1[[#This Row],[ship_date]]-Table1_1[[#This Row],[order_date]])</f>
        <v/>
      </c>
      <c r="Z1462">
        <f>ROUND(Table1_1[[#This Row],[profit]]/Table1_1[[#This Row],[sales_fix]]*100,2)</f>
        <v>23.25</v>
      </c>
    </row>
    <row r="1463" spans="1:26" x14ac:dyDescent="0.3">
      <c r="A1463" t="s">
        <v>2439</v>
      </c>
      <c r="B1463" s="1">
        <v>45621</v>
      </c>
      <c r="C1463" s="1">
        <v>45626</v>
      </c>
      <c r="D1463" t="s">
        <v>2374</v>
      </c>
      <c r="E1463" t="s">
        <v>2375</v>
      </c>
      <c r="F1463" t="s">
        <v>23</v>
      </c>
      <c r="G1463" t="s">
        <v>35</v>
      </c>
      <c r="H1463" t="s">
        <v>36</v>
      </c>
      <c r="I1463" t="s">
        <v>79</v>
      </c>
      <c r="J1463" t="s">
        <v>80</v>
      </c>
      <c r="K1463" t="s">
        <v>65</v>
      </c>
      <c r="L1463">
        <v>1</v>
      </c>
      <c r="M1463">
        <v>3000</v>
      </c>
      <c r="N1463">
        <v>5</v>
      </c>
      <c r="O1463">
        <v>2850</v>
      </c>
      <c r="P1463">
        <v>815.77</v>
      </c>
      <c r="Q1463" t="s">
        <v>39</v>
      </c>
      <c r="R1463" t="s">
        <v>49</v>
      </c>
      <c r="S1463" t="s">
        <v>40</v>
      </c>
      <c r="T1463">
        <f>YEAR(Table1_1[[#This Row],[order_date]])</f>
        <v>2024</v>
      </c>
      <c r="U1463">
        <f>MONTH(Table1_1[[#This Row],[order_date]])</f>
        <v>11</v>
      </c>
      <c r="V1463" t="str">
        <f>TEXT(Table1_1[[#This Row],[order_date]],"mmm")</f>
        <v>Nov</v>
      </c>
      <c r="W1463" t="str">
        <f>"Q"&amp;ROUNDUP(MONTH(Table1_1[[#This Row],[order_date]])/3,0)</f>
        <v>Q4</v>
      </c>
      <c r="X1463" t="str">
        <f>TEXT(Table1_1[[#This Row],[order_date]],"yyyy-mm")</f>
        <v>2024-11</v>
      </c>
      <c r="Y1463">
        <f>IF(Table1_1[[#This Row],[ship_date]]="","",Table1_1[[#This Row],[ship_date]]-Table1_1[[#This Row],[order_date]])</f>
        <v>5</v>
      </c>
      <c r="Z1463">
        <f>ROUND(Table1_1[[#This Row],[profit]]/Table1_1[[#This Row],[sales_fix]]*100,2)</f>
        <v>28.62</v>
      </c>
    </row>
    <row r="1464" spans="1:26" x14ac:dyDescent="0.3">
      <c r="A1464" t="s">
        <v>2974</v>
      </c>
      <c r="B1464" s="1">
        <v>45728</v>
      </c>
      <c r="C1464" s="1">
        <v>45729</v>
      </c>
      <c r="D1464" t="s">
        <v>1058</v>
      </c>
      <c r="E1464" t="s">
        <v>1059</v>
      </c>
      <c r="F1464" t="s">
        <v>55</v>
      </c>
      <c r="G1464" t="s">
        <v>91</v>
      </c>
      <c r="H1464" t="s">
        <v>92</v>
      </c>
      <c r="I1464" t="s">
        <v>103</v>
      </c>
      <c r="J1464" t="s">
        <v>104</v>
      </c>
      <c r="K1464" t="s">
        <v>65</v>
      </c>
      <c r="L1464">
        <v>1</v>
      </c>
      <c r="M1464">
        <v>8000</v>
      </c>
      <c r="N1464">
        <v>0</v>
      </c>
      <c r="O1464">
        <v>8000</v>
      </c>
      <c r="P1464">
        <v>1988.35</v>
      </c>
      <c r="Q1464" t="s">
        <v>156</v>
      </c>
      <c r="R1464" t="s">
        <v>56</v>
      </c>
      <c r="S1464" t="s">
        <v>110</v>
      </c>
      <c r="T1464">
        <f>YEAR(Table1_1[[#This Row],[order_date]])</f>
        <v>2025</v>
      </c>
      <c r="U1464">
        <f>MONTH(Table1_1[[#This Row],[order_date]])</f>
        <v>3</v>
      </c>
      <c r="V1464" t="str">
        <f>TEXT(Table1_1[[#This Row],[order_date]],"mmm")</f>
        <v>Mar</v>
      </c>
      <c r="W1464" t="str">
        <f>"Q"&amp;ROUNDUP(MONTH(Table1_1[[#This Row],[order_date]])/3,0)</f>
        <v>Q1</v>
      </c>
      <c r="X1464" t="str">
        <f>TEXT(Table1_1[[#This Row],[order_date]],"yyyy-mm")</f>
        <v>2025-03</v>
      </c>
      <c r="Y1464">
        <f>IF(Table1_1[[#This Row],[ship_date]]="","",Table1_1[[#This Row],[ship_date]]-Table1_1[[#This Row],[order_date]])</f>
        <v>1</v>
      </c>
      <c r="Z1464">
        <f>ROUND(Table1_1[[#This Row],[profit]]/Table1_1[[#This Row],[sales_fix]]*100,2)</f>
        <v>24.85</v>
      </c>
    </row>
    <row r="1465" spans="1:26" x14ac:dyDescent="0.3">
      <c r="A1465" t="s">
        <v>1598</v>
      </c>
      <c r="B1465" s="1">
        <v>45358</v>
      </c>
      <c r="C1465" s="1">
        <v>45359</v>
      </c>
      <c r="D1465" t="s">
        <v>132</v>
      </c>
      <c r="E1465" t="s">
        <v>133</v>
      </c>
      <c r="F1465" t="s">
        <v>23</v>
      </c>
      <c r="G1465" t="s">
        <v>91</v>
      </c>
      <c r="H1465" t="s">
        <v>120</v>
      </c>
      <c r="I1465" t="s">
        <v>79</v>
      </c>
      <c r="J1465" t="s">
        <v>80</v>
      </c>
      <c r="K1465" t="s">
        <v>65</v>
      </c>
      <c r="L1465">
        <v>1</v>
      </c>
      <c r="M1465">
        <v>3000</v>
      </c>
      <c r="N1465">
        <v>5</v>
      </c>
      <c r="O1465">
        <v>2850</v>
      </c>
      <c r="P1465">
        <v>716.22</v>
      </c>
      <c r="Q1465" t="s">
        <v>39</v>
      </c>
      <c r="R1465" t="s">
        <v>49</v>
      </c>
      <c r="S1465" t="s">
        <v>86</v>
      </c>
      <c r="T1465">
        <f>YEAR(Table1_1[[#This Row],[order_date]])</f>
        <v>2024</v>
      </c>
      <c r="U1465">
        <f>MONTH(Table1_1[[#This Row],[order_date]])</f>
        <v>3</v>
      </c>
      <c r="V1465" t="str">
        <f>TEXT(Table1_1[[#This Row],[order_date]],"mmm")</f>
        <v>Mar</v>
      </c>
      <c r="W1465" t="str">
        <f>"Q"&amp;ROUNDUP(MONTH(Table1_1[[#This Row],[order_date]])/3,0)</f>
        <v>Q1</v>
      </c>
      <c r="X1465" t="str">
        <f>TEXT(Table1_1[[#This Row],[order_date]],"yyyy-mm")</f>
        <v>2024-03</v>
      </c>
      <c r="Y1465">
        <f>IF(Table1_1[[#This Row],[ship_date]]="","",Table1_1[[#This Row],[ship_date]]-Table1_1[[#This Row],[order_date]])</f>
        <v>1</v>
      </c>
      <c r="Z1465">
        <f>ROUND(Table1_1[[#This Row],[profit]]/Table1_1[[#This Row],[sales_fix]]*100,2)</f>
        <v>25.13</v>
      </c>
    </row>
    <row r="1466" spans="1:26" x14ac:dyDescent="0.3">
      <c r="A1466" t="s">
        <v>2515</v>
      </c>
      <c r="B1466" s="1">
        <v>45982</v>
      </c>
      <c r="C1466" s="1">
        <v>45984</v>
      </c>
      <c r="D1466" t="s">
        <v>965</v>
      </c>
      <c r="E1466" t="s">
        <v>966</v>
      </c>
      <c r="F1466" t="s">
        <v>34</v>
      </c>
      <c r="G1466" t="s">
        <v>44</v>
      </c>
      <c r="H1466" t="s">
        <v>45</v>
      </c>
      <c r="I1466" t="s">
        <v>114</v>
      </c>
      <c r="J1466" t="s">
        <v>115</v>
      </c>
      <c r="K1466" t="s">
        <v>65</v>
      </c>
      <c r="L1466">
        <v>2</v>
      </c>
      <c r="M1466">
        <v>55000</v>
      </c>
      <c r="N1466">
        <v>0</v>
      </c>
      <c r="O1466">
        <v>110000</v>
      </c>
      <c r="P1466">
        <v>19800</v>
      </c>
      <c r="Q1466" t="s">
        <v>39</v>
      </c>
      <c r="R1466" t="s">
        <v>49</v>
      </c>
      <c r="S1466" t="s">
        <v>110</v>
      </c>
      <c r="T1466">
        <f>YEAR(Table1_1[[#This Row],[order_date]])</f>
        <v>2025</v>
      </c>
      <c r="U1466">
        <f>MONTH(Table1_1[[#This Row],[order_date]])</f>
        <v>11</v>
      </c>
      <c r="V1466" t="str">
        <f>TEXT(Table1_1[[#This Row],[order_date]],"mmm")</f>
        <v>Nov</v>
      </c>
      <c r="W1466" t="str">
        <f>"Q"&amp;ROUNDUP(MONTH(Table1_1[[#This Row],[order_date]])/3,0)</f>
        <v>Q4</v>
      </c>
      <c r="X1466" t="str">
        <f>TEXT(Table1_1[[#This Row],[order_date]],"yyyy-mm")</f>
        <v>2025-11</v>
      </c>
      <c r="Y1466">
        <f>IF(Table1_1[[#This Row],[ship_date]]="","",Table1_1[[#This Row],[ship_date]]-Table1_1[[#This Row],[order_date]])</f>
        <v>2</v>
      </c>
      <c r="Z1466">
        <f>ROUND(Table1_1[[#This Row],[profit]]/Table1_1[[#This Row],[sales_fix]]*100,2)</f>
        <v>18</v>
      </c>
    </row>
    <row r="1467" spans="1:26" x14ac:dyDescent="0.3">
      <c r="A1467" t="s">
        <v>1992</v>
      </c>
      <c r="B1467" s="1">
        <v>45783</v>
      </c>
      <c r="C1467" s="1">
        <v>45789</v>
      </c>
      <c r="D1467" t="s">
        <v>192</v>
      </c>
      <c r="E1467" t="s">
        <v>193</v>
      </c>
      <c r="F1467" t="s">
        <v>55</v>
      </c>
      <c r="G1467" t="s">
        <v>35</v>
      </c>
      <c r="H1467" t="s">
        <v>36</v>
      </c>
      <c r="I1467" t="s">
        <v>37</v>
      </c>
      <c r="J1467" t="s">
        <v>38</v>
      </c>
      <c r="K1467" t="s">
        <v>27</v>
      </c>
      <c r="L1467">
        <v>1</v>
      </c>
      <c r="M1467">
        <v>9500</v>
      </c>
      <c r="N1467">
        <v>0</v>
      </c>
      <c r="O1467">
        <v>9500</v>
      </c>
      <c r="P1467">
        <v>1910.19</v>
      </c>
      <c r="Q1467" t="s">
        <v>39</v>
      </c>
      <c r="R1467" t="s">
        <v>56</v>
      </c>
      <c r="S1467" t="s">
        <v>50</v>
      </c>
      <c r="T1467">
        <f>YEAR(Table1_1[[#This Row],[order_date]])</f>
        <v>2025</v>
      </c>
      <c r="U1467">
        <f>MONTH(Table1_1[[#This Row],[order_date]])</f>
        <v>5</v>
      </c>
      <c r="V1467" t="str">
        <f>TEXT(Table1_1[[#This Row],[order_date]],"mmm")</f>
        <v>May</v>
      </c>
      <c r="W1467" t="str">
        <f>"Q"&amp;ROUNDUP(MONTH(Table1_1[[#This Row],[order_date]])/3,0)</f>
        <v>Q2</v>
      </c>
      <c r="X1467" t="str">
        <f>TEXT(Table1_1[[#This Row],[order_date]],"yyyy-mm")</f>
        <v>2025-05</v>
      </c>
      <c r="Y1467">
        <f>IF(Table1_1[[#This Row],[ship_date]]="","",Table1_1[[#This Row],[ship_date]]-Table1_1[[#This Row],[order_date]])</f>
        <v>6</v>
      </c>
      <c r="Z1467">
        <f>ROUND(Table1_1[[#This Row],[profit]]/Table1_1[[#This Row],[sales_fix]]*100,2)</f>
        <v>20.11</v>
      </c>
    </row>
    <row r="1468" spans="1:26" x14ac:dyDescent="0.3">
      <c r="A1468" t="s">
        <v>1547</v>
      </c>
      <c r="B1468" s="1">
        <v>45466</v>
      </c>
      <c r="C1468" s="1">
        <v>45474</v>
      </c>
      <c r="D1468" t="s">
        <v>359</v>
      </c>
      <c r="E1468" t="s">
        <v>360</v>
      </c>
      <c r="F1468" t="s">
        <v>34</v>
      </c>
      <c r="G1468" t="s">
        <v>61</v>
      </c>
      <c r="H1468" t="s">
        <v>125</v>
      </c>
      <c r="I1468" t="s">
        <v>93</v>
      </c>
      <c r="J1468" t="s">
        <v>94</v>
      </c>
      <c r="K1468" t="s">
        <v>95</v>
      </c>
      <c r="L1468">
        <v>1</v>
      </c>
      <c r="M1468">
        <v>1800</v>
      </c>
      <c r="N1468">
        <v>0</v>
      </c>
      <c r="O1468">
        <v>1800</v>
      </c>
      <c r="P1468">
        <v>544.25</v>
      </c>
      <c r="Q1468" t="s">
        <v>74</v>
      </c>
      <c r="R1468" t="s">
        <v>49</v>
      </c>
      <c r="S1468" t="s">
        <v>30</v>
      </c>
      <c r="T1468">
        <f>YEAR(Table1_1[[#This Row],[order_date]])</f>
        <v>2024</v>
      </c>
      <c r="U1468">
        <f>MONTH(Table1_1[[#This Row],[order_date]])</f>
        <v>6</v>
      </c>
      <c r="V1468" t="str">
        <f>TEXT(Table1_1[[#This Row],[order_date]],"mmm")</f>
        <v>Jun</v>
      </c>
      <c r="W1468" t="str">
        <f>"Q"&amp;ROUNDUP(MONTH(Table1_1[[#This Row],[order_date]])/3,0)</f>
        <v>Q2</v>
      </c>
      <c r="X1468" t="str">
        <f>TEXT(Table1_1[[#This Row],[order_date]],"yyyy-mm")</f>
        <v>2024-06</v>
      </c>
      <c r="Y1468">
        <f>IF(Table1_1[[#This Row],[ship_date]]="","",Table1_1[[#This Row],[ship_date]]-Table1_1[[#This Row],[order_date]])</f>
        <v>8</v>
      </c>
      <c r="Z1468">
        <f>ROUND(Table1_1[[#This Row],[profit]]/Table1_1[[#This Row],[sales_fix]]*100,2)</f>
        <v>30.24</v>
      </c>
    </row>
    <row r="1469" spans="1:26" x14ac:dyDescent="0.3">
      <c r="A1469" t="s">
        <v>442</v>
      </c>
      <c r="B1469" s="1">
        <v>45448</v>
      </c>
      <c r="C1469" s="1">
        <v>45449</v>
      </c>
      <c r="D1469" t="s">
        <v>406</v>
      </c>
      <c r="E1469" t="s">
        <v>407</v>
      </c>
      <c r="F1469" t="s">
        <v>55</v>
      </c>
      <c r="G1469" t="s">
        <v>91</v>
      </c>
      <c r="H1469" t="s">
        <v>120</v>
      </c>
      <c r="I1469" t="s">
        <v>147</v>
      </c>
      <c r="J1469" t="s">
        <v>148</v>
      </c>
      <c r="K1469" t="s">
        <v>48</v>
      </c>
      <c r="L1469">
        <v>1</v>
      </c>
      <c r="M1469">
        <v>250</v>
      </c>
      <c r="N1469">
        <v>20</v>
      </c>
      <c r="O1469">
        <v>200</v>
      </c>
      <c r="P1469">
        <v>80</v>
      </c>
      <c r="Q1469" t="s">
        <v>121</v>
      </c>
      <c r="R1469" t="s">
        <v>49</v>
      </c>
      <c r="S1469" t="s">
        <v>30</v>
      </c>
      <c r="T1469">
        <f>YEAR(Table1_1[[#This Row],[order_date]])</f>
        <v>2024</v>
      </c>
      <c r="U1469">
        <f>MONTH(Table1_1[[#This Row],[order_date]])</f>
        <v>6</v>
      </c>
      <c r="V1469" t="str">
        <f>TEXT(Table1_1[[#This Row],[order_date]],"mmm")</f>
        <v>Jun</v>
      </c>
      <c r="W1469" t="str">
        <f>"Q"&amp;ROUNDUP(MONTH(Table1_1[[#This Row],[order_date]])/3,0)</f>
        <v>Q2</v>
      </c>
      <c r="X1469" t="str">
        <f>TEXT(Table1_1[[#This Row],[order_date]],"yyyy-mm")</f>
        <v>2024-06</v>
      </c>
      <c r="Y1469">
        <f>IF(Table1_1[[#This Row],[ship_date]]="","",Table1_1[[#This Row],[ship_date]]-Table1_1[[#This Row],[order_date]])</f>
        <v>1</v>
      </c>
      <c r="Z1469">
        <f>ROUND(Table1_1[[#This Row],[profit]]/Table1_1[[#This Row],[sales_fix]]*100,2)</f>
        <v>40</v>
      </c>
    </row>
    <row r="1470" spans="1:26" x14ac:dyDescent="0.3">
      <c r="A1470" t="s">
        <v>2073</v>
      </c>
      <c r="B1470" s="1">
        <v>45666</v>
      </c>
      <c r="C1470" s="1">
        <v>45669</v>
      </c>
      <c r="D1470" t="s">
        <v>1426</v>
      </c>
      <c r="E1470" t="s">
        <v>1427</v>
      </c>
      <c r="F1470" t="s">
        <v>23</v>
      </c>
      <c r="G1470" t="s">
        <v>61</v>
      </c>
      <c r="H1470" t="s">
        <v>62</v>
      </c>
      <c r="I1470" t="s">
        <v>134</v>
      </c>
      <c r="J1470" t="s">
        <v>135</v>
      </c>
      <c r="K1470" t="s">
        <v>27</v>
      </c>
      <c r="L1470">
        <v>1</v>
      </c>
      <c r="M1470">
        <v>6000</v>
      </c>
      <c r="N1470">
        <v>20</v>
      </c>
      <c r="O1470">
        <v>4800</v>
      </c>
      <c r="P1470">
        <v>1183.06</v>
      </c>
      <c r="Q1470" t="s">
        <v>121</v>
      </c>
      <c r="R1470" t="s">
        <v>56</v>
      </c>
      <c r="S1470" t="s">
        <v>50</v>
      </c>
      <c r="T1470">
        <f>YEAR(Table1_1[[#This Row],[order_date]])</f>
        <v>2025</v>
      </c>
      <c r="U1470">
        <f>MONTH(Table1_1[[#This Row],[order_date]])</f>
        <v>1</v>
      </c>
      <c r="V1470" t="str">
        <f>TEXT(Table1_1[[#This Row],[order_date]],"mmm")</f>
        <v>Jan</v>
      </c>
      <c r="W1470" t="str">
        <f>"Q"&amp;ROUNDUP(MONTH(Table1_1[[#This Row],[order_date]])/3,0)</f>
        <v>Q1</v>
      </c>
      <c r="X1470" t="str">
        <f>TEXT(Table1_1[[#This Row],[order_date]],"yyyy-mm")</f>
        <v>2025-01</v>
      </c>
      <c r="Y1470">
        <f>IF(Table1_1[[#This Row],[ship_date]]="","",Table1_1[[#This Row],[ship_date]]-Table1_1[[#This Row],[order_date]])</f>
        <v>3</v>
      </c>
      <c r="Z1470">
        <f>ROUND(Table1_1[[#This Row],[profit]]/Table1_1[[#This Row],[sales_fix]]*100,2)</f>
        <v>24.65</v>
      </c>
    </row>
    <row r="1471" spans="1:26" x14ac:dyDescent="0.3">
      <c r="A1471" t="s">
        <v>2120</v>
      </c>
      <c r="B1471" s="1">
        <v>45308</v>
      </c>
      <c r="C1471" s="1">
        <v>45312</v>
      </c>
      <c r="D1471" t="s">
        <v>343</v>
      </c>
      <c r="E1471" t="s">
        <v>369</v>
      </c>
      <c r="F1471" t="s">
        <v>34</v>
      </c>
      <c r="G1471" t="s">
        <v>44</v>
      </c>
      <c r="H1471" t="s">
        <v>45</v>
      </c>
      <c r="I1471" t="s">
        <v>63</v>
      </c>
      <c r="J1471" t="s">
        <v>64</v>
      </c>
      <c r="K1471" t="s">
        <v>65</v>
      </c>
      <c r="L1471">
        <v>1</v>
      </c>
      <c r="M1471">
        <v>25000</v>
      </c>
      <c r="N1471">
        <v>0</v>
      </c>
      <c r="O1471">
        <v>25000</v>
      </c>
      <c r="P1471">
        <v>3031.34</v>
      </c>
      <c r="Q1471" t="s">
        <v>66</v>
      </c>
      <c r="R1471" t="s">
        <v>49</v>
      </c>
      <c r="S1471" t="s">
        <v>30</v>
      </c>
      <c r="T1471">
        <f>YEAR(Table1_1[[#This Row],[order_date]])</f>
        <v>2024</v>
      </c>
      <c r="U1471">
        <f>MONTH(Table1_1[[#This Row],[order_date]])</f>
        <v>1</v>
      </c>
      <c r="V1471" t="str">
        <f>TEXT(Table1_1[[#This Row],[order_date]],"mmm")</f>
        <v>Jan</v>
      </c>
      <c r="W1471" t="str">
        <f>"Q"&amp;ROUNDUP(MONTH(Table1_1[[#This Row],[order_date]])/3,0)</f>
        <v>Q1</v>
      </c>
      <c r="X1471" t="str">
        <f>TEXT(Table1_1[[#This Row],[order_date]],"yyyy-mm")</f>
        <v>2024-01</v>
      </c>
      <c r="Y1471">
        <f>IF(Table1_1[[#This Row],[ship_date]]="","",Table1_1[[#This Row],[ship_date]]-Table1_1[[#This Row],[order_date]])</f>
        <v>4</v>
      </c>
      <c r="Z1471">
        <f>ROUND(Table1_1[[#This Row],[profit]]/Table1_1[[#This Row],[sales_fix]]*100,2)</f>
        <v>12.13</v>
      </c>
    </row>
    <row r="1472" spans="1:26" x14ac:dyDescent="0.3">
      <c r="A1472" t="s">
        <v>1484</v>
      </c>
      <c r="B1472" s="1">
        <v>45854</v>
      </c>
      <c r="C1472" s="1">
        <v>45862</v>
      </c>
      <c r="D1472" t="s">
        <v>1079</v>
      </c>
      <c r="E1472" t="s">
        <v>1080</v>
      </c>
      <c r="F1472" t="s">
        <v>23</v>
      </c>
      <c r="G1472" t="s">
        <v>44</v>
      </c>
      <c r="H1472" t="s">
        <v>155</v>
      </c>
      <c r="I1472" t="s">
        <v>25</v>
      </c>
      <c r="J1472" t="s">
        <v>26</v>
      </c>
      <c r="K1472" t="s">
        <v>27</v>
      </c>
      <c r="L1472">
        <v>1</v>
      </c>
      <c r="M1472">
        <v>7000</v>
      </c>
      <c r="N1472">
        <v>0</v>
      </c>
      <c r="O1472">
        <v>7000</v>
      </c>
      <c r="P1472">
        <v>1377.71</v>
      </c>
      <c r="Q1472" t="s">
        <v>28</v>
      </c>
      <c r="R1472" t="s">
        <v>49</v>
      </c>
      <c r="S1472" t="s">
        <v>50</v>
      </c>
      <c r="T1472">
        <f>YEAR(Table1_1[[#This Row],[order_date]])</f>
        <v>2025</v>
      </c>
      <c r="U1472">
        <f>MONTH(Table1_1[[#This Row],[order_date]])</f>
        <v>7</v>
      </c>
      <c r="V1472" t="str">
        <f>TEXT(Table1_1[[#This Row],[order_date]],"mmm")</f>
        <v>Jul</v>
      </c>
      <c r="W1472" t="str">
        <f>"Q"&amp;ROUNDUP(MONTH(Table1_1[[#This Row],[order_date]])/3,0)</f>
        <v>Q3</v>
      </c>
      <c r="X1472" t="str">
        <f>TEXT(Table1_1[[#This Row],[order_date]],"yyyy-mm")</f>
        <v>2025-07</v>
      </c>
      <c r="Y1472">
        <f>IF(Table1_1[[#This Row],[ship_date]]="","",Table1_1[[#This Row],[ship_date]]-Table1_1[[#This Row],[order_date]])</f>
        <v>8</v>
      </c>
      <c r="Z1472">
        <f>ROUND(Table1_1[[#This Row],[profit]]/Table1_1[[#This Row],[sales_fix]]*100,2)</f>
        <v>19.68</v>
      </c>
    </row>
    <row r="1473" spans="1:26" x14ac:dyDescent="0.3">
      <c r="A1473" t="s">
        <v>2882</v>
      </c>
      <c r="B1473" s="1">
        <v>45353</v>
      </c>
      <c r="C1473" s="1">
        <v>45359</v>
      </c>
      <c r="D1473" t="s">
        <v>230</v>
      </c>
      <c r="E1473" t="s">
        <v>231</v>
      </c>
      <c r="F1473" t="s">
        <v>55</v>
      </c>
      <c r="G1473" t="s">
        <v>44</v>
      </c>
      <c r="H1473" t="s">
        <v>161</v>
      </c>
      <c r="I1473" t="s">
        <v>126</v>
      </c>
      <c r="J1473" t="s">
        <v>127</v>
      </c>
      <c r="K1473" t="s">
        <v>95</v>
      </c>
      <c r="L1473">
        <v>1</v>
      </c>
      <c r="M1473">
        <v>600</v>
      </c>
      <c r="N1473">
        <v>0</v>
      </c>
      <c r="O1473">
        <v>600</v>
      </c>
      <c r="P1473">
        <v>165.7</v>
      </c>
      <c r="Q1473" t="s">
        <v>156</v>
      </c>
      <c r="R1473" t="s">
        <v>49</v>
      </c>
      <c r="S1473" t="s">
        <v>40</v>
      </c>
      <c r="T1473">
        <f>YEAR(Table1_1[[#This Row],[order_date]])</f>
        <v>2024</v>
      </c>
      <c r="U1473">
        <f>MONTH(Table1_1[[#This Row],[order_date]])</f>
        <v>3</v>
      </c>
      <c r="V1473" t="str">
        <f>TEXT(Table1_1[[#This Row],[order_date]],"mmm")</f>
        <v>Mar</v>
      </c>
      <c r="W1473" t="str">
        <f>"Q"&amp;ROUNDUP(MONTH(Table1_1[[#This Row],[order_date]])/3,0)</f>
        <v>Q1</v>
      </c>
      <c r="X1473" t="str">
        <f>TEXT(Table1_1[[#This Row],[order_date]],"yyyy-mm")</f>
        <v>2024-03</v>
      </c>
      <c r="Y1473">
        <f>IF(Table1_1[[#This Row],[ship_date]]="","",Table1_1[[#This Row],[ship_date]]-Table1_1[[#This Row],[order_date]])</f>
        <v>6</v>
      </c>
      <c r="Z1473">
        <f>ROUND(Table1_1[[#This Row],[profit]]/Table1_1[[#This Row],[sales_fix]]*100,2)</f>
        <v>27.62</v>
      </c>
    </row>
    <row r="1474" spans="1:26" x14ac:dyDescent="0.3">
      <c r="A1474" t="s">
        <v>2157</v>
      </c>
      <c r="B1474" s="1">
        <v>45532</v>
      </c>
      <c r="C1474" s="1">
        <v>45539</v>
      </c>
      <c r="D1474" t="s">
        <v>514</v>
      </c>
      <c r="E1474" t="s">
        <v>515</v>
      </c>
      <c r="F1474" t="s">
        <v>23</v>
      </c>
      <c r="G1474" t="s">
        <v>44</v>
      </c>
      <c r="H1474" t="s">
        <v>45</v>
      </c>
      <c r="I1474" t="s">
        <v>79</v>
      </c>
      <c r="J1474" t="s">
        <v>80</v>
      </c>
      <c r="K1474" t="s">
        <v>65</v>
      </c>
      <c r="L1474">
        <v>2</v>
      </c>
      <c r="M1474">
        <v>3000</v>
      </c>
      <c r="N1474">
        <v>5</v>
      </c>
      <c r="O1474">
        <v>5700</v>
      </c>
      <c r="P1474">
        <v>1746.68</v>
      </c>
      <c r="Q1474" t="s">
        <v>28</v>
      </c>
      <c r="R1474" t="s">
        <v>29</v>
      </c>
      <c r="S1474" t="s">
        <v>110</v>
      </c>
      <c r="T1474">
        <f>YEAR(Table1_1[[#This Row],[order_date]])</f>
        <v>2024</v>
      </c>
      <c r="U1474">
        <f>MONTH(Table1_1[[#This Row],[order_date]])</f>
        <v>8</v>
      </c>
      <c r="V1474" t="str">
        <f>TEXT(Table1_1[[#This Row],[order_date]],"mmm")</f>
        <v>Aug</v>
      </c>
      <c r="W1474" t="str">
        <f>"Q"&amp;ROUNDUP(MONTH(Table1_1[[#This Row],[order_date]])/3,0)</f>
        <v>Q3</v>
      </c>
      <c r="X1474" t="str">
        <f>TEXT(Table1_1[[#This Row],[order_date]],"yyyy-mm")</f>
        <v>2024-08</v>
      </c>
      <c r="Y1474">
        <f>IF(Table1_1[[#This Row],[ship_date]]="","",Table1_1[[#This Row],[ship_date]]-Table1_1[[#This Row],[order_date]])</f>
        <v>7</v>
      </c>
      <c r="Z1474">
        <f>ROUND(Table1_1[[#This Row],[profit]]/Table1_1[[#This Row],[sales_fix]]*100,2)</f>
        <v>30.64</v>
      </c>
    </row>
    <row r="1475" spans="1:26" x14ac:dyDescent="0.3">
      <c r="A1475" t="s">
        <v>2196</v>
      </c>
      <c r="B1475" s="1">
        <v>45937</v>
      </c>
      <c r="C1475" s="1">
        <v>45940</v>
      </c>
      <c r="D1475" t="s">
        <v>1079</v>
      </c>
      <c r="E1475" t="s">
        <v>1080</v>
      </c>
      <c r="F1475" t="s">
        <v>23</v>
      </c>
      <c r="G1475" t="s">
        <v>44</v>
      </c>
      <c r="H1475" t="s">
        <v>155</v>
      </c>
      <c r="I1475" t="s">
        <v>37</v>
      </c>
      <c r="J1475" t="s">
        <v>38</v>
      </c>
      <c r="K1475" t="s">
        <v>27</v>
      </c>
      <c r="L1475">
        <v>2</v>
      </c>
      <c r="M1475">
        <v>9500</v>
      </c>
      <c r="N1475">
        <v>10</v>
      </c>
      <c r="O1475">
        <v>17100</v>
      </c>
      <c r="P1475">
        <v>2560.69</v>
      </c>
      <c r="Q1475" t="s">
        <v>39</v>
      </c>
      <c r="R1475" t="s">
        <v>49</v>
      </c>
      <c r="S1475" t="s">
        <v>110</v>
      </c>
      <c r="T1475">
        <f>YEAR(Table1_1[[#This Row],[order_date]])</f>
        <v>2025</v>
      </c>
      <c r="U1475">
        <f>MONTH(Table1_1[[#This Row],[order_date]])</f>
        <v>10</v>
      </c>
      <c r="V1475" t="str">
        <f>TEXT(Table1_1[[#This Row],[order_date]],"mmm")</f>
        <v>Oct</v>
      </c>
      <c r="W1475" t="str">
        <f>"Q"&amp;ROUNDUP(MONTH(Table1_1[[#This Row],[order_date]])/3,0)</f>
        <v>Q4</v>
      </c>
      <c r="X1475" t="str">
        <f>TEXT(Table1_1[[#This Row],[order_date]],"yyyy-mm")</f>
        <v>2025-10</v>
      </c>
      <c r="Y1475">
        <f>IF(Table1_1[[#This Row],[ship_date]]="","",Table1_1[[#This Row],[ship_date]]-Table1_1[[#This Row],[order_date]])</f>
        <v>3</v>
      </c>
      <c r="Z1475">
        <f>ROUND(Table1_1[[#This Row],[profit]]/Table1_1[[#This Row],[sales_fix]]*100,2)</f>
        <v>14.97</v>
      </c>
    </row>
    <row r="1476" spans="1:26" x14ac:dyDescent="0.3">
      <c r="A1476" t="s">
        <v>1942</v>
      </c>
      <c r="B1476" s="1">
        <v>45423</v>
      </c>
      <c r="C1476" s="1">
        <v>45431</v>
      </c>
      <c r="D1476" t="s">
        <v>1028</v>
      </c>
      <c r="E1476" t="s">
        <v>1029</v>
      </c>
      <c r="F1476" t="s">
        <v>34</v>
      </c>
      <c r="G1476" t="s">
        <v>91</v>
      </c>
      <c r="H1476" t="s">
        <v>120</v>
      </c>
      <c r="I1476" t="s">
        <v>71</v>
      </c>
      <c r="J1476" t="s">
        <v>72</v>
      </c>
      <c r="K1476" t="s">
        <v>73</v>
      </c>
      <c r="L1476">
        <v>1</v>
      </c>
      <c r="M1476">
        <v>3500</v>
      </c>
      <c r="N1476">
        <v>5</v>
      </c>
      <c r="O1476">
        <v>3325</v>
      </c>
      <c r="P1476">
        <v>771.67</v>
      </c>
      <c r="Q1476" t="s">
        <v>74</v>
      </c>
      <c r="R1476" t="s">
        <v>49</v>
      </c>
      <c r="S1476" t="s">
        <v>50</v>
      </c>
      <c r="T1476">
        <f>YEAR(Table1_1[[#This Row],[order_date]])</f>
        <v>2024</v>
      </c>
      <c r="U1476">
        <f>MONTH(Table1_1[[#This Row],[order_date]])</f>
        <v>5</v>
      </c>
      <c r="V1476" t="str">
        <f>TEXT(Table1_1[[#This Row],[order_date]],"mmm")</f>
        <v>May</v>
      </c>
      <c r="W1476" t="str">
        <f>"Q"&amp;ROUNDUP(MONTH(Table1_1[[#This Row],[order_date]])/3,0)</f>
        <v>Q2</v>
      </c>
      <c r="X1476" t="str">
        <f>TEXT(Table1_1[[#This Row],[order_date]],"yyyy-mm")</f>
        <v>2024-05</v>
      </c>
      <c r="Y1476">
        <f>IF(Table1_1[[#This Row],[ship_date]]="","",Table1_1[[#This Row],[ship_date]]-Table1_1[[#This Row],[order_date]])</f>
        <v>8</v>
      </c>
      <c r="Z1476">
        <f>ROUND(Table1_1[[#This Row],[profit]]/Table1_1[[#This Row],[sales_fix]]*100,2)</f>
        <v>23.21</v>
      </c>
    </row>
    <row r="1477" spans="1:26" x14ac:dyDescent="0.3">
      <c r="A1477" t="s">
        <v>2751</v>
      </c>
      <c r="B1477" s="1">
        <v>45996</v>
      </c>
      <c r="C1477" s="1">
        <v>46004</v>
      </c>
      <c r="D1477" t="s">
        <v>643</v>
      </c>
      <c r="E1477" t="s">
        <v>644</v>
      </c>
      <c r="F1477" t="s">
        <v>34</v>
      </c>
      <c r="G1477" t="s">
        <v>61</v>
      </c>
      <c r="H1477" t="s">
        <v>78</v>
      </c>
      <c r="I1477" t="s">
        <v>37</v>
      </c>
      <c r="J1477" t="s">
        <v>38</v>
      </c>
      <c r="K1477" t="s">
        <v>27</v>
      </c>
      <c r="L1477">
        <v>4</v>
      </c>
      <c r="M1477">
        <v>9500</v>
      </c>
      <c r="N1477">
        <v>0</v>
      </c>
      <c r="O1477">
        <v>38000</v>
      </c>
      <c r="P1477">
        <v>7246.97</v>
      </c>
      <c r="Q1477" t="s">
        <v>74</v>
      </c>
      <c r="R1477" t="s">
        <v>56</v>
      </c>
      <c r="S1477" t="s">
        <v>86</v>
      </c>
      <c r="T1477">
        <f>YEAR(Table1_1[[#This Row],[order_date]])</f>
        <v>2025</v>
      </c>
      <c r="U1477">
        <f>MONTH(Table1_1[[#This Row],[order_date]])</f>
        <v>12</v>
      </c>
      <c r="V1477" t="str">
        <f>TEXT(Table1_1[[#This Row],[order_date]],"mmm")</f>
        <v>Dec</v>
      </c>
      <c r="W1477" t="str">
        <f>"Q"&amp;ROUNDUP(MONTH(Table1_1[[#This Row],[order_date]])/3,0)</f>
        <v>Q4</v>
      </c>
      <c r="X1477" t="str">
        <f>TEXT(Table1_1[[#This Row],[order_date]],"yyyy-mm")</f>
        <v>2025-12</v>
      </c>
      <c r="Y1477">
        <f>IF(Table1_1[[#This Row],[ship_date]]="","",Table1_1[[#This Row],[ship_date]]-Table1_1[[#This Row],[order_date]])</f>
        <v>8</v>
      </c>
      <c r="Z1477">
        <f>ROUND(Table1_1[[#This Row],[profit]]/Table1_1[[#This Row],[sales_fix]]*100,2)</f>
        <v>19.07</v>
      </c>
    </row>
    <row r="1478" spans="1:26" x14ac:dyDescent="0.3">
      <c r="A1478" t="s">
        <v>2642</v>
      </c>
      <c r="B1478" s="1">
        <v>46007</v>
      </c>
      <c r="C1478" s="1">
        <v>46011</v>
      </c>
      <c r="D1478" t="s">
        <v>381</v>
      </c>
      <c r="E1478" t="s">
        <v>382</v>
      </c>
      <c r="F1478" t="s">
        <v>55</v>
      </c>
      <c r="G1478" t="s">
        <v>61</v>
      </c>
      <c r="H1478" t="s">
        <v>78</v>
      </c>
      <c r="I1478" t="s">
        <v>37</v>
      </c>
      <c r="J1478" t="s">
        <v>38</v>
      </c>
      <c r="K1478" t="s">
        <v>27</v>
      </c>
      <c r="L1478">
        <v>1</v>
      </c>
      <c r="M1478">
        <v>9500</v>
      </c>
      <c r="N1478">
        <v>0</v>
      </c>
      <c r="O1478">
        <v>9500</v>
      </c>
      <c r="P1478">
        <v>1924.01</v>
      </c>
      <c r="Q1478" t="s">
        <v>156</v>
      </c>
      <c r="R1478" t="s">
        <v>56</v>
      </c>
      <c r="S1478" t="s">
        <v>40</v>
      </c>
      <c r="T1478">
        <f>YEAR(Table1_1[[#This Row],[order_date]])</f>
        <v>2025</v>
      </c>
      <c r="U1478">
        <f>MONTH(Table1_1[[#This Row],[order_date]])</f>
        <v>12</v>
      </c>
      <c r="V1478" t="str">
        <f>TEXT(Table1_1[[#This Row],[order_date]],"mmm")</f>
        <v>Dec</v>
      </c>
      <c r="W1478" t="str">
        <f>"Q"&amp;ROUNDUP(MONTH(Table1_1[[#This Row],[order_date]])/3,0)</f>
        <v>Q4</v>
      </c>
      <c r="X1478" t="str">
        <f>TEXT(Table1_1[[#This Row],[order_date]],"yyyy-mm")</f>
        <v>2025-12</v>
      </c>
      <c r="Y1478">
        <f>IF(Table1_1[[#This Row],[ship_date]]="","",Table1_1[[#This Row],[ship_date]]-Table1_1[[#This Row],[order_date]])</f>
        <v>4</v>
      </c>
      <c r="Z1478">
        <f>ROUND(Table1_1[[#This Row],[profit]]/Table1_1[[#This Row],[sales_fix]]*100,2)</f>
        <v>20.25</v>
      </c>
    </row>
    <row r="1479" spans="1:26" x14ac:dyDescent="0.3">
      <c r="A1479" t="s">
        <v>2554</v>
      </c>
      <c r="B1479" s="1">
        <v>45792</v>
      </c>
      <c r="C1479" s="1">
        <v>45794</v>
      </c>
      <c r="D1479" t="s">
        <v>233</v>
      </c>
      <c r="E1479" t="s">
        <v>234</v>
      </c>
      <c r="F1479" t="s">
        <v>23</v>
      </c>
      <c r="G1479" t="s">
        <v>61</v>
      </c>
      <c r="H1479" t="s">
        <v>211</v>
      </c>
      <c r="I1479" t="s">
        <v>103</v>
      </c>
      <c r="J1479" t="s">
        <v>104</v>
      </c>
      <c r="K1479" t="s">
        <v>65</v>
      </c>
      <c r="L1479">
        <v>2</v>
      </c>
      <c r="M1479">
        <v>8000</v>
      </c>
      <c r="N1479">
        <v>0</v>
      </c>
      <c r="O1479">
        <v>16000</v>
      </c>
      <c r="P1479">
        <v>3301.54</v>
      </c>
      <c r="Q1479" t="s">
        <v>28</v>
      </c>
      <c r="R1479" t="s">
        <v>29</v>
      </c>
      <c r="S1479" t="s">
        <v>40</v>
      </c>
      <c r="T1479">
        <f>YEAR(Table1_1[[#This Row],[order_date]])</f>
        <v>2025</v>
      </c>
      <c r="U1479">
        <f>MONTH(Table1_1[[#This Row],[order_date]])</f>
        <v>5</v>
      </c>
      <c r="V1479" t="str">
        <f>TEXT(Table1_1[[#This Row],[order_date]],"mmm")</f>
        <v>May</v>
      </c>
      <c r="W1479" t="str">
        <f>"Q"&amp;ROUNDUP(MONTH(Table1_1[[#This Row],[order_date]])/3,0)</f>
        <v>Q2</v>
      </c>
      <c r="X1479" t="str">
        <f>TEXT(Table1_1[[#This Row],[order_date]],"yyyy-mm")</f>
        <v>2025-05</v>
      </c>
      <c r="Y1479">
        <f>IF(Table1_1[[#This Row],[ship_date]]="","",Table1_1[[#This Row],[ship_date]]-Table1_1[[#This Row],[order_date]])</f>
        <v>2</v>
      </c>
      <c r="Z1479">
        <f>ROUND(Table1_1[[#This Row],[profit]]/Table1_1[[#This Row],[sales_fix]]*100,2)</f>
        <v>20.63</v>
      </c>
    </row>
    <row r="1480" spans="1:26" x14ac:dyDescent="0.3">
      <c r="A1480" t="s">
        <v>225</v>
      </c>
      <c r="B1480" s="1">
        <v>45833</v>
      </c>
      <c r="C1480" s="1">
        <v>45838</v>
      </c>
      <c r="D1480" t="s">
        <v>227</v>
      </c>
      <c r="E1480" t="s">
        <v>228</v>
      </c>
      <c r="F1480" t="s">
        <v>23</v>
      </c>
      <c r="G1480" t="s">
        <v>61</v>
      </c>
      <c r="H1480" t="s">
        <v>62</v>
      </c>
      <c r="I1480" t="s">
        <v>63</v>
      </c>
      <c r="J1480" t="s">
        <v>64</v>
      </c>
      <c r="K1480" t="s">
        <v>65</v>
      </c>
      <c r="L1480">
        <v>2</v>
      </c>
      <c r="M1480">
        <v>25000</v>
      </c>
      <c r="N1480">
        <v>10</v>
      </c>
      <c r="O1480">
        <v>45000</v>
      </c>
      <c r="P1480">
        <v>6750</v>
      </c>
      <c r="Q1480" t="s">
        <v>66</v>
      </c>
      <c r="R1480" t="s">
        <v>49</v>
      </c>
      <c r="S1480" t="s">
        <v>30</v>
      </c>
      <c r="T1480">
        <f>YEAR(Table1_1[[#This Row],[order_date]])</f>
        <v>2025</v>
      </c>
      <c r="U1480">
        <f>MONTH(Table1_1[[#This Row],[order_date]])</f>
        <v>6</v>
      </c>
      <c r="V1480" t="str">
        <f>TEXT(Table1_1[[#This Row],[order_date]],"mmm")</f>
        <v>Jun</v>
      </c>
      <c r="W1480" t="str">
        <f>"Q"&amp;ROUNDUP(MONTH(Table1_1[[#This Row],[order_date]])/3,0)</f>
        <v>Q2</v>
      </c>
      <c r="X1480" t="str">
        <f>TEXT(Table1_1[[#This Row],[order_date]],"yyyy-mm")</f>
        <v>2025-06</v>
      </c>
      <c r="Y1480">
        <f>IF(Table1_1[[#This Row],[ship_date]]="","",Table1_1[[#This Row],[ship_date]]-Table1_1[[#This Row],[order_date]])</f>
        <v>5</v>
      </c>
      <c r="Z1480">
        <f>ROUND(Table1_1[[#This Row],[profit]]/Table1_1[[#This Row],[sales_fix]]*100,2)</f>
        <v>15</v>
      </c>
    </row>
    <row r="1481" spans="1:26" x14ac:dyDescent="0.3">
      <c r="A1481" t="s">
        <v>566</v>
      </c>
      <c r="B1481" s="1">
        <v>46020</v>
      </c>
      <c r="C1481" s="1">
        <v>46024</v>
      </c>
      <c r="D1481" t="s">
        <v>206</v>
      </c>
      <c r="E1481" t="s">
        <v>207</v>
      </c>
      <c r="F1481" t="s">
        <v>55</v>
      </c>
      <c r="G1481" t="s">
        <v>44</v>
      </c>
      <c r="H1481" t="s">
        <v>24</v>
      </c>
      <c r="I1481" t="s">
        <v>25</v>
      </c>
      <c r="J1481" t="s">
        <v>26</v>
      </c>
      <c r="K1481" t="s">
        <v>27</v>
      </c>
      <c r="L1481">
        <v>4</v>
      </c>
      <c r="M1481">
        <v>7000</v>
      </c>
      <c r="N1481">
        <v>0</v>
      </c>
      <c r="O1481">
        <v>28000</v>
      </c>
      <c r="P1481">
        <v>5479.31</v>
      </c>
      <c r="Q1481" t="s">
        <v>156</v>
      </c>
      <c r="R1481" t="s">
        <v>567</v>
      </c>
      <c r="S1481" t="s">
        <v>110</v>
      </c>
      <c r="T1481">
        <f>YEAR(Table1_1[[#This Row],[order_date]])</f>
        <v>2025</v>
      </c>
      <c r="U1481">
        <f>MONTH(Table1_1[[#This Row],[order_date]])</f>
        <v>12</v>
      </c>
      <c r="V1481" t="str">
        <f>TEXT(Table1_1[[#This Row],[order_date]],"mmm")</f>
        <v>Dec</v>
      </c>
      <c r="W1481" t="str">
        <f>"Q"&amp;ROUNDUP(MONTH(Table1_1[[#This Row],[order_date]])/3,0)</f>
        <v>Q4</v>
      </c>
      <c r="X1481" t="str">
        <f>TEXT(Table1_1[[#This Row],[order_date]],"yyyy-mm")</f>
        <v>2025-12</v>
      </c>
      <c r="Y1481">
        <f>IF(Table1_1[[#This Row],[ship_date]]="","",Table1_1[[#This Row],[ship_date]]-Table1_1[[#This Row],[order_date]])</f>
        <v>4</v>
      </c>
      <c r="Z1481">
        <f>ROUND(Table1_1[[#This Row],[profit]]/Table1_1[[#This Row],[sales_fix]]*100,2)</f>
        <v>19.57</v>
      </c>
    </row>
    <row r="1482" spans="1:26" x14ac:dyDescent="0.3">
      <c r="A1482" t="s">
        <v>2381</v>
      </c>
      <c r="B1482" s="1">
        <v>45786</v>
      </c>
      <c r="C1482" s="1">
        <v>45792</v>
      </c>
      <c r="D1482" t="s">
        <v>1265</v>
      </c>
      <c r="E1482" t="s">
        <v>1266</v>
      </c>
      <c r="F1482" t="s">
        <v>23</v>
      </c>
      <c r="G1482" t="s">
        <v>35</v>
      </c>
      <c r="H1482" t="s">
        <v>36</v>
      </c>
      <c r="I1482" t="s">
        <v>93</v>
      </c>
      <c r="J1482" t="s">
        <v>94</v>
      </c>
      <c r="K1482" t="s">
        <v>95</v>
      </c>
      <c r="L1482">
        <v>2</v>
      </c>
      <c r="M1482">
        <v>1800</v>
      </c>
      <c r="N1482">
        <v>20</v>
      </c>
      <c r="O1482">
        <v>2880</v>
      </c>
      <c r="P1482">
        <v>815.58</v>
      </c>
      <c r="Q1482" t="s">
        <v>28</v>
      </c>
      <c r="R1482" t="s">
        <v>49</v>
      </c>
      <c r="S1482" t="s">
        <v>40</v>
      </c>
      <c r="T1482">
        <f>YEAR(Table1_1[[#This Row],[order_date]])</f>
        <v>2025</v>
      </c>
      <c r="U1482">
        <f>MONTH(Table1_1[[#This Row],[order_date]])</f>
        <v>5</v>
      </c>
      <c r="V1482" t="str">
        <f>TEXT(Table1_1[[#This Row],[order_date]],"mmm")</f>
        <v>May</v>
      </c>
      <c r="W1482" t="str">
        <f>"Q"&amp;ROUNDUP(MONTH(Table1_1[[#This Row],[order_date]])/3,0)</f>
        <v>Q2</v>
      </c>
      <c r="X1482" t="str">
        <f>TEXT(Table1_1[[#This Row],[order_date]],"yyyy-mm")</f>
        <v>2025-05</v>
      </c>
      <c r="Y1482">
        <f>IF(Table1_1[[#This Row],[ship_date]]="","",Table1_1[[#This Row],[ship_date]]-Table1_1[[#This Row],[order_date]])</f>
        <v>6</v>
      </c>
      <c r="Z1482">
        <f>ROUND(Table1_1[[#This Row],[profit]]/Table1_1[[#This Row],[sales_fix]]*100,2)</f>
        <v>28.32</v>
      </c>
    </row>
    <row r="1483" spans="1:26" x14ac:dyDescent="0.3">
      <c r="A1483" t="s">
        <v>1795</v>
      </c>
      <c r="B1483" s="1">
        <v>45953</v>
      </c>
      <c r="C1483" s="1">
        <v>45954</v>
      </c>
      <c r="D1483" t="s">
        <v>1796</v>
      </c>
      <c r="E1483" t="s">
        <v>1797</v>
      </c>
      <c r="F1483" t="s">
        <v>55</v>
      </c>
      <c r="G1483" t="s">
        <v>44</v>
      </c>
      <c r="H1483" t="s">
        <v>330</v>
      </c>
      <c r="I1483" t="s">
        <v>103</v>
      </c>
      <c r="J1483" t="s">
        <v>104</v>
      </c>
      <c r="K1483" t="s">
        <v>65</v>
      </c>
      <c r="L1483">
        <v>5</v>
      </c>
      <c r="M1483">
        <v>8000</v>
      </c>
      <c r="N1483">
        <v>10</v>
      </c>
      <c r="O1483">
        <v>36000</v>
      </c>
      <c r="P1483">
        <v>6733.3</v>
      </c>
      <c r="Q1483" t="s">
        <v>156</v>
      </c>
      <c r="R1483" t="s">
        <v>29</v>
      </c>
      <c r="S1483" t="s">
        <v>40</v>
      </c>
      <c r="T1483">
        <f>YEAR(Table1_1[[#This Row],[order_date]])</f>
        <v>2025</v>
      </c>
      <c r="U1483">
        <f>MONTH(Table1_1[[#This Row],[order_date]])</f>
        <v>10</v>
      </c>
      <c r="V1483" t="str">
        <f>TEXT(Table1_1[[#This Row],[order_date]],"mmm")</f>
        <v>Oct</v>
      </c>
      <c r="W1483" t="str">
        <f>"Q"&amp;ROUNDUP(MONTH(Table1_1[[#This Row],[order_date]])/3,0)</f>
        <v>Q4</v>
      </c>
      <c r="X1483" t="str">
        <f>TEXT(Table1_1[[#This Row],[order_date]],"yyyy-mm")</f>
        <v>2025-10</v>
      </c>
      <c r="Y1483">
        <f>IF(Table1_1[[#This Row],[ship_date]]="","",Table1_1[[#This Row],[ship_date]]-Table1_1[[#This Row],[order_date]])</f>
        <v>1</v>
      </c>
      <c r="Z1483">
        <f>ROUND(Table1_1[[#This Row],[profit]]/Table1_1[[#This Row],[sales_fix]]*100,2)</f>
        <v>18.7</v>
      </c>
    </row>
    <row r="1484" spans="1:26" x14ac:dyDescent="0.3">
      <c r="A1484" t="s">
        <v>2649</v>
      </c>
      <c r="B1484" s="1">
        <v>45546</v>
      </c>
      <c r="C1484" s="1">
        <v>45547</v>
      </c>
      <c r="D1484" t="s">
        <v>2650</v>
      </c>
      <c r="E1484" t="s">
        <v>2651</v>
      </c>
      <c r="F1484" t="s">
        <v>55</v>
      </c>
      <c r="G1484" t="s">
        <v>61</v>
      </c>
      <c r="H1484" t="s">
        <v>78</v>
      </c>
      <c r="I1484" t="s">
        <v>25</v>
      </c>
      <c r="J1484" t="s">
        <v>26</v>
      </c>
      <c r="K1484" t="s">
        <v>27</v>
      </c>
      <c r="L1484">
        <v>3</v>
      </c>
      <c r="M1484">
        <v>7000</v>
      </c>
      <c r="N1484">
        <v>5</v>
      </c>
      <c r="O1484">
        <v>19950</v>
      </c>
      <c r="P1484">
        <v>4302.3500000000004</v>
      </c>
      <c r="Q1484" t="s">
        <v>74</v>
      </c>
      <c r="R1484" t="s">
        <v>49</v>
      </c>
      <c r="S1484" t="s">
        <v>50</v>
      </c>
      <c r="T1484">
        <f>YEAR(Table1_1[[#This Row],[order_date]])</f>
        <v>2024</v>
      </c>
      <c r="U1484">
        <f>MONTH(Table1_1[[#This Row],[order_date]])</f>
        <v>9</v>
      </c>
      <c r="V1484" t="str">
        <f>TEXT(Table1_1[[#This Row],[order_date]],"mmm")</f>
        <v>Sep</v>
      </c>
      <c r="W1484" t="str">
        <f>"Q"&amp;ROUNDUP(MONTH(Table1_1[[#This Row],[order_date]])/3,0)</f>
        <v>Q3</v>
      </c>
      <c r="X1484" t="str">
        <f>TEXT(Table1_1[[#This Row],[order_date]],"yyyy-mm")</f>
        <v>2024-09</v>
      </c>
      <c r="Y1484">
        <f>IF(Table1_1[[#This Row],[ship_date]]="","",Table1_1[[#This Row],[ship_date]]-Table1_1[[#This Row],[order_date]])</f>
        <v>1</v>
      </c>
      <c r="Z1484">
        <f>ROUND(Table1_1[[#This Row],[profit]]/Table1_1[[#This Row],[sales_fix]]*100,2)</f>
        <v>21.57</v>
      </c>
    </row>
    <row r="1485" spans="1:26" x14ac:dyDescent="0.3">
      <c r="A1485" t="s">
        <v>2735</v>
      </c>
      <c r="B1485" s="1">
        <v>45317</v>
      </c>
      <c r="C1485" s="1">
        <v>45319</v>
      </c>
      <c r="D1485" t="s">
        <v>625</v>
      </c>
      <c r="E1485" t="s">
        <v>626</v>
      </c>
      <c r="F1485" t="s">
        <v>34</v>
      </c>
      <c r="G1485" t="s">
        <v>61</v>
      </c>
      <c r="H1485" t="s">
        <v>211</v>
      </c>
      <c r="I1485" t="s">
        <v>25</v>
      </c>
      <c r="J1485" t="s">
        <v>26</v>
      </c>
      <c r="K1485" t="s">
        <v>27</v>
      </c>
      <c r="L1485">
        <v>1</v>
      </c>
      <c r="M1485">
        <v>7000</v>
      </c>
      <c r="N1485">
        <v>15</v>
      </c>
      <c r="O1485">
        <v>5950</v>
      </c>
      <c r="P1485">
        <v>1315.48</v>
      </c>
      <c r="Q1485" t="s">
        <v>74</v>
      </c>
      <c r="R1485" t="s">
        <v>49</v>
      </c>
      <c r="S1485" t="s">
        <v>50</v>
      </c>
      <c r="T1485">
        <f>YEAR(Table1_1[[#This Row],[order_date]])</f>
        <v>2024</v>
      </c>
      <c r="U1485">
        <f>MONTH(Table1_1[[#This Row],[order_date]])</f>
        <v>1</v>
      </c>
      <c r="V1485" t="str">
        <f>TEXT(Table1_1[[#This Row],[order_date]],"mmm")</f>
        <v>Jan</v>
      </c>
      <c r="W1485" t="str">
        <f>"Q"&amp;ROUNDUP(MONTH(Table1_1[[#This Row],[order_date]])/3,0)</f>
        <v>Q1</v>
      </c>
      <c r="X1485" t="str">
        <f>TEXT(Table1_1[[#This Row],[order_date]],"yyyy-mm")</f>
        <v>2024-01</v>
      </c>
      <c r="Y1485">
        <f>IF(Table1_1[[#This Row],[ship_date]]="","",Table1_1[[#This Row],[ship_date]]-Table1_1[[#This Row],[order_date]])</f>
        <v>2</v>
      </c>
      <c r="Z1485">
        <f>ROUND(Table1_1[[#This Row],[profit]]/Table1_1[[#This Row],[sales_fix]]*100,2)</f>
        <v>22.11</v>
      </c>
    </row>
    <row r="1486" spans="1:26" x14ac:dyDescent="0.3">
      <c r="A1486" t="s">
        <v>2553</v>
      </c>
      <c r="B1486" s="1">
        <v>45683</v>
      </c>
      <c r="C1486" s="1">
        <v>45689</v>
      </c>
      <c r="D1486" t="s">
        <v>965</v>
      </c>
      <c r="E1486" t="s">
        <v>966</v>
      </c>
      <c r="F1486" t="s">
        <v>34</v>
      </c>
      <c r="G1486" t="s">
        <v>44</v>
      </c>
      <c r="H1486" t="s">
        <v>45</v>
      </c>
      <c r="I1486" t="s">
        <v>126</v>
      </c>
      <c r="J1486" t="s">
        <v>127</v>
      </c>
      <c r="K1486" t="s">
        <v>95</v>
      </c>
      <c r="L1486">
        <v>2</v>
      </c>
      <c r="M1486">
        <v>600</v>
      </c>
      <c r="N1486">
        <v>10</v>
      </c>
      <c r="O1486">
        <v>1080</v>
      </c>
      <c r="P1486">
        <v>360.19</v>
      </c>
      <c r="Q1486" t="s">
        <v>66</v>
      </c>
      <c r="R1486" t="s">
        <v>49</v>
      </c>
      <c r="S1486" t="s">
        <v>30</v>
      </c>
      <c r="T1486">
        <f>YEAR(Table1_1[[#This Row],[order_date]])</f>
        <v>2025</v>
      </c>
      <c r="U1486">
        <f>MONTH(Table1_1[[#This Row],[order_date]])</f>
        <v>1</v>
      </c>
      <c r="V1486" t="str">
        <f>TEXT(Table1_1[[#This Row],[order_date]],"mmm")</f>
        <v>Jan</v>
      </c>
      <c r="W1486" t="str">
        <f>"Q"&amp;ROUNDUP(MONTH(Table1_1[[#This Row],[order_date]])/3,0)</f>
        <v>Q1</v>
      </c>
      <c r="X1486" t="str">
        <f>TEXT(Table1_1[[#This Row],[order_date]],"yyyy-mm")</f>
        <v>2025-01</v>
      </c>
      <c r="Y1486">
        <f>IF(Table1_1[[#This Row],[ship_date]]="","",Table1_1[[#This Row],[ship_date]]-Table1_1[[#This Row],[order_date]])</f>
        <v>6</v>
      </c>
      <c r="Z1486">
        <f>ROUND(Table1_1[[#This Row],[profit]]/Table1_1[[#This Row],[sales_fix]]*100,2)</f>
        <v>33.35</v>
      </c>
    </row>
    <row r="1487" spans="1:26" x14ac:dyDescent="0.3">
      <c r="A1487" t="s">
        <v>1634</v>
      </c>
      <c r="B1487" s="1">
        <v>46015</v>
      </c>
      <c r="C1487" s="1">
        <v>46016</v>
      </c>
      <c r="D1487" t="s">
        <v>1604</v>
      </c>
      <c r="E1487" t="s">
        <v>1605</v>
      </c>
      <c r="F1487" t="s">
        <v>55</v>
      </c>
      <c r="G1487" t="s">
        <v>44</v>
      </c>
      <c r="H1487" t="s">
        <v>45</v>
      </c>
      <c r="I1487" t="s">
        <v>103</v>
      </c>
      <c r="J1487" t="s">
        <v>104</v>
      </c>
      <c r="K1487" t="s">
        <v>65</v>
      </c>
      <c r="L1487">
        <v>1</v>
      </c>
      <c r="M1487">
        <v>8000</v>
      </c>
      <c r="N1487">
        <v>10</v>
      </c>
      <c r="O1487">
        <v>7200</v>
      </c>
      <c r="P1487">
        <v>1352.55</v>
      </c>
      <c r="Q1487" t="s">
        <v>66</v>
      </c>
      <c r="R1487" t="s">
        <v>29</v>
      </c>
      <c r="S1487" t="s">
        <v>110</v>
      </c>
      <c r="T1487">
        <f>YEAR(Table1_1[[#This Row],[order_date]])</f>
        <v>2025</v>
      </c>
      <c r="U1487">
        <f>MONTH(Table1_1[[#This Row],[order_date]])</f>
        <v>12</v>
      </c>
      <c r="V1487" t="str">
        <f>TEXT(Table1_1[[#This Row],[order_date]],"mmm")</f>
        <v>Dec</v>
      </c>
      <c r="W1487" t="str">
        <f>"Q"&amp;ROUNDUP(MONTH(Table1_1[[#This Row],[order_date]])/3,0)</f>
        <v>Q4</v>
      </c>
      <c r="X1487" t="str">
        <f>TEXT(Table1_1[[#This Row],[order_date]],"yyyy-mm")</f>
        <v>2025-12</v>
      </c>
      <c r="Y1487">
        <f>IF(Table1_1[[#This Row],[ship_date]]="","",Table1_1[[#This Row],[ship_date]]-Table1_1[[#This Row],[order_date]])</f>
        <v>1</v>
      </c>
      <c r="Z1487">
        <f>ROUND(Table1_1[[#This Row],[profit]]/Table1_1[[#This Row],[sales_fix]]*100,2)</f>
        <v>18.79</v>
      </c>
    </row>
    <row r="1488" spans="1:26" x14ac:dyDescent="0.3">
      <c r="A1488" t="s">
        <v>1776</v>
      </c>
      <c r="B1488" s="1">
        <v>45669</v>
      </c>
      <c r="C1488" s="1">
        <v>45670</v>
      </c>
      <c r="D1488" t="s">
        <v>291</v>
      </c>
      <c r="E1488" t="s">
        <v>292</v>
      </c>
      <c r="F1488" t="s">
        <v>55</v>
      </c>
      <c r="G1488" t="s">
        <v>35</v>
      </c>
      <c r="H1488" t="s">
        <v>187</v>
      </c>
      <c r="I1488" t="s">
        <v>147</v>
      </c>
      <c r="J1488" t="s">
        <v>148</v>
      </c>
      <c r="K1488" t="s">
        <v>48</v>
      </c>
      <c r="L1488">
        <v>1</v>
      </c>
      <c r="M1488">
        <v>250</v>
      </c>
      <c r="N1488">
        <v>20</v>
      </c>
      <c r="O1488">
        <v>200</v>
      </c>
      <c r="P1488">
        <v>79.06</v>
      </c>
      <c r="Q1488" t="s">
        <v>156</v>
      </c>
      <c r="R1488" t="s">
        <v>49</v>
      </c>
      <c r="S1488" t="s">
        <v>110</v>
      </c>
      <c r="T1488">
        <f>YEAR(Table1_1[[#This Row],[order_date]])</f>
        <v>2025</v>
      </c>
      <c r="U1488">
        <f>MONTH(Table1_1[[#This Row],[order_date]])</f>
        <v>1</v>
      </c>
      <c r="V1488" t="str">
        <f>TEXT(Table1_1[[#This Row],[order_date]],"mmm")</f>
        <v>Jan</v>
      </c>
      <c r="W1488" t="str">
        <f>"Q"&amp;ROUNDUP(MONTH(Table1_1[[#This Row],[order_date]])/3,0)</f>
        <v>Q1</v>
      </c>
      <c r="X1488" t="str">
        <f>TEXT(Table1_1[[#This Row],[order_date]],"yyyy-mm")</f>
        <v>2025-01</v>
      </c>
      <c r="Y1488">
        <f>IF(Table1_1[[#This Row],[ship_date]]="","",Table1_1[[#This Row],[ship_date]]-Table1_1[[#This Row],[order_date]])</f>
        <v>1</v>
      </c>
      <c r="Z1488">
        <f>ROUND(Table1_1[[#This Row],[profit]]/Table1_1[[#This Row],[sales_fix]]*100,2)</f>
        <v>39.53</v>
      </c>
    </row>
    <row r="1489" spans="1:26" x14ac:dyDescent="0.3">
      <c r="A1489" t="s">
        <v>1576</v>
      </c>
      <c r="B1489" s="1">
        <v>45626</v>
      </c>
      <c r="C1489" s="1">
        <v>45627</v>
      </c>
      <c r="D1489" t="s">
        <v>813</v>
      </c>
      <c r="E1489" t="s">
        <v>814</v>
      </c>
      <c r="F1489" t="s">
        <v>34</v>
      </c>
      <c r="G1489" t="s">
        <v>35</v>
      </c>
      <c r="H1489" t="s">
        <v>187</v>
      </c>
      <c r="I1489" t="s">
        <v>79</v>
      </c>
      <c r="J1489" t="s">
        <v>80</v>
      </c>
      <c r="K1489" t="s">
        <v>65</v>
      </c>
      <c r="L1489">
        <v>3</v>
      </c>
      <c r="M1489">
        <v>3000</v>
      </c>
      <c r="N1489">
        <v>15</v>
      </c>
      <c r="O1489">
        <v>7650</v>
      </c>
      <c r="P1489">
        <v>1866.21</v>
      </c>
      <c r="Q1489" t="s">
        <v>39</v>
      </c>
      <c r="R1489" t="s">
        <v>29</v>
      </c>
      <c r="S1489" t="s">
        <v>50</v>
      </c>
      <c r="T1489">
        <f>YEAR(Table1_1[[#This Row],[order_date]])</f>
        <v>2024</v>
      </c>
      <c r="U1489">
        <f>MONTH(Table1_1[[#This Row],[order_date]])</f>
        <v>11</v>
      </c>
      <c r="V1489" t="str">
        <f>TEXT(Table1_1[[#This Row],[order_date]],"mmm")</f>
        <v>Nov</v>
      </c>
      <c r="W1489" t="str">
        <f>"Q"&amp;ROUNDUP(MONTH(Table1_1[[#This Row],[order_date]])/3,0)</f>
        <v>Q4</v>
      </c>
      <c r="X1489" t="str">
        <f>TEXT(Table1_1[[#This Row],[order_date]],"yyyy-mm")</f>
        <v>2024-11</v>
      </c>
      <c r="Y1489">
        <f>IF(Table1_1[[#This Row],[ship_date]]="","",Table1_1[[#This Row],[ship_date]]-Table1_1[[#This Row],[order_date]])</f>
        <v>1</v>
      </c>
      <c r="Z1489">
        <f>ROUND(Table1_1[[#This Row],[profit]]/Table1_1[[#This Row],[sales_fix]]*100,2)</f>
        <v>24.39</v>
      </c>
    </row>
    <row r="1490" spans="1:26" x14ac:dyDescent="0.3">
      <c r="A1490" t="s">
        <v>2303</v>
      </c>
      <c r="B1490" s="1">
        <v>45361</v>
      </c>
      <c r="C1490" s="1">
        <v>45365</v>
      </c>
      <c r="D1490" t="s">
        <v>628</v>
      </c>
      <c r="E1490" t="s">
        <v>629</v>
      </c>
      <c r="F1490" t="s">
        <v>55</v>
      </c>
      <c r="G1490" t="s">
        <v>91</v>
      </c>
      <c r="H1490" t="s">
        <v>120</v>
      </c>
      <c r="I1490" t="s">
        <v>63</v>
      </c>
      <c r="J1490" t="s">
        <v>64</v>
      </c>
      <c r="K1490" t="s">
        <v>65</v>
      </c>
      <c r="L1490">
        <v>1</v>
      </c>
      <c r="M1490">
        <v>25000</v>
      </c>
      <c r="N1490">
        <v>0</v>
      </c>
      <c r="O1490">
        <v>25000</v>
      </c>
      <c r="P1490">
        <v>3409.17</v>
      </c>
      <c r="Q1490" t="s">
        <v>66</v>
      </c>
      <c r="R1490" t="s">
        <v>49</v>
      </c>
      <c r="S1490" t="s">
        <v>110</v>
      </c>
      <c r="T1490">
        <f>YEAR(Table1_1[[#This Row],[order_date]])</f>
        <v>2024</v>
      </c>
      <c r="U1490">
        <f>MONTH(Table1_1[[#This Row],[order_date]])</f>
        <v>3</v>
      </c>
      <c r="V1490" t="str">
        <f>TEXT(Table1_1[[#This Row],[order_date]],"mmm")</f>
        <v>Mar</v>
      </c>
      <c r="W1490" t="str">
        <f>"Q"&amp;ROUNDUP(MONTH(Table1_1[[#This Row],[order_date]])/3,0)</f>
        <v>Q1</v>
      </c>
      <c r="X1490" t="str">
        <f>TEXT(Table1_1[[#This Row],[order_date]],"yyyy-mm")</f>
        <v>2024-03</v>
      </c>
      <c r="Y1490">
        <f>IF(Table1_1[[#This Row],[ship_date]]="","",Table1_1[[#This Row],[ship_date]]-Table1_1[[#This Row],[order_date]])</f>
        <v>4</v>
      </c>
      <c r="Z1490">
        <f>ROUND(Table1_1[[#This Row],[profit]]/Table1_1[[#This Row],[sales_fix]]*100,2)</f>
        <v>13.64</v>
      </c>
    </row>
    <row r="1491" spans="1:26" x14ac:dyDescent="0.3">
      <c r="A1491" t="s">
        <v>2247</v>
      </c>
      <c r="B1491" s="1">
        <v>45714</v>
      </c>
      <c r="C1491" s="1">
        <v>45715</v>
      </c>
      <c r="D1491" t="s">
        <v>453</v>
      </c>
      <c r="E1491" t="s">
        <v>454</v>
      </c>
      <c r="F1491" t="s">
        <v>55</v>
      </c>
      <c r="G1491" t="s">
        <v>35</v>
      </c>
      <c r="H1491" t="s">
        <v>187</v>
      </c>
      <c r="I1491" t="s">
        <v>63</v>
      </c>
      <c r="J1491" t="s">
        <v>64</v>
      </c>
      <c r="K1491" t="s">
        <v>65</v>
      </c>
      <c r="L1491">
        <v>1</v>
      </c>
      <c r="M1491">
        <v>25000</v>
      </c>
      <c r="N1491">
        <v>0</v>
      </c>
      <c r="O1491">
        <v>25000</v>
      </c>
      <c r="P1491">
        <v>3363.68</v>
      </c>
      <c r="Q1491" t="s">
        <v>39</v>
      </c>
      <c r="R1491" t="s">
        <v>49</v>
      </c>
      <c r="S1491" t="s">
        <v>30</v>
      </c>
      <c r="T1491">
        <f>YEAR(Table1_1[[#This Row],[order_date]])</f>
        <v>2025</v>
      </c>
      <c r="U1491">
        <f>MONTH(Table1_1[[#This Row],[order_date]])</f>
        <v>2</v>
      </c>
      <c r="V1491" t="str">
        <f>TEXT(Table1_1[[#This Row],[order_date]],"mmm")</f>
        <v>Feb</v>
      </c>
      <c r="W1491" t="str">
        <f>"Q"&amp;ROUNDUP(MONTH(Table1_1[[#This Row],[order_date]])/3,0)</f>
        <v>Q1</v>
      </c>
      <c r="X1491" t="str">
        <f>TEXT(Table1_1[[#This Row],[order_date]],"yyyy-mm")</f>
        <v>2025-02</v>
      </c>
      <c r="Y1491">
        <f>IF(Table1_1[[#This Row],[ship_date]]="","",Table1_1[[#This Row],[ship_date]]-Table1_1[[#This Row],[order_date]])</f>
        <v>1</v>
      </c>
      <c r="Z1491">
        <f>ROUND(Table1_1[[#This Row],[profit]]/Table1_1[[#This Row],[sales_fix]]*100,2)</f>
        <v>13.45</v>
      </c>
    </row>
    <row r="1492" spans="1:26" x14ac:dyDescent="0.3">
      <c r="A1492" t="s">
        <v>789</v>
      </c>
      <c r="B1492" s="1">
        <v>45383</v>
      </c>
      <c r="C1492" s="1">
        <v>45388</v>
      </c>
      <c r="D1492" t="s">
        <v>790</v>
      </c>
      <c r="E1492" t="s">
        <v>791</v>
      </c>
      <c r="F1492" t="s">
        <v>23</v>
      </c>
      <c r="G1492" t="s">
        <v>61</v>
      </c>
      <c r="H1492" t="s">
        <v>125</v>
      </c>
      <c r="I1492" t="s">
        <v>46</v>
      </c>
      <c r="J1492" t="s">
        <v>47</v>
      </c>
      <c r="K1492" t="s">
        <v>48</v>
      </c>
      <c r="L1492">
        <v>4</v>
      </c>
      <c r="M1492">
        <v>180</v>
      </c>
      <c r="N1492">
        <v>5</v>
      </c>
      <c r="O1492">
        <v>684</v>
      </c>
      <c r="P1492">
        <v>235.04</v>
      </c>
      <c r="Q1492" t="s">
        <v>121</v>
      </c>
      <c r="R1492" t="s">
        <v>29</v>
      </c>
      <c r="S1492" t="s">
        <v>86</v>
      </c>
      <c r="T1492">
        <f>YEAR(Table1_1[[#This Row],[order_date]])</f>
        <v>2024</v>
      </c>
      <c r="U1492">
        <f>MONTH(Table1_1[[#This Row],[order_date]])</f>
        <v>4</v>
      </c>
      <c r="V1492" t="str">
        <f>TEXT(Table1_1[[#This Row],[order_date]],"mmm")</f>
        <v>Apr</v>
      </c>
      <c r="W1492" t="str">
        <f>"Q"&amp;ROUNDUP(MONTH(Table1_1[[#This Row],[order_date]])/3,0)</f>
        <v>Q2</v>
      </c>
      <c r="X1492" t="str">
        <f>TEXT(Table1_1[[#This Row],[order_date]],"yyyy-mm")</f>
        <v>2024-04</v>
      </c>
      <c r="Y1492">
        <f>IF(Table1_1[[#This Row],[ship_date]]="","",Table1_1[[#This Row],[ship_date]]-Table1_1[[#This Row],[order_date]])</f>
        <v>5</v>
      </c>
      <c r="Z1492">
        <f>ROUND(Table1_1[[#This Row],[profit]]/Table1_1[[#This Row],[sales_fix]]*100,2)</f>
        <v>34.36</v>
      </c>
    </row>
    <row r="1493" spans="1:26" x14ac:dyDescent="0.3">
      <c r="A1493" t="s">
        <v>3060</v>
      </c>
      <c r="B1493" s="1">
        <v>45345</v>
      </c>
      <c r="C1493" s="1">
        <v>45346</v>
      </c>
      <c r="D1493" t="s">
        <v>217</v>
      </c>
      <c r="E1493" t="s">
        <v>218</v>
      </c>
      <c r="F1493" t="s">
        <v>23</v>
      </c>
      <c r="G1493" t="s">
        <v>91</v>
      </c>
      <c r="H1493" t="s">
        <v>109</v>
      </c>
      <c r="I1493" t="s">
        <v>114</v>
      </c>
      <c r="J1493" t="s">
        <v>115</v>
      </c>
      <c r="K1493" t="s">
        <v>65</v>
      </c>
      <c r="L1493">
        <v>2</v>
      </c>
      <c r="M1493">
        <v>55000</v>
      </c>
      <c r="N1493">
        <v>15</v>
      </c>
      <c r="O1493">
        <v>93500</v>
      </c>
      <c r="P1493">
        <v>13299.2</v>
      </c>
      <c r="Q1493" t="s">
        <v>66</v>
      </c>
      <c r="R1493" t="s">
        <v>29</v>
      </c>
      <c r="S1493" t="s">
        <v>50</v>
      </c>
      <c r="T1493">
        <f>YEAR(Table1_1[[#This Row],[order_date]])</f>
        <v>2024</v>
      </c>
      <c r="U1493">
        <f>MONTH(Table1_1[[#This Row],[order_date]])</f>
        <v>2</v>
      </c>
      <c r="V1493" t="str">
        <f>TEXT(Table1_1[[#This Row],[order_date]],"mmm")</f>
        <v>Feb</v>
      </c>
      <c r="W1493" t="str">
        <f>"Q"&amp;ROUNDUP(MONTH(Table1_1[[#This Row],[order_date]])/3,0)</f>
        <v>Q1</v>
      </c>
      <c r="X1493" t="str">
        <f>TEXT(Table1_1[[#This Row],[order_date]],"yyyy-mm")</f>
        <v>2024-02</v>
      </c>
      <c r="Y1493">
        <f>IF(Table1_1[[#This Row],[ship_date]]="","",Table1_1[[#This Row],[ship_date]]-Table1_1[[#This Row],[order_date]])</f>
        <v>1</v>
      </c>
      <c r="Z1493">
        <f>ROUND(Table1_1[[#This Row],[profit]]/Table1_1[[#This Row],[sales_fix]]*100,2)</f>
        <v>14.22</v>
      </c>
    </row>
    <row r="1494" spans="1:26" x14ac:dyDescent="0.3">
      <c r="A1494" t="s">
        <v>3023</v>
      </c>
      <c r="B1494" s="1">
        <v>45804</v>
      </c>
      <c r="C1494" s="1">
        <v>45811</v>
      </c>
      <c r="D1494" t="s">
        <v>1532</v>
      </c>
      <c r="E1494" t="s">
        <v>1533</v>
      </c>
      <c r="F1494" t="s">
        <v>34</v>
      </c>
      <c r="G1494" t="s">
        <v>44</v>
      </c>
      <c r="H1494" t="s">
        <v>24</v>
      </c>
      <c r="I1494" t="s">
        <v>79</v>
      </c>
      <c r="J1494" t="s">
        <v>80</v>
      </c>
      <c r="K1494" t="s">
        <v>65</v>
      </c>
      <c r="L1494">
        <v>1</v>
      </c>
      <c r="M1494">
        <v>3000</v>
      </c>
      <c r="N1494">
        <v>5</v>
      </c>
      <c r="O1494">
        <v>2850</v>
      </c>
      <c r="P1494">
        <v>857.04</v>
      </c>
      <c r="Q1494" t="s">
        <v>66</v>
      </c>
      <c r="R1494" t="s">
        <v>56</v>
      </c>
      <c r="S1494" t="s">
        <v>110</v>
      </c>
      <c r="T1494">
        <f>YEAR(Table1_1[[#This Row],[order_date]])</f>
        <v>2025</v>
      </c>
      <c r="U1494">
        <f>MONTH(Table1_1[[#This Row],[order_date]])</f>
        <v>5</v>
      </c>
      <c r="V1494" t="str">
        <f>TEXT(Table1_1[[#This Row],[order_date]],"mmm")</f>
        <v>May</v>
      </c>
      <c r="W1494" t="str">
        <f>"Q"&amp;ROUNDUP(MONTH(Table1_1[[#This Row],[order_date]])/3,0)</f>
        <v>Q2</v>
      </c>
      <c r="X1494" t="str">
        <f>TEXT(Table1_1[[#This Row],[order_date]],"yyyy-mm")</f>
        <v>2025-05</v>
      </c>
      <c r="Y1494">
        <f>IF(Table1_1[[#This Row],[ship_date]]="","",Table1_1[[#This Row],[ship_date]]-Table1_1[[#This Row],[order_date]])</f>
        <v>7</v>
      </c>
      <c r="Z1494">
        <f>ROUND(Table1_1[[#This Row],[profit]]/Table1_1[[#This Row],[sales_fix]]*100,2)</f>
        <v>30.07</v>
      </c>
    </row>
    <row r="1495" spans="1:26" x14ac:dyDescent="0.3">
      <c r="A1495" t="s">
        <v>2427</v>
      </c>
      <c r="B1495" s="1">
        <v>45977</v>
      </c>
      <c r="C1495" s="1">
        <v>45978</v>
      </c>
      <c r="D1495" t="s">
        <v>936</v>
      </c>
      <c r="E1495" t="s">
        <v>937</v>
      </c>
      <c r="F1495" t="s">
        <v>23</v>
      </c>
      <c r="G1495" t="s">
        <v>44</v>
      </c>
      <c r="H1495" t="s">
        <v>161</v>
      </c>
      <c r="I1495" t="s">
        <v>114</v>
      </c>
      <c r="J1495" t="s">
        <v>115</v>
      </c>
      <c r="K1495" t="s">
        <v>65</v>
      </c>
      <c r="L1495">
        <v>2</v>
      </c>
      <c r="M1495">
        <v>55000</v>
      </c>
      <c r="N1495">
        <v>0</v>
      </c>
      <c r="O1495">
        <v>110000</v>
      </c>
      <c r="P1495">
        <v>14177.83</v>
      </c>
      <c r="Q1495" t="s">
        <v>121</v>
      </c>
      <c r="R1495" t="s">
        <v>29</v>
      </c>
      <c r="S1495" t="s">
        <v>40</v>
      </c>
      <c r="T1495">
        <f>YEAR(Table1_1[[#This Row],[order_date]])</f>
        <v>2025</v>
      </c>
      <c r="U1495">
        <f>MONTH(Table1_1[[#This Row],[order_date]])</f>
        <v>11</v>
      </c>
      <c r="V1495" t="str">
        <f>TEXT(Table1_1[[#This Row],[order_date]],"mmm")</f>
        <v>Nov</v>
      </c>
      <c r="W1495" t="str">
        <f>"Q"&amp;ROUNDUP(MONTH(Table1_1[[#This Row],[order_date]])/3,0)</f>
        <v>Q4</v>
      </c>
      <c r="X1495" t="str">
        <f>TEXT(Table1_1[[#This Row],[order_date]],"yyyy-mm")</f>
        <v>2025-11</v>
      </c>
      <c r="Y1495">
        <f>IF(Table1_1[[#This Row],[ship_date]]="","",Table1_1[[#This Row],[ship_date]]-Table1_1[[#This Row],[order_date]])</f>
        <v>1</v>
      </c>
      <c r="Z1495">
        <f>ROUND(Table1_1[[#This Row],[profit]]/Table1_1[[#This Row],[sales_fix]]*100,2)</f>
        <v>12.89</v>
      </c>
    </row>
    <row r="1496" spans="1:26" x14ac:dyDescent="0.3">
      <c r="A1496" t="s">
        <v>2191</v>
      </c>
      <c r="B1496" s="1">
        <v>45649</v>
      </c>
      <c r="C1496" s="1">
        <v>45652</v>
      </c>
      <c r="D1496" t="s">
        <v>83</v>
      </c>
      <c r="E1496" t="s">
        <v>84</v>
      </c>
      <c r="F1496" t="s">
        <v>34</v>
      </c>
      <c r="G1496" t="s">
        <v>35</v>
      </c>
      <c r="H1496" t="s">
        <v>85</v>
      </c>
      <c r="I1496" t="s">
        <v>114</v>
      </c>
      <c r="J1496" t="s">
        <v>115</v>
      </c>
      <c r="K1496" t="s">
        <v>65</v>
      </c>
      <c r="L1496">
        <v>2</v>
      </c>
      <c r="M1496">
        <v>55000</v>
      </c>
      <c r="N1496">
        <v>0</v>
      </c>
      <c r="O1496">
        <v>110000</v>
      </c>
      <c r="P1496">
        <v>17892.46</v>
      </c>
      <c r="Q1496" t="s">
        <v>28</v>
      </c>
      <c r="R1496" t="s">
        <v>29</v>
      </c>
      <c r="S1496" t="s">
        <v>50</v>
      </c>
      <c r="T1496">
        <f>YEAR(Table1_1[[#This Row],[order_date]])</f>
        <v>2024</v>
      </c>
      <c r="U1496">
        <f>MONTH(Table1_1[[#This Row],[order_date]])</f>
        <v>12</v>
      </c>
      <c r="V1496" t="str">
        <f>TEXT(Table1_1[[#This Row],[order_date]],"mmm")</f>
        <v>Dec</v>
      </c>
      <c r="W1496" t="str">
        <f>"Q"&amp;ROUNDUP(MONTH(Table1_1[[#This Row],[order_date]])/3,0)</f>
        <v>Q4</v>
      </c>
      <c r="X1496" t="str">
        <f>TEXT(Table1_1[[#This Row],[order_date]],"yyyy-mm")</f>
        <v>2024-12</v>
      </c>
      <c r="Y1496">
        <f>IF(Table1_1[[#This Row],[ship_date]]="","",Table1_1[[#This Row],[ship_date]]-Table1_1[[#This Row],[order_date]])</f>
        <v>3</v>
      </c>
      <c r="Z1496">
        <f>ROUND(Table1_1[[#This Row],[profit]]/Table1_1[[#This Row],[sales_fix]]*100,2)</f>
        <v>16.27</v>
      </c>
    </row>
    <row r="1497" spans="1:26" x14ac:dyDescent="0.3">
      <c r="A1497" t="s">
        <v>2086</v>
      </c>
      <c r="B1497" s="1">
        <v>45934</v>
      </c>
      <c r="C1497" s="1">
        <v>45941</v>
      </c>
      <c r="D1497" t="s">
        <v>1796</v>
      </c>
      <c r="E1497" t="s">
        <v>1797</v>
      </c>
      <c r="F1497" t="s">
        <v>55</v>
      </c>
      <c r="G1497" t="s">
        <v>44</v>
      </c>
      <c r="H1497" t="s">
        <v>330</v>
      </c>
      <c r="I1497" t="s">
        <v>114</v>
      </c>
      <c r="J1497" t="s">
        <v>115</v>
      </c>
      <c r="K1497" t="s">
        <v>65</v>
      </c>
      <c r="L1497">
        <v>1</v>
      </c>
      <c r="M1497">
        <v>55000</v>
      </c>
      <c r="N1497">
        <v>10</v>
      </c>
      <c r="O1497">
        <v>49500</v>
      </c>
      <c r="P1497">
        <v>7571.01</v>
      </c>
      <c r="Q1497" t="s">
        <v>121</v>
      </c>
      <c r="R1497" t="s">
        <v>29</v>
      </c>
      <c r="S1497" t="s">
        <v>40</v>
      </c>
      <c r="T1497">
        <f>YEAR(Table1_1[[#This Row],[order_date]])</f>
        <v>2025</v>
      </c>
      <c r="U1497">
        <f>MONTH(Table1_1[[#This Row],[order_date]])</f>
        <v>10</v>
      </c>
      <c r="V1497" t="str">
        <f>TEXT(Table1_1[[#This Row],[order_date]],"mmm")</f>
        <v>Oct</v>
      </c>
      <c r="W1497" t="str">
        <f>"Q"&amp;ROUNDUP(MONTH(Table1_1[[#This Row],[order_date]])/3,0)</f>
        <v>Q4</v>
      </c>
      <c r="X1497" t="str">
        <f>TEXT(Table1_1[[#This Row],[order_date]],"yyyy-mm")</f>
        <v>2025-10</v>
      </c>
      <c r="Y1497">
        <f>IF(Table1_1[[#This Row],[ship_date]]="","",Table1_1[[#This Row],[ship_date]]-Table1_1[[#This Row],[order_date]])</f>
        <v>7</v>
      </c>
      <c r="Z1497">
        <f>ROUND(Table1_1[[#This Row],[profit]]/Table1_1[[#This Row],[sales_fix]]*100,2)</f>
        <v>15.29</v>
      </c>
    </row>
    <row r="1498" spans="1:26" x14ac:dyDescent="0.3">
      <c r="A1498" t="s">
        <v>2090</v>
      </c>
      <c r="B1498" s="1">
        <v>45492</v>
      </c>
      <c r="C1498" s="1">
        <v>45497</v>
      </c>
      <c r="D1498" t="s">
        <v>947</v>
      </c>
      <c r="E1498" t="s">
        <v>948</v>
      </c>
      <c r="F1498" t="s">
        <v>55</v>
      </c>
      <c r="G1498" t="s">
        <v>35</v>
      </c>
      <c r="H1498" t="s">
        <v>36</v>
      </c>
      <c r="I1498" t="s">
        <v>37</v>
      </c>
      <c r="J1498" t="s">
        <v>38</v>
      </c>
      <c r="K1498" t="s">
        <v>27</v>
      </c>
      <c r="L1498">
        <v>1</v>
      </c>
      <c r="M1498">
        <v>9500</v>
      </c>
      <c r="N1498">
        <v>0</v>
      </c>
      <c r="O1498">
        <v>9500</v>
      </c>
      <c r="P1498">
        <v>1628.4</v>
      </c>
      <c r="Q1498" t="s">
        <v>28</v>
      </c>
      <c r="R1498" t="s">
        <v>29</v>
      </c>
      <c r="S1498" t="s">
        <v>30</v>
      </c>
      <c r="T1498">
        <f>YEAR(Table1_1[[#This Row],[order_date]])</f>
        <v>2024</v>
      </c>
      <c r="U1498">
        <f>MONTH(Table1_1[[#This Row],[order_date]])</f>
        <v>7</v>
      </c>
      <c r="V1498" t="str">
        <f>TEXT(Table1_1[[#This Row],[order_date]],"mmm")</f>
        <v>Jul</v>
      </c>
      <c r="W1498" t="str">
        <f>"Q"&amp;ROUNDUP(MONTH(Table1_1[[#This Row],[order_date]])/3,0)</f>
        <v>Q3</v>
      </c>
      <c r="X1498" t="str">
        <f>TEXT(Table1_1[[#This Row],[order_date]],"yyyy-mm")</f>
        <v>2024-07</v>
      </c>
      <c r="Y1498">
        <f>IF(Table1_1[[#This Row],[ship_date]]="","",Table1_1[[#This Row],[ship_date]]-Table1_1[[#This Row],[order_date]])</f>
        <v>5</v>
      </c>
      <c r="Z1498">
        <f>ROUND(Table1_1[[#This Row],[profit]]/Table1_1[[#This Row],[sales_fix]]*100,2)</f>
        <v>17.14</v>
      </c>
    </row>
    <row r="1499" spans="1:26" x14ac:dyDescent="0.3">
      <c r="A1499" t="s">
        <v>2851</v>
      </c>
      <c r="B1499" s="1">
        <v>45501</v>
      </c>
      <c r="C1499" s="1">
        <v>45503</v>
      </c>
      <c r="D1499" t="s">
        <v>275</v>
      </c>
      <c r="E1499" t="s">
        <v>276</v>
      </c>
      <c r="F1499" t="s">
        <v>34</v>
      </c>
      <c r="G1499" t="s">
        <v>91</v>
      </c>
      <c r="H1499" t="s">
        <v>120</v>
      </c>
      <c r="I1499" t="s">
        <v>134</v>
      </c>
      <c r="J1499" t="s">
        <v>135</v>
      </c>
      <c r="K1499" t="s">
        <v>27</v>
      </c>
      <c r="L1499">
        <v>1</v>
      </c>
      <c r="M1499">
        <v>6000</v>
      </c>
      <c r="N1499">
        <v>0</v>
      </c>
      <c r="O1499">
        <v>6000</v>
      </c>
      <c r="P1499">
        <v>1231.17</v>
      </c>
      <c r="Q1499" t="s">
        <v>156</v>
      </c>
      <c r="R1499" t="s">
        <v>29</v>
      </c>
      <c r="S1499" t="s">
        <v>50</v>
      </c>
      <c r="T1499">
        <f>YEAR(Table1_1[[#This Row],[order_date]])</f>
        <v>2024</v>
      </c>
      <c r="U1499">
        <f>MONTH(Table1_1[[#This Row],[order_date]])</f>
        <v>7</v>
      </c>
      <c r="V1499" t="str">
        <f>TEXT(Table1_1[[#This Row],[order_date]],"mmm")</f>
        <v>Jul</v>
      </c>
      <c r="W1499" t="str">
        <f>"Q"&amp;ROUNDUP(MONTH(Table1_1[[#This Row],[order_date]])/3,0)</f>
        <v>Q3</v>
      </c>
      <c r="X1499" t="str">
        <f>TEXT(Table1_1[[#This Row],[order_date]],"yyyy-mm")</f>
        <v>2024-07</v>
      </c>
      <c r="Y1499">
        <f>IF(Table1_1[[#This Row],[ship_date]]="","",Table1_1[[#This Row],[ship_date]]-Table1_1[[#This Row],[order_date]])</f>
        <v>2</v>
      </c>
      <c r="Z1499">
        <f>ROUND(Table1_1[[#This Row],[profit]]/Table1_1[[#This Row],[sales_fix]]*100,2)</f>
        <v>20.52</v>
      </c>
    </row>
    <row r="1500" spans="1:26" x14ac:dyDescent="0.3">
      <c r="A1500" t="s">
        <v>2338</v>
      </c>
      <c r="B1500" s="1">
        <v>45597</v>
      </c>
      <c r="C1500" s="1">
        <v>45603</v>
      </c>
      <c r="D1500" t="s">
        <v>321</v>
      </c>
      <c r="E1500" t="s">
        <v>322</v>
      </c>
      <c r="F1500" t="s">
        <v>34</v>
      </c>
      <c r="G1500" t="s">
        <v>91</v>
      </c>
      <c r="H1500" t="s">
        <v>109</v>
      </c>
      <c r="I1500" t="s">
        <v>71</v>
      </c>
      <c r="J1500" t="s">
        <v>72</v>
      </c>
      <c r="K1500" t="s">
        <v>73</v>
      </c>
      <c r="L1500">
        <v>3</v>
      </c>
      <c r="M1500">
        <v>3500</v>
      </c>
      <c r="N1500">
        <v>10</v>
      </c>
      <c r="O1500">
        <v>9450</v>
      </c>
      <c r="P1500">
        <v>3106.08</v>
      </c>
      <c r="Q1500" t="s">
        <v>28</v>
      </c>
      <c r="R1500" t="s">
        <v>29</v>
      </c>
      <c r="S1500" t="s">
        <v>50</v>
      </c>
      <c r="T1500">
        <f>YEAR(Table1_1[[#This Row],[order_date]])</f>
        <v>2024</v>
      </c>
      <c r="U1500">
        <f>MONTH(Table1_1[[#This Row],[order_date]])</f>
        <v>11</v>
      </c>
      <c r="V1500" t="str">
        <f>TEXT(Table1_1[[#This Row],[order_date]],"mmm")</f>
        <v>Nov</v>
      </c>
      <c r="W1500" t="str">
        <f>"Q"&amp;ROUNDUP(MONTH(Table1_1[[#This Row],[order_date]])/3,0)</f>
        <v>Q4</v>
      </c>
      <c r="X1500" t="str">
        <f>TEXT(Table1_1[[#This Row],[order_date]],"yyyy-mm")</f>
        <v>2024-11</v>
      </c>
      <c r="Y1500">
        <f>IF(Table1_1[[#This Row],[ship_date]]="","",Table1_1[[#This Row],[ship_date]]-Table1_1[[#This Row],[order_date]])</f>
        <v>6</v>
      </c>
      <c r="Z1500">
        <f>ROUND(Table1_1[[#This Row],[profit]]/Table1_1[[#This Row],[sales_fix]]*100,2)</f>
        <v>32.869999999999997</v>
      </c>
    </row>
    <row r="1501" spans="1:26" x14ac:dyDescent="0.3">
      <c r="A1501" t="s">
        <v>1912</v>
      </c>
      <c r="B1501" s="1">
        <v>45514</v>
      </c>
      <c r="C1501" s="1">
        <v>45517</v>
      </c>
      <c r="D1501" t="s">
        <v>403</v>
      </c>
      <c r="E1501" t="s">
        <v>404</v>
      </c>
      <c r="F1501" t="s">
        <v>55</v>
      </c>
      <c r="G1501" t="s">
        <v>35</v>
      </c>
      <c r="H1501" t="s">
        <v>36</v>
      </c>
      <c r="I1501" t="s">
        <v>25</v>
      </c>
      <c r="J1501" t="s">
        <v>26</v>
      </c>
      <c r="K1501" t="s">
        <v>27</v>
      </c>
      <c r="L1501">
        <v>2</v>
      </c>
      <c r="M1501">
        <v>7000</v>
      </c>
      <c r="N1501">
        <v>0</v>
      </c>
      <c r="O1501">
        <v>14000</v>
      </c>
      <c r="P1501">
        <v>2171.23</v>
      </c>
      <c r="Q1501" t="s">
        <v>74</v>
      </c>
      <c r="R1501" t="s">
        <v>29</v>
      </c>
      <c r="S1501" t="s">
        <v>30</v>
      </c>
      <c r="T1501">
        <f>YEAR(Table1_1[[#This Row],[order_date]])</f>
        <v>2024</v>
      </c>
      <c r="U1501">
        <f>MONTH(Table1_1[[#This Row],[order_date]])</f>
        <v>8</v>
      </c>
      <c r="V1501" t="str">
        <f>TEXT(Table1_1[[#This Row],[order_date]],"mmm")</f>
        <v>Aug</v>
      </c>
      <c r="W1501" t="str">
        <f>"Q"&amp;ROUNDUP(MONTH(Table1_1[[#This Row],[order_date]])/3,0)</f>
        <v>Q3</v>
      </c>
      <c r="X1501" t="str">
        <f>TEXT(Table1_1[[#This Row],[order_date]],"yyyy-mm")</f>
        <v>2024-08</v>
      </c>
      <c r="Y1501">
        <f>IF(Table1_1[[#This Row],[ship_date]]="","",Table1_1[[#This Row],[ship_date]]-Table1_1[[#This Row],[order_date]])</f>
        <v>3</v>
      </c>
      <c r="Z1501">
        <f>ROUND(Table1_1[[#This Row],[profit]]/Table1_1[[#This Row],[sales_fix]]*100,2)</f>
        <v>15.51</v>
      </c>
    </row>
    <row r="1502" spans="1:26" x14ac:dyDescent="0.3">
      <c r="A1502" t="s">
        <v>2632</v>
      </c>
      <c r="B1502" s="1">
        <v>45627</v>
      </c>
      <c r="C1502" s="1">
        <v>45635</v>
      </c>
      <c r="D1502" t="s">
        <v>336</v>
      </c>
      <c r="E1502" t="s">
        <v>337</v>
      </c>
      <c r="F1502" t="s">
        <v>34</v>
      </c>
      <c r="G1502" t="s">
        <v>61</v>
      </c>
      <c r="H1502" t="s">
        <v>211</v>
      </c>
      <c r="I1502" t="s">
        <v>71</v>
      </c>
      <c r="J1502" t="s">
        <v>72</v>
      </c>
      <c r="K1502" t="s">
        <v>73</v>
      </c>
      <c r="L1502">
        <v>1</v>
      </c>
      <c r="M1502">
        <v>3500</v>
      </c>
      <c r="N1502">
        <v>20</v>
      </c>
      <c r="O1502">
        <v>2800</v>
      </c>
      <c r="P1502">
        <v>896</v>
      </c>
      <c r="Q1502" t="s">
        <v>28</v>
      </c>
      <c r="R1502" t="s">
        <v>56</v>
      </c>
      <c r="S1502" t="s">
        <v>40</v>
      </c>
      <c r="T1502">
        <f>YEAR(Table1_1[[#This Row],[order_date]])</f>
        <v>2024</v>
      </c>
      <c r="U1502">
        <f>MONTH(Table1_1[[#This Row],[order_date]])</f>
        <v>12</v>
      </c>
      <c r="V1502" t="str">
        <f>TEXT(Table1_1[[#This Row],[order_date]],"mmm")</f>
        <v>Dec</v>
      </c>
      <c r="W1502" t="str">
        <f>"Q"&amp;ROUNDUP(MONTH(Table1_1[[#This Row],[order_date]])/3,0)</f>
        <v>Q4</v>
      </c>
      <c r="X1502" t="str">
        <f>TEXT(Table1_1[[#This Row],[order_date]],"yyyy-mm")</f>
        <v>2024-12</v>
      </c>
      <c r="Y1502">
        <f>IF(Table1_1[[#This Row],[ship_date]]="","",Table1_1[[#This Row],[ship_date]]-Table1_1[[#This Row],[order_date]])</f>
        <v>8</v>
      </c>
      <c r="Z1502">
        <f>ROUND(Table1_1[[#This Row],[profit]]/Table1_1[[#This Row],[sales_fix]]*100,2)</f>
        <v>32</v>
      </c>
    </row>
    <row r="1503" spans="1:26" x14ac:dyDescent="0.3">
      <c r="A1503" t="s">
        <v>2402</v>
      </c>
      <c r="B1503" s="1">
        <v>45546</v>
      </c>
      <c r="C1503" s="1">
        <v>45547</v>
      </c>
      <c r="D1503" t="s">
        <v>1058</v>
      </c>
      <c r="E1503" t="s">
        <v>1059</v>
      </c>
      <c r="F1503" t="s">
        <v>55</v>
      </c>
      <c r="G1503" t="s">
        <v>91</v>
      </c>
      <c r="H1503" t="s">
        <v>92</v>
      </c>
      <c r="I1503" t="s">
        <v>126</v>
      </c>
      <c r="J1503" t="s">
        <v>127</v>
      </c>
      <c r="K1503" t="s">
        <v>95</v>
      </c>
      <c r="L1503">
        <v>1</v>
      </c>
      <c r="M1503">
        <v>600</v>
      </c>
      <c r="N1503">
        <v>0</v>
      </c>
      <c r="O1503">
        <v>600</v>
      </c>
      <c r="P1503">
        <v>240.26</v>
      </c>
      <c r="Q1503" t="s">
        <v>39</v>
      </c>
      <c r="R1503" t="s">
        <v>29</v>
      </c>
      <c r="S1503" t="s">
        <v>86</v>
      </c>
      <c r="T1503">
        <f>YEAR(Table1_1[[#This Row],[order_date]])</f>
        <v>2024</v>
      </c>
      <c r="U1503">
        <f>MONTH(Table1_1[[#This Row],[order_date]])</f>
        <v>9</v>
      </c>
      <c r="V1503" t="str">
        <f>TEXT(Table1_1[[#This Row],[order_date]],"mmm")</f>
        <v>Sep</v>
      </c>
      <c r="W1503" t="str">
        <f>"Q"&amp;ROUNDUP(MONTH(Table1_1[[#This Row],[order_date]])/3,0)</f>
        <v>Q3</v>
      </c>
      <c r="X1503" t="str">
        <f>TEXT(Table1_1[[#This Row],[order_date]],"yyyy-mm")</f>
        <v>2024-09</v>
      </c>
      <c r="Y1503">
        <f>IF(Table1_1[[#This Row],[ship_date]]="","",Table1_1[[#This Row],[ship_date]]-Table1_1[[#This Row],[order_date]])</f>
        <v>1</v>
      </c>
      <c r="Z1503">
        <f>ROUND(Table1_1[[#This Row],[profit]]/Table1_1[[#This Row],[sales_fix]]*100,2)</f>
        <v>40.04</v>
      </c>
    </row>
    <row r="1504" spans="1:26" x14ac:dyDescent="0.3">
      <c r="A1504" t="s">
        <v>3066</v>
      </c>
      <c r="B1504" s="1">
        <v>45602</v>
      </c>
      <c r="C1504" s="1">
        <v>45608</v>
      </c>
      <c r="D1504" t="s">
        <v>1450</v>
      </c>
      <c r="E1504" t="s">
        <v>1451</v>
      </c>
      <c r="F1504" t="s">
        <v>23</v>
      </c>
      <c r="G1504" t="s">
        <v>61</v>
      </c>
      <c r="H1504" t="s">
        <v>78</v>
      </c>
      <c r="I1504" t="s">
        <v>114</v>
      </c>
      <c r="J1504" t="s">
        <v>115</v>
      </c>
      <c r="K1504" t="s">
        <v>65</v>
      </c>
      <c r="L1504">
        <v>3</v>
      </c>
      <c r="M1504">
        <v>55000</v>
      </c>
      <c r="N1504">
        <v>0</v>
      </c>
      <c r="O1504">
        <v>165000</v>
      </c>
      <c r="P1504">
        <v>21945.119999999999</v>
      </c>
      <c r="Q1504" t="s">
        <v>121</v>
      </c>
      <c r="R1504" t="s">
        <v>56</v>
      </c>
      <c r="S1504" t="s">
        <v>50</v>
      </c>
      <c r="T1504">
        <f>YEAR(Table1_1[[#This Row],[order_date]])</f>
        <v>2024</v>
      </c>
      <c r="U1504">
        <f>MONTH(Table1_1[[#This Row],[order_date]])</f>
        <v>11</v>
      </c>
      <c r="V1504" t="str">
        <f>TEXT(Table1_1[[#This Row],[order_date]],"mmm")</f>
        <v>Nov</v>
      </c>
      <c r="W1504" t="str">
        <f>"Q"&amp;ROUNDUP(MONTH(Table1_1[[#This Row],[order_date]])/3,0)</f>
        <v>Q4</v>
      </c>
      <c r="X1504" t="str">
        <f>TEXT(Table1_1[[#This Row],[order_date]],"yyyy-mm")</f>
        <v>2024-11</v>
      </c>
      <c r="Y1504">
        <f>IF(Table1_1[[#This Row],[ship_date]]="","",Table1_1[[#This Row],[ship_date]]-Table1_1[[#This Row],[order_date]])</f>
        <v>6</v>
      </c>
      <c r="Z1504">
        <f>ROUND(Table1_1[[#This Row],[profit]]/Table1_1[[#This Row],[sales_fix]]*100,2)</f>
        <v>13.3</v>
      </c>
    </row>
    <row r="1505" spans="1:26" x14ac:dyDescent="0.3">
      <c r="A1505" t="s">
        <v>1619</v>
      </c>
      <c r="B1505" s="1">
        <v>45673</v>
      </c>
      <c r="C1505" s="1">
        <v>45678</v>
      </c>
      <c r="D1505" t="s">
        <v>1301</v>
      </c>
      <c r="E1505" t="s">
        <v>1302</v>
      </c>
      <c r="F1505" t="s">
        <v>23</v>
      </c>
      <c r="G1505" t="s">
        <v>91</v>
      </c>
      <c r="H1505" t="s">
        <v>120</v>
      </c>
      <c r="I1505" t="s">
        <v>71</v>
      </c>
      <c r="J1505" t="s">
        <v>72</v>
      </c>
      <c r="K1505" t="s">
        <v>73</v>
      </c>
      <c r="L1505">
        <v>1</v>
      </c>
      <c r="M1505">
        <v>3500</v>
      </c>
      <c r="N1505">
        <v>5</v>
      </c>
      <c r="O1505">
        <v>3325</v>
      </c>
      <c r="P1505">
        <v>1022.98</v>
      </c>
      <c r="Q1505" t="s">
        <v>66</v>
      </c>
      <c r="R1505" t="s">
        <v>29</v>
      </c>
      <c r="S1505" t="s">
        <v>110</v>
      </c>
      <c r="T1505">
        <f>YEAR(Table1_1[[#This Row],[order_date]])</f>
        <v>2025</v>
      </c>
      <c r="U1505">
        <f>MONTH(Table1_1[[#This Row],[order_date]])</f>
        <v>1</v>
      </c>
      <c r="V1505" t="str">
        <f>TEXT(Table1_1[[#This Row],[order_date]],"mmm")</f>
        <v>Jan</v>
      </c>
      <c r="W1505" t="str">
        <f>"Q"&amp;ROUNDUP(MONTH(Table1_1[[#This Row],[order_date]])/3,0)</f>
        <v>Q1</v>
      </c>
      <c r="X1505" t="str">
        <f>TEXT(Table1_1[[#This Row],[order_date]],"yyyy-mm")</f>
        <v>2025-01</v>
      </c>
      <c r="Y1505">
        <f>IF(Table1_1[[#This Row],[ship_date]]="","",Table1_1[[#This Row],[ship_date]]-Table1_1[[#This Row],[order_date]])</f>
        <v>5</v>
      </c>
      <c r="Z1505">
        <f>ROUND(Table1_1[[#This Row],[profit]]/Table1_1[[#This Row],[sales_fix]]*100,2)</f>
        <v>30.77</v>
      </c>
    </row>
    <row r="1506" spans="1:26" x14ac:dyDescent="0.3">
      <c r="A1506" t="s">
        <v>2776</v>
      </c>
      <c r="B1506" s="1">
        <v>45759</v>
      </c>
      <c r="C1506" s="1">
        <v>45761</v>
      </c>
      <c r="D1506" t="s">
        <v>657</v>
      </c>
      <c r="E1506" t="s">
        <v>658</v>
      </c>
      <c r="F1506" t="s">
        <v>34</v>
      </c>
      <c r="G1506" t="s">
        <v>91</v>
      </c>
      <c r="H1506" t="s">
        <v>120</v>
      </c>
      <c r="I1506" t="s">
        <v>25</v>
      </c>
      <c r="J1506" t="s">
        <v>26</v>
      </c>
      <c r="K1506" t="s">
        <v>27</v>
      </c>
      <c r="L1506">
        <v>5</v>
      </c>
      <c r="M1506">
        <v>7000</v>
      </c>
      <c r="N1506">
        <v>20</v>
      </c>
      <c r="O1506">
        <v>28000</v>
      </c>
      <c r="P1506">
        <v>6565.49</v>
      </c>
      <c r="Q1506" t="s">
        <v>156</v>
      </c>
      <c r="R1506" t="s">
        <v>56</v>
      </c>
      <c r="S1506" t="s">
        <v>86</v>
      </c>
      <c r="T1506">
        <f>YEAR(Table1_1[[#This Row],[order_date]])</f>
        <v>2025</v>
      </c>
      <c r="U1506">
        <f>MONTH(Table1_1[[#This Row],[order_date]])</f>
        <v>4</v>
      </c>
      <c r="V1506" t="str">
        <f>TEXT(Table1_1[[#This Row],[order_date]],"mmm")</f>
        <v>Apr</v>
      </c>
      <c r="W1506" t="str">
        <f>"Q"&amp;ROUNDUP(MONTH(Table1_1[[#This Row],[order_date]])/3,0)</f>
        <v>Q2</v>
      </c>
      <c r="X1506" t="str">
        <f>TEXT(Table1_1[[#This Row],[order_date]],"yyyy-mm")</f>
        <v>2025-04</v>
      </c>
      <c r="Y1506">
        <f>IF(Table1_1[[#This Row],[ship_date]]="","",Table1_1[[#This Row],[ship_date]]-Table1_1[[#This Row],[order_date]])</f>
        <v>2</v>
      </c>
      <c r="Z1506">
        <f>ROUND(Table1_1[[#This Row],[profit]]/Table1_1[[#This Row],[sales_fix]]*100,2)</f>
        <v>23.45</v>
      </c>
    </row>
    <row r="1507" spans="1:26" x14ac:dyDescent="0.3">
      <c r="A1507" t="s">
        <v>1675</v>
      </c>
      <c r="B1507" s="1">
        <v>45306</v>
      </c>
      <c r="C1507" s="1">
        <v>45311</v>
      </c>
      <c r="D1507" t="s">
        <v>123</v>
      </c>
      <c r="E1507" t="s">
        <v>124</v>
      </c>
      <c r="F1507" t="s">
        <v>34</v>
      </c>
      <c r="G1507" t="s">
        <v>61</v>
      </c>
      <c r="H1507" t="s">
        <v>125</v>
      </c>
      <c r="I1507" t="s">
        <v>79</v>
      </c>
      <c r="J1507" t="s">
        <v>80</v>
      </c>
      <c r="K1507" t="s">
        <v>65</v>
      </c>
      <c r="L1507">
        <v>1</v>
      </c>
      <c r="M1507">
        <v>3000</v>
      </c>
      <c r="N1507">
        <v>15</v>
      </c>
      <c r="O1507">
        <v>2550</v>
      </c>
      <c r="P1507">
        <v>607.35</v>
      </c>
      <c r="Q1507" t="s">
        <v>74</v>
      </c>
      <c r="R1507" t="s">
        <v>29</v>
      </c>
      <c r="S1507" t="s">
        <v>40</v>
      </c>
      <c r="T1507">
        <f>YEAR(Table1_1[[#This Row],[order_date]])</f>
        <v>2024</v>
      </c>
      <c r="U1507">
        <f>MONTH(Table1_1[[#This Row],[order_date]])</f>
        <v>1</v>
      </c>
      <c r="V1507" t="str">
        <f>TEXT(Table1_1[[#This Row],[order_date]],"mmm")</f>
        <v>Jan</v>
      </c>
      <c r="W1507" t="str">
        <f>"Q"&amp;ROUNDUP(MONTH(Table1_1[[#This Row],[order_date]])/3,0)</f>
        <v>Q1</v>
      </c>
      <c r="X1507" t="str">
        <f>TEXT(Table1_1[[#This Row],[order_date]],"yyyy-mm")</f>
        <v>2024-01</v>
      </c>
      <c r="Y1507">
        <f>IF(Table1_1[[#This Row],[ship_date]]="","",Table1_1[[#This Row],[ship_date]]-Table1_1[[#This Row],[order_date]])</f>
        <v>5</v>
      </c>
      <c r="Z1507">
        <f>ROUND(Table1_1[[#This Row],[profit]]/Table1_1[[#This Row],[sales_fix]]*100,2)</f>
        <v>23.82</v>
      </c>
    </row>
    <row r="1508" spans="1:26" x14ac:dyDescent="0.3">
      <c r="A1508" t="s">
        <v>1914</v>
      </c>
      <c r="B1508" s="1">
        <v>46000</v>
      </c>
      <c r="C1508" s="1">
        <v>46001</v>
      </c>
      <c r="D1508" t="s">
        <v>89</v>
      </c>
      <c r="E1508" t="s">
        <v>90</v>
      </c>
      <c r="F1508" t="s">
        <v>23</v>
      </c>
      <c r="G1508" t="s">
        <v>91</v>
      </c>
      <c r="H1508" t="s">
        <v>92</v>
      </c>
      <c r="I1508" t="s">
        <v>63</v>
      </c>
      <c r="J1508" t="s">
        <v>64</v>
      </c>
      <c r="K1508" t="s">
        <v>65</v>
      </c>
      <c r="L1508">
        <v>1</v>
      </c>
      <c r="M1508">
        <v>25000</v>
      </c>
      <c r="N1508">
        <v>15</v>
      </c>
      <c r="O1508">
        <v>21250</v>
      </c>
      <c r="P1508">
        <v>2712.47</v>
      </c>
      <c r="Q1508" t="s">
        <v>28</v>
      </c>
      <c r="R1508" t="s">
        <v>49</v>
      </c>
      <c r="S1508" t="s">
        <v>30</v>
      </c>
      <c r="T1508">
        <f>YEAR(Table1_1[[#This Row],[order_date]])</f>
        <v>2025</v>
      </c>
      <c r="U1508">
        <f>MONTH(Table1_1[[#This Row],[order_date]])</f>
        <v>12</v>
      </c>
      <c r="V1508" t="str">
        <f>TEXT(Table1_1[[#This Row],[order_date]],"mmm")</f>
        <v>Dec</v>
      </c>
      <c r="W1508" t="str">
        <f>"Q"&amp;ROUNDUP(MONTH(Table1_1[[#This Row],[order_date]])/3,0)</f>
        <v>Q4</v>
      </c>
      <c r="X1508" t="str">
        <f>TEXT(Table1_1[[#This Row],[order_date]],"yyyy-mm")</f>
        <v>2025-12</v>
      </c>
      <c r="Y1508">
        <f>IF(Table1_1[[#This Row],[ship_date]]="","",Table1_1[[#This Row],[ship_date]]-Table1_1[[#This Row],[order_date]])</f>
        <v>1</v>
      </c>
      <c r="Z1508">
        <f>ROUND(Table1_1[[#This Row],[profit]]/Table1_1[[#This Row],[sales_fix]]*100,2)</f>
        <v>12.76</v>
      </c>
    </row>
    <row r="1509" spans="1:26" x14ac:dyDescent="0.3">
      <c r="A1509" t="s">
        <v>259</v>
      </c>
      <c r="B1509" s="1">
        <v>45305</v>
      </c>
      <c r="C1509" s="1">
        <v>45310</v>
      </c>
      <c r="D1509" t="s">
        <v>261</v>
      </c>
      <c r="E1509" t="s">
        <v>262</v>
      </c>
      <c r="F1509" t="s">
        <v>23</v>
      </c>
      <c r="G1509" t="s">
        <v>35</v>
      </c>
      <c r="H1509" t="s">
        <v>85</v>
      </c>
      <c r="I1509" t="s">
        <v>79</v>
      </c>
      <c r="J1509" t="s">
        <v>80</v>
      </c>
      <c r="K1509" t="s">
        <v>65</v>
      </c>
      <c r="L1509">
        <v>2</v>
      </c>
      <c r="M1509">
        <v>3000</v>
      </c>
      <c r="N1509">
        <v>0</v>
      </c>
      <c r="O1509">
        <v>6000</v>
      </c>
      <c r="P1509">
        <v>1732.76</v>
      </c>
      <c r="Q1509" t="s">
        <v>156</v>
      </c>
      <c r="R1509" t="s">
        <v>49</v>
      </c>
      <c r="S1509" t="s">
        <v>30</v>
      </c>
      <c r="T1509">
        <f>YEAR(Table1_1[[#This Row],[order_date]])</f>
        <v>2024</v>
      </c>
      <c r="U1509">
        <f>MONTH(Table1_1[[#This Row],[order_date]])</f>
        <v>1</v>
      </c>
      <c r="V1509" t="str">
        <f>TEXT(Table1_1[[#This Row],[order_date]],"mmm")</f>
        <v>Jan</v>
      </c>
      <c r="W1509" t="str">
        <f>"Q"&amp;ROUNDUP(MONTH(Table1_1[[#This Row],[order_date]])/3,0)</f>
        <v>Q1</v>
      </c>
      <c r="X1509" t="str">
        <f>TEXT(Table1_1[[#This Row],[order_date]],"yyyy-mm")</f>
        <v>2024-01</v>
      </c>
      <c r="Y1509">
        <f>IF(Table1_1[[#This Row],[ship_date]]="","",Table1_1[[#This Row],[ship_date]]-Table1_1[[#This Row],[order_date]])</f>
        <v>5</v>
      </c>
      <c r="Z1509">
        <f>ROUND(Table1_1[[#This Row],[profit]]/Table1_1[[#This Row],[sales_fix]]*100,2)</f>
        <v>28.88</v>
      </c>
    </row>
    <row r="1510" spans="1:26" x14ac:dyDescent="0.3">
      <c r="A1510" t="s">
        <v>2085</v>
      </c>
      <c r="B1510" s="1">
        <v>45316</v>
      </c>
      <c r="C1510" s="1">
        <v>45324</v>
      </c>
      <c r="D1510" t="s">
        <v>1100</v>
      </c>
      <c r="E1510" t="s">
        <v>1101</v>
      </c>
      <c r="F1510" t="s">
        <v>23</v>
      </c>
      <c r="G1510" t="s">
        <v>44</v>
      </c>
      <c r="H1510" t="s">
        <v>161</v>
      </c>
      <c r="I1510" t="s">
        <v>25</v>
      </c>
      <c r="J1510" t="s">
        <v>26</v>
      </c>
      <c r="K1510" t="s">
        <v>27</v>
      </c>
      <c r="L1510">
        <v>3</v>
      </c>
      <c r="M1510">
        <v>7000</v>
      </c>
      <c r="N1510">
        <v>20</v>
      </c>
      <c r="O1510">
        <v>16800</v>
      </c>
      <c r="P1510">
        <v>2865.24</v>
      </c>
      <c r="Q1510" t="s">
        <v>66</v>
      </c>
      <c r="R1510" t="s">
        <v>56</v>
      </c>
      <c r="S1510" t="s">
        <v>86</v>
      </c>
      <c r="T1510">
        <f>YEAR(Table1_1[[#This Row],[order_date]])</f>
        <v>2024</v>
      </c>
      <c r="U1510">
        <f>MONTH(Table1_1[[#This Row],[order_date]])</f>
        <v>1</v>
      </c>
      <c r="V1510" t="str">
        <f>TEXT(Table1_1[[#This Row],[order_date]],"mmm")</f>
        <v>Jan</v>
      </c>
      <c r="W1510" t="str">
        <f>"Q"&amp;ROUNDUP(MONTH(Table1_1[[#This Row],[order_date]])/3,0)</f>
        <v>Q1</v>
      </c>
      <c r="X1510" t="str">
        <f>TEXT(Table1_1[[#This Row],[order_date]],"yyyy-mm")</f>
        <v>2024-01</v>
      </c>
      <c r="Y1510">
        <f>IF(Table1_1[[#This Row],[ship_date]]="","",Table1_1[[#This Row],[ship_date]]-Table1_1[[#This Row],[order_date]])</f>
        <v>8</v>
      </c>
      <c r="Z1510">
        <f>ROUND(Table1_1[[#This Row],[profit]]/Table1_1[[#This Row],[sales_fix]]*100,2)</f>
        <v>17.059999999999999</v>
      </c>
    </row>
    <row r="1511" spans="1:26" x14ac:dyDescent="0.3">
      <c r="A1511" t="s">
        <v>1070</v>
      </c>
      <c r="B1511" s="1">
        <v>45864</v>
      </c>
      <c r="C1511" s="1">
        <v>45865</v>
      </c>
      <c r="D1511" t="s">
        <v>1072</v>
      </c>
      <c r="E1511" t="s">
        <v>1073</v>
      </c>
      <c r="F1511" t="s">
        <v>23</v>
      </c>
      <c r="G1511" t="s">
        <v>44</v>
      </c>
      <c r="H1511" t="s">
        <v>161</v>
      </c>
      <c r="I1511" t="s">
        <v>134</v>
      </c>
      <c r="J1511" t="s">
        <v>135</v>
      </c>
      <c r="K1511" t="s">
        <v>27</v>
      </c>
      <c r="L1511">
        <v>5</v>
      </c>
      <c r="M1511">
        <v>6000</v>
      </c>
      <c r="N1511">
        <v>5</v>
      </c>
      <c r="O1511">
        <v>28500</v>
      </c>
      <c r="P1511">
        <v>6954.81</v>
      </c>
      <c r="Q1511" t="s">
        <v>74</v>
      </c>
      <c r="R1511" t="s">
        <v>49</v>
      </c>
      <c r="S1511" t="s">
        <v>86</v>
      </c>
      <c r="T1511">
        <f>YEAR(Table1_1[[#This Row],[order_date]])</f>
        <v>2025</v>
      </c>
      <c r="U1511">
        <f>MONTH(Table1_1[[#This Row],[order_date]])</f>
        <v>7</v>
      </c>
      <c r="V1511" t="str">
        <f>TEXT(Table1_1[[#This Row],[order_date]],"mmm")</f>
        <v>Jul</v>
      </c>
      <c r="W1511" t="str">
        <f>"Q"&amp;ROUNDUP(MONTH(Table1_1[[#This Row],[order_date]])/3,0)</f>
        <v>Q3</v>
      </c>
      <c r="X1511" t="str">
        <f>TEXT(Table1_1[[#This Row],[order_date]],"yyyy-mm")</f>
        <v>2025-07</v>
      </c>
      <c r="Y1511">
        <f>IF(Table1_1[[#This Row],[ship_date]]="","",Table1_1[[#This Row],[ship_date]]-Table1_1[[#This Row],[order_date]])</f>
        <v>1</v>
      </c>
      <c r="Z1511">
        <f>ROUND(Table1_1[[#This Row],[profit]]/Table1_1[[#This Row],[sales_fix]]*100,2)</f>
        <v>24.4</v>
      </c>
    </row>
    <row r="1512" spans="1:26" x14ac:dyDescent="0.3">
      <c r="A1512" t="s">
        <v>2239</v>
      </c>
      <c r="B1512" s="1">
        <v>45775</v>
      </c>
      <c r="C1512" s="1">
        <v>45781</v>
      </c>
      <c r="D1512" t="s">
        <v>1414</v>
      </c>
      <c r="E1512" t="s">
        <v>1415</v>
      </c>
      <c r="F1512" t="s">
        <v>55</v>
      </c>
      <c r="G1512" t="s">
        <v>44</v>
      </c>
      <c r="H1512" t="s">
        <v>24</v>
      </c>
      <c r="I1512" t="s">
        <v>147</v>
      </c>
      <c r="J1512" t="s">
        <v>148</v>
      </c>
      <c r="K1512" t="s">
        <v>48</v>
      </c>
      <c r="L1512">
        <v>2</v>
      </c>
      <c r="M1512">
        <v>250</v>
      </c>
      <c r="N1512">
        <v>0</v>
      </c>
      <c r="O1512">
        <v>500</v>
      </c>
      <c r="P1512">
        <v>192.69</v>
      </c>
      <c r="Q1512" t="s">
        <v>156</v>
      </c>
      <c r="R1512" t="s">
        <v>56</v>
      </c>
      <c r="S1512" t="s">
        <v>40</v>
      </c>
      <c r="T1512">
        <f>YEAR(Table1_1[[#This Row],[order_date]])</f>
        <v>2025</v>
      </c>
      <c r="U1512">
        <f>MONTH(Table1_1[[#This Row],[order_date]])</f>
        <v>4</v>
      </c>
      <c r="V1512" t="str">
        <f>TEXT(Table1_1[[#This Row],[order_date]],"mmm")</f>
        <v>Apr</v>
      </c>
      <c r="W1512" t="str">
        <f>"Q"&amp;ROUNDUP(MONTH(Table1_1[[#This Row],[order_date]])/3,0)</f>
        <v>Q2</v>
      </c>
      <c r="X1512" t="str">
        <f>TEXT(Table1_1[[#This Row],[order_date]],"yyyy-mm")</f>
        <v>2025-04</v>
      </c>
      <c r="Y1512">
        <f>IF(Table1_1[[#This Row],[ship_date]]="","",Table1_1[[#This Row],[ship_date]]-Table1_1[[#This Row],[order_date]])</f>
        <v>6</v>
      </c>
      <c r="Z1512">
        <f>ROUND(Table1_1[[#This Row],[profit]]/Table1_1[[#This Row],[sales_fix]]*100,2)</f>
        <v>38.54</v>
      </c>
    </row>
    <row r="1513" spans="1:26" x14ac:dyDescent="0.3">
      <c r="A1513" t="s">
        <v>2322</v>
      </c>
      <c r="B1513" s="1">
        <v>45946</v>
      </c>
      <c r="C1513" s="1">
        <v>45952</v>
      </c>
      <c r="D1513" t="s">
        <v>2323</v>
      </c>
      <c r="E1513" t="s">
        <v>2324</v>
      </c>
      <c r="F1513" t="s">
        <v>23</v>
      </c>
      <c r="G1513" t="s">
        <v>91</v>
      </c>
      <c r="H1513" t="s">
        <v>177</v>
      </c>
      <c r="I1513" t="s">
        <v>37</v>
      </c>
      <c r="J1513" t="s">
        <v>38</v>
      </c>
      <c r="K1513" t="s">
        <v>27</v>
      </c>
      <c r="L1513">
        <v>1</v>
      </c>
      <c r="M1513">
        <v>9500</v>
      </c>
      <c r="N1513">
        <v>5</v>
      </c>
      <c r="O1513">
        <v>9025</v>
      </c>
      <c r="P1513">
        <v>1532.16</v>
      </c>
      <c r="Q1513" t="s">
        <v>74</v>
      </c>
      <c r="R1513" t="s">
        <v>29</v>
      </c>
      <c r="S1513" t="s">
        <v>30</v>
      </c>
      <c r="T1513">
        <f>YEAR(Table1_1[[#This Row],[order_date]])</f>
        <v>2025</v>
      </c>
      <c r="U1513">
        <f>MONTH(Table1_1[[#This Row],[order_date]])</f>
        <v>10</v>
      </c>
      <c r="V1513" t="str">
        <f>TEXT(Table1_1[[#This Row],[order_date]],"mmm")</f>
        <v>Oct</v>
      </c>
      <c r="W1513" t="str">
        <f>"Q"&amp;ROUNDUP(MONTH(Table1_1[[#This Row],[order_date]])/3,0)</f>
        <v>Q4</v>
      </c>
      <c r="X1513" t="str">
        <f>TEXT(Table1_1[[#This Row],[order_date]],"yyyy-mm")</f>
        <v>2025-10</v>
      </c>
      <c r="Y1513">
        <f>IF(Table1_1[[#This Row],[ship_date]]="","",Table1_1[[#This Row],[ship_date]]-Table1_1[[#This Row],[order_date]])</f>
        <v>6</v>
      </c>
      <c r="Z1513">
        <f>ROUND(Table1_1[[#This Row],[profit]]/Table1_1[[#This Row],[sales_fix]]*100,2)</f>
        <v>16.98</v>
      </c>
    </row>
    <row r="1514" spans="1:26" x14ac:dyDescent="0.3">
      <c r="A1514" t="s">
        <v>2615</v>
      </c>
      <c r="B1514" s="1">
        <v>45660</v>
      </c>
      <c r="C1514" s="1">
        <v>45663</v>
      </c>
      <c r="D1514" t="s">
        <v>265</v>
      </c>
      <c r="E1514" t="s">
        <v>266</v>
      </c>
      <c r="F1514" t="s">
        <v>55</v>
      </c>
      <c r="G1514" t="s">
        <v>44</v>
      </c>
      <c r="H1514" t="s">
        <v>45</v>
      </c>
      <c r="I1514" t="s">
        <v>134</v>
      </c>
      <c r="J1514" t="s">
        <v>135</v>
      </c>
      <c r="K1514" t="s">
        <v>27</v>
      </c>
      <c r="L1514">
        <v>10</v>
      </c>
      <c r="M1514">
        <v>6000</v>
      </c>
      <c r="N1514">
        <v>0</v>
      </c>
      <c r="O1514">
        <v>60000</v>
      </c>
      <c r="P1514">
        <v>13548.39</v>
      </c>
      <c r="Q1514" t="s">
        <v>3113</v>
      </c>
      <c r="R1514" t="s">
        <v>49</v>
      </c>
      <c r="S1514" t="s">
        <v>30</v>
      </c>
      <c r="T1514">
        <f>YEAR(Table1_1[[#This Row],[order_date]])</f>
        <v>2025</v>
      </c>
      <c r="U1514">
        <f>MONTH(Table1_1[[#This Row],[order_date]])</f>
        <v>1</v>
      </c>
      <c r="V1514" t="str">
        <f>TEXT(Table1_1[[#This Row],[order_date]],"mmm")</f>
        <v>Jan</v>
      </c>
      <c r="W1514" t="str">
        <f>"Q"&amp;ROUNDUP(MONTH(Table1_1[[#This Row],[order_date]])/3,0)</f>
        <v>Q1</v>
      </c>
      <c r="X1514" t="str">
        <f>TEXT(Table1_1[[#This Row],[order_date]],"yyyy-mm")</f>
        <v>2025-01</v>
      </c>
      <c r="Y1514">
        <f>IF(Table1_1[[#This Row],[ship_date]]="","",Table1_1[[#This Row],[ship_date]]-Table1_1[[#This Row],[order_date]])</f>
        <v>3</v>
      </c>
      <c r="Z1514">
        <f>ROUND(Table1_1[[#This Row],[profit]]/Table1_1[[#This Row],[sales_fix]]*100,2)</f>
        <v>22.58</v>
      </c>
    </row>
    <row r="1515" spans="1:26" x14ac:dyDescent="0.3">
      <c r="A1515" t="s">
        <v>2489</v>
      </c>
      <c r="B1515" s="1">
        <v>45988</v>
      </c>
      <c r="C1515" s="1">
        <v>45991</v>
      </c>
      <c r="D1515" t="s">
        <v>192</v>
      </c>
      <c r="E1515" t="s">
        <v>193</v>
      </c>
      <c r="F1515" t="s">
        <v>55</v>
      </c>
      <c r="G1515" t="s">
        <v>35</v>
      </c>
      <c r="H1515" t="s">
        <v>36</v>
      </c>
      <c r="I1515" t="s">
        <v>46</v>
      </c>
      <c r="J1515" t="s">
        <v>47</v>
      </c>
      <c r="K1515" t="s">
        <v>48</v>
      </c>
      <c r="L1515">
        <v>1</v>
      </c>
      <c r="M1515">
        <v>180</v>
      </c>
      <c r="N1515">
        <v>10</v>
      </c>
      <c r="O1515">
        <v>162</v>
      </c>
      <c r="P1515">
        <v>77.81</v>
      </c>
      <c r="Q1515" t="s">
        <v>39</v>
      </c>
      <c r="R1515" t="s">
        <v>49</v>
      </c>
      <c r="S1515" t="s">
        <v>40</v>
      </c>
      <c r="T1515">
        <f>YEAR(Table1_1[[#This Row],[order_date]])</f>
        <v>2025</v>
      </c>
      <c r="U1515">
        <f>MONTH(Table1_1[[#This Row],[order_date]])</f>
        <v>11</v>
      </c>
      <c r="V1515" t="str">
        <f>TEXT(Table1_1[[#This Row],[order_date]],"mmm")</f>
        <v>Nov</v>
      </c>
      <c r="W1515" t="str">
        <f>"Q"&amp;ROUNDUP(MONTH(Table1_1[[#This Row],[order_date]])/3,0)</f>
        <v>Q4</v>
      </c>
      <c r="X1515" t="str">
        <f>TEXT(Table1_1[[#This Row],[order_date]],"yyyy-mm")</f>
        <v>2025-11</v>
      </c>
      <c r="Y1515">
        <f>IF(Table1_1[[#This Row],[ship_date]]="","",Table1_1[[#This Row],[ship_date]]-Table1_1[[#This Row],[order_date]])</f>
        <v>3</v>
      </c>
      <c r="Z1515">
        <f>ROUND(Table1_1[[#This Row],[profit]]/Table1_1[[#This Row],[sales_fix]]*100,2)</f>
        <v>48.03</v>
      </c>
    </row>
    <row r="1516" spans="1:26" x14ac:dyDescent="0.3">
      <c r="A1516" t="s">
        <v>2462</v>
      </c>
      <c r="B1516" s="1">
        <v>45434</v>
      </c>
      <c r="C1516" s="1">
        <v>45441</v>
      </c>
      <c r="D1516" t="s">
        <v>1079</v>
      </c>
      <c r="E1516" t="s">
        <v>1080</v>
      </c>
      <c r="F1516" t="s">
        <v>23</v>
      </c>
      <c r="G1516" t="s">
        <v>44</v>
      </c>
      <c r="H1516" t="s">
        <v>155</v>
      </c>
      <c r="I1516" t="s">
        <v>93</v>
      </c>
      <c r="J1516" t="s">
        <v>94</v>
      </c>
      <c r="K1516" t="s">
        <v>95</v>
      </c>
      <c r="L1516">
        <v>10</v>
      </c>
      <c r="M1516">
        <v>1800</v>
      </c>
      <c r="N1516">
        <v>20</v>
      </c>
      <c r="O1516">
        <v>14400</v>
      </c>
      <c r="P1516">
        <v>3942.92</v>
      </c>
      <c r="Q1516" t="s">
        <v>66</v>
      </c>
      <c r="R1516" t="s">
        <v>49</v>
      </c>
      <c r="S1516" t="s">
        <v>86</v>
      </c>
      <c r="T1516">
        <f>YEAR(Table1_1[[#This Row],[order_date]])</f>
        <v>2024</v>
      </c>
      <c r="U1516">
        <f>MONTH(Table1_1[[#This Row],[order_date]])</f>
        <v>5</v>
      </c>
      <c r="V1516" t="str">
        <f>TEXT(Table1_1[[#This Row],[order_date]],"mmm")</f>
        <v>May</v>
      </c>
      <c r="W1516" t="str">
        <f>"Q"&amp;ROUNDUP(MONTH(Table1_1[[#This Row],[order_date]])/3,0)</f>
        <v>Q2</v>
      </c>
      <c r="X1516" t="str">
        <f>TEXT(Table1_1[[#This Row],[order_date]],"yyyy-mm")</f>
        <v>2024-05</v>
      </c>
      <c r="Y1516">
        <f>IF(Table1_1[[#This Row],[ship_date]]="","",Table1_1[[#This Row],[ship_date]]-Table1_1[[#This Row],[order_date]])</f>
        <v>7</v>
      </c>
      <c r="Z1516">
        <f>ROUND(Table1_1[[#This Row],[profit]]/Table1_1[[#This Row],[sales_fix]]*100,2)</f>
        <v>27.38</v>
      </c>
    </row>
    <row r="1517" spans="1:26" x14ac:dyDescent="0.3">
      <c r="A1517" t="s">
        <v>1812</v>
      </c>
      <c r="B1517" s="1">
        <v>45334</v>
      </c>
      <c r="C1517" s="1">
        <v>45337</v>
      </c>
      <c r="D1517" t="s">
        <v>314</v>
      </c>
      <c r="E1517" t="s">
        <v>315</v>
      </c>
      <c r="F1517" t="s">
        <v>55</v>
      </c>
      <c r="G1517" t="s">
        <v>44</v>
      </c>
      <c r="H1517" t="s">
        <v>161</v>
      </c>
      <c r="I1517" t="s">
        <v>46</v>
      </c>
      <c r="J1517" t="s">
        <v>47</v>
      </c>
      <c r="K1517" t="s">
        <v>48</v>
      </c>
      <c r="L1517">
        <v>2</v>
      </c>
      <c r="M1517">
        <v>180</v>
      </c>
      <c r="N1517">
        <v>10</v>
      </c>
      <c r="O1517">
        <v>324</v>
      </c>
      <c r="P1517">
        <v>102.3</v>
      </c>
      <c r="Q1517" t="s">
        <v>156</v>
      </c>
      <c r="R1517" t="s">
        <v>29</v>
      </c>
      <c r="S1517" t="s">
        <v>110</v>
      </c>
      <c r="T1517">
        <f>YEAR(Table1_1[[#This Row],[order_date]])</f>
        <v>2024</v>
      </c>
      <c r="U1517">
        <f>MONTH(Table1_1[[#This Row],[order_date]])</f>
        <v>2</v>
      </c>
      <c r="V1517" t="str">
        <f>TEXT(Table1_1[[#This Row],[order_date]],"mmm")</f>
        <v>Feb</v>
      </c>
      <c r="W1517" t="str">
        <f>"Q"&amp;ROUNDUP(MONTH(Table1_1[[#This Row],[order_date]])/3,0)</f>
        <v>Q1</v>
      </c>
      <c r="X1517" t="str">
        <f>TEXT(Table1_1[[#This Row],[order_date]],"yyyy-mm")</f>
        <v>2024-02</v>
      </c>
      <c r="Y1517">
        <f>IF(Table1_1[[#This Row],[ship_date]]="","",Table1_1[[#This Row],[ship_date]]-Table1_1[[#This Row],[order_date]])</f>
        <v>3</v>
      </c>
      <c r="Z1517">
        <f>ROUND(Table1_1[[#This Row],[profit]]/Table1_1[[#This Row],[sales_fix]]*100,2)</f>
        <v>31.57</v>
      </c>
    </row>
    <row r="1518" spans="1:26" x14ac:dyDescent="0.3">
      <c r="A1518" t="s">
        <v>729</v>
      </c>
      <c r="B1518" s="1">
        <v>45625</v>
      </c>
      <c r="C1518" s="1">
        <v>45632</v>
      </c>
      <c r="D1518" t="s">
        <v>731</v>
      </c>
      <c r="E1518" t="s">
        <v>732</v>
      </c>
      <c r="F1518" t="s">
        <v>34</v>
      </c>
      <c r="G1518" t="s">
        <v>44</v>
      </c>
      <c r="H1518" t="s">
        <v>155</v>
      </c>
      <c r="I1518" t="s">
        <v>63</v>
      </c>
      <c r="J1518" t="s">
        <v>64</v>
      </c>
      <c r="K1518" t="s">
        <v>65</v>
      </c>
      <c r="L1518">
        <v>3</v>
      </c>
      <c r="M1518">
        <v>25000</v>
      </c>
      <c r="N1518">
        <v>10</v>
      </c>
      <c r="O1518">
        <v>67500</v>
      </c>
      <c r="P1518">
        <v>10882.06</v>
      </c>
      <c r="Q1518" t="s">
        <v>121</v>
      </c>
      <c r="R1518" t="s">
        <v>56</v>
      </c>
      <c r="S1518" t="s">
        <v>110</v>
      </c>
      <c r="T1518">
        <f>YEAR(Table1_1[[#This Row],[order_date]])</f>
        <v>2024</v>
      </c>
      <c r="U1518">
        <f>MONTH(Table1_1[[#This Row],[order_date]])</f>
        <v>11</v>
      </c>
      <c r="V1518" t="str">
        <f>TEXT(Table1_1[[#This Row],[order_date]],"mmm")</f>
        <v>Nov</v>
      </c>
      <c r="W1518" t="str">
        <f>"Q"&amp;ROUNDUP(MONTH(Table1_1[[#This Row],[order_date]])/3,0)</f>
        <v>Q4</v>
      </c>
      <c r="X1518" t="str">
        <f>TEXT(Table1_1[[#This Row],[order_date]],"yyyy-mm")</f>
        <v>2024-11</v>
      </c>
      <c r="Y1518">
        <f>IF(Table1_1[[#This Row],[ship_date]]="","",Table1_1[[#This Row],[ship_date]]-Table1_1[[#This Row],[order_date]])</f>
        <v>7</v>
      </c>
      <c r="Z1518">
        <f>ROUND(Table1_1[[#This Row],[profit]]/Table1_1[[#This Row],[sales_fix]]*100,2)</f>
        <v>16.12</v>
      </c>
    </row>
    <row r="1519" spans="1:26" x14ac:dyDescent="0.3">
      <c r="A1519" t="s">
        <v>1744</v>
      </c>
      <c r="B1519" s="1">
        <v>45400</v>
      </c>
      <c r="C1519" s="1">
        <v>45404</v>
      </c>
      <c r="D1519" t="s">
        <v>373</v>
      </c>
      <c r="E1519" t="s">
        <v>374</v>
      </c>
      <c r="F1519" t="s">
        <v>55</v>
      </c>
      <c r="G1519" t="s">
        <v>35</v>
      </c>
      <c r="H1519" t="s">
        <v>85</v>
      </c>
      <c r="I1519" t="s">
        <v>71</v>
      </c>
      <c r="J1519" t="s">
        <v>72</v>
      </c>
      <c r="K1519" t="s">
        <v>73</v>
      </c>
      <c r="L1519">
        <v>1</v>
      </c>
      <c r="M1519">
        <v>3500</v>
      </c>
      <c r="N1519">
        <v>15</v>
      </c>
      <c r="O1519">
        <v>2975</v>
      </c>
      <c r="P1519">
        <v>839.15</v>
      </c>
      <c r="Q1519" t="s">
        <v>156</v>
      </c>
      <c r="R1519" t="s">
        <v>29</v>
      </c>
      <c r="S1519" t="s">
        <v>40</v>
      </c>
      <c r="T1519">
        <f>YEAR(Table1_1[[#This Row],[order_date]])</f>
        <v>2024</v>
      </c>
      <c r="U1519">
        <f>MONTH(Table1_1[[#This Row],[order_date]])</f>
        <v>4</v>
      </c>
      <c r="V1519" t="str">
        <f>TEXT(Table1_1[[#This Row],[order_date]],"mmm")</f>
        <v>Apr</v>
      </c>
      <c r="W1519" t="str">
        <f>"Q"&amp;ROUNDUP(MONTH(Table1_1[[#This Row],[order_date]])/3,0)</f>
        <v>Q2</v>
      </c>
      <c r="X1519" t="str">
        <f>TEXT(Table1_1[[#This Row],[order_date]],"yyyy-mm")</f>
        <v>2024-04</v>
      </c>
      <c r="Y1519">
        <f>IF(Table1_1[[#This Row],[ship_date]]="","",Table1_1[[#This Row],[ship_date]]-Table1_1[[#This Row],[order_date]])</f>
        <v>4</v>
      </c>
      <c r="Z1519">
        <f>ROUND(Table1_1[[#This Row],[profit]]/Table1_1[[#This Row],[sales_fix]]*100,2)</f>
        <v>28.21</v>
      </c>
    </row>
    <row r="1520" spans="1:26" x14ac:dyDescent="0.3">
      <c r="A1520" t="s">
        <v>3097</v>
      </c>
      <c r="B1520" s="1">
        <v>45439</v>
      </c>
      <c r="C1520" s="1">
        <v>45443</v>
      </c>
      <c r="D1520" t="s">
        <v>172</v>
      </c>
      <c r="E1520" t="s">
        <v>173</v>
      </c>
      <c r="F1520" t="s">
        <v>55</v>
      </c>
      <c r="G1520" t="s">
        <v>91</v>
      </c>
      <c r="H1520" t="s">
        <v>177</v>
      </c>
      <c r="I1520" t="s">
        <v>147</v>
      </c>
      <c r="J1520" t="s">
        <v>148</v>
      </c>
      <c r="K1520" t="s">
        <v>48</v>
      </c>
      <c r="L1520">
        <v>5</v>
      </c>
      <c r="M1520">
        <v>250</v>
      </c>
      <c r="N1520">
        <v>15</v>
      </c>
      <c r="O1520">
        <v>1062.5</v>
      </c>
      <c r="P1520">
        <v>459.02</v>
      </c>
      <c r="Q1520" t="s">
        <v>28</v>
      </c>
      <c r="R1520" t="s">
        <v>49</v>
      </c>
      <c r="S1520" t="s">
        <v>50</v>
      </c>
      <c r="T1520">
        <f>YEAR(Table1_1[[#This Row],[order_date]])</f>
        <v>2024</v>
      </c>
      <c r="U1520">
        <f>MONTH(Table1_1[[#This Row],[order_date]])</f>
        <v>5</v>
      </c>
      <c r="V1520" t="str">
        <f>TEXT(Table1_1[[#This Row],[order_date]],"mmm")</f>
        <v>May</v>
      </c>
      <c r="W1520" t="str">
        <f>"Q"&amp;ROUNDUP(MONTH(Table1_1[[#This Row],[order_date]])/3,0)</f>
        <v>Q2</v>
      </c>
      <c r="X1520" t="str">
        <f>TEXT(Table1_1[[#This Row],[order_date]],"yyyy-mm")</f>
        <v>2024-05</v>
      </c>
      <c r="Y1520">
        <f>IF(Table1_1[[#This Row],[ship_date]]="","",Table1_1[[#This Row],[ship_date]]-Table1_1[[#This Row],[order_date]])</f>
        <v>4</v>
      </c>
      <c r="Z1520">
        <f>ROUND(Table1_1[[#This Row],[profit]]/Table1_1[[#This Row],[sales_fix]]*100,2)</f>
        <v>43.2</v>
      </c>
    </row>
    <row r="1521" spans="1:26" x14ac:dyDescent="0.3">
      <c r="A1521" t="s">
        <v>2935</v>
      </c>
      <c r="B1521" s="1">
        <v>45390</v>
      </c>
      <c r="C1521" s="1">
        <v>45391</v>
      </c>
      <c r="D1521" t="s">
        <v>265</v>
      </c>
      <c r="E1521" t="s">
        <v>266</v>
      </c>
      <c r="F1521" t="s">
        <v>55</v>
      </c>
      <c r="G1521" t="s">
        <v>44</v>
      </c>
      <c r="H1521" t="s">
        <v>45</v>
      </c>
      <c r="I1521" t="s">
        <v>126</v>
      </c>
      <c r="J1521" t="s">
        <v>127</v>
      </c>
      <c r="K1521" t="s">
        <v>95</v>
      </c>
      <c r="L1521">
        <v>5</v>
      </c>
      <c r="M1521">
        <v>600</v>
      </c>
      <c r="N1521">
        <v>0</v>
      </c>
      <c r="O1521">
        <v>3000</v>
      </c>
      <c r="P1521">
        <v>808.72</v>
      </c>
      <c r="Q1521" t="s">
        <v>74</v>
      </c>
      <c r="R1521" t="s">
        <v>29</v>
      </c>
      <c r="S1521" t="s">
        <v>50</v>
      </c>
      <c r="T1521">
        <f>YEAR(Table1_1[[#This Row],[order_date]])</f>
        <v>2024</v>
      </c>
      <c r="U1521">
        <f>MONTH(Table1_1[[#This Row],[order_date]])</f>
        <v>4</v>
      </c>
      <c r="V1521" t="str">
        <f>TEXT(Table1_1[[#This Row],[order_date]],"mmm")</f>
        <v>Apr</v>
      </c>
      <c r="W1521" t="str">
        <f>"Q"&amp;ROUNDUP(MONTH(Table1_1[[#This Row],[order_date]])/3,0)</f>
        <v>Q2</v>
      </c>
      <c r="X1521" t="str">
        <f>TEXT(Table1_1[[#This Row],[order_date]],"yyyy-mm")</f>
        <v>2024-04</v>
      </c>
      <c r="Y1521">
        <f>IF(Table1_1[[#This Row],[ship_date]]="","",Table1_1[[#This Row],[ship_date]]-Table1_1[[#This Row],[order_date]])</f>
        <v>1</v>
      </c>
      <c r="Z1521">
        <f>ROUND(Table1_1[[#This Row],[profit]]/Table1_1[[#This Row],[sales_fix]]*100,2)</f>
        <v>26.96</v>
      </c>
    </row>
    <row r="1522" spans="1:26" x14ac:dyDescent="0.3">
      <c r="A1522" t="s">
        <v>786</v>
      </c>
      <c r="B1522" s="1">
        <v>45365</v>
      </c>
      <c r="C1522" s="1">
        <v>45372</v>
      </c>
      <c r="D1522" t="s">
        <v>787</v>
      </c>
      <c r="E1522" t="s">
        <v>788</v>
      </c>
      <c r="F1522" t="s">
        <v>34</v>
      </c>
      <c r="G1522" t="s">
        <v>35</v>
      </c>
      <c r="H1522" t="s">
        <v>36</v>
      </c>
      <c r="I1522" t="s">
        <v>126</v>
      </c>
      <c r="J1522" t="s">
        <v>127</v>
      </c>
      <c r="K1522" t="s">
        <v>95</v>
      </c>
      <c r="L1522">
        <v>1</v>
      </c>
      <c r="M1522">
        <v>600</v>
      </c>
      <c r="N1522">
        <v>5</v>
      </c>
      <c r="O1522">
        <v>570</v>
      </c>
      <c r="P1522">
        <v>234.02</v>
      </c>
      <c r="Q1522" t="s">
        <v>74</v>
      </c>
      <c r="R1522" t="s">
        <v>56</v>
      </c>
      <c r="S1522" t="s">
        <v>30</v>
      </c>
      <c r="T1522">
        <f>YEAR(Table1_1[[#This Row],[order_date]])</f>
        <v>2024</v>
      </c>
      <c r="U1522">
        <f>MONTH(Table1_1[[#This Row],[order_date]])</f>
        <v>3</v>
      </c>
      <c r="V1522" t="str">
        <f>TEXT(Table1_1[[#This Row],[order_date]],"mmm")</f>
        <v>Mar</v>
      </c>
      <c r="W1522" t="str">
        <f>"Q"&amp;ROUNDUP(MONTH(Table1_1[[#This Row],[order_date]])/3,0)</f>
        <v>Q1</v>
      </c>
      <c r="X1522" t="str">
        <f>TEXT(Table1_1[[#This Row],[order_date]],"yyyy-mm")</f>
        <v>2024-03</v>
      </c>
      <c r="Y1522">
        <f>IF(Table1_1[[#This Row],[ship_date]]="","",Table1_1[[#This Row],[ship_date]]-Table1_1[[#This Row],[order_date]])</f>
        <v>7</v>
      </c>
      <c r="Z1522">
        <f>ROUND(Table1_1[[#This Row],[profit]]/Table1_1[[#This Row],[sales_fix]]*100,2)</f>
        <v>41.06</v>
      </c>
    </row>
    <row r="1523" spans="1:26" x14ac:dyDescent="0.3">
      <c r="A1523" t="s">
        <v>695</v>
      </c>
      <c r="B1523" s="1">
        <v>45903</v>
      </c>
      <c r="C1523" s="1">
        <v>45908</v>
      </c>
      <c r="D1523" t="s">
        <v>613</v>
      </c>
      <c r="E1523" t="s">
        <v>614</v>
      </c>
      <c r="F1523" t="s">
        <v>55</v>
      </c>
      <c r="G1523" t="s">
        <v>61</v>
      </c>
      <c r="H1523" t="s">
        <v>211</v>
      </c>
      <c r="I1523" t="s">
        <v>71</v>
      </c>
      <c r="J1523" t="s">
        <v>72</v>
      </c>
      <c r="K1523" t="s">
        <v>73</v>
      </c>
      <c r="L1523">
        <v>1</v>
      </c>
      <c r="M1523">
        <v>3500</v>
      </c>
      <c r="N1523">
        <v>5</v>
      </c>
      <c r="O1523">
        <v>3325</v>
      </c>
      <c r="P1523">
        <v>904.36</v>
      </c>
      <c r="Q1523" t="s">
        <v>28</v>
      </c>
      <c r="R1523" t="s">
        <v>56</v>
      </c>
      <c r="S1523" t="s">
        <v>40</v>
      </c>
      <c r="T1523">
        <f>YEAR(Table1_1[[#This Row],[order_date]])</f>
        <v>2025</v>
      </c>
      <c r="U1523">
        <f>MONTH(Table1_1[[#This Row],[order_date]])</f>
        <v>9</v>
      </c>
      <c r="V1523" t="str">
        <f>TEXT(Table1_1[[#This Row],[order_date]],"mmm")</f>
        <v>Sep</v>
      </c>
      <c r="W1523" t="str">
        <f>"Q"&amp;ROUNDUP(MONTH(Table1_1[[#This Row],[order_date]])/3,0)</f>
        <v>Q3</v>
      </c>
      <c r="X1523" t="str">
        <f>TEXT(Table1_1[[#This Row],[order_date]],"yyyy-mm")</f>
        <v>2025-09</v>
      </c>
      <c r="Y1523">
        <f>IF(Table1_1[[#This Row],[ship_date]]="","",Table1_1[[#This Row],[ship_date]]-Table1_1[[#This Row],[order_date]])</f>
        <v>5</v>
      </c>
      <c r="Z1523">
        <f>ROUND(Table1_1[[#This Row],[profit]]/Table1_1[[#This Row],[sales_fix]]*100,2)</f>
        <v>27.2</v>
      </c>
    </row>
    <row r="1524" spans="1:26" x14ac:dyDescent="0.3">
      <c r="A1524" t="s">
        <v>2265</v>
      </c>
      <c r="B1524" s="1">
        <v>45921</v>
      </c>
      <c r="C1524" s="1">
        <v>45922</v>
      </c>
      <c r="D1524" t="s">
        <v>527</v>
      </c>
      <c r="E1524" t="s">
        <v>528</v>
      </c>
      <c r="F1524" t="s">
        <v>23</v>
      </c>
      <c r="G1524" t="s">
        <v>44</v>
      </c>
      <c r="H1524" t="s">
        <v>161</v>
      </c>
      <c r="I1524" t="s">
        <v>126</v>
      </c>
      <c r="J1524" t="s">
        <v>127</v>
      </c>
      <c r="K1524" t="s">
        <v>95</v>
      </c>
      <c r="L1524">
        <v>2</v>
      </c>
      <c r="M1524">
        <v>600</v>
      </c>
      <c r="N1524">
        <v>15</v>
      </c>
      <c r="O1524">
        <v>1020</v>
      </c>
      <c r="P1524">
        <v>347.5</v>
      </c>
      <c r="Q1524" t="s">
        <v>28</v>
      </c>
      <c r="R1524" t="s">
        <v>49</v>
      </c>
      <c r="S1524" t="s">
        <v>110</v>
      </c>
      <c r="T1524">
        <f>YEAR(Table1_1[[#This Row],[order_date]])</f>
        <v>2025</v>
      </c>
      <c r="U1524">
        <f>MONTH(Table1_1[[#This Row],[order_date]])</f>
        <v>9</v>
      </c>
      <c r="V1524" t="str">
        <f>TEXT(Table1_1[[#This Row],[order_date]],"mmm")</f>
        <v>Sep</v>
      </c>
      <c r="W1524" t="str">
        <f>"Q"&amp;ROUNDUP(MONTH(Table1_1[[#This Row],[order_date]])/3,0)</f>
        <v>Q3</v>
      </c>
      <c r="X1524" t="str">
        <f>TEXT(Table1_1[[#This Row],[order_date]],"yyyy-mm")</f>
        <v>2025-09</v>
      </c>
      <c r="Y1524">
        <f>IF(Table1_1[[#This Row],[ship_date]]="","",Table1_1[[#This Row],[ship_date]]-Table1_1[[#This Row],[order_date]])</f>
        <v>1</v>
      </c>
      <c r="Z1524">
        <f>ROUND(Table1_1[[#This Row],[profit]]/Table1_1[[#This Row],[sales_fix]]*100,2)</f>
        <v>34.07</v>
      </c>
    </row>
    <row r="1525" spans="1:26" x14ac:dyDescent="0.3">
      <c r="A1525" t="s">
        <v>2344</v>
      </c>
      <c r="B1525" s="1">
        <v>46009</v>
      </c>
      <c r="C1525" s="1">
        <v>46011</v>
      </c>
      <c r="D1525" t="s">
        <v>388</v>
      </c>
      <c r="E1525" t="s">
        <v>389</v>
      </c>
      <c r="F1525" t="s">
        <v>23</v>
      </c>
      <c r="G1525" t="s">
        <v>44</v>
      </c>
      <c r="H1525" t="s">
        <v>161</v>
      </c>
      <c r="I1525" t="s">
        <v>25</v>
      </c>
      <c r="J1525" t="s">
        <v>26</v>
      </c>
      <c r="K1525" t="s">
        <v>27</v>
      </c>
      <c r="L1525">
        <v>3</v>
      </c>
      <c r="M1525">
        <v>7000</v>
      </c>
      <c r="N1525">
        <v>20</v>
      </c>
      <c r="O1525">
        <v>16800</v>
      </c>
      <c r="P1525">
        <v>3384.08</v>
      </c>
      <c r="Q1525" t="s">
        <v>28</v>
      </c>
      <c r="R1525" t="s">
        <v>56</v>
      </c>
      <c r="S1525" t="s">
        <v>40</v>
      </c>
      <c r="T1525">
        <f>YEAR(Table1_1[[#This Row],[order_date]])</f>
        <v>2025</v>
      </c>
      <c r="U1525">
        <f>MONTH(Table1_1[[#This Row],[order_date]])</f>
        <v>12</v>
      </c>
      <c r="V1525" t="str">
        <f>TEXT(Table1_1[[#This Row],[order_date]],"mmm")</f>
        <v>Dec</v>
      </c>
      <c r="W1525" t="str">
        <f>"Q"&amp;ROUNDUP(MONTH(Table1_1[[#This Row],[order_date]])/3,0)</f>
        <v>Q4</v>
      </c>
      <c r="X1525" t="str">
        <f>TEXT(Table1_1[[#This Row],[order_date]],"yyyy-mm")</f>
        <v>2025-12</v>
      </c>
      <c r="Y1525">
        <f>IF(Table1_1[[#This Row],[ship_date]]="","",Table1_1[[#This Row],[ship_date]]-Table1_1[[#This Row],[order_date]])</f>
        <v>2</v>
      </c>
      <c r="Z1525">
        <f>ROUND(Table1_1[[#This Row],[profit]]/Table1_1[[#This Row],[sales_fix]]*100,2)</f>
        <v>20.14</v>
      </c>
    </row>
    <row r="1526" spans="1:26" x14ac:dyDescent="0.3">
      <c r="A1526" t="s">
        <v>1522</v>
      </c>
      <c r="B1526" s="1">
        <v>45794</v>
      </c>
      <c r="C1526" s="1">
        <v>45802</v>
      </c>
      <c r="D1526" t="s">
        <v>409</v>
      </c>
      <c r="E1526" t="s">
        <v>410</v>
      </c>
      <c r="F1526" t="s">
        <v>23</v>
      </c>
      <c r="G1526" t="s">
        <v>61</v>
      </c>
      <c r="H1526" t="s">
        <v>125</v>
      </c>
      <c r="I1526" t="s">
        <v>126</v>
      </c>
      <c r="J1526" t="s">
        <v>127</v>
      </c>
      <c r="K1526" t="s">
        <v>95</v>
      </c>
      <c r="L1526">
        <v>10</v>
      </c>
      <c r="M1526">
        <v>600</v>
      </c>
      <c r="N1526">
        <v>5</v>
      </c>
      <c r="O1526">
        <v>5700</v>
      </c>
      <c r="P1526">
        <v>1549.71</v>
      </c>
      <c r="Q1526" t="s">
        <v>66</v>
      </c>
      <c r="R1526" t="s">
        <v>49</v>
      </c>
      <c r="S1526" t="s">
        <v>110</v>
      </c>
      <c r="T1526">
        <f>YEAR(Table1_1[[#This Row],[order_date]])</f>
        <v>2025</v>
      </c>
      <c r="U1526">
        <f>MONTH(Table1_1[[#This Row],[order_date]])</f>
        <v>5</v>
      </c>
      <c r="V1526" t="str">
        <f>TEXT(Table1_1[[#This Row],[order_date]],"mmm")</f>
        <v>May</v>
      </c>
      <c r="W1526" t="str">
        <f>"Q"&amp;ROUNDUP(MONTH(Table1_1[[#This Row],[order_date]])/3,0)</f>
        <v>Q2</v>
      </c>
      <c r="X1526" t="str">
        <f>TEXT(Table1_1[[#This Row],[order_date]],"yyyy-mm")</f>
        <v>2025-05</v>
      </c>
      <c r="Y1526">
        <f>IF(Table1_1[[#This Row],[ship_date]]="","",Table1_1[[#This Row],[ship_date]]-Table1_1[[#This Row],[order_date]])</f>
        <v>8</v>
      </c>
      <c r="Z1526">
        <f>ROUND(Table1_1[[#This Row],[profit]]/Table1_1[[#This Row],[sales_fix]]*100,2)</f>
        <v>27.19</v>
      </c>
    </row>
    <row r="1527" spans="1:26" x14ac:dyDescent="0.3">
      <c r="A1527" t="s">
        <v>1741</v>
      </c>
      <c r="B1527" s="1">
        <v>45376</v>
      </c>
      <c r="C1527" s="1">
        <v>45378</v>
      </c>
      <c r="D1527" t="s">
        <v>942</v>
      </c>
      <c r="E1527" t="s">
        <v>943</v>
      </c>
      <c r="F1527" t="s">
        <v>23</v>
      </c>
      <c r="G1527" t="s">
        <v>44</v>
      </c>
      <c r="H1527" t="s">
        <v>155</v>
      </c>
      <c r="I1527" t="s">
        <v>63</v>
      </c>
      <c r="J1527" t="s">
        <v>64</v>
      </c>
      <c r="K1527" t="s">
        <v>65</v>
      </c>
      <c r="L1527">
        <v>1</v>
      </c>
      <c r="M1527">
        <v>25000</v>
      </c>
      <c r="N1527">
        <v>20</v>
      </c>
      <c r="O1527">
        <v>20000</v>
      </c>
      <c r="P1527">
        <v>2958.73</v>
      </c>
      <c r="Q1527" t="s">
        <v>28</v>
      </c>
      <c r="R1527" t="s">
        <v>49</v>
      </c>
      <c r="S1527" t="s">
        <v>110</v>
      </c>
      <c r="T1527">
        <f>YEAR(Table1_1[[#This Row],[order_date]])</f>
        <v>2024</v>
      </c>
      <c r="U1527">
        <f>MONTH(Table1_1[[#This Row],[order_date]])</f>
        <v>3</v>
      </c>
      <c r="V1527" t="str">
        <f>TEXT(Table1_1[[#This Row],[order_date]],"mmm")</f>
        <v>Mar</v>
      </c>
      <c r="W1527" t="str">
        <f>"Q"&amp;ROUNDUP(MONTH(Table1_1[[#This Row],[order_date]])/3,0)</f>
        <v>Q1</v>
      </c>
      <c r="X1527" t="str">
        <f>TEXT(Table1_1[[#This Row],[order_date]],"yyyy-mm")</f>
        <v>2024-03</v>
      </c>
      <c r="Y1527">
        <f>IF(Table1_1[[#This Row],[ship_date]]="","",Table1_1[[#This Row],[ship_date]]-Table1_1[[#This Row],[order_date]])</f>
        <v>2</v>
      </c>
      <c r="Z1527">
        <f>ROUND(Table1_1[[#This Row],[profit]]/Table1_1[[#This Row],[sales_fix]]*100,2)</f>
        <v>14.79</v>
      </c>
    </row>
    <row r="1528" spans="1:26" x14ac:dyDescent="0.3">
      <c r="A1528" t="s">
        <v>2455</v>
      </c>
      <c r="B1528" s="1">
        <v>45772</v>
      </c>
      <c r="C1528" s="1">
        <v>45780</v>
      </c>
      <c r="D1528" t="s">
        <v>101</v>
      </c>
      <c r="E1528" t="s">
        <v>102</v>
      </c>
      <c r="F1528" t="s">
        <v>55</v>
      </c>
      <c r="G1528" t="s">
        <v>35</v>
      </c>
      <c r="H1528" t="s">
        <v>36</v>
      </c>
      <c r="I1528" t="s">
        <v>93</v>
      </c>
      <c r="J1528" t="s">
        <v>94</v>
      </c>
      <c r="K1528" t="s">
        <v>95</v>
      </c>
      <c r="L1528">
        <v>1</v>
      </c>
      <c r="M1528">
        <v>1800</v>
      </c>
      <c r="N1528">
        <v>0</v>
      </c>
      <c r="O1528">
        <v>1800</v>
      </c>
      <c r="P1528">
        <v>580.26</v>
      </c>
      <c r="Q1528" t="s">
        <v>121</v>
      </c>
      <c r="R1528" t="s">
        <v>56</v>
      </c>
      <c r="S1528" t="s">
        <v>30</v>
      </c>
      <c r="T1528">
        <f>YEAR(Table1_1[[#This Row],[order_date]])</f>
        <v>2025</v>
      </c>
      <c r="U1528">
        <f>MONTH(Table1_1[[#This Row],[order_date]])</f>
        <v>4</v>
      </c>
      <c r="V1528" t="str">
        <f>TEXT(Table1_1[[#This Row],[order_date]],"mmm")</f>
        <v>Apr</v>
      </c>
      <c r="W1528" t="str">
        <f>"Q"&amp;ROUNDUP(MONTH(Table1_1[[#This Row],[order_date]])/3,0)</f>
        <v>Q2</v>
      </c>
      <c r="X1528" t="str">
        <f>TEXT(Table1_1[[#This Row],[order_date]],"yyyy-mm")</f>
        <v>2025-04</v>
      </c>
      <c r="Y1528">
        <f>IF(Table1_1[[#This Row],[ship_date]]="","",Table1_1[[#This Row],[ship_date]]-Table1_1[[#This Row],[order_date]])</f>
        <v>8</v>
      </c>
      <c r="Z1528">
        <f>ROUND(Table1_1[[#This Row],[profit]]/Table1_1[[#This Row],[sales_fix]]*100,2)</f>
        <v>32.24</v>
      </c>
    </row>
    <row r="1529" spans="1:26" x14ac:dyDescent="0.3">
      <c r="A1529" t="s">
        <v>927</v>
      </c>
      <c r="B1529" s="1">
        <v>45992</v>
      </c>
      <c r="C1529" s="1">
        <v>46000</v>
      </c>
      <c r="D1529" t="s">
        <v>890</v>
      </c>
      <c r="E1529" t="s">
        <v>891</v>
      </c>
      <c r="F1529" t="s">
        <v>34</v>
      </c>
      <c r="G1529" t="s">
        <v>35</v>
      </c>
      <c r="H1529" t="s">
        <v>36</v>
      </c>
      <c r="I1529" t="s">
        <v>114</v>
      </c>
      <c r="J1529" t="s">
        <v>115</v>
      </c>
      <c r="K1529" t="s">
        <v>65</v>
      </c>
      <c r="L1529">
        <v>4</v>
      </c>
      <c r="M1529">
        <v>55000</v>
      </c>
      <c r="N1529">
        <v>20</v>
      </c>
      <c r="O1529">
        <v>176000</v>
      </c>
      <c r="P1529">
        <v>22533.8</v>
      </c>
      <c r="Q1529" t="s">
        <v>66</v>
      </c>
      <c r="R1529" t="s">
        <v>56</v>
      </c>
      <c r="S1529" t="s">
        <v>50</v>
      </c>
      <c r="T1529">
        <f>YEAR(Table1_1[[#This Row],[order_date]])</f>
        <v>2025</v>
      </c>
      <c r="U1529">
        <f>MONTH(Table1_1[[#This Row],[order_date]])</f>
        <v>12</v>
      </c>
      <c r="V1529" t="str">
        <f>TEXT(Table1_1[[#This Row],[order_date]],"mmm")</f>
        <v>Dec</v>
      </c>
      <c r="W1529" t="str">
        <f>"Q"&amp;ROUNDUP(MONTH(Table1_1[[#This Row],[order_date]])/3,0)</f>
        <v>Q4</v>
      </c>
      <c r="X1529" t="str">
        <f>TEXT(Table1_1[[#This Row],[order_date]],"yyyy-mm")</f>
        <v>2025-12</v>
      </c>
      <c r="Y1529">
        <f>IF(Table1_1[[#This Row],[ship_date]]="","",Table1_1[[#This Row],[ship_date]]-Table1_1[[#This Row],[order_date]])</f>
        <v>8</v>
      </c>
      <c r="Z1529">
        <f>ROUND(Table1_1[[#This Row],[profit]]/Table1_1[[#This Row],[sales_fix]]*100,2)</f>
        <v>12.8</v>
      </c>
    </row>
    <row r="1530" spans="1:26" x14ac:dyDescent="0.3">
      <c r="A1530" t="s">
        <v>405</v>
      </c>
      <c r="B1530" s="1">
        <v>46005</v>
      </c>
      <c r="C1530" s="1">
        <v>46006</v>
      </c>
      <c r="D1530" t="s">
        <v>406</v>
      </c>
      <c r="E1530" t="s">
        <v>407</v>
      </c>
      <c r="F1530" t="s">
        <v>55</v>
      </c>
      <c r="G1530" t="s">
        <v>91</v>
      </c>
      <c r="H1530" t="s">
        <v>120</v>
      </c>
      <c r="I1530" t="s">
        <v>25</v>
      </c>
      <c r="J1530" t="s">
        <v>26</v>
      </c>
      <c r="K1530" t="s">
        <v>27</v>
      </c>
      <c r="L1530">
        <v>4</v>
      </c>
      <c r="M1530">
        <v>7000</v>
      </c>
      <c r="N1530">
        <v>10</v>
      </c>
      <c r="O1530">
        <v>25200</v>
      </c>
      <c r="P1530">
        <v>5330.45</v>
      </c>
      <c r="Q1530" t="s">
        <v>74</v>
      </c>
      <c r="R1530" t="s">
        <v>56</v>
      </c>
      <c r="S1530" t="s">
        <v>86</v>
      </c>
      <c r="T1530">
        <f>YEAR(Table1_1[[#This Row],[order_date]])</f>
        <v>2025</v>
      </c>
      <c r="U1530">
        <f>MONTH(Table1_1[[#This Row],[order_date]])</f>
        <v>12</v>
      </c>
      <c r="V1530" t="str">
        <f>TEXT(Table1_1[[#This Row],[order_date]],"mmm")</f>
        <v>Dec</v>
      </c>
      <c r="W1530" t="str">
        <f>"Q"&amp;ROUNDUP(MONTH(Table1_1[[#This Row],[order_date]])/3,0)</f>
        <v>Q4</v>
      </c>
      <c r="X1530" t="str">
        <f>TEXT(Table1_1[[#This Row],[order_date]],"yyyy-mm")</f>
        <v>2025-12</v>
      </c>
      <c r="Y1530">
        <f>IF(Table1_1[[#This Row],[ship_date]]="","",Table1_1[[#This Row],[ship_date]]-Table1_1[[#This Row],[order_date]])</f>
        <v>1</v>
      </c>
      <c r="Z1530">
        <f>ROUND(Table1_1[[#This Row],[profit]]/Table1_1[[#This Row],[sales_fix]]*100,2)</f>
        <v>21.15</v>
      </c>
    </row>
    <row r="1531" spans="1:26" x14ac:dyDescent="0.3">
      <c r="A1531" t="s">
        <v>3077</v>
      </c>
      <c r="B1531" s="1">
        <v>45470</v>
      </c>
      <c r="C1531" s="1">
        <v>45471</v>
      </c>
      <c r="D1531" t="s">
        <v>488</v>
      </c>
      <c r="E1531" t="s">
        <v>489</v>
      </c>
      <c r="F1531" t="s">
        <v>34</v>
      </c>
      <c r="G1531" t="s">
        <v>35</v>
      </c>
      <c r="H1531" t="s">
        <v>36</v>
      </c>
      <c r="I1531" t="s">
        <v>147</v>
      </c>
      <c r="J1531" t="s">
        <v>148</v>
      </c>
      <c r="K1531" t="s">
        <v>48</v>
      </c>
      <c r="L1531">
        <v>5</v>
      </c>
      <c r="M1531">
        <v>250</v>
      </c>
      <c r="N1531">
        <v>0</v>
      </c>
      <c r="O1531">
        <v>1250</v>
      </c>
      <c r="P1531">
        <v>500</v>
      </c>
      <c r="Q1531" t="s">
        <v>74</v>
      </c>
      <c r="R1531" t="s">
        <v>56</v>
      </c>
      <c r="S1531" t="s">
        <v>110</v>
      </c>
      <c r="T1531">
        <f>YEAR(Table1_1[[#This Row],[order_date]])</f>
        <v>2024</v>
      </c>
      <c r="U1531">
        <f>MONTH(Table1_1[[#This Row],[order_date]])</f>
        <v>6</v>
      </c>
      <c r="V1531" t="str">
        <f>TEXT(Table1_1[[#This Row],[order_date]],"mmm")</f>
        <v>Jun</v>
      </c>
      <c r="W1531" t="str">
        <f>"Q"&amp;ROUNDUP(MONTH(Table1_1[[#This Row],[order_date]])/3,0)</f>
        <v>Q2</v>
      </c>
      <c r="X1531" t="str">
        <f>TEXT(Table1_1[[#This Row],[order_date]],"yyyy-mm")</f>
        <v>2024-06</v>
      </c>
      <c r="Y1531">
        <f>IF(Table1_1[[#This Row],[ship_date]]="","",Table1_1[[#This Row],[ship_date]]-Table1_1[[#This Row],[order_date]])</f>
        <v>1</v>
      </c>
      <c r="Z1531">
        <f>ROUND(Table1_1[[#This Row],[profit]]/Table1_1[[#This Row],[sales_fix]]*100,2)</f>
        <v>40</v>
      </c>
    </row>
    <row r="1532" spans="1:26" x14ac:dyDescent="0.3">
      <c r="A1532" t="s">
        <v>2719</v>
      </c>
      <c r="B1532" s="1">
        <v>45995</v>
      </c>
      <c r="C1532" s="1">
        <v>45999</v>
      </c>
      <c r="D1532" t="s">
        <v>297</v>
      </c>
      <c r="E1532" t="s">
        <v>1110</v>
      </c>
      <c r="F1532" t="s">
        <v>23</v>
      </c>
      <c r="G1532" t="s">
        <v>91</v>
      </c>
      <c r="H1532" t="s">
        <v>177</v>
      </c>
      <c r="I1532" t="s">
        <v>63</v>
      </c>
      <c r="J1532" t="s">
        <v>64</v>
      </c>
      <c r="K1532" t="s">
        <v>65</v>
      </c>
      <c r="L1532">
        <v>4</v>
      </c>
      <c r="M1532">
        <v>25000</v>
      </c>
      <c r="N1532">
        <v>0</v>
      </c>
      <c r="O1532">
        <v>100000</v>
      </c>
      <c r="P1532">
        <v>13392.88</v>
      </c>
      <c r="Q1532" t="s">
        <v>66</v>
      </c>
      <c r="R1532" t="s">
        <v>49</v>
      </c>
      <c r="S1532" t="s">
        <v>50</v>
      </c>
      <c r="T1532">
        <f>YEAR(Table1_1[[#This Row],[order_date]])</f>
        <v>2025</v>
      </c>
      <c r="U1532">
        <f>MONTH(Table1_1[[#This Row],[order_date]])</f>
        <v>12</v>
      </c>
      <c r="V1532" t="str">
        <f>TEXT(Table1_1[[#This Row],[order_date]],"mmm")</f>
        <v>Dec</v>
      </c>
      <c r="W1532" t="str">
        <f>"Q"&amp;ROUNDUP(MONTH(Table1_1[[#This Row],[order_date]])/3,0)</f>
        <v>Q4</v>
      </c>
      <c r="X1532" t="str">
        <f>TEXT(Table1_1[[#This Row],[order_date]],"yyyy-mm")</f>
        <v>2025-12</v>
      </c>
      <c r="Y1532">
        <f>IF(Table1_1[[#This Row],[ship_date]]="","",Table1_1[[#This Row],[ship_date]]-Table1_1[[#This Row],[order_date]])</f>
        <v>4</v>
      </c>
      <c r="Z1532">
        <f>ROUND(Table1_1[[#This Row],[profit]]/Table1_1[[#This Row],[sales_fix]]*100,2)</f>
        <v>13.39</v>
      </c>
    </row>
    <row r="1533" spans="1:26" x14ac:dyDescent="0.3">
      <c r="A1533" t="s">
        <v>1633</v>
      </c>
      <c r="B1533" s="1">
        <v>45601</v>
      </c>
      <c r="C1533" s="1">
        <v>45609</v>
      </c>
      <c r="D1533" t="s">
        <v>1262</v>
      </c>
      <c r="E1533" t="s">
        <v>1263</v>
      </c>
      <c r="F1533" t="s">
        <v>23</v>
      </c>
      <c r="G1533" t="s">
        <v>91</v>
      </c>
      <c r="H1533" t="s">
        <v>120</v>
      </c>
      <c r="I1533" t="s">
        <v>114</v>
      </c>
      <c r="J1533" t="s">
        <v>115</v>
      </c>
      <c r="K1533" t="s">
        <v>65</v>
      </c>
      <c r="L1533">
        <v>1</v>
      </c>
      <c r="M1533">
        <v>55000</v>
      </c>
      <c r="N1533">
        <v>15</v>
      </c>
      <c r="O1533">
        <v>46750</v>
      </c>
      <c r="P1533">
        <v>7854.8</v>
      </c>
      <c r="Q1533" t="s">
        <v>121</v>
      </c>
      <c r="R1533" t="s">
        <v>56</v>
      </c>
      <c r="S1533" t="s">
        <v>30</v>
      </c>
      <c r="T1533">
        <f>YEAR(Table1_1[[#This Row],[order_date]])</f>
        <v>2024</v>
      </c>
      <c r="U1533">
        <f>MONTH(Table1_1[[#This Row],[order_date]])</f>
        <v>11</v>
      </c>
      <c r="V1533" t="str">
        <f>TEXT(Table1_1[[#This Row],[order_date]],"mmm")</f>
        <v>Nov</v>
      </c>
      <c r="W1533" t="str">
        <f>"Q"&amp;ROUNDUP(MONTH(Table1_1[[#This Row],[order_date]])/3,0)</f>
        <v>Q4</v>
      </c>
      <c r="X1533" t="str">
        <f>TEXT(Table1_1[[#This Row],[order_date]],"yyyy-mm")</f>
        <v>2024-11</v>
      </c>
      <c r="Y1533">
        <f>IF(Table1_1[[#This Row],[ship_date]]="","",Table1_1[[#This Row],[ship_date]]-Table1_1[[#This Row],[order_date]])</f>
        <v>8</v>
      </c>
      <c r="Z1533">
        <f>ROUND(Table1_1[[#This Row],[profit]]/Table1_1[[#This Row],[sales_fix]]*100,2)</f>
        <v>16.8</v>
      </c>
    </row>
    <row r="1534" spans="1:26" x14ac:dyDescent="0.3">
      <c r="A1534" t="s">
        <v>1537</v>
      </c>
      <c r="B1534" s="1">
        <v>45460</v>
      </c>
      <c r="C1534" s="1">
        <v>45461</v>
      </c>
      <c r="D1534" t="s">
        <v>557</v>
      </c>
      <c r="E1534" t="s">
        <v>558</v>
      </c>
      <c r="F1534" t="s">
        <v>23</v>
      </c>
      <c r="G1534" t="s">
        <v>61</v>
      </c>
      <c r="H1534" t="s">
        <v>62</v>
      </c>
      <c r="I1534" t="s">
        <v>63</v>
      </c>
      <c r="J1534" t="s">
        <v>64</v>
      </c>
      <c r="K1534" t="s">
        <v>65</v>
      </c>
      <c r="L1534">
        <v>1</v>
      </c>
      <c r="M1534">
        <v>25000</v>
      </c>
      <c r="N1534">
        <v>15</v>
      </c>
      <c r="O1534">
        <v>21250</v>
      </c>
      <c r="P1534">
        <v>3479.22</v>
      </c>
      <c r="Q1534" t="s">
        <v>28</v>
      </c>
      <c r="R1534" t="s">
        <v>49</v>
      </c>
      <c r="S1534" t="s">
        <v>110</v>
      </c>
      <c r="T1534">
        <f>YEAR(Table1_1[[#This Row],[order_date]])</f>
        <v>2024</v>
      </c>
      <c r="U1534">
        <f>MONTH(Table1_1[[#This Row],[order_date]])</f>
        <v>6</v>
      </c>
      <c r="V1534" t="str">
        <f>TEXT(Table1_1[[#This Row],[order_date]],"mmm")</f>
        <v>Jun</v>
      </c>
      <c r="W1534" t="str">
        <f>"Q"&amp;ROUNDUP(MONTH(Table1_1[[#This Row],[order_date]])/3,0)</f>
        <v>Q2</v>
      </c>
      <c r="X1534" t="str">
        <f>TEXT(Table1_1[[#This Row],[order_date]],"yyyy-mm")</f>
        <v>2024-06</v>
      </c>
      <c r="Y1534">
        <f>IF(Table1_1[[#This Row],[ship_date]]="","",Table1_1[[#This Row],[ship_date]]-Table1_1[[#This Row],[order_date]])</f>
        <v>1</v>
      </c>
      <c r="Z1534">
        <f>ROUND(Table1_1[[#This Row],[profit]]/Table1_1[[#This Row],[sales_fix]]*100,2)</f>
        <v>16.37</v>
      </c>
    </row>
    <row r="1535" spans="1:26" x14ac:dyDescent="0.3">
      <c r="A1535" t="s">
        <v>1882</v>
      </c>
      <c r="B1535" s="1">
        <v>46017</v>
      </c>
      <c r="C1535" s="1">
        <v>46024</v>
      </c>
      <c r="D1535" t="s">
        <v>575</v>
      </c>
      <c r="E1535" t="s">
        <v>836</v>
      </c>
      <c r="F1535" t="s">
        <v>34</v>
      </c>
      <c r="G1535" t="s">
        <v>91</v>
      </c>
      <c r="H1535" t="s">
        <v>120</v>
      </c>
      <c r="I1535" t="s">
        <v>114</v>
      </c>
      <c r="J1535" t="s">
        <v>115</v>
      </c>
      <c r="K1535" t="s">
        <v>65</v>
      </c>
      <c r="L1535">
        <v>3</v>
      </c>
      <c r="M1535">
        <v>55000</v>
      </c>
      <c r="N1535">
        <v>15</v>
      </c>
      <c r="O1535">
        <v>140250</v>
      </c>
      <c r="P1535">
        <v>23159.61</v>
      </c>
      <c r="Q1535" t="s">
        <v>28</v>
      </c>
      <c r="R1535" t="s">
        <v>29</v>
      </c>
      <c r="S1535" t="s">
        <v>110</v>
      </c>
      <c r="T1535">
        <f>YEAR(Table1_1[[#This Row],[order_date]])</f>
        <v>2025</v>
      </c>
      <c r="U1535">
        <f>MONTH(Table1_1[[#This Row],[order_date]])</f>
        <v>12</v>
      </c>
      <c r="V1535" t="str">
        <f>TEXT(Table1_1[[#This Row],[order_date]],"mmm")</f>
        <v>Dec</v>
      </c>
      <c r="W1535" t="str">
        <f>"Q"&amp;ROUNDUP(MONTH(Table1_1[[#This Row],[order_date]])/3,0)</f>
        <v>Q4</v>
      </c>
      <c r="X1535" t="str">
        <f>TEXT(Table1_1[[#This Row],[order_date]],"yyyy-mm")</f>
        <v>2025-12</v>
      </c>
      <c r="Y1535">
        <f>IF(Table1_1[[#This Row],[ship_date]]="","",Table1_1[[#This Row],[ship_date]]-Table1_1[[#This Row],[order_date]])</f>
        <v>7</v>
      </c>
      <c r="Z1535">
        <f>ROUND(Table1_1[[#This Row],[profit]]/Table1_1[[#This Row],[sales_fix]]*100,2)</f>
        <v>16.510000000000002</v>
      </c>
    </row>
    <row r="1536" spans="1:26" x14ac:dyDescent="0.3">
      <c r="A1536" t="s">
        <v>2289</v>
      </c>
      <c r="B1536" s="1">
        <v>46010</v>
      </c>
      <c r="C1536" s="1">
        <v>46016</v>
      </c>
      <c r="D1536" t="s">
        <v>2290</v>
      </c>
      <c r="E1536" t="s">
        <v>2291</v>
      </c>
      <c r="F1536" t="s">
        <v>55</v>
      </c>
      <c r="G1536" t="s">
        <v>35</v>
      </c>
      <c r="H1536" t="s">
        <v>85</v>
      </c>
      <c r="I1536" t="s">
        <v>46</v>
      </c>
      <c r="J1536" t="s">
        <v>47</v>
      </c>
      <c r="K1536" t="s">
        <v>48</v>
      </c>
      <c r="L1536">
        <v>1</v>
      </c>
      <c r="M1536">
        <v>180</v>
      </c>
      <c r="N1536">
        <v>0</v>
      </c>
      <c r="O1536">
        <v>180</v>
      </c>
      <c r="P1536">
        <v>85.14</v>
      </c>
      <c r="Q1536" t="s">
        <v>28</v>
      </c>
      <c r="R1536" t="s">
        <v>49</v>
      </c>
      <c r="S1536" t="s">
        <v>40</v>
      </c>
      <c r="T1536">
        <f>YEAR(Table1_1[[#This Row],[order_date]])</f>
        <v>2025</v>
      </c>
      <c r="U1536">
        <f>MONTH(Table1_1[[#This Row],[order_date]])</f>
        <v>12</v>
      </c>
      <c r="V1536" t="str">
        <f>TEXT(Table1_1[[#This Row],[order_date]],"mmm")</f>
        <v>Dec</v>
      </c>
      <c r="W1536" t="str">
        <f>"Q"&amp;ROUNDUP(MONTH(Table1_1[[#This Row],[order_date]])/3,0)</f>
        <v>Q4</v>
      </c>
      <c r="X1536" t="str">
        <f>TEXT(Table1_1[[#This Row],[order_date]],"yyyy-mm")</f>
        <v>2025-12</v>
      </c>
      <c r="Y1536">
        <f>IF(Table1_1[[#This Row],[ship_date]]="","",Table1_1[[#This Row],[ship_date]]-Table1_1[[#This Row],[order_date]])</f>
        <v>6</v>
      </c>
      <c r="Z1536">
        <f>ROUND(Table1_1[[#This Row],[profit]]/Table1_1[[#This Row],[sales_fix]]*100,2)</f>
        <v>47.3</v>
      </c>
    </row>
    <row r="1537" spans="1:26" x14ac:dyDescent="0.3">
      <c r="A1537" t="s">
        <v>2182</v>
      </c>
      <c r="B1537" s="1">
        <v>45415</v>
      </c>
      <c r="C1537" s="1">
        <v>45419</v>
      </c>
      <c r="D1537" t="s">
        <v>534</v>
      </c>
      <c r="E1537" t="s">
        <v>535</v>
      </c>
      <c r="F1537" t="s">
        <v>34</v>
      </c>
      <c r="G1537" t="s">
        <v>61</v>
      </c>
      <c r="H1537" t="s">
        <v>78</v>
      </c>
      <c r="I1537" t="s">
        <v>79</v>
      </c>
      <c r="J1537" t="s">
        <v>80</v>
      </c>
      <c r="K1537" t="s">
        <v>65</v>
      </c>
      <c r="L1537">
        <v>1</v>
      </c>
      <c r="M1537">
        <v>3000</v>
      </c>
      <c r="N1537">
        <v>0</v>
      </c>
      <c r="O1537">
        <v>3000</v>
      </c>
      <c r="P1537">
        <v>835.35</v>
      </c>
      <c r="Q1537" t="s">
        <v>28</v>
      </c>
      <c r="R1537" t="s">
        <v>56</v>
      </c>
      <c r="S1537" t="s">
        <v>40</v>
      </c>
      <c r="T1537">
        <f>YEAR(Table1_1[[#This Row],[order_date]])</f>
        <v>2024</v>
      </c>
      <c r="U1537">
        <f>MONTH(Table1_1[[#This Row],[order_date]])</f>
        <v>5</v>
      </c>
      <c r="V1537" t="str">
        <f>TEXT(Table1_1[[#This Row],[order_date]],"mmm")</f>
        <v>May</v>
      </c>
      <c r="W1537" t="str">
        <f>"Q"&amp;ROUNDUP(MONTH(Table1_1[[#This Row],[order_date]])/3,0)</f>
        <v>Q2</v>
      </c>
      <c r="X1537" t="str">
        <f>TEXT(Table1_1[[#This Row],[order_date]],"yyyy-mm")</f>
        <v>2024-05</v>
      </c>
      <c r="Y1537">
        <f>IF(Table1_1[[#This Row],[ship_date]]="","",Table1_1[[#This Row],[ship_date]]-Table1_1[[#This Row],[order_date]])</f>
        <v>4</v>
      </c>
      <c r="Z1537">
        <f>ROUND(Table1_1[[#This Row],[profit]]/Table1_1[[#This Row],[sales_fix]]*100,2)</f>
        <v>27.85</v>
      </c>
    </row>
    <row r="1538" spans="1:26" x14ac:dyDescent="0.3">
      <c r="A1538" t="s">
        <v>2069</v>
      </c>
      <c r="B1538" s="1">
        <v>45561</v>
      </c>
      <c r="C1538" s="1">
        <v>45568</v>
      </c>
      <c r="D1538" t="s">
        <v>1028</v>
      </c>
      <c r="E1538" t="s">
        <v>1029</v>
      </c>
      <c r="F1538" t="s">
        <v>34</v>
      </c>
      <c r="G1538" t="s">
        <v>91</v>
      </c>
      <c r="H1538" t="s">
        <v>120</v>
      </c>
      <c r="I1538" t="s">
        <v>46</v>
      </c>
      <c r="J1538" t="s">
        <v>47</v>
      </c>
      <c r="K1538" t="s">
        <v>48</v>
      </c>
      <c r="L1538">
        <v>2</v>
      </c>
      <c r="M1538">
        <v>180</v>
      </c>
      <c r="N1538">
        <v>20</v>
      </c>
      <c r="O1538">
        <v>288</v>
      </c>
      <c r="P1538">
        <v>124.74</v>
      </c>
      <c r="Q1538" t="s">
        <v>66</v>
      </c>
      <c r="R1538" t="s">
        <v>56</v>
      </c>
      <c r="S1538" t="s">
        <v>86</v>
      </c>
      <c r="T1538">
        <f>YEAR(Table1_1[[#This Row],[order_date]])</f>
        <v>2024</v>
      </c>
      <c r="U1538">
        <f>MONTH(Table1_1[[#This Row],[order_date]])</f>
        <v>9</v>
      </c>
      <c r="V1538" t="str">
        <f>TEXT(Table1_1[[#This Row],[order_date]],"mmm")</f>
        <v>Sep</v>
      </c>
      <c r="W1538" t="str">
        <f>"Q"&amp;ROUNDUP(MONTH(Table1_1[[#This Row],[order_date]])/3,0)</f>
        <v>Q3</v>
      </c>
      <c r="X1538" t="str">
        <f>TEXT(Table1_1[[#This Row],[order_date]],"yyyy-mm")</f>
        <v>2024-09</v>
      </c>
      <c r="Y1538">
        <f>IF(Table1_1[[#This Row],[ship_date]]="","",Table1_1[[#This Row],[ship_date]]-Table1_1[[#This Row],[order_date]])</f>
        <v>7</v>
      </c>
      <c r="Z1538">
        <f>ROUND(Table1_1[[#This Row],[profit]]/Table1_1[[#This Row],[sales_fix]]*100,2)</f>
        <v>43.31</v>
      </c>
    </row>
    <row r="1539" spans="1:26" x14ac:dyDescent="0.3">
      <c r="A1539" t="s">
        <v>2560</v>
      </c>
      <c r="B1539" s="1">
        <v>45442</v>
      </c>
      <c r="C1539" s="1"/>
      <c r="D1539" t="s">
        <v>1205</v>
      </c>
      <c r="E1539" t="s">
        <v>1206</v>
      </c>
      <c r="F1539" t="s">
        <v>34</v>
      </c>
      <c r="G1539" t="s">
        <v>44</v>
      </c>
      <c r="H1539" t="s">
        <v>45</v>
      </c>
      <c r="I1539" t="s">
        <v>103</v>
      </c>
      <c r="J1539" t="s">
        <v>104</v>
      </c>
      <c r="K1539" t="s">
        <v>65</v>
      </c>
      <c r="L1539">
        <v>1</v>
      </c>
      <c r="M1539">
        <v>8000</v>
      </c>
      <c r="N1539">
        <v>15</v>
      </c>
      <c r="O1539">
        <v>6800</v>
      </c>
      <c r="P1539">
        <v>1667</v>
      </c>
      <c r="Q1539" t="s">
        <v>74</v>
      </c>
      <c r="R1539" t="s">
        <v>29</v>
      </c>
      <c r="S1539" t="s">
        <v>40</v>
      </c>
      <c r="T1539">
        <f>YEAR(Table1_1[[#This Row],[order_date]])</f>
        <v>2024</v>
      </c>
      <c r="U1539">
        <f>MONTH(Table1_1[[#This Row],[order_date]])</f>
        <v>5</v>
      </c>
      <c r="V1539" t="str">
        <f>TEXT(Table1_1[[#This Row],[order_date]],"mmm")</f>
        <v>May</v>
      </c>
      <c r="W1539" t="str">
        <f>"Q"&amp;ROUNDUP(MONTH(Table1_1[[#This Row],[order_date]])/3,0)</f>
        <v>Q2</v>
      </c>
      <c r="X1539" t="str">
        <f>TEXT(Table1_1[[#This Row],[order_date]],"yyyy-mm")</f>
        <v>2024-05</v>
      </c>
      <c r="Y1539" t="str">
        <f>IF(Table1_1[[#This Row],[ship_date]]="","",Table1_1[[#This Row],[ship_date]]-Table1_1[[#This Row],[order_date]])</f>
        <v/>
      </c>
      <c r="Z1539">
        <f>ROUND(Table1_1[[#This Row],[profit]]/Table1_1[[#This Row],[sales_fix]]*100,2)</f>
        <v>24.51</v>
      </c>
    </row>
    <row r="1540" spans="1:26" x14ac:dyDescent="0.3">
      <c r="A1540" t="s">
        <v>1961</v>
      </c>
      <c r="B1540" s="1">
        <v>45829</v>
      </c>
      <c r="C1540" s="1">
        <v>45834</v>
      </c>
      <c r="D1540" t="s">
        <v>770</v>
      </c>
      <c r="E1540" t="s">
        <v>771</v>
      </c>
      <c r="F1540" t="s">
        <v>34</v>
      </c>
      <c r="G1540" t="s">
        <v>44</v>
      </c>
      <c r="H1540" t="s">
        <v>161</v>
      </c>
      <c r="I1540" t="s">
        <v>63</v>
      </c>
      <c r="J1540" t="s">
        <v>64</v>
      </c>
      <c r="K1540" t="s">
        <v>65</v>
      </c>
      <c r="L1540">
        <v>3</v>
      </c>
      <c r="M1540">
        <v>25000</v>
      </c>
      <c r="N1540">
        <v>10</v>
      </c>
      <c r="O1540">
        <v>67500</v>
      </c>
      <c r="P1540">
        <v>9236.1</v>
      </c>
      <c r="Q1540" t="s">
        <v>121</v>
      </c>
      <c r="R1540" t="s">
        <v>49</v>
      </c>
      <c r="S1540" t="s">
        <v>50</v>
      </c>
      <c r="T1540">
        <f>YEAR(Table1_1[[#This Row],[order_date]])</f>
        <v>2025</v>
      </c>
      <c r="U1540">
        <f>MONTH(Table1_1[[#This Row],[order_date]])</f>
        <v>6</v>
      </c>
      <c r="V1540" t="str">
        <f>TEXT(Table1_1[[#This Row],[order_date]],"mmm")</f>
        <v>Jun</v>
      </c>
      <c r="W1540" t="str">
        <f>"Q"&amp;ROUNDUP(MONTH(Table1_1[[#This Row],[order_date]])/3,0)</f>
        <v>Q2</v>
      </c>
      <c r="X1540" t="str">
        <f>TEXT(Table1_1[[#This Row],[order_date]],"yyyy-mm")</f>
        <v>2025-06</v>
      </c>
      <c r="Y1540">
        <f>IF(Table1_1[[#This Row],[ship_date]]="","",Table1_1[[#This Row],[ship_date]]-Table1_1[[#This Row],[order_date]])</f>
        <v>5</v>
      </c>
      <c r="Z1540">
        <f>ROUND(Table1_1[[#This Row],[profit]]/Table1_1[[#This Row],[sales_fix]]*100,2)</f>
        <v>13.68</v>
      </c>
    </row>
    <row r="1541" spans="1:26" x14ac:dyDescent="0.3">
      <c r="A1541" t="s">
        <v>708</v>
      </c>
      <c r="B1541" s="1">
        <v>45485</v>
      </c>
      <c r="C1541" s="1">
        <v>45487</v>
      </c>
      <c r="D1541" t="s">
        <v>89</v>
      </c>
      <c r="E1541" t="s">
        <v>90</v>
      </c>
      <c r="F1541" t="s">
        <v>23</v>
      </c>
      <c r="G1541" t="s">
        <v>91</v>
      </c>
      <c r="H1541" t="s">
        <v>92</v>
      </c>
      <c r="I1541" t="s">
        <v>103</v>
      </c>
      <c r="J1541" t="s">
        <v>104</v>
      </c>
      <c r="K1541" t="s">
        <v>65</v>
      </c>
      <c r="L1541">
        <v>3</v>
      </c>
      <c r="M1541">
        <v>8000</v>
      </c>
      <c r="N1541">
        <v>5</v>
      </c>
      <c r="O1541">
        <v>22800</v>
      </c>
      <c r="P1541">
        <v>5081.51</v>
      </c>
      <c r="Q1541" t="s">
        <v>121</v>
      </c>
      <c r="R1541" t="s">
        <v>49</v>
      </c>
      <c r="S1541" t="s">
        <v>40</v>
      </c>
      <c r="T1541">
        <f>YEAR(Table1_1[[#This Row],[order_date]])</f>
        <v>2024</v>
      </c>
      <c r="U1541">
        <f>MONTH(Table1_1[[#This Row],[order_date]])</f>
        <v>7</v>
      </c>
      <c r="V1541" t="str">
        <f>TEXT(Table1_1[[#This Row],[order_date]],"mmm")</f>
        <v>Jul</v>
      </c>
      <c r="W1541" t="str">
        <f>"Q"&amp;ROUNDUP(MONTH(Table1_1[[#This Row],[order_date]])/3,0)</f>
        <v>Q3</v>
      </c>
      <c r="X1541" t="str">
        <f>TEXT(Table1_1[[#This Row],[order_date]],"yyyy-mm")</f>
        <v>2024-07</v>
      </c>
      <c r="Y1541">
        <f>IF(Table1_1[[#This Row],[ship_date]]="","",Table1_1[[#This Row],[ship_date]]-Table1_1[[#This Row],[order_date]])</f>
        <v>2</v>
      </c>
      <c r="Z1541">
        <f>ROUND(Table1_1[[#This Row],[profit]]/Table1_1[[#This Row],[sales_fix]]*100,2)</f>
        <v>22.29</v>
      </c>
    </row>
    <row r="1542" spans="1:26" x14ac:dyDescent="0.3">
      <c r="A1542" t="s">
        <v>1596</v>
      </c>
      <c r="B1542" s="1">
        <v>45441</v>
      </c>
      <c r="C1542" s="1">
        <v>45443</v>
      </c>
      <c r="D1542" t="s">
        <v>265</v>
      </c>
      <c r="E1542" t="s">
        <v>266</v>
      </c>
      <c r="F1542" t="s">
        <v>55</v>
      </c>
      <c r="G1542" t="s">
        <v>44</v>
      </c>
      <c r="H1542" t="s">
        <v>45</v>
      </c>
      <c r="I1542" t="s">
        <v>63</v>
      </c>
      <c r="J1542" t="s">
        <v>64</v>
      </c>
      <c r="K1542" t="s">
        <v>65</v>
      </c>
      <c r="L1542">
        <v>3</v>
      </c>
      <c r="M1542">
        <v>25000</v>
      </c>
      <c r="N1542">
        <v>20</v>
      </c>
      <c r="O1542">
        <v>60000</v>
      </c>
      <c r="P1542">
        <v>8135.52</v>
      </c>
      <c r="Q1542" t="s">
        <v>28</v>
      </c>
      <c r="R1542" t="s">
        <v>56</v>
      </c>
      <c r="S1542" t="s">
        <v>86</v>
      </c>
      <c r="T1542">
        <f>YEAR(Table1_1[[#This Row],[order_date]])</f>
        <v>2024</v>
      </c>
      <c r="U1542">
        <f>MONTH(Table1_1[[#This Row],[order_date]])</f>
        <v>5</v>
      </c>
      <c r="V1542" t="str">
        <f>TEXT(Table1_1[[#This Row],[order_date]],"mmm")</f>
        <v>May</v>
      </c>
      <c r="W1542" t="str">
        <f>"Q"&amp;ROUNDUP(MONTH(Table1_1[[#This Row],[order_date]])/3,0)</f>
        <v>Q2</v>
      </c>
      <c r="X1542" t="str">
        <f>TEXT(Table1_1[[#This Row],[order_date]],"yyyy-mm")</f>
        <v>2024-05</v>
      </c>
      <c r="Y1542">
        <f>IF(Table1_1[[#This Row],[ship_date]]="","",Table1_1[[#This Row],[ship_date]]-Table1_1[[#This Row],[order_date]])</f>
        <v>2</v>
      </c>
      <c r="Z1542">
        <f>ROUND(Table1_1[[#This Row],[profit]]/Table1_1[[#This Row],[sales_fix]]*100,2)</f>
        <v>13.56</v>
      </c>
    </row>
    <row r="1543" spans="1:26" x14ac:dyDescent="0.3">
      <c r="A1543" t="s">
        <v>338</v>
      </c>
      <c r="B1543" s="1">
        <v>45544</v>
      </c>
      <c r="C1543" s="1">
        <v>45550</v>
      </c>
      <c r="D1543" t="s">
        <v>340</v>
      </c>
      <c r="E1543" t="s">
        <v>341</v>
      </c>
      <c r="F1543" t="s">
        <v>34</v>
      </c>
      <c r="G1543" t="s">
        <v>91</v>
      </c>
      <c r="H1543" t="s">
        <v>109</v>
      </c>
      <c r="I1543" t="s">
        <v>79</v>
      </c>
      <c r="J1543" t="s">
        <v>80</v>
      </c>
      <c r="K1543" t="s">
        <v>65</v>
      </c>
      <c r="L1543">
        <v>2</v>
      </c>
      <c r="M1543">
        <v>3000</v>
      </c>
      <c r="N1543">
        <v>5</v>
      </c>
      <c r="O1543">
        <v>5700</v>
      </c>
      <c r="P1543">
        <v>1771.4</v>
      </c>
      <c r="Q1543" t="s">
        <v>121</v>
      </c>
      <c r="R1543" t="s">
        <v>49</v>
      </c>
      <c r="S1543" t="s">
        <v>30</v>
      </c>
      <c r="T1543">
        <f>YEAR(Table1_1[[#This Row],[order_date]])</f>
        <v>2024</v>
      </c>
      <c r="U1543">
        <f>MONTH(Table1_1[[#This Row],[order_date]])</f>
        <v>9</v>
      </c>
      <c r="V1543" t="str">
        <f>TEXT(Table1_1[[#This Row],[order_date]],"mmm")</f>
        <v>Sep</v>
      </c>
      <c r="W1543" t="str">
        <f>"Q"&amp;ROUNDUP(MONTH(Table1_1[[#This Row],[order_date]])/3,0)</f>
        <v>Q3</v>
      </c>
      <c r="X1543" t="str">
        <f>TEXT(Table1_1[[#This Row],[order_date]],"yyyy-mm")</f>
        <v>2024-09</v>
      </c>
      <c r="Y1543">
        <f>IF(Table1_1[[#This Row],[ship_date]]="","",Table1_1[[#This Row],[ship_date]]-Table1_1[[#This Row],[order_date]])</f>
        <v>6</v>
      </c>
      <c r="Z1543">
        <f>ROUND(Table1_1[[#This Row],[profit]]/Table1_1[[#This Row],[sales_fix]]*100,2)</f>
        <v>31.08</v>
      </c>
    </row>
    <row r="1544" spans="1:26" x14ac:dyDescent="0.3">
      <c r="A1544" t="s">
        <v>391</v>
      </c>
      <c r="B1544" s="1">
        <v>45335</v>
      </c>
      <c r="C1544" s="1">
        <v>45339</v>
      </c>
      <c r="D1544" t="s">
        <v>392</v>
      </c>
      <c r="E1544" t="s">
        <v>393</v>
      </c>
      <c r="F1544" t="s">
        <v>55</v>
      </c>
      <c r="G1544" t="s">
        <v>91</v>
      </c>
      <c r="H1544" t="s">
        <v>92</v>
      </c>
      <c r="I1544" t="s">
        <v>134</v>
      </c>
      <c r="J1544" t="s">
        <v>135</v>
      </c>
      <c r="K1544" t="s">
        <v>27</v>
      </c>
      <c r="L1544">
        <v>4</v>
      </c>
      <c r="M1544">
        <v>6000</v>
      </c>
      <c r="N1544">
        <v>20</v>
      </c>
      <c r="O1544">
        <v>19200</v>
      </c>
      <c r="P1544">
        <v>3952.98</v>
      </c>
      <c r="Q1544" t="s">
        <v>156</v>
      </c>
      <c r="R1544" t="s">
        <v>56</v>
      </c>
      <c r="S1544" t="s">
        <v>110</v>
      </c>
      <c r="T1544">
        <f>YEAR(Table1_1[[#This Row],[order_date]])</f>
        <v>2024</v>
      </c>
      <c r="U1544">
        <f>MONTH(Table1_1[[#This Row],[order_date]])</f>
        <v>2</v>
      </c>
      <c r="V1544" t="str">
        <f>TEXT(Table1_1[[#This Row],[order_date]],"mmm")</f>
        <v>Feb</v>
      </c>
      <c r="W1544" t="str">
        <f>"Q"&amp;ROUNDUP(MONTH(Table1_1[[#This Row],[order_date]])/3,0)</f>
        <v>Q1</v>
      </c>
      <c r="X1544" t="str">
        <f>TEXT(Table1_1[[#This Row],[order_date]],"yyyy-mm")</f>
        <v>2024-02</v>
      </c>
      <c r="Y1544">
        <f>IF(Table1_1[[#This Row],[ship_date]]="","",Table1_1[[#This Row],[ship_date]]-Table1_1[[#This Row],[order_date]])</f>
        <v>4</v>
      </c>
      <c r="Z1544">
        <f>ROUND(Table1_1[[#This Row],[profit]]/Table1_1[[#This Row],[sales_fix]]*100,2)</f>
        <v>20.59</v>
      </c>
    </row>
    <row r="1545" spans="1:26" x14ac:dyDescent="0.3">
      <c r="A1545" t="s">
        <v>1332</v>
      </c>
      <c r="B1545" s="1">
        <v>45912</v>
      </c>
      <c r="C1545" s="1">
        <v>45915</v>
      </c>
      <c r="D1545" t="s">
        <v>674</v>
      </c>
      <c r="E1545" t="s">
        <v>675</v>
      </c>
      <c r="F1545" t="s">
        <v>55</v>
      </c>
      <c r="G1545" t="s">
        <v>91</v>
      </c>
      <c r="H1545" t="s">
        <v>109</v>
      </c>
      <c r="I1545" t="s">
        <v>147</v>
      </c>
      <c r="J1545" t="s">
        <v>148</v>
      </c>
      <c r="K1545" t="s">
        <v>48</v>
      </c>
      <c r="L1545">
        <v>4</v>
      </c>
      <c r="M1545">
        <v>250</v>
      </c>
      <c r="N1545">
        <v>0</v>
      </c>
      <c r="O1545">
        <v>1000</v>
      </c>
      <c r="P1545">
        <v>399.78</v>
      </c>
      <c r="Q1545" t="s">
        <v>28</v>
      </c>
      <c r="R1545" t="s">
        <v>56</v>
      </c>
      <c r="S1545" t="s">
        <v>40</v>
      </c>
      <c r="T1545">
        <f>YEAR(Table1_1[[#This Row],[order_date]])</f>
        <v>2025</v>
      </c>
      <c r="U1545">
        <f>MONTH(Table1_1[[#This Row],[order_date]])</f>
        <v>9</v>
      </c>
      <c r="V1545" t="str">
        <f>TEXT(Table1_1[[#This Row],[order_date]],"mmm")</f>
        <v>Sep</v>
      </c>
      <c r="W1545" t="str">
        <f>"Q"&amp;ROUNDUP(MONTH(Table1_1[[#This Row],[order_date]])/3,0)</f>
        <v>Q3</v>
      </c>
      <c r="X1545" t="str">
        <f>TEXT(Table1_1[[#This Row],[order_date]],"yyyy-mm")</f>
        <v>2025-09</v>
      </c>
      <c r="Y1545">
        <f>IF(Table1_1[[#This Row],[ship_date]]="","",Table1_1[[#This Row],[ship_date]]-Table1_1[[#This Row],[order_date]])</f>
        <v>3</v>
      </c>
      <c r="Z1545">
        <f>ROUND(Table1_1[[#This Row],[profit]]/Table1_1[[#This Row],[sales_fix]]*100,2)</f>
        <v>39.979999999999997</v>
      </c>
    </row>
    <row r="1546" spans="1:26" x14ac:dyDescent="0.3">
      <c r="A1546" t="s">
        <v>2829</v>
      </c>
      <c r="B1546" s="1">
        <v>45942</v>
      </c>
      <c r="C1546" s="1">
        <v>45944</v>
      </c>
      <c r="D1546" t="s">
        <v>373</v>
      </c>
      <c r="E1546" t="s">
        <v>374</v>
      </c>
      <c r="F1546" t="s">
        <v>55</v>
      </c>
      <c r="G1546" t="s">
        <v>35</v>
      </c>
      <c r="H1546" t="s">
        <v>85</v>
      </c>
      <c r="I1546" t="s">
        <v>126</v>
      </c>
      <c r="J1546" t="s">
        <v>127</v>
      </c>
      <c r="K1546" t="s">
        <v>95</v>
      </c>
      <c r="L1546">
        <v>2</v>
      </c>
      <c r="M1546">
        <v>600</v>
      </c>
      <c r="N1546">
        <v>0</v>
      </c>
      <c r="O1546">
        <v>1200</v>
      </c>
      <c r="P1546">
        <v>409.88</v>
      </c>
      <c r="Q1546" t="s">
        <v>3113</v>
      </c>
      <c r="R1546" t="s">
        <v>56</v>
      </c>
      <c r="S1546" t="s">
        <v>86</v>
      </c>
      <c r="T1546">
        <f>YEAR(Table1_1[[#This Row],[order_date]])</f>
        <v>2025</v>
      </c>
      <c r="U1546">
        <f>MONTH(Table1_1[[#This Row],[order_date]])</f>
        <v>10</v>
      </c>
      <c r="V1546" t="str">
        <f>TEXT(Table1_1[[#This Row],[order_date]],"mmm")</f>
        <v>Oct</v>
      </c>
      <c r="W1546" t="str">
        <f>"Q"&amp;ROUNDUP(MONTH(Table1_1[[#This Row],[order_date]])/3,0)</f>
        <v>Q4</v>
      </c>
      <c r="X1546" t="str">
        <f>TEXT(Table1_1[[#This Row],[order_date]],"yyyy-mm")</f>
        <v>2025-10</v>
      </c>
      <c r="Y1546">
        <f>IF(Table1_1[[#This Row],[ship_date]]="","",Table1_1[[#This Row],[ship_date]]-Table1_1[[#This Row],[order_date]])</f>
        <v>2</v>
      </c>
      <c r="Z1546">
        <f>ROUND(Table1_1[[#This Row],[profit]]/Table1_1[[#This Row],[sales_fix]]*100,2)</f>
        <v>34.159999999999997</v>
      </c>
    </row>
    <row r="1547" spans="1:26" x14ac:dyDescent="0.3">
      <c r="A1547" t="s">
        <v>481</v>
      </c>
      <c r="B1547" s="1">
        <v>45867</v>
      </c>
      <c r="C1547" s="1">
        <v>45868</v>
      </c>
      <c r="D1547" t="s">
        <v>318</v>
      </c>
      <c r="E1547" t="s">
        <v>319</v>
      </c>
      <c r="F1547" t="s">
        <v>55</v>
      </c>
      <c r="G1547" t="s">
        <v>35</v>
      </c>
      <c r="H1547" t="s">
        <v>36</v>
      </c>
      <c r="I1547" t="s">
        <v>63</v>
      </c>
      <c r="J1547" t="s">
        <v>64</v>
      </c>
      <c r="K1547" t="s">
        <v>65</v>
      </c>
      <c r="L1547">
        <v>1</v>
      </c>
      <c r="M1547">
        <v>25000</v>
      </c>
      <c r="N1547">
        <v>20</v>
      </c>
      <c r="O1547">
        <v>20000</v>
      </c>
      <c r="P1547">
        <v>2274.6799999999998</v>
      </c>
      <c r="Q1547" t="s">
        <v>74</v>
      </c>
      <c r="R1547" t="s">
        <v>49</v>
      </c>
      <c r="S1547" t="s">
        <v>30</v>
      </c>
      <c r="T1547">
        <f>YEAR(Table1_1[[#This Row],[order_date]])</f>
        <v>2025</v>
      </c>
      <c r="U1547">
        <f>MONTH(Table1_1[[#This Row],[order_date]])</f>
        <v>7</v>
      </c>
      <c r="V1547" t="str">
        <f>TEXT(Table1_1[[#This Row],[order_date]],"mmm")</f>
        <v>Jul</v>
      </c>
      <c r="W1547" t="str">
        <f>"Q"&amp;ROUNDUP(MONTH(Table1_1[[#This Row],[order_date]])/3,0)</f>
        <v>Q3</v>
      </c>
      <c r="X1547" t="str">
        <f>TEXT(Table1_1[[#This Row],[order_date]],"yyyy-mm")</f>
        <v>2025-07</v>
      </c>
      <c r="Y1547">
        <f>IF(Table1_1[[#This Row],[ship_date]]="","",Table1_1[[#This Row],[ship_date]]-Table1_1[[#This Row],[order_date]])</f>
        <v>1</v>
      </c>
      <c r="Z1547">
        <f>ROUND(Table1_1[[#This Row],[profit]]/Table1_1[[#This Row],[sales_fix]]*100,2)</f>
        <v>11.37</v>
      </c>
    </row>
    <row r="1548" spans="1:26" x14ac:dyDescent="0.3">
      <c r="A1548" t="s">
        <v>2486</v>
      </c>
      <c r="B1548" s="1">
        <v>45957</v>
      </c>
      <c r="C1548" s="1">
        <v>45963</v>
      </c>
      <c r="D1548" t="s">
        <v>1019</v>
      </c>
      <c r="E1548" t="s">
        <v>1020</v>
      </c>
      <c r="F1548" t="s">
        <v>55</v>
      </c>
      <c r="G1548" t="s">
        <v>35</v>
      </c>
      <c r="H1548" t="s">
        <v>187</v>
      </c>
      <c r="I1548" t="s">
        <v>147</v>
      </c>
      <c r="J1548" t="s">
        <v>148</v>
      </c>
      <c r="K1548" t="s">
        <v>48</v>
      </c>
      <c r="L1548">
        <v>5</v>
      </c>
      <c r="M1548">
        <v>250</v>
      </c>
      <c r="N1548">
        <v>0</v>
      </c>
      <c r="O1548">
        <v>1250</v>
      </c>
      <c r="P1548">
        <v>517.26</v>
      </c>
      <c r="Q1548" t="s">
        <v>74</v>
      </c>
      <c r="R1548" t="s">
        <v>49</v>
      </c>
      <c r="S1548" t="s">
        <v>40</v>
      </c>
      <c r="T1548">
        <f>YEAR(Table1_1[[#This Row],[order_date]])</f>
        <v>2025</v>
      </c>
      <c r="U1548">
        <f>MONTH(Table1_1[[#This Row],[order_date]])</f>
        <v>10</v>
      </c>
      <c r="V1548" t="str">
        <f>TEXT(Table1_1[[#This Row],[order_date]],"mmm")</f>
        <v>Oct</v>
      </c>
      <c r="W1548" t="str">
        <f>"Q"&amp;ROUNDUP(MONTH(Table1_1[[#This Row],[order_date]])/3,0)</f>
        <v>Q4</v>
      </c>
      <c r="X1548" t="str">
        <f>TEXT(Table1_1[[#This Row],[order_date]],"yyyy-mm")</f>
        <v>2025-10</v>
      </c>
      <c r="Y1548">
        <f>IF(Table1_1[[#This Row],[ship_date]]="","",Table1_1[[#This Row],[ship_date]]-Table1_1[[#This Row],[order_date]])</f>
        <v>6</v>
      </c>
      <c r="Z1548">
        <f>ROUND(Table1_1[[#This Row],[profit]]/Table1_1[[#This Row],[sales_fix]]*100,2)</f>
        <v>41.38</v>
      </c>
    </row>
    <row r="1549" spans="1:26" x14ac:dyDescent="0.3">
      <c r="A1549" t="s">
        <v>1677</v>
      </c>
      <c r="B1549" s="1">
        <v>45996</v>
      </c>
      <c r="C1549" s="1">
        <v>45999</v>
      </c>
      <c r="D1549" t="s">
        <v>230</v>
      </c>
      <c r="E1549" t="s">
        <v>231</v>
      </c>
      <c r="F1549" t="s">
        <v>55</v>
      </c>
      <c r="G1549" t="s">
        <v>44</v>
      </c>
      <c r="H1549" t="s">
        <v>161</v>
      </c>
      <c r="I1549" t="s">
        <v>134</v>
      </c>
      <c r="J1549" t="s">
        <v>135</v>
      </c>
      <c r="K1549" t="s">
        <v>27</v>
      </c>
      <c r="L1549">
        <v>2</v>
      </c>
      <c r="M1549">
        <v>6000</v>
      </c>
      <c r="N1549">
        <v>15</v>
      </c>
      <c r="O1549">
        <v>10200</v>
      </c>
      <c r="P1549">
        <v>2448</v>
      </c>
      <c r="Q1549" t="s">
        <v>28</v>
      </c>
      <c r="R1549" t="s">
        <v>49</v>
      </c>
      <c r="S1549" t="s">
        <v>86</v>
      </c>
      <c r="T1549">
        <f>YEAR(Table1_1[[#This Row],[order_date]])</f>
        <v>2025</v>
      </c>
      <c r="U1549">
        <f>MONTH(Table1_1[[#This Row],[order_date]])</f>
        <v>12</v>
      </c>
      <c r="V1549" t="str">
        <f>TEXT(Table1_1[[#This Row],[order_date]],"mmm")</f>
        <v>Dec</v>
      </c>
      <c r="W1549" t="str">
        <f>"Q"&amp;ROUNDUP(MONTH(Table1_1[[#This Row],[order_date]])/3,0)</f>
        <v>Q4</v>
      </c>
      <c r="X1549" t="str">
        <f>TEXT(Table1_1[[#This Row],[order_date]],"yyyy-mm")</f>
        <v>2025-12</v>
      </c>
      <c r="Y1549">
        <f>IF(Table1_1[[#This Row],[ship_date]]="","",Table1_1[[#This Row],[ship_date]]-Table1_1[[#This Row],[order_date]])</f>
        <v>3</v>
      </c>
      <c r="Z1549">
        <f>ROUND(Table1_1[[#This Row],[profit]]/Table1_1[[#This Row],[sales_fix]]*100,2)</f>
        <v>24</v>
      </c>
    </row>
    <row r="1550" spans="1:26" x14ac:dyDescent="0.3">
      <c r="A1550" t="s">
        <v>1367</v>
      </c>
      <c r="B1550" s="1">
        <v>45837</v>
      </c>
      <c r="C1550" s="1">
        <v>45842</v>
      </c>
      <c r="D1550" t="s">
        <v>731</v>
      </c>
      <c r="E1550" t="s">
        <v>732</v>
      </c>
      <c r="F1550" t="s">
        <v>34</v>
      </c>
      <c r="G1550" t="s">
        <v>44</v>
      </c>
      <c r="H1550" t="s">
        <v>155</v>
      </c>
      <c r="I1550" t="s">
        <v>37</v>
      </c>
      <c r="J1550" t="s">
        <v>38</v>
      </c>
      <c r="K1550" t="s">
        <v>27</v>
      </c>
      <c r="L1550">
        <v>2</v>
      </c>
      <c r="M1550">
        <v>9500</v>
      </c>
      <c r="N1550">
        <v>15</v>
      </c>
      <c r="O1550">
        <v>16150</v>
      </c>
      <c r="P1550">
        <v>2342.31</v>
      </c>
      <c r="Q1550" t="s">
        <v>74</v>
      </c>
      <c r="R1550" t="s">
        <v>49</v>
      </c>
      <c r="S1550" t="s">
        <v>40</v>
      </c>
      <c r="T1550">
        <f>YEAR(Table1_1[[#This Row],[order_date]])</f>
        <v>2025</v>
      </c>
      <c r="U1550">
        <f>MONTH(Table1_1[[#This Row],[order_date]])</f>
        <v>6</v>
      </c>
      <c r="V1550" t="str">
        <f>TEXT(Table1_1[[#This Row],[order_date]],"mmm")</f>
        <v>Jun</v>
      </c>
      <c r="W1550" t="str">
        <f>"Q"&amp;ROUNDUP(MONTH(Table1_1[[#This Row],[order_date]])/3,0)</f>
        <v>Q2</v>
      </c>
      <c r="X1550" t="str">
        <f>TEXT(Table1_1[[#This Row],[order_date]],"yyyy-mm")</f>
        <v>2025-06</v>
      </c>
      <c r="Y1550">
        <f>IF(Table1_1[[#This Row],[ship_date]]="","",Table1_1[[#This Row],[ship_date]]-Table1_1[[#This Row],[order_date]])</f>
        <v>5</v>
      </c>
      <c r="Z1550">
        <f>ROUND(Table1_1[[#This Row],[profit]]/Table1_1[[#This Row],[sales_fix]]*100,2)</f>
        <v>14.5</v>
      </c>
    </row>
    <row r="1551" spans="1:26" x14ac:dyDescent="0.3">
      <c r="A1551" t="s">
        <v>2122</v>
      </c>
      <c r="B1551" s="1">
        <v>45612</v>
      </c>
      <c r="C1551" s="1">
        <v>45618</v>
      </c>
      <c r="D1551" t="s">
        <v>275</v>
      </c>
      <c r="E1551" t="s">
        <v>276</v>
      </c>
      <c r="F1551" t="s">
        <v>34</v>
      </c>
      <c r="G1551" t="s">
        <v>91</v>
      </c>
      <c r="H1551" t="s">
        <v>120</v>
      </c>
      <c r="I1551" t="s">
        <v>103</v>
      </c>
      <c r="J1551" t="s">
        <v>104</v>
      </c>
      <c r="K1551" t="s">
        <v>65</v>
      </c>
      <c r="L1551">
        <v>1</v>
      </c>
      <c r="M1551">
        <v>8000</v>
      </c>
      <c r="N1551">
        <v>0</v>
      </c>
      <c r="O1551">
        <v>8000</v>
      </c>
      <c r="P1551">
        <v>1852.81</v>
      </c>
      <c r="Q1551" t="s">
        <v>74</v>
      </c>
      <c r="R1551" t="s">
        <v>29</v>
      </c>
      <c r="S1551" t="s">
        <v>110</v>
      </c>
      <c r="T1551">
        <f>YEAR(Table1_1[[#This Row],[order_date]])</f>
        <v>2024</v>
      </c>
      <c r="U1551">
        <f>MONTH(Table1_1[[#This Row],[order_date]])</f>
        <v>11</v>
      </c>
      <c r="V1551" t="str">
        <f>TEXT(Table1_1[[#This Row],[order_date]],"mmm")</f>
        <v>Nov</v>
      </c>
      <c r="W1551" t="str">
        <f>"Q"&amp;ROUNDUP(MONTH(Table1_1[[#This Row],[order_date]])/3,0)</f>
        <v>Q4</v>
      </c>
      <c r="X1551" t="str">
        <f>TEXT(Table1_1[[#This Row],[order_date]],"yyyy-mm")</f>
        <v>2024-11</v>
      </c>
      <c r="Y1551">
        <f>IF(Table1_1[[#This Row],[ship_date]]="","",Table1_1[[#This Row],[ship_date]]-Table1_1[[#This Row],[order_date]])</f>
        <v>6</v>
      </c>
      <c r="Z1551">
        <f>ROUND(Table1_1[[#This Row],[profit]]/Table1_1[[#This Row],[sales_fix]]*100,2)</f>
        <v>23.16</v>
      </c>
    </row>
    <row r="1552" spans="1:26" x14ac:dyDescent="0.3">
      <c r="A1552" t="s">
        <v>2089</v>
      </c>
      <c r="B1552" s="1">
        <v>45713</v>
      </c>
      <c r="C1552" s="1">
        <v>45717</v>
      </c>
      <c r="D1552" t="s">
        <v>939</v>
      </c>
      <c r="E1552" t="s">
        <v>940</v>
      </c>
      <c r="F1552" t="s">
        <v>55</v>
      </c>
      <c r="G1552" t="s">
        <v>61</v>
      </c>
      <c r="H1552" t="s">
        <v>78</v>
      </c>
      <c r="I1552" t="s">
        <v>126</v>
      </c>
      <c r="J1552" t="s">
        <v>127</v>
      </c>
      <c r="K1552" t="s">
        <v>95</v>
      </c>
      <c r="L1552">
        <v>1</v>
      </c>
      <c r="M1552">
        <v>600</v>
      </c>
      <c r="N1552">
        <v>10</v>
      </c>
      <c r="O1552">
        <v>540</v>
      </c>
      <c r="P1552">
        <v>178.43</v>
      </c>
      <c r="Q1552" t="s">
        <v>39</v>
      </c>
      <c r="R1552" t="s">
        <v>29</v>
      </c>
      <c r="S1552" t="s">
        <v>110</v>
      </c>
      <c r="T1552">
        <f>YEAR(Table1_1[[#This Row],[order_date]])</f>
        <v>2025</v>
      </c>
      <c r="U1552">
        <f>MONTH(Table1_1[[#This Row],[order_date]])</f>
        <v>2</v>
      </c>
      <c r="V1552" t="str">
        <f>TEXT(Table1_1[[#This Row],[order_date]],"mmm")</f>
        <v>Feb</v>
      </c>
      <c r="W1552" t="str">
        <f>"Q"&amp;ROUNDUP(MONTH(Table1_1[[#This Row],[order_date]])/3,0)</f>
        <v>Q1</v>
      </c>
      <c r="X1552" t="str">
        <f>TEXT(Table1_1[[#This Row],[order_date]],"yyyy-mm")</f>
        <v>2025-02</v>
      </c>
      <c r="Y1552">
        <f>IF(Table1_1[[#This Row],[ship_date]]="","",Table1_1[[#This Row],[ship_date]]-Table1_1[[#This Row],[order_date]])</f>
        <v>4</v>
      </c>
      <c r="Z1552">
        <f>ROUND(Table1_1[[#This Row],[profit]]/Table1_1[[#This Row],[sales_fix]]*100,2)</f>
        <v>33.04</v>
      </c>
    </row>
    <row r="1553" spans="1:26" x14ac:dyDescent="0.3">
      <c r="A1553" t="s">
        <v>3061</v>
      </c>
      <c r="B1553" s="1">
        <v>45994</v>
      </c>
      <c r="C1553" s="1">
        <v>46002</v>
      </c>
      <c r="D1553" t="s">
        <v>21</v>
      </c>
      <c r="E1553" t="s">
        <v>22</v>
      </c>
      <c r="F1553" t="s">
        <v>23</v>
      </c>
      <c r="G1553" t="s">
        <v>44</v>
      </c>
      <c r="H1553" t="s">
        <v>24</v>
      </c>
      <c r="I1553" t="s">
        <v>126</v>
      </c>
      <c r="J1553" t="s">
        <v>127</v>
      </c>
      <c r="K1553" t="s">
        <v>95</v>
      </c>
      <c r="L1553">
        <v>2</v>
      </c>
      <c r="M1553">
        <v>600</v>
      </c>
      <c r="N1553">
        <v>0</v>
      </c>
      <c r="O1553">
        <v>1200</v>
      </c>
      <c r="P1553">
        <v>356.49</v>
      </c>
      <c r="Q1553" t="s">
        <v>39</v>
      </c>
      <c r="R1553" t="s">
        <v>56</v>
      </c>
      <c r="S1553" t="s">
        <v>50</v>
      </c>
      <c r="T1553">
        <f>YEAR(Table1_1[[#This Row],[order_date]])</f>
        <v>2025</v>
      </c>
      <c r="U1553">
        <f>MONTH(Table1_1[[#This Row],[order_date]])</f>
        <v>12</v>
      </c>
      <c r="V1553" t="str">
        <f>TEXT(Table1_1[[#This Row],[order_date]],"mmm")</f>
        <v>Dec</v>
      </c>
      <c r="W1553" t="str">
        <f>"Q"&amp;ROUNDUP(MONTH(Table1_1[[#This Row],[order_date]])/3,0)</f>
        <v>Q4</v>
      </c>
      <c r="X1553" t="str">
        <f>TEXT(Table1_1[[#This Row],[order_date]],"yyyy-mm")</f>
        <v>2025-12</v>
      </c>
      <c r="Y1553">
        <f>IF(Table1_1[[#This Row],[ship_date]]="","",Table1_1[[#This Row],[ship_date]]-Table1_1[[#This Row],[order_date]])</f>
        <v>8</v>
      </c>
      <c r="Z1553">
        <f>ROUND(Table1_1[[#This Row],[profit]]/Table1_1[[#This Row],[sales_fix]]*100,2)</f>
        <v>29.71</v>
      </c>
    </row>
    <row r="1554" spans="1:26" x14ac:dyDescent="0.3">
      <c r="A1554" t="s">
        <v>2625</v>
      </c>
      <c r="B1554" s="1">
        <v>45590</v>
      </c>
      <c r="C1554" s="1">
        <v>45596</v>
      </c>
      <c r="D1554" t="s">
        <v>395</v>
      </c>
      <c r="E1554" t="s">
        <v>396</v>
      </c>
      <c r="F1554" t="s">
        <v>55</v>
      </c>
      <c r="G1554" t="s">
        <v>44</v>
      </c>
      <c r="H1554" t="s">
        <v>161</v>
      </c>
      <c r="I1554" t="s">
        <v>71</v>
      </c>
      <c r="J1554" t="s">
        <v>72</v>
      </c>
      <c r="K1554" t="s">
        <v>73</v>
      </c>
      <c r="L1554">
        <v>1</v>
      </c>
      <c r="M1554">
        <v>3500</v>
      </c>
      <c r="N1554">
        <v>20</v>
      </c>
      <c r="O1554">
        <v>2800</v>
      </c>
      <c r="P1554">
        <v>854.23</v>
      </c>
      <c r="Q1554" t="s">
        <v>121</v>
      </c>
      <c r="R1554" t="s">
        <v>56</v>
      </c>
      <c r="S1554" t="s">
        <v>30</v>
      </c>
      <c r="T1554">
        <f>YEAR(Table1_1[[#This Row],[order_date]])</f>
        <v>2024</v>
      </c>
      <c r="U1554">
        <f>MONTH(Table1_1[[#This Row],[order_date]])</f>
        <v>10</v>
      </c>
      <c r="V1554" t="str">
        <f>TEXT(Table1_1[[#This Row],[order_date]],"mmm")</f>
        <v>Oct</v>
      </c>
      <c r="W1554" t="str">
        <f>"Q"&amp;ROUNDUP(MONTH(Table1_1[[#This Row],[order_date]])/3,0)</f>
        <v>Q4</v>
      </c>
      <c r="X1554" t="str">
        <f>TEXT(Table1_1[[#This Row],[order_date]],"yyyy-mm")</f>
        <v>2024-10</v>
      </c>
      <c r="Y1554">
        <f>IF(Table1_1[[#This Row],[ship_date]]="","",Table1_1[[#This Row],[ship_date]]-Table1_1[[#This Row],[order_date]])</f>
        <v>6</v>
      </c>
      <c r="Z1554">
        <f>ROUND(Table1_1[[#This Row],[profit]]/Table1_1[[#This Row],[sales_fix]]*100,2)</f>
        <v>30.51</v>
      </c>
    </row>
    <row r="1555" spans="1:26" x14ac:dyDescent="0.3">
      <c r="A1555" t="s">
        <v>2623</v>
      </c>
      <c r="B1555" s="1">
        <v>45693</v>
      </c>
      <c r="C1555" s="1">
        <v>45701</v>
      </c>
      <c r="D1555" t="s">
        <v>1028</v>
      </c>
      <c r="E1555" t="s">
        <v>1029</v>
      </c>
      <c r="F1555" t="s">
        <v>34</v>
      </c>
      <c r="G1555" t="s">
        <v>91</v>
      </c>
      <c r="H1555" t="s">
        <v>120</v>
      </c>
      <c r="I1555" t="s">
        <v>103</v>
      </c>
      <c r="J1555" t="s">
        <v>104</v>
      </c>
      <c r="K1555" t="s">
        <v>65</v>
      </c>
      <c r="L1555">
        <v>2</v>
      </c>
      <c r="M1555">
        <v>8000</v>
      </c>
      <c r="N1555">
        <v>0</v>
      </c>
      <c r="O1555">
        <v>16000</v>
      </c>
      <c r="P1555">
        <v>4291.97</v>
      </c>
      <c r="Q1555" t="s">
        <v>39</v>
      </c>
      <c r="R1555" t="s">
        <v>49</v>
      </c>
      <c r="S1555" t="s">
        <v>50</v>
      </c>
      <c r="T1555">
        <f>YEAR(Table1_1[[#This Row],[order_date]])</f>
        <v>2025</v>
      </c>
      <c r="U1555">
        <f>MONTH(Table1_1[[#This Row],[order_date]])</f>
        <v>2</v>
      </c>
      <c r="V1555" t="str">
        <f>TEXT(Table1_1[[#This Row],[order_date]],"mmm")</f>
        <v>Feb</v>
      </c>
      <c r="W1555" t="str">
        <f>"Q"&amp;ROUNDUP(MONTH(Table1_1[[#This Row],[order_date]])/3,0)</f>
        <v>Q1</v>
      </c>
      <c r="X1555" t="str">
        <f>TEXT(Table1_1[[#This Row],[order_date]],"yyyy-mm")</f>
        <v>2025-02</v>
      </c>
      <c r="Y1555">
        <f>IF(Table1_1[[#This Row],[ship_date]]="","",Table1_1[[#This Row],[ship_date]]-Table1_1[[#This Row],[order_date]])</f>
        <v>8</v>
      </c>
      <c r="Z1555">
        <f>ROUND(Table1_1[[#This Row],[profit]]/Table1_1[[#This Row],[sales_fix]]*100,2)</f>
        <v>26.82</v>
      </c>
    </row>
    <row r="1556" spans="1:26" x14ac:dyDescent="0.3">
      <c r="A1556" t="s">
        <v>1200</v>
      </c>
      <c r="B1556" s="1">
        <v>45365</v>
      </c>
      <c r="C1556" s="1">
        <v>45372</v>
      </c>
      <c r="D1556" t="s">
        <v>716</v>
      </c>
      <c r="E1556" t="s">
        <v>717</v>
      </c>
      <c r="F1556" t="s">
        <v>23</v>
      </c>
      <c r="G1556" t="s">
        <v>35</v>
      </c>
      <c r="H1556" t="s">
        <v>85</v>
      </c>
      <c r="I1556" t="s">
        <v>93</v>
      </c>
      <c r="J1556" t="s">
        <v>94</v>
      </c>
      <c r="K1556" t="s">
        <v>95</v>
      </c>
      <c r="L1556">
        <v>1</v>
      </c>
      <c r="M1556">
        <v>1800</v>
      </c>
      <c r="N1556">
        <v>5</v>
      </c>
      <c r="O1556">
        <v>1710</v>
      </c>
      <c r="P1556">
        <v>613.61</v>
      </c>
      <c r="Q1556" t="s">
        <v>66</v>
      </c>
      <c r="R1556" t="s">
        <v>29</v>
      </c>
      <c r="S1556" t="s">
        <v>50</v>
      </c>
      <c r="T1556">
        <f>YEAR(Table1_1[[#This Row],[order_date]])</f>
        <v>2024</v>
      </c>
      <c r="U1556">
        <f>MONTH(Table1_1[[#This Row],[order_date]])</f>
        <v>3</v>
      </c>
      <c r="V1556" t="str">
        <f>TEXT(Table1_1[[#This Row],[order_date]],"mmm")</f>
        <v>Mar</v>
      </c>
      <c r="W1556" t="str">
        <f>"Q"&amp;ROUNDUP(MONTH(Table1_1[[#This Row],[order_date]])/3,0)</f>
        <v>Q1</v>
      </c>
      <c r="X1556" t="str">
        <f>TEXT(Table1_1[[#This Row],[order_date]],"yyyy-mm")</f>
        <v>2024-03</v>
      </c>
      <c r="Y1556">
        <f>IF(Table1_1[[#This Row],[ship_date]]="","",Table1_1[[#This Row],[ship_date]]-Table1_1[[#This Row],[order_date]])</f>
        <v>7</v>
      </c>
      <c r="Z1556">
        <f>ROUND(Table1_1[[#This Row],[profit]]/Table1_1[[#This Row],[sales_fix]]*100,2)</f>
        <v>35.880000000000003</v>
      </c>
    </row>
    <row r="1557" spans="1:26" x14ac:dyDescent="0.3">
      <c r="A1557" t="s">
        <v>1998</v>
      </c>
      <c r="B1557" s="1">
        <v>45757</v>
      </c>
      <c r="C1557" s="1">
        <v>45762</v>
      </c>
      <c r="D1557" t="s">
        <v>716</v>
      </c>
      <c r="E1557" t="s">
        <v>717</v>
      </c>
      <c r="F1557" t="s">
        <v>23</v>
      </c>
      <c r="G1557" t="s">
        <v>35</v>
      </c>
      <c r="H1557" t="s">
        <v>85</v>
      </c>
      <c r="I1557" t="s">
        <v>147</v>
      </c>
      <c r="J1557" t="s">
        <v>148</v>
      </c>
      <c r="K1557" t="s">
        <v>48</v>
      </c>
      <c r="L1557">
        <v>5</v>
      </c>
      <c r="M1557">
        <v>250</v>
      </c>
      <c r="N1557">
        <v>10</v>
      </c>
      <c r="O1557">
        <v>1125</v>
      </c>
      <c r="P1557">
        <v>420.05</v>
      </c>
      <c r="Q1557" t="s">
        <v>39</v>
      </c>
      <c r="R1557" t="s">
        <v>56</v>
      </c>
      <c r="S1557" t="s">
        <v>30</v>
      </c>
      <c r="T1557">
        <f>YEAR(Table1_1[[#This Row],[order_date]])</f>
        <v>2025</v>
      </c>
      <c r="U1557">
        <f>MONTH(Table1_1[[#This Row],[order_date]])</f>
        <v>4</v>
      </c>
      <c r="V1557" t="str">
        <f>TEXT(Table1_1[[#This Row],[order_date]],"mmm")</f>
        <v>Apr</v>
      </c>
      <c r="W1557" t="str">
        <f>"Q"&amp;ROUNDUP(MONTH(Table1_1[[#This Row],[order_date]])/3,0)</f>
        <v>Q2</v>
      </c>
      <c r="X1557" t="str">
        <f>TEXT(Table1_1[[#This Row],[order_date]],"yyyy-mm")</f>
        <v>2025-04</v>
      </c>
      <c r="Y1557">
        <f>IF(Table1_1[[#This Row],[ship_date]]="","",Table1_1[[#This Row],[ship_date]]-Table1_1[[#This Row],[order_date]])</f>
        <v>5</v>
      </c>
      <c r="Z1557">
        <f>ROUND(Table1_1[[#This Row],[profit]]/Table1_1[[#This Row],[sales_fix]]*100,2)</f>
        <v>37.340000000000003</v>
      </c>
    </row>
    <row r="1558" spans="1:26" x14ac:dyDescent="0.3">
      <c r="A1558" t="s">
        <v>1365</v>
      </c>
      <c r="B1558" s="1">
        <v>45344</v>
      </c>
      <c r="C1558" s="1">
        <v>45346</v>
      </c>
      <c r="D1558" t="s">
        <v>959</v>
      </c>
      <c r="E1558" t="s">
        <v>960</v>
      </c>
      <c r="F1558" t="s">
        <v>34</v>
      </c>
      <c r="G1558" t="s">
        <v>35</v>
      </c>
      <c r="H1558" t="s">
        <v>187</v>
      </c>
      <c r="I1558" t="s">
        <v>25</v>
      </c>
      <c r="J1558" t="s">
        <v>26</v>
      </c>
      <c r="K1558" t="s">
        <v>27</v>
      </c>
      <c r="L1558">
        <v>10</v>
      </c>
      <c r="M1558">
        <v>7000</v>
      </c>
      <c r="N1558">
        <v>15</v>
      </c>
      <c r="O1558">
        <v>59500</v>
      </c>
      <c r="P1558">
        <v>13090</v>
      </c>
      <c r="Q1558" t="s">
        <v>28</v>
      </c>
      <c r="R1558" t="s">
        <v>49</v>
      </c>
      <c r="S1558" t="s">
        <v>30</v>
      </c>
      <c r="T1558">
        <f>YEAR(Table1_1[[#This Row],[order_date]])</f>
        <v>2024</v>
      </c>
      <c r="U1558">
        <f>MONTH(Table1_1[[#This Row],[order_date]])</f>
        <v>2</v>
      </c>
      <c r="V1558" t="str">
        <f>TEXT(Table1_1[[#This Row],[order_date]],"mmm")</f>
        <v>Feb</v>
      </c>
      <c r="W1558" t="str">
        <f>"Q"&amp;ROUNDUP(MONTH(Table1_1[[#This Row],[order_date]])/3,0)</f>
        <v>Q1</v>
      </c>
      <c r="X1558" t="str">
        <f>TEXT(Table1_1[[#This Row],[order_date]],"yyyy-mm")</f>
        <v>2024-02</v>
      </c>
      <c r="Y1558">
        <f>IF(Table1_1[[#This Row],[ship_date]]="","",Table1_1[[#This Row],[ship_date]]-Table1_1[[#This Row],[order_date]])</f>
        <v>2</v>
      </c>
      <c r="Z1558">
        <f>ROUND(Table1_1[[#This Row],[profit]]/Table1_1[[#This Row],[sales_fix]]*100,2)</f>
        <v>22</v>
      </c>
    </row>
    <row r="1559" spans="1:26" x14ac:dyDescent="0.3">
      <c r="A1559" t="s">
        <v>1111</v>
      </c>
      <c r="B1559" s="1">
        <v>45435</v>
      </c>
      <c r="C1559" s="1">
        <v>45436</v>
      </c>
      <c r="D1559" t="s">
        <v>308</v>
      </c>
      <c r="E1559" t="s">
        <v>309</v>
      </c>
      <c r="F1559" t="s">
        <v>34</v>
      </c>
      <c r="G1559" t="s">
        <v>91</v>
      </c>
      <c r="H1559" t="s">
        <v>177</v>
      </c>
      <c r="I1559" t="s">
        <v>63</v>
      </c>
      <c r="J1559" t="s">
        <v>64</v>
      </c>
      <c r="K1559" t="s">
        <v>65</v>
      </c>
      <c r="L1559">
        <v>1</v>
      </c>
      <c r="M1559">
        <v>25000</v>
      </c>
      <c r="N1559">
        <v>0</v>
      </c>
      <c r="O1559">
        <v>25000</v>
      </c>
      <c r="P1559">
        <v>3765.19</v>
      </c>
      <c r="Q1559" t="s">
        <v>66</v>
      </c>
      <c r="R1559" t="s">
        <v>29</v>
      </c>
      <c r="S1559" t="s">
        <v>110</v>
      </c>
      <c r="T1559">
        <f>YEAR(Table1_1[[#This Row],[order_date]])</f>
        <v>2024</v>
      </c>
      <c r="U1559">
        <f>MONTH(Table1_1[[#This Row],[order_date]])</f>
        <v>5</v>
      </c>
      <c r="V1559" t="str">
        <f>TEXT(Table1_1[[#This Row],[order_date]],"mmm")</f>
        <v>May</v>
      </c>
      <c r="W1559" t="str">
        <f>"Q"&amp;ROUNDUP(MONTH(Table1_1[[#This Row],[order_date]])/3,0)</f>
        <v>Q2</v>
      </c>
      <c r="X1559" t="str">
        <f>TEXT(Table1_1[[#This Row],[order_date]],"yyyy-mm")</f>
        <v>2024-05</v>
      </c>
      <c r="Y1559">
        <f>IF(Table1_1[[#This Row],[ship_date]]="","",Table1_1[[#This Row],[ship_date]]-Table1_1[[#This Row],[order_date]])</f>
        <v>1</v>
      </c>
      <c r="Z1559">
        <f>ROUND(Table1_1[[#This Row],[profit]]/Table1_1[[#This Row],[sales_fix]]*100,2)</f>
        <v>15.06</v>
      </c>
    </row>
    <row r="1560" spans="1:26" x14ac:dyDescent="0.3">
      <c r="A1560" t="s">
        <v>171</v>
      </c>
      <c r="B1560" s="1">
        <v>45840</v>
      </c>
      <c r="C1560" s="1">
        <v>45847</v>
      </c>
      <c r="D1560" t="s">
        <v>172</v>
      </c>
      <c r="E1560" t="s">
        <v>173</v>
      </c>
      <c r="F1560" t="s">
        <v>55</v>
      </c>
      <c r="G1560" t="s">
        <v>91</v>
      </c>
      <c r="H1560" t="s">
        <v>177</v>
      </c>
      <c r="I1560" t="s">
        <v>46</v>
      </c>
      <c r="J1560" t="s">
        <v>47</v>
      </c>
      <c r="K1560" t="s">
        <v>48</v>
      </c>
      <c r="L1560">
        <v>1</v>
      </c>
      <c r="M1560">
        <v>180</v>
      </c>
      <c r="N1560">
        <v>20</v>
      </c>
      <c r="O1560">
        <v>144</v>
      </c>
      <c r="P1560">
        <v>47.85</v>
      </c>
      <c r="Q1560" t="s">
        <v>121</v>
      </c>
      <c r="R1560" t="s">
        <v>29</v>
      </c>
      <c r="S1560" t="s">
        <v>40</v>
      </c>
      <c r="T1560">
        <f>YEAR(Table1_1[[#This Row],[order_date]])</f>
        <v>2025</v>
      </c>
      <c r="U1560">
        <f>MONTH(Table1_1[[#This Row],[order_date]])</f>
        <v>7</v>
      </c>
      <c r="V1560" t="str">
        <f>TEXT(Table1_1[[#This Row],[order_date]],"mmm")</f>
        <v>Jul</v>
      </c>
      <c r="W1560" t="str">
        <f>"Q"&amp;ROUNDUP(MONTH(Table1_1[[#This Row],[order_date]])/3,0)</f>
        <v>Q3</v>
      </c>
      <c r="X1560" t="str">
        <f>TEXT(Table1_1[[#This Row],[order_date]],"yyyy-mm")</f>
        <v>2025-07</v>
      </c>
      <c r="Y1560">
        <f>IF(Table1_1[[#This Row],[ship_date]]="","",Table1_1[[#This Row],[ship_date]]-Table1_1[[#This Row],[order_date]])</f>
        <v>7</v>
      </c>
      <c r="Z1560">
        <f>ROUND(Table1_1[[#This Row],[profit]]/Table1_1[[#This Row],[sales_fix]]*100,2)</f>
        <v>33.229999999999997</v>
      </c>
    </row>
    <row r="1561" spans="1:26" x14ac:dyDescent="0.3">
      <c r="A1561" t="s">
        <v>2495</v>
      </c>
      <c r="B1561" s="1">
        <v>45406</v>
      </c>
      <c r="C1561" s="1">
        <v>45411</v>
      </c>
      <c r="D1561" t="s">
        <v>392</v>
      </c>
      <c r="E1561" t="s">
        <v>393</v>
      </c>
      <c r="F1561" t="s">
        <v>55</v>
      </c>
      <c r="G1561" t="s">
        <v>91</v>
      </c>
      <c r="H1561" t="s">
        <v>92</v>
      </c>
      <c r="I1561" t="s">
        <v>114</v>
      </c>
      <c r="J1561" t="s">
        <v>115</v>
      </c>
      <c r="K1561" t="s">
        <v>65</v>
      </c>
      <c r="L1561">
        <v>1</v>
      </c>
      <c r="M1561">
        <v>55000</v>
      </c>
      <c r="N1561">
        <v>10</v>
      </c>
      <c r="O1561">
        <v>49500</v>
      </c>
      <c r="P1561">
        <v>8801.5499999999993</v>
      </c>
      <c r="Q1561" t="s">
        <v>28</v>
      </c>
      <c r="R1561" t="s">
        <v>29</v>
      </c>
      <c r="S1561" t="s">
        <v>50</v>
      </c>
      <c r="T1561">
        <f>YEAR(Table1_1[[#This Row],[order_date]])</f>
        <v>2024</v>
      </c>
      <c r="U1561">
        <f>MONTH(Table1_1[[#This Row],[order_date]])</f>
        <v>4</v>
      </c>
      <c r="V1561" t="str">
        <f>TEXT(Table1_1[[#This Row],[order_date]],"mmm")</f>
        <v>Apr</v>
      </c>
      <c r="W1561" t="str">
        <f>"Q"&amp;ROUNDUP(MONTH(Table1_1[[#This Row],[order_date]])/3,0)</f>
        <v>Q2</v>
      </c>
      <c r="X1561" t="str">
        <f>TEXT(Table1_1[[#This Row],[order_date]],"yyyy-mm")</f>
        <v>2024-04</v>
      </c>
      <c r="Y1561">
        <f>IF(Table1_1[[#This Row],[ship_date]]="","",Table1_1[[#This Row],[ship_date]]-Table1_1[[#This Row],[order_date]])</f>
        <v>5</v>
      </c>
      <c r="Z1561">
        <f>ROUND(Table1_1[[#This Row],[profit]]/Table1_1[[#This Row],[sales_fix]]*100,2)</f>
        <v>17.78</v>
      </c>
    </row>
    <row r="1562" spans="1:26" x14ac:dyDescent="0.3">
      <c r="A1562" t="s">
        <v>894</v>
      </c>
      <c r="B1562" s="1">
        <v>45910</v>
      </c>
      <c r="C1562" s="1">
        <v>45916</v>
      </c>
      <c r="D1562" t="s">
        <v>896</v>
      </c>
      <c r="E1562" t="s">
        <v>897</v>
      </c>
      <c r="F1562" t="s">
        <v>55</v>
      </c>
      <c r="G1562" t="s">
        <v>35</v>
      </c>
      <c r="H1562" t="s">
        <v>258</v>
      </c>
      <c r="I1562" t="s">
        <v>93</v>
      </c>
      <c r="J1562" t="s">
        <v>94</v>
      </c>
      <c r="K1562" t="s">
        <v>95</v>
      </c>
      <c r="L1562">
        <v>2</v>
      </c>
      <c r="M1562">
        <v>1800</v>
      </c>
      <c r="N1562">
        <v>0</v>
      </c>
      <c r="O1562">
        <v>3600</v>
      </c>
      <c r="P1562">
        <v>1349.64</v>
      </c>
      <c r="Q1562" t="s">
        <v>121</v>
      </c>
      <c r="R1562" t="s">
        <v>29</v>
      </c>
      <c r="S1562" t="s">
        <v>86</v>
      </c>
      <c r="T1562">
        <f>YEAR(Table1_1[[#This Row],[order_date]])</f>
        <v>2025</v>
      </c>
      <c r="U1562">
        <f>MONTH(Table1_1[[#This Row],[order_date]])</f>
        <v>9</v>
      </c>
      <c r="V1562" t="str">
        <f>TEXT(Table1_1[[#This Row],[order_date]],"mmm")</f>
        <v>Sep</v>
      </c>
      <c r="W1562" t="str">
        <f>"Q"&amp;ROUNDUP(MONTH(Table1_1[[#This Row],[order_date]])/3,0)</f>
        <v>Q3</v>
      </c>
      <c r="X1562" t="str">
        <f>TEXT(Table1_1[[#This Row],[order_date]],"yyyy-mm")</f>
        <v>2025-09</v>
      </c>
      <c r="Y1562">
        <f>IF(Table1_1[[#This Row],[ship_date]]="","",Table1_1[[#This Row],[ship_date]]-Table1_1[[#This Row],[order_date]])</f>
        <v>6</v>
      </c>
      <c r="Z1562">
        <f>ROUND(Table1_1[[#This Row],[profit]]/Table1_1[[#This Row],[sales_fix]]*100,2)</f>
        <v>37.49</v>
      </c>
    </row>
    <row r="1563" spans="1:26" x14ac:dyDescent="0.3">
      <c r="A1563" t="s">
        <v>2765</v>
      </c>
      <c r="B1563" s="1">
        <v>45616</v>
      </c>
      <c r="C1563" s="1"/>
      <c r="D1563" t="s">
        <v>346</v>
      </c>
      <c r="E1563" t="s">
        <v>347</v>
      </c>
      <c r="F1563" t="s">
        <v>23</v>
      </c>
      <c r="G1563" t="s">
        <v>44</v>
      </c>
      <c r="H1563" t="s">
        <v>155</v>
      </c>
      <c r="I1563" t="s">
        <v>93</v>
      </c>
      <c r="J1563" t="s">
        <v>94</v>
      </c>
      <c r="K1563" t="s">
        <v>95</v>
      </c>
      <c r="L1563">
        <v>1</v>
      </c>
      <c r="M1563">
        <v>1800</v>
      </c>
      <c r="N1563">
        <v>20</v>
      </c>
      <c r="O1563">
        <v>1440</v>
      </c>
      <c r="P1563">
        <v>430.07</v>
      </c>
      <c r="Q1563" t="s">
        <v>121</v>
      </c>
      <c r="R1563" t="s">
        <v>29</v>
      </c>
      <c r="S1563" t="s">
        <v>40</v>
      </c>
      <c r="T1563">
        <f>YEAR(Table1_1[[#This Row],[order_date]])</f>
        <v>2024</v>
      </c>
      <c r="U1563">
        <f>MONTH(Table1_1[[#This Row],[order_date]])</f>
        <v>11</v>
      </c>
      <c r="V1563" t="str">
        <f>TEXT(Table1_1[[#This Row],[order_date]],"mmm")</f>
        <v>Nov</v>
      </c>
      <c r="W1563" t="str">
        <f>"Q"&amp;ROUNDUP(MONTH(Table1_1[[#This Row],[order_date]])/3,0)</f>
        <v>Q4</v>
      </c>
      <c r="X1563" t="str">
        <f>TEXT(Table1_1[[#This Row],[order_date]],"yyyy-mm")</f>
        <v>2024-11</v>
      </c>
      <c r="Y1563" t="str">
        <f>IF(Table1_1[[#This Row],[ship_date]]="","",Table1_1[[#This Row],[ship_date]]-Table1_1[[#This Row],[order_date]])</f>
        <v/>
      </c>
      <c r="Z1563">
        <f>ROUND(Table1_1[[#This Row],[profit]]/Table1_1[[#This Row],[sales_fix]]*100,2)</f>
        <v>29.87</v>
      </c>
    </row>
    <row r="1564" spans="1:26" x14ac:dyDescent="0.3">
      <c r="A1564" t="s">
        <v>2652</v>
      </c>
      <c r="B1564" s="1">
        <v>45419</v>
      </c>
      <c r="C1564" s="1">
        <v>45423</v>
      </c>
      <c r="D1564" t="s">
        <v>805</v>
      </c>
      <c r="E1564" t="s">
        <v>806</v>
      </c>
      <c r="F1564" t="s">
        <v>34</v>
      </c>
      <c r="G1564" t="s">
        <v>61</v>
      </c>
      <c r="H1564" t="s">
        <v>78</v>
      </c>
      <c r="I1564" t="s">
        <v>147</v>
      </c>
      <c r="J1564" t="s">
        <v>148</v>
      </c>
      <c r="K1564" t="s">
        <v>48</v>
      </c>
      <c r="L1564">
        <v>1</v>
      </c>
      <c r="M1564">
        <v>250</v>
      </c>
      <c r="N1564">
        <v>20</v>
      </c>
      <c r="O1564">
        <v>200</v>
      </c>
      <c r="P1564">
        <v>69</v>
      </c>
      <c r="Q1564" t="s">
        <v>28</v>
      </c>
      <c r="R1564" t="s">
        <v>56</v>
      </c>
      <c r="S1564" t="s">
        <v>50</v>
      </c>
      <c r="T1564">
        <f>YEAR(Table1_1[[#This Row],[order_date]])</f>
        <v>2024</v>
      </c>
      <c r="U1564">
        <f>MONTH(Table1_1[[#This Row],[order_date]])</f>
        <v>5</v>
      </c>
      <c r="V1564" t="str">
        <f>TEXT(Table1_1[[#This Row],[order_date]],"mmm")</f>
        <v>May</v>
      </c>
      <c r="W1564" t="str">
        <f>"Q"&amp;ROUNDUP(MONTH(Table1_1[[#This Row],[order_date]])/3,0)</f>
        <v>Q2</v>
      </c>
      <c r="X1564" t="str">
        <f>TEXT(Table1_1[[#This Row],[order_date]],"yyyy-mm")</f>
        <v>2024-05</v>
      </c>
      <c r="Y1564">
        <f>IF(Table1_1[[#This Row],[ship_date]]="","",Table1_1[[#This Row],[ship_date]]-Table1_1[[#This Row],[order_date]])</f>
        <v>4</v>
      </c>
      <c r="Z1564">
        <f>ROUND(Table1_1[[#This Row],[profit]]/Table1_1[[#This Row],[sales_fix]]*100,2)</f>
        <v>34.5</v>
      </c>
    </row>
    <row r="1565" spans="1:26" x14ac:dyDescent="0.3">
      <c r="A1565" t="s">
        <v>2127</v>
      </c>
      <c r="B1565" s="1">
        <v>45578</v>
      </c>
      <c r="C1565" s="1">
        <v>45585</v>
      </c>
      <c r="D1565" t="s">
        <v>450</v>
      </c>
      <c r="E1565" t="s">
        <v>451</v>
      </c>
      <c r="F1565" t="s">
        <v>55</v>
      </c>
      <c r="G1565" t="s">
        <v>61</v>
      </c>
      <c r="H1565" t="s">
        <v>62</v>
      </c>
      <c r="I1565" t="s">
        <v>103</v>
      </c>
      <c r="J1565" t="s">
        <v>104</v>
      </c>
      <c r="K1565" t="s">
        <v>65</v>
      </c>
      <c r="L1565">
        <v>1</v>
      </c>
      <c r="M1565">
        <v>8000</v>
      </c>
      <c r="N1565">
        <v>0</v>
      </c>
      <c r="O1565">
        <v>8000</v>
      </c>
      <c r="P1565">
        <v>1748.15</v>
      </c>
      <c r="Q1565" t="s">
        <v>28</v>
      </c>
      <c r="R1565" t="s">
        <v>29</v>
      </c>
      <c r="S1565" t="s">
        <v>50</v>
      </c>
      <c r="T1565">
        <f>YEAR(Table1_1[[#This Row],[order_date]])</f>
        <v>2024</v>
      </c>
      <c r="U1565">
        <f>MONTH(Table1_1[[#This Row],[order_date]])</f>
        <v>10</v>
      </c>
      <c r="V1565" t="str">
        <f>TEXT(Table1_1[[#This Row],[order_date]],"mmm")</f>
        <v>Oct</v>
      </c>
      <c r="W1565" t="str">
        <f>"Q"&amp;ROUNDUP(MONTH(Table1_1[[#This Row],[order_date]])/3,0)</f>
        <v>Q4</v>
      </c>
      <c r="X1565" t="str">
        <f>TEXT(Table1_1[[#This Row],[order_date]],"yyyy-mm")</f>
        <v>2024-10</v>
      </c>
      <c r="Y1565">
        <f>IF(Table1_1[[#This Row],[ship_date]]="","",Table1_1[[#This Row],[ship_date]]-Table1_1[[#This Row],[order_date]])</f>
        <v>7</v>
      </c>
      <c r="Z1565">
        <f>ROUND(Table1_1[[#This Row],[profit]]/Table1_1[[#This Row],[sales_fix]]*100,2)</f>
        <v>21.85</v>
      </c>
    </row>
    <row r="1566" spans="1:26" x14ac:dyDescent="0.3">
      <c r="A1566" t="s">
        <v>2572</v>
      </c>
      <c r="B1566" s="1">
        <v>45710</v>
      </c>
      <c r="C1566" s="1">
        <v>45717</v>
      </c>
      <c r="D1566" t="s">
        <v>861</v>
      </c>
      <c r="E1566" t="s">
        <v>862</v>
      </c>
      <c r="F1566" t="s">
        <v>55</v>
      </c>
      <c r="G1566" t="s">
        <v>44</v>
      </c>
      <c r="H1566" t="s">
        <v>24</v>
      </c>
      <c r="I1566" t="s">
        <v>63</v>
      </c>
      <c r="J1566" t="s">
        <v>64</v>
      </c>
      <c r="K1566" t="s">
        <v>65</v>
      </c>
      <c r="L1566">
        <v>3</v>
      </c>
      <c r="M1566">
        <v>25000</v>
      </c>
      <c r="N1566">
        <v>5</v>
      </c>
      <c r="O1566">
        <v>71250</v>
      </c>
      <c r="P1566">
        <v>8124.15</v>
      </c>
      <c r="Q1566" t="s">
        <v>39</v>
      </c>
      <c r="R1566" t="s">
        <v>49</v>
      </c>
      <c r="S1566" t="s">
        <v>86</v>
      </c>
      <c r="T1566">
        <f>YEAR(Table1_1[[#This Row],[order_date]])</f>
        <v>2025</v>
      </c>
      <c r="U1566">
        <f>MONTH(Table1_1[[#This Row],[order_date]])</f>
        <v>2</v>
      </c>
      <c r="V1566" t="str">
        <f>TEXT(Table1_1[[#This Row],[order_date]],"mmm")</f>
        <v>Feb</v>
      </c>
      <c r="W1566" t="str">
        <f>"Q"&amp;ROUNDUP(MONTH(Table1_1[[#This Row],[order_date]])/3,0)</f>
        <v>Q1</v>
      </c>
      <c r="X1566" t="str">
        <f>TEXT(Table1_1[[#This Row],[order_date]],"yyyy-mm")</f>
        <v>2025-02</v>
      </c>
      <c r="Y1566">
        <f>IF(Table1_1[[#This Row],[ship_date]]="","",Table1_1[[#This Row],[ship_date]]-Table1_1[[#This Row],[order_date]])</f>
        <v>7</v>
      </c>
      <c r="Z1566">
        <f>ROUND(Table1_1[[#This Row],[profit]]/Table1_1[[#This Row],[sales_fix]]*100,2)</f>
        <v>11.4</v>
      </c>
    </row>
    <row r="1567" spans="1:26" x14ac:dyDescent="0.3">
      <c r="A1567" t="s">
        <v>1877</v>
      </c>
      <c r="B1567" s="1">
        <v>45502</v>
      </c>
      <c r="C1567" s="1">
        <v>45508</v>
      </c>
      <c r="D1567" t="s">
        <v>265</v>
      </c>
      <c r="E1567" t="s">
        <v>266</v>
      </c>
      <c r="F1567" t="s">
        <v>55</v>
      </c>
      <c r="G1567" t="s">
        <v>44</v>
      </c>
      <c r="H1567" t="s">
        <v>45</v>
      </c>
      <c r="I1567" t="s">
        <v>25</v>
      </c>
      <c r="J1567" t="s">
        <v>26</v>
      </c>
      <c r="K1567" t="s">
        <v>27</v>
      </c>
      <c r="L1567">
        <v>4</v>
      </c>
      <c r="M1567">
        <v>7000</v>
      </c>
      <c r="N1567">
        <v>5</v>
      </c>
      <c r="O1567">
        <v>26600</v>
      </c>
      <c r="P1567">
        <v>5118.51</v>
      </c>
      <c r="Q1567" t="s">
        <v>74</v>
      </c>
      <c r="R1567" t="s">
        <v>29</v>
      </c>
      <c r="S1567" t="s">
        <v>30</v>
      </c>
      <c r="T1567">
        <f>YEAR(Table1_1[[#This Row],[order_date]])</f>
        <v>2024</v>
      </c>
      <c r="U1567">
        <f>MONTH(Table1_1[[#This Row],[order_date]])</f>
        <v>7</v>
      </c>
      <c r="V1567" t="str">
        <f>TEXT(Table1_1[[#This Row],[order_date]],"mmm")</f>
        <v>Jul</v>
      </c>
      <c r="W1567" t="str">
        <f>"Q"&amp;ROUNDUP(MONTH(Table1_1[[#This Row],[order_date]])/3,0)</f>
        <v>Q3</v>
      </c>
      <c r="X1567" t="str">
        <f>TEXT(Table1_1[[#This Row],[order_date]],"yyyy-mm")</f>
        <v>2024-07</v>
      </c>
      <c r="Y1567">
        <f>IF(Table1_1[[#This Row],[ship_date]]="","",Table1_1[[#This Row],[ship_date]]-Table1_1[[#This Row],[order_date]])</f>
        <v>6</v>
      </c>
      <c r="Z1567">
        <f>ROUND(Table1_1[[#This Row],[profit]]/Table1_1[[#This Row],[sales_fix]]*100,2)</f>
        <v>19.239999999999998</v>
      </c>
    </row>
    <row r="1568" spans="1:26" x14ac:dyDescent="0.3">
      <c r="A1568" t="s">
        <v>1842</v>
      </c>
      <c r="B1568" s="1">
        <v>45689</v>
      </c>
      <c r="C1568" s="1"/>
      <c r="D1568" t="s">
        <v>864</v>
      </c>
      <c r="E1568" t="s">
        <v>865</v>
      </c>
      <c r="F1568" t="s">
        <v>34</v>
      </c>
      <c r="G1568" t="s">
        <v>44</v>
      </c>
      <c r="H1568" t="s">
        <v>155</v>
      </c>
      <c r="I1568" t="s">
        <v>93</v>
      </c>
      <c r="J1568" t="s">
        <v>94</v>
      </c>
      <c r="K1568" t="s">
        <v>95</v>
      </c>
      <c r="L1568">
        <v>4</v>
      </c>
      <c r="M1568">
        <v>1800</v>
      </c>
      <c r="N1568">
        <v>10</v>
      </c>
      <c r="O1568">
        <v>6480</v>
      </c>
      <c r="P1568">
        <v>1774</v>
      </c>
      <c r="Q1568" t="s">
        <v>156</v>
      </c>
      <c r="R1568" t="s">
        <v>29</v>
      </c>
      <c r="S1568" t="s">
        <v>40</v>
      </c>
      <c r="T1568">
        <f>YEAR(Table1_1[[#This Row],[order_date]])</f>
        <v>2025</v>
      </c>
      <c r="U1568">
        <f>MONTH(Table1_1[[#This Row],[order_date]])</f>
        <v>2</v>
      </c>
      <c r="V1568" t="str">
        <f>TEXT(Table1_1[[#This Row],[order_date]],"mmm")</f>
        <v>Feb</v>
      </c>
      <c r="W1568" t="str">
        <f>"Q"&amp;ROUNDUP(MONTH(Table1_1[[#This Row],[order_date]])/3,0)</f>
        <v>Q1</v>
      </c>
      <c r="X1568" t="str">
        <f>TEXT(Table1_1[[#This Row],[order_date]],"yyyy-mm")</f>
        <v>2025-02</v>
      </c>
      <c r="Y1568" t="str">
        <f>IF(Table1_1[[#This Row],[ship_date]]="","",Table1_1[[#This Row],[ship_date]]-Table1_1[[#This Row],[order_date]])</f>
        <v/>
      </c>
      <c r="Z1568">
        <f>ROUND(Table1_1[[#This Row],[profit]]/Table1_1[[#This Row],[sales_fix]]*100,2)</f>
        <v>27.38</v>
      </c>
    </row>
    <row r="1569" spans="1:26" x14ac:dyDescent="0.3">
      <c r="A1569" t="s">
        <v>1430</v>
      </c>
      <c r="B1569" s="1">
        <v>45705</v>
      </c>
      <c r="C1569" s="1">
        <v>45710</v>
      </c>
      <c r="D1569" t="s">
        <v>617</v>
      </c>
      <c r="E1569" t="s">
        <v>618</v>
      </c>
      <c r="F1569" t="s">
        <v>23</v>
      </c>
      <c r="G1569" t="s">
        <v>91</v>
      </c>
      <c r="H1569" t="s">
        <v>120</v>
      </c>
      <c r="I1569" t="s">
        <v>79</v>
      </c>
      <c r="J1569" t="s">
        <v>80</v>
      </c>
      <c r="K1569" t="s">
        <v>65</v>
      </c>
      <c r="L1569">
        <v>1</v>
      </c>
      <c r="M1569">
        <v>3000</v>
      </c>
      <c r="N1569">
        <v>0</v>
      </c>
      <c r="O1569">
        <v>3000</v>
      </c>
      <c r="P1569">
        <v>900</v>
      </c>
      <c r="Q1569" t="s">
        <v>121</v>
      </c>
      <c r="R1569" t="s">
        <v>56</v>
      </c>
      <c r="S1569" t="s">
        <v>110</v>
      </c>
      <c r="T1569">
        <f>YEAR(Table1_1[[#This Row],[order_date]])</f>
        <v>2025</v>
      </c>
      <c r="U1569">
        <f>MONTH(Table1_1[[#This Row],[order_date]])</f>
        <v>2</v>
      </c>
      <c r="V1569" t="str">
        <f>TEXT(Table1_1[[#This Row],[order_date]],"mmm")</f>
        <v>Feb</v>
      </c>
      <c r="W1569" t="str">
        <f>"Q"&amp;ROUNDUP(MONTH(Table1_1[[#This Row],[order_date]])/3,0)</f>
        <v>Q1</v>
      </c>
      <c r="X1569" t="str">
        <f>TEXT(Table1_1[[#This Row],[order_date]],"yyyy-mm")</f>
        <v>2025-02</v>
      </c>
      <c r="Y1569">
        <f>IF(Table1_1[[#This Row],[ship_date]]="","",Table1_1[[#This Row],[ship_date]]-Table1_1[[#This Row],[order_date]])</f>
        <v>5</v>
      </c>
      <c r="Z1569">
        <f>ROUND(Table1_1[[#This Row],[profit]]/Table1_1[[#This Row],[sales_fix]]*100,2)</f>
        <v>30</v>
      </c>
    </row>
    <row r="1570" spans="1:26" x14ac:dyDescent="0.3">
      <c r="A1570" t="s">
        <v>1383</v>
      </c>
      <c r="B1570" s="1">
        <v>45906</v>
      </c>
      <c r="C1570" s="1">
        <v>45910</v>
      </c>
      <c r="D1570" t="s">
        <v>1205</v>
      </c>
      <c r="E1570" t="s">
        <v>1206</v>
      </c>
      <c r="F1570" t="s">
        <v>34</v>
      </c>
      <c r="G1570" t="s">
        <v>44</v>
      </c>
      <c r="H1570" t="s">
        <v>45</v>
      </c>
      <c r="I1570" t="s">
        <v>134</v>
      </c>
      <c r="J1570" t="s">
        <v>135</v>
      </c>
      <c r="K1570" t="s">
        <v>27</v>
      </c>
      <c r="L1570">
        <v>4</v>
      </c>
      <c r="M1570">
        <v>6000</v>
      </c>
      <c r="N1570">
        <v>0</v>
      </c>
      <c r="O1570">
        <v>24000</v>
      </c>
      <c r="P1570">
        <v>5613.68</v>
      </c>
      <c r="Q1570" t="s">
        <v>156</v>
      </c>
      <c r="R1570" t="s">
        <v>56</v>
      </c>
      <c r="S1570" t="s">
        <v>86</v>
      </c>
      <c r="T1570">
        <f>YEAR(Table1_1[[#This Row],[order_date]])</f>
        <v>2025</v>
      </c>
      <c r="U1570">
        <f>MONTH(Table1_1[[#This Row],[order_date]])</f>
        <v>9</v>
      </c>
      <c r="V1570" t="str">
        <f>TEXT(Table1_1[[#This Row],[order_date]],"mmm")</f>
        <v>Sep</v>
      </c>
      <c r="W1570" t="str">
        <f>"Q"&amp;ROUNDUP(MONTH(Table1_1[[#This Row],[order_date]])/3,0)</f>
        <v>Q3</v>
      </c>
      <c r="X1570" t="str">
        <f>TEXT(Table1_1[[#This Row],[order_date]],"yyyy-mm")</f>
        <v>2025-09</v>
      </c>
      <c r="Y1570">
        <f>IF(Table1_1[[#This Row],[ship_date]]="","",Table1_1[[#This Row],[ship_date]]-Table1_1[[#This Row],[order_date]])</f>
        <v>4</v>
      </c>
      <c r="Z1570">
        <f>ROUND(Table1_1[[#This Row],[profit]]/Table1_1[[#This Row],[sales_fix]]*100,2)</f>
        <v>23.39</v>
      </c>
    </row>
    <row r="1571" spans="1:26" x14ac:dyDescent="0.3">
      <c r="A1571" t="s">
        <v>1097</v>
      </c>
      <c r="B1571" s="1">
        <v>45314</v>
      </c>
      <c r="C1571" s="1">
        <v>45315</v>
      </c>
      <c r="D1571" t="s">
        <v>362</v>
      </c>
      <c r="E1571" t="s">
        <v>363</v>
      </c>
      <c r="F1571" t="s">
        <v>55</v>
      </c>
      <c r="G1571" t="s">
        <v>35</v>
      </c>
      <c r="H1571" t="s">
        <v>36</v>
      </c>
      <c r="I1571" t="s">
        <v>71</v>
      </c>
      <c r="J1571" t="s">
        <v>72</v>
      </c>
      <c r="K1571" t="s">
        <v>73</v>
      </c>
      <c r="L1571">
        <v>1</v>
      </c>
      <c r="M1571">
        <v>3500</v>
      </c>
      <c r="N1571">
        <v>0</v>
      </c>
      <c r="O1571">
        <v>3500</v>
      </c>
      <c r="P1571">
        <v>945.07</v>
      </c>
      <c r="Q1571" t="s">
        <v>28</v>
      </c>
      <c r="R1571" t="s">
        <v>49</v>
      </c>
      <c r="S1571" t="s">
        <v>30</v>
      </c>
      <c r="T1571">
        <f>YEAR(Table1_1[[#This Row],[order_date]])</f>
        <v>2024</v>
      </c>
      <c r="U1571">
        <f>MONTH(Table1_1[[#This Row],[order_date]])</f>
        <v>1</v>
      </c>
      <c r="V1571" t="str">
        <f>TEXT(Table1_1[[#This Row],[order_date]],"mmm")</f>
        <v>Jan</v>
      </c>
      <c r="W1571" t="str">
        <f>"Q"&amp;ROUNDUP(MONTH(Table1_1[[#This Row],[order_date]])/3,0)</f>
        <v>Q1</v>
      </c>
      <c r="X1571" t="str">
        <f>TEXT(Table1_1[[#This Row],[order_date]],"yyyy-mm")</f>
        <v>2024-01</v>
      </c>
      <c r="Y1571">
        <f>IF(Table1_1[[#This Row],[ship_date]]="","",Table1_1[[#This Row],[ship_date]]-Table1_1[[#This Row],[order_date]])</f>
        <v>1</v>
      </c>
      <c r="Z1571">
        <f>ROUND(Table1_1[[#This Row],[profit]]/Table1_1[[#This Row],[sales_fix]]*100,2)</f>
        <v>27</v>
      </c>
    </row>
    <row r="1572" spans="1:26" x14ac:dyDescent="0.3">
      <c r="A1572" t="s">
        <v>2351</v>
      </c>
      <c r="B1572" s="1">
        <v>45739</v>
      </c>
      <c r="C1572" s="1">
        <v>45744</v>
      </c>
      <c r="D1572" t="s">
        <v>470</v>
      </c>
      <c r="E1572" t="s">
        <v>471</v>
      </c>
      <c r="F1572" t="s">
        <v>23</v>
      </c>
      <c r="G1572" t="s">
        <v>61</v>
      </c>
      <c r="H1572" t="s">
        <v>62</v>
      </c>
      <c r="I1572" t="s">
        <v>63</v>
      </c>
      <c r="J1572" t="s">
        <v>64</v>
      </c>
      <c r="K1572" t="s">
        <v>65</v>
      </c>
      <c r="L1572">
        <v>1</v>
      </c>
      <c r="M1572">
        <v>25000</v>
      </c>
      <c r="N1572">
        <v>0</v>
      </c>
      <c r="O1572">
        <v>25000</v>
      </c>
      <c r="P1572">
        <v>3028.68</v>
      </c>
      <c r="Q1572" t="s">
        <v>28</v>
      </c>
      <c r="R1572" t="s">
        <v>29</v>
      </c>
      <c r="S1572" t="s">
        <v>50</v>
      </c>
      <c r="T1572">
        <f>YEAR(Table1_1[[#This Row],[order_date]])</f>
        <v>2025</v>
      </c>
      <c r="U1572">
        <f>MONTH(Table1_1[[#This Row],[order_date]])</f>
        <v>3</v>
      </c>
      <c r="V1572" t="str">
        <f>TEXT(Table1_1[[#This Row],[order_date]],"mmm")</f>
        <v>Mar</v>
      </c>
      <c r="W1572" t="str">
        <f>"Q"&amp;ROUNDUP(MONTH(Table1_1[[#This Row],[order_date]])/3,0)</f>
        <v>Q1</v>
      </c>
      <c r="X1572" t="str">
        <f>TEXT(Table1_1[[#This Row],[order_date]],"yyyy-mm")</f>
        <v>2025-03</v>
      </c>
      <c r="Y1572">
        <f>IF(Table1_1[[#This Row],[ship_date]]="","",Table1_1[[#This Row],[ship_date]]-Table1_1[[#This Row],[order_date]])</f>
        <v>5</v>
      </c>
      <c r="Z1572">
        <f>ROUND(Table1_1[[#This Row],[profit]]/Table1_1[[#This Row],[sales_fix]]*100,2)</f>
        <v>12.11</v>
      </c>
    </row>
    <row r="1573" spans="1:26" x14ac:dyDescent="0.3">
      <c r="A1573" t="s">
        <v>2397</v>
      </c>
      <c r="B1573" s="1">
        <v>45952</v>
      </c>
      <c r="C1573" s="1">
        <v>45959</v>
      </c>
      <c r="D1573" t="s">
        <v>896</v>
      </c>
      <c r="E1573" t="s">
        <v>897</v>
      </c>
      <c r="F1573" t="s">
        <v>55</v>
      </c>
      <c r="G1573" t="s">
        <v>35</v>
      </c>
      <c r="H1573" t="s">
        <v>258</v>
      </c>
      <c r="I1573" t="s">
        <v>93</v>
      </c>
      <c r="J1573" t="s">
        <v>94</v>
      </c>
      <c r="K1573" t="s">
        <v>95</v>
      </c>
      <c r="L1573">
        <v>2</v>
      </c>
      <c r="M1573">
        <v>1800</v>
      </c>
      <c r="N1573">
        <v>0</v>
      </c>
      <c r="O1573">
        <v>3600</v>
      </c>
      <c r="P1573">
        <v>1308.33</v>
      </c>
      <c r="Q1573" t="s">
        <v>74</v>
      </c>
      <c r="R1573" t="s">
        <v>29</v>
      </c>
      <c r="S1573" t="s">
        <v>50</v>
      </c>
      <c r="T1573">
        <f>YEAR(Table1_1[[#This Row],[order_date]])</f>
        <v>2025</v>
      </c>
      <c r="U1573">
        <f>MONTH(Table1_1[[#This Row],[order_date]])</f>
        <v>10</v>
      </c>
      <c r="V1573" t="str">
        <f>TEXT(Table1_1[[#This Row],[order_date]],"mmm")</f>
        <v>Oct</v>
      </c>
      <c r="W1573" t="str">
        <f>"Q"&amp;ROUNDUP(MONTH(Table1_1[[#This Row],[order_date]])/3,0)</f>
        <v>Q4</v>
      </c>
      <c r="X1573" t="str">
        <f>TEXT(Table1_1[[#This Row],[order_date]],"yyyy-mm")</f>
        <v>2025-10</v>
      </c>
      <c r="Y1573">
        <f>IF(Table1_1[[#This Row],[ship_date]]="","",Table1_1[[#This Row],[ship_date]]-Table1_1[[#This Row],[order_date]])</f>
        <v>7</v>
      </c>
      <c r="Z1573">
        <f>ROUND(Table1_1[[#This Row],[profit]]/Table1_1[[#This Row],[sales_fix]]*100,2)</f>
        <v>36.340000000000003</v>
      </c>
    </row>
    <row r="1574" spans="1:26" x14ac:dyDescent="0.3">
      <c r="A1574" t="s">
        <v>2385</v>
      </c>
      <c r="B1574" s="1">
        <v>45454</v>
      </c>
      <c r="C1574" s="1">
        <v>45459</v>
      </c>
      <c r="D1574" t="s">
        <v>1031</v>
      </c>
      <c r="E1574" t="s">
        <v>1032</v>
      </c>
      <c r="F1574" t="s">
        <v>23</v>
      </c>
      <c r="G1574" t="s">
        <v>61</v>
      </c>
      <c r="H1574" t="s">
        <v>211</v>
      </c>
      <c r="I1574" t="s">
        <v>71</v>
      </c>
      <c r="J1574" t="s">
        <v>72</v>
      </c>
      <c r="K1574" t="s">
        <v>73</v>
      </c>
      <c r="L1574">
        <v>1</v>
      </c>
      <c r="M1574">
        <v>3500</v>
      </c>
      <c r="N1574">
        <v>15</v>
      </c>
      <c r="O1574">
        <v>2975</v>
      </c>
      <c r="P1574">
        <v>876.92</v>
      </c>
      <c r="Q1574" t="s">
        <v>66</v>
      </c>
      <c r="R1574" t="s">
        <v>56</v>
      </c>
      <c r="S1574" t="s">
        <v>110</v>
      </c>
      <c r="T1574">
        <f>YEAR(Table1_1[[#This Row],[order_date]])</f>
        <v>2024</v>
      </c>
      <c r="U1574">
        <f>MONTH(Table1_1[[#This Row],[order_date]])</f>
        <v>6</v>
      </c>
      <c r="V1574" t="str">
        <f>TEXT(Table1_1[[#This Row],[order_date]],"mmm")</f>
        <v>Jun</v>
      </c>
      <c r="W1574" t="str">
        <f>"Q"&amp;ROUNDUP(MONTH(Table1_1[[#This Row],[order_date]])/3,0)</f>
        <v>Q2</v>
      </c>
      <c r="X1574" t="str">
        <f>TEXT(Table1_1[[#This Row],[order_date]],"yyyy-mm")</f>
        <v>2024-06</v>
      </c>
      <c r="Y1574">
        <f>IF(Table1_1[[#This Row],[ship_date]]="","",Table1_1[[#This Row],[ship_date]]-Table1_1[[#This Row],[order_date]])</f>
        <v>5</v>
      </c>
      <c r="Z1574">
        <f>ROUND(Table1_1[[#This Row],[profit]]/Table1_1[[#This Row],[sales_fix]]*100,2)</f>
        <v>29.48</v>
      </c>
    </row>
    <row r="1575" spans="1:26" x14ac:dyDescent="0.3">
      <c r="A1575" t="s">
        <v>2056</v>
      </c>
      <c r="B1575" s="1">
        <v>45592</v>
      </c>
      <c r="C1575" s="1">
        <v>45596</v>
      </c>
      <c r="D1575" t="s">
        <v>362</v>
      </c>
      <c r="E1575" t="s">
        <v>363</v>
      </c>
      <c r="F1575" t="s">
        <v>55</v>
      </c>
      <c r="G1575" t="s">
        <v>35</v>
      </c>
      <c r="H1575" t="s">
        <v>36</v>
      </c>
      <c r="I1575" t="s">
        <v>79</v>
      </c>
      <c r="J1575" t="s">
        <v>80</v>
      </c>
      <c r="K1575" t="s">
        <v>65</v>
      </c>
      <c r="L1575">
        <v>2</v>
      </c>
      <c r="M1575">
        <v>3000</v>
      </c>
      <c r="N1575">
        <v>20</v>
      </c>
      <c r="O1575">
        <v>4800</v>
      </c>
      <c r="P1575">
        <v>1535.59</v>
      </c>
      <c r="Q1575" t="s">
        <v>28</v>
      </c>
      <c r="R1575" t="s">
        <v>49</v>
      </c>
      <c r="S1575" t="s">
        <v>50</v>
      </c>
      <c r="T1575">
        <f>YEAR(Table1_1[[#This Row],[order_date]])</f>
        <v>2024</v>
      </c>
      <c r="U1575">
        <f>MONTH(Table1_1[[#This Row],[order_date]])</f>
        <v>10</v>
      </c>
      <c r="V1575" t="str">
        <f>TEXT(Table1_1[[#This Row],[order_date]],"mmm")</f>
        <v>Oct</v>
      </c>
      <c r="W1575" t="str">
        <f>"Q"&amp;ROUNDUP(MONTH(Table1_1[[#This Row],[order_date]])/3,0)</f>
        <v>Q4</v>
      </c>
      <c r="X1575" t="str">
        <f>TEXT(Table1_1[[#This Row],[order_date]],"yyyy-mm")</f>
        <v>2024-10</v>
      </c>
      <c r="Y1575">
        <f>IF(Table1_1[[#This Row],[ship_date]]="","",Table1_1[[#This Row],[ship_date]]-Table1_1[[#This Row],[order_date]])</f>
        <v>4</v>
      </c>
      <c r="Z1575">
        <f>ROUND(Table1_1[[#This Row],[profit]]/Table1_1[[#This Row],[sales_fix]]*100,2)</f>
        <v>31.99</v>
      </c>
    </row>
    <row r="1576" spans="1:26" x14ac:dyDescent="0.3">
      <c r="A1576" t="s">
        <v>2341</v>
      </c>
      <c r="B1576" s="1">
        <v>45529</v>
      </c>
      <c r="C1576" s="1">
        <v>45532</v>
      </c>
      <c r="D1576" t="s">
        <v>425</v>
      </c>
      <c r="E1576" t="s">
        <v>426</v>
      </c>
      <c r="F1576" t="s">
        <v>34</v>
      </c>
      <c r="G1576" t="s">
        <v>61</v>
      </c>
      <c r="H1576" t="s">
        <v>125</v>
      </c>
      <c r="I1576" t="s">
        <v>63</v>
      </c>
      <c r="J1576" t="s">
        <v>64</v>
      </c>
      <c r="K1576" t="s">
        <v>65</v>
      </c>
      <c r="L1576">
        <v>4</v>
      </c>
      <c r="M1576">
        <v>25000</v>
      </c>
      <c r="N1576">
        <v>10</v>
      </c>
      <c r="O1576">
        <v>90000</v>
      </c>
      <c r="P1576">
        <v>9731.59</v>
      </c>
      <c r="Q1576" t="s">
        <v>74</v>
      </c>
      <c r="R1576" t="s">
        <v>56</v>
      </c>
      <c r="S1576" t="s">
        <v>30</v>
      </c>
      <c r="T1576">
        <f>YEAR(Table1_1[[#This Row],[order_date]])</f>
        <v>2024</v>
      </c>
      <c r="U1576">
        <f>MONTH(Table1_1[[#This Row],[order_date]])</f>
        <v>8</v>
      </c>
      <c r="V1576" t="str">
        <f>TEXT(Table1_1[[#This Row],[order_date]],"mmm")</f>
        <v>Aug</v>
      </c>
      <c r="W1576" t="str">
        <f>"Q"&amp;ROUNDUP(MONTH(Table1_1[[#This Row],[order_date]])/3,0)</f>
        <v>Q3</v>
      </c>
      <c r="X1576" t="str">
        <f>TEXT(Table1_1[[#This Row],[order_date]],"yyyy-mm")</f>
        <v>2024-08</v>
      </c>
      <c r="Y1576">
        <f>IF(Table1_1[[#This Row],[ship_date]]="","",Table1_1[[#This Row],[ship_date]]-Table1_1[[#This Row],[order_date]])</f>
        <v>3</v>
      </c>
      <c r="Z1576">
        <f>ROUND(Table1_1[[#This Row],[profit]]/Table1_1[[#This Row],[sales_fix]]*100,2)</f>
        <v>10.81</v>
      </c>
    </row>
    <row r="1577" spans="1:26" x14ac:dyDescent="0.3">
      <c r="A1577" t="s">
        <v>1299</v>
      </c>
      <c r="B1577" s="1">
        <v>45533</v>
      </c>
      <c r="C1577" s="1">
        <v>45535</v>
      </c>
      <c r="D1577" t="s">
        <v>1301</v>
      </c>
      <c r="E1577" t="s">
        <v>1302</v>
      </c>
      <c r="F1577" t="s">
        <v>23</v>
      </c>
      <c r="G1577" t="s">
        <v>91</v>
      </c>
      <c r="H1577" t="s">
        <v>120</v>
      </c>
      <c r="I1577" t="s">
        <v>79</v>
      </c>
      <c r="J1577" t="s">
        <v>80</v>
      </c>
      <c r="K1577" t="s">
        <v>65</v>
      </c>
      <c r="L1577">
        <v>1</v>
      </c>
      <c r="M1577">
        <v>3000</v>
      </c>
      <c r="N1577">
        <v>0</v>
      </c>
      <c r="O1577">
        <v>3000</v>
      </c>
      <c r="P1577">
        <v>846.95</v>
      </c>
      <c r="Q1577" t="s">
        <v>66</v>
      </c>
      <c r="R1577" t="s">
        <v>29</v>
      </c>
      <c r="S1577" t="s">
        <v>110</v>
      </c>
      <c r="T1577">
        <f>YEAR(Table1_1[[#This Row],[order_date]])</f>
        <v>2024</v>
      </c>
      <c r="U1577">
        <f>MONTH(Table1_1[[#This Row],[order_date]])</f>
        <v>8</v>
      </c>
      <c r="V1577" t="str">
        <f>TEXT(Table1_1[[#This Row],[order_date]],"mmm")</f>
        <v>Aug</v>
      </c>
      <c r="W1577" t="str">
        <f>"Q"&amp;ROUNDUP(MONTH(Table1_1[[#This Row],[order_date]])/3,0)</f>
        <v>Q3</v>
      </c>
      <c r="X1577" t="str">
        <f>TEXT(Table1_1[[#This Row],[order_date]],"yyyy-mm")</f>
        <v>2024-08</v>
      </c>
      <c r="Y1577">
        <f>IF(Table1_1[[#This Row],[ship_date]]="","",Table1_1[[#This Row],[ship_date]]-Table1_1[[#This Row],[order_date]])</f>
        <v>2</v>
      </c>
      <c r="Z1577">
        <f>ROUND(Table1_1[[#This Row],[profit]]/Table1_1[[#This Row],[sales_fix]]*100,2)</f>
        <v>28.23</v>
      </c>
    </row>
    <row r="1578" spans="1:26" x14ac:dyDescent="0.3">
      <c r="A1578" t="s">
        <v>724</v>
      </c>
      <c r="B1578" s="1">
        <v>45419</v>
      </c>
      <c r="C1578" s="1">
        <v>45422</v>
      </c>
      <c r="D1578" t="s">
        <v>220</v>
      </c>
      <c r="E1578" t="s">
        <v>221</v>
      </c>
      <c r="F1578" t="s">
        <v>34</v>
      </c>
      <c r="G1578" t="s">
        <v>44</v>
      </c>
      <c r="H1578" t="s">
        <v>161</v>
      </c>
      <c r="I1578" t="s">
        <v>46</v>
      </c>
      <c r="J1578" t="s">
        <v>47</v>
      </c>
      <c r="K1578" t="s">
        <v>48</v>
      </c>
      <c r="L1578">
        <v>3</v>
      </c>
      <c r="M1578">
        <v>180</v>
      </c>
      <c r="N1578">
        <v>10</v>
      </c>
      <c r="O1578">
        <v>486</v>
      </c>
      <c r="P1578">
        <v>219.65</v>
      </c>
      <c r="Q1578" t="s">
        <v>121</v>
      </c>
      <c r="R1578" t="s">
        <v>56</v>
      </c>
      <c r="S1578" t="s">
        <v>50</v>
      </c>
      <c r="T1578">
        <f>YEAR(Table1_1[[#This Row],[order_date]])</f>
        <v>2024</v>
      </c>
      <c r="U1578">
        <f>MONTH(Table1_1[[#This Row],[order_date]])</f>
        <v>5</v>
      </c>
      <c r="V1578" t="str">
        <f>TEXT(Table1_1[[#This Row],[order_date]],"mmm")</f>
        <v>May</v>
      </c>
      <c r="W1578" t="str">
        <f>"Q"&amp;ROUNDUP(MONTH(Table1_1[[#This Row],[order_date]])/3,0)</f>
        <v>Q2</v>
      </c>
      <c r="X1578" t="str">
        <f>TEXT(Table1_1[[#This Row],[order_date]],"yyyy-mm")</f>
        <v>2024-05</v>
      </c>
      <c r="Y1578">
        <f>IF(Table1_1[[#This Row],[ship_date]]="","",Table1_1[[#This Row],[ship_date]]-Table1_1[[#This Row],[order_date]])</f>
        <v>3</v>
      </c>
      <c r="Z1578">
        <f>ROUND(Table1_1[[#This Row],[profit]]/Table1_1[[#This Row],[sales_fix]]*100,2)</f>
        <v>45.2</v>
      </c>
    </row>
    <row r="1579" spans="1:26" x14ac:dyDescent="0.3">
      <c r="A1579" t="s">
        <v>490</v>
      </c>
      <c r="B1579" s="1">
        <v>45625</v>
      </c>
      <c r="C1579" s="1">
        <v>45626</v>
      </c>
      <c r="D1579" t="s">
        <v>491</v>
      </c>
      <c r="E1579" t="s">
        <v>492</v>
      </c>
      <c r="F1579" t="s">
        <v>34</v>
      </c>
      <c r="G1579" t="s">
        <v>44</v>
      </c>
      <c r="H1579" t="s">
        <v>330</v>
      </c>
      <c r="I1579" t="s">
        <v>114</v>
      </c>
      <c r="J1579" t="s">
        <v>115</v>
      </c>
      <c r="K1579" t="s">
        <v>65</v>
      </c>
      <c r="L1579">
        <v>3</v>
      </c>
      <c r="M1579">
        <v>55000</v>
      </c>
      <c r="N1579">
        <v>10</v>
      </c>
      <c r="O1579">
        <v>148500</v>
      </c>
      <c r="P1579">
        <v>27406.87</v>
      </c>
      <c r="Q1579" t="s">
        <v>28</v>
      </c>
      <c r="R1579" t="s">
        <v>29</v>
      </c>
      <c r="S1579" t="s">
        <v>50</v>
      </c>
      <c r="T1579">
        <f>YEAR(Table1_1[[#This Row],[order_date]])</f>
        <v>2024</v>
      </c>
      <c r="U1579">
        <f>MONTH(Table1_1[[#This Row],[order_date]])</f>
        <v>11</v>
      </c>
      <c r="V1579" t="str">
        <f>TEXT(Table1_1[[#This Row],[order_date]],"mmm")</f>
        <v>Nov</v>
      </c>
      <c r="W1579" t="str">
        <f>"Q"&amp;ROUNDUP(MONTH(Table1_1[[#This Row],[order_date]])/3,0)</f>
        <v>Q4</v>
      </c>
      <c r="X1579" t="str">
        <f>TEXT(Table1_1[[#This Row],[order_date]],"yyyy-mm")</f>
        <v>2024-11</v>
      </c>
      <c r="Y1579">
        <f>IF(Table1_1[[#This Row],[ship_date]]="","",Table1_1[[#This Row],[ship_date]]-Table1_1[[#This Row],[order_date]])</f>
        <v>1</v>
      </c>
      <c r="Z1579">
        <f>ROUND(Table1_1[[#This Row],[profit]]/Table1_1[[#This Row],[sales_fix]]*100,2)</f>
        <v>18.46</v>
      </c>
    </row>
    <row r="1580" spans="1:26" x14ac:dyDescent="0.3">
      <c r="A1580" t="s">
        <v>650</v>
      </c>
      <c r="B1580" s="1">
        <v>45451</v>
      </c>
      <c r="C1580" s="1">
        <v>45457</v>
      </c>
      <c r="D1580" t="s">
        <v>209</v>
      </c>
      <c r="E1580" t="s">
        <v>210</v>
      </c>
      <c r="F1580" t="s">
        <v>34</v>
      </c>
      <c r="G1580" t="s">
        <v>61</v>
      </c>
      <c r="H1580" t="s">
        <v>211</v>
      </c>
      <c r="I1580" t="s">
        <v>147</v>
      </c>
      <c r="J1580" t="s">
        <v>148</v>
      </c>
      <c r="K1580" t="s">
        <v>48</v>
      </c>
      <c r="L1580">
        <v>4</v>
      </c>
      <c r="M1580">
        <v>250</v>
      </c>
      <c r="N1580">
        <v>0</v>
      </c>
      <c r="O1580">
        <v>1000</v>
      </c>
      <c r="P1580">
        <v>417.87</v>
      </c>
      <c r="Q1580" t="s">
        <v>39</v>
      </c>
      <c r="R1580" t="s">
        <v>49</v>
      </c>
      <c r="S1580" t="s">
        <v>30</v>
      </c>
      <c r="T1580">
        <f>YEAR(Table1_1[[#This Row],[order_date]])</f>
        <v>2024</v>
      </c>
      <c r="U1580">
        <f>MONTH(Table1_1[[#This Row],[order_date]])</f>
        <v>6</v>
      </c>
      <c r="V1580" t="str">
        <f>TEXT(Table1_1[[#This Row],[order_date]],"mmm")</f>
        <v>Jun</v>
      </c>
      <c r="W1580" t="str">
        <f>"Q"&amp;ROUNDUP(MONTH(Table1_1[[#This Row],[order_date]])/3,0)</f>
        <v>Q2</v>
      </c>
      <c r="X1580" t="str">
        <f>TEXT(Table1_1[[#This Row],[order_date]],"yyyy-mm")</f>
        <v>2024-06</v>
      </c>
      <c r="Y1580">
        <f>IF(Table1_1[[#This Row],[ship_date]]="","",Table1_1[[#This Row],[ship_date]]-Table1_1[[#This Row],[order_date]])</f>
        <v>6</v>
      </c>
      <c r="Z1580">
        <f>ROUND(Table1_1[[#This Row],[profit]]/Table1_1[[#This Row],[sales_fix]]*100,2)</f>
        <v>41.79</v>
      </c>
    </row>
    <row r="1581" spans="1:26" x14ac:dyDescent="0.3">
      <c r="A1581" t="s">
        <v>2670</v>
      </c>
      <c r="B1581" s="1">
        <v>45471</v>
      </c>
      <c r="C1581" s="1">
        <v>45472</v>
      </c>
      <c r="D1581" t="s">
        <v>491</v>
      </c>
      <c r="E1581" t="s">
        <v>492</v>
      </c>
      <c r="F1581" t="s">
        <v>34</v>
      </c>
      <c r="G1581" t="s">
        <v>44</v>
      </c>
      <c r="H1581" t="s">
        <v>330</v>
      </c>
      <c r="I1581" t="s">
        <v>147</v>
      </c>
      <c r="J1581" t="s">
        <v>148</v>
      </c>
      <c r="K1581" t="s">
        <v>48</v>
      </c>
      <c r="L1581">
        <v>3</v>
      </c>
      <c r="M1581">
        <v>250</v>
      </c>
      <c r="N1581">
        <v>15</v>
      </c>
      <c r="O1581">
        <v>637.5</v>
      </c>
      <c r="P1581">
        <v>203.82</v>
      </c>
      <c r="Q1581" t="s">
        <v>66</v>
      </c>
      <c r="R1581" t="s">
        <v>49</v>
      </c>
      <c r="S1581" t="s">
        <v>50</v>
      </c>
      <c r="T1581">
        <f>YEAR(Table1_1[[#This Row],[order_date]])</f>
        <v>2024</v>
      </c>
      <c r="U1581">
        <f>MONTH(Table1_1[[#This Row],[order_date]])</f>
        <v>6</v>
      </c>
      <c r="V1581" t="str">
        <f>TEXT(Table1_1[[#This Row],[order_date]],"mmm")</f>
        <v>Jun</v>
      </c>
      <c r="W1581" t="str">
        <f>"Q"&amp;ROUNDUP(MONTH(Table1_1[[#This Row],[order_date]])/3,0)</f>
        <v>Q2</v>
      </c>
      <c r="X1581" t="str">
        <f>TEXT(Table1_1[[#This Row],[order_date]],"yyyy-mm")</f>
        <v>2024-06</v>
      </c>
      <c r="Y1581">
        <f>IF(Table1_1[[#This Row],[ship_date]]="","",Table1_1[[#This Row],[ship_date]]-Table1_1[[#This Row],[order_date]])</f>
        <v>1</v>
      </c>
      <c r="Z1581">
        <f>ROUND(Table1_1[[#This Row],[profit]]/Table1_1[[#This Row],[sales_fix]]*100,2)</f>
        <v>31.97</v>
      </c>
    </row>
    <row r="1582" spans="1:26" x14ac:dyDescent="0.3">
      <c r="A1582" t="s">
        <v>1355</v>
      </c>
      <c r="B1582" s="1">
        <v>45763</v>
      </c>
      <c r="C1582" s="1">
        <v>45770</v>
      </c>
      <c r="D1582" t="s">
        <v>1356</v>
      </c>
      <c r="E1582" t="s">
        <v>1357</v>
      </c>
      <c r="F1582" t="s">
        <v>55</v>
      </c>
      <c r="G1582" t="s">
        <v>44</v>
      </c>
      <c r="H1582" t="s">
        <v>24</v>
      </c>
      <c r="I1582" t="s">
        <v>25</v>
      </c>
      <c r="J1582" t="s">
        <v>26</v>
      </c>
      <c r="K1582" t="s">
        <v>27</v>
      </c>
      <c r="L1582">
        <v>2</v>
      </c>
      <c r="M1582">
        <v>7000</v>
      </c>
      <c r="N1582">
        <v>5</v>
      </c>
      <c r="O1582">
        <v>13300</v>
      </c>
      <c r="P1582">
        <v>2841.18</v>
      </c>
      <c r="Q1582" t="s">
        <v>39</v>
      </c>
      <c r="R1582" t="s">
        <v>56</v>
      </c>
      <c r="S1582" t="s">
        <v>30</v>
      </c>
      <c r="T1582">
        <f>YEAR(Table1_1[[#This Row],[order_date]])</f>
        <v>2025</v>
      </c>
      <c r="U1582">
        <f>MONTH(Table1_1[[#This Row],[order_date]])</f>
        <v>4</v>
      </c>
      <c r="V1582" t="str">
        <f>TEXT(Table1_1[[#This Row],[order_date]],"mmm")</f>
        <v>Apr</v>
      </c>
      <c r="W1582" t="str">
        <f>"Q"&amp;ROUNDUP(MONTH(Table1_1[[#This Row],[order_date]])/3,0)</f>
        <v>Q2</v>
      </c>
      <c r="X1582" t="str">
        <f>TEXT(Table1_1[[#This Row],[order_date]],"yyyy-mm")</f>
        <v>2025-04</v>
      </c>
      <c r="Y1582">
        <f>IF(Table1_1[[#This Row],[ship_date]]="","",Table1_1[[#This Row],[ship_date]]-Table1_1[[#This Row],[order_date]])</f>
        <v>7</v>
      </c>
      <c r="Z1582">
        <f>ROUND(Table1_1[[#This Row],[profit]]/Table1_1[[#This Row],[sales_fix]]*100,2)</f>
        <v>21.36</v>
      </c>
    </row>
    <row r="1583" spans="1:26" x14ac:dyDescent="0.3">
      <c r="A1583" t="s">
        <v>2447</v>
      </c>
      <c r="B1583" s="1">
        <v>45954</v>
      </c>
      <c r="C1583" s="1">
        <v>45961</v>
      </c>
      <c r="D1583" t="s">
        <v>460</v>
      </c>
      <c r="E1583" t="s">
        <v>461</v>
      </c>
      <c r="F1583" t="s">
        <v>34</v>
      </c>
      <c r="G1583" t="s">
        <v>61</v>
      </c>
      <c r="H1583" t="s">
        <v>62</v>
      </c>
      <c r="I1583" t="s">
        <v>147</v>
      </c>
      <c r="J1583" t="s">
        <v>148</v>
      </c>
      <c r="K1583" t="s">
        <v>48</v>
      </c>
      <c r="L1583">
        <v>1</v>
      </c>
      <c r="M1583">
        <v>250</v>
      </c>
      <c r="N1583">
        <v>10</v>
      </c>
      <c r="O1583">
        <v>225</v>
      </c>
      <c r="P1583">
        <v>83.79</v>
      </c>
      <c r="Q1583" t="s">
        <v>74</v>
      </c>
      <c r="R1583" t="s">
        <v>56</v>
      </c>
      <c r="S1583" t="s">
        <v>30</v>
      </c>
      <c r="T1583">
        <f>YEAR(Table1_1[[#This Row],[order_date]])</f>
        <v>2025</v>
      </c>
      <c r="U1583">
        <f>MONTH(Table1_1[[#This Row],[order_date]])</f>
        <v>10</v>
      </c>
      <c r="V1583" t="str">
        <f>TEXT(Table1_1[[#This Row],[order_date]],"mmm")</f>
        <v>Oct</v>
      </c>
      <c r="W1583" t="str">
        <f>"Q"&amp;ROUNDUP(MONTH(Table1_1[[#This Row],[order_date]])/3,0)</f>
        <v>Q4</v>
      </c>
      <c r="X1583" t="str">
        <f>TEXT(Table1_1[[#This Row],[order_date]],"yyyy-mm")</f>
        <v>2025-10</v>
      </c>
      <c r="Y1583">
        <f>IF(Table1_1[[#This Row],[ship_date]]="","",Table1_1[[#This Row],[ship_date]]-Table1_1[[#This Row],[order_date]])</f>
        <v>7</v>
      </c>
      <c r="Z1583">
        <f>ROUND(Table1_1[[#This Row],[profit]]/Table1_1[[#This Row],[sales_fix]]*100,2)</f>
        <v>37.24</v>
      </c>
    </row>
    <row r="1584" spans="1:26" x14ac:dyDescent="0.3">
      <c r="A1584" t="s">
        <v>2576</v>
      </c>
      <c r="B1584" s="1">
        <v>45803</v>
      </c>
      <c r="C1584" s="1">
        <v>45809</v>
      </c>
      <c r="D1584" t="s">
        <v>726</v>
      </c>
      <c r="E1584" t="s">
        <v>727</v>
      </c>
      <c r="F1584" t="s">
        <v>34</v>
      </c>
      <c r="G1584" t="s">
        <v>35</v>
      </c>
      <c r="H1584" t="s">
        <v>258</v>
      </c>
      <c r="I1584" t="s">
        <v>46</v>
      </c>
      <c r="J1584" t="s">
        <v>47</v>
      </c>
      <c r="K1584" t="s">
        <v>48</v>
      </c>
      <c r="L1584">
        <v>1</v>
      </c>
      <c r="M1584">
        <v>180</v>
      </c>
      <c r="N1584">
        <v>0</v>
      </c>
      <c r="O1584">
        <v>180</v>
      </c>
      <c r="P1584">
        <v>63.4</v>
      </c>
      <c r="Q1584" t="s">
        <v>74</v>
      </c>
      <c r="R1584" t="s">
        <v>29</v>
      </c>
      <c r="S1584" t="s">
        <v>40</v>
      </c>
      <c r="T1584">
        <f>YEAR(Table1_1[[#This Row],[order_date]])</f>
        <v>2025</v>
      </c>
      <c r="U1584">
        <f>MONTH(Table1_1[[#This Row],[order_date]])</f>
        <v>5</v>
      </c>
      <c r="V1584" t="str">
        <f>TEXT(Table1_1[[#This Row],[order_date]],"mmm")</f>
        <v>May</v>
      </c>
      <c r="W1584" t="str">
        <f>"Q"&amp;ROUNDUP(MONTH(Table1_1[[#This Row],[order_date]])/3,0)</f>
        <v>Q2</v>
      </c>
      <c r="X1584" t="str">
        <f>TEXT(Table1_1[[#This Row],[order_date]],"yyyy-mm")</f>
        <v>2025-05</v>
      </c>
      <c r="Y1584">
        <f>IF(Table1_1[[#This Row],[ship_date]]="","",Table1_1[[#This Row],[ship_date]]-Table1_1[[#This Row],[order_date]])</f>
        <v>6</v>
      </c>
      <c r="Z1584">
        <f>ROUND(Table1_1[[#This Row],[profit]]/Table1_1[[#This Row],[sales_fix]]*100,2)</f>
        <v>35.22</v>
      </c>
    </row>
    <row r="1585" spans="1:26" x14ac:dyDescent="0.3">
      <c r="A1585" t="s">
        <v>2926</v>
      </c>
      <c r="B1585" s="1">
        <v>45676</v>
      </c>
      <c r="C1585" s="1">
        <v>45680</v>
      </c>
      <c r="D1585" t="s">
        <v>261</v>
      </c>
      <c r="E1585" t="s">
        <v>262</v>
      </c>
      <c r="F1585" t="s">
        <v>23</v>
      </c>
      <c r="G1585" t="s">
        <v>35</v>
      </c>
      <c r="H1585" t="s">
        <v>85</v>
      </c>
      <c r="I1585" t="s">
        <v>134</v>
      </c>
      <c r="J1585" t="s">
        <v>135</v>
      </c>
      <c r="K1585" t="s">
        <v>27</v>
      </c>
      <c r="L1585">
        <v>1</v>
      </c>
      <c r="M1585">
        <v>6000</v>
      </c>
      <c r="N1585">
        <v>0</v>
      </c>
      <c r="O1585">
        <v>6000</v>
      </c>
      <c r="P1585">
        <v>1189.18</v>
      </c>
      <c r="Q1585" t="s">
        <v>66</v>
      </c>
      <c r="R1585" t="s">
        <v>29</v>
      </c>
      <c r="S1585" t="s">
        <v>30</v>
      </c>
      <c r="T1585">
        <f>YEAR(Table1_1[[#This Row],[order_date]])</f>
        <v>2025</v>
      </c>
      <c r="U1585">
        <f>MONTH(Table1_1[[#This Row],[order_date]])</f>
        <v>1</v>
      </c>
      <c r="V1585" t="str">
        <f>TEXT(Table1_1[[#This Row],[order_date]],"mmm")</f>
        <v>Jan</v>
      </c>
      <c r="W1585" t="str">
        <f>"Q"&amp;ROUNDUP(MONTH(Table1_1[[#This Row],[order_date]])/3,0)</f>
        <v>Q1</v>
      </c>
      <c r="X1585" t="str">
        <f>TEXT(Table1_1[[#This Row],[order_date]],"yyyy-mm")</f>
        <v>2025-01</v>
      </c>
      <c r="Y1585">
        <f>IF(Table1_1[[#This Row],[ship_date]]="","",Table1_1[[#This Row],[ship_date]]-Table1_1[[#This Row],[order_date]])</f>
        <v>4</v>
      </c>
      <c r="Z1585">
        <f>ROUND(Table1_1[[#This Row],[profit]]/Table1_1[[#This Row],[sales_fix]]*100,2)</f>
        <v>19.82</v>
      </c>
    </row>
    <row r="1586" spans="1:26" x14ac:dyDescent="0.3">
      <c r="A1586" t="s">
        <v>2885</v>
      </c>
      <c r="B1586" s="1">
        <v>45896</v>
      </c>
      <c r="C1586" s="1">
        <v>45901</v>
      </c>
      <c r="D1586" t="s">
        <v>1090</v>
      </c>
      <c r="E1586" t="s">
        <v>1091</v>
      </c>
      <c r="F1586" t="s">
        <v>23</v>
      </c>
      <c r="G1586" t="s">
        <v>61</v>
      </c>
      <c r="H1586" t="s">
        <v>78</v>
      </c>
      <c r="I1586" t="s">
        <v>147</v>
      </c>
      <c r="J1586" t="s">
        <v>148</v>
      </c>
      <c r="K1586" t="s">
        <v>48</v>
      </c>
      <c r="L1586">
        <v>3</v>
      </c>
      <c r="M1586">
        <v>250</v>
      </c>
      <c r="N1586">
        <v>15</v>
      </c>
      <c r="O1586">
        <v>637.5</v>
      </c>
      <c r="P1586">
        <v>192.76</v>
      </c>
      <c r="Q1586" t="s">
        <v>28</v>
      </c>
      <c r="R1586" t="s">
        <v>29</v>
      </c>
      <c r="S1586" t="s">
        <v>50</v>
      </c>
      <c r="T1586">
        <f>YEAR(Table1_1[[#This Row],[order_date]])</f>
        <v>2025</v>
      </c>
      <c r="U1586">
        <f>MONTH(Table1_1[[#This Row],[order_date]])</f>
        <v>8</v>
      </c>
      <c r="V1586" t="str">
        <f>TEXT(Table1_1[[#This Row],[order_date]],"mmm")</f>
        <v>Aug</v>
      </c>
      <c r="W1586" t="str">
        <f>"Q"&amp;ROUNDUP(MONTH(Table1_1[[#This Row],[order_date]])/3,0)</f>
        <v>Q3</v>
      </c>
      <c r="X1586" t="str">
        <f>TEXT(Table1_1[[#This Row],[order_date]],"yyyy-mm")</f>
        <v>2025-08</v>
      </c>
      <c r="Y1586">
        <f>IF(Table1_1[[#This Row],[ship_date]]="","",Table1_1[[#This Row],[ship_date]]-Table1_1[[#This Row],[order_date]])</f>
        <v>5</v>
      </c>
      <c r="Z1586">
        <f>ROUND(Table1_1[[#This Row],[profit]]/Table1_1[[#This Row],[sales_fix]]*100,2)</f>
        <v>30.24</v>
      </c>
    </row>
    <row r="1587" spans="1:26" x14ac:dyDescent="0.3">
      <c r="A1587" t="s">
        <v>2859</v>
      </c>
      <c r="B1587" s="1">
        <v>45741</v>
      </c>
      <c r="C1587" s="1">
        <v>45749</v>
      </c>
      <c r="D1587" t="s">
        <v>1171</v>
      </c>
      <c r="E1587" t="s">
        <v>1172</v>
      </c>
      <c r="F1587" t="s">
        <v>34</v>
      </c>
      <c r="G1587" t="s">
        <v>35</v>
      </c>
      <c r="H1587" t="s">
        <v>85</v>
      </c>
      <c r="I1587" t="s">
        <v>103</v>
      </c>
      <c r="J1587" t="s">
        <v>104</v>
      </c>
      <c r="K1587" t="s">
        <v>65</v>
      </c>
      <c r="L1587">
        <v>1</v>
      </c>
      <c r="M1587">
        <v>8000</v>
      </c>
      <c r="N1587">
        <v>5</v>
      </c>
      <c r="O1587">
        <v>7600</v>
      </c>
      <c r="P1587">
        <v>1684.43</v>
      </c>
      <c r="Q1587" t="s">
        <v>74</v>
      </c>
      <c r="R1587" t="s">
        <v>29</v>
      </c>
      <c r="S1587" t="s">
        <v>30</v>
      </c>
      <c r="T1587">
        <f>YEAR(Table1_1[[#This Row],[order_date]])</f>
        <v>2025</v>
      </c>
      <c r="U1587">
        <f>MONTH(Table1_1[[#This Row],[order_date]])</f>
        <v>3</v>
      </c>
      <c r="V1587" t="str">
        <f>TEXT(Table1_1[[#This Row],[order_date]],"mmm")</f>
        <v>Mar</v>
      </c>
      <c r="W1587" t="str">
        <f>"Q"&amp;ROUNDUP(MONTH(Table1_1[[#This Row],[order_date]])/3,0)</f>
        <v>Q1</v>
      </c>
      <c r="X1587" t="str">
        <f>TEXT(Table1_1[[#This Row],[order_date]],"yyyy-mm")</f>
        <v>2025-03</v>
      </c>
      <c r="Y1587">
        <f>IF(Table1_1[[#This Row],[ship_date]]="","",Table1_1[[#This Row],[ship_date]]-Table1_1[[#This Row],[order_date]])</f>
        <v>8</v>
      </c>
      <c r="Z1587">
        <f>ROUND(Table1_1[[#This Row],[profit]]/Table1_1[[#This Row],[sales_fix]]*100,2)</f>
        <v>22.16</v>
      </c>
    </row>
    <row r="1588" spans="1:26" x14ac:dyDescent="0.3">
      <c r="A1588" t="s">
        <v>2333</v>
      </c>
      <c r="B1588" s="1">
        <v>45344</v>
      </c>
      <c r="C1588" s="1">
        <v>45346</v>
      </c>
      <c r="D1588" t="s">
        <v>602</v>
      </c>
      <c r="E1588" t="s">
        <v>603</v>
      </c>
      <c r="F1588" t="s">
        <v>34</v>
      </c>
      <c r="G1588" t="s">
        <v>61</v>
      </c>
      <c r="H1588" t="s">
        <v>125</v>
      </c>
      <c r="I1588" t="s">
        <v>134</v>
      </c>
      <c r="J1588" t="s">
        <v>135</v>
      </c>
      <c r="K1588" t="s">
        <v>27</v>
      </c>
      <c r="L1588">
        <v>1</v>
      </c>
      <c r="M1588">
        <v>6000</v>
      </c>
      <c r="N1588">
        <v>0</v>
      </c>
      <c r="O1588">
        <v>6000</v>
      </c>
      <c r="P1588">
        <v>1524.69</v>
      </c>
      <c r="Q1588" t="s">
        <v>74</v>
      </c>
      <c r="R1588" t="s">
        <v>49</v>
      </c>
      <c r="S1588" t="s">
        <v>86</v>
      </c>
      <c r="T1588">
        <f>YEAR(Table1_1[[#This Row],[order_date]])</f>
        <v>2024</v>
      </c>
      <c r="U1588">
        <f>MONTH(Table1_1[[#This Row],[order_date]])</f>
        <v>2</v>
      </c>
      <c r="V1588" t="str">
        <f>TEXT(Table1_1[[#This Row],[order_date]],"mmm")</f>
        <v>Feb</v>
      </c>
      <c r="W1588" t="str">
        <f>"Q"&amp;ROUNDUP(MONTH(Table1_1[[#This Row],[order_date]])/3,0)</f>
        <v>Q1</v>
      </c>
      <c r="X1588" t="str">
        <f>TEXT(Table1_1[[#This Row],[order_date]],"yyyy-mm")</f>
        <v>2024-02</v>
      </c>
      <c r="Y1588">
        <f>IF(Table1_1[[#This Row],[ship_date]]="","",Table1_1[[#This Row],[ship_date]]-Table1_1[[#This Row],[order_date]])</f>
        <v>2</v>
      </c>
      <c r="Z1588">
        <f>ROUND(Table1_1[[#This Row],[profit]]/Table1_1[[#This Row],[sales_fix]]*100,2)</f>
        <v>25.41</v>
      </c>
    </row>
    <row r="1589" spans="1:26" x14ac:dyDescent="0.3">
      <c r="A1589" t="s">
        <v>2160</v>
      </c>
      <c r="B1589" s="1">
        <v>45687</v>
      </c>
      <c r="C1589" s="1">
        <v>45692</v>
      </c>
      <c r="D1589" t="s">
        <v>409</v>
      </c>
      <c r="E1589" t="s">
        <v>410</v>
      </c>
      <c r="F1589" t="s">
        <v>23</v>
      </c>
      <c r="G1589" t="s">
        <v>61</v>
      </c>
      <c r="H1589" t="s">
        <v>125</v>
      </c>
      <c r="I1589" t="s">
        <v>147</v>
      </c>
      <c r="J1589" t="s">
        <v>148</v>
      </c>
      <c r="K1589" t="s">
        <v>48</v>
      </c>
      <c r="L1589">
        <v>4</v>
      </c>
      <c r="M1589">
        <v>250</v>
      </c>
      <c r="N1589">
        <v>20</v>
      </c>
      <c r="O1589">
        <v>800</v>
      </c>
      <c r="P1589">
        <v>279.47000000000003</v>
      </c>
      <c r="Q1589" t="s">
        <v>74</v>
      </c>
      <c r="R1589" t="s">
        <v>56</v>
      </c>
      <c r="S1589" t="s">
        <v>40</v>
      </c>
      <c r="T1589">
        <f>YEAR(Table1_1[[#This Row],[order_date]])</f>
        <v>2025</v>
      </c>
      <c r="U1589">
        <f>MONTH(Table1_1[[#This Row],[order_date]])</f>
        <v>1</v>
      </c>
      <c r="V1589" t="str">
        <f>TEXT(Table1_1[[#This Row],[order_date]],"mmm")</f>
        <v>Jan</v>
      </c>
      <c r="W1589" t="str">
        <f>"Q"&amp;ROUNDUP(MONTH(Table1_1[[#This Row],[order_date]])/3,0)</f>
        <v>Q1</v>
      </c>
      <c r="X1589" t="str">
        <f>TEXT(Table1_1[[#This Row],[order_date]],"yyyy-mm")</f>
        <v>2025-01</v>
      </c>
      <c r="Y1589">
        <f>IF(Table1_1[[#This Row],[ship_date]]="","",Table1_1[[#This Row],[ship_date]]-Table1_1[[#This Row],[order_date]])</f>
        <v>5</v>
      </c>
      <c r="Z1589">
        <f>ROUND(Table1_1[[#This Row],[profit]]/Table1_1[[#This Row],[sales_fix]]*100,2)</f>
        <v>34.93</v>
      </c>
    </row>
    <row r="1590" spans="1:26" x14ac:dyDescent="0.3">
      <c r="A1590" t="s">
        <v>1740</v>
      </c>
      <c r="B1590" s="1">
        <v>45782</v>
      </c>
      <c r="C1590" s="1"/>
      <c r="D1590" t="s">
        <v>527</v>
      </c>
      <c r="E1590" t="s">
        <v>528</v>
      </c>
      <c r="F1590" t="s">
        <v>23</v>
      </c>
      <c r="G1590" t="s">
        <v>44</v>
      </c>
      <c r="H1590" t="s">
        <v>161</v>
      </c>
      <c r="I1590" t="s">
        <v>114</v>
      </c>
      <c r="J1590" t="s">
        <v>115</v>
      </c>
      <c r="K1590" t="s">
        <v>65</v>
      </c>
      <c r="L1590">
        <v>1</v>
      </c>
      <c r="M1590">
        <v>55000</v>
      </c>
      <c r="N1590">
        <v>0</v>
      </c>
      <c r="O1590">
        <v>55000</v>
      </c>
      <c r="P1590">
        <v>7696.18</v>
      </c>
      <c r="Q1590" t="s">
        <v>66</v>
      </c>
      <c r="R1590" t="s">
        <v>29</v>
      </c>
      <c r="S1590" t="s">
        <v>50</v>
      </c>
      <c r="T1590">
        <f>YEAR(Table1_1[[#This Row],[order_date]])</f>
        <v>2025</v>
      </c>
      <c r="U1590">
        <f>MONTH(Table1_1[[#This Row],[order_date]])</f>
        <v>5</v>
      </c>
      <c r="V1590" t="str">
        <f>TEXT(Table1_1[[#This Row],[order_date]],"mmm")</f>
        <v>May</v>
      </c>
      <c r="W1590" t="str">
        <f>"Q"&amp;ROUNDUP(MONTH(Table1_1[[#This Row],[order_date]])/3,0)</f>
        <v>Q2</v>
      </c>
      <c r="X1590" t="str">
        <f>TEXT(Table1_1[[#This Row],[order_date]],"yyyy-mm")</f>
        <v>2025-05</v>
      </c>
      <c r="Y1590" t="str">
        <f>IF(Table1_1[[#This Row],[ship_date]]="","",Table1_1[[#This Row],[ship_date]]-Table1_1[[#This Row],[order_date]])</f>
        <v/>
      </c>
      <c r="Z1590">
        <f>ROUND(Table1_1[[#This Row],[profit]]/Table1_1[[#This Row],[sales_fix]]*100,2)</f>
        <v>13.99</v>
      </c>
    </row>
    <row r="1591" spans="1:26" x14ac:dyDescent="0.3">
      <c r="A1591" t="s">
        <v>3018</v>
      </c>
      <c r="B1591" s="1">
        <v>45353</v>
      </c>
      <c r="C1591" s="1">
        <v>45359</v>
      </c>
      <c r="D1591" t="s">
        <v>751</v>
      </c>
      <c r="E1591" t="s">
        <v>752</v>
      </c>
      <c r="F1591" t="s">
        <v>23</v>
      </c>
      <c r="G1591" t="s">
        <v>35</v>
      </c>
      <c r="H1591" t="s">
        <v>85</v>
      </c>
      <c r="I1591" t="s">
        <v>25</v>
      </c>
      <c r="J1591" t="s">
        <v>26</v>
      </c>
      <c r="K1591" t="s">
        <v>27</v>
      </c>
      <c r="L1591">
        <v>1</v>
      </c>
      <c r="M1591">
        <v>7000</v>
      </c>
      <c r="N1591">
        <v>0</v>
      </c>
      <c r="O1591">
        <v>7000</v>
      </c>
      <c r="P1591">
        <v>1466.5</v>
      </c>
      <c r="Q1591" t="s">
        <v>66</v>
      </c>
      <c r="R1591" t="s">
        <v>49</v>
      </c>
      <c r="S1591" t="s">
        <v>30</v>
      </c>
      <c r="T1591">
        <f>YEAR(Table1_1[[#This Row],[order_date]])</f>
        <v>2024</v>
      </c>
      <c r="U1591">
        <f>MONTH(Table1_1[[#This Row],[order_date]])</f>
        <v>3</v>
      </c>
      <c r="V1591" t="str">
        <f>TEXT(Table1_1[[#This Row],[order_date]],"mmm")</f>
        <v>Mar</v>
      </c>
      <c r="W1591" t="str">
        <f>"Q"&amp;ROUNDUP(MONTH(Table1_1[[#This Row],[order_date]])/3,0)</f>
        <v>Q1</v>
      </c>
      <c r="X1591" t="str">
        <f>TEXT(Table1_1[[#This Row],[order_date]],"yyyy-mm")</f>
        <v>2024-03</v>
      </c>
      <c r="Y1591">
        <f>IF(Table1_1[[#This Row],[ship_date]]="","",Table1_1[[#This Row],[ship_date]]-Table1_1[[#This Row],[order_date]])</f>
        <v>6</v>
      </c>
      <c r="Z1591">
        <f>ROUND(Table1_1[[#This Row],[profit]]/Table1_1[[#This Row],[sales_fix]]*100,2)</f>
        <v>20.95</v>
      </c>
    </row>
    <row r="1592" spans="1:26" x14ac:dyDescent="0.3">
      <c r="A1592" t="s">
        <v>1436</v>
      </c>
      <c r="B1592" s="1">
        <v>45763</v>
      </c>
      <c r="C1592" s="1">
        <v>45764</v>
      </c>
      <c r="D1592" t="s">
        <v>1107</v>
      </c>
      <c r="E1592" t="s">
        <v>1108</v>
      </c>
      <c r="F1592" t="s">
        <v>55</v>
      </c>
      <c r="G1592" t="s">
        <v>91</v>
      </c>
      <c r="H1592" t="s">
        <v>109</v>
      </c>
      <c r="I1592" t="s">
        <v>93</v>
      </c>
      <c r="J1592" t="s">
        <v>94</v>
      </c>
      <c r="K1592" t="s">
        <v>95</v>
      </c>
      <c r="L1592">
        <v>1</v>
      </c>
      <c r="M1592">
        <v>1800</v>
      </c>
      <c r="N1592">
        <v>0</v>
      </c>
      <c r="O1592">
        <v>1800</v>
      </c>
      <c r="P1592">
        <v>512.79999999999995</v>
      </c>
      <c r="Q1592" t="s">
        <v>3113</v>
      </c>
      <c r="R1592" t="s">
        <v>56</v>
      </c>
      <c r="S1592" t="s">
        <v>86</v>
      </c>
      <c r="T1592">
        <f>YEAR(Table1_1[[#This Row],[order_date]])</f>
        <v>2025</v>
      </c>
      <c r="U1592">
        <f>MONTH(Table1_1[[#This Row],[order_date]])</f>
        <v>4</v>
      </c>
      <c r="V1592" t="str">
        <f>TEXT(Table1_1[[#This Row],[order_date]],"mmm")</f>
        <v>Apr</v>
      </c>
      <c r="W1592" t="str">
        <f>"Q"&amp;ROUNDUP(MONTH(Table1_1[[#This Row],[order_date]])/3,0)</f>
        <v>Q2</v>
      </c>
      <c r="X1592" t="str">
        <f>TEXT(Table1_1[[#This Row],[order_date]],"yyyy-mm")</f>
        <v>2025-04</v>
      </c>
      <c r="Y1592">
        <f>IF(Table1_1[[#This Row],[ship_date]]="","",Table1_1[[#This Row],[ship_date]]-Table1_1[[#This Row],[order_date]])</f>
        <v>1</v>
      </c>
      <c r="Z1592">
        <f>ROUND(Table1_1[[#This Row],[profit]]/Table1_1[[#This Row],[sales_fix]]*100,2)</f>
        <v>28.49</v>
      </c>
    </row>
    <row r="1593" spans="1:26" x14ac:dyDescent="0.3">
      <c r="A1593" t="s">
        <v>2756</v>
      </c>
      <c r="B1593" s="1">
        <v>45735</v>
      </c>
      <c r="C1593" s="1">
        <v>45737</v>
      </c>
      <c r="D1593" t="s">
        <v>281</v>
      </c>
      <c r="E1593" t="s">
        <v>282</v>
      </c>
      <c r="F1593" t="s">
        <v>34</v>
      </c>
      <c r="G1593" t="s">
        <v>61</v>
      </c>
      <c r="H1593" t="s">
        <v>62</v>
      </c>
      <c r="I1593" t="s">
        <v>147</v>
      </c>
      <c r="J1593" t="s">
        <v>148</v>
      </c>
      <c r="K1593" t="s">
        <v>48</v>
      </c>
      <c r="L1593">
        <v>3</v>
      </c>
      <c r="M1593">
        <v>250</v>
      </c>
      <c r="N1593">
        <v>0</v>
      </c>
      <c r="O1593">
        <v>750</v>
      </c>
      <c r="P1593">
        <v>289.95999999999998</v>
      </c>
      <c r="Q1593" t="s">
        <v>121</v>
      </c>
      <c r="R1593" t="s">
        <v>49</v>
      </c>
      <c r="S1593" t="s">
        <v>110</v>
      </c>
      <c r="T1593">
        <f>YEAR(Table1_1[[#This Row],[order_date]])</f>
        <v>2025</v>
      </c>
      <c r="U1593">
        <f>MONTH(Table1_1[[#This Row],[order_date]])</f>
        <v>3</v>
      </c>
      <c r="V1593" t="str">
        <f>TEXT(Table1_1[[#This Row],[order_date]],"mmm")</f>
        <v>Mar</v>
      </c>
      <c r="W1593" t="str">
        <f>"Q"&amp;ROUNDUP(MONTH(Table1_1[[#This Row],[order_date]])/3,0)</f>
        <v>Q1</v>
      </c>
      <c r="X1593" t="str">
        <f>TEXT(Table1_1[[#This Row],[order_date]],"yyyy-mm")</f>
        <v>2025-03</v>
      </c>
      <c r="Y1593">
        <f>IF(Table1_1[[#This Row],[ship_date]]="","",Table1_1[[#This Row],[ship_date]]-Table1_1[[#This Row],[order_date]])</f>
        <v>2</v>
      </c>
      <c r="Z1593">
        <f>ROUND(Table1_1[[#This Row],[profit]]/Table1_1[[#This Row],[sales_fix]]*100,2)</f>
        <v>38.659999999999997</v>
      </c>
    </row>
    <row r="1594" spans="1:26" x14ac:dyDescent="0.3">
      <c r="A1594" t="s">
        <v>2408</v>
      </c>
      <c r="B1594" s="1">
        <v>45942</v>
      </c>
      <c r="C1594" s="1">
        <v>45949</v>
      </c>
      <c r="D1594" t="s">
        <v>169</v>
      </c>
      <c r="E1594" t="s">
        <v>170</v>
      </c>
      <c r="F1594" t="s">
        <v>55</v>
      </c>
      <c r="G1594" t="s">
        <v>91</v>
      </c>
      <c r="H1594" t="s">
        <v>92</v>
      </c>
      <c r="I1594" t="s">
        <v>71</v>
      </c>
      <c r="J1594" t="s">
        <v>72</v>
      </c>
      <c r="K1594" t="s">
        <v>73</v>
      </c>
      <c r="L1594">
        <v>1</v>
      </c>
      <c r="M1594">
        <v>3500</v>
      </c>
      <c r="N1594">
        <v>0</v>
      </c>
      <c r="O1594">
        <v>3500</v>
      </c>
      <c r="P1594">
        <v>825.75</v>
      </c>
      <c r="Q1594" t="s">
        <v>74</v>
      </c>
      <c r="R1594" t="s">
        <v>49</v>
      </c>
      <c r="S1594" t="s">
        <v>50</v>
      </c>
      <c r="T1594">
        <f>YEAR(Table1_1[[#This Row],[order_date]])</f>
        <v>2025</v>
      </c>
      <c r="U1594">
        <f>MONTH(Table1_1[[#This Row],[order_date]])</f>
        <v>10</v>
      </c>
      <c r="V1594" t="str">
        <f>TEXT(Table1_1[[#This Row],[order_date]],"mmm")</f>
        <v>Oct</v>
      </c>
      <c r="W1594" t="str">
        <f>"Q"&amp;ROUNDUP(MONTH(Table1_1[[#This Row],[order_date]])/3,0)</f>
        <v>Q4</v>
      </c>
      <c r="X1594" t="str">
        <f>TEXT(Table1_1[[#This Row],[order_date]],"yyyy-mm")</f>
        <v>2025-10</v>
      </c>
      <c r="Y1594">
        <f>IF(Table1_1[[#This Row],[ship_date]]="","",Table1_1[[#This Row],[ship_date]]-Table1_1[[#This Row],[order_date]])</f>
        <v>7</v>
      </c>
      <c r="Z1594">
        <f>ROUND(Table1_1[[#This Row],[profit]]/Table1_1[[#This Row],[sales_fix]]*100,2)</f>
        <v>23.59</v>
      </c>
    </row>
    <row r="1595" spans="1:26" x14ac:dyDescent="0.3">
      <c r="A1595" t="s">
        <v>2082</v>
      </c>
      <c r="B1595" s="1">
        <v>45602</v>
      </c>
      <c r="C1595" s="1">
        <v>45609</v>
      </c>
      <c r="D1595" t="s">
        <v>767</v>
      </c>
      <c r="E1595" t="s">
        <v>768</v>
      </c>
      <c r="F1595" t="s">
        <v>23</v>
      </c>
      <c r="G1595" t="s">
        <v>35</v>
      </c>
      <c r="H1595" t="s">
        <v>258</v>
      </c>
      <c r="I1595" t="s">
        <v>114</v>
      </c>
      <c r="J1595" t="s">
        <v>115</v>
      </c>
      <c r="K1595" t="s">
        <v>65</v>
      </c>
      <c r="L1595">
        <v>1</v>
      </c>
      <c r="M1595">
        <v>55000</v>
      </c>
      <c r="N1595">
        <v>5</v>
      </c>
      <c r="O1595">
        <v>52250</v>
      </c>
      <c r="P1595">
        <v>8725.19</v>
      </c>
      <c r="Q1595" t="s">
        <v>121</v>
      </c>
      <c r="R1595" t="s">
        <v>49</v>
      </c>
      <c r="S1595" t="s">
        <v>40</v>
      </c>
      <c r="T1595">
        <f>YEAR(Table1_1[[#This Row],[order_date]])</f>
        <v>2024</v>
      </c>
      <c r="U1595">
        <f>MONTH(Table1_1[[#This Row],[order_date]])</f>
        <v>11</v>
      </c>
      <c r="V1595" t="str">
        <f>TEXT(Table1_1[[#This Row],[order_date]],"mmm")</f>
        <v>Nov</v>
      </c>
      <c r="W1595" t="str">
        <f>"Q"&amp;ROUNDUP(MONTH(Table1_1[[#This Row],[order_date]])/3,0)</f>
        <v>Q4</v>
      </c>
      <c r="X1595" t="str">
        <f>TEXT(Table1_1[[#This Row],[order_date]],"yyyy-mm")</f>
        <v>2024-11</v>
      </c>
      <c r="Y1595">
        <f>IF(Table1_1[[#This Row],[ship_date]]="","",Table1_1[[#This Row],[ship_date]]-Table1_1[[#This Row],[order_date]])</f>
        <v>7</v>
      </c>
      <c r="Z1595">
        <f>ROUND(Table1_1[[#This Row],[profit]]/Table1_1[[#This Row],[sales_fix]]*100,2)</f>
        <v>16.7</v>
      </c>
    </row>
    <row r="1596" spans="1:26" x14ac:dyDescent="0.3">
      <c r="A1596" t="s">
        <v>1519</v>
      </c>
      <c r="B1596" s="1">
        <v>45507</v>
      </c>
      <c r="C1596" s="1">
        <v>45508</v>
      </c>
      <c r="D1596" t="s">
        <v>403</v>
      </c>
      <c r="E1596" t="s">
        <v>404</v>
      </c>
      <c r="F1596" t="s">
        <v>55</v>
      </c>
      <c r="G1596" t="s">
        <v>35</v>
      </c>
      <c r="H1596" t="s">
        <v>36</v>
      </c>
      <c r="I1596" t="s">
        <v>25</v>
      </c>
      <c r="J1596" t="s">
        <v>26</v>
      </c>
      <c r="K1596" t="s">
        <v>27</v>
      </c>
      <c r="L1596">
        <v>1</v>
      </c>
      <c r="M1596">
        <v>7000</v>
      </c>
      <c r="N1596">
        <v>0</v>
      </c>
      <c r="O1596">
        <v>7000</v>
      </c>
      <c r="P1596">
        <v>1178.6500000000001</v>
      </c>
      <c r="Q1596" t="s">
        <v>74</v>
      </c>
      <c r="R1596" t="s">
        <v>56</v>
      </c>
      <c r="S1596" t="s">
        <v>57</v>
      </c>
      <c r="T1596">
        <f>YEAR(Table1_1[[#This Row],[order_date]])</f>
        <v>2024</v>
      </c>
      <c r="U1596">
        <f>MONTH(Table1_1[[#This Row],[order_date]])</f>
        <v>8</v>
      </c>
      <c r="V1596" t="str">
        <f>TEXT(Table1_1[[#This Row],[order_date]],"mmm")</f>
        <v>Aug</v>
      </c>
      <c r="W1596" t="str">
        <f>"Q"&amp;ROUNDUP(MONTH(Table1_1[[#This Row],[order_date]])/3,0)</f>
        <v>Q3</v>
      </c>
      <c r="X1596" t="str">
        <f>TEXT(Table1_1[[#This Row],[order_date]],"yyyy-mm")</f>
        <v>2024-08</v>
      </c>
      <c r="Y1596">
        <f>IF(Table1_1[[#This Row],[ship_date]]="","",Table1_1[[#This Row],[ship_date]]-Table1_1[[#This Row],[order_date]])</f>
        <v>1</v>
      </c>
      <c r="Z1596">
        <f>ROUND(Table1_1[[#This Row],[profit]]/Table1_1[[#This Row],[sales_fix]]*100,2)</f>
        <v>16.84</v>
      </c>
    </row>
    <row r="1597" spans="1:26" x14ac:dyDescent="0.3">
      <c r="A1597" t="s">
        <v>1742</v>
      </c>
      <c r="B1597" s="1">
        <v>45771</v>
      </c>
      <c r="C1597" s="1">
        <v>45779</v>
      </c>
      <c r="D1597" t="s">
        <v>138</v>
      </c>
      <c r="E1597" t="s">
        <v>139</v>
      </c>
      <c r="F1597" t="s">
        <v>55</v>
      </c>
      <c r="G1597" t="s">
        <v>35</v>
      </c>
      <c r="H1597" t="s">
        <v>36</v>
      </c>
      <c r="I1597" t="s">
        <v>103</v>
      </c>
      <c r="J1597" t="s">
        <v>104</v>
      </c>
      <c r="K1597" t="s">
        <v>65</v>
      </c>
      <c r="L1597">
        <v>5</v>
      </c>
      <c r="M1597">
        <v>8000</v>
      </c>
      <c r="N1597">
        <v>0</v>
      </c>
      <c r="O1597">
        <v>40000</v>
      </c>
      <c r="P1597">
        <v>10699.29</v>
      </c>
      <c r="Q1597" t="s">
        <v>66</v>
      </c>
      <c r="R1597" t="s">
        <v>29</v>
      </c>
      <c r="S1597" t="s">
        <v>30</v>
      </c>
      <c r="T1597">
        <f>YEAR(Table1_1[[#This Row],[order_date]])</f>
        <v>2025</v>
      </c>
      <c r="U1597">
        <f>MONTH(Table1_1[[#This Row],[order_date]])</f>
        <v>4</v>
      </c>
      <c r="V1597" t="str">
        <f>TEXT(Table1_1[[#This Row],[order_date]],"mmm")</f>
        <v>Apr</v>
      </c>
      <c r="W1597" t="str">
        <f>"Q"&amp;ROUNDUP(MONTH(Table1_1[[#This Row],[order_date]])/3,0)</f>
        <v>Q2</v>
      </c>
      <c r="X1597" t="str">
        <f>TEXT(Table1_1[[#This Row],[order_date]],"yyyy-mm")</f>
        <v>2025-04</v>
      </c>
      <c r="Y1597">
        <f>IF(Table1_1[[#This Row],[ship_date]]="","",Table1_1[[#This Row],[ship_date]]-Table1_1[[#This Row],[order_date]])</f>
        <v>8</v>
      </c>
      <c r="Z1597">
        <f>ROUND(Table1_1[[#This Row],[profit]]/Table1_1[[#This Row],[sales_fix]]*100,2)</f>
        <v>26.75</v>
      </c>
    </row>
    <row r="1598" spans="1:26" x14ac:dyDescent="0.3">
      <c r="A1598" t="s">
        <v>3098</v>
      </c>
      <c r="B1598" s="1">
        <v>45673</v>
      </c>
      <c r="C1598" s="1">
        <v>45679</v>
      </c>
      <c r="D1598" t="s">
        <v>1135</v>
      </c>
      <c r="E1598" t="s">
        <v>1136</v>
      </c>
      <c r="F1598" t="s">
        <v>55</v>
      </c>
      <c r="G1598" t="s">
        <v>61</v>
      </c>
      <c r="H1598" t="s">
        <v>125</v>
      </c>
      <c r="I1598" t="s">
        <v>93</v>
      </c>
      <c r="J1598" t="s">
        <v>94</v>
      </c>
      <c r="K1598" t="s">
        <v>95</v>
      </c>
      <c r="L1598">
        <v>4</v>
      </c>
      <c r="M1598">
        <v>1800</v>
      </c>
      <c r="N1598">
        <v>0</v>
      </c>
      <c r="O1598">
        <v>7200</v>
      </c>
      <c r="P1598">
        <v>2345.66</v>
      </c>
      <c r="Q1598" t="s">
        <v>156</v>
      </c>
      <c r="R1598" t="s">
        <v>56</v>
      </c>
      <c r="S1598" t="s">
        <v>110</v>
      </c>
      <c r="T1598">
        <f>YEAR(Table1_1[[#This Row],[order_date]])</f>
        <v>2025</v>
      </c>
      <c r="U1598">
        <f>MONTH(Table1_1[[#This Row],[order_date]])</f>
        <v>1</v>
      </c>
      <c r="V1598" t="str">
        <f>TEXT(Table1_1[[#This Row],[order_date]],"mmm")</f>
        <v>Jan</v>
      </c>
      <c r="W1598" t="str">
        <f>"Q"&amp;ROUNDUP(MONTH(Table1_1[[#This Row],[order_date]])/3,0)</f>
        <v>Q1</v>
      </c>
      <c r="X1598" t="str">
        <f>TEXT(Table1_1[[#This Row],[order_date]],"yyyy-mm")</f>
        <v>2025-01</v>
      </c>
      <c r="Y1598">
        <f>IF(Table1_1[[#This Row],[ship_date]]="","",Table1_1[[#This Row],[ship_date]]-Table1_1[[#This Row],[order_date]])</f>
        <v>6</v>
      </c>
      <c r="Z1598">
        <f>ROUND(Table1_1[[#This Row],[profit]]/Table1_1[[#This Row],[sales_fix]]*100,2)</f>
        <v>32.58</v>
      </c>
    </row>
    <row r="1599" spans="1:26" x14ac:dyDescent="0.3">
      <c r="A1599" t="s">
        <v>1883</v>
      </c>
      <c r="B1599" s="1">
        <v>45975</v>
      </c>
      <c r="C1599" s="1">
        <v>45979</v>
      </c>
      <c r="D1599" t="s">
        <v>1380</v>
      </c>
      <c r="E1599" t="s">
        <v>1381</v>
      </c>
      <c r="F1599" t="s">
        <v>55</v>
      </c>
      <c r="G1599" t="s">
        <v>61</v>
      </c>
      <c r="H1599" t="s">
        <v>78</v>
      </c>
      <c r="I1599" t="s">
        <v>79</v>
      </c>
      <c r="J1599" t="s">
        <v>80</v>
      </c>
      <c r="K1599" t="s">
        <v>65</v>
      </c>
      <c r="L1599">
        <v>3</v>
      </c>
      <c r="M1599">
        <v>3000</v>
      </c>
      <c r="N1599">
        <v>10</v>
      </c>
      <c r="O1599">
        <v>8100</v>
      </c>
      <c r="P1599">
        <v>2430</v>
      </c>
      <c r="Q1599" t="s">
        <v>121</v>
      </c>
      <c r="R1599" t="s">
        <v>29</v>
      </c>
      <c r="S1599" t="s">
        <v>30</v>
      </c>
      <c r="T1599">
        <f>YEAR(Table1_1[[#This Row],[order_date]])</f>
        <v>2025</v>
      </c>
      <c r="U1599">
        <f>MONTH(Table1_1[[#This Row],[order_date]])</f>
        <v>11</v>
      </c>
      <c r="V1599" t="str">
        <f>TEXT(Table1_1[[#This Row],[order_date]],"mmm")</f>
        <v>Nov</v>
      </c>
      <c r="W1599" t="str">
        <f>"Q"&amp;ROUNDUP(MONTH(Table1_1[[#This Row],[order_date]])/3,0)</f>
        <v>Q4</v>
      </c>
      <c r="X1599" t="str">
        <f>TEXT(Table1_1[[#This Row],[order_date]],"yyyy-mm")</f>
        <v>2025-11</v>
      </c>
      <c r="Y1599">
        <f>IF(Table1_1[[#This Row],[ship_date]]="","",Table1_1[[#This Row],[ship_date]]-Table1_1[[#This Row],[order_date]])</f>
        <v>4</v>
      </c>
      <c r="Z1599">
        <f>ROUND(Table1_1[[#This Row],[profit]]/Table1_1[[#This Row],[sales_fix]]*100,2)</f>
        <v>30</v>
      </c>
    </row>
    <row r="1600" spans="1:26" x14ac:dyDescent="0.3">
      <c r="A1600" t="s">
        <v>2922</v>
      </c>
      <c r="B1600" s="1">
        <v>45628</v>
      </c>
      <c r="C1600" s="1">
        <v>45629</v>
      </c>
      <c r="D1600" t="s">
        <v>32</v>
      </c>
      <c r="E1600" t="s">
        <v>33</v>
      </c>
      <c r="F1600" t="s">
        <v>34</v>
      </c>
      <c r="G1600" t="s">
        <v>35</v>
      </c>
      <c r="H1600" t="s">
        <v>36</v>
      </c>
      <c r="I1600" t="s">
        <v>25</v>
      </c>
      <c r="J1600" t="s">
        <v>26</v>
      </c>
      <c r="K1600" t="s">
        <v>27</v>
      </c>
      <c r="L1600">
        <v>1</v>
      </c>
      <c r="M1600">
        <v>7000</v>
      </c>
      <c r="N1600">
        <v>15</v>
      </c>
      <c r="O1600">
        <v>5950</v>
      </c>
      <c r="P1600">
        <v>1435.35</v>
      </c>
      <c r="Q1600" t="s">
        <v>39</v>
      </c>
      <c r="R1600" t="s">
        <v>49</v>
      </c>
      <c r="S1600" t="s">
        <v>110</v>
      </c>
      <c r="T1600">
        <f>YEAR(Table1_1[[#This Row],[order_date]])</f>
        <v>2024</v>
      </c>
      <c r="U1600">
        <f>MONTH(Table1_1[[#This Row],[order_date]])</f>
        <v>12</v>
      </c>
      <c r="V1600" t="str">
        <f>TEXT(Table1_1[[#This Row],[order_date]],"mmm")</f>
        <v>Dec</v>
      </c>
      <c r="W1600" t="str">
        <f>"Q"&amp;ROUNDUP(MONTH(Table1_1[[#This Row],[order_date]])/3,0)</f>
        <v>Q4</v>
      </c>
      <c r="X1600" t="str">
        <f>TEXT(Table1_1[[#This Row],[order_date]],"yyyy-mm")</f>
        <v>2024-12</v>
      </c>
      <c r="Y1600">
        <f>IF(Table1_1[[#This Row],[ship_date]]="","",Table1_1[[#This Row],[ship_date]]-Table1_1[[#This Row],[order_date]])</f>
        <v>1</v>
      </c>
      <c r="Z1600">
        <f>ROUND(Table1_1[[#This Row],[profit]]/Table1_1[[#This Row],[sales_fix]]*100,2)</f>
        <v>24.12</v>
      </c>
    </row>
    <row r="1601" spans="1:26" x14ac:dyDescent="0.3">
      <c r="A1601" t="s">
        <v>2584</v>
      </c>
      <c r="B1601" s="1">
        <v>45860</v>
      </c>
      <c r="C1601" s="1">
        <v>45864</v>
      </c>
      <c r="D1601" t="s">
        <v>179</v>
      </c>
      <c r="E1601" t="s">
        <v>180</v>
      </c>
      <c r="F1601" t="s">
        <v>23</v>
      </c>
      <c r="G1601" t="s">
        <v>91</v>
      </c>
      <c r="H1601" t="s">
        <v>177</v>
      </c>
      <c r="I1601" t="s">
        <v>79</v>
      </c>
      <c r="J1601" t="s">
        <v>80</v>
      </c>
      <c r="K1601" t="s">
        <v>65</v>
      </c>
      <c r="L1601">
        <v>1</v>
      </c>
      <c r="M1601">
        <v>3000</v>
      </c>
      <c r="N1601">
        <v>20</v>
      </c>
      <c r="O1601">
        <v>2400</v>
      </c>
      <c r="P1601">
        <v>567.05999999999995</v>
      </c>
      <c r="Q1601" t="s">
        <v>28</v>
      </c>
      <c r="R1601" t="s">
        <v>29</v>
      </c>
      <c r="S1601" t="s">
        <v>86</v>
      </c>
      <c r="T1601">
        <f>YEAR(Table1_1[[#This Row],[order_date]])</f>
        <v>2025</v>
      </c>
      <c r="U1601">
        <f>MONTH(Table1_1[[#This Row],[order_date]])</f>
        <v>7</v>
      </c>
      <c r="V1601" t="str">
        <f>TEXT(Table1_1[[#This Row],[order_date]],"mmm")</f>
        <v>Jul</v>
      </c>
      <c r="W1601" t="str">
        <f>"Q"&amp;ROUNDUP(MONTH(Table1_1[[#This Row],[order_date]])/3,0)</f>
        <v>Q3</v>
      </c>
      <c r="X1601" t="str">
        <f>TEXT(Table1_1[[#This Row],[order_date]],"yyyy-mm")</f>
        <v>2025-07</v>
      </c>
      <c r="Y1601">
        <f>IF(Table1_1[[#This Row],[ship_date]]="","",Table1_1[[#This Row],[ship_date]]-Table1_1[[#This Row],[order_date]])</f>
        <v>4</v>
      </c>
      <c r="Z1601">
        <f>ROUND(Table1_1[[#This Row],[profit]]/Table1_1[[#This Row],[sales_fix]]*100,2)</f>
        <v>23.63</v>
      </c>
    </row>
    <row r="1602" spans="1:26" x14ac:dyDescent="0.3">
      <c r="A1602" t="s">
        <v>1466</v>
      </c>
      <c r="B1602" s="1">
        <v>45663</v>
      </c>
      <c r="C1602" s="1">
        <v>45669</v>
      </c>
      <c r="D1602" t="s">
        <v>265</v>
      </c>
      <c r="E1602" t="s">
        <v>266</v>
      </c>
      <c r="F1602" t="s">
        <v>55</v>
      </c>
      <c r="G1602" t="s">
        <v>44</v>
      </c>
      <c r="H1602" t="s">
        <v>45</v>
      </c>
      <c r="I1602" t="s">
        <v>46</v>
      </c>
      <c r="J1602" t="s">
        <v>47</v>
      </c>
      <c r="K1602" t="s">
        <v>48</v>
      </c>
      <c r="L1602">
        <v>2</v>
      </c>
      <c r="M1602">
        <v>180</v>
      </c>
      <c r="N1602">
        <v>5</v>
      </c>
      <c r="O1602">
        <v>342</v>
      </c>
      <c r="P1602">
        <v>133.54</v>
      </c>
      <c r="Q1602" t="s">
        <v>74</v>
      </c>
      <c r="R1602" t="s">
        <v>29</v>
      </c>
      <c r="S1602" t="s">
        <v>50</v>
      </c>
      <c r="T1602">
        <f>YEAR(Table1_1[[#This Row],[order_date]])</f>
        <v>2025</v>
      </c>
      <c r="U1602">
        <f>MONTH(Table1_1[[#This Row],[order_date]])</f>
        <v>1</v>
      </c>
      <c r="V1602" t="str">
        <f>TEXT(Table1_1[[#This Row],[order_date]],"mmm")</f>
        <v>Jan</v>
      </c>
      <c r="W1602" t="str">
        <f>"Q"&amp;ROUNDUP(MONTH(Table1_1[[#This Row],[order_date]])/3,0)</f>
        <v>Q1</v>
      </c>
      <c r="X1602" t="str">
        <f>TEXT(Table1_1[[#This Row],[order_date]],"yyyy-mm")</f>
        <v>2025-01</v>
      </c>
      <c r="Y1602">
        <f>IF(Table1_1[[#This Row],[ship_date]]="","",Table1_1[[#This Row],[ship_date]]-Table1_1[[#This Row],[order_date]])</f>
        <v>6</v>
      </c>
      <c r="Z1602">
        <f>ROUND(Table1_1[[#This Row],[profit]]/Table1_1[[#This Row],[sales_fix]]*100,2)</f>
        <v>39.049999999999997</v>
      </c>
    </row>
    <row r="1603" spans="1:26" x14ac:dyDescent="0.3">
      <c r="A1603" t="s">
        <v>2770</v>
      </c>
      <c r="B1603" s="1">
        <v>45784</v>
      </c>
      <c r="C1603" s="1">
        <v>45790</v>
      </c>
      <c r="D1603" t="s">
        <v>431</v>
      </c>
      <c r="E1603" t="s">
        <v>432</v>
      </c>
      <c r="F1603" t="s">
        <v>23</v>
      </c>
      <c r="G1603" t="s">
        <v>91</v>
      </c>
      <c r="H1603" t="s">
        <v>120</v>
      </c>
      <c r="I1603" t="s">
        <v>93</v>
      </c>
      <c r="J1603" t="s">
        <v>94</v>
      </c>
      <c r="K1603" t="s">
        <v>95</v>
      </c>
      <c r="L1603">
        <v>5</v>
      </c>
      <c r="M1603">
        <v>1800</v>
      </c>
      <c r="N1603">
        <v>15</v>
      </c>
      <c r="O1603">
        <v>7650</v>
      </c>
      <c r="P1603">
        <v>1945.28</v>
      </c>
      <c r="Q1603" t="s">
        <v>66</v>
      </c>
      <c r="R1603" t="s">
        <v>49</v>
      </c>
      <c r="S1603" t="s">
        <v>30</v>
      </c>
      <c r="T1603">
        <f>YEAR(Table1_1[[#This Row],[order_date]])</f>
        <v>2025</v>
      </c>
      <c r="U1603">
        <f>MONTH(Table1_1[[#This Row],[order_date]])</f>
        <v>5</v>
      </c>
      <c r="V1603" t="str">
        <f>TEXT(Table1_1[[#This Row],[order_date]],"mmm")</f>
        <v>May</v>
      </c>
      <c r="W1603" t="str">
        <f>"Q"&amp;ROUNDUP(MONTH(Table1_1[[#This Row],[order_date]])/3,0)</f>
        <v>Q2</v>
      </c>
      <c r="X1603" t="str">
        <f>TEXT(Table1_1[[#This Row],[order_date]],"yyyy-mm")</f>
        <v>2025-05</v>
      </c>
      <c r="Y1603">
        <f>IF(Table1_1[[#This Row],[ship_date]]="","",Table1_1[[#This Row],[ship_date]]-Table1_1[[#This Row],[order_date]])</f>
        <v>6</v>
      </c>
      <c r="Z1603">
        <f>ROUND(Table1_1[[#This Row],[profit]]/Table1_1[[#This Row],[sales_fix]]*100,2)</f>
        <v>25.43</v>
      </c>
    </row>
    <row r="1604" spans="1:26" x14ac:dyDescent="0.3">
      <c r="A1604" t="s">
        <v>3017</v>
      </c>
      <c r="B1604" s="1">
        <v>45716</v>
      </c>
      <c r="C1604" s="1">
        <v>45722</v>
      </c>
      <c r="D1604" t="s">
        <v>634</v>
      </c>
      <c r="E1604" t="s">
        <v>635</v>
      </c>
      <c r="F1604" t="s">
        <v>23</v>
      </c>
      <c r="G1604" t="s">
        <v>91</v>
      </c>
      <c r="H1604" t="s">
        <v>177</v>
      </c>
      <c r="I1604" t="s">
        <v>79</v>
      </c>
      <c r="J1604" t="s">
        <v>80</v>
      </c>
      <c r="K1604" t="s">
        <v>65</v>
      </c>
      <c r="L1604">
        <v>2</v>
      </c>
      <c r="M1604">
        <v>3000</v>
      </c>
      <c r="N1604">
        <v>0</v>
      </c>
      <c r="O1604">
        <v>6000</v>
      </c>
      <c r="P1604">
        <v>1500.33</v>
      </c>
      <c r="Q1604" t="s">
        <v>66</v>
      </c>
      <c r="R1604" t="s">
        <v>49</v>
      </c>
      <c r="S1604" t="s">
        <v>50</v>
      </c>
      <c r="T1604">
        <f>YEAR(Table1_1[[#This Row],[order_date]])</f>
        <v>2025</v>
      </c>
      <c r="U1604">
        <f>MONTH(Table1_1[[#This Row],[order_date]])</f>
        <v>2</v>
      </c>
      <c r="V1604" t="str">
        <f>TEXT(Table1_1[[#This Row],[order_date]],"mmm")</f>
        <v>Feb</v>
      </c>
      <c r="W1604" t="str">
        <f>"Q"&amp;ROUNDUP(MONTH(Table1_1[[#This Row],[order_date]])/3,0)</f>
        <v>Q1</v>
      </c>
      <c r="X1604" t="str">
        <f>TEXT(Table1_1[[#This Row],[order_date]],"yyyy-mm")</f>
        <v>2025-02</v>
      </c>
      <c r="Y1604">
        <f>IF(Table1_1[[#This Row],[ship_date]]="","",Table1_1[[#This Row],[ship_date]]-Table1_1[[#This Row],[order_date]])</f>
        <v>6</v>
      </c>
      <c r="Z1604">
        <f>ROUND(Table1_1[[#This Row],[profit]]/Table1_1[[#This Row],[sales_fix]]*100,2)</f>
        <v>25.01</v>
      </c>
    </row>
    <row r="1605" spans="1:26" x14ac:dyDescent="0.3">
      <c r="A1605" t="s">
        <v>1862</v>
      </c>
      <c r="B1605" s="1">
        <v>45697</v>
      </c>
      <c r="C1605" s="1">
        <v>45701</v>
      </c>
      <c r="D1605" t="s">
        <v>230</v>
      </c>
      <c r="E1605" t="s">
        <v>231</v>
      </c>
      <c r="F1605" t="s">
        <v>55</v>
      </c>
      <c r="G1605" t="s">
        <v>44</v>
      </c>
      <c r="H1605" t="s">
        <v>161</v>
      </c>
      <c r="I1605" t="s">
        <v>147</v>
      </c>
      <c r="J1605" t="s">
        <v>148</v>
      </c>
      <c r="K1605" t="s">
        <v>48</v>
      </c>
      <c r="L1605">
        <v>2</v>
      </c>
      <c r="M1605">
        <v>250</v>
      </c>
      <c r="N1605">
        <v>5</v>
      </c>
      <c r="O1605">
        <v>475</v>
      </c>
      <c r="P1605">
        <v>165.69</v>
      </c>
      <c r="Q1605" t="s">
        <v>74</v>
      </c>
      <c r="R1605" t="s">
        <v>29</v>
      </c>
      <c r="S1605" t="s">
        <v>40</v>
      </c>
      <c r="T1605">
        <f>YEAR(Table1_1[[#This Row],[order_date]])</f>
        <v>2025</v>
      </c>
      <c r="U1605">
        <f>MONTH(Table1_1[[#This Row],[order_date]])</f>
        <v>2</v>
      </c>
      <c r="V1605" t="str">
        <f>TEXT(Table1_1[[#This Row],[order_date]],"mmm")</f>
        <v>Feb</v>
      </c>
      <c r="W1605" t="str">
        <f>"Q"&amp;ROUNDUP(MONTH(Table1_1[[#This Row],[order_date]])/3,0)</f>
        <v>Q1</v>
      </c>
      <c r="X1605" t="str">
        <f>TEXT(Table1_1[[#This Row],[order_date]],"yyyy-mm")</f>
        <v>2025-02</v>
      </c>
      <c r="Y1605">
        <f>IF(Table1_1[[#This Row],[ship_date]]="","",Table1_1[[#This Row],[ship_date]]-Table1_1[[#This Row],[order_date]])</f>
        <v>4</v>
      </c>
      <c r="Z1605">
        <f>ROUND(Table1_1[[#This Row],[profit]]/Table1_1[[#This Row],[sales_fix]]*100,2)</f>
        <v>34.880000000000003</v>
      </c>
    </row>
    <row r="1606" spans="1:26" x14ac:dyDescent="0.3">
      <c r="A1606" t="s">
        <v>2428</v>
      </c>
      <c r="B1606" s="1">
        <v>45455</v>
      </c>
      <c r="C1606" s="1">
        <v>45457</v>
      </c>
      <c r="D1606" t="s">
        <v>1132</v>
      </c>
      <c r="E1606" t="s">
        <v>1133</v>
      </c>
      <c r="F1606" t="s">
        <v>34</v>
      </c>
      <c r="G1606" t="s">
        <v>91</v>
      </c>
      <c r="H1606" t="s">
        <v>177</v>
      </c>
      <c r="I1606" t="s">
        <v>37</v>
      </c>
      <c r="J1606" t="s">
        <v>38</v>
      </c>
      <c r="K1606" t="s">
        <v>27</v>
      </c>
      <c r="L1606">
        <v>2</v>
      </c>
      <c r="M1606">
        <v>9500</v>
      </c>
      <c r="N1606">
        <v>10</v>
      </c>
      <c r="O1606">
        <v>17100</v>
      </c>
      <c r="P1606">
        <v>2909.53</v>
      </c>
      <c r="Q1606" t="s">
        <v>66</v>
      </c>
      <c r="R1606" t="s">
        <v>29</v>
      </c>
      <c r="S1606" t="s">
        <v>86</v>
      </c>
      <c r="T1606">
        <f>YEAR(Table1_1[[#This Row],[order_date]])</f>
        <v>2024</v>
      </c>
      <c r="U1606">
        <f>MONTH(Table1_1[[#This Row],[order_date]])</f>
        <v>6</v>
      </c>
      <c r="V1606" t="str">
        <f>TEXT(Table1_1[[#This Row],[order_date]],"mmm")</f>
        <v>Jun</v>
      </c>
      <c r="W1606" t="str">
        <f>"Q"&amp;ROUNDUP(MONTH(Table1_1[[#This Row],[order_date]])/3,0)</f>
        <v>Q2</v>
      </c>
      <c r="X1606" t="str">
        <f>TEXT(Table1_1[[#This Row],[order_date]],"yyyy-mm")</f>
        <v>2024-06</v>
      </c>
      <c r="Y1606">
        <f>IF(Table1_1[[#This Row],[ship_date]]="","",Table1_1[[#This Row],[ship_date]]-Table1_1[[#This Row],[order_date]])</f>
        <v>2</v>
      </c>
      <c r="Z1606">
        <f>ROUND(Table1_1[[#This Row],[profit]]/Table1_1[[#This Row],[sales_fix]]*100,2)</f>
        <v>17.010000000000002</v>
      </c>
    </row>
    <row r="1607" spans="1:26" x14ac:dyDescent="0.3">
      <c r="A1607" t="s">
        <v>399</v>
      </c>
      <c r="B1607" s="1">
        <v>45845</v>
      </c>
      <c r="C1607" s="1">
        <v>45848</v>
      </c>
      <c r="D1607" t="s">
        <v>400</v>
      </c>
      <c r="E1607" t="s">
        <v>401</v>
      </c>
      <c r="F1607" t="s">
        <v>34</v>
      </c>
      <c r="G1607" t="s">
        <v>44</v>
      </c>
      <c r="H1607" t="s">
        <v>24</v>
      </c>
      <c r="I1607" t="s">
        <v>79</v>
      </c>
      <c r="J1607" t="s">
        <v>80</v>
      </c>
      <c r="K1607" t="s">
        <v>65</v>
      </c>
      <c r="L1607">
        <v>2</v>
      </c>
      <c r="M1607">
        <v>3000</v>
      </c>
      <c r="N1607">
        <v>0</v>
      </c>
      <c r="O1607">
        <v>6000</v>
      </c>
      <c r="P1607">
        <v>1932.75</v>
      </c>
      <c r="Q1607" t="s">
        <v>66</v>
      </c>
      <c r="R1607" t="s">
        <v>29</v>
      </c>
      <c r="S1607" t="s">
        <v>30</v>
      </c>
      <c r="T1607">
        <f>YEAR(Table1_1[[#This Row],[order_date]])</f>
        <v>2025</v>
      </c>
      <c r="U1607">
        <f>MONTH(Table1_1[[#This Row],[order_date]])</f>
        <v>7</v>
      </c>
      <c r="V1607" t="str">
        <f>TEXT(Table1_1[[#This Row],[order_date]],"mmm")</f>
        <v>Jul</v>
      </c>
      <c r="W1607" t="str">
        <f>"Q"&amp;ROUNDUP(MONTH(Table1_1[[#This Row],[order_date]])/3,0)</f>
        <v>Q3</v>
      </c>
      <c r="X1607" t="str">
        <f>TEXT(Table1_1[[#This Row],[order_date]],"yyyy-mm")</f>
        <v>2025-07</v>
      </c>
      <c r="Y1607">
        <f>IF(Table1_1[[#This Row],[ship_date]]="","",Table1_1[[#This Row],[ship_date]]-Table1_1[[#This Row],[order_date]])</f>
        <v>3</v>
      </c>
      <c r="Z1607">
        <f>ROUND(Table1_1[[#This Row],[profit]]/Table1_1[[#This Row],[sales_fix]]*100,2)</f>
        <v>32.21</v>
      </c>
    </row>
    <row r="1608" spans="1:26" x14ac:dyDescent="0.3">
      <c r="A1608" t="s">
        <v>810</v>
      </c>
      <c r="B1608" s="1">
        <v>45428</v>
      </c>
      <c r="C1608" s="1">
        <v>45434</v>
      </c>
      <c r="D1608" t="s">
        <v>153</v>
      </c>
      <c r="E1608" t="s">
        <v>154</v>
      </c>
      <c r="F1608" t="s">
        <v>23</v>
      </c>
      <c r="G1608" t="s">
        <v>44</v>
      </c>
      <c r="H1608" t="s">
        <v>155</v>
      </c>
      <c r="I1608" t="s">
        <v>114</v>
      </c>
      <c r="J1608" t="s">
        <v>115</v>
      </c>
      <c r="K1608" t="s">
        <v>65</v>
      </c>
      <c r="L1608">
        <v>1</v>
      </c>
      <c r="M1608">
        <v>55000</v>
      </c>
      <c r="N1608">
        <v>20</v>
      </c>
      <c r="O1608">
        <v>44000</v>
      </c>
      <c r="P1608">
        <v>6705.92</v>
      </c>
      <c r="Q1608" t="s">
        <v>156</v>
      </c>
      <c r="R1608" t="s">
        <v>56</v>
      </c>
      <c r="S1608" t="s">
        <v>86</v>
      </c>
      <c r="T1608">
        <f>YEAR(Table1_1[[#This Row],[order_date]])</f>
        <v>2024</v>
      </c>
      <c r="U1608">
        <f>MONTH(Table1_1[[#This Row],[order_date]])</f>
        <v>5</v>
      </c>
      <c r="V1608" t="str">
        <f>TEXT(Table1_1[[#This Row],[order_date]],"mmm")</f>
        <v>May</v>
      </c>
      <c r="W1608" t="str">
        <f>"Q"&amp;ROUNDUP(MONTH(Table1_1[[#This Row],[order_date]])/3,0)</f>
        <v>Q2</v>
      </c>
      <c r="X1608" t="str">
        <f>TEXT(Table1_1[[#This Row],[order_date]],"yyyy-mm")</f>
        <v>2024-05</v>
      </c>
      <c r="Y1608">
        <f>IF(Table1_1[[#This Row],[ship_date]]="","",Table1_1[[#This Row],[ship_date]]-Table1_1[[#This Row],[order_date]])</f>
        <v>6</v>
      </c>
      <c r="Z1608">
        <f>ROUND(Table1_1[[#This Row],[profit]]/Table1_1[[#This Row],[sales_fix]]*100,2)</f>
        <v>15.24</v>
      </c>
    </row>
    <row r="1609" spans="1:26" x14ac:dyDescent="0.3">
      <c r="A1609" t="s">
        <v>2392</v>
      </c>
      <c r="B1609" s="1">
        <v>45609</v>
      </c>
      <c r="C1609" s="1">
        <v>45610</v>
      </c>
      <c r="D1609" t="s">
        <v>352</v>
      </c>
      <c r="E1609" t="s">
        <v>353</v>
      </c>
      <c r="F1609" t="s">
        <v>55</v>
      </c>
      <c r="G1609" t="s">
        <v>35</v>
      </c>
      <c r="H1609" t="s">
        <v>36</v>
      </c>
      <c r="I1609" t="s">
        <v>79</v>
      </c>
      <c r="J1609" t="s">
        <v>80</v>
      </c>
      <c r="K1609" t="s">
        <v>65</v>
      </c>
      <c r="L1609">
        <v>1</v>
      </c>
      <c r="M1609">
        <v>3000</v>
      </c>
      <c r="N1609">
        <v>10</v>
      </c>
      <c r="O1609">
        <v>2700</v>
      </c>
      <c r="P1609">
        <v>593.67999999999995</v>
      </c>
      <c r="Q1609" t="s">
        <v>39</v>
      </c>
      <c r="R1609" t="s">
        <v>29</v>
      </c>
      <c r="S1609" t="s">
        <v>50</v>
      </c>
      <c r="T1609">
        <f>YEAR(Table1_1[[#This Row],[order_date]])</f>
        <v>2024</v>
      </c>
      <c r="U1609">
        <f>MONTH(Table1_1[[#This Row],[order_date]])</f>
        <v>11</v>
      </c>
      <c r="V1609" t="str">
        <f>TEXT(Table1_1[[#This Row],[order_date]],"mmm")</f>
        <v>Nov</v>
      </c>
      <c r="W1609" t="str">
        <f>"Q"&amp;ROUNDUP(MONTH(Table1_1[[#This Row],[order_date]])/3,0)</f>
        <v>Q4</v>
      </c>
      <c r="X1609" t="str">
        <f>TEXT(Table1_1[[#This Row],[order_date]],"yyyy-mm")</f>
        <v>2024-11</v>
      </c>
      <c r="Y1609">
        <f>IF(Table1_1[[#This Row],[ship_date]]="","",Table1_1[[#This Row],[ship_date]]-Table1_1[[#This Row],[order_date]])</f>
        <v>1</v>
      </c>
      <c r="Z1609">
        <f>ROUND(Table1_1[[#This Row],[profit]]/Table1_1[[#This Row],[sales_fix]]*100,2)</f>
        <v>21.99</v>
      </c>
    </row>
    <row r="1610" spans="1:26" x14ac:dyDescent="0.3">
      <c r="A1610" t="s">
        <v>2796</v>
      </c>
      <c r="B1610" s="1">
        <v>45794</v>
      </c>
      <c r="C1610" s="1">
        <v>45796</v>
      </c>
      <c r="D1610" t="s">
        <v>847</v>
      </c>
      <c r="E1610" t="s">
        <v>848</v>
      </c>
      <c r="F1610" t="s">
        <v>23</v>
      </c>
      <c r="G1610" t="s">
        <v>44</v>
      </c>
      <c r="H1610" t="s">
        <v>161</v>
      </c>
      <c r="I1610" t="s">
        <v>134</v>
      </c>
      <c r="J1610" t="s">
        <v>135</v>
      </c>
      <c r="K1610" t="s">
        <v>27</v>
      </c>
      <c r="L1610">
        <v>1</v>
      </c>
      <c r="M1610">
        <v>6000</v>
      </c>
      <c r="N1610">
        <v>10</v>
      </c>
      <c r="O1610">
        <v>5400</v>
      </c>
      <c r="P1610">
        <v>1058.28</v>
      </c>
      <c r="Q1610" t="s">
        <v>39</v>
      </c>
      <c r="R1610" t="s">
        <v>49</v>
      </c>
      <c r="S1610" t="s">
        <v>50</v>
      </c>
      <c r="T1610">
        <f>YEAR(Table1_1[[#This Row],[order_date]])</f>
        <v>2025</v>
      </c>
      <c r="U1610">
        <f>MONTH(Table1_1[[#This Row],[order_date]])</f>
        <v>5</v>
      </c>
      <c r="V1610" t="str">
        <f>TEXT(Table1_1[[#This Row],[order_date]],"mmm")</f>
        <v>May</v>
      </c>
      <c r="W1610" t="str">
        <f>"Q"&amp;ROUNDUP(MONTH(Table1_1[[#This Row],[order_date]])/3,0)</f>
        <v>Q2</v>
      </c>
      <c r="X1610" t="str">
        <f>TEXT(Table1_1[[#This Row],[order_date]],"yyyy-mm")</f>
        <v>2025-05</v>
      </c>
      <c r="Y1610">
        <f>IF(Table1_1[[#This Row],[ship_date]]="","",Table1_1[[#This Row],[ship_date]]-Table1_1[[#This Row],[order_date]])</f>
        <v>2</v>
      </c>
      <c r="Z1610">
        <f>ROUND(Table1_1[[#This Row],[profit]]/Table1_1[[#This Row],[sales_fix]]*100,2)</f>
        <v>19.600000000000001</v>
      </c>
    </row>
    <row r="1611" spans="1:26" x14ac:dyDescent="0.3">
      <c r="A1611" t="s">
        <v>433</v>
      </c>
      <c r="B1611" s="1">
        <v>45912</v>
      </c>
      <c r="C1611" s="1">
        <v>45914</v>
      </c>
      <c r="D1611" t="s">
        <v>138</v>
      </c>
      <c r="E1611" t="s">
        <v>139</v>
      </c>
      <c r="F1611" t="s">
        <v>55</v>
      </c>
      <c r="G1611" t="s">
        <v>35</v>
      </c>
      <c r="H1611" t="s">
        <v>36</v>
      </c>
      <c r="I1611" t="s">
        <v>147</v>
      </c>
      <c r="J1611" t="s">
        <v>148</v>
      </c>
      <c r="K1611" t="s">
        <v>48</v>
      </c>
      <c r="L1611">
        <v>4</v>
      </c>
      <c r="M1611">
        <v>250</v>
      </c>
      <c r="N1611">
        <v>0</v>
      </c>
      <c r="O1611">
        <v>1000</v>
      </c>
      <c r="P1611">
        <v>382.95</v>
      </c>
      <c r="Q1611" t="s">
        <v>28</v>
      </c>
      <c r="R1611" t="s">
        <v>56</v>
      </c>
      <c r="S1611" t="s">
        <v>50</v>
      </c>
      <c r="T1611">
        <f>YEAR(Table1_1[[#This Row],[order_date]])</f>
        <v>2025</v>
      </c>
      <c r="U1611">
        <f>MONTH(Table1_1[[#This Row],[order_date]])</f>
        <v>9</v>
      </c>
      <c r="V1611" t="str">
        <f>TEXT(Table1_1[[#This Row],[order_date]],"mmm")</f>
        <v>Sep</v>
      </c>
      <c r="W1611" t="str">
        <f>"Q"&amp;ROUNDUP(MONTH(Table1_1[[#This Row],[order_date]])/3,0)</f>
        <v>Q3</v>
      </c>
      <c r="X1611" t="str">
        <f>TEXT(Table1_1[[#This Row],[order_date]],"yyyy-mm")</f>
        <v>2025-09</v>
      </c>
      <c r="Y1611">
        <f>IF(Table1_1[[#This Row],[ship_date]]="","",Table1_1[[#This Row],[ship_date]]-Table1_1[[#This Row],[order_date]])</f>
        <v>2</v>
      </c>
      <c r="Z1611">
        <f>ROUND(Table1_1[[#This Row],[profit]]/Table1_1[[#This Row],[sales_fix]]*100,2)</f>
        <v>38.299999999999997</v>
      </c>
    </row>
    <row r="1612" spans="1:26" x14ac:dyDescent="0.3">
      <c r="A1612" t="s">
        <v>2714</v>
      </c>
      <c r="B1612" s="1">
        <v>45694</v>
      </c>
      <c r="C1612" s="1">
        <v>45702</v>
      </c>
      <c r="D1612" t="s">
        <v>924</v>
      </c>
      <c r="E1612" t="s">
        <v>925</v>
      </c>
      <c r="F1612" t="s">
        <v>34</v>
      </c>
      <c r="G1612" t="s">
        <v>35</v>
      </c>
      <c r="H1612" t="s">
        <v>258</v>
      </c>
      <c r="I1612" t="s">
        <v>114</v>
      </c>
      <c r="J1612" t="s">
        <v>115</v>
      </c>
      <c r="K1612" t="s">
        <v>65</v>
      </c>
      <c r="L1612">
        <v>4</v>
      </c>
      <c r="M1612">
        <v>55000</v>
      </c>
      <c r="N1612">
        <v>15</v>
      </c>
      <c r="O1612">
        <v>187000</v>
      </c>
      <c r="P1612">
        <v>25754.03</v>
      </c>
      <c r="Q1612" t="s">
        <v>28</v>
      </c>
      <c r="R1612" t="s">
        <v>49</v>
      </c>
      <c r="S1612" t="s">
        <v>40</v>
      </c>
      <c r="T1612">
        <f>YEAR(Table1_1[[#This Row],[order_date]])</f>
        <v>2025</v>
      </c>
      <c r="U1612">
        <f>MONTH(Table1_1[[#This Row],[order_date]])</f>
        <v>2</v>
      </c>
      <c r="V1612" t="str">
        <f>TEXT(Table1_1[[#This Row],[order_date]],"mmm")</f>
        <v>Feb</v>
      </c>
      <c r="W1612" t="str">
        <f>"Q"&amp;ROUNDUP(MONTH(Table1_1[[#This Row],[order_date]])/3,0)</f>
        <v>Q1</v>
      </c>
      <c r="X1612" t="str">
        <f>TEXT(Table1_1[[#This Row],[order_date]],"yyyy-mm")</f>
        <v>2025-02</v>
      </c>
      <c r="Y1612">
        <f>IF(Table1_1[[#This Row],[ship_date]]="","",Table1_1[[#This Row],[ship_date]]-Table1_1[[#This Row],[order_date]])</f>
        <v>8</v>
      </c>
      <c r="Z1612">
        <f>ROUND(Table1_1[[#This Row],[profit]]/Table1_1[[#This Row],[sales_fix]]*100,2)</f>
        <v>13.77</v>
      </c>
    </row>
    <row r="1613" spans="1:26" x14ac:dyDescent="0.3">
      <c r="A1613" t="s">
        <v>1360</v>
      </c>
      <c r="B1613" s="1">
        <v>45961</v>
      </c>
      <c r="C1613" s="1">
        <v>45966</v>
      </c>
      <c r="D1613" t="s">
        <v>1218</v>
      </c>
      <c r="E1613" t="s">
        <v>1219</v>
      </c>
      <c r="F1613" t="s">
        <v>34</v>
      </c>
      <c r="G1613" t="s">
        <v>61</v>
      </c>
      <c r="H1613" t="s">
        <v>62</v>
      </c>
      <c r="I1613" t="s">
        <v>25</v>
      </c>
      <c r="J1613" t="s">
        <v>26</v>
      </c>
      <c r="K1613" t="s">
        <v>27</v>
      </c>
      <c r="L1613">
        <v>2</v>
      </c>
      <c r="M1613">
        <v>7000</v>
      </c>
      <c r="N1613">
        <v>20</v>
      </c>
      <c r="O1613">
        <v>11200</v>
      </c>
      <c r="P1613">
        <v>2641.9</v>
      </c>
      <c r="Q1613" t="s">
        <v>156</v>
      </c>
      <c r="R1613" t="s">
        <v>49</v>
      </c>
      <c r="S1613" t="s">
        <v>50</v>
      </c>
      <c r="T1613">
        <f>YEAR(Table1_1[[#This Row],[order_date]])</f>
        <v>2025</v>
      </c>
      <c r="U1613">
        <f>MONTH(Table1_1[[#This Row],[order_date]])</f>
        <v>10</v>
      </c>
      <c r="V1613" t="str">
        <f>TEXT(Table1_1[[#This Row],[order_date]],"mmm")</f>
        <v>Oct</v>
      </c>
      <c r="W1613" t="str">
        <f>"Q"&amp;ROUNDUP(MONTH(Table1_1[[#This Row],[order_date]])/3,0)</f>
        <v>Q4</v>
      </c>
      <c r="X1613" t="str">
        <f>TEXT(Table1_1[[#This Row],[order_date]],"yyyy-mm")</f>
        <v>2025-10</v>
      </c>
      <c r="Y1613">
        <f>IF(Table1_1[[#This Row],[ship_date]]="","",Table1_1[[#This Row],[ship_date]]-Table1_1[[#This Row],[order_date]])</f>
        <v>5</v>
      </c>
      <c r="Z1613">
        <f>ROUND(Table1_1[[#This Row],[profit]]/Table1_1[[#This Row],[sales_fix]]*100,2)</f>
        <v>23.59</v>
      </c>
    </row>
    <row r="1614" spans="1:26" x14ac:dyDescent="0.3">
      <c r="A1614" t="s">
        <v>931</v>
      </c>
      <c r="B1614" s="1">
        <v>45444</v>
      </c>
      <c r="C1614" s="1">
        <v>45446</v>
      </c>
      <c r="D1614" t="s">
        <v>101</v>
      </c>
      <c r="E1614" t="s">
        <v>102</v>
      </c>
      <c r="F1614" t="s">
        <v>55</v>
      </c>
      <c r="G1614" t="s">
        <v>35</v>
      </c>
      <c r="H1614" t="s">
        <v>36</v>
      </c>
      <c r="I1614" t="s">
        <v>147</v>
      </c>
      <c r="J1614" t="s">
        <v>148</v>
      </c>
      <c r="K1614" t="s">
        <v>48</v>
      </c>
      <c r="L1614">
        <v>3</v>
      </c>
      <c r="M1614">
        <v>250</v>
      </c>
      <c r="N1614">
        <v>0</v>
      </c>
      <c r="O1614">
        <v>750</v>
      </c>
      <c r="P1614">
        <v>219.53</v>
      </c>
      <c r="Q1614" t="s">
        <v>121</v>
      </c>
      <c r="R1614" t="s">
        <v>29</v>
      </c>
      <c r="S1614" t="s">
        <v>30</v>
      </c>
      <c r="T1614">
        <f>YEAR(Table1_1[[#This Row],[order_date]])</f>
        <v>2024</v>
      </c>
      <c r="U1614">
        <f>MONTH(Table1_1[[#This Row],[order_date]])</f>
        <v>6</v>
      </c>
      <c r="V1614" t="str">
        <f>TEXT(Table1_1[[#This Row],[order_date]],"mmm")</f>
        <v>Jun</v>
      </c>
      <c r="W1614" t="str">
        <f>"Q"&amp;ROUNDUP(MONTH(Table1_1[[#This Row],[order_date]])/3,0)</f>
        <v>Q2</v>
      </c>
      <c r="X1614" t="str">
        <f>TEXT(Table1_1[[#This Row],[order_date]],"yyyy-mm")</f>
        <v>2024-06</v>
      </c>
      <c r="Y1614">
        <f>IF(Table1_1[[#This Row],[ship_date]]="","",Table1_1[[#This Row],[ship_date]]-Table1_1[[#This Row],[order_date]])</f>
        <v>2</v>
      </c>
      <c r="Z1614">
        <f>ROUND(Table1_1[[#This Row],[profit]]/Table1_1[[#This Row],[sales_fix]]*100,2)</f>
        <v>29.27</v>
      </c>
    </row>
    <row r="1615" spans="1:26" x14ac:dyDescent="0.3">
      <c r="A1615" t="s">
        <v>753</v>
      </c>
      <c r="B1615" s="1">
        <v>45367</v>
      </c>
      <c r="C1615" s="1">
        <v>45371</v>
      </c>
      <c r="D1615" t="s">
        <v>755</v>
      </c>
      <c r="E1615" t="s">
        <v>756</v>
      </c>
      <c r="F1615" t="s">
        <v>34</v>
      </c>
      <c r="G1615" t="s">
        <v>44</v>
      </c>
      <c r="H1615" t="s">
        <v>161</v>
      </c>
      <c r="I1615" t="s">
        <v>79</v>
      </c>
      <c r="J1615" t="s">
        <v>80</v>
      </c>
      <c r="K1615" t="s">
        <v>65</v>
      </c>
      <c r="L1615">
        <v>1</v>
      </c>
      <c r="M1615">
        <v>3000</v>
      </c>
      <c r="N1615">
        <v>0</v>
      </c>
      <c r="O1615">
        <v>3000</v>
      </c>
      <c r="P1615">
        <v>877.58</v>
      </c>
      <c r="Q1615" t="s">
        <v>156</v>
      </c>
      <c r="R1615" t="s">
        <v>49</v>
      </c>
      <c r="S1615" t="s">
        <v>30</v>
      </c>
      <c r="T1615">
        <f>YEAR(Table1_1[[#This Row],[order_date]])</f>
        <v>2024</v>
      </c>
      <c r="U1615">
        <f>MONTH(Table1_1[[#This Row],[order_date]])</f>
        <v>3</v>
      </c>
      <c r="V1615" t="str">
        <f>TEXT(Table1_1[[#This Row],[order_date]],"mmm")</f>
        <v>Mar</v>
      </c>
      <c r="W1615" t="str">
        <f>"Q"&amp;ROUNDUP(MONTH(Table1_1[[#This Row],[order_date]])/3,0)</f>
        <v>Q1</v>
      </c>
      <c r="X1615" t="str">
        <f>TEXT(Table1_1[[#This Row],[order_date]],"yyyy-mm")</f>
        <v>2024-03</v>
      </c>
      <c r="Y1615">
        <f>IF(Table1_1[[#This Row],[ship_date]]="","",Table1_1[[#This Row],[ship_date]]-Table1_1[[#This Row],[order_date]])</f>
        <v>4</v>
      </c>
      <c r="Z1615">
        <f>ROUND(Table1_1[[#This Row],[profit]]/Table1_1[[#This Row],[sales_fix]]*100,2)</f>
        <v>29.25</v>
      </c>
    </row>
    <row r="1616" spans="1:26" x14ac:dyDescent="0.3">
      <c r="A1616" t="s">
        <v>969</v>
      </c>
      <c r="B1616" s="1">
        <v>45951</v>
      </c>
      <c r="C1616" s="1">
        <v>45955</v>
      </c>
      <c r="D1616" t="s">
        <v>182</v>
      </c>
      <c r="E1616" t="s">
        <v>183</v>
      </c>
      <c r="F1616" t="s">
        <v>55</v>
      </c>
      <c r="G1616" t="s">
        <v>44</v>
      </c>
      <c r="H1616" t="s">
        <v>45</v>
      </c>
      <c r="I1616" t="s">
        <v>63</v>
      </c>
      <c r="J1616" t="s">
        <v>64</v>
      </c>
      <c r="K1616" t="s">
        <v>65</v>
      </c>
      <c r="L1616">
        <v>3</v>
      </c>
      <c r="M1616">
        <v>25000</v>
      </c>
      <c r="N1616">
        <v>15</v>
      </c>
      <c r="O1616">
        <v>63750</v>
      </c>
      <c r="P1616">
        <v>8941.59</v>
      </c>
      <c r="Q1616" t="s">
        <v>28</v>
      </c>
      <c r="R1616" t="s">
        <v>56</v>
      </c>
      <c r="S1616" t="s">
        <v>86</v>
      </c>
      <c r="T1616">
        <f>YEAR(Table1_1[[#This Row],[order_date]])</f>
        <v>2025</v>
      </c>
      <c r="U1616">
        <f>MONTH(Table1_1[[#This Row],[order_date]])</f>
        <v>10</v>
      </c>
      <c r="V1616" t="str">
        <f>TEXT(Table1_1[[#This Row],[order_date]],"mmm")</f>
        <v>Oct</v>
      </c>
      <c r="W1616" t="str">
        <f>"Q"&amp;ROUNDUP(MONTH(Table1_1[[#This Row],[order_date]])/3,0)</f>
        <v>Q4</v>
      </c>
      <c r="X1616" t="str">
        <f>TEXT(Table1_1[[#This Row],[order_date]],"yyyy-mm")</f>
        <v>2025-10</v>
      </c>
      <c r="Y1616">
        <f>IF(Table1_1[[#This Row],[ship_date]]="","",Table1_1[[#This Row],[ship_date]]-Table1_1[[#This Row],[order_date]])</f>
        <v>4</v>
      </c>
      <c r="Z1616">
        <f>ROUND(Table1_1[[#This Row],[profit]]/Table1_1[[#This Row],[sales_fix]]*100,2)</f>
        <v>14.03</v>
      </c>
    </row>
    <row r="1617" spans="1:26" x14ac:dyDescent="0.3">
      <c r="A1617" t="s">
        <v>1861</v>
      </c>
      <c r="B1617" s="1">
        <v>45692</v>
      </c>
      <c r="C1617" s="1">
        <v>45697</v>
      </c>
      <c r="D1617" t="s">
        <v>981</v>
      </c>
      <c r="E1617" t="s">
        <v>982</v>
      </c>
      <c r="F1617" t="s">
        <v>23</v>
      </c>
      <c r="G1617" t="s">
        <v>91</v>
      </c>
      <c r="H1617" t="s">
        <v>177</v>
      </c>
      <c r="I1617" t="s">
        <v>79</v>
      </c>
      <c r="J1617" t="s">
        <v>80</v>
      </c>
      <c r="K1617" t="s">
        <v>65</v>
      </c>
      <c r="L1617">
        <v>1</v>
      </c>
      <c r="M1617">
        <v>3000</v>
      </c>
      <c r="N1617">
        <v>0</v>
      </c>
      <c r="O1617">
        <v>3000</v>
      </c>
      <c r="P1617">
        <v>647.61</v>
      </c>
      <c r="Q1617" t="s">
        <v>3113</v>
      </c>
      <c r="R1617" t="s">
        <v>29</v>
      </c>
      <c r="S1617" t="s">
        <v>30</v>
      </c>
      <c r="T1617">
        <f>YEAR(Table1_1[[#This Row],[order_date]])</f>
        <v>2025</v>
      </c>
      <c r="U1617">
        <f>MONTH(Table1_1[[#This Row],[order_date]])</f>
        <v>2</v>
      </c>
      <c r="V1617" t="str">
        <f>TEXT(Table1_1[[#This Row],[order_date]],"mmm")</f>
        <v>Feb</v>
      </c>
      <c r="W1617" t="str">
        <f>"Q"&amp;ROUNDUP(MONTH(Table1_1[[#This Row],[order_date]])/3,0)</f>
        <v>Q1</v>
      </c>
      <c r="X1617" t="str">
        <f>TEXT(Table1_1[[#This Row],[order_date]],"yyyy-mm")</f>
        <v>2025-02</v>
      </c>
      <c r="Y1617">
        <f>IF(Table1_1[[#This Row],[ship_date]]="","",Table1_1[[#This Row],[ship_date]]-Table1_1[[#This Row],[order_date]])</f>
        <v>5</v>
      </c>
      <c r="Z1617">
        <f>ROUND(Table1_1[[#This Row],[profit]]/Table1_1[[#This Row],[sales_fix]]*100,2)</f>
        <v>21.59</v>
      </c>
    </row>
    <row r="1618" spans="1:26" x14ac:dyDescent="0.3">
      <c r="A1618" t="s">
        <v>1577</v>
      </c>
      <c r="B1618" s="1">
        <v>45699</v>
      </c>
      <c r="C1618" s="1">
        <v>45702</v>
      </c>
      <c r="D1618" t="s">
        <v>406</v>
      </c>
      <c r="E1618" t="s">
        <v>407</v>
      </c>
      <c r="F1618" t="s">
        <v>55</v>
      </c>
      <c r="G1618" t="s">
        <v>91</v>
      </c>
      <c r="H1618" t="s">
        <v>120</v>
      </c>
      <c r="I1618" t="s">
        <v>126</v>
      </c>
      <c r="J1618" t="s">
        <v>127</v>
      </c>
      <c r="K1618" t="s">
        <v>95</v>
      </c>
      <c r="L1618">
        <v>3</v>
      </c>
      <c r="M1618">
        <v>600</v>
      </c>
      <c r="N1618">
        <v>20</v>
      </c>
      <c r="O1618">
        <v>1440</v>
      </c>
      <c r="P1618">
        <v>453.87</v>
      </c>
      <c r="Q1618" t="s">
        <v>74</v>
      </c>
      <c r="R1618" t="s">
        <v>56</v>
      </c>
      <c r="S1618" t="s">
        <v>30</v>
      </c>
      <c r="T1618">
        <f>YEAR(Table1_1[[#This Row],[order_date]])</f>
        <v>2025</v>
      </c>
      <c r="U1618">
        <f>MONTH(Table1_1[[#This Row],[order_date]])</f>
        <v>2</v>
      </c>
      <c r="V1618" t="str">
        <f>TEXT(Table1_1[[#This Row],[order_date]],"mmm")</f>
        <v>Feb</v>
      </c>
      <c r="W1618" t="str">
        <f>"Q"&amp;ROUNDUP(MONTH(Table1_1[[#This Row],[order_date]])/3,0)</f>
        <v>Q1</v>
      </c>
      <c r="X1618" t="str">
        <f>TEXT(Table1_1[[#This Row],[order_date]],"yyyy-mm")</f>
        <v>2025-02</v>
      </c>
      <c r="Y1618">
        <f>IF(Table1_1[[#This Row],[ship_date]]="","",Table1_1[[#This Row],[ship_date]]-Table1_1[[#This Row],[order_date]])</f>
        <v>3</v>
      </c>
      <c r="Z1618">
        <f>ROUND(Table1_1[[#This Row],[profit]]/Table1_1[[#This Row],[sales_fix]]*100,2)</f>
        <v>31.52</v>
      </c>
    </row>
    <row r="1619" spans="1:26" x14ac:dyDescent="0.3">
      <c r="A1619" t="s">
        <v>1555</v>
      </c>
      <c r="B1619" s="1">
        <v>46008</v>
      </c>
      <c r="C1619" s="1"/>
      <c r="D1619" t="s">
        <v>435</v>
      </c>
      <c r="E1619" t="s">
        <v>436</v>
      </c>
      <c r="F1619" t="s">
        <v>23</v>
      </c>
      <c r="G1619" t="s">
        <v>44</v>
      </c>
      <c r="H1619" t="s">
        <v>24</v>
      </c>
      <c r="I1619" t="s">
        <v>93</v>
      </c>
      <c r="J1619" t="s">
        <v>94</v>
      </c>
      <c r="K1619" t="s">
        <v>95</v>
      </c>
      <c r="L1619">
        <v>4</v>
      </c>
      <c r="M1619">
        <v>1800</v>
      </c>
      <c r="N1619">
        <v>0</v>
      </c>
      <c r="O1619">
        <v>7200</v>
      </c>
      <c r="P1619">
        <v>2725.92</v>
      </c>
      <c r="Q1619" t="s">
        <v>66</v>
      </c>
      <c r="R1619" t="s">
        <v>49</v>
      </c>
      <c r="S1619" t="s">
        <v>110</v>
      </c>
      <c r="T1619">
        <f>YEAR(Table1_1[[#This Row],[order_date]])</f>
        <v>2025</v>
      </c>
      <c r="U1619">
        <f>MONTH(Table1_1[[#This Row],[order_date]])</f>
        <v>12</v>
      </c>
      <c r="V1619" t="str">
        <f>TEXT(Table1_1[[#This Row],[order_date]],"mmm")</f>
        <v>Dec</v>
      </c>
      <c r="W1619" t="str">
        <f>"Q"&amp;ROUNDUP(MONTH(Table1_1[[#This Row],[order_date]])/3,0)</f>
        <v>Q4</v>
      </c>
      <c r="X1619" t="str">
        <f>TEXT(Table1_1[[#This Row],[order_date]],"yyyy-mm")</f>
        <v>2025-12</v>
      </c>
      <c r="Y1619" t="str">
        <f>IF(Table1_1[[#This Row],[ship_date]]="","",Table1_1[[#This Row],[ship_date]]-Table1_1[[#This Row],[order_date]])</f>
        <v/>
      </c>
      <c r="Z1619">
        <f>ROUND(Table1_1[[#This Row],[profit]]/Table1_1[[#This Row],[sales_fix]]*100,2)</f>
        <v>37.86</v>
      </c>
    </row>
    <row r="1620" spans="1:26" x14ac:dyDescent="0.3">
      <c r="A1620" t="s">
        <v>2647</v>
      </c>
      <c r="B1620" s="1">
        <v>45435</v>
      </c>
      <c r="C1620" s="1">
        <v>45440</v>
      </c>
      <c r="D1620" t="s">
        <v>1090</v>
      </c>
      <c r="E1620" t="s">
        <v>1091</v>
      </c>
      <c r="F1620" t="s">
        <v>23</v>
      </c>
      <c r="G1620" t="s">
        <v>61</v>
      </c>
      <c r="H1620" t="s">
        <v>78</v>
      </c>
      <c r="I1620" t="s">
        <v>114</v>
      </c>
      <c r="J1620" t="s">
        <v>115</v>
      </c>
      <c r="K1620" t="s">
        <v>65</v>
      </c>
      <c r="L1620">
        <v>1</v>
      </c>
      <c r="M1620">
        <v>55000</v>
      </c>
      <c r="N1620">
        <v>10</v>
      </c>
      <c r="O1620">
        <v>49500</v>
      </c>
      <c r="P1620">
        <v>8002.45</v>
      </c>
      <c r="Q1620" t="s">
        <v>121</v>
      </c>
      <c r="R1620" t="s">
        <v>56</v>
      </c>
      <c r="S1620" t="s">
        <v>50</v>
      </c>
      <c r="T1620">
        <f>YEAR(Table1_1[[#This Row],[order_date]])</f>
        <v>2024</v>
      </c>
      <c r="U1620">
        <f>MONTH(Table1_1[[#This Row],[order_date]])</f>
        <v>5</v>
      </c>
      <c r="V1620" t="str">
        <f>TEXT(Table1_1[[#This Row],[order_date]],"mmm")</f>
        <v>May</v>
      </c>
      <c r="W1620" t="str">
        <f>"Q"&amp;ROUNDUP(MONTH(Table1_1[[#This Row],[order_date]])/3,0)</f>
        <v>Q2</v>
      </c>
      <c r="X1620" t="str">
        <f>TEXT(Table1_1[[#This Row],[order_date]],"yyyy-mm")</f>
        <v>2024-05</v>
      </c>
      <c r="Y1620">
        <f>IF(Table1_1[[#This Row],[ship_date]]="","",Table1_1[[#This Row],[ship_date]]-Table1_1[[#This Row],[order_date]])</f>
        <v>5</v>
      </c>
      <c r="Z1620">
        <f>ROUND(Table1_1[[#This Row],[profit]]/Table1_1[[#This Row],[sales_fix]]*100,2)</f>
        <v>16.170000000000002</v>
      </c>
    </row>
    <row r="1621" spans="1:26" x14ac:dyDescent="0.3">
      <c r="A1621" t="s">
        <v>316</v>
      </c>
      <c r="B1621" s="1">
        <v>45301</v>
      </c>
      <c r="C1621" s="1">
        <v>45307</v>
      </c>
      <c r="D1621" t="s">
        <v>318</v>
      </c>
      <c r="E1621" t="s">
        <v>319</v>
      </c>
      <c r="F1621" t="s">
        <v>55</v>
      </c>
      <c r="G1621" t="s">
        <v>35</v>
      </c>
      <c r="H1621" t="s">
        <v>36</v>
      </c>
      <c r="I1621" t="s">
        <v>114</v>
      </c>
      <c r="J1621" t="s">
        <v>115</v>
      </c>
      <c r="K1621" t="s">
        <v>65</v>
      </c>
      <c r="L1621">
        <v>2</v>
      </c>
      <c r="M1621">
        <v>55000</v>
      </c>
      <c r="N1621">
        <v>15</v>
      </c>
      <c r="O1621">
        <v>93500</v>
      </c>
      <c r="P1621">
        <v>14089.83</v>
      </c>
      <c r="Q1621" t="s">
        <v>74</v>
      </c>
      <c r="R1621" t="s">
        <v>29</v>
      </c>
      <c r="S1621" t="s">
        <v>86</v>
      </c>
      <c r="T1621">
        <f>YEAR(Table1_1[[#This Row],[order_date]])</f>
        <v>2024</v>
      </c>
      <c r="U1621">
        <f>MONTH(Table1_1[[#This Row],[order_date]])</f>
        <v>1</v>
      </c>
      <c r="V1621" t="str">
        <f>TEXT(Table1_1[[#This Row],[order_date]],"mmm")</f>
        <v>Jan</v>
      </c>
      <c r="W1621" t="str">
        <f>"Q"&amp;ROUNDUP(MONTH(Table1_1[[#This Row],[order_date]])/3,0)</f>
        <v>Q1</v>
      </c>
      <c r="X1621" t="str">
        <f>TEXT(Table1_1[[#This Row],[order_date]],"yyyy-mm")</f>
        <v>2024-01</v>
      </c>
      <c r="Y1621">
        <f>IF(Table1_1[[#This Row],[ship_date]]="","",Table1_1[[#This Row],[ship_date]]-Table1_1[[#This Row],[order_date]])</f>
        <v>6</v>
      </c>
      <c r="Z1621">
        <f>ROUND(Table1_1[[#This Row],[profit]]/Table1_1[[#This Row],[sales_fix]]*100,2)</f>
        <v>15.07</v>
      </c>
    </row>
    <row r="1622" spans="1:26" x14ac:dyDescent="0.3">
      <c r="A1622" t="s">
        <v>1944</v>
      </c>
      <c r="B1622" s="1">
        <v>45498</v>
      </c>
      <c r="C1622" s="1">
        <v>45503</v>
      </c>
      <c r="D1622" t="s">
        <v>32</v>
      </c>
      <c r="E1622" t="s">
        <v>33</v>
      </c>
      <c r="F1622" t="s">
        <v>34</v>
      </c>
      <c r="G1622" t="s">
        <v>35</v>
      </c>
      <c r="H1622" t="s">
        <v>36</v>
      </c>
      <c r="I1622" t="s">
        <v>46</v>
      </c>
      <c r="J1622" t="s">
        <v>47</v>
      </c>
      <c r="K1622" t="s">
        <v>48</v>
      </c>
      <c r="L1622">
        <v>1</v>
      </c>
      <c r="M1622">
        <v>180</v>
      </c>
      <c r="N1622">
        <v>0</v>
      </c>
      <c r="O1622">
        <v>180</v>
      </c>
      <c r="P1622">
        <v>78.739999999999995</v>
      </c>
      <c r="Q1622" t="s">
        <v>39</v>
      </c>
      <c r="R1622" t="s">
        <v>49</v>
      </c>
      <c r="S1622" t="s">
        <v>40</v>
      </c>
      <c r="T1622">
        <f>YEAR(Table1_1[[#This Row],[order_date]])</f>
        <v>2024</v>
      </c>
      <c r="U1622">
        <f>MONTH(Table1_1[[#This Row],[order_date]])</f>
        <v>7</v>
      </c>
      <c r="V1622" t="str">
        <f>TEXT(Table1_1[[#This Row],[order_date]],"mmm")</f>
        <v>Jul</v>
      </c>
      <c r="W1622" t="str">
        <f>"Q"&amp;ROUNDUP(MONTH(Table1_1[[#This Row],[order_date]])/3,0)</f>
        <v>Q3</v>
      </c>
      <c r="X1622" t="str">
        <f>TEXT(Table1_1[[#This Row],[order_date]],"yyyy-mm")</f>
        <v>2024-07</v>
      </c>
      <c r="Y1622">
        <f>IF(Table1_1[[#This Row],[ship_date]]="","",Table1_1[[#This Row],[ship_date]]-Table1_1[[#This Row],[order_date]])</f>
        <v>5</v>
      </c>
      <c r="Z1622">
        <f>ROUND(Table1_1[[#This Row],[profit]]/Table1_1[[#This Row],[sales_fix]]*100,2)</f>
        <v>43.74</v>
      </c>
    </row>
    <row r="1623" spans="1:26" x14ac:dyDescent="0.3">
      <c r="A1623" t="s">
        <v>1969</v>
      </c>
      <c r="B1623" s="1">
        <v>45332</v>
      </c>
      <c r="C1623" s="1">
        <v>45337</v>
      </c>
      <c r="D1623" t="s">
        <v>1695</v>
      </c>
      <c r="E1623" t="s">
        <v>1696</v>
      </c>
      <c r="F1623" t="s">
        <v>34</v>
      </c>
      <c r="G1623" t="s">
        <v>35</v>
      </c>
      <c r="H1623" t="s">
        <v>85</v>
      </c>
      <c r="I1623" t="s">
        <v>134</v>
      </c>
      <c r="J1623" t="s">
        <v>135</v>
      </c>
      <c r="K1623" t="s">
        <v>27</v>
      </c>
      <c r="L1623">
        <v>2</v>
      </c>
      <c r="M1623">
        <v>6000</v>
      </c>
      <c r="N1623">
        <v>15</v>
      </c>
      <c r="O1623">
        <v>10200</v>
      </c>
      <c r="P1623">
        <v>2292.2800000000002</v>
      </c>
      <c r="Q1623" t="s">
        <v>39</v>
      </c>
      <c r="R1623" t="s">
        <v>49</v>
      </c>
      <c r="S1623" t="s">
        <v>86</v>
      </c>
      <c r="T1623">
        <f>YEAR(Table1_1[[#This Row],[order_date]])</f>
        <v>2024</v>
      </c>
      <c r="U1623">
        <f>MONTH(Table1_1[[#This Row],[order_date]])</f>
        <v>2</v>
      </c>
      <c r="V1623" t="str">
        <f>TEXT(Table1_1[[#This Row],[order_date]],"mmm")</f>
        <v>Feb</v>
      </c>
      <c r="W1623" t="str">
        <f>"Q"&amp;ROUNDUP(MONTH(Table1_1[[#This Row],[order_date]])/3,0)</f>
        <v>Q1</v>
      </c>
      <c r="X1623" t="str">
        <f>TEXT(Table1_1[[#This Row],[order_date]],"yyyy-mm")</f>
        <v>2024-02</v>
      </c>
      <c r="Y1623">
        <f>IF(Table1_1[[#This Row],[ship_date]]="","",Table1_1[[#This Row],[ship_date]]-Table1_1[[#This Row],[order_date]])</f>
        <v>5</v>
      </c>
      <c r="Z1623">
        <f>ROUND(Table1_1[[#This Row],[profit]]/Table1_1[[#This Row],[sales_fix]]*100,2)</f>
        <v>22.47</v>
      </c>
    </row>
    <row r="1624" spans="1:26" x14ac:dyDescent="0.3">
      <c r="A1624" t="s">
        <v>923</v>
      </c>
      <c r="B1624" s="1">
        <v>45310</v>
      </c>
      <c r="C1624" s="1">
        <v>45312</v>
      </c>
      <c r="D1624" t="s">
        <v>924</v>
      </c>
      <c r="E1624" t="s">
        <v>925</v>
      </c>
      <c r="F1624" t="s">
        <v>34</v>
      </c>
      <c r="G1624" t="s">
        <v>35</v>
      </c>
      <c r="H1624" t="s">
        <v>258</v>
      </c>
      <c r="I1624" t="s">
        <v>37</v>
      </c>
      <c r="J1624" t="s">
        <v>38</v>
      </c>
      <c r="K1624" t="s">
        <v>27</v>
      </c>
      <c r="L1624">
        <v>2</v>
      </c>
      <c r="M1624">
        <v>9500</v>
      </c>
      <c r="N1624">
        <v>15</v>
      </c>
      <c r="O1624">
        <v>16150</v>
      </c>
      <c r="P1624">
        <v>3507.89</v>
      </c>
      <c r="Q1624" t="s">
        <v>28</v>
      </c>
      <c r="R1624" t="s">
        <v>49</v>
      </c>
      <c r="S1624" t="s">
        <v>30</v>
      </c>
      <c r="T1624">
        <f>YEAR(Table1_1[[#This Row],[order_date]])</f>
        <v>2024</v>
      </c>
      <c r="U1624">
        <f>MONTH(Table1_1[[#This Row],[order_date]])</f>
        <v>1</v>
      </c>
      <c r="V1624" t="str">
        <f>TEXT(Table1_1[[#This Row],[order_date]],"mmm")</f>
        <v>Jan</v>
      </c>
      <c r="W1624" t="str">
        <f>"Q"&amp;ROUNDUP(MONTH(Table1_1[[#This Row],[order_date]])/3,0)</f>
        <v>Q1</v>
      </c>
      <c r="X1624" t="str">
        <f>TEXT(Table1_1[[#This Row],[order_date]],"yyyy-mm")</f>
        <v>2024-01</v>
      </c>
      <c r="Y1624">
        <f>IF(Table1_1[[#This Row],[ship_date]]="","",Table1_1[[#This Row],[ship_date]]-Table1_1[[#This Row],[order_date]])</f>
        <v>2</v>
      </c>
      <c r="Z1624">
        <f>ROUND(Table1_1[[#This Row],[profit]]/Table1_1[[#This Row],[sales_fix]]*100,2)</f>
        <v>21.72</v>
      </c>
    </row>
    <row r="1625" spans="1:26" x14ac:dyDescent="0.3">
      <c r="A1625" t="s">
        <v>2777</v>
      </c>
      <c r="B1625" s="1">
        <v>45614</v>
      </c>
      <c r="C1625" s="1">
        <v>45615</v>
      </c>
      <c r="D1625" t="s">
        <v>272</v>
      </c>
      <c r="E1625" t="s">
        <v>273</v>
      </c>
      <c r="F1625" t="s">
        <v>23</v>
      </c>
      <c r="G1625" t="s">
        <v>35</v>
      </c>
      <c r="H1625" t="s">
        <v>258</v>
      </c>
      <c r="I1625" t="s">
        <v>103</v>
      </c>
      <c r="J1625" t="s">
        <v>104</v>
      </c>
      <c r="K1625" t="s">
        <v>65</v>
      </c>
      <c r="L1625">
        <v>1</v>
      </c>
      <c r="M1625">
        <v>8000</v>
      </c>
      <c r="N1625">
        <v>0</v>
      </c>
      <c r="O1625">
        <v>8000</v>
      </c>
      <c r="P1625">
        <v>1640.23</v>
      </c>
      <c r="Q1625" t="s">
        <v>121</v>
      </c>
      <c r="R1625" t="s">
        <v>56</v>
      </c>
      <c r="S1625" t="s">
        <v>40</v>
      </c>
      <c r="T1625">
        <f>YEAR(Table1_1[[#This Row],[order_date]])</f>
        <v>2024</v>
      </c>
      <c r="U1625">
        <f>MONTH(Table1_1[[#This Row],[order_date]])</f>
        <v>11</v>
      </c>
      <c r="V1625" t="str">
        <f>TEXT(Table1_1[[#This Row],[order_date]],"mmm")</f>
        <v>Nov</v>
      </c>
      <c r="W1625" t="str">
        <f>"Q"&amp;ROUNDUP(MONTH(Table1_1[[#This Row],[order_date]])/3,0)</f>
        <v>Q4</v>
      </c>
      <c r="X1625" t="str">
        <f>TEXT(Table1_1[[#This Row],[order_date]],"yyyy-mm")</f>
        <v>2024-11</v>
      </c>
      <c r="Y1625">
        <f>IF(Table1_1[[#This Row],[ship_date]]="","",Table1_1[[#This Row],[ship_date]]-Table1_1[[#This Row],[order_date]])</f>
        <v>1</v>
      </c>
      <c r="Z1625">
        <f>ROUND(Table1_1[[#This Row],[profit]]/Table1_1[[#This Row],[sales_fix]]*100,2)</f>
        <v>20.5</v>
      </c>
    </row>
    <row r="1626" spans="1:26" x14ac:dyDescent="0.3">
      <c r="A1626" t="s">
        <v>908</v>
      </c>
      <c r="B1626" s="1">
        <v>45563</v>
      </c>
      <c r="C1626" s="1">
        <v>45571</v>
      </c>
      <c r="D1626" t="s">
        <v>716</v>
      </c>
      <c r="E1626" t="s">
        <v>717</v>
      </c>
      <c r="F1626" t="s">
        <v>23</v>
      </c>
      <c r="G1626" t="s">
        <v>35</v>
      </c>
      <c r="H1626" t="s">
        <v>85</v>
      </c>
      <c r="I1626" t="s">
        <v>134</v>
      </c>
      <c r="J1626" t="s">
        <v>135</v>
      </c>
      <c r="K1626" t="s">
        <v>27</v>
      </c>
      <c r="L1626">
        <v>1</v>
      </c>
      <c r="M1626">
        <v>6000</v>
      </c>
      <c r="N1626">
        <v>0</v>
      </c>
      <c r="O1626">
        <v>6000</v>
      </c>
      <c r="P1626">
        <v>1440</v>
      </c>
      <c r="Q1626" t="s">
        <v>121</v>
      </c>
      <c r="R1626" t="s">
        <v>49</v>
      </c>
      <c r="S1626" t="s">
        <v>86</v>
      </c>
      <c r="T1626">
        <f>YEAR(Table1_1[[#This Row],[order_date]])</f>
        <v>2024</v>
      </c>
      <c r="U1626">
        <f>MONTH(Table1_1[[#This Row],[order_date]])</f>
        <v>9</v>
      </c>
      <c r="V1626" t="str">
        <f>TEXT(Table1_1[[#This Row],[order_date]],"mmm")</f>
        <v>Sep</v>
      </c>
      <c r="W1626" t="str">
        <f>"Q"&amp;ROUNDUP(MONTH(Table1_1[[#This Row],[order_date]])/3,0)</f>
        <v>Q3</v>
      </c>
      <c r="X1626" t="str">
        <f>TEXT(Table1_1[[#This Row],[order_date]],"yyyy-mm")</f>
        <v>2024-09</v>
      </c>
      <c r="Y1626">
        <f>IF(Table1_1[[#This Row],[ship_date]]="","",Table1_1[[#This Row],[ship_date]]-Table1_1[[#This Row],[order_date]])</f>
        <v>8</v>
      </c>
      <c r="Z1626">
        <f>ROUND(Table1_1[[#This Row],[profit]]/Table1_1[[#This Row],[sales_fix]]*100,2)</f>
        <v>24</v>
      </c>
    </row>
    <row r="1627" spans="1:26" x14ac:dyDescent="0.3">
      <c r="A1627" t="s">
        <v>1565</v>
      </c>
      <c r="B1627" s="1">
        <v>45369</v>
      </c>
      <c r="C1627" s="1">
        <v>45376</v>
      </c>
      <c r="D1627" t="s">
        <v>575</v>
      </c>
      <c r="E1627" t="s">
        <v>836</v>
      </c>
      <c r="F1627" t="s">
        <v>34</v>
      </c>
      <c r="G1627" t="s">
        <v>91</v>
      </c>
      <c r="H1627" t="s">
        <v>120</v>
      </c>
      <c r="I1627" t="s">
        <v>114</v>
      </c>
      <c r="J1627" t="s">
        <v>115</v>
      </c>
      <c r="K1627" t="s">
        <v>65</v>
      </c>
      <c r="L1627">
        <v>4</v>
      </c>
      <c r="M1627">
        <v>55000</v>
      </c>
      <c r="N1627">
        <v>0</v>
      </c>
      <c r="O1627">
        <v>220000</v>
      </c>
      <c r="P1627">
        <v>36198.480000000003</v>
      </c>
      <c r="Q1627" t="s">
        <v>66</v>
      </c>
      <c r="R1627" t="s">
        <v>56</v>
      </c>
      <c r="S1627" t="s">
        <v>110</v>
      </c>
      <c r="T1627">
        <f>YEAR(Table1_1[[#This Row],[order_date]])</f>
        <v>2024</v>
      </c>
      <c r="U1627">
        <f>MONTH(Table1_1[[#This Row],[order_date]])</f>
        <v>3</v>
      </c>
      <c r="V1627" t="str">
        <f>TEXT(Table1_1[[#This Row],[order_date]],"mmm")</f>
        <v>Mar</v>
      </c>
      <c r="W1627" t="str">
        <f>"Q"&amp;ROUNDUP(MONTH(Table1_1[[#This Row],[order_date]])/3,0)</f>
        <v>Q1</v>
      </c>
      <c r="X1627" t="str">
        <f>TEXT(Table1_1[[#This Row],[order_date]],"yyyy-mm")</f>
        <v>2024-03</v>
      </c>
      <c r="Y1627">
        <f>IF(Table1_1[[#This Row],[ship_date]]="","",Table1_1[[#This Row],[ship_date]]-Table1_1[[#This Row],[order_date]])</f>
        <v>7</v>
      </c>
      <c r="Z1627">
        <f>ROUND(Table1_1[[#This Row],[profit]]/Table1_1[[#This Row],[sales_fix]]*100,2)</f>
        <v>16.45</v>
      </c>
    </row>
    <row r="1628" spans="1:26" x14ac:dyDescent="0.3">
      <c r="A1628" t="s">
        <v>1195</v>
      </c>
      <c r="B1628" s="1">
        <v>45886</v>
      </c>
      <c r="C1628" s="1">
        <v>45888</v>
      </c>
      <c r="D1628" t="s">
        <v>871</v>
      </c>
      <c r="E1628" t="s">
        <v>872</v>
      </c>
      <c r="F1628" t="s">
        <v>34</v>
      </c>
      <c r="G1628" t="s">
        <v>61</v>
      </c>
      <c r="H1628" t="s">
        <v>78</v>
      </c>
      <c r="I1628" t="s">
        <v>147</v>
      </c>
      <c r="J1628" t="s">
        <v>148</v>
      </c>
      <c r="K1628" t="s">
        <v>48</v>
      </c>
      <c r="L1628">
        <v>1</v>
      </c>
      <c r="M1628">
        <v>250</v>
      </c>
      <c r="N1628">
        <v>15</v>
      </c>
      <c r="O1628">
        <v>212.5</v>
      </c>
      <c r="P1628">
        <v>78.28</v>
      </c>
      <c r="Q1628" t="s">
        <v>121</v>
      </c>
      <c r="R1628" t="s">
        <v>49</v>
      </c>
      <c r="S1628" t="s">
        <v>40</v>
      </c>
      <c r="T1628">
        <f>YEAR(Table1_1[[#This Row],[order_date]])</f>
        <v>2025</v>
      </c>
      <c r="U1628">
        <f>MONTH(Table1_1[[#This Row],[order_date]])</f>
        <v>8</v>
      </c>
      <c r="V1628" t="str">
        <f>TEXT(Table1_1[[#This Row],[order_date]],"mmm")</f>
        <v>Aug</v>
      </c>
      <c r="W1628" t="str">
        <f>"Q"&amp;ROUNDUP(MONTH(Table1_1[[#This Row],[order_date]])/3,0)</f>
        <v>Q3</v>
      </c>
      <c r="X1628" t="str">
        <f>TEXT(Table1_1[[#This Row],[order_date]],"yyyy-mm")</f>
        <v>2025-08</v>
      </c>
      <c r="Y1628">
        <f>IF(Table1_1[[#This Row],[ship_date]]="","",Table1_1[[#This Row],[ship_date]]-Table1_1[[#This Row],[order_date]])</f>
        <v>2</v>
      </c>
      <c r="Z1628">
        <f>ROUND(Table1_1[[#This Row],[profit]]/Table1_1[[#This Row],[sales_fix]]*100,2)</f>
        <v>36.840000000000003</v>
      </c>
    </row>
    <row r="1629" spans="1:26" x14ac:dyDescent="0.3">
      <c r="A1629" t="s">
        <v>903</v>
      </c>
      <c r="B1629" s="1">
        <v>45850</v>
      </c>
      <c r="C1629" s="1">
        <v>45852</v>
      </c>
      <c r="D1629" t="s">
        <v>904</v>
      </c>
      <c r="E1629" t="s">
        <v>905</v>
      </c>
      <c r="F1629" t="s">
        <v>23</v>
      </c>
      <c r="G1629" t="s">
        <v>91</v>
      </c>
      <c r="H1629" t="s">
        <v>92</v>
      </c>
      <c r="I1629" t="s">
        <v>79</v>
      </c>
      <c r="J1629" t="s">
        <v>80</v>
      </c>
      <c r="K1629" t="s">
        <v>65</v>
      </c>
      <c r="L1629">
        <v>3</v>
      </c>
      <c r="M1629">
        <v>3000</v>
      </c>
      <c r="N1629">
        <v>0</v>
      </c>
      <c r="O1629">
        <v>9000</v>
      </c>
      <c r="P1629">
        <v>2629.89</v>
      </c>
      <c r="Q1629" t="s">
        <v>74</v>
      </c>
      <c r="R1629" t="s">
        <v>56</v>
      </c>
      <c r="S1629" t="s">
        <v>50</v>
      </c>
      <c r="T1629">
        <f>YEAR(Table1_1[[#This Row],[order_date]])</f>
        <v>2025</v>
      </c>
      <c r="U1629">
        <f>MONTH(Table1_1[[#This Row],[order_date]])</f>
        <v>7</v>
      </c>
      <c r="V1629" t="str">
        <f>TEXT(Table1_1[[#This Row],[order_date]],"mmm")</f>
        <v>Jul</v>
      </c>
      <c r="W1629" t="str">
        <f>"Q"&amp;ROUNDUP(MONTH(Table1_1[[#This Row],[order_date]])/3,0)</f>
        <v>Q3</v>
      </c>
      <c r="X1629" t="str">
        <f>TEXT(Table1_1[[#This Row],[order_date]],"yyyy-mm")</f>
        <v>2025-07</v>
      </c>
      <c r="Y1629">
        <f>IF(Table1_1[[#This Row],[ship_date]]="","",Table1_1[[#This Row],[ship_date]]-Table1_1[[#This Row],[order_date]])</f>
        <v>2</v>
      </c>
      <c r="Z1629">
        <f>ROUND(Table1_1[[#This Row],[profit]]/Table1_1[[#This Row],[sales_fix]]*100,2)</f>
        <v>29.22</v>
      </c>
    </row>
    <row r="1630" spans="1:26" x14ac:dyDescent="0.3">
      <c r="A1630" t="s">
        <v>1927</v>
      </c>
      <c r="B1630" s="1">
        <v>45393</v>
      </c>
      <c r="C1630" s="1">
        <v>45396</v>
      </c>
      <c r="D1630" t="s">
        <v>89</v>
      </c>
      <c r="E1630" t="s">
        <v>90</v>
      </c>
      <c r="F1630" t="s">
        <v>23</v>
      </c>
      <c r="G1630" t="s">
        <v>91</v>
      </c>
      <c r="H1630" t="s">
        <v>92</v>
      </c>
      <c r="I1630" t="s">
        <v>114</v>
      </c>
      <c r="J1630" t="s">
        <v>115</v>
      </c>
      <c r="K1630" t="s">
        <v>65</v>
      </c>
      <c r="L1630">
        <v>1</v>
      </c>
      <c r="M1630">
        <v>55000</v>
      </c>
      <c r="N1630">
        <v>15</v>
      </c>
      <c r="O1630">
        <v>46750</v>
      </c>
      <c r="P1630">
        <v>8351.1</v>
      </c>
      <c r="Q1630" t="s">
        <v>156</v>
      </c>
      <c r="R1630" t="s">
        <v>49</v>
      </c>
      <c r="S1630" t="s">
        <v>110</v>
      </c>
      <c r="T1630">
        <f>YEAR(Table1_1[[#This Row],[order_date]])</f>
        <v>2024</v>
      </c>
      <c r="U1630">
        <f>MONTH(Table1_1[[#This Row],[order_date]])</f>
        <v>4</v>
      </c>
      <c r="V1630" t="str">
        <f>TEXT(Table1_1[[#This Row],[order_date]],"mmm")</f>
        <v>Apr</v>
      </c>
      <c r="W1630" t="str">
        <f>"Q"&amp;ROUNDUP(MONTH(Table1_1[[#This Row],[order_date]])/3,0)</f>
        <v>Q2</v>
      </c>
      <c r="X1630" t="str">
        <f>TEXT(Table1_1[[#This Row],[order_date]],"yyyy-mm")</f>
        <v>2024-04</v>
      </c>
      <c r="Y1630">
        <f>IF(Table1_1[[#This Row],[ship_date]]="","",Table1_1[[#This Row],[ship_date]]-Table1_1[[#This Row],[order_date]])</f>
        <v>3</v>
      </c>
      <c r="Z1630">
        <f>ROUND(Table1_1[[#This Row],[profit]]/Table1_1[[#This Row],[sales_fix]]*100,2)</f>
        <v>17.86</v>
      </c>
    </row>
    <row r="1631" spans="1:26" x14ac:dyDescent="0.3">
      <c r="A1631" t="s">
        <v>1765</v>
      </c>
      <c r="B1631" s="1">
        <v>45728</v>
      </c>
      <c r="C1631" s="1">
        <v>45733</v>
      </c>
      <c r="D1631" t="s">
        <v>520</v>
      </c>
      <c r="E1631" t="s">
        <v>521</v>
      </c>
      <c r="F1631" t="s">
        <v>23</v>
      </c>
      <c r="G1631" t="s">
        <v>91</v>
      </c>
      <c r="H1631" t="s">
        <v>109</v>
      </c>
      <c r="I1631" t="s">
        <v>79</v>
      </c>
      <c r="J1631" t="s">
        <v>80</v>
      </c>
      <c r="K1631" t="s">
        <v>65</v>
      </c>
      <c r="L1631">
        <v>1</v>
      </c>
      <c r="M1631">
        <v>3000</v>
      </c>
      <c r="N1631">
        <v>0</v>
      </c>
      <c r="O1631">
        <v>3000</v>
      </c>
      <c r="P1631">
        <v>760.11</v>
      </c>
      <c r="Q1631" t="s">
        <v>74</v>
      </c>
      <c r="R1631" t="s">
        <v>56</v>
      </c>
      <c r="S1631" t="s">
        <v>40</v>
      </c>
      <c r="T1631">
        <f>YEAR(Table1_1[[#This Row],[order_date]])</f>
        <v>2025</v>
      </c>
      <c r="U1631">
        <f>MONTH(Table1_1[[#This Row],[order_date]])</f>
        <v>3</v>
      </c>
      <c r="V1631" t="str">
        <f>TEXT(Table1_1[[#This Row],[order_date]],"mmm")</f>
        <v>Mar</v>
      </c>
      <c r="W1631" t="str">
        <f>"Q"&amp;ROUNDUP(MONTH(Table1_1[[#This Row],[order_date]])/3,0)</f>
        <v>Q1</v>
      </c>
      <c r="X1631" t="str">
        <f>TEXT(Table1_1[[#This Row],[order_date]],"yyyy-mm")</f>
        <v>2025-03</v>
      </c>
      <c r="Y1631">
        <f>IF(Table1_1[[#This Row],[ship_date]]="","",Table1_1[[#This Row],[ship_date]]-Table1_1[[#This Row],[order_date]])</f>
        <v>5</v>
      </c>
      <c r="Z1631">
        <f>ROUND(Table1_1[[#This Row],[profit]]/Table1_1[[#This Row],[sales_fix]]*100,2)</f>
        <v>25.34</v>
      </c>
    </row>
    <row r="1632" spans="1:26" x14ac:dyDescent="0.3">
      <c r="A1632" t="s">
        <v>1047</v>
      </c>
      <c r="B1632" s="1">
        <v>45451</v>
      </c>
      <c r="C1632" s="1">
        <v>45455</v>
      </c>
      <c r="D1632" t="s">
        <v>1048</v>
      </c>
      <c r="E1632" t="s">
        <v>1049</v>
      </c>
      <c r="F1632" t="s">
        <v>34</v>
      </c>
      <c r="G1632" t="s">
        <v>61</v>
      </c>
      <c r="H1632" t="s">
        <v>125</v>
      </c>
      <c r="I1632" t="s">
        <v>63</v>
      </c>
      <c r="J1632" t="s">
        <v>64</v>
      </c>
      <c r="K1632" t="s">
        <v>65</v>
      </c>
      <c r="L1632">
        <v>4</v>
      </c>
      <c r="M1632">
        <v>25000</v>
      </c>
      <c r="N1632">
        <v>20</v>
      </c>
      <c r="O1632">
        <v>80000</v>
      </c>
      <c r="P1632">
        <v>12898.09</v>
      </c>
      <c r="Q1632" t="s">
        <v>66</v>
      </c>
      <c r="R1632" t="s">
        <v>49</v>
      </c>
      <c r="S1632" t="s">
        <v>50</v>
      </c>
      <c r="T1632">
        <f>YEAR(Table1_1[[#This Row],[order_date]])</f>
        <v>2024</v>
      </c>
      <c r="U1632">
        <f>MONTH(Table1_1[[#This Row],[order_date]])</f>
        <v>6</v>
      </c>
      <c r="V1632" t="str">
        <f>TEXT(Table1_1[[#This Row],[order_date]],"mmm")</f>
        <v>Jun</v>
      </c>
      <c r="W1632" t="str">
        <f>"Q"&amp;ROUNDUP(MONTH(Table1_1[[#This Row],[order_date]])/3,0)</f>
        <v>Q2</v>
      </c>
      <c r="X1632" t="str">
        <f>TEXT(Table1_1[[#This Row],[order_date]],"yyyy-mm")</f>
        <v>2024-06</v>
      </c>
      <c r="Y1632">
        <f>IF(Table1_1[[#This Row],[ship_date]]="","",Table1_1[[#This Row],[ship_date]]-Table1_1[[#This Row],[order_date]])</f>
        <v>4</v>
      </c>
      <c r="Z1632">
        <f>ROUND(Table1_1[[#This Row],[profit]]/Table1_1[[#This Row],[sales_fix]]*100,2)</f>
        <v>16.12</v>
      </c>
    </row>
    <row r="1633" spans="1:26" x14ac:dyDescent="0.3">
      <c r="A1633" t="s">
        <v>2481</v>
      </c>
      <c r="B1633" s="1">
        <v>45637</v>
      </c>
      <c r="C1633" s="1">
        <v>45639</v>
      </c>
      <c r="D1633" t="s">
        <v>1875</v>
      </c>
      <c r="E1633" t="s">
        <v>1876</v>
      </c>
      <c r="F1633" t="s">
        <v>34</v>
      </c>
      <c r="G1633" t="s">
        <v>91</v>
      </c>
      <c r="H1633" t="s">
        <v>109</v>
      </c>
      <c r="I1633" t="s">
        <v>147</v>
      </c>
      <c r="J1633" t="s">
        <v>148</v>
      </c>
      <c r="K1633" t="s">
        <v>48</v>
      </c>
      <c r="L1633">
        <v>3</v>
      </c>
      <c r="M1633">
        <v>250</v>
      </c>
      <c r="N1633">
        <v>20</v>
      </c>
      <c r="O1633">
        <v>600</v>
      </c>
      <c r="P1633">
        <v>219.32</v>
      </c>
      <c r="Q1633" t="s">
        <v>28</v>
      </c>
      <c r="R1633" t="s">
        <v>56</v>
      </c>
      <c r="S1633" t="s">
        <v>40</v>
      </c>
      <c r="T1633">
        <f>YEAR(Table1_1[[#This Row],[order_date]])</f>
        <v>2024</v>
      </c>
      <c r="U1633">
        <f>MONTH(Table1_1[[#This Row],[order_date]])</f>
        <v>12</v>
      </c>
      <c r="V1633" t="str">
        <f>TEXT(Table1_1[[#This Row],[order_date]],"mmm")</f>
        <v>Dec</v>
      </c>
      <c r="W1633" t="str">
        <f>"Q"&amp;ROUNDUP(MONTH(Table1_1[[#This Row],[order_date]])/3,0)</f>
        <v>Q4</v>
      </c>
      <c r="X1633" t="str">
        <f>TEXT(Table1_1[[#This Row],[order_date]],"yyyy-mm")</f>
        <v>2024-12</v>
      </c>
      <c r="Y1633">
        <f>IF(Table1_1[[#This Row],[ship_date]]="","",Table1_1[[#This Row],[ship_date]]-Table1_1[[#This Row],[order_date]])</f>
        <v>2</v>
      </c>
      <c r="Z1633">
        <f>ROUND(Table1_1[[#This Row],[profit]]/Table1_1[[#This Row],[sales_fix]]*100,2)</f>
        <v>36.549999999999997</v>
      </c>
    </row>
    <row r="1634" spans="1:26" x14ac:dyDescent="0.3">
      <c r="A1634" t="s">
        <v>2164</v>
      </c>
      <c r="B1634" s="1">
        <v>45656</v>
      </c>
      <c r="C1634" s="1">
        <v>45661</v>
      </c>
      <c r="D1634" t="s">
        <v>1855</v>
      </c>
      <c r="E1634" t="s">
        <v>1856</v>
      </c>
      <c r="F1634" t="s">
        <v>55</v>
      </c>
      <c r="G1634" t="s">
        <v>35</v>
      </c>
      <c r="H1634" t="s">
        <v>85</v>
      </c>
      <c r="I1634" t="s">
        <v>63</v>
      </c>
      <c r="J1634" t="s">
        <v>64</v>
      </c>
      <c r="K1634" t="s">
        <v>65</v>
      </c>
      <c r="L1634">
        <v>1</v>
      </c>
      <c r="M1634">
        <v>25000</v>
      </c>
      <c r="N1634">
        <v>5</v>
      </c>
      <c r="O1634">
        <v>23750</v>
      </c>
      <c r="P1634">
        <v>3643.16</v>
      </c>
      <c r="Q1634" t="s">
        <v>156</v>
      </c>
      <c r="R1634" t="s">
        <v>29</v>
      </c>
      <c r="S1634" t="s">
        <v>40</v>
      </c>
      <c r="T1634">
        <f>YEAR(Table1_1[[#This Row],[order_date]])</f>
        <v>2024</v>
      </c>
      <c r="U1634">
        <f>MONTH(Table1_1[[#This Row],[order_date]])</f>
        <v>12</v>
      </c>
      <c r="V1634" t="str">
        <f>TEXT(Table1_1[[#This Row],[order_date]],"mmm")</f>
        <v>Dec</v>
      </c>
      <c r="W1634" t="str">
        <f>"Q"&amp;ROUNDUP(MONTH(Table1_1[[#This Row],[order_date]])/3,0)</f>
        <v>Q4</v>
      </c>
      <c r="X1634" t="str">
        <f>TEXT(Table1_1[[#This Row],[order_date]],"yyyy-mm")</f>
        <v>2024-12</v>
      </c>
      <c r="Y1634">
        <f>IF(Table1_1[[#This Row],[ship_date]]="","",Table1_1[[#This Row],[ship_date]]-Table1_1[[#This Row],[order_date]])</f>
        <v>5</v>
      </c>
      <c r="Z1634">
        <f>ROUND(Table1_1[[#This Row],[profit]]/Table1_1[[#This Row],[sales_fix]]*100,2)</f>
        <v>15.34</v>
      </c>
    </row>
    <row r="1635" spans="1:26" x14ac:dyDescent="0.3">
      <c r="A1635" t="s">
        <v>1180</v>
      </c>
      <c r="B1635" s="1">
        <v>45458</v>
      </c>
      <c r="C1635" s="1">
        <v>45462</v>
      </c>
      <c r="D1635" t="s">
        <v>256</v>
      </c>
      <c r="E1635" t="s">
        <v>257</v>
      </c>
      <c r="F1635" t="s">
        <v>55</v>
      </c>
      <c r="G1635" t="s">
        <v>35</v>
      </c>
      <c r="H1635" t="s">
        <v>258</v>
      </c>
      <c r="I1635" t="s">
        <v>63</v>
      </c>
      <c r="J1635" t="s">
        <v>64</v>
      </c>
      <c r="K1635" t="s">
        <v>65</v>
      </c>
      <c r="L1635">
        <v>1</v>
      </c>
      <c r="M1635">
        <v>25000</v>
      </c>
      <c r="N1635">
        <v>0</v>
      </c>
      <c r="O1635">
        <v>25000</v>
      </c>
      <c r="P1635">
        <v>3408.13</v>
      </c>
      <c r="Q1635" t="s">
        <v>28</v>
      </c>
      <c r="R1635" t="s">
        <v>56</v>
      </c>
      <c r="S1635" t="s">
        <v>110</v>
      </c>
      <c r="T1635">
        <f>YEAR(Table1_1[[#This Row],[order_date]])</f>
        <v>2024</v>
      </c>
      <c r="U1635">
        <f>MONTH(Table1_1[[#This Row],[order_date]])</f>
        <v>6</v>
      </c>
      <c r="V1635" t="str">
        <f>TEXT(Table1_1[[#This Row],[order_date]],"mmm")</f>
        <v>Jun</v>
      </c>
      <c r="W1635" t="str">
        <f>"Q"&amp;ROUNDUP(MONTH(Table1_1[[#This Row],[order_date]])/3,0)</f>
        <v>Q2</v>
      </c>
      <c r="X1635" t="str">
        <f>TEXT(Table1_1[[#This Row],[order_date]],"yyyy-mm")</f>
        <v>2024-06</v>
      </c>
      <c r="Y1635">
        <f>IF(Table1_1[[#This Row],[ship_date]]="","",Table1_1[[#This Row],[ship_date]]-Table1_1[[#This Row],[order_date]])</f>
        <v>4</v>
      </c>
      <c r="Z1635">
        <f>ROUND(Table1_1[[#This Row],[profit]]/Table1_1[[#This Row],[sales_fix]]*100,2)</f>
        <v>13.63</v>
      </c>
    </row>
    <row r="1636" spans="1:26" x14ac:dyDescent="0.3">
      <c r="A1636" t="s">
        <v>1594</v>
      </c>
      <c r="B1636" s="1">
        <v>45690</v>
      </c>
      <c r="C1636" s="1">
        <v>45697</v>
      </c>
      <c r="D1636" t="s">
        <v>388</v>
      </c>
      <c r="E1636" t="s">
        <v>389</v>
      </c>
      <c r="F1636" t="s">
        <v>23</v>
      </c>
      <c r="G1636" t="s">
        <v>44</v>
      </c>
      <c r="H1636" t="s">
        <v>161</v>
      </c>
      <c r="I1636" t="s">
        <v>37</v>
      </c>
      <c r="J1636" t="s">
        <v>38</v>
      </c>
      <c r="K1636" t="s">
        <v>27</v>
      </c>
      <c r="L1636">
        <v>3</v>
      </c>
      <c r="M1636">
        <v>9500</v>
      </c>
      <c r="N1636">
        <v>5</v>
      </c>
      <c r="O1636">
        <v>27075</v>
      </c>
      <c r="P1636">
        <v>4014.83</v>
      </c>
      <c r="Q1636" t="s">
        <v>121</v>
      </c>
      <c r="R1636" t="s">
        <v>29</v>
      </c>
      <c r="S1636" t="s">
        <v>50</v>
      </c>
      <c r="T1636">
        <f>YEAR(Table1_1[[#This Row],[order_date]])</f>
        <v>2025</v>
      </c>
      <c r="U1636">
        <f>MONTH(Table1_1[[#This Row],[order_date]])</f>
        <v>2</v>
      </c>
      <c r="V1636" t="str">
        <f>TEXT(Table1_1[[#This Row],[order_date]],"mmm")</f>
        <v>Feb</v>
      </c>
      <c r="W1636" t="str">
        <f>"Q"&amp;ROUNDUP(MONTH(Table1_1[[#This Row],[order_date]])/3,0)</f>
        <v>Q1</v>
      </c>
      <c r="X1636" t="str">
        <f>TEXT(Table1_1[[#This Row],[order_date]],"yyyy-mm")</f>
        <v>2025-02</v>
      </c>
      <c r="Y1636">
        <f>IF(Table1_1[[#This Row],[ship_date]]="","",Table1_1[[#This Row],[ship_date]]-Table1_1[[#This Row],[order_date]])</f>
        <v>7</v>
      </c>
      <c r="Z1636">
        <f>ROUND(Table1_1[[#This Row],[profit]]/Table1_1[[#This Row],[sales_fix]]*100,2)</f>
        <v>14.83</v>
      </c>
    </row>
    <row r="1637" spans="1:26" x14ac:dyDescent="0.3">
      <c r="A1637" t="s">
        <v>977</v>
      </c>
      <c r="B1637" s="1">
        <v>46006</v>
      </c>
      <c r="C1637" s="1">
        <v>46014</v>
      </c>
      <c r="D1637" t="s">
        <v>32</v>
      </c>
      <c r="E1637" t="s">
        <v>33</v>
      </c>
      <c r="F1637" t="s">
        <v>34</v>
      </c>
      <c r="G1637" t="s">
        <v>35</v>
      </c>
      <c r="H1637" t="s">
        <v>36</v>
      </c>
      <c r="I1637" t="s">
        <v>93</v>
      </c>
      <c r="J1637" t="s">
        <v>94</v>
      </c>
      <c r="K1637" t="s">
        <v>95</v>
      </c>
      <c r="L1637">
        <v>10</v>
      </c>
      <c r="M1637">
        <v>1800</v>
      </c>
      <c r="N1637">
        <v>0</v>
      </c>
      <c r="O1637">
        <v>18000</v>
      </c>
      <c r="P1637">
        <v>6512.97</v>
      </c>
      <c r="Q1637" t="s">
        <v>39</v>
      </c>
      <c r="R1637" t="s">
        <v>49</v>
      </c>
      <c r="S1637" t="s">
        <v>30</v>
      </c>
      <c r="T1637">
        <f>YEAR(Table1_1[[#This Row],[order_date]])</f>
        <v>2025</v>
      </c>
      <c r="U1637">
        <f>MONTH(Table1_1[[#This Row],[order_date]])</f>
        <v>12</v>
      </c>
      <c r="V1637" t="str">
        <f>TEXT(Table1_1[[#This Row],[order_date]],"mmm")</f>
        <v>Dec</v>
      </c>
      <c r="W1637" t="str">
        <f>"Q"&amp;ROUNDUP(MONTH(Table1_1[[#This Row],[order_date]])/3,0)</f>
        <v>Q4</v>
      </c>
      <c r="X1637" t="str">
        <f>TEXT(Table1_1[[#This Row],[order_date]],"yyyy-mm")</f>
        <v>2025-12</v>
      </c>
      <c r="Y1637">
        <f>IF(Table1_1[[#This Row],[ship_date]]="","",Table1_1[[#This Row],[ship_date]]-Table1_1[[#This Row],[order_date]])</f>
        <v>8</v>
      </c>
      <c r="Z1637">
        <f>ROUND(Table1_1[[#This Row],[profit]]/Table1_1[[#This Row],[sales_fix]]*100,2)</f>
        <v>36.18</v>
      </c>
    </row>
    <row r="1638" spans="1:26" x14ac:dyDescent="0.3">
      <c r="A1638" t="s">
        <v>705</v>
      </c>
      <c r="B1638" s="1">
        <v>45669</v>
      </c>
      <c r="C1638" s="1">
        <v>45673</v>
      </c>
      <c r="D1638" t="s">
        <v>227</v>
      </c>
      <c r="E1638" t="s">
        <v>228</v>
      </c>
      <c r="F1638" t="s">
        <v>23</v>
      </c>
      <c r="G1638" t="s">
        <v>61</v>
      </c>
      <c r="H1638" t="s">
        <v>62</v>
      </c>
      <c r="I1638" t="s">
        <v>126</v>
      </c>
      <c r="J1638" t="s">
        <v>127</v>
      </c>
      <c r="K1638" t="s">
        <v>95</v>
      </c>
      <c r="L1638">
        <v>1</v>
      </c>
      <c r="M1638">
        <v>600</v>
      </c>
      <c r="N1638">
        <v>0</v>
      </c>
      <c r="O1638">
        <v>600</v>
      </c>
      <c r="P1638">
        <v>162.91999999999999</v>
      </c>
      <c r="Q1638" t="s">
        <v>66</v>
      </c>
      <c r="R1638" t="s">
        <v>56</v>
      </c>
      <c r="S1638" t="s">
        <v>110</v>
      </c>
      <c r="T1638">
        <f>YEAR(Table1_1[[#This Row],[order_date]])</f>
        <v>2025</v>
      </c>
      <c r="U1638">
        <f>MONTH(Table1_1[[#This Row],[order_date]])</f>
        <v>1</v>
      </c>
      <c r="V1638" t="str">
        <f>TEXT(Table1_1[[#This Row],[order_date]],"mmm")</f>
        <v>Jan</v>
      </c>
      <c r="W1638" t="str">
        <f>"Q"&amp;ROUNDUP(MONTH(Table1_1[[#This Row],[order_date]])/3,0)</f>
        <v>Q1</v>
      </c>
      <c r="X1638" t="str">
        <f>TEXT(Table1_1[[#This Row],[order_date]],"yyyy-mm")</f>
        <v>2025-01</v>
      </c>
      <c r="Y1638">
        <f>IF(Table1_1[[#This Row],[ship_date]]="","",Table1_1[[#This Row],[ship_date]]-Table1_1[[#This Row],[order_date]])</f>
        <v>4</v>
      </c>
      <c r="Z1638">
        <f>ROUND(Table1_1[[#This Row],[profit]]/Table1_1[[#This Row],[sales_fix]]*100,2)</f>
        <v>27.15</v>
      </c>
    </row>
    <row r="1639" spans="1:26" x14ac:dyDescent="0.3">
      <c r="A1639" t="s">
        <v>1931</v>
      </c>
      <c r="B1639" s="1">
        <v>45673</v>
      </c>
      <c r="C1639" s="1">
        <v>45674</v>
      </c>
      <c r="D1639" t="s">
        <v>1171</v>
      </c>
      <c r="E1639" t="s">
        <v>1172</v>
      </c>
      <c r="F1639" t="s">
        <v>34</v>
      </c>
      <c r="G1639" t="s">
        <v>35</v>
      </c>
      <c r="H1639" t="s">
        <v>85</v>
      </c>
      <c r="I1639" t="s">
        <v>126</v>
      </c>
      <c r="J1639" t="s">
        <v>127</v>
      </c>
      <c r="K1639" t="s">
        <v>95</v>
      </c>
      <c r="L1639">
        <v>2</v>
      </c>
      <c r="M1639">
        <v>600</v>
      </c>
      <c r="N1639">
        <v>5</v>
      </c>
      <c r="O1639">
        <v>1140</v>
      </c>
      <c r="P1639">
        <v>433.15</v>
      </c>
      <c r="Q1639" t="s">
        <v>74</v>
      </c>
      <c r="R1639" t="s">
        <v>49</v>
      </c>
      <c r="S1639" t="s">
        <v>86</v>
      </c>
      <c r="T1639">
        <f>YEAR(Table1_1[[#This Row],[order_date]])</f>
        <v>2025</v>
      </c>
      <c r="U1639">
        <f>MONTH(Table1_1[[#This Row],[order_date]])</f>
        <v>1</v>
      </c>
      <c r="V1639" t="str">
        <f>TEXT(Table1_1[[#This Row],[order_date]],"mmm")</f>
        <v>Jan</v>
      </c>
      <c r="W1639" t="str">
        <f>"Q"&amp;ROUNDUP(MONTH(Table1_1[[#This Row],[order_date]])/3,0)</f>
        <v>Q1</v>
      </c>
      <c r="X1639" t="str">
        <f>TEXT(Table1_1[[#This Row],[order_date]],"yyyy-mm")</f>
        <v>2025-01</v>
      </c>
      <c r="Y1639">
        <f>IF(Table1_1[[#This Row],[ship_date]]="","",Table1_1[[#This Row],[ship_date]]-Table1_1[[#This Row],[order_date]])</f>
        <v>1</v>
      </c>
      <c r="Z1639">
        <f>ROUND(Table1_1[[#This Row],[profit]]/Table1_1[[#This Row],[sales_fix]]*100,2)</f>
        <v>38</v>
      </c>
    </row>
    <row r="1640" spans="1:26" x14ac:dyDescent="0.3">
      <c r="A1640" t="s">
        <v>2231</v>
      </c>
      <c r="B1640" s="1">
        <v>45900</v>
      </c>
      <c r="C1640" s="1">
        <v>45903</v>
      </c>
      <c r="D1640" t="s">
        <v>457</v>
      </c>
      <c r="E1640" t="s">
        <v>458</v>
      </c>
      <c r="F1640" t="s">
        <v>55</v>
      </c>
      <c r="G1640" t="s">
        <v>44</v>
      </c>
      <c r="H1640" t="s">
        <v>24</v>
      </c>
      <c r="I1640" t="s">
        <v>63</v>
      </c>
      <c r="J1640" t="s">
        <v>64</v>
      </c>
      <c r="K1640" t="s">
        <v>65</v>
      </c>
      <c r="L1640">
        <v>2</v>
      </c>
      <c r="M1640">
        <v>25000</v>
      </c>
      <c r="N1640">
        <v>20</v>
      </c>
      <c r="O1640">
        <v>40000</v>
      </c>
      <c r="P1640">
        <v>4479.59</v>
      </c>
      <c r="Q1640" t="s">
        <v>28</v>
      </c>
      <c r="R1640" t="s">
        <v>49</v>
      </c>
      <c r="S1640" t="s">
        <v>40</v>
      </c>
      <c r="T1640">
        <f>YEAR(Table1_1[[#This Row],[order_date]])</f>
        <v>2025</v>
      </c>
      <c r="U1640">
        <f>MONTH(Table1_1[[#This Row],[order_date]])</f>
        <v>8</v>
      </c>
      <c r="V1640" t="str">
        <f>TEXT(Table1_1[[#This Row],[order_date]],"mmm")</f>
        <v>Aug</v>
      </c>
      <c r="W1640" t="str">
        <f>"Q"&amp;ROUNDUP(MONTH(Table1_1[[#This Row],[order_date]])/3,0)</f>
        <v>Q3</v>
      </c>
      <c r="X1640" t="str">
        <f>TEXT(Table1_1[[#This Row],[order_date]],"yyyy-mm")</f>
        <v>2025-08</v>
      </c>
      <c r="Y1640">
        <f>IF(Table1_1[[#This Row],[ship_date]]="","",Table1_1[[#This Row],[ship_date]]-Table1_1[[#This Row],[order_date]])</f>
        <v>3</v>
      </c>
      <c r="Z1640">
        <f>ROUND(Table1_1[[#This Row],[profit]]/Table1_1[[#This Row],[sales_fix]]*100,2)</f>
        <v>11.2</v>
      </c>
    </row>
    <row r="1641" spans="1:26" x14ac:dyDescent="0.3">
      <c r="A1641" t="s">
        <v>1705</v>
      </c>
      <c r="B1641" s="1">
        <v>45640</v>
      </c>
      <c r="C1641" s="1">
        <v>45646</v>
      </c>
      <c r="D1641" t="s">
        <v>291</v>
      </c>
      <c r="E1641" t="s">
        <v>292</v>
      </c>
      <c r="F1641" t="s">
        <v>55</v>
      </c>
      <c r="G1641" t="s">
        <v>35</v>
      </c>
      <c r="H1641" t="s">
        <v>187</v>
      </c>
      <c r="I1641" t="s">
        <v>71</v>
      </c>
      <c r="J1641" t="s">
        <v>72</v>
      </c>
      <c r="K1641" t="s">
        <v>73</v>
      </c>
      <c r="L1641">
        <v>4</v>
      </c>
      <c r="M1641">
        <v>3500</v>
      </c>
      <c r="N1641">
        <v>20</v>
      </c>
      <c r="O1641">
        <v>11200</v>
      </c>
      <c r="P1641">
        <v>3706.18</v>
      </c>
      <c r="Q1641" t="s">
        <v>121</v>
      </c>
      <c r="R1641" t="s">
        <v>49</v>
      </c>
      <c r="S1641" t="s">
        <v>40</v>
      </c>
      <c r="T1641">
        <f>YEAR(Table1_1[[#This Row],[order_date]])</f>
        <v>2024</v>
      </c>
      <c r="U1641">
        <f>MONTH(Table1_1[[#This Row],[order_date]])</f>
        <v>12</v>
      </c>
      <c r="V1641" t="str">
        <f>TEXT(Table1_1[[#This Row],[order_date]],"mmm")</f>
        <v>Dec</v>
      </c>
      <c r="W1641" t="str">
        <f>"Q"&amp;ROUNDUP(MONTH(Table1_1[[#This Row],[order_date]])/3,0)</f>
        <v>Q4</v>
      </c>
      <c r="X1641" t="str">
        <f>TEXT(Table1_1[[#This Row],[order_date]],"yyyy-mm")</f>
        <v>2024-12</v>
      </c>
      <c r="Y1641">
        <f>IF(Table1_1[[#This Row],[ship_date]]="","",Table1_1[[#This Row],[ship_date]]-Table1_1[[#This Row],[order_date]])</f>
        <v>6</v>
      </c>
      <c r="Z1641">
        <f>ROUND(Table1_1[[#This Row],[profit]]/Table1_1[[#This Row],[sales_fix]]*100,2)</f>
        <v>33.090000000000003</v>
      </c>
    </row>
    <row r="1642" spans="1:26" x14ac:dyDescent="0.3">
      <c r="A1642" t="s">
        <v>1693</v>
      </c>
      <c r="B1642" s="1">
        <v>45331</v>
      </c>
      <c r="C1642" s="1">
        <v>45334</v>
      </c>
      <c r="D1642" t="s">
        <v>470</v>
      </c>
      <c r="E1642" t="s">
        <v>471</v>
      </c>
      <c r="F1642" t="s">
        <v>23</v>
      </c>
      <c r="G1642" t="s">
        <v>61</v>
      </c>
      <c r="H1642" t="s">
        <v>62</v>
      </c>
      <c r="I1642" t="s">
        <v>25</v>
      </c>
      <c r="J1642" t="s">
        <v>26</v>
      </c>
      <c r="K1642" t="s">
        <v>27</v>
      </c>
      <c r="L1642">
        <v>4</v>
      </c>
      <c r="M1642">
        <v>7000</v>
      </c>
      <c r="N1642">
        <v>0</v>
      </c>
      <c r="O1642">
        <v>28000</v>
      </c>
      <c r="P1642">
        <v>6625.82</v>
      </c>
      <c r="Q1642" t="s">
        <v>156</v>
      </c>
      <c r="R1642" t="s">
        <v>49</v>
      </c>
      <c r="S1642" t="s">
        <v>30</v>
      </c>
      <c r="T1642">
        <f>YEAR(Table1_1[[#This Row],[order_date]])</f>
        <v>2024</v>
      </c>
      <c r="U1642">
        <f>MONTH(Table1_1[[#This Row],[order_date]])</f>
        <v>2</v>
      </c>
      <c r="V1642" t="str">
        <f>TEXT(Table1_1[[#This Row],[order_date]],"mmm")</f>
        <v>Feb</v>
      </c>
      <c r="W1642" t="str">
        <f>"Q"&amp;ROUNDUP(MONTH(Table1_1[[#This Row],[order_date]])/3,0)</f>
        <v>Q1</v>
      </c>
      <c r="X1642" t="str">
        <f>TEXT(Table1_1[[#This Row],[order_date]],"yyyy-mm")</f>
        <v>2024-02</v>
      </c>
      <c r="Y1642">
        <f>IF(Table1_1[[#This Row],[ship_date]]="","",Table1_1[[#This Row],[ship_date]]-Table1_1[[#This Row],[order_date]])</f>
        <v>3</v>
      </c>
      <c r="Z1642">
        <f>ROUND(Table1_1[[#This Row],[profit]]/Table1_1[[#This Row],[sales_fix]]*100,2)</f>
        <v>23.66</v>
      </c>
    </row>
    <row r="1643" spans="1:26" x14ac:dyDescent="0.3">
      <c r="A1643" t="s">
        <v>2902</v>
      </c>
      <c r="B1643" s="1">
        <v>45640</v>
      </c>
      <c r="C1643" s="1">
        <v>45648</v>
      </c>
      <c r="D1643" t="s">
        <v>1532</v>
      </c>
      <c r="E1643" t="s">
        <v>1533</v>
      </c>
      <c r="F1643" t="s">
        <v>34</v>
      </c>
      <c r="G1643" t="s">
        <v>44</v>
      </c>
      <c r="H1643" t="s">
        <v>24</v>
      </c>
      <c r="I1643" t="s">
        <v>25</v>
      </c>
      <c r="J1643" t="s">
        <v>26</v>
      </c>
      <c r="K1643" t="s">
        <v>27</v>
      </c>
      <c r="L1643">
        <v>10</v>
      </c>
      <c r="M1643">
        <v>7000</v>
      </c>
      <c r="N1643">
        <v>10</v>
      </c>
      <c r="O1643">
        <v>63000</v>
      </c>
      <c r="P1643">
        <v>11718.83</v>
      </c>
      <c r="Q1643" t="s">
        <v>74</v>
      </c>
      <c r="R1643" t="s">
        <v>56</v>
      </c>
      <c r="S1643" t="s">
        <v>110</v>
      </c>
      <c r="T1643">
        <f>YEAR(Table1_1[[#This Row],[order_date]])</f>
        <v>2024</v>
      </c>
      <c r="U1643">
        <f>MONTH(Table1_1[[#This Row],[order_date]])</f>
        <v>12</v>
      </c>
      <c r="V1643" t="str">
        <f>TEXT(Table1_1[[#This Row],[order_date]],"mmm")</f>
        <v>Dec</v>
      </c>
      <c r="W1643" t="str">
        <f>"Q"&amp;ROUNDUP(MONTH(Table1_1[[#This Row],[order_date]])/3,0)</f>
        <v>Q4</v>
      </c>
      <c r="X1643" t="str">
        <f>TEXT(Table1_1[[#This Row],[order_date]],"yyyy-mm")</f>
        <v>2024-12</v>
      </c>
      <c r="Y1643">
        <f>IF(Table1_1[[#This Row],[ship_date]]="","",Table1_1[[#This Row],[ship_date]]-Table1_1[[#This Row],[order_date]])</f>
        <v>8</v>
      </c>
      <c r="Z1643">
        <f>ROUND(Table1_1[[#This Row],[profit]]/Table1_1[[#This Row],[sales_fix]]*100,2)</f>
        <v>18.600000000000001</v>
      </c>
    </row>
    <row r="1644" spans="1:26" x14ac:dyDescent="0.3">
      <c r="A1644" t="s">
        <v>2548</v>
      </c>
      <c r="B1644" s="1">
        <v>45318</v>
      </c>
      <c r="C1644" s="1">
        <v>45320</v>
      </c>
      <c r="D1644" t="s">
        <v>373</v>
      </c>
      <c r="E1644" t="s">
        <v>374</v>
      </c>
      <c r="F1644" t="s">
        <v>55</v>
      </c>
      <c r="G1644" t="s">
        <v>35</v>
      </c>
      <c r="H1644" t="s">
        <v>85</v>
      </c>
      <c r="I1644" t="s">
        <v>114</v>
      </c>
      <c r="J1644" t="s">
        <v>115</v>
      </c>
      <c r="K1644" t="s">
        <v>65</v>
      </c>
      <c r="L1644">
        <v>10</v>
      </c>
      <c r="M1644">
        <v>55000</v>
      </c>
      <c r="N1644">
        <v>0</v>
      </c>
      <c r="O1644">
        <v>550000</v>
      </c>
      <c r="P1644">
        <v>76617.14</v>
      </c>
      <c r="Q1644" t="s">
        <v>121</v>
      </c>
      <c r="R1644" t="s">
        <v>56</v>
      </c>
      <c r="S1644" t="s">
        <v>40</v>
      </c>
      <c r="T1644">
        <f>YEAR(Table1_1[[#This Row],[order_date]])</f>
        <v>2024</v>
      </c>
      <c r="U1644">
        <f>MONTH(Table1_1[[#This Row],[order_date]])</f>
        <v>1</v>
      </c>
      <c r="V1644" t="str">
        <f>TEXT(Table1_1[[#This Row],[order_date]],"mmm")</f>
        <v>Jan</v>
      </c>
      <c r="W1644" t="str">
        <f>"Q"&amp;ROUNDUP(MONTH(Table1_1[[#This Row],[order_date]])/3,0)</f>
        <v>Q1</v>
      </c>
      <c r="X1644" t="str">
        <f>TEXT(Table1_1[[#This Row],[order_date]],"yyyy-mm")</f>
        <v>2024-01</v>
      </c>
      <c r="Y1644">
        <f>IF(Table1_1[[#This Row],[ship_date]]="","",Table1_1[[#This Row],[ship_date]]-Table1_1[[#This Row],[order_date]])</f>
        <v>2</v>
      </c>
      <c r="Z1644">
        <f>ROUND(Table1_1[[#This Row],[profit]]/Table1_1[[#This Row],[sales_fix]]*100,2)</f>
        <v>13.93</v>
      </c>
    </row>
    <row r="1645" spans="1:26" x14ac:dyDescent="0.3">
      <c r="A1645" t="s">
        <v>2014</v>
      </c>
      <c r="B1645" s="1">
        <v>45408</v>
      </c>
      <c r="C1645" s="1">
        <v>45414</v>
      </c>
      <c r="D1645" t="s">
        <v>861</v>
      </c>
      <c r="E1645" t="s">
        <v>862</v>
      </c>
      <c r="F1645" t="s">
        <v>55</v>
      </c>
      <c r="G1645" t="s">
        <v>44</v>
      </c>
      <c r="H1645" t="s">
        <v>24</v>
      </c>
      <c r="I1645" t="s">
        <v>37</v>
      </c>
      <c r="J1645" t="s">
        <v>38</v>
      </c>
      <c r="K1645" t="s">
        <v>27</v>
      </c>
      <c r="L1645">
        <v>1</v>
      </c>
      <c r="M1645">
        <v>9500</v>
      </c>
      <c r="N1645">
        <v>0</v>
      </c>
      <c r="O1645">
        <v>9500</v>
      </c>
      <c r="P1645">
        <v>1913.68</v>
      </c>
      <c r="Q1645" t="s">
        <v>66</v>
      </c>
      <c r="R1645" t="s">
        <v>29</v>
      </c>
      <c r="S1645" t="s">
        <v>40</v>
      </c>
      <c r="T1645">
        <f>YEAR(Table1_1[[#This Row],[order_date]])</f>
        <v>2024</v>
      </c>
      <c r="U1645">
        <f>MONTH(Table1_1[[#This Row],[order_date]])</f>
        <v>4</v>
      </c>
      <c r="V1645" t="str">
        <f>TEXT(Table1_1[[#This Row],[order_date]],"mmm")</f>
        <v>Apr</v>
      </c>
      <c r="W1645" t="str">
        <f>"Q"&amp;ROUNDUP(MONTH(Table1_1[[#This Row],[order_date]])/3,0)</f>
        <v>Q2</v>
      </c>
      <c r="X1645" t="str">
        <f>TEXT(Table1_1[[#This Row],[order_date]],"yyyy-mm")</f>
        <v>2024-04</v>
      </c>
      <c r="Y1645">
        <f>IF(Table1_1[[#This Row],[ship_date]]="","",Table1_1[[#This Row],[ship_date]]-Table1_1[[#This Row],[order_date]])</f>
        <v>6</v>
      </c>
      <c r="Z1645">
        <f>ROUND(Table1_1[[#This Row],[profit]]/Table1_1[[#This Row],[sales_fix]]*100,2)</f>
        <v>20.14</v>
      </c>
    </row>
    <row r="1646" spans="1:26" x14ac:dyDescent="0.3">
      <c r="A1646" t="s">
        <v>2112</v>
      </c>
      <c r="B1646" s="1">
        <v>45372</v>
      </c>
      <c r="C1646" s="1">
        <v>45374</v>
      </c>
      <c r="D1646" t="s">
        <v>606</v>
      </c>
      <c r="E1646" t="s">
        <v>607</v>
      </c>
      <c r="F1646" t="s">
        <v>23</v>
      </c>
      <c r="G1646" t="s">
        <v>35</v>
      </c>
      <c r="H1646" t="s">
        <v>36</v>
      </c>
      <c r="I1646" t="s">
        <v>93</v>
      </c>
      <c r="J1646" t="s">
        <v>94</v>
      </c>
      <c r="K1646" t="s">
        <v>95</v>
      </c>
      <c r="L1646">
        <v>1</v>
      </c>
      <c r="M1646">
        <v>1800</v>
      </c>
      <c r="N1646">
        <v>0</v>
      </c>
      <c r="O1646">
        <v>1800</v>
      </c>
      <c r="P1646">
        <v>519.5</v>
      </c>
      <c r="Q1646" t="s">
        <v>156</v>
      </c>
      <c r="R1646" t="s">
        <v>56</v>
      </c>
      <c r="S1646" t="s">
        <v>40</v>
      </c>
      <c r="T1646">
        <f>YEAR(Table1_1[[#This Row],[order_date]])</f>
        <v>2024</v>
      </c>
      <c r="U1646">
        <f>MONTH(Table1_1[[#This Row],[order_date]])</f>
        <v>3</v>
      </c>
      <c r="V1646" t="str">
        <f>TEXT(Table1_1[[#This Row],[order_date]],"mmm")</f>
        <v>Mar</v>
      </c>
      <c r="W1646" t="str">
        <f>"Q"&amp;ROUNDUP(MONTH(Table1_1[[#This Row],[order_date]])/3,0)</f>
        <v>Q1</v>
      </c>
      <c r="X1646" t="str">
        <f>TEXT(Table1_1[[#This Row],[order_date]],"yyyy-mm")</f>
        <v>2024-03</v>
      </c>
      <c r="Y1646">
        <f>IF(Table1_1[[#This Row],[ship_date]]="","",Table1_1[[#This Row],[ship_date]]-Table1_1[[#This Row],[order_date]])</f>
        <v>2</v>
      </c>
      <c r="Z1646">
        <f>ROUND(Table1_1[[#This Row],[profit]]/Table1_1[[#This Row],[sales_fix]]*100,2)</f>
        <v>28.86</v>
      </c>
    </row>
    <row r="1647" spans="1:26" x14ac:dyDescent="0.3">
      <c r="A1647" t="s">
        <v>1286</v>
      </c>
      <c r="B1647" s="1">
        <v>45857</v>
      </c>
      <c r="C1647" s="1">
        <v>45858</v>
      </c>
      <c r="D1647" t="s">
        <v>118</v>
      </c>
      <c r="E1647" t="s">
        <v>119</v>
      </c>
      <c r="F1647" t="s">
        <v>34</v>
      </c>
      <c r="G1647" t="s">
        <v>91</v>
      </c>
      <c r="H1647" t="s">
        <v>120</v>
      </c>
      <c r="I1647" t="s">
        <v>25</v>
      </c>
      <c r="J1647" t="s">
        <v>26</v>
      </c>
      <c r="K1647" t="s">
        <v>27</v>
      </c>
      <c r="L1647">
        <v>3</v>
      </c>
      <c r="M1647">
        <v>7000</v>
      </c>
      <c r="N1647">
        <v>0</v>
      </c>
      <c r="O1647">
        <v>21000</v>
      </c>
      <c r="P1647">
        <v>4888.5600000000004</v>
      </c>
      <c r="Q1647" t="s">
        <v>74</v>
      </c>
      <c r="R1647" t="s">
        <v>49</v>
      </c>
      <c r="S1647" t="s">
        <v>86</v>
      </c>
      <c r="T1647">
        <f>YEAR(Table1_1[[#This Row],[order_date]])</f>
        <v>2025</v>
      </c>
      <c r="U1647">
        <f>MONTH(Table1_1[[#This Row],[order_date]])</f>
        <v>7</v>
      </c>
      <c r="V1647" t="str">
        <f>TEXT(Table1_1[[#This Row],[order_date]],"mmm")</f>
        <v>Jul</v>
      </c>
      <c r="W1647" t="str">
        <f>"Q"&amp;ROUNDUP(MONTH(Table1_1[[#This Row],[order_date]])/3,0)</f>
        <v>Q3</v>
      </c>
      <c r="X1647" t="str">
        <f>TEXT(Table1_1[[#This Row],[order_date]],"yyyy-mm")</f>
        <v>2025-07</v>
      </c>
      <c r="Y1647">
        <f>IF(Table1_1[[#This Row],[ship_date]]="","",Table1_1[[#This Row],[ship_date]]-Table1_1[[#This Row],[order_date]])</f>
        <v>1</v>
      </c>
      <c r="Z1647">
        <f>ROUND(Table1_1[[#This Row],[profit]]/Table1_1[[#This Row],[sales_fix]]*100,2)</f>
        <v>23.28</v>
      </c>
    </row>
    <row r="1648" spans="1:26" x14ac:dyDescent="0.3">
      <c r="A1648" t="s">
        <v>2669</v>
      </c>
      <c r="B1648" s="1">
        <v>45345</v>
      </c>
      <c r="C1648" s="1">
        <v>45346</v>
      </c>
      <c r="D1648" t="s">
        <v>1402</v>
      </c>
      <c r="E1648" t="s">
        <v>1403</v>
      </c>
      <c r="F1648" t="s">
        <v>23</v>
      </c>
      <c r="G1648" t="s">
        <v>91</v>
      </c>
      <c r="H1648" t="s">
        <v>177</v>
      </c>
      <c r="I1648" t="s">
        <v>25</v>
      </c>
      <c r="J1648" t="s">
        <v>26</v>
      </c>
      <c r="K1648" t="s">
        <v>27</v>
      </c>
      <c r="L1648">
        <v>1</v>
      </c>
      <c r="M1648">
        <v>7000</v>
      </c>
      <c r="N1648">
        <v>0</v>
      </c>
      <c r="O1648">
        <v>7000</v>
      </c>
      <c r="P1648">
        <v>1662.57</v>
      </c>
      <c r="Q1648" t="s">
        <v>3113</v>
      </c>
      <c r="R1648" t="s">
        <v>49</v>
      </c>
      <c r="S1648" t="s">
        <v>86</v>
      </c>
      <c r="T1648">
        <f>YEAR(Table1_1[[#This Row],[order_date]])</f>
        <v>2024</v>
      </c>
      <c r="U1648">
        <f>MONTH(Table1_1[[#This Row],[order_date]])</f>
        <v>2</v>
      </c>
      <c r="V1648" t="str">
        <f>TEXT(Table1_1[[#This Row],[order_date]],"mmm")</f>
        <v>Feb</v>
      </c>
      <c r="W1648" t="str">
        <f>"Q"&amp;ROUNDUP(MONTH(Table1_1[[#This Row],[order_date]])/3,0)</f>
        <v>Q1</v>
      </c>
      <c r="X1648" t="str">
        <f>TEXT(Table1_1[[#This Row],[order_date]],"yyyy-mm")</f>
        <v>2024-02</v>
      </c>
      <c r="Y1648">
        <f>IF(Table1_1[[#This Row],[ship_date]]="","",Table1_1[[#This Row],[ship_date]]-Table1_1[[#This Row],[order_date]])</f>
        <v>1</v>
      </c>
      <c r="Z1648">
        <f>ROUND(Table1_1[[#This Row],[profit]]/Table1_1[[#This Row],[sales_fix]]*100,2)</f>
        <v>23.75</v>
      </c>
    </row>
    <row r="1649" spans="1:26" x14ac:dyDescent="0.3">
      <c r="A1649" t="s">
        <v>1995</v>
      </c>
      <c r="B1649" s="1">
        <v>45707</v>
      </c>
      <c r="C1649" s="1">
        <v>45711</v>
      </c>
      <c r="D1649" t="s">
        <v>311</v>
      </c>
      <c r="E1649" t="s">
        <v>312</v>
      </c>
      <c r="F1649" t="s">
        <v>34</v>
      </c>
      <c r="G1649" t="s">
        <v>61</v>
      </c>
      <c r="H1649" t="s">
        <v>78</v>
      </c>
      <c r="I1649" t="s">
        <v>37</v>
      </c>
      <c r="J1649" t="s">
        <v>38</v>
      </c>
      <c r="K1649" t="s">
        <v>27</v>
      </c>
      <c r="L1649">
        <v>2</v>
      </c>
      <c r="M1649">
        <v>9500</v>
      </c>
      <c r="N1649">
        <v>0</v>
      </c>
      <c r="O1649">
        <v>19000</v>
      </c>
      <c r="P1649">
        <v>2901.39</v>
      </c>
      <c r="Q1649" t="s">
        <v>66</v>
      </c>
      <c r="R1649" t="s">
        <v>49</v>
      </c>
      <c r="S1649" t="s">
        <v>50</v>
      </c>
      <c r="T1649">
        <f>YEAR(Table1_1[[#This Row],[order_date]])</f>
        <v>2025</v>
      </c>
      <c r="U1649">
        <f>MONTH(Table1_1[[#This Row],[order_date]])</f>
        <v>2</v>
      </c>
      <c r="V1649" t="str">
        <f>TEXT(Table1_1[[#This Row],[order_date]],"mmm")</f>
        <v>Feb</v>
      </c>
      <c r="W1649" t="str">
        <f>"Q"&amp;ROUNDUP(MONTH(Table1_1[[#This Row],[order_date]])/3,0)</f>
        <v>Q1</v>
      </c>
      <c r="X1649" t="str">
        <f>TEXT(Table1_1[[#This Row],[order_date]],"yyyy-mm")</f>
        <v>2025-02</v>
      </c>
      <c r="Y1649">
        <f>IF(Table1_1[[#This Row],[ship_date]]="","",Table1_1[[#This Row],[ship_date]]-Table1_1[[#This Row],[order_date]])</f>
        <v>4</v>
      </c>
      <c r="Z1649">
        <f>ROUND(Table1_1[[#This Row],[profit]]/Table1_1[[#This Row],[sales_fix]]*100,2)</f>
        <v>15.27</v>
      </c>
    </row>
    <row r="1650" spans="1:26" x14ac:dyDescent="0.3">
      <c r="A1650" t="s">
        <v>2784</v>
      </c>
      <c r="B1650" s="1">
        <v>45874</v>
      </c>
      <c r="C1650" s="1">
        <v>45875</v>
      </c>
      <c r="D1650" t="s">
        <v>129</v>
      </c>
      <c r="E1650" t="s">
        <v>130</v>
      </c>
      <c r="F1650" t="s">
        <v>34</v>
      </c>
      <c r="G1650" t="s">
        <v>61</v>
      </c>
      <c r="H1650" t="s">
        <v>78</v>
      </c>
      <c r="I1650" t="s">
        <v>126</v>
      </c>
      <c r="J1650" t="s">
        <v>127</v>
      </c>
      <c r="K1650" t="s">
        <v>95</v>
      </c>
      <c r="L1650">
        <v>3</v>
      </c>
      <c r="M1650">
        <v>600</v>
      </c>
      <c r="N1650">
        <v>0</v>
      </c>
      <c r="O1650">
        <v>1800</v>
      </c>
      <c r="P1650">
        <v>651.4</v>
      </c>
      <c r="Q1650" t="s">
        <v>28</v>
      </c>
      <c r="R1650" t="s">
        <v>29</v>
      </c>
      <c r="S1650" t="s">
        <v>50</v>
      </c>
      <c r="T1650">
        <f>YEAR(Table1_1[[#This Row],[order_date]])</f>
        <v>2025</v>
      </c>
      <c r="U1650">
        <f>MONTH(Table1_1[[#This Row],[order_date]])</f>
        <v>8</v>
      </c>
      <c r="V1650" t="str">
        <f>TEXT(Table1_1[[#This Row],[order_date]],"mmm")</f>
        <v>Aug</v>
      </c>
      <c r="W1650" t="str">
        <f>"Q"&amp;ROUNDUP(MONTH(Table1_1[[#This Row],[order_date]])/3,0)</f>
        <v>Q3</v>
      </c>
      <c r="X1650" t="str">
        <f>TEXT(Table1_1[[#This Row],[order_date]],"yyyy-mm")</f>
        <v>2025-08</v>
      </c>
      <c r="Y1650">
        <f>IF(Table1_1[[#This Row],[ship_date]]="","",Table1_1[[#This Row],[ship_date]]-Table1_1[[#This Row],[order_date]])</f>
        <v>1</v>
      </c>
      <c r="Z1650">
        <f>ROUND(Table1_1[[#This Row],[profit]]/Table1_1[[#This Row],[sales_fix]]*100,2)</f>
        <v>36.19</v>
      </c>
    </row>
    <row r="1651" spans="1:26" x14ac:dyDescent="0.3">
      <c r="A1651" t="s">
        <v>427</v>
      </c>
      <c r="B1651" s="1">
        <v>45990</v>
      </c>
      <c r="C1651" s="1">
        <v>45995</v>
      </c>
      <c r="D1651" t="s">
        <v>428</v>
      </c>
      <c r="E1651" t="s">
        <v>429</v>
      </c>
      <c r="F1651" t="s">
        <v>34</v>
      </c>
      <c r="G1651" t="s">
        <v>44</v>
      </c>
      <c r="H1651" t="s">
        <v>45</v>
      </c>
      <c r="I1651" t="s">
        <v>71</v>
      </c>
      <c r="J1651" t="s">
        <v>72</v>
      </c>
      <c r="K1651" t="s">
        <v>73</v>
      </c>
      <c r="L1651">
        <v>10</v>
      </c>
      <c r="M1651">
        <v>3500</v>
      </c>
      <c r="N1651">
        <v>0</v>
      </c>
      <c r="O1651">
        <v>35000</v>
      </c>
      <c r="P1651">
        <v>10892.72</v>
      </c>
      <c r="Q1651" t="s">
        <v>39</v>
      </c>
      <c r="R1651" t="s">
        <v>56</v>
      </c>
      <c r="S1651" t="s">
        <v>50</v>
      </c>
      <c r="T1651">
        <f>YEAR(Table1_1[[#This Row],[order_date]])</f>
        <v>2025</v>
      </c>
      <c r="U1651">
        <f>MONTH(Table1_1[[#This Row],[order_date]])</f>
        <v>11</v>
      </c>
      <c r="V1651" t="str">
        <f>TEXT(Table1_1[[#This Row],[order_date]],"mmm")</f>
        <v>Nov</v>
      </c>
      <c r="W1651" t="str">
        <f>"Q"&amp;ROUNDUP(MONTH(Table1_1[[#This Row],[order_date]])/3,0)</f>
        <v>Q4</v>
      </c>
      <c r="X1651" t="str">
        <f>TEXT(Table1_1[[#This Row],[order_date]],"yyyy-mm")</f>
        <v>2025-11</v>
      </c>
      <c r="Y1651">
        <f>IF(Table1_1[[#This Row],[ship_date]]="","",Table1_1[[#This Row],[ship_date]]-Table1_1[[#This Row],[order_date]])</f>
        <v>5</v>
      </c>
      <c r="Z1651">
        <f>ROUND(Table1_1[[#This Row],[profit]]/Table1_1[[#This Row],[sales_fix]]*100,2)</f>
        <v>31.12</v>
      </c>
    </row>
    <row r="1652" spans="1:26" x14ac:dyDescent="0.3">
      <c r="A1652" t="s">
        <v>2114</v>
      </c>
      <c r="B1652" s="1">
        <v>45535</v>
      </c>
      <c r="C1652" s="1"/>
      <c r="D1652" t="s">
        <v>936</v>
      </c>
      <c r="E1652" t="s">
        <v>937</v>
      </c>
      <c r="F1652" t="s">
        <v>23</v>
      </c>
      <c r="G1652" t="s">
        <v>44</v>
      </c>
      <c r="H1652" t="s">
        <v>161</v>
      </c>
      <c r="I1652" t="s">
        <v>46</v>
      </c>
      <c r="J1652" t="s">
        <v>47</v>
      </c>
      <c r="K1652" t="s">
        <v>48</v>
      </c>
      <c r="L1652">
        <v>1</v>
      </c>
      <c r="M1652">
        <v>180</v>
      </c>
      <c r="N1652">
        <v>0</v>
      </c>
      <c r="O1652">
        <v>180</v>
      </c>
      <c r="P1652">
        <v>76.569999999999993</v>
      </c>
      <c r="Q1652" t="s">
        <v>121</v>
      </c>
      <c r="R1652" t="s">
        <v>56</v>
      </c>
      <c r="S1652" t="s">
        <v>110</v>
      </c>
      <c r="T1652">
        <f>YEAR(Table1_1[[#This Row],[order_date]])</f>
        <v>2024</v>
      </c>
      <c r="U1652">
        <f>MONTH(Table1_1[[#This Row],[order_date]])</f>
        <v>8</v>
      </c>
      <c r="V1652" t="str">
        <f>TEXT(Table1_1[[#This Row],[order_date]],"mmm")</f>
        <v>Aug</v>
      </c>
      <c r="W1652" t="str">
        <f>"Q"&amp;ROUNDUP(MONTH(Table1_1[[#This Row],[order_date]])/3,0)</f>
        <v>Q3</v>
      </c>
      <c r="X1652" t="str">
        <f>TEXT(Table1_1[[#This Row],[order_date]],"yyyy-mm")</f>
        <v>2024-08</v>
      </c>
      <c r="Y1652" t="str">
        <f>IF(Table1_1[[#This Row],[ship_date]]="","",Table1_1[[#This Row],[ship_date]]-Table1_1[[#This Row],[order_date]])</f>
        <v/>
      </c>
      <c r="Z1652">
        <f>ROUND(Table1_1[[#This Row],[profit]]/Table1_1[[#This Row],[sales_fix]]*100,2)</f>
        <v>42.54</v>
      </c>
    </row>
    <row r="1653" spans="1:26" x14ac:dyDescent="0.3">
      <c r="A1653" t="s">
        <v>1616</v>
      </c>
      <c r="B1653" s="1">
        <v>45706</v>
      </c>
      <c r="C1653" s="1">
        <v>45711</v>
      </c>
      <c r="D1653" t="s">
        <v>539</v>
      </c>
      <c r="E1653" t="s">
        <v>540</v>
      </c>
      <c r="F1653" t="s">
        <v>34</v>
      </c>
      <c r="G1653" t="s">
        <v>61</v>
      </c>
      <c r="H1653" t="s">
        <v>211</v>
      </c>
      <c r="I1653" t="s">
        <v>79</v>
      </c>
      <c r="J1653" t="s">
        <v>80</v>
      </c>
      <c r="K1653" t="s">
        <v>65</v>
      </c>
      <c r="L1653">
        <v>10</v>
      </c>
      <c r="M1653">
        <v>3000</v>
      </c>
      <c r="N1653">
        <v>5</v>
      </c>
      <c r="O1653">
        <v>28500</v>
      </c>
      <c r="P1653">
        <v>9099.75</v>
      </c>
      <c r="Q1653" t="s">
        <v>74</v>
      </c>
      <c r="R1653" t="s">
        <v>29</v>
      </c>
      <c r="S1653" t="s">
        <v>40</v>
      </c>
      <c r="T1653">
        <f>YEAR(Table1_1[[#This Row],[order_date]])</f>
        <v>2025</v>
      </c>
      <c r="U1653">
        <f>MONTH(Table1_1[[#This Row],[order_date]])</f>
        <v>2</v>
      </c>
      <c r="V1653" t="str">
        <f>TEXT(Table1_1[[#This Row],[order_date]],"mmm")</f>
        <v>Feb</v>
      </c>
      <c r="W1653" t="str">
        <f>"Q"&amp;ROUNDUP(MONTH(Table1_1[[#This Row],[order_date]])/3,0)</f>
        <v>Q1</v>
      </c>
      <c r="X1653" t="str">
        <f>TEXT(Table1_1[[#This Row],[order_date]],"yyyy-mm")</f>
        <v>2025-02</v>
      </c>
      <c r="Y1653">
        <f>IF(Table1_1[[#This Row],[ship_date]]="","",Table1_1[[#This Row],[ship_date]]-Table1_1[[#This Row],[order_date]])</f>
        <v>5</v>
      </c>
      <c r="Z1653">
        <f>ROUND(Table1_1[[#This Row],[profit]]/Table1_1[[#This Row],[sales_fix]]*100,2)</f>
        <v>31.93</v>
      </c>
    </row>
    <row r="1654" spans="1:26" x14ac:dyDescent="0.3">
      <c r="A1654" t="s">
        <v>2767</v>
      </c>
      <c r="B1654" s="1">
        <v>45722</v>
      </c>
      <c r="C1654" s="1">
        <v>45724</v>
      </c>
      <c r="D1654" t="s">
        <v>69</v>
      </c>
      <c r="E1654" t="s">
        <v>70</v>
      </c>
      <c r="F1654" t="s">
        <v>23</v>
      </c>
      <c r="G1654" t="s">
        <v>44</v>
      </c>
      <c r="H1654" t="s">
        <v>24</v>
      </c>
      <c r="I1654" t="s">
        <v>71</v>
      </c>
      <c r="J1654" t="s">
        <v>72</v>
      </c>
      <c r="K1654" t="s">
        <v>73</v>
      </c>
      <c r="L1654">
        <v>1</v>
      </c>
      <c r="M1654">
        <v>3500</v>
      </c>
      <c r="N1654">
        <v>10</v>
      </c>
      <c r="O1654">
        <v>3150</v>
      </c>
      <c r="P1654">
        <v>906.26</v>
      </c>
      <c r="Q1654" t="s">
        <v>28</v>
      </c>
      <c r="R1654" t="s">
        <v>56</v>
      </c>
      <c r="S1654" t="s">
        <v>50</v>
      </c>
      <c r="T1654">
        <f>YEAR(Table1_1[[#This Row],[order_date]])</f>
        <v>2025</v>
      </c>
      <c r="U1654">
        <f>MONTH(Table1_1[[#This Row],[order_date]])</f>
        <v>3</v>
      </c>
      <c r="V1654" t="str">
        <f>TEXT(Table1_1[[#This Row],[order_date]],"mmm")</f>
        <v>Mar</v>
      </c>
      <c r="W1654" t="str">
        <f>"Q"&amp;ROUNDUP(MONTH(Table1_1[[#This Row],[order_date]])/3,0)</f>
        <v>Q1</v>
      </c>
      <c r="X1654" t="str">
        <f>TEXT(Table1_1[[#This Row],[order_date]],"yyyy-mm")</f>
        <v>2025-03</v>
      </c>
      <c r="Y1654">
        <f>IF(Table1_1[[#This Row],[ship_date]]="","",Table1_1[[#This Row],[ship_date]]-Table1_1[[#This Row],[order_date]])</f>
        <v>2</v>
      </c>
      <c r="Z1654">
        <f>ROUND(Table1_1[[#This Row],[profit]]/Table1_1[[#This Row],[sales_fix]]*100,2)</f>
        <v>28.77</v>
      </c>
    </row>
    <row r="1655" spans="1:26" x14ac:dyDescent="0.3">
      <c r="A1655" t="s">
        <v>1881</v>
      </c>
      <c r="B1655" s="1">
        <v>45423</v>
      </c>
      <c r="C1655" s="1">
        <v>45425</v>
      </c>
      <c r="D1655" t="s">
        <v>1442</v>
      </c>
      <c r="E1655" t="s">
        <v>1443</v>
      </c>
      <c r="F1655" t="s">
        <v>23</v>
      </c>
      <c r="G1655" t="s">
        <v>61</v>
      </c>
      <c r="H1655" t="s">
        <v>125</v>
      </c>
      <c r="I1655" t="s">
        <v>71</v>
      </c>
      <c r="J1655" t="s">
        <v>72</v>
      </c>
      <c r="K1655" t="s">
        <v>73</v>
      </c>
      <c r="L1655">
        <v>2</v>
      </c>
      <c r="M1655">
        <v>3500</v>
      </c>
      <c r="N1655">
        <v>20</v>
      </c>
      <c r="O1655">
        <v>5600</v>
      </c>
      <c r="P1655">
        <v>1713.74</v>
      </c>
      <c r="Q1655" t="s">
        <v>156</v>
      </c>
      <c r="R1655" t="s">
        <v>29</v>
      </c>
      <c r="S1655" t="s">
        <v>50</v>
      </c>
      <c r="T1655">
        <f>YEAR(Table1_1[[#This Row],[order_date]])</f>
        <v>2024</v>
      </c>
      <c r="U1655">
        <f>MONTH(Table1_1[[#This Row],[order_date]])</f>
        <v>5</v>
      </c>
      <c r="V1655" t="str">
        <f>TEXT(Table1_1[[#This Row],[order_date]],"mmm")</f>
        <v>May</v>
      </c>
      <c r="W1655" t="str">
        <f>"Q"&amp;ROUNDUP(MONTH(Table1_1[[#This Row],[order_date]])/3,0)</f>
        <v>Q2</v>
      </c>
      <c r="X1655" t="str">
        <f>TEXT(Table1_1[[#This Row],[order_date]],"yyyy-mm")</f>
        <v>2024-05</v>
      </c>
      <c r="Y1655">
        <f>IF(Table1_1[[#This Row],[ship_date]]="","",Table1_1[[#This Row],[ship_date]]-Table1_1[[#This Row],[order_date]])</f>
        <v>2</v>
      </c>
      <c r="Z1655">
        <f>ROUND(Table1_1[[#This Row],[profit]]/Table1_1[[#This Row],[sales_fix]]*100,2)</f>
        <v>30.6</v>
      </c>
    </row>
    <row r="1656" spans="1:26" x14ac:dyDescent="0.3">
      <c r="A1656" t="s">
        <v>1836</v>
      </c>
      <c r="B1656" s="1">
        <v>45547</v>
      </c>
      <c r="C1656" s="1">
        <v>45554</v>
      </c>
      <c r="D1656" t="s">
        <v>352</v>
      </c>
      <c r="E1656" t="s">
        <v>353</v>
      </c>
      <c r="F1656" t="s">
        <v>55</v>
      </c>
      <c r="G1656" t="s">
        <v>35</v>
      </c>
      <c r="H1656" t="s">
        <v>36</v>
      </c>
      <c r="I1656" t="s">
        <v>103</v>
      </c>
      <c r="J1656" t="s">
        <v>104</v>
      </c>
      <c r="K1656" t="s">
        <v>65</v>
      </c>
      <c r="L1656">
        <v>3</v>
      </c>
      <c r="M1656">
        <v>8000</v>
      </c>
      <c r="N1656">
        <v>15</v>
      </c>
      <c r="O1656">
        <v>20400</v>
      </c>
      <c r="P1656">
        <v>3717.29</v>
      </c>
      <c r="Q1656" t="s">
        <v>121</v>
      </c>
      <c r="R1656" t="s">
        <v>29</v>
      </c>
      <c r="S1656" t="s">
        <v>110</v>
      </c>
      <c r="T1656">
        <f>YEAR(Table1_1[[#This Row],[order_date]])</f>
        <v>2024</v>
      </c>
      <c r="U1656">
        <f>MONTH(Table1_1[[#This Row],[order_date]])</f>
        <v>9</v>
      </c>
      <c r="V1656" t="str">
        <f>TEXT(Table1_1[[#This Row],[order_date]],"mmm")</f>
        <v>Sep</v>
      </c>
      <c r="W1656" t="str">
        <f>"Q"&amp;ROUNDUP(MONTH(Table1_1[[#This Row],[order_date]])/3,0)</f>
        <v>Q3</v>
      </c>
      <c r="X1656" t="str">
        <f>TEXT(Table1_1[[#This Row],[order_date]],"yyyy-mm")</f>
        <v>2024-09</v>
      </c>
      <c r="Y1656">
        <f>IF(Table1_1[[#This Row],[ship_date]]="","",Table1_1[[#This Row],[ship_date]]-Table1_1[[#This Row],[order_date]])</f>
        <v>7</v>
      </c>
      <c r="Z1656">
        <f>ROUND(Table1_1[[#This Row],[profit]]/Table1_1[[#This Row],[sales_fix]]*100,2)</f>
        <v>18.22</v>
      </c>
    </row>
    <row r="1657" spans="1:26" x14ac:dyDescent="0.3">
      <c r="A1657" t="s">
        <v>2964</v>
      </c>
      <c r="B1657" s="1">
        <v>45294</v>
      </c>
      <c r="C1657" s="1">
        <v>45295</v>
      </c>
      <c r="D1657" t="s">
        <v>639</v>
      </c>
      <c r="E1657" t="s">
        <v>640</v>
      </c>
      <c r="F1657" t="s">
        <v>55</v>
      </c>
      <c r="G1657" t="s">
        <v>35</v>
      </c>
      <c r="H1657" t="s">
        <v>36</v>
      </c>
      <c r="I1657" t="s">
        <v>93</v>
      </c>
      <c r="J1657" t="s">
        <v>94</v>
      </c>
      <c r="K1657" t="s">
        <v>95</v>
      </c>
      <c r="L1657">
        <v>3</v>
      </c>
      <c r="M1657">
        <v>1800</v>
      </c>
      <c r="N1657">
        <v>15</v>
      </c>
      <c r="O1657">
        <v>4590</v>
      </c>
      <c r="P1657">
        <v>1195.73</v>
      </c>
      <c r="Q1657" t="s">
        <v>28</v>
      </c>
      <c r="R1657" t="s">
        <v>29</v>
      </c>
      <c r="S1657" t="s">
        <v>110</v>
      </c>
      <c r="T1657">
        <f>YEAR(Table1_1[[#This Row],[order_date]])</f>
        <v>2024</v>
      </c>
      <c r="U1657">
        <f>MONTH(Table1_1[[#This Row],[order_date]])</f>
        <v>1</v>
      </c>
      <c r="V1657" t="str">
        <f>TEXT(Table1_1[[#This Row],[order_date]],"mmm")</f>
        <v>Jan</v>
      </c>
      <c r="W1657" t="str">
        <f>"Q"&amp;ROUNDUP(MONTH(Table1_1[[#This Row],[order_date]])/3,0)</f>
        <v>Q1</v>
      </c>
      <c r="X1657" t="str">
        <f>TEXT(Table1_1[[#This Row],[order_date]],"yyyy-mm")</f>
        <v>2024-01</v>
      </c>
      <c r="Y1657">
        <f>IF(Table1_1[[#This Row],[ship_date]]="","",Table1_1[[#This Row],[ship_date]]-Table1_1[[#This Row],[order_date]])</f>
        <v>1</v>
      </c>
      <c r="Z1657">
        <f>ROUND(Table1_1[[#This Row],[profit]]/Table1_1[[#This Row],[sales_fix]]*100,2)</f>
        <v>26.05</v>
      </c>
    </row>
    <row r="1658" spans="1:26" x14ac:dyDescent="0.3">
      <c r="A1658" t="s">
        <v>2773</v>
      </c>
      <c r="B1658" s="1">
        <v>45439</v>
      </c>
      <c r="C1658" s="1">
        <v>45445</v>
      </c>
      <c r="D1658" t="s">
        <v>882</v>
      </c>
      <c r="E1658" t="s">
        <v>1545</v>
      </c>
      <c r="F1658" t="s">
        <v>55</v>
      </c>
      <c r="G1658" t="s">
        <v>44</v>
      </c>
      <c r="H1658" t="s">
        <v>24</v>
      </c>
      <c r="I1658" t="s">
        <v>147</v>
      </c>
      <c r="J1658" t="s">
        <v>148</v>
      </c>
      <c r="K1658" t="s">
        <v>48</v>
      </c>
      <c r="L1658">
        <v>1</v>
      </c>
      <c r="M1658">
        <v>250</v>
      </c>
      <c r="N1658">
        <v>15</v>
      </c>
      <c r="O1658">
        <v>212.5</v>
      </c>
      <c r="P1658">
        <v>86.21</v>
      </c>
      <c r="Q1658" t="s">
        <v>74</v>
      </c>
      <c r="R1658" t="s">
        <v>49</v>
      </c>
      <c r="S1658" t="s">
        <v>30</v>
      </c>
      <c r="T1658">
        <f>YEAR(Table1_1[[#This Row],[order_date]])</f>
        <v>2024</v>
      </c>
      <c r="U1658">
        <f>MONTH(Table1_1[[#This Row],[order_date]])</f>
        <v>5</v>
      </c>
      <c r="V1658" t="str">
        <f>TEXT(Table1_1[[#This Row],[order_date]],"mmm")</f>
        <v>May</v>
      </c>
      <c r="W1658" t="str">
        <f>"Q"&amp;ROUNDUP(MONTH(Table1_1[[#This Row],[order_date]])/3,0)</f>
        <v>Q2</v>
      </c>
      <c r="X1658" t="str">
        <f>TEXT(Table1_1[[#This Row],[order_date]],"yyyy-mm")</f>
        <v>2024-05</v>
      </c>
      <c r="Y1658">
        <f>IF(Table1_1[[#This Row],[ship_date]]="","",Table1_1[[#This Row],[ship_date]]-Table1_1[[#This Row],[order_date]])</f>
        <v>6</v>
      </c>
      <c r="Z1658">
        <f>ROUND(Table1_1[[#This Row],[profit]]/Table1_1[[#This Row],[sales_fix]]*100,2)</f>
        <v>40.57</v>
      </c>
    </row>
    <row r="1659" spans="1:26" x14ac:dyDescent="0.3">
      <c r="A1659" t="s">
        <v>1817</v>
      </c>
      <c r="B1659" s="1">
        <v>45573</v>
      </c>
      <c r="C1659" s="1">
        <v>45580</v>
      </c>
      <c r="D1659" t="s">
        <v>939</v>
      </c>
      <c r="E1659" t="s">
        <v>940</v>
      </c>
      <c r="F1659" t="s">
        <v>55</v>
      </c>
      <c r="G1659" t="s">
        <v>61</v>
      </c>
      <c r="H1659" t="s">
        <v>78</v>
      </c>
      <c r="I1659" t="s">
        <v>126</v>
      </c>
      <c r="J1659" t="s">
        <v>127</v>
      </c>
      <c r="K1659" t="s">
        <v>95</v>
      </c>
      <c r="L1659">
        <v>1</v>
      </c>
      <c r="M1659">
        <v>600</v>
      </c>
      <c r="N1659">
        <v>15</v>
      </c>
      <c r="O1659">
        <v>510</v>
      </c>
      <c r="P1659">
        <v>146.97</v>
      </c>
      <c r="Q1659" t="s">
        <v>74</v>
      </c>
      <c r="R1659" t="s">
        <v>567</v>
      </c>
      <c r="S1659" t="s">
        <v>50</v>
      </c>
      <c r="T1659">
        <f>YEAR(Table1_1[[#This Row],[order_date]])</f>
        <v>2024</v>
      </c>
      <c r="U1659">
        <f>MONTH(Table1_1[[#This Row],[order_date]])</f>
        <v>10</v>
      </c>
      <c r="V1659" t="str">
        <f>TEXT(Table1_1[[#This Row],[order_date]],"mmm")</f>
        <v>Oct</v>
      </c>
      <c r="W1659" t="str">
        <f>"Q"&amp;ROUNDUP(MONTH(Table1_1[[#This Row],[order_date]])/3,0)</f>
        <v>Q4</v>
      </c>
      <c r="X1659" t="str">
        <f>TEXT(Table1_1[[#This Row],[order_date]],"yyyy-mm")</f>
        <v>2024-10</v>
      </c>
      <c r="Y1659">
        <f>IF(Table1_1[[#This Row],[ship_date]]="","",Table1_1[[#This Row],[ship_date]]-Table1_1[[#This Row],[order_date]])</f>
        <v>7</v>
      </c>
      <c r="Z1659">
        <f>ROUND(Table1_1[[#This Row],[profit]]/Table1_1[[#This Row],[sales_fix]]*100,2)</f>
        <v>28.82</v>
      </c>
    </row>
    <row r="1660" spans="1:26" x14ac:dyDescent="0.3">
      <c r="A1660" t="s">
        <v>2034</v>
      </c>
      <c r="B1660" s="1">
        <v>45572</v>
      </c>
      <c r="C1660" s="1">
        <v>45573</v>
      </c>
      <c r="D1660" t="s">
        <v>731</v>
      </c>
      <c r="E1660" t="s">
        <v>732</v>
      </c>
      <c r="F1660" t="s">
        <v>34</v>
      </c>
      <c r="G1660" t="s">
        <v>44</v>
      </c>
      <c r="H1660" t="s">
        <v>155</v>
      </c>
      <c r="I1660" t="s">
        <v>147</v>
      </c>
      <c r="J1660" t="s">
        <v>148</v>
      </c>
      <c r="K1660" t="s">
        <v>48</v>
      </c>
      <c r="L1660">
        <v>1</v>
      </c>
      <c r="M1660">
        <v>250</v>
      </c>
      <c r="N1660">
        <v>5</v>
      </c>
      <c r="O1660">
        <v>237.5</v>
      </c>
      <c r="P1660">
        <v>84.12</v>
      </c>
      <c r="Q1660" t="s">
        <v>66</v>
      </c>
      <c r="R1660" t="s">
        <v>56</v>
      </c>
      <c r="S1660" t="s">
        <v>30</v>
      </c>
      <c r="T1660">
        <f>YEAR(Table1_1[[#This Row],[order_date]])</f>
        <v>2024</v>
      </c>
      <c r="U1660">
        <f>MONTH(Table1_1[[#This Row],[order_date]])</f>
        <v>10</v>
      </c>
      <c r="V1660" t="str">
        <f>TEXT(Table1_1[[#This Row],[order_date]],"mmm")</f>
        <v>Oct</v>
      </c>
      <c r="W1660" t="str">
        <f>"Q"&amp;ROUNDUP(MONTH(Table1_1[[#This Row],[order_date]])/3,0)</f>
        <v>Q4</v>
      </c>
      <c r="X1660" t="str">
        <f>TEXT(Table1_1[[#This Row],[order_date]],"yyyy-mm")</f>
        <v>2024-10</v>
      </c>
      <c r="Y1660">
        <f>IF(Table1_1[[#This Row],[ship_date]]="","",Table1_1[[#This Row],[ship_date]]-Table1_1[[#This Row],[order_date]])</f>
        <v>1</v>
      </c>
      <c r="Z1660">
        <f>ROUND(Table1_1[[#This Row],[profit]]/Table1_1[[#This Row],[sales_fix]]*100,2)</f>
        <v>35.42</v>
      </c>
    </row>
    <row r="1661" spans="1:26" x14ac:dyDescent="0.3">
      <c r="A1661" t="s">
        <v>3038</v>
      </c>
      <c r="B1661" s="1">
        <v>45500</v>
      </c>
      <c r="C1661" s="1">
        <v>45505</v>
      </c>
      <c r="D1661" t="s">
        <v>460</v>
      </c>
      <c r="E1661" t="s">
        <v>461</v>
      </c>
      <c r="F1661" t="s">
        <v>34</v>
      </c>
      <c r="G1661" t="s">
        <v>61</v>
      </c>
      <c r="H1661" t="s">
        <v>62</v>
      </c>
      <c r="I1661" t="s">
        <v>25</v>
      </c>
      <c r="J1661" t="s">
        <v>26</v>
      </c>
      <c r="K1661" t="s">
        <v>27</v>
      </c>
      <c r="L1661">
        <v>2</v>
      </c>
      <c r="M1661">
        <v>7000</v>
      </c>
      <c r="N1661">
        <v>0</v>
      </c>
      <c r="O1661">
        <v>14000</v>
      </c>
      <c r="P1661">
        <v>2329.34</v>
      </c>
      <c r="Q1661" t="s">
        <v>121</v>
      </c>
      <c r="R1661" t="s">
        <v>49</v>
      </c>
      <c r="S1661" t="s">
        <v>86</v>
      </c>
      <c r="T1661">
        <f>YEAR(Table1_1[[#This Row],[order_date]])</f>
        <v>2024</v>
      </c>
      <c r="U1661">
        <f>MONTH(Table1_1[[#This Row],[order_date]])</f>
        <v>7</v>
      </c>
      <c r="V1661" t="str">
        <f>TEXT(Table1_1[[#This Row],[order_date]],"mmm")</f>
        <v>Jul</v>
      </c>
      <c r="W1661" t="str">
        <f>"Q"&amp;ROUNDUP(MONTH(Table1_1[[#This Row],[order_date]])/3,0)</f>
        <v>Q3</v>
      </c>
      <c r="X1661" t="str">
        <f>TEXT(Table1_1[[#This Row],[order_date]],"yyyy-mm")</f>
        <v>2024-07</v>
      </c>
      <c r="Y1661">
        <f>IF(Table1_1[[#This Row],[ship_date]]="","",Table1_1[[#This Row],[ship_date]]-Table1_1[[#This Row],[order_date]])</f>
        <v>5</v>
      </c>
      <c r="Z1661">
        <f>ROUND(Table1_1[[#This Row],[profit]]/Table1_1[[#This Row],[sales_fix]]*100,2)</f>
        <v>16.64</v>
      </c>
    </row>
    <row r="1662" spans="1:26" x14ac:dyDescent="0.3">
      <c r="A1662" t="s">
        <v>165</v>
      </c>
      <c r="B1662" s="1">
        <v>45358</v>
      </c>
      <c r="C1662" s="1">
        <v>45362</v>
      </c>
      <c r="D1662" t="s">
        <v>166</v>
      </c>
      <c r="E1662" t="s">
        <v>167</v>
      </c>
      <c r="F1662" t="s">
        <v>23</v>
      </c>
      <c r="G1662" t="s">
        <v>44</v>
      </c>
      <c r="H1662" t="s">
        <v>161</v>
      </c>
      <c r="I1662" t="s">
        <v>46</v>
      </c>
      <c r="J1662" t="s">
        <v>47</v>
      </c>
      <c r="K1662" t="s">
        <v>48</v>
      </c>
      <c r="L1662">
        <v>2</v>
      </c>
      <c r="M1662">
        <v>180</v>
      </c>
      <c r="N1662">
        <v>0</v>
      </c>
      <c r="O1662">
        <v>360</v>
      </c>
      <c r="P1662">
        <v>133.05000000000001</v>
      </c>
      <c r="Q1662" t="s">
        <v>3113</v>
      </c>
      <c r="R1662" t="s">
        <v>29</v>
      </c>
      <c r="S1662" t="s">
        <v>110</v>
      </c>
      <c r="T1662">
        <f>YEAR(Table1_1[[#This Row],[order_date]])</f>
        <v>2024</v>
      </c>
      <c r="U1662">
        <f>MONTH(Table1_1[[#This Row],[order_date]])</f>
        <v>3</v>
      </c>
      <c r="V1662" t="str">
        <f>TEXT(Table1_1[[#This Row],[order_date]],"mmm")</f>
        <v>Mar</v>
      </c>
      <c r="W1662" t="str">
        <f>"Q"&amp;ROUNDUP(MONTH(Table1_1[[#This Row],[order_date]])/3,0)</f>
        <v>Q1</v>
      </c>
      <c r="X1662" t="str">
        <f>TEXT(Table1_1[[#This Row],[order_date]],"yyyy-mm")</f>
        <v>2024-03</v>
      </c>
      <c r="Y1662">
        <f>IF(Table1_1[[#This Row],[ship_date]]="","",Table1_1[[#This Row],[ship_date]]-Table1_1[[#This Row],[order_date]])</f>
        <v>4</v>
      </c>
      <c r="Z1662">
        <f>ROUND(Table1_1[[#This Row],[profit]]/Table1_1[[#This Row],[sales_fix]]*100,2)</f>
        <v>36.96</v>
      </c>
    </row>
    <row r="1663" spans="1:26" x14ac:dyDescent="0.3">
      <c r="A1663" t="s">
        <v>2686</v>
      </c>
      <c r="B1663" s="1">
        <v>45568</v>
      </c>
      <c r="C1663" s="1">
        <v>45572</v>
      </c>
      <c r="D1663" t="s">
        <v>527</v>
      </c>
      <c r="E1663" t="s">
        <v>528</v>
      </c>
      <c r="F1663" t="s">
        <v>23</v>
      </c>
      <c r="G1663" t="s">
        <v>44</v>
      </c>
      <c r="H1663" t="s">
        <v>161</v>
      </c>
      <c r="I1663" t="s">
        <v>134</v>
      </c>
      <c r="J1663" t="s">
        <v>135</v>
      </c>
      <c r="K1663" t="s">
        <v>27</v>
      </c>
      <c r="L1663">
        <v>1</v>
      </c>
      <c r="M1663">
        <v>6000</v>
      </c>
      <c r="N1663">
        <v>0</v>
      </c>
      <c r="O1663">
        <v>6000</v>
      </c>
      <c r="P1663">
        <v>1017.88</v>
      </c>
      <c r="Q1663" t="s">
        <v>3113</v>
      </c>
      <c r="R1663" t="s">
        <v>49</v>
      </c>
      <c r="S1663" t="s">
        <v>30</v>
      </c>
      <c r="T1663">
        <f>YEAR(Table1_1[[#This Row],[order_date]])</f>
        <v>2024</v>
      </c>
      <c r="U1663">
        <f>MONTH(Table1_1[[#This Row],[order_date]])</f>
        <v>10</v>
      </c>
      <c r="V1663" t="str">
        <f>TEXT(Table1_1[[#This Row],[order_date]],"mmm")</f>
        <v>Oct</v>
      </c>
      <c r="W1663" t="str">
        <f>"Q"&amp;ROUNDUP(MONTH(Table1_1[[#This Row],[order_date]])/3,0)</f>
        <v>Q4</v>
      </c>
      <c r="X1663" t="str">
        <f>TEXT(Table1_1[[#This Row],[order_date]],"yyyy-mm")</f>
        <v>2024-10</v>
      </c>
      <c r="Y1663">
        <f>IF(Table1_1[[#This Row],[ship_date]]="","",Table1_1[[#This Row],[ship_date]]-Table1_1[[#This Row],[order_date]])</f>
        <v>4</v>
      </c>
      <c r="Z1663">
        <f>ROUND(Table1_1[[#This Row],[profit]]/Table1_1[[#This Row],[sales_fix]]*100,2)</f>
        <v>16.96</v>
      </c>
    </row>
    <row r="1664" spans="1:26" x14ac:dyDescent="0.3">
      <c r="A1664" t="s">
        <v>2538</v>
      </c>
      <c r="B1664" s="1">
        <v>45813</v>
      </c>
      <c r="C1664" s="1">
        <v>45819</v>
      </c>
      <c r="D1664" t="s">
        <v>896</v>
      </c>
      <c r="E1664" t="s">
        <v>897</v>
      </c>
      <c r="F1664" t="s">
        <v>55</v>
      </c>
      <c r="G1664" t="s">
        <v>35</v>
      </c>
      <c r="H1664" t="s">
        <v>258</v>
      </c>
      <c r="I1664" t="s">
        <v>46</v>
      </c>
      <c r="J1664" t="s">
        <v>47</v>
      </c>
      <c r="K1664" t="s">
        <v>48</v>
      </c>
      <c r="L1664">
        <v>2</v>
      </c>
      <c r="M1664">
        <v>180</v>
      </c>
      <c r="N1664">
        <v>0</v>
      </c>
      <c r="O1664">
        <v>360</v>
      </c>
      <c r="P1664">
        <v>120.52</v>
      </c>
      <c r="Q1664" t="s">
        <v>39</v>
      </c>
      <c r="R1664" t="s">
        <v>49</v>
      </c>
      <c r="S1664" t="s">
        <v>86</v>
      </c>
      <c r="T1664">
        <f>YEAR(Table1_1[[#This Row],[order_date]])</f>
        <v>2025</v>
      </c>
      <c r="U1664">
        <f>MONTH(Table1_1[[#This Row],[order_date]])</f>
        <v>6</v>
      </c>
      <c r="V1664" t="str">
        <f>TEXT(Table1_1[[#This Row],[order_date]],"mmm")</f>
        <v>Jun</v>
      </c>
      <c r="W1664" t="str">
        <f>"Q"&amp;ROUNDUP(MONTH(Table1_1[[#This Row],[order_date]])/3,0)</f>
        <v>Q2</v>
      </c>
      <c r="X1664" t="str">
        <f>TEXT(Table1_1[[#This Row],[order_date]],"yyyy-mm")</f>
        <v>2025-06</v>
      </c>
      <c r="Y1664">
        <f>IF(Table1_1[[#This Row],[ship_date]]="","",Table1_1[[#This Row],[ship_date]]-Table1_1[[#This Row],[order_date]])</f>
        <v>6</v>
      </c>
      <c r="Z1664">
        <f>ROUND(Table1_1[[#This Row],[profit]]/Table1_1[[#This Row],[sales_fix]]*100,2)</f>
        <v>33.479999999999997</v>
      </c>
    </row>
    <row r="1665" spans="1:26" x14ac:dyDescent="0.3">
      <c r="A1665" t="s">
        <v>3056</v>
      </c>
      <c r="B1665" s="1">
        <v>45820</v>
      </c>
      <c r="C1665" s="1">
        <v>45822</v>
      </c>
      <c r="D1665" t="s">
        <v>621</v>
      </c>
      <c r="E1665" t="s">
        <v>622</v>
      </c>
      <c r="F1665" t="s">
        <v>55</v>
      </c>
      <c r="G1665" t="s">
        <v>91</v>
      </c>
      <c r="H1665" t="s">
        <v>109</v>
      </c>
      <c r="I1665" t="s">
        <v>126</v>
      </c>
      <c r="J1665" t="s">
        <v>127</v>
      </c>
      <c r="K1665" t="s">
        <v>95</v>
      </c>
      <c r="L1665">
        <v>3</v>
      </c>
      <c r="M1665">
        <v>600</v>
      </c>
      <c r="N1665">
        <v>15</v>
      </c>
      <c r="O1665">
        <v>1530</v>
      </c>
      <c r="P1665">
        <v>500.87</v>
      </c>
      <c r="Q1665" t="s">
        <v>39</v>
      </c>
      <c r="R1665" t="s">
        <v>29</v>
      </c>
      <c r="S1665" t="s">
        <v>50</v>
      </c>
      <c r="T1665">
        <f>YEAR(Table1_1[[#This Row],[order_date]])</f>
        <v>2025</v>
      </c>
      <c r="U1665">
        <f>MONTH(Table1_1[[#This Row],[order_date]])</f>
        <v>6</v>
      </c>
      <c r="V1665" t="str">
        <f>TEXT(Table1_1[[#This Row],[order_date]],"mmm")</f>
        <v>Jun</v>
      </c>
      <c r="W1665" t="str">
        <f>"Q"&amp;ROUNDUP(MONTH(Table1_1[[#This Row],[order_date]])/3,0)</f>
        <v>Q2</v>
      </c>
      <c r="X1665" t="str">
        <f>TEXT(Table1_1[[#This Row],[order_date]],"yyyy-mm")</f>
        <v>2025-06</v>
      </c>
      <c r="Y1665">
        <f>IF(Table1_1[[#This Row],[ship_date]]="","",Table1_1[[#This Row],[ship_date]]-Table1_1[[#This Row],[order_date]])</f>
        <v>2</v>
      </c>
      <c r="Z1665">
        <f>ROUND(Table1_1[[#This Row],[profit]]/Table1_1[[#This Row],[sales_fix]]*100,2)</f>
        <v>32.74</v>
      </c>
    </row>
    <row r="1666" spans="1:26" x14ac:dyDescent="0.3">
      <c r="A1666" t="s">
        <v>447</v>
      </c>
      <c r="B1666" s="1">
        <v>45542</v>
      </c>
      <c r="C1666" s="1">
        <v>45545</v>
      </c>
      <c r="D1666" t="s">
        <v>132</v>
      </c>
      <c r="E1666" t="s">
        <v>133</v>
      </c>
      <c r="F1666" t="s">
        <v>23</v>
      </c>
      <c r="G1666" t="s">
        <v>91</v>
      </c>
      <c r="H1666" t="s">
        <v>120</v>
      </c>
      <c r="I1666" t="s">
        <v>25</v>
      </c>
      <c r="J1666" t="s">
        <v>26</v>
      </c>
      <c r="K1666" t="s">
        <v>27</v>
      </c>
      <c r="L1666">
        <v>3</v>
      </c>
      <c r="M1666">
        <v>7000</v>
      </c>
      <c r="N1666">
        <v>15</v>
      </c>
      <c r="O1666">
        <v>17850</v>
      </c>
      <c r="P1666">
        <v>4211.8999999999996</v>
      </c>
      <c r="Q1666" t="s">
        <v>156</v>
      </c>
      <c r="R1666" t="s">
        <v>49</v>
      </c>
      <c r="S1666" t="s">
        <v>40</v>
      </c>
      <c r="T1666">
        <f>YEAR(Table1_1[[#This Row],[order_date]])</f>
        <v>2024</v>
      </c>
      <c r="U1666">
        <f>MONTH(Table1_1[[#This Row],[order_date]])</f>
        <v>9</v>
      </c>
      <c r="V1666" t="str">
        <f>TEXT(Table1_1[[#This Row],[order_date]],"mmm")</f>
        <v>Sep</v>
      </c>
      <c r="W1666" t="str">
        <f>"Q"&amp;ROUNDUP(MONTH(Table1_1[[#This Row],[order_date]])/3,0)</f>
        <v>Q3</v>
      </c>
      <c r="X1666" t="str">
        <f>TEXT(Table1_1[[#This Row],[order_date]],"yyyy-mm")</f>
        <v>2024-09</v>
      </c>
      <c r="Y1666">
        <f>IF(Table1_1[[#This Row],[ship_date]]="","",Table1_1[[#This Row],[ship_date]]-Table1_1[[#This Row],[order_date]])</f>
        <v>3</v>
      </c>
      <c r="Z1666">
        <f>ROUND(Table1_1[[#This Row],[profit]]/Table1_1[[#This Row],[sales_fix]]*100,2)</f>
        <v>23.6</v>
      </c>
    </row>
    <row r="1667" spans="1:26" x14ac:dyDescent="0.3">
      <c r="A1667" t="s">
        <v>1500</v>
      </c>
      <c r="B1667" s="1">
        <v>45312</v>
      </c>
      <c r="C1667" s="1">
        <v>45319</v>
      </c>
      <c r="D1667" t="s">
        <v>721</v>
      </c>
      <c r="E1667" t="s">
        <v>722</v>
      </c>
      <c r="F1667" t="s">
        <v>34</v>
      </c>
      <c r="G1667" t="s">
        <v>35</v>
      </c>
      <c r="H1667" t="s">
        <v>258</v>
      </c>
      <c r="I1667" t="s">
        <v>79</v>
      </c>
      <c r="J1667" t="s">
        <v>80</v>
      </c>
      <c r="K1667" t="s">
        <v>65</v>
      </c>
      <c r="L1667">
        <v>1</v>
      </c>
      <c r="M1667">
        <v>3000</v>
      </c>
      <c r="N1667">
        <v>15</v>
      </c>
      <c r="O1667">
        <v>2550</v>
      </c>
      <c r="P1667">
        <v>771.02</v>
      </c>
      <c r="Q1667" t="s">
        <v>39</v>
      </c>
      <c r="R1667" t="s">
        <v>49</v>
      </c>
      <c r="S1667" t="s">
        <v>86</v>
      </c>
      <c r="T1667">
        <f>YEAR(Table1_1[[#This Row],[order_date]])</f>
        <v>2024</v>
      </c>
      <c r="U1667">
        <f>MONTH(Table1_1[[#This Row],[order_date]])</f>
        <v>1</v>
      </c>
      <c r="V1667" t="str">
        <f>TEXT(Table1_1[[#This Row],[order_date]],"mmm")</f>
        <v>Jan</v>
      </c>
      <c r="W1667" t="str">
        <f>"Q"&amp;ROUNDUP(MONTH(Table1_1[[#This Row],[order_date]])/3,0)</f>
        <v>Q1</v>
      </c>
      <c r="X1667" t="str">
        <f>TEXT(Table1_1[[#This Row],[order_date]],"yyyy-mm")</f>
        <v>2024-01</v>
      </c>
      <c r="Y1667">
        <f>IF(Table1_1[[#This Row],[ship_date]]="","",Table1_1[[#This Row],[ship_date]]-Table1_1[[#This Row],[order_date]])</f>
        <v>7</v>
      </c>
      <c r="Z1667">
        <f>ROUND(Table1_1[[#This Row],[profit]]/Table1_1[[#This Row],[sales_fix]]*100,2)</f>
        <v>30.24</v>
      </c>
    </row>
    <row r="1668" spans="1:26" x14ac:dyDescent="0.3">
      <c r="A1668" t="s">
        <v>2426</v>
      </c>
      <c r="B1668" s="1">
        <v>45483</v>
      </c>
      <c r="C1668" s="1">
        <v>45490</v>
      </c>
      <c r="D1668" t="s">
        <v>1729</v>
      </c>
      <c r="E1668" t="s">
        <v>1730</v>
      </c>
      <c r="F1668" t="s">
        <v>34</v>
      </c>
      <c r="G1668" t="s">
        <v>35</v>
      </c>
      <c r="H1668" t="s">
        <v>258</v>
      </c>
      <c r="I1668" t="s">
        <v>103</v>
      </c>
      <c r="J1668" t="s">
        <v>104</v>
      </c>
      <c r="K1668" t="s">
        <v>65</v>
      </c>
      <c r="L1668">
        <v>1</v>
      </c>
      <c r="M1668">
        <v>8000</v>
      </c>
      <c r="N1668">
        <v>0</v>
      </c>
      <c r="O1668">
        <v>8000</v>
      </c>
      <c r="P1668">
        <v>1976.7</v>
      </c>
      <c r="Q1668" t="s">
        <v>74</v>
      </c>
      <c r="R1668" t="s">
        <v>56</v>
      </c>
      <c r="S1668" t="s">
        <v>110</v>
      </c>
      <c r="T1668">
        <f>YEAR(Table1_1[[#This Row],[order_date]])</f>
        <v>2024</v>
      </c>
      <c r="U1668">
        <f>MONTH(Table1_1[[#This Row],[order_date]])</f>
        <v>7</v>
      </c>
      <c r="V1668" t="str">
        <f>TEXT(Table1_1[[#This Row],[order_date]],"mmm")</f>
        <v>Jul</v>
      </c>
      <c r="W1668" t="str">
        <f>"Q"&amp;ROUNDUP(MONTH(Table1_1[[#This Row],[order_date]])/3,0)</f>
        <v>Q3</v>
      </c>
      <c r="X1668" t="str">
        <f>TEXT(Table1_1[[#This Row],[order_date]],"yyyy-mm")</f>
        <v>2024-07</v>
      </c>
      <c r="Y1668">
        <f>IF(Table1_1[[#This Row],[ship_date]]="","",Table1_1[[#This Row],[ship_date]]-Table1_1[[#This Row],[order_date]])</f>
        <v>7</v>
      </c>
      <c r="Z1668">
        <f>ROUND(Table1_1[[#This Row],[profit]]/Table1_1[[#This Row],[sales_fix]]*100,2)</f>
        <v>24.71</v>
      </c>
    </row>
    <row r="1669" spans="1:26" x14ac:dyDescent="0.3">
      <c r="A1669" t="s">
        <v>1985</v>
      </c>
      <c r="B1669" s="1">
        <v>45703</v>
      </c>
      <c r="C1669" s="1">
        <v>45709</v>
      </c>
      <c r="D1669" t="s">
        <v>1643</v>
      </c>
      <c r="E1669" t="s">
        <v>1644</v>
      </c>
      <c r="F1669" t="s">
        <v>55</v>
      </c>
      <c r="G1669" t="s">
        <v>91</v>
      </c>
      <c r="H1669" t="s">
        <v>120</v>
      </c>
      <c r="I1669" t="s">
        <v>126</v>
      </c>
      <c r="J1669" t="s">
        <v>127</v>
      </c>
      <c r="K1669" t="s">
        <v>95</v>
      </c>
      <c r="L1669">
        <v>3</v>
      </c>
      <c r="M1669">
        <v>600</v>
      </c>
      <c r="N1669">
        <v>10</v>
      </c>
      <c r="O1669">
        <v>1620</v>
      </c>
      <c r="P1669">
        <v>570.1</v>
      </c>
      <c r="Q1669" t="s">
        <v>66</v>
      </c>
      <c r="R1669" t="s">
        <v>49</v>
      </c>
      <c r="S1669" t="s">
        <v>30</v>
      </c>
      <c r="T1669">
        <f>YEAR(Table1_1[[#This Row],[order_date]])</f>
        <v>2025</v>
      </c>
      <c r="U1669">
        <f>MONTH(Table1_1[[#This Row],[order_date]])</f>
        <v>2</v>
      </c>
      <c r="V1669" t="str">
        <f>TEXT(Table1_1[[#This Row],[order_date]],"mmm")</f>
        <v>Feb</v>
      </c>
      <c r="W1669" t="str">
        <f>"Q"&amp;ROUNDUP(MONTH(Table1_1[[#This Row],[order_date]])/3,0)</f>
        <v>Q1</v>
      </c>
      <c r="X1669" t="str">
        <f>TEXT(Table1_1[[#This Row],[order_date]],"yyyy-mm")</f>
        <v>2025-02</v>
      </c>
      <c r="Y1669">
        <f>IF(Table1_1[[#This Row],[ship_date]]="","",Table1_1[[#This Row],[ship_date]]-Table1_1[[#This Row],[order_date]])</f>
        <v>6</v>
      </c>
      <c r="Z1669">
        <f>ROUND(Table1_1[[#This Row],[profit]]/Table1_1[[#This Row],[sales_fix]]*100,2)</f>
        <v>35.19</v>
      </c>
    </row>
    <row r="1670" spans="1:26" x14ac:dyDescent="0.3">
      <c r="A1670" t="s">
        <v>1974</v>
      </c>
      <c r="B1670" s="1">
        <v>45624</v>
      </c>
      <c r="C1670" s="1">
        <v>45630</v>
      </c>
      <c r="D1670" t="s">
        <v>1695</v>
      </c>
      <c r="E1670" t="s">
        <v>1696</v>
      </c>
      <c r="F1670" t="s">
        <v>34</v>
      </c>
      <c r="G1670" t="s">
        <v>35</v>
      </c>
      <c r="H1670" t="s">
        <v>85</v>
      </c>
      <c r="I1670" t="s">
        <v>103</v>
      </c>
      <c r="J1670" t="s">
        <v>104</v>
      </c>
      <c r="K1670" t="s">
        <v>65</v>
      </c>
      <c r="L1670">
        <v>1</v>
      </c>
      <c r="M1670">
        <v>8000</v>
      </c>
      <c r="N1670">
        <v>5</v>
      </c>
      <c r="O1670">
        <v>7600</v>
      </c>
      <c r="P1670">
        <v>1906.78</v>
      </c>
      <c r="Q1670" t="s">
        <v>3113</v>
      </c>
      <c r="R1670" t="s">
        <v>29</v>
      </c>
      <c r="S1670" t="s">
        <v>30</v>
      </c>
      <c r="T1670">
        <f>YEAR(Table1_1[[#This Row],[order_date]])</f>
        <v>2024</v>
      </c>
      <c r="U1670">
        <f>MONTH(Table1_1[[#This Row],[order_date]])</f>
        <v>11</v>
      </c>
      <c r="V1670" t="str">
        <f>TEXT(Table1_1[[#This Row],[order_date]],"mmm")</f>
        <v>Nov</v>
      </c>
      <c r="W1670" t="str">
        <f>"Q"&amp;ROUNDUP(MONTH(Table1_1[[#This Row],[order_date]])/3,0)</f>
        <v>Q4</v>
      </c>
      <c r="X1670" t="str">
        <f>TEXT(Table1_1[[#This Row],[order_date]],"yyyy-mm")</f>
        <v>2024-11</v>
      </c>
      <c r="Y1670">
        <f>IF(Table1_1[[#This Row],[ship_date]]="","",Table1_1[[#This Row],[ship_date]]-Table1_1[[#This Row],[order_date]])</f>
        <v>6</v>
      </c>
      <c r="Z1670">
        <f>ROUND(Table1_1[[#This Row],[profit]]/Table1_1[[#This Row],[sales_fix]]*100,2)</f>
        <v>25.09</v>
      </c>
    </row>
    <row r="1671" spans="1:26" x14ac:dyDescent="0.3">
      <c r="A1671" t="s">
        <v>844</v>
      </c>
      <c r="B1671" s="1">
        <v>45998</v>
      </c>
      <c r="C1671" s="1">
        <v>45999</v>
      </c>
      <c r="D1671" t="s">
        <v>751</v>
      </c>
      <c r="E1671" t="s">
        <v>752</v>
      </c>
      <c r="F1671" t="s">
        <v>23</v>
      </c>
      <c r="G1671" t="s">
        <v>35</v>
      </c>
      <c r="H1671" t="s">
        <v>85</v>
      </c>
      <c r="I1671" t="s">
        <v>114</v>
      </c>
      <c r="J1671" t="s">
        <v>115</v>
      </c>
      <c r="K1671" t="s">
        <v>65</v>
      </c>
      <c r="L1671">
        <v>2</v>
      </c>
      <c r="M1671">
        <v>55000</v>
      </c>
      <c r="N1671">
        <v>0</v>
      </c>
      <c r="O1671">
        <v>110000</v>
      </c>
      <c r="P1671">
        <v>15691.93</v>
      </c>
      <c r="Q1671" t="s">
        <v>121</v>
      </c>
      <c r="R1671" t="s">
        <v>49</v>
      </c>
      <c r="S1671" t="s">
        <v>30</v>
      </c>
      <c r="T1671">
        <f>YEAR(Table1_1[[#This Row],[order_date]])</f>
        <v>2025</v>
      </c>
      <c r="U1671">
        <f>MONTH(Table1_1[[#This Row],[order_date]])</f>
        <v>12</v>
      </c>
      <c r="V1671" t="str">
        <f>TEXT(Table1_1[[#This Row],[order_date]],"mmm")</f>
        <v>Dec</v>
      </c>
      <c r="W1671" t="str">
        <f>"Q"&amp;ROUNDUP(MONTH(Table1_1[[#This Row],[order_date]])/3,0)</f>
        <v>Q4</v>
      </c>
      <c r="X1671" t="str">
        <f>TEXT(Table1_1[[#This Row],[order_date]],"yyyy-mm")</f>
        <v>2025-12</v>
      </c>
      <c r="Y1671">
        <f>IF(Table1_1[[#This Row],[ship_date]]="","",Table1_1[[#This Row],[ship_date]]-Table1_1[[#This Row],[order_date]])</f>
        <v>1</v>
      </c>
      <c r="Z1671">
        <f>ROUND(Table1_1[[#This Row],[profit]]/Table1_1[[#This Row],[sales_fix]]*100,2)</f>
        <v>14.27</v>
      </c>
    </row>
    <row r="1672" spans="1:26" x14ac:dyDescent="0.3">
      <c r="A1672" t="s">
        <v>303</v>
      </c>
      <c r="B1672" s="1">
        <v>45366</v>
      </c>
      <c r="C1672" s="1">
        <v>45369</v>
      </c>
      <c r="D1672" t="s">
        <v>98</v>
      </c>
      <c r="E1672" t="s">
        <v>99</v>
      </c>
      <c r="F1672" t="s">
        <v>34</v>
      </c>
      <c r="G1672" t="s">
        <v>91</v>
      </c>
      <c r="H1672" t="s">
        <v>92</v>
      </c>
      <c r="I1672" t="s">
        <v>71</v>
      </c>
      <c r="J1672" t="s">
        <v>72</v>
      </c>
      <c r="K1672" t="s">
        <v>73</v>
      </c>
      <c r="L1672">
        <v>1</v>
      </c>
      <c r="M1672">
        <v>3500</v>
      </c>
      <c r="N1672">
        <v>10</v>
      </c>
      <c r="O1672">
        <v>3150</v>
      </c>
      <c r="P1672">
        <v>883.52</v>
      </c>
      <c r="Q1672" t="s">
        <v>121</v>
      </c>
      <c r="R1672" t="s">
        <v>56</v>
      </c>
      <c r="S1672" t="s">
        <v>50</v>
      </c>
      <c r="T1672">
        <f>YEAR(Table1_1[[#This Row],[order_date]])</f>
        <v>2024</v>
      </c>
      <c r="U1672">
        <f>MONTH(Table1_1[[#This Row],[order_date]])</f>
        <v>3</v>
      </c>
      <c r="V1672" t="str">
        <f>TEXT(Table1_1[[#This Row],[order_date]],"mmm")</f>
        <v>Mar</v>
      </c>
      <c r="W1672" t="str">
        <f>"Q"&amp;ROUNDUP(MONTH(Table1_1[[#This Row],[order_date]])/3,0)</f>
        <v>Q1</v>
      </c>
      <c r="X1672" t="str">
        <f>TEXT(Table1_1[[#This Row],[order_date]],"yyyy-mm")</f>
        <v>2024-03</v>
      </c>
      <c r="Y1672">
        <f>IF(Table1_1[[#This Row],[ship_date]]="","",Table1_1[[#This Row],[ship_date]]-Table1_1[[#This Row],[order_date]])</f>
        <v>3</v>
      </c>
      <c r="Z1672">
        <f>ROUND(Table1_1[[#This Row],[profit]]/Table1_1[[#This Row],[sales_fix]]*100,2)</f>
        <v>28.05</v>
      </c>
    </row>
    <row r="1673" spans="1:26" x14ac:dyDescent="0.3">
      <c r="A1673" t="s">
        <v>2534</v>
      </c>
      <c r="B1673" s="1">
        <v>45391</v>
      </c>
      <c r="C1673" s="1">
        <v>45398</v>
      </c>
      <c r="D1673" t="s">
        <v>343</v>
      </c>
      <c r="E1673" t="s">
        <v>369</v>
      </c>
      <c r="F1673" t="s">
        <v>34</v>
      </c>
      <c r="G1673" t="s">
        <v>44</v>
      </c>
      <c r="H1673" t="s">
        <v>45</v>
      </c>
      <c r="I1673" t="s">
        <v>37</v>
      </c>
      <c r="J1673" t="s">
        <v>38</v>
      </c>
      <c r="K1673" t="s">
        <v>27</v>
      </c>
      <c r="L1673">
        <v>1</v>
      </c>
      <c r="M1673">
        <v>9500</v>
      </c>
      <c r="N1673">
        <v>0</v>
      </c>
      <c r="O1673">
        <v>9500</v>
      </c>
      <c r="P1673">
        <v>2027.83</v>
      </c>
      <c r="Q1673" t="s">
        <v>66</v>
      </c>
      <c r="R1673" t="s">
        <v>49</v>
      </c>
      <c r="S1673" t="s">
        <v>40</v>
      </c>
      <c r="T1673">
        <f>YEAR(Table1_1[[#This Row],[order_date]])</f>
        <v>2024</v>
      </c>
      <c r="U1673">
        <f>MONTH(Table1_1[[#This Row],[order_date]])</f>
        <v>4</v>
      </c>
      <c r="V1673" t="str">
        <f>TEXT(Table1_1[[#This Row],[order_date]],"mmm")</f>
        <v>Apr</v>
      </c>
      <c r="W1673" t="str">
        <f>"Q"&amp;ROUNDUP(MONTH(Table1_1[[#This Row],[order_date]])/3,0)</f>
        <v>Q2</v>
      </c>
      <c r="X1673" t="str">
        <f>TEXT(Table1_1[[#This Row],[order_date]],"yyyy-mm")</f>
        <v>2024-04</v>
      </c>
      <c r="Y1673">
        <f>IF(Table1_1[[#This Row],[ship_date]]="","",Table1_1[[#This Row],[ship_date]]-Table1_1[[#This Row],[order_date]])</f>
        <v>7</v>
      </c>
      <c r="Z1673">
        <f>ROUND(Table1_1[[#This Row],[profit]]/Table1_1[[#This Row],[sales_fix]]*100,2)</f>
        <v>21.35</v>
      </c>
    </row>
    <row r="1674" spans="1:26" x14ac:dyDescent="0.3">
      <c r="A1674" t="s">
        <v>1177</v>
      </c>
      <c r="B1674" s="1">
        <v>45387</v>
      </c>
      <c r="C1674" s="1"/>
      <c r="D1674" t="s">
        <v>192</v>
      </c>
      <c r="E1674" t="s">
        <v>193</v>
      </c>
      <c r="F1674" t="s">
        <v>55</v>
      </c>
      <c r="G1674" t="s">
        <v>35</v>
      </c>
      <c r="H1674" t="s">
        <v>36</v>
      </c>
      <c r="I1674" t="s">
        <v>103</v>
      </c>
      <c r="J1674" t="s">
        <v>104</v>
      </c>
      <c r="K1674" t="s">
        <v>65</v>
      </c>
      <c r="L1674">
        <v>1</v>
      </c>
      <c r="M1674">
        <v>8000</v>
      </c>
      <c r="N1674">
        <v>0</v>
      </c>
      <c r="O1674">
        <v>8000</v>
      </c>
      <c r="P1674">
        <v>1889.42</v>
      </c>
      <c r="Q1674" t="s">
        <v>74</v>
      </c>
      <c r="R1674" t="s">
        <v>56</v>
      </c>
      <c r="S1674" t="s">
        <v>40</v>
      </c>
      <c r="T1674">
        <f>YEAR(Table1_1[[#This Row],[order_date]])</f>
        <v>2024</v>
      </c>
      <c r="U1674">
        <f>MONTH(Table1_1[[#This Row],[order_date]])</f>
        <v>4</v>
      </c>
      <c r="V1674" t="str">
        <f>TEXT(Table1_1[[#This Row],[order_date]],"mmm")</f>
        <v>Apr</v>
      </c>
      <c r="W1674" t="str">
        <f>"Q"&amp;ROUNDUP(MONTH(Table1_1[[#This Row],[order_date]])/3,0)</f>
        <v>Q2</v>
      </c>
      <c r="X1674" t="str">
        <f>TEXT(Table1_1[[#This Row],[order_date]],"yyyy-mm")</f>
        <v>2024-04</v>
      </c>
      <c r="Y1674" t="str">
        <f>IF(Table1_1[[#This Row],[ship_date]]="","",Table1_1[[#This Row],[ship_date]]-Table1_1[[#This Row],[order_date]])</f>
        <v/>
      </c>
      <c r="Z1674">
        <f>ROUND(Table1_1[[#This Row],[profit]]/Table1_1[[#This Row],[sales_fix]]*100,2)</f>
        <v>23.62</v>
      </c>
    </row>
    <row r="1675" spans="1:26" x14ac:dyDescent="0.3">
      <c r="A1675" t="s">
        <v>2986</v>
      </c>
      <c r="B1675" s="1">
        <v>45779</v>
      </c>
      <c r="C1675" s="1">
        <v>45780</v>
      </c>
      <c r="D1675" t="s">
        <v>101</v>
      </c>
      <c r="E1675" t="s">
        <v>102</v>
      </c>
      <c r="F1675" t="s">
        <v>55</v>
      </c>
      <c r="G1675" t="s">
        <v>35</v>
      </c>
      <c r="H1675" t="s">
        <v>36</v>
      </c>
      <c r="I1675" t="s">
        <v>114</v>
      </c>
      <c r="J1675" t="s">
        <v>115</v>
      </c>
      <c r="K1675" t="s">
        <v>65</v>
      </c>
      <c r="L1675">
        <v>3</v>
      </c>
      <c r="M1675">
        <v>55000</v>
      </c>
      <c r="N1675">
        <v>10</v>
      </c>
      <c r="O1675">
        <v>148500</v>
      </c>
      <c r="P1675">
        <v>20496.97</v>
      </c>
      <c r="Q1675" t="s">
        <v>28</v>
      </c>
      <c r="R1675" t="s">
        <v>29</v>
      </c>
      <c r="S1675" t="s">
        <v>194</v>
      </c>
      <c r="T1675">
        <f>YEAR(Table1_1[[#This Row],[order_date]])</f>
        <v>2025</v>
      </c>
      <c r="U1675">
        <f>MONTH(Table1_1[[#This Row],[order_date]])</f>
        <v>5</v>
      </c>
      <c r="V1675" t="str">
        <f>TEXT(Table1_1[[#This Row],[order_date]],"mmm")</f>
        <v>May</v>
      </c>
      <c r="W1675" t="str">
        <f>"Q"&amp;ROUNDUP(MONTH(Table1_1[[#This Row],[order_date]])/3,0)</f>
        <v>Q2</v>
      </c>
      <c r="X1675" t="str">
        <f>TEXT(Table1_1[[#This Row],[order_date]],"yyyy-mm")</f>
        <v>2025-05</v>
      </c>
      <c r="Y1675">
        <f>IF(Table1_1[[#This Row],[ship_date]]="","",Table1_1[[#This Row],[ship_date]]-Table1_1[[#This Row],[order_date]])</f>
        <v>1</v>
      </c>
      <c r="Z1675">
        <f>ROUND(Table1_1[[#This Row],[profit]]/Table1_1[[#This Row],[sales_fix]]*100,2)</f>
        <v>13.8</v>
      </c>
    </row>
    <row r="1676" spans="1:26" x14ac:dyDescent="0.3">
      <c r="A1676" t="s">
        <v>2008</v>
      </c>
      <c r="B1676" s="1">
        <v>45382</v>
      </c>
      <c r="C1676" s="1">
        <v>45387</v>
      </c>
      <c r="D1676" t="s">
        <v>1506</v>
      </c>
      <c r="E1676" t="s">
        <v>1507</v>
      </c>
      <c r="F1676" t="s">
        <v>55</v>
      </c>
      <c r="G1676" t="s">
        <v>61</v>
      </c>
      <c r="H1676" t="s">
        <v>78</v>
      </c>
      <c r="I1676" t="s">
        <v>63</v>
      </c>
      <c r="J1676" t="s">
        <v>64</v>
      </c>
      <c r="K1676" t="s">
        <v>65</v>
      </c>
      <c r="L1676">
        <v>2</v>
      </c>
      <c r="M1676">
        <v>25000</v>
      </c>
      <c r="N1676">
        <v>0</v>
      </c>
      <c r="O1676">
        <v>50000</v>
      </c>
      <c r="P1676">
        <v>8024.43</v>
      </c>
      <c r="Q1676" t="s">
        <v>66</v>
      </c>
      <c r="R1676" t="s">
        <v>49</v>
      </c>
      <c r="S1676" t="s">
        <v>110</v>
      </c>
      <c r="T1676">
        <f>YEAR(Table1_1[[#This Row],[order_date]])</f>
        <v>2024</v>
      </c>
      <c r="U1676">
        <f>MONTH(Table1_1[[#This Row],[order_date]])</f>
        <v>3</v>
      </c>
      <c r="V1676" t="str">
        <f>TEXT(Table1_1[[#This Row],[order_date]],"mmm")</f>
        <v>Mar</v>
      </c>
      <c r="W1676" t="str">
        <f>"Q"&amp;ROUNDUP(MONTH(Table1_1[[#This Row],[order_date]])/3,0)</f>
        <v>Q1</v>
      </c>
      <c r="X1676" t="str">
        <f>TEXT(Table1_1[[#This Row],[order_date]],"yyyy-mm")</f>
        <v>2024-03</v>
      </c>
      <c r="Y1676">
        <f>IF(Table1_1[[#This Row],[ship_date]]="","",Table1_1[[#This Row],[ship_date]]-Table1_1[[#This Row],[order_date]])</f>
        <v>5</v>
      </c>
      <c r="Z1676">
        <f>ROUND(Table1_1[[#This Row],[profit]]/Table1_1[[#This Row],[sales_fix]]*100,2)</f>
        <v>16.05</v>
      </c>
    </row>
    <row r="1677" spans="1:26" x14ac:dyDescent="0.3">
      <c r="A1677" t="s">
        <v>2437</v>
      </c>
      <c r="B1677" s="1">
        <v>45861</v>
      </c>
      <c r="C1677" s="1">
        <v>45862</v>
      </c>
      <c r="D1677" t="s">
        <v>1265</v>
      </c>
      <c r="E1677" t="s">
        <v>1266</v>
      </c>
      <c r="F1677" t="s">
        <v>23</v>
      </c>
      <c r="G1677" t="s">
        <v>35</v>
      </c>
      <c r="H1677" t="s">
        <v>36</v>
      </c>
      <c r="I1677" t="s">
        <v>147</v>
      </c>
      <c r="J1677" t="s">
        <v>148</v>
      </c>
      <c r="K1677" t="s">
        <v>48</v>
      </c>
      <c r="L1677">
        <v>3</v>
      </c>
      <c r="M1677">
        <v>250</v>
      </c>
      <c r="N1677">
        <v>0</v>
      </c>
      <c r="O1677">
        <v>750</v>
      </c>
      <c r="P1677">
        <v>298.67</v>
      </c>
      <c r="Q1677" t="s">
        <v>3113</v>
      </c>
      <c r="R1677" t="s">
        <v>49</v>
      </c>
      <c r="S1677" t="s">
        <v>50</v>
      </c>
      <c r="T1677">
        <f>YEAR(Table1_1[[#This Row],[order_date]])</f>
        <v>2025</v>
      </c>
      <c r="U1677">
        <f>MONTH(Table1_1[[#This Row],[order_date]])</f>
        <v>7</v>
      </c>
      <c r="V1677" t="str">
        <f>TEXT(Table1_1[[#This Row],[order_date]],"mmm")</f>
        <v>Jul</v>
      </c>
      <c r="W1677" t="str">
        <f>"Q"&amp;ROUNDUP(MONTH(Table1_1[[#This Row],[order_date]])/3,0)</f>
        <v>Q3</v>
      </c>
      <c r="X1677" t="str">
        <f>TEXT(Table1_1[[#This Row],[order_date]],"yyyy-mm")</f>
        <v>2025-07</v>
      </c>
      <c r="Y1677">
        <f>IF(Table1_1[[#This Row],[ship_date]]="","",Table1_1[[#This Row],[ship_date]]-Table1_1[[#This Row],[order_date]])</f>
        <v>1</v>
      </c>
      <c r="Z1677">
        <f>ROUND(Table1_1[[#This Row],[profit]]/Table1_1[[#This Row],[sales_fix]]*100,2)</f>
        <v>39.82</v>
      </c>
    </row>
    <row r="1678" spans="1:26" x14ac:dyDescent="0.3">
      <c r="A1678" t="s">
        <v>1625</v>
      </c>
      <c r="B1678" s="1">
        <v>45531</v>
      </c>
      <c r="C1678" s="1">
        <v>45535</v>
      </c>
      <c r="D1678" t="s">
        <v>450</v>
      </c>
      <c r="E1678" t="s">
        <v>451</v>
      </c>
      <c r="F1678" t="s">
        <v>55</v>
      </c>
      <c r="G1678" t="s">
        <v>61</v>
      </c>
      <c r="H1678" t="s">
        <v>62</v>
      </c>
      <c r="I1678" t="s">
        <v>79</v>
      </c>
      <c r="J1678" t="s">
        <v>80</v>
      </c>
      <c r="K1678" t="s">
        <v>65</v>
      </c>
      <c r="L1678">
        <v>3</v>
      </c>
      <c r="M1678">
        <v>3000</v>
      </c>
      <c r="N1678">
        <v>15</v>
      </c>
      <c r="O1678">
        <v>7650</v>
      </c>
      <c r="P1678">
        <v>1771.18</v>
      </c>
      <c r="Q1678" t="s">
        <v>121</v>
      </c>
      <c r="R1678" t="s">
        <v>29</v>
      </c>
      <c r="S1678" t="s">
        <v>110</v>
      </c>
      <c r="T1678">
        <f>YEAR(Table1_1[[#This Row],[order_date]])</f>
        <v>2024</v>
      </c>
      <c r="U1678">
        <f>MONTH(Table1_1[[#This Row],[order_date]])</f>
        <v>8</v>
      </c>
      <c r="V1678" t="str">
        <f>TEXT(Table1_1[[#This Row],[order_date]],"mmm")</f>
        <v>Aug</v>
      </c>
      <c r="W1678" t="str">
        <f>"Q"&amp;ROUNDUP(MONTH(Table1_1[[#This Row],[order_date]])/3,0)</f>
        <v>Q3</v>
      </c>
      <c r="X1678" t="str">
        <f>TEXT(Table1_1[[#This Row],[order_date]],"yyyy-mm")</f>
        <v>2024-08</v>
      </c>
      <c r="Y1678">
        <f>IF(Table1_1[[#This Row],[ship_date]]="","",Table1_1[[#This Row],[ship_date]]-Table1_1[[#This Row],[order_date]])</f>
        <v>4</v>
      </c>
      <c r="Z1678">
        <f>ROUND(Table1_1[[#This Row],[profit]]/Table1_1[[#This Row],[sales_fix]]*100,2)</f>
        <v>23.15</v>
      </c>
    </row>
    <row r="1679" spans="1:26" x14ac:dyDescent="0.3">
      <c r="A1679" t="s">
        <v>1284</v>
      </c>
      <c r="B1679" s="1">
        <v>45969</v>
      </c>
      <c r="C1679" s="1">
        <v>45973</v>
      </c>
      <c r="D1679" t="s">
        <v>582</v>
      </c>
      <c r="E1679" t="s">
        <v>583</v>
      </c>
      <c r="F1679" t="s">
        <v>34</v>
      </c>
      <c r="G1679" t="s">
        <v>61</v>
      </c>
      <c r="H1679" t="s">
        <v>78</v>
      </c>
      <c r="I1679" t="s">
        <v>114</v>
      </c>
      <c r="J1679" t="s">
        <v>115</v>
      </c>
      <c r="K1679" t="s">
        <v>65</v>
      </c>
      <c r="L1679">
        <v>2</v>
      </c>
      <c r="M1679">
        <v>55000</v>
      </c>
      <c r="N1679">
        <v>0</v>
      </c>
      <c r="O1679">
        <v>110000</v>
      </c>
      <c r="P1679">
        <v>14793.58</v>
      </c>
      <c r="Q1679" t="s">
        <v>74</v>
      </c>
      <c r="R1679" t="s">
        <v>56</v>
      </c>
      <c r="S1679" t="s">
        <v>110</v>
      </c>
      <c r="T1679">
        <f>YEAR(Table1_1[[#This Row],[order_date]])</f>
        <v>2025</v>
      </c>
      <c r="U1679">
        <f>MONTH(Table1_1[[#This Row],[order_date]])</f>
        <v>11</v>
      </c>
      <c r="V1679" t="str">
        <f>TEXT(Table1_1[[#This Row],[order_date]],"mmm")</f>
        <v>Nov</v>
      </c>
      <c r="W1679" t="str">
        <f>"Q"&amp;ROUNDUP(MONTH(Table1_1[[#This Row],[order_date]])/3,0)</f>
        <v>Q4</v>
      </c>
      <c r="X1679" t="str">
        <f>TEXT(Table1_1[[#This Row],[order_date]],"yyyy-mm")</f>
        <v>2025-11</v>
      </c>
      <c r="Y1679">
        <f>IF(Table1_1[[#This Row],[ship_date]]="","",Table1_1[[#This Row],[ship_date]]-Table1_1[[#This Row],[order_date]])</f>
        <v>4</v>
      </c>
      <c r="Z1679">
        <f>ROUND(Table1_1[[#This Row],[profit]]/Table1_1[[#This Row],[sales_fix]]*100,2)</f>
        <v>13.45</v>
      </c>
    </row>
    <row r="1680" spans="1:26" x14ac:dyDescent="0.3">
      <c r="A1680" t="s">
        <v>2163</v>
      </c>
      <c r="B1680" s="1">
        <v>45996</v>
      </c>
      <c r="C1680" s="1">
        <v>45999</v>
      </c>
      <c r="D1680" t="s">
        <v>634</v>
      </c>
      <c r="E1680" t="s">
        <v>635</v>
      </c>
      <c r="F1680" t="s">
        <v>23</v>
      </c>
      <c r="G1680" t="s">
        <v>91</v>
      </c>
      <c r="H1680" t="s">
        <v>177</v>
      </c>
      <c r="I1680" t="s">
        <v>79</v>
      </c>
      <c r="J1680" t="s">
        <v>80</v>
      </c>
      <c r="K1680" t="s">
        <v>65</v>
      </c>
      <c r="L1680">
        <v>5</v>
      </c>
      <c r="M1680">
        <v>3000</v>
      </c>
      <c r="N1680">
        <v>5</v>
      </c>
      <c r="O1680">
        <v>14250</v>
      </c>
      <c r="P1680">
        <v>3639.03</v>
      </c>
      <c r="Q1680" t="s">
        <v>74</v>
      </c>
      <c r="R1680" t="s">
        <v>29</v>
      </c>
      <c r="S1680" t="s">
        <v>40</v>
      </c>
      <c r="T1680">
        <f>YEAR(Table1_1[[#This Row],[order_date]])</f>
        <v>2025</v>
      </c>
      <c r="U1680">
        <f>MONTH(Table1_1[[#This Row],[order_date]])</f>
        <v>12</v>
      </c>
      <c r="V1680" t="str">
        <f>TEXT(Table1_1[[#This Row],[order_date]],"mmm")</f>
        <v>Dec</v>
      </c>
      <c r="W1680" t="str">
        <f>"Q"&amp;ROUNDUP(MONTH(Table1_1[[#This Row],[order_date]])/3,0)</f>
        <v>Q4</v>
      </c>
      <c r="X1680" t="str">
        <f>TEXT(Table1_1[[#This Row],[order_date]],"yyyy-mm")</f>
        <v>2025-12</v>
      </c>
      <c r="Y1680">
        <f>IF(Table1_1[[#This Row],[ship_date]]="","",Table1_1[[#This Row],[ship_date]]-Table1_1[[#This Row],[order_date]])</f>
        <v>3</v>
      </c>
      <c r="Z1680">
        <f>ROUND(Table1_1[[#This Row],[profit]]/Table1_1[[#This Row],[sales_fix]]*100,2)</f>
        <v>25.54</v>
      </c>
    </row>
    <row r="1681" spans="1:26" x14ac:dyDescent="0.3">
      <c r="A1681" t="s">
        <v>2440</v>
      </c>
      <c r="B1681" s="1">
        <v>45722</v>
      </c>
      <c r="C1681" s="1">
        <v>45724</v>
      </c>
      <c r="D1681" t="s">
        <v>288</v>
      </c>
      <c r="E1681" t="s">
        <v>289</v>
      </c>
      <c r="F1681" t="s">
        <v>34</v>
      </c>
      <c r="G1681" t="s">
        <v>44</v>
      </c>
      <c r="H1681" t="s">
        <v>155</v>
      </c>
      <c r="I1681" t="s">
        <v>126</v>
      </c>
      <c r="J1681" t="s">
        <v>127</v>
      </c>
      <c r="K1681" t="s">
        <v>95</v>
      </c>
      <c r="L1681">
        <v>1</v>
      </c>
      <c r="M1681">
        <v>600</v>
      </c>
      <c r="N1681">
        <v>20</v>
      </c>
      <c r="O1681">
        <v>480</v>
      </c>
      <c r="P1681">
        <v>139.16999999999999</v>
      </c>
      <c r="Q1681" t="s">
        <v>121</v>
      </c>
      <c r="R1681" t="s">
        <v>49</v>
      </c>
      <c r="S1681" t="s">
        <v>86</v>
      </c>
      <c r="T1681">
        <f>YEAR(Table1_1[[#This Row],[order_date]])</f>
        <v>2025</v>
      </c>
      <c r="U1681">
        <f>MONTH(Table1_1[[#This Row],[order_date]])</f>
        <v>3</v>
      </c>
      <c r="V1681" t="str">
        <f>TEXT(Table1_1[[#This Row],[order_date]],"mmm")</f>
        <v>Mar</v>
      </c>
      <c r="W1681" t="str">
        <f>"Q"&amp;ROUNDUP(MONTH(Table1_1[[#This Row],[order_date]])/3,0)</f>
        <v>Q1</v>
      </c>
      <c r="X1681" t="str">
        <f>TEXT(Table1_1[[#This Row],[order_date]],"yyyy-mm")</f>
        <v>2025-03</v>
      </c>
      <c r="Y1681">
        <f>IF(Table1_1[[#This Row],[ship_date]]="","",Table1_1[[#This Row],[ship_date]]-Table1_1[[#This Row],[order_date]])</f>
        <v>2</v>
      </c>
      <c r="Z1681">
        <f>ROUND(Table1_1[[#This Row],[profit]]/Table1_1[[#This Row],[sales_fix]]*100,2)</f>
        <v>28.99</v>
      </c>
    </row>
    <row r="1682" spans="1:26" x14ac:dyDescent="0.3">
      <c r="A1682" t="s">
        <v>1831</v>
      </c>
      <c r="B1682" s="1">
        <v>46008</v>
      </c>
      <c r="C1682" s="1">
        <v>46014</v>
      </c>
      <c r="D1682" t="s">
        <v>200</v>
      </c>
      <c r="E1682" t="s">
        <v>201</v>
      </c>
      <c r="F1682" t="s">
        <v>23</v>
      </c>
      <c r="G1682" t="s">
        <v>35</v>
      </c>
      <c r="H1682" t="s">
        <v>187</v>
      </c>
      <c r="I1682" t="s">
        <v>103</v>
      </c>
      <c r="J1682" t="s">
        <v>104</v>
      </c>
      <c r="K1682" t="s">
        <v>65</v>
      </c>
      <c r="L1682">
        <v>1</v>
      </c>
      <c r="M1682">
        <v>8000</v>
      </c>
      <c r="N1682">
        <v>10</v>
      </c>
      <c r="O1682">
        <v>7200</v>
      </c>
      <c r="P1682">
        <v>1773.88</v>
      </c>
      <c r="Q1682" t="s">
        <v>28</v>
      </c>
      <c r="R1682" t="s">
        <v>49</v>
      </c>
      <c r="S1682" t="s">
        <v>40</v>
      </c>
      <c r="T1682">
        <f>YEAR(Table1_1[[#This Row],[order_date]])</f>
        <v>2025</v>
      </c>
      <c r="U1682">
        <f>MONTH(Table1_1[[#This Row],[order_date]])</f>
        <v>12</v>
      </c>
      <c r="V1682" t="str">
        <f>TEXT(Table1_1[[#This Row],[order_date]],"mmm")</f>
        <v>Dec</v>
      </c>
      <c r="W1682" t="str">
        <f>"Q"&amp;ROUNDUP(MONTH(Table1_1[[#This Row],[order_date]])/3,0)</f>
        <v>Q4</v>
      </c>
      <c r="X1682" t="str">
        <f>TEXT(Table1_1[[#This Row],[order_date]],"yyyy-mm")</f>
        <v>2025-12</v>
      </c>
      <c r="Y1682">
        <f>IF(Table1_1[[#This Row],[ship_date]]="","",Table1_1[[#This Row],[ship_date]]-Table1_1[[#This Row],[order_date]])</f>
        <v>6</v>
      </c>
      <c r="Z1682">
        <f>ROUND(Table1_1[[#This Row],[profit]]/Table1_1[[#This Row],[sales_fix]]*100,2)</f>
        <v>24.64</v>
      </c>
    </row>
    <row r="1683" spans="1:26" x14ac:dyDescent="0.3">
      <c r="A1683" t="s">
        <v>2814</v>
      </c>
      <c r="B1683" s="1">
        <v>45872</v>
      </c>
      <c r="C1683" s="1">
        <v>45880</v>
      </c>
      <c r="D1683" t="s">
        <v>241</v>
      </c>
      <c r="E1683" t="s">
        <v>242</v>
      </c>
      <c r="F1683" t="s">
        <v>55</v>
      </c>
      <c r="G1683" t="s">
        <v>91</v>
      </c>
      <c r="H1683" t="s">
        <v>120</v>
      </c>
      <c r="I1683" t="s">
        <v>126</v>
      </c>
      <c r="J1683" t="s">
        <v>127</v>
      </c>
      <c r="K1683" t="s">
        <v>95</v>
      </c>
      <c r="L1683">
        <v>1</v>
      </c>
      <c r="M1683">
        <v>600</v>
      </c>
      <c r="N1683">
        <v>5</v>
      </c>
      <c r="O1683">
        <v>570</v>
      </c>
      <c r="P1683">
        <v>188.43</v>
      </c>
      <c r="Q1683" t="s">
        <v>74</v>
      </c>
      <c r="R1683" t="s">
        <v>49</v>
      </c>
      <c r="S1683" t="s">
        <v>110</v>
      </c>
      <c r="T1683">
        <f>YEAR(Table1_1[[#This Row],[order_date]])</f>
        <v>2025</v>
      </c>
      <c r="U1683">
        <f>MONTH(Table1_1[[#This Row],[order_date]])</f>
        <v>8</v>
      </c>
      <c r="V1683" t="str">
        <f>TEXT(Table1_1[[#This Row],[order_date]],"mmm")</f>
        <v>Aug</v>
      </c>
      <c r="W1683" t="str">
        <f>"Q"&amp;ROUNDUP(MONTH(Table1_1[[#This Row],[order_date]])/3,0)</f>
        <v>Q3</v>
      </c>
      <c r="X1683" t="str">
        <f>TEXT(Table1_1[[#This Row],[order_date]],"yyyy-mm")</f>
        <v>2025-08</v>
      </c>
      <c r="Y1683">
        <f>IF(Table1_1[[#This Row],[ship_date]]="","",Table1_1[[#This Row],[ship_date]]-Table1_1[[#This Row],[order_date]])</f>
        <v>8</v>
      </c>
      <c r="Z1683">
        <f>ROUND(Table1_1[[#This Row],[profit]]/Table1_1[[#This Row],[sales_fix]]*100,2)</f>
        <v>33.06</v>
      </c>
    </row>
    <row r="1684" spans="1:26" x14ac:dyDescent="0.3">
      <c r="A1684" t="s">
        <v>2282</v>
      </c>
      <c r="B1684" s="1">
        <v>45312</v>
      </c>
      <c r="C1684" s="1">
        <v>45320</v>
      </c>
      <c r="D1684" t="s">
        <v>956</v>
      </c>
      <c r="E1684" t="s">
        <v>1086</v>
      </c>
      <c r="F1684" t="s">
        <v>55</v>
      </c>
      <c r="G1684" t="s">
        <v>44</v>
      </c>
      <c r="H1684" t="s">
        <v>24</v>
      </c>
      <c r="I1684" t="s">
        <v>71</v>
      </c>
      <c r="J1684" t="s">
        <v>72</v>
      </c>
      <c r="K1684" t="s">
        <v>73</v>
      </c>
      <c r="L1684">
        <v>1</v>
      </c>
      <c r="M1684">
        <v>3500</v>
      </c>
      <c r="N1684">
        <v>0</v>
      </c>
      <c r="O1684">
        <v>3500</v>
      </c>
      <c r="P1684">
        <v>952.24</v>
      </c>
      <c r="Q1684" t="s">
        <v>66</v>
      </c>
      <c r="R1684" t="s">
        <v>56</v>
      </c>
      <c r="S1684" t="s">
        <v>86</v>
      </c>
      <c r="T1684">
        <f>YEAR(Table1_1[[#This Row],[order_date]])</f>
        <v>2024</v>
      </c>
      <c r="U1684">
        <f>MONTH(Table1_1[[#This Row],[order_date]])</f>
        <v>1</v>
      </c>
      <c r="V1684" t="str">
        <f>TEXT(Table1_1[[#This Row],[order_date]],"mmm")</f>
        <v>Jan</v>
      </c>
      <c r="W1684" t="str">
        <f>"Q"&amp;ROUNDUP(MONTH(Table1_1[[#This Row],[order_date]])/3,0)</f>
        <v>Q1</v>
      </c>
      <c r="X1684" t="str">
        <f>TEXT(Table1_1[[#This Row],[order_date]],"yyyy-mm")</f>
        <v>2024-01</v>
      </c>
      <c r="Y1684">
        <f>IF(Table1_1[[#This Row],[ship_date]]="","",Table1_1[[#This Row],[ship_date]]-Table1_1[[#This Row],[order_date]])</f>
        <v>8</v>
      </c>
      <c r="Z1684">
        <f>ROUND(Table1_1[[#This Row],[profit]]/Table1_1[[#This Row],[sales_fix]]*100,2)</f>
        <v>27.21</v>
      </c>
    </row>
    <row r="1685" spans="1:26" x14ac:dyDescent="0.3">
      <c r="A1685" t="s">
        <v>1869</v>
      </c>
      <c r="B1685" s="1">
        <v>45527</v>
      </c>
      <c r="C1685" s="1">
        <v>45529</v>
      </c>
      <c r="D1685" t="s">
        <v>755</v>
      </c>
      <c r="E1685" t="s">
        <v>756</v>
      </c>
      <c r="F1685" t="s">
        <v>34</v>
      </c>
      <c r="G1685" t="s">
        <v>44</v>
      </c>
      <c r="H1685" t="s">
        <v>161</v>
      </c>
      <c r="I1685" t="s">
        <v>114</v>
      </c>
      <c r="J1685" t="s">
        <v>115</v>
      </c>
      <c r="K1685" t="s">
        <v>65</v>
      </c>
      <c r="L1685">
        <v>3</v>
      </c>
      <c r="M1685">
        <v>55000</v>
      </c>
      <c r="N1685">
        <v>10</v>
      </c>
      <c r="O1685">
        <v>148500</v>
      </c>
      <c r="P1685">
        <v>28863.72</v>
      </c>
      <c r="Q1685" t="s">
        <v>39</v>
      </c>
      <c r="R1685" t="s">
        <v>49</v>
      </c>
      <c r="S1685" t="s">
        <v>30</v>
      </c>
      <c r="T1685">
        <f>YEAR(Table1_1[[#This Row],[order_date]])</f>
        <v>2024</v>
      </c>
      <c r="U1685">
        <f>MONTH(Table1_1[[#This Row],[order_date]])</f>
        <v>8</v>
      </c>
      <c r="V1685" t="str">
        <f>TEXT(Table1_1[[#This Row],[order_date]],"mmm")</f>
        <v>Aug</v>
      </c>
      <c r="W1685" t="str">
        <f>"Q"&amp;ROUNDUP(MONTH(Table1_1[[#This Row],[order_date]])/3,0)</f>
        <v>Q3</v>
      </c>
      <c r="X1685" t="str">
        <f>TEXT(Table1_1[[#This Row],[order_date]],"yyyy-mm")</f>
        <v>2024-08</v>
      </c>
      <c r="Y1685">
        <f>IF(Table1_1[[#This Row],[ship_date]]="","",Table1_1[[#This Row],[ship_date]]-Table1_1[[#This Row],[order_date]])</f>
        <v>2</v>
      </c>
      <c r="Z1685">
        <f>ROUND(Table1_1[[#This Row],[profit]]/Table1_1[[#This Row],[sales_fix]]*100,2)</f>
        <v>19.440000000000001</v>
      </c>
    </row>
    <row r="1686" spans="1:26" x14ac:dyDescent="0.3">
      <c r="A1686" t="s">
        <v>2725</v>
      </c>
      <c r="B1686" s="1">
        <v>45430</v>
      </c>
      <c r="C1686" s="1">
        <v>45434</v>
      </c>
      <c r="D1686" t="s">
        <v>827</v>
      </c>
      <c r="E1686" t="s">
        <v>828</v>
      </c>
      <c r="F1686" t="s">
        <v>34</v>
      </c>
      <c r="G1686" t="s">
        <v>44</v>
      </c>
      <c r="H1686" t="s">
        <v>155</v>
      </c>
      <c r="I1686" t="s">
        <v>71</v>
      </c>
      <c r="J1686" t="s">
        <v>72</v>
      </c>
      <c r="K1686" t="s">
        <v>73</v>
      </c>
      <c r="L1686">
        <v>1</v>
      </c>
      <c r="M1686">
        <v>3500</v>
      </c>
      <c r="N1686">
        <v>0</v>
      </c>
      <c r="O1686">
        <v>3500</v>
      </c>
      <c r="P1686">
        <v>1025.48</v>
      </c>
      <c r="Q1686" t="s">
        <v>121</v>
      </c>
      <c r="R1686" t="s">
        <v>29</v>
      </c>
      <c r="S1686" t="s">
        <v>86</v>
      </c>
      <c r="T1686">
        <f>YEAR(Table1_1[[#This Row],[order_date]])</f>
        <v>2024</v>
      </c>
      <c r="U1686">
        <f>MONTH(Table1_1[[#This Row],[order_date]])</f>
        <v>5</v>
      </c>
      <c r="V1686" t="str">
        <f>TEXT(Table1_1[[#This Row],[order_date]],"mmm")</f>
        <v>May</v>
      </c>
      <c r="W1686" t="str">
        <f>"Q"&amp;ROUNDUP(MONTH(Table1_1[[#This Row],[order_date]])/3,0)</f>
        <v>Q2</v>
      </c>
      <c r="X1686" t="str">
        <f>TEXT(Table1_1[[#This Row],[order_date]],"yyyy-mm")</f>
        <v>2024-05</v>
      </c>
      <c r="Y1686">
        <f>IF(Table1_1[[#This Row],[ship_date]]="","",Table1_1[[#This Row],[ship_date]]-Table1_1[[#This Row],[order_date]])</f>
        <v>4</v>
      </c>
      <c r="Z1686">
        <f>ROUND(Table1_1[[#This Row],[profit]]/Table1_1[[#This Row],[sales_fix]]*100,2)</f>
        <v>29.3</v>
      </c>
    </row>
    <row r="1687" spans="1:26" x14ac:dyDescent="0.3">
      <c r="A1687" t="s">
        <v>2912</v>
      </c>
      <c r="B1687" s="1">
        <v>45848</v>
      </c>
      <c r="C1687" s="1">
        <v>45850</v>
      </c>
      <c r="D1687" t="s">
        <v>819</v>
      </c>
      <c r="E1687" t="s">
        <v>820</v>
      </c>
      <c r="F1687" t="s">
        <v>34</v>
      </c>
      <c r="G1687" t="s">
        <v>61</v>
      </c>
      <c r="H1687" t="s">
        <v>62</v>
      </c>
      <c r="I1687" t="s">
        <v>93</v>
      </c>
      <c r="J1687" t="s">
        <v>94</v>
      </c>
      <c r="K1687" t="s">
        <v>95</v>
      </c>
      <c r="L1687">
        <v>4</v>
      </c>
      <c r="M1687">
        <v>1800</v>
      </c>
      <c r="N1687">
        <v>0</v>
      </c>
      <c r="O1687">
        <v>7200</v>
      </c>
      <c r="P1687">
        <v>2307.31</v>
      </c>
      <c r="Q1687" t="s">
        <v>74</v>
      </c>
      <c r="R1687" t="s">
        <v>56</v>
      </c>
      <c r="S1687" t="s">
        <v>40</v>
      </c>
      <c r="T1687">
        <f>YEAR(Table1_1[[#This Row],[order_date]])</f>
        <v>2025</v>
      </c>
      <c r="U1687">
        <f>MONTH(Table1_1[[#This Row],[order_date]])</f>
        <v>7</v>
      </c>
      <c r="V1687" t="str">
        <f>TEXT(Table1_1[[#This Row],[order_date]],"mmm")</f>
        <v>Jul</v>
      </c>
      <c r="W1687" t="str">
        <f>"Q"&amp;ROUNDUP(MONTH(Table1_1[[#This Row],[order_date]])/3,0)</f>
        <v>Q3</v>
      </c>
      <c r="X1687" t="str">
        <f>TEXT(Table1_1[[#This Row],[order_date]],"yyyy-mm")</f>
        <v>2025-07</v>
      </c>
      <c r="Y1687">
        <f>IF(Table1_1[[#This Row],[ship_date]]="","",Table1_1[[#This Row],[ship_date]]-Table1_1[[#This Row],[order_date]])</f>
        <v>2</v>
      </c>
      <c r="Z1687">
        <f>ROUND(Table1_1[[#This Row],[profit]]/Table1_1[[#This Row],[sales_fix]]*100,2)</f>
        <v>32.049999999999997</v>
      </c>
    </row>
    <row r="1688" spans="1:26" x14ac:dyDescent="0.3">
      <c r="A1688" t="s">
        <v>2524</v>
      </c>
      <c r="B1688" s="1">
        <v>45559</v>
      </c>
      <c r="C1688" s="1">
        <v>45560</v>
      </c>
      <c r="D1688" t="s">
        <v>554</v>
      </c>
      <c r="E1688" t="s">
        <v>555</v>
      </c>
      <c r="F1688" t="s">
        <v>55</v>
      </c>
      <c r="G1688" t="s">
        <v>61</v>
      </c>
      <c r="H1688" t="s">
        <v>62</v>
      </c>
      <c r="I1688" t="s">
        <v>25</v>
      </c>
      <c r="J1688" t="s">
        <v>26</v>
      </c>
      <c r="K1688" t="s">
        <v>27</v>
      </c>
      <c r="L1688">
        <v>1</v>
      </c>
      <c r="M1688">
        <v>7000</v>
      </c>
      <c r="N1688">
        <v>0</v>
      </c>
      <c r="O1688">
        <v>7000</v>
      </c>
      <c r="P1688">
        <v>1588.12</v>
      </c>
      <c r="Q1688" t="s">
        <v>28</v>
      </c>
      <c r="R1688" t="s">
        <v>49</v>
      </c>
      <c r="S1688" t="s">
        <v>50</v>
      </c>
      <c r="T1688">
        <f>YEAR(Table1_1[[#This Row],[order_date]])</f>
        <v>2024</v>
      </c>
      <c r="U1688">
        <f>MONTH(Table1_1[[#This Row],[order_date]])</f>
        <v>9</v>
      </c>
      <c r="V1688" t="str">
        <f>TEXT(Table1_1[[#This Row],[order_date]],"mmm")</f>
        <v>Sep</v>
      </c>
      <c r="W1688" t="str">
        <f>"Q"&amp;ROUNDUP(MONTH(Table1_1[[#This Row],[order_date]])/3,0)</f>
        <v>Q3</v>
      </c>
      <c r="X1688" t="str">
        <f>TEXT(Table1_1[[#This Row],[order_date]],"yyyy-mm")</f>
        <v>2024-09</v>
      </c>
      <c r="Y1688">
        <f>IF(Table1_1[[#This Row],[ship_date]]="","",Table1_1[[#This Row],[ship_date]]-Table1_1[[#This Row],[order_date]])</f>
        <v>1</v>
      </c>
      <c r="Z1688">
        <f>ROUND(Table1_1[[#This Row],[profit]]/Table1_1[[#This Row],[sales_fix]]*100,2)</f>
        <v>22.69</v>
      </c>
    </row>
    <row r="1689" spans="1:26" x14ac:dyDescent="0.3">
      <c r="A1689" t="s">
        <v>376</v>
      </c>
      <c r="B1689" s="1">
        <v>46007</v>
      </c>
      <c r="C1689" s="1"/>
      <c r="D1689" t="s">
        <v>378</v>
      </c>
      <c r="E1689" t="s">
        <v>379</v>
      </c>
      <c r="F1689" t="s">
        <v>34</v>
      </c>
      <c r="G1689" t="s">
        <v>44</v>
      </c>
      <c r="H1689" t="s">
        <v>24</v>
      </c>
      <c r="I1689" t="s">
        <v>103</v>
      </c>
      <c r="J1689" t="s">
        <v>104</v>
      </c>
      <c r="K1689" t="s">
        <v>65</v>
      </c>
      <c r="L1689">
        <v>2</v>
      </c>
      <c r="M1689">
        <v>8000</v>
      </c>
      <c r="N1689">
        <v>10</v>
      </c>
      <c r="O1689">
        <v>14400</v>
      </c>
      <c r="P1689">
        <v>3156.98</v>
      </c>
      <c r="Q1689" t="s">
        <v>156</v>
      </c>
      <c r="R1689" t="s">
        <v>56</v>
      </c>
      <c r="S1689" t="s">
        <v>40</v>
      </c>
      <c r="T1689">
        <f>YEAR(Table1_1[[#This Row],[order_date]])</f>
        <v>2025</v>
      </c>
      <c r="U1689">
        <f>MONTH(Table1_1[[#This Row],[order_date]])</f>
        <v>12</v>
      </c>
      <c r="V1689" t="str">
        <f>TEXT(Table1_1[[#This Row],[order_date]],"mmm")</f>
        <v>Dec</v>
      </c>
      <c r="W1689" t="str">
        <f>"Q"&amp;ROUNDUP(MONTH(Table1_1[[#This Row],[order_date]])/3,0)</f>
        <v>Q4</v>
      </c>
      <c r="X1689" t="str">
        <f>TEXT(Table1_1[[#This Row],[order_date]],"yyyy-mm")</f>
        <v>2025-12</v>
      </c>
      <c r="Y1689" t="str">
        <f>IF(Table1_1[[#This Row],[ship_date]]="","",Table1_1[[#This Row],[ship_date]]-Table1_1[[#This Row],[order_date]])</f>
        <v/>
      </c>
      <c r="Z1689">
        <f>ROUND(Table1_1[[#This Row],[profit]]/Table1_1[[#This Row],[sales_fix]]*100,2)</f>
        <v>21.92</v>
      </c>
    </row>
    <row r="1690" spans="1:26" x14ac:dyDescent="0.3">
      <c r="A1690" t="s">
        <v>522</v>
      </c>
      <c r="B1690" s="1">
        <v>45621</v>
      </c>
      <c r="C1690" s="1">
        <v>45622</v>
      </c>
      <c r="D1690" t="s">
        <v>524</v>
      </c>
      <c r="E1690" t="s">
        <v>525</v>
      </c>
      <c r="F1690" t="s">
        <v>34</v>
      </c>
      <c r="G1690" t="s">
        <v>35</v>
      </c>
      <c r="H1690" t="s">
        <v>187</v>
      </c>
      <c r="I1690" t="s">
        <v>71</v>
      </c>
      <c r="J1690" t="s">
        <v>72</v>
      </c>
      <c r="K1690" t="s">
        <v>73</v>
      </c>
      <c r="L1690">
        <v>3</v>
      </c>
      <c r="M1690">
        <v>3500</v>
      </c>
      <c r="N1690">
        <v>20</v>
      </c>
      <c r="O1690">
        <v>8400</v>
      </c>
      <c r="P1690">
        <v>2244.6799999999998</v>
      </c>
      <c r="Q1690" t="s">
        <v>66</v>
      </c>
      <c r="R1690" t="s">
        <v>29</v>
      </c>
      <c r="S1690" t="s">
        <v>86</v>
      </c>
      <c r="T1690">
        <f>YEAR(Table1_1[[#This Row],[order_date]])</f>
        <v>2024</v>
      </c>
      <c r="U1690">
        <f>MONTH(Table1_1[[#This Row],[order_date]])</f>
        <v>11</v>
      </c>
      <c r="V1690" t="str">
        <f>TEXT(Table1_1[[#This Row],[order_date]],"mmm")</f>
        <v>Nov</v>
      </c>
      <c r="W1690" t="str">
        <f>"Q"&amp;ROUNDUP(MONTH(Table1_1[[#This Row],[order_date]])/3,0)</f>
        <v>Q4</v>
      </c>
      <c r="X1690" t="str">
        <f>TEXT(Table1_1[[#This Row],[order_date]],"yyyy-mm")</f>
        <v>2024-11</v>
      </c>
      <c r="Y1690">
        <f>IF(Table1_1[[#This Row],[ship_date]]="","",Table1_1[[#This Row],[ship_date]]-Table1_1[[#This Row],[order_date]])</f>
        <v>1</v>
      </c>
      <c r="Z1690">
        <f>ROUND(Table1_1[[#This Row],[profit]]/Table1_1[[#This Row],[sales_fix]]*100,2)</f>
        <v>26.72</v>
      </c>
    </row>
    <row r="1691" spans="1:26" x14ac:dyDescent="0.3">
      <c r="A1691" t="s">
        <v>667</v>
      </c>
      <c r="B1691" s="1">
        <v>45622</v>
      </c>
      <c r="C1691" s="1">
        <v>45624</v>
      </c>
      <c r="D1691" t="s">
        <v>388</v>
      </c>
      <c r="E1691" t="s">
        <v>389</v>
      </c>
      <c r="F1691" t="s">
        <v>23</v>
      </c>
      <c r="G1691" t="s">
        <v>44</v>
      </c>
      <c r="H1691" t="s">
        <v>161</v>
      </c>
      <c r="I1691" t="s">
        <v>63</v>
      </c>
      <c r="J1691" t="s">
        <v>64</v>
      </c>
      <c r="K1691" t="s">
        <v>65</v>
      </c>
      <c r="L1691">
        <v>3</v>
      </c>
      <c r="M1691">
        <v>25000</v>
      </c>
      <c r="N1691">
        <v>15</v>
      </c>
      <c r="O1691">
        <v>63750</v>
      </c>
      <c r="P1691">
        <v>8934.59</v>
      </c>
      <c r="Q1691" t="s">
        <v>156</v>
      </c>
      <c r="R1691" t="s">
        <v>29</v>
      </c>
      <c r="S1691" t="s">
        <v>30</v>
      </c>
      <c r="T1691">
        <f>YEAR(Table1_1[[#This Row],[order_date]])</f>
        <v>2024</v>
      </c>
      <c r="U1691">
        <f>MONTH(Table1_1[[#This Row],[order_date]])</f>
        <v>11</v>
      </c>
      <c r="V1691" t="str">
        <f>TEXT(Table1_1[[#This Row],[order_date]],"mmm")</f>
        <v>Nov</v>
      </c>
      <c r="W1691" t="str">
        <f>"Q"&amp;ROUNDUP(MONTH(Table1_1[[#This Row],[order_date]])/3,0)</f>
        <v>Q4</v>
      </c>
      <c r="X1691" t="str">
        <f>TEXT(Table1_1[[#This Row],[order_date]],"yyyy-mm")</f>
        <v>2024-11</v>
      </c>
      <c r="Y1691">
        <f>IF(Table1_1[[#This Row],[ship_date]]="","",Table1_1[[#This Row],[ship_date]]-Table1_1[[#This Row],[order_date]])</f>
        <v>2</v>
      </c>
      <c r="Z1691">
        <f>ROUND(Table1_1[[#This Row],[profit]]/Table1_1[[#This Row],[sales_fix]]*100,2)</f>
        <v>14.02</v>
      </c>
    </row>
    <row r="1692" spans="1:26" x14ac:dyDescent="0.3">
      <c r="A1692" t="s">
        <v>1022</v>
      </c>
      <c r="B1692" s="1">
        <v>45843</v>
      </c>
      <c r="C1692" s="1">
        <v>45844</v>
      </c>
      <c r="D1692" t="s">
        <v>473</v>
      </c>
      <c r="E1692" t="s">
        <v>474</v>
      </c>
      <c r="F1692" t="s">
        <v>34</v>
      </c>
      <c r="G1692" t="s">
        <v>61</v>
      </c>
      <c r="H1692" t="s">
        <v>62</v>
      </c>
      <c r="I1692" t="s">
        <v>147</v>
      </c>
      <c r="J1692" t="s">
        <v>148</v>
      </c>
      <c r="K1692" t="s">
        <v>48</v>
      </c>
      <c r="L1692">
        <v>2</v>
      </c>
      <c r="M1692">
        <v>250</v>
      </c>
      <c r="N1692">
        <v>0</v>
      </c>
      <c r="O1692">
        <v>500</v>
      </c>
      <c r="P1692">
        <v>203</v>
      </c>
      <c r="Q1692" t="s">
        <v>156</v>
      </c>
      <c r="R1692" t="s">
        <v>29</v>
      </c>
      <c r="S1692" t="s">
        <v>110</v>
      </c>
      <c r="T1692">
        <f>YEAR(Table1_1[[#This Row],[order_date]])</f>
        <v>2025</v>
      </c>
      <c r="U1692">
        <f>MONTH(Table1_1[[#This Row],[order_date]])</f>
        <v>7</v>
      </c>
      <c r="V1692" t="str">
        <f>TEXT(Table1_1[[#This Row],[order_date]],"mmm")</f>
        <v>Jul</v>
      </c>
      <c r="W1692" t="str">
        <f>"Q"&amp;ROUNDUP(MONTH(Table1_1[[#This Row],[order_date]])/3,0)</f>
        <v>Q3</v>
      </c>
      <c r="X1692" t="str">
        <f>TEXT(Table1_1[[#This Row],[order_date]],"yyyy-mm")</f>
        <v>2025-07</v>
      </c>
      <c r="Y1692">
        <f>IF(Table1_1[[#This Row],[ship_date]]="","",Table1_1[[#This Row],[ship_date]]-Table1_1[[#This Row],[order_date]])</f>
        <v>1</v>
      </c>
      <c r="Z1692">
        <f>ROUND(Table1_1[[#This Row],[profit]]/Table1_1[[#This Row],[sales_fix]]*100,2)</f>
        <v>40.6</v>
      </c>
    </row>
    <row r="1693" spans="1:26" x14ac:dyDescent="0.3">
      <c r="A1693" t="s">
        <v>951</v>
      </c>
      <c r="B1693" s="1">
        <v>45980</v>
      </c>
      <c r="C1693" s="1">
        <v>45985</v>
      </c>
      <c r="D1693" t="s">
        <v>308</v>
      </c>
      <c r="E1693" t="s">
        <v>309</v>
      </c>
      <c r="F1693" t="s">
        <v>34</v>
      </c>
      <c r="G1693" t="s">
        <v>91</v>
      </c>
      <c r="H1693" t="s">
        <v>177</v>
      </c>
      <c r="I1693" t="s">
        <v>134</v>
      </c>
      <c r="J1693" t="s">
        <v>135</v>
      </c>
      <c r="K1693" t="s">
        <v>27</v>
      </c>
      <c r="L1693">
        <v>5</v>
      </c>
      <c r="M1693">
        <v>6000</v>
      </c>
      <c r="N1693">
        <v>15</v>
      </c>
      <c r="O1693">
        <v>25500</v>
      </c>
      <c r="P1693">
        <v>4993.58</v>
      </c>
      <c r="Q1693" t="s">
        <v>3113</v>
      </c>
      <c r="R1693" t="s">
        <v>29</v>
      </c>
      <c r="S1693" t="s">
        <v>86</v>
      </c>
      <c r="T1693">
        <f>YEAR(Table1_1[[#This Row],[order_date]])</f>
        <v>2025</v>
      </c>
      <c r="U1693">
        <f>MONTH(Table1_1[[#This Row],[order_date]])</f>
        <v>11</v>
      </c>
      <c r="V1693" t="str">
        <f>TEXT(Table1_1[[#This Row],[order_date]],"mmm")</f>
        <v>Nov</v>
      </c>
      <c r="W1693" t="str">
        <f>"Q"&amp;ROUNDUP(MONTH(Table1_1[[#This Row],[order_date]])/3,0)</f>
        <v>Q4</v>
      </c>
      <c r="X1693" t="str">
        <f>TEXT(Table1_1[[#This Row],[order_date]],"yyyy-mm")</f>
        <v>2025-11</v>
      </c>
      <c r="Y1693">
        <f>IF(Table1_1[[#This Row],[ship_date]]="","",Table1_1[[#This Row],[ship_date]]-Table1_1[[#This Row],[order_date]])</f>
        <v>5</v>
      </c>
      <c r="Z1693">
        <f>ROUND(Table1_1[[#This Row],[profit]]/Table1_1[[#This Row],[sales_fix]]*100,2)</f>
        <v>19.579999999999998</v>
      </c>
    </row>
    <row r="1694" spans="1:26" x14ac:dyDescent="0.3">
      <c r="A1694" t="s">
        <v>2715</v>
      </c>
      <c r="B1694" s="1">
        <v>45906</v>
      </c>
      <c r="C1694" s="1">
        <v>45914</v>
      </c>
      <c r="D1694" t="s">
        <v>118</v>
      </c>
      <c r="E1694" t="s">
        <v>119</v>
      </c>
      <c r="F1694" t="s">
        <v>34</v>
      </c>
      <c r="G1694" t="s">
        <v>91</v>
      </c>
      <c r="H1694" t="s">
        <v>120</v>
      </c>
      <c r="I1694" t="s">
        <v>79</v>
      </c>
      <c r="J1694" t="s">
        <v>80</v>
      </c>
      <c r="K1694" t="s">
        <v>65</v>
      </c>
      <c r="L1694">
        <v>3</v>
      </c>
      <c r="M1694">
        <v>3000</v>
      </c>
      <c r="N1694">
        <v>10</v>
      </c>
      <c r="O1694">
        <v>8100</v>
      </c>
      <c r="P1694">
        <v>2164.4299999999998</v>
      </c>
      <c r="Q1694" t="s">
        <v>39</v>
      </c>
      <c r="R1694" t="s">
        <v>29</v>
      </c>
      <c r="S1694" t="s">
        <v>50</v>
      </c>
      <c r="T1694">
        <f>YEAR(Table1_1[[#This Row],[order_date]])</f>
        <v>2025</v>
      </c>
      <c r="U1694">
        <f>MONTH(Table1_1[[#This Row],[order_date]])</f>
        <v>9</v>
      </c>
      <c r="V1694" t="str">
        <f>TEXT(Table1_1[[#This Row],[order_date]],"mmm")</f>
        <v>Sep</v>
      </c>
      <c r="W1694" t="str">
        <f>"Q"&amp;ROUNDUP(MONTH(Table1_1[[#This Row],[order_date]])/3,0)</f>
        <v>Q3</v>
      </c>
      <c r="X1694" t="str">
        <f>TEXT(Table1_1[[#This Row],[order_date]],"yyyy-mm")</f>
        <v>2025-09</v>
      </c>
      <c r="Y1694">
        <f>IF(Table1_1[[#This Row],[ship_date]]="","",Table1_1[[#This Row],[ship_date]]-Table1_1[[#This Row],[order_date]])</f>
        <v>8</v>
      </c>
      <c r="Z1694">
        <f>ROUND(Table1_1[[#This Row],[profit]]/Table1_1[[#This Row],[sales_fix]]*100,2)</f>
        <v>26.72</v>
      </c>
    </row>
    <row r="1695" spans="1:26" x14ac:dyDescent="0.3">
      <c r="A1695" t="s">
        <v>2446</v>
      </c>
      <c r="B1695" s="1">
        <v>45805</v>
      </c>
      <c r="C1695" s="1">
        <v>45813</v>
      </c>
      <c r="D1695" t="s">
        <v>288</v>
      </c>
      <c r="E1695" t="s">
        <v>289</v>
      </c>
      <c r="F1695" t="s">
        <v>34</v>
      </c>
      <c r="G1695" t="s">
        <v>44</v>
      </c>
      <c r="H1695" t="s">
        <v>155</v>
      </c>
      <c r="I1695" t="s">
        <v>25</v>
      </c>
      <c r="J1695" t="s">
        <v>26</v>
      </c>
      <c r="K1695" t="s">
        <v>27</v>
      </c>
      <c r="L1695">
        <v>2</v>
      </c>
      <c r="M1695">
        <v>7000</v>
      </c>
      <c r="N1695">
        <v>0</v>
      </c>
      <c r="O1695">
        <v>14000</v>
      </c>
      <c r="P1695">
        <v>2542.9899999999998</v>
      </c>
      <c r="Q1695" t="s">
        <v>66</v>
      </c>
      <c r="R1695" t="s">
        <v>56</v>
      </c>
      <c r="S1695" t="s">
        <v>30</v>
      </c>
      <c r="T1695">
        <f>YEAR(Table1_1[[#This Row],[order_date]])</f>
        <v>2025</v>
      </c>
      <c r="U1695">
        <f>MONTH(Table1_1[[#This Row],[order_date]])</f>
        <v>5</v>
      </c>
      <c r="V1695" t="str">
        <f>TEXT(Table1_1[[#This Row],[order_date]],"mmm")</f>
        <v>May</v>
      </c>
      <c r="W1695" t="str">
        <f>"Q"&amp;ROUNDUP(MONTH(Table1_1[[#This Row],[order_date]])/3,0)</f>
        <v>Q2</v>
      </c>
      <c r="X1695" t="str">
        <f>TEXT(Table1_1[[#This Row],[order_date]],"yyyy-mm")</f>
        <v>2025-05</v>
      </c>
      <c r="Y1695">
        <f>IF(Table1_1[[#This Row],[ship_date]]="","",Table1_1[[#This Row],[ship_date]]-Table1_1[[#This Row],[order_date]])</f>
        <v>8</v>
      </c>
      <c r="Z1695">
        <f>ROUND(Table1_1[[#This Row],[profit]]/Table1_1[[#This Row],[sales_fix]]*100,2)</f>
        <v>18.16</v>
      </c>
    </row>
    <row r="1696" spans="1:26" x14ac:dyDescent="0.3">
      <c r="A1696" t="s">
        <v>2126</v>
      </c>
      <c r="B1696" s="1">
        <v>45337</v>
      </c>
      <c r="C1696" s="1">
        <v>45341</v>
      </c>
      <c r="D1696" t="s">
        <v>779</v>
      </c>
      <c r="E1696" t="s">
        <v>780</v>
      </c>
      <c r="F1696" t="s">
        <v>23</v>
      </c>
      <c r="G1696" t="s">
        <v>35</v>
      </c>
      <c r="H1696" t="s">
        <v>258</v>
      </c>
      <c r="I1696" t="s">
        <v>114</v>
      </c>
      <c r="J1696" t="s">
        <v>115</v>
      </c>
      <c r="K1696" t="s">
        <v>65</v>
      </c>
      <c r="L1696">
        <v>2</v>
      </c>
      <c r="M1696">
        <v>55000</v>
      </c>
      <c r="N1696">
        <v>0</v>
      </c>
      <c r="O1696">
        <v>110000</v>
      </c>
      <c r="P1696">
        <v>19800</v>
      </c>
      <c r="Q1696" t="s">
        <v>28</v>
      </c>
      <c r="R1696" t="s">
        <v>49</v>
      </c>
      <c r="S1696" t="s">
        <v>110</v>
      </c>
      <c r="T1696">
        <f>YEAR(Table1_1[[#This Row],[order_date]])</f>
        <v>2024</v>
      </c>
      <c r="U1696">
        <f>MONTH(Table1_1[[#This Row],[order_date]])</f>
        <v>2</v>
      </c>
      <c r="V1696" t="str">
        <f>TEXT(Table1_1[[#This Row],[order_date]],"mmm")</f>
        <v>Feb</v>
      </c>
      <c r="W1696" t="str">
        <f>"Q"&amp;ROUNDUP(MONTH(Table1_1[[#This Row],[order_date]])/3,0)</f>
        <v>Q1</v>
      </c>
      <c r="X1696" t="str">
        <f>TEXT(Table1_1[[#This Row],[order_date]],"yyyy-mm")</f>
        <v>2024-02</v>
      </c>
      <c r="Y1696">
        <f>IF(Table1_1[[#This Row],[ship_date]]="","",Table1_1[[#This Row],[ship_date]]-Table1_1[[#This Row],[order_date]])</f>
        <v>4</v>
      </c>
      <c r="Z1696">
        <f>ROUND(Table1_1[[#This Row],[profit]]/Table1_1[[#This Row],[sales_fix]]*100,2)</f>
        <v>18</v>
      </c>
    </row>
    <row r="1697" spans="1:26" x14ac:dyDescent="0.3">
      <c r="A1697" t="s">
        <v>2400</v>
      </c>
      <c r="B1697" s="1">
        <v>45820</v>
      </c>
      <c r="C1697" s="1">
        <v>45822</v>
      </c>
      <c r="D1697" t="s">
        <v>1579</v>
      </c>
      <c r="E1697" t="s">
        <v>1580</v>
      </c>
      <c r="F1697" t="s">
        <v>55</v>
      </c>
      <c r="G1697" t="s">
        <v>44</v>
      </c>
      <c r="H1697" t="s">
        <v>45</v>
      </c>
      <c r="I1697" t="s">
        <v>37</v>
      </c>
      <c r="J1697" t="s">
        <v>38</v>
      </c>
      <c r="K1697" t="s">
        <v>27</v>
      </c>
      <c r="L1697">
        <v>1</v>
      </c>
      <c r="M1697">
        <v>9500</v>
      </c>
      <c r="N1697">
        <v>0</v>
      </c>
      <c r="O1697">
        <v>9500</v>
      </c>
      <c r="P1697">
        <v>1637.94</v>
      </c>
      <c r="Q1697" t="s">
        <v>121</v>
      </c>
      <c r="R1697" t="s">
        <v>49</v>
      </c>
      <c r="S1697" t="s">
        <v>50</v>
      </c>
      <c r="T1697">
        <f>YEAR(Table1_1[[#This Row],[order_date]])</f>
        <v>2025</v>
      </c>
      <c r="U1697">
        <f>MONTH(Table1_1[[#This Row],[order_date]])</f>
        <v>6</v>
      </c>
      <c r="V1697" t="str">
        <f>TEXT(Table1_1[[#This Row],[order_date]],"mmm")</f>
        <v>Jun</v>
      </c>
      <c r="W1697" t="str">
        <f>"Q"&amp;ROUNDUP(MONTH(Table1_1[[#This Row],[order_date]])/3,0)</f>
        <v>Q2</v>
      </c>
      <c r="X1697" t="str">
        <f>TEXT(Table1_1[[#This Row],[order_date]],"yyyy-mm")</f>
        <v>2025-06</v>
      </c>
      <c r="Y1697">
        <f>IF(Table1_1[[#This Row],[ship_date]]="","",Table1_1[[#This Row],[ship_date]]-Table1_1[[#This Row],[order_date]])</f>
        <v>2</v>
      </c>
      <c r="Z1697">
        <f>ROUND(Table1_1[[#This Row],[profit]]/Table1_1[[#This Row],[sales_fix]]*100,2)</f>
        <v>17.239999999999998</v>
      </c>
    </row>
    <row r="1698" spans="1:26" x14ac:dyDescent="0.3">
      <c r="A1698" t="s">
        <v>446</v>
      </c>
      <c r="B1698" s="1">
        <v>45525</v>
      </c>
      <c r="C1698" s="1">
        <v>45531</v>
      </c>
      <c r="D1698" t="s">
        <v>214</v>
      </c>
      <c r="E1698" t="s">
        <v>215</v>
      </c>
      <c r="F1698" t="s">
        <v>55</v>
      </c>
      <c r="G1698" t="s">
        <v>44</v>
      </c>
      <c r="H1698" t="s">
        <v>330</v>
      </c>
      <c r="I1698" t="s">
        <v>46</v>
      </c>
      <c r="J1698" t="s">
        <v>47</v>
      </c>
      <c r="K1698" t="s">
        <v>48</v>
      </c>
      <c r="L1698">
        <v>10</v>
      </c>
      <c r="M1698">
        <v>180</v>
      </c>
      <c r="N1698">
        <v>0</v>
      </c>
      <c r="O1698">
        <v>1800</v>
      </c>
      <c r="P1698">
        <v>781.27</v>
      </c>
      <c r="Q1698" t="s">
        <v>74</v>
      </c>
      <c r="R1698" t="s">
        <v>29</v>
      </c>
      <c r="S1698" t="s">
        <v>40</v>
      </c>
      <c r="T1698">
        <f>YEAR(Table1_1[[#This Row],[order_date]])</f>
        <v>2024</v>
      </c>
      <c r="U1698">
        <f>MONTH(Table1_1[[#This Row],[order_date]])</f>
        <v>8</v>
      </c>
      <c r="V1698" t="str">
        <f>TEXT(Table1_1[[#This Row],[order_date]],"mmm")</f>
        <v>Aug</v>
      </c>
      <c r="W1698" t="str">
        <f>"Q"&amp;ROUNDUP(MONTH(Table1_1[[#This Row],[order_date]])/3,0)</f>
        <v>Q3</v>
      </c>
      <c r="X1698" t="str">
        <f>TEXT(Table1_1[[#This Row],[order_date]],"yyyy-mm")</f>
        <v>2024-08</v>
      </c>
      <c r="Y1698">
        <f>IF(Table1_1[[#This Row],[ship_date]]="","",Table1_1[[#This Row],[ship_date]]-Table1_1[[#This Row],[order_date]])</f>
        <v>6</v>
      </c>
      <c r="Z1698">
        <f>ROUND(Table1_1[[#This Row],[profit]]/Table1_1[[#This Row],[sales_fix]]*100,2)</f>
        <v>43.4</v>
      </c>
    </row>
    <row r="1699" spans="1:26" x14ac:dyDescent="0.3">
      <c r="A1699" t="s">
        <v>2687</v>
      </c>
      <c r="B1699" s="1">
        <v>45334</v>
      </c>
      <c r="C1699" s="1">
        <v>45335</v>
      </c>
      <c r="D1699" t="s">
        <v>1262</v>
      </c>
      <c r="E1699" t="s">
        <v>1263</v>
      </c>
      <c r="F1699" t="s">
        <v>23</v>
      </c>
      <c r="G1699" t="s">
        <v>91</v>
      </c>
      <c r="H1699" t="s">
        <v>120</v>
      </c>
      <c r="I1699" t="s">
        <v>71</v>
      </c>
      <c r="J1699" t="s">
        <v>72</v>
      </c>
      <c r="K1699" t="s">
        <v>73</v>
      </c>
      <c r="L1699">
        <v>2</v>
      </c>
      <c r="M1699">
        <v>3500</v>
      </c>
      <c r="N1699">
        <v>0</v>
      </c>
      <c r="O1699">
        <v>7000</v>
      </c>
      <c r="P1699">
        <v>2240</v>
      </c>
      <c r="Q1699" t="s">
        <v>28</v>
      </c>
      <c r="R1699" t="s">
        <v>29</v>
      </c>
      <c r="S1699" t="s">
        <v>50</v>
      </c>
      <c r="T1699">
        <f>YEAR(Table1_1[[#This Row],[order_date]])</f>
        <v>2024</v>
      </c>
      <c r="U1699">
        <f>MONTH(Table1_1[[#This Row],[order_date]])</f>
        <v>2</v>
      </c>
      <c r="V1699" t="str">
        <f>TEXT(Table1_1[[#This Row],[order_date]],"mmm")</f>
        <v>Feb</v>
      </c>
      <c r="W1699" t="str">
        <f>"Q"&amp;ROUNDUP(MONTH(Table1_1[[#This Row],[order_date]])/3,0)</f>
        <v>Q1</v>
      </c>
      <c r="X1699" t="str">
        <f>TEXT(Table1_1[[#This Row],[order_date]],"yyyy-mm")</f>
        <v>2024-02</v>
      </c>
      <c r="Y1699">
        <f>IF(Table1_1[[#This Row],[ship_date]]="","",Table1_1[[#This Row],[ship_date]]-Table1_1[[#This Row],[order_date]])</f>
        <v>1</v>
      </c>
      <c r="Z1699">
        <f>ROUND(Table1_1[[#This Row],[profit]]/Table1_1[[#This Row],[sales_fix]]*100,2)</f>
        <v>32</v>
      </c>
    </row>
    <row r="1700" spans="1:26" x14ac:dyDescent="0.3">
      <c r="A1700" t="s">
        <v>2199</v>
      </c>
      <c r="B1700" s="1">
        <v>45920</v>
      </c>
      <c r="C1700" s="1">
        <v>45921</v>
      </c>
      <c r="D1700" t="s">
        <v>764</v>
      </c>
      <c r="E1700" t="s">
        <v>765</v>
      </c>
      <c r="F1700" t="s">
        <v>34</v>
      </c>
      <c r="G1700" t="s">
        <v>91</v>
      </c>
      <c r="H1700" t="s">
        <v>120</v>
      </c>
      <c r="I1700" t="s">
        <v>93</v>
      </c>
      <c r="J1700" t="s">
        <v>94</v>
      </c>
      <c r="K1700" t="s">
        <v>95</v>
      </c>
      <c r="L1700">
        <v>2</v>
      </c>
      <c r="M1700">
        <v>1800</v>
      </c>
      <c r="N1700">
        <v>10</v>
      </c>
      <c r="O1700">
        <v>3240</v>
      </c>
      <c r="P1700">
        <v>954.86</v>
      </c>
      <c r="Q1700" t="s">
        <v>39</v>
      </c>
      <c r="R1700" t="s">
        <v>56</v>
      </c>
      <c r="S1700" t="s">
        <v>40</v>
      </c>
      <c r="T1700">
        <f>YEAR(Table1_1[[#This Row],[order_date]])</f>
        <v>2025</v>
      </c>
      <c r="U1700">
        <f>MONTH(Table1_1[[#This Row],[order_date]])</f>
        <v>9</v>
      </c>
      <c r="V1700" t="str">
        <f>TEXT(Table1_1[[#This Row],[order_date]],"mmm")</f>
        <v>Sep</v>
      </c>
      <c r="W1700" t="str">
        <f>"Q"&amp;ROUNDUP(MONTH(Table1_1[[#This Row],[order_date]])/3,0)</f>
        <v>Q3</v>
      </c>
      <c r="X1700" t="str">
        <f>TEXT(Table1_1[[#This Row],[order_date]],"yyyy-mm")</f>
        <v>2025-09</v>
      </c>
      <c r="Y1700">
        <f>IF(Table1_1[[#This Row],[ship_date]]="","",Table1_1[[#This Row],[ship_date]]-Table1_1[[#This Row],[order_date]])</f>
        <v>1</v>
      </c>
      <c r="Z1700">
        <f>ROUND(Table1_1[[#This Row],[profit]]/Table1_1[[#This Row],[sales_fix]]*100,2)</f>
        <v>29.47</v>
      </c>
    </row>
    <row r="1701" spans="1:26" x14ac:dyDescent="0.3">
      <c r="A1701" t="s">
        <v>1512</v>
      </c>
      <c r="B1701" s="1">
        <v>45358</v>
      </c>
      <c r="C1701" s="1">
        <v>45360</v>
      </c>
      <c r="D1701" t="s">
        <v>129</v>
      </c>
      <c r="E1701" t="s">
        <v>130</v>
      </c>
      <c r="F1701" t="s">
        <v>34</v>
      </c>
      <c r="G1701" t="s">
        <v>61</v>
      </c>
      <c r="H1701" t="s">
        <v>78</v>
      </c>
      <c r="I1701" t="s">
        <v>79</v>
      </c>
      <c r="J1701" t="s">
        <v>80</v>
      </c>
      <c r="K1701" t="s">
        <v>65</v>
      </c>
      <c r="L1701">
        <v>1</v>
      </c>
      <c r="M1701">
        <v>3000</v>
      </c>
      <c r="N1701">
        <v>20</v>
      </c>
      <c r="O1701">
        <v>2400</v>
      </c>
      <c r="P1701">
        <v>517.53</v>
      </c>
      <c r="Q1701" t="s">
        <v>28</v>
      </c>
      <c r="R1701" t="s">
        <v>49</v>
      </c>
      <c r="S1701" t="s">
        <v>40</v>
      </c>
      <c r="T1701">
        <f>YEAR(Table1_1[[#This Row],[order_date]])</f>
        <v>2024</v>
      </c>
      <c r="U1701">
        <f>MONTH(Table1_1[[#This Row],[order_date]])</f>
        <v>3</v>
      </c>
      <c r="V1701" t="str">
        <f>TEXT(Table1_1[[#This Row],[order_date]],"mmm")</f>
        <v>Mar</v>
      </c>
      <c r="W1701" t="str">
        <f>"Q"&amp;ROUNDUP(MONTH(Table1_1[[#This Row],[order_date]])/3,0)</f>
        <v>Q1</v>
      </c>
      <c r="X1701" t="str">
        <f>TEXT(Table1_1[[#This Row],[order_date]],"yyyy-mm")</f>
        <v>2024-03</v>
      </c>
      <c r="Y1701">
        <f>IF(Table1_1[[#This Row],[ship_date]]="","",Table1_1[[#This Row],[ship_date]]-Table1_1[[#This Row],[order_date]])</f>
        <v>2</v>
      </c>
      <c r="Z1701">
        <f>ROUND(Table1_1[[#This Row],[profit]]/Table1_1[[#This Row],[sales_fix]]*100,2)</f>
        <v>21.56</v>
      </c>
    </row>
    <row r="1702" spans="1:26" x14ac:dyDescent="0.3">
      <c r="A1702" t="s">
        <v>2704</v>
      </c>
      <c r="B1702" s="1">
        <v>45833</v>
      </c>
      <c r="C1702" s="1">
        <v>45838</v>
      </c>
      <c r="D1702" t="s">
        <v>69</v>
      </c>
      <c r="E1702" t="s">
        <v>70</v>
      </c>
      <c r="F1702" t="s">
        <v>23</v>
      </c>
      <c r="G1702" t="s">
        <v>44</v>
      </c>
      <c r="H1702" t="s">
        <v>24</v>
      </c>
      <c r="I1702" t="s">
        <v>46</v>
      </c>
      <c r="J1702" t="s">
        <v>47</v>
      </c>
      <c r="K1702" t="s">
        <v>48</v>
      </c>
      <c r="L1702">
        <v>3</v>
      </c>
      <c r="M1702">
        <v>180</v>
      </c>
      <c r="N1702">
        <v>0</v>
      </c>
      <c r="O1702">
        <v>540</v>
      </c>
      <c r="P1702">
        <v>230.91</v>
      </c>
      <c r="Q1702" t="s">
        <v>156</v>
      </c>
      <c r="R1702" t="s">
        <v>29</v>
      </c>
      <c r="S1702" t="s">
        <v>40</v>
      </c>
      <c r="T1702">
        <f>YEAR(Table1_1[[#This Row],[order_date]])</f>
        <v>2025</v>
      </c>
      <c r="U1702">
        <f>MONTH(Table1_1[[#This Row],[order_date]])</f>
        <v>6</v>
      </c>
      <c r="V1702" t="str">
        <f>TEXT(Table1_1[[#This Row],[order_date]],"mmm")</f>
        <v>Jun</v>
      </c>
      <c r="W1702" t="str">
        <f>"Q"&amp;ROUNDUP(MONTH(Table1_1[[#This Row],[order_date]])/3,0)</f>
        <v>Q2</v>
      </c>
      <c r="X1702" t="str">
        <f>TEXT(Table1_1[[#This Row],[order_date]],"yyyy-mm")</f>
        <v>2025-06</v>
      </c>
      <c r="Y1702">
        <f>IF(Table1_1[[#This Row],[ship_date]]="","",Table1_1[[#This Row],[ship_date]]-Table1_1[[#This Row],[order_date]])</f>
        <v>5</v>
      </c>
      <c r="Z1702">
        <f>ROUND(Table1_1[[#This Row],[profit]]/Table1_1[[#This Row],[sales_fix]]*100,2)</f>
        <v>42.76</v>
      </c>
    </row>
    <row r="1703" spans="1:26" x14ac:dyDescent="0.3">
      <c r="A1703" t="s">
        <v>3001</v>
      </c>
      <c r="B1703" s="1">
        <v>45546</v>
      </c>
      <c r="C1703" s="1">
        <v>45550</v>
      </c>
      <c r="D1703" t="s">
        <v>166</v>
      </c>
      <c r="E1703" t="s">
        <v>167</v>
      </c>
      <c r="F1703" t="s">
        <v>23</v>
      </c>
      <c r="G1703" t="s">
        <v>44</v>
      </c>
      <c r="H1703" t="s">
        <v>161</v>
      </c>
      <c r="I1703" t="s">
        <v>147</v>
      </c>
      <c r="J1703" t="s">
        <v>148</v>
      </c>
      <c r="K1703" t="s">
        <v>48</v>
      </c>
      <c r="L1703">
        <v>2</v>
      </c>
      <c r="M1703">
        <v>250</v>
      </c>
      <c r="N1703">
        <v>5</v>
      </c>
      <c r="O1703">
        <v>475</v>
      </c>
      <c r="P1703">
        <v>187.58</v>
      </c>
      <c r="Q1703" t="s">
        <v>39</v>
      </c>
      <c r="R1703" t="s">
        <v>56</v>
      </c>
      <c r="S1703" t="s">
        <v>86</v>
      </c>
      <c r="T1703">
        <f>YEAR(Table1_1[[#This Row],[order_date]])</f>
        <v>2024</v>
      </c>
      <c r="U1703">
        <f>MONTH(Table1_1[[#This Row],[order_date]])</f>
        <v>9</v>
      </c>
      <c r="V1703" t="str">
        <f>TEXT(Table1_1[[#This Row],[order_date]],"mmm")</f>
        <v>Sep</v>
      </c>
      <c r="W1703" t="str">
        <f>"Q"&amp;ROUNDUP(MONTH(Table1_1[[#This Row],[order_date]])/3,0)</f>
        <v>Q3</v>
      </c>
      <c r="X1703" t="str">
        <f>TEXT(Table1_1[[#This Row],[order_date]],"yyyy-mm")</f>
        <v>2024-09</v>
      </c>
      <c r="Y1703">
        <f>IF(Table1_1[[#This Row],[ship_date]]="","",Table1_1[[#This Row],[ship_date]]-Table1_1[[#This Row],[order_date]])</f>
        <v>4</v>
      </c>
      <c r="Z1703">
        <f>ROUND(Table1_1[[#This Row],[profit]]/Table1_1[[#This Row],[sales_fix]]*100,2)</f>
        <v>39.49</v>
      </c>
    </row>
    <row r="1704" spans="1:26" x14ac:dyDescent="0.3">
      <c r="A1704" t="s">
        <v>2139</v>
      </c>
      <c r="B1704" s="1">
        <v>45540</v>
      </c>
      <c r="C1704" s="1">
        <v>45547</v>
      </c>
      <c r="D1704" t="s">
        <v>1751</v>
      </c>
      <c r="E1704" t="s">
        <v>1752</v>
      </c>
      <c r="F1704" t="s">
        <v>34</v>
      </c>
      <c r="G1704" t="s">
        <v>44</v>
      </c>
      <c r="H1704" t="s">
        <v>161</v>
      </c>
      <c r="I1704" t="s">
        <v>25</v>
      </c>
      <c r="J1704" t="s">
        <v>26</v>
      </c>
      <c r="K1704" t="s">
        <v>27</v>
      </c>
      <c r="L1704">
        <v>1</v>
      </c>
      <c r="M1704">
        <v>7000</v>
      </c>
      <c r="N1704">
        <v>0</v>
      </c>
      <c r="O1704">
        <v>7000</v>
      </c>
      <c r="P1704">
        <v>1165.1600000000001</v>
      </c>
      <c r="Q1704" t="s">
        <v>39</v>
      </c>
      <c r="R1704" t="s">
        <v>56</v>
      </c>
      <c r="S1704" t="s">
        <v>110</v>
      </c>
      <c r="T1704">
        <f>YEAR(Table1_1[[#This Row],[order_date]])</f>
        <v>2024</v>
      </c>
      <c r="U1704">
        <f>MONTH(Table1_1[[#This Row],[order_date]])</f>
        <v>9</v>
      </c>
      <c r="V1704" t="str">
        <f>TEXT(Table1_1[[#This Row],[order_date]],"mmm")</f>
        <v>Sep</v>
      </c>
      <c r="W1704" t="str">
        <f>"Q"&amp;ROUNDUP(MONTH(Table1_1[[#This Row],[order_date]])/3,0)</f>
        <v>Q3</v>
      </c>
      <c r="X1704" t="str">
        <f>TEXT(Table1_1[[#This Row],[order_date]],"yyyy-mm")</f>
        <v>2024-09</v>
      </c>
      <c r="Y1704">
        <f>IF(Table1_1[[#This Row],[ship_date]]="","",Table1_1[[#This Row],[ship_date]]-Table1_1[[#This Row],[order_date]])</f>
        <v>7</v>
      </c>
      <c r="Z1704">
        <f>ROUND(Table1_1[[#This Row],[profit]]/Table1_1[[#This Row],[sales_fix]]*100,2)</f>
        <v>16.649999999999999</v>
      </c>
    </row>
    <row r="1705" spans="1:26" x14ac:dyDescent="0.3">
      <c r="A1705" t="s">
        <v>2627</v>
      </c>
      <c r="B1705" s="1">
        <v>45877</v>
      </c>
      <c r="C1705" s="1">
        <v>45884</v>
      </c>
      <c r="D1705" t="s">
        <v>847</v>
      </c>
      <c r="E1705" t="s">
        <v>848</v>
      </c>
      <c r="F1705" t="s">
        <v>23</v>
      </c>
      <c r="G1705" t="s">
        <v>44</v>
      </c>
      <c r="H1705" t="s">
        <v>161</v>
      </c>
      <c r="I1705" t="s">
        <v>46</v>
      </c>
      <c r="J1705" t="s">
        <v>47</v>
      </c>
      <c r="K1705" t="s">
        <v>48</v>
      </c>
      <c r="L1705">
        <v>2</v>
      </c>
      <c r="M1705">
        <v>180</v>
      </c>
      <c r="N1705">
        <v>15</v>
      </c>
      <c r="O1705">
        <v>306</v>
      </c>
      <c r="P1705">
        <v>136.63</v>
      </c>
      <c r="Q1705" t="s">
        <v>74</v>
      </c>
      <c r="R1705" t="s">
        <v>29</v>
      </c>
      <c r="S1705" t="s">
        <v>86</v>
      </c>
      <c r="T1705">
        <f>YEAR(Table1_1[[#This Row],[order_date]])</f>
        <v>2025</v>
      </c>
      <c r="U1705">
        <f>MONTH(Table1_1[[#This Row],[order_date]])</f>
        <v>8</v>
      </c>
      <c r="V1705" t="str">
        <f>TEXT(Table1_1[[#This Row],[order_date]],"mmm")</f>
        <v>Aug</v>
      </c>
      <c r="W1705" t="str">
        <f>"Q"&amp;ROUNDUP(MONTH(Table1_1[[#This Row],[order_date]])/3,0)</f>
        <v>Q3</v>
      </c>
      <c r="X1705" t="str">
        <f>TEXT(Table1_1[[#This Row],[order_date]],"yyyy-mm")</f>
        <v>2025-08</v>
      </c>
      <c r="Y1705">
        <f>IF(Table1_1[[#This Row],[ship_date]]="","",Table1_1[[#This Row],[ship_date]]-Table1_1[[#This Row],[order_date]])</f>
        <v>7</v>
      </c>
      <c r="Z1705">
        <f>ROUND(Table1_1[[#This Row],[profit]]/Table1_1[[#This Row],[sales_fix]]*100,2)</f>
        <v>44.65</v>
      </c>
    </row>
    <row r="1706" spans="1:26" x14ac:dyDescent="0.3">
      <c r="A1706" t="s">
        <v>564</v>
      </c>
      <c r="B1706" s="1">
        <v>45425</v>
      </c>
      <c r="C1706" s="1">
        <v>45432</v>
      </c>
      <c r="D1706" t="s">
        <v>534</v>
      </c>
      <c r="E1706" t="s">
        <v>535</v>
      </c>
      <c r="F1706" t="s">
        <v>34</v>
      </c>
      <c r="G1706" t="s">
        <v>61</v>
      </c>
      <c r="H1706" t="s">
        <v>78</v>
      </c>
      <c r="I1706" t="s">
        <v>134</v>
      </c>
      <c r="J1706" t="s">
        <v>135</v>
      </c>
      <c r="K1706" t="s">
        <v>27</v>
      </c>
      <c r="L1706">
        <v>1</v>
      </c>
      <c r="M1706">
        <v>6000</v>
      </c>
      <c r="N1706">
        <v>15</v>
      </c>
      <c r="O1706">
        <v>5100</v>
      </c>
      <c r="P1706">
        <v>1270.53</v>
      </c>
      <c r="Q1706" t="s">
        <v>121</v>
      </c>
      <c r="R1706" t="s">
        <v>29</v>
      </c>
      <c r="S1706" t="s">
        <v>110</v>
      </c>
      <c r="T1706">
        <f>YEAR(Table1_1[[#This Row],[order_date]])</f>
        <v>2024</v>
      </c>
      <c r="U1706">
        <f>MONTH(Table1_1[[#This Row],[order_date]])</f>
        <v>5</v>
      </c>
      <c r="V1706" t="str">
        <f>TEXT(Table1_1[[#This Row],[order_date]],"mmm")</f>
        <v>May</v>
      </c>
      <c r="W1706" t="str">
        <f>"Q"&amp;ROUNDUP(MONTH(Table1_1[[#This Row],[order_date]])/3,0)</f>
        <v>Q2</v>
      </c>
      <c r="X1706" t="str">
        <f>TEXT(Table1_1[[#This Row],[order_date]],"yyyy-mm")</f>
        <v>2024-05</v>
      </c>
      <c r="Y1706">
        <f>IF(Table1_1[[#This Row],[ship_date]]="","",Table1_1[[#This Row],[ship_date]]-Table1_1[[#This Row],[order_date]])</f>
        <v>7</v>
      </c>
      <c r="Z1706">
        <f>ROUND(Table1_1[[#This Row],[profit]]/Table1_1[[#This Row],[sales_fix]]*100,2)</f>
        <v>24.91</v>
      </c>
    </row>
    <row r="1707" spans="1:26" x14ac:dyDescent="0.3">
      <c r="A1707" t="s">
        <v>1783</v>
      </c>
      <c r="B1707" s="1">
        <v>45765</v>
      </c>
      <c r="C1707" s="1">
        <v>45772</v>
      </c>
      <c r="D1707" t="s">
        <v>1418</v>
      </c>
      <c r="E1707" t="s">
        <v>1419</v>
      </c>
      <c r="F1707" t="s">
        <v>34</v>
      </c>
      <c r="G1707" t="s">
        <v>61</v>
      </c>
      <c r="H1707" t="s">
        <v>211</v>
      </c>
      <c r="I1707" t="s">
        <v>63</v>
      </c>
      <c r="J1707" t="s">
        <v>64</v>
      </c>
      <c r="K1707" t="s">
        <v>65</v>
      </c>
      <c r="L1707">
        <v>4</v>
      </c>
      <c r="M1707">
        <v>25000</v>
      </c>
      <c r="N1707">
        <v>20</v>
      </c>
      <c r="O1707">
        <v>80000</v>
      </c>
      <c r="P1707">
        <v>10272.879999999999</v>
      </c>
      <c r="Q1707" t="s">
        <v>121</v>
      </c>
      <c r="R1707" t="s">
        <v>49</v>
      </c>
      <c r="S1707" t="s">
        <v>110</v>
      </c>
      <c r="T1707">
        <f>YEAR(Table1_1[[#This Row],[order_date]])</f>
        <v>2025</v>
      </c>
      <c r="U1707">
        <f>MONTH(Table1_1[[#This Row],[order_date]])</f>
        <v>4</v>
      </c>
      <c r="V1707" t="str">
        <f>TEXT(Table1_1[[#This Row],[order_date]],"mmm")</f>
        <v>Apr</v>
      </c>
      <c r="W1707" t="str">
        <f>"Q"&amp;ROUNDUP(MONTH(Table1_1[[#This Row],[order_date]])/3,0)</f>
        <v>Q2</v>
      </c>
      <c r="X1707" t="str">
        <f>TEXT(Table1_1[[#This Row],[order_date]],"yyyy-mm")</f>
        <v>2025-04</v>
      </c>
      <c r="Y1707">
        <f>IF(Table1_1[[#This Row],[ship_date]]="","",Table1_1[[#This Row],[ship_date]]-Table1_1[[#This Row],[order_date]])</f>
        <v>7</v>
      </c>
      <c r="Z1707">
        <f>ROUND(Table1_1[[#This Row],[profit]]/Table1_1[[#This Row],[sales_fix]]*100,2)</f>
        <v>12.84</v>
      </c>
    </row>
    <row r="1708" spans="1:26" x14ac:dyDescent="0.3">
      <c r="A1708" t="s">
        <v>1469</v>
      </c>
      <c r="B1708" s="1">
        <v>45483</v>
      </c>
      <c r="C1708" s="1">
        <v>45489</v>
      </c>
      <c r="D1708" t="s">
        <v>514</v>
      </c>
      <c r="E1708" t="s">
        <v>515</v>
      </c>
      <c r="F1708" t="s">
        <v>23</v>
      </c>
      <c r="G1708" t="s">
        <v>44</v>
      </c>
      <c r="H1708" t="s">
        <v>45</v>
      </c>
      <c r="I1708" t="s">
        <v>114</v>
      </c>
      <c r="J1708" t="s">
        <v>115</v>
      </c>
      <c r="K1708" t="s">
        <v>65</v>
      </c>
      <c r="L1708">
        <v>2</v>
      </c>
      <c r="M1708">
        <v>55000</v>
      </c>
      <c r="N1708">
        <v>0</v>
      </c>
      <c r="O1708">
        <v>110000</v>
      </c>
      <c r="P1708">
        <v>19571.3</v>
      </c>
      <c r="Q1708" t="s">
        <v>74</v>
      </c>
      <c r="R1708" t="s">
        <v>56</v>
      </c>
      <c r="S1708" t="s">
        <v>50</v>
      </c>
      <c r="T1708">
        <f>YEAR(Table1_1[[#This Row],[order_date]])</f>
        <v>2024</v>
      </c>
      <c r="U1708">
        <f>MONTH(Table1_1[[#This Row],[order_date]])</f>
        <v>7</v>
      </c>
      <c r="V1708" t="str">
        <f>TEXT(Table1_1[[#This Row],[order_date]],"mmm")</f>
        <v>Jul</v>
      </c>
      <c r="W1708" t="str">
        <f>"Q"&amp;ROUNDUP(MONTH(Table1_1[[#This Row],[order_date]])/3,0)</f>
        <v>Q3</v>
      </c>
      <c r="X1708" t="str">
        <f>TEXT(Table1_1[[#This Row],[order_date]],"yyyy-mm")</f>
        <v>2024-07</v>
      </c>
      <c r="Y1708">
        <f>IF(Table1_1[[#This Row],[ship_date]]="","",Table1_1[[#This Row],[ship_date]]-Table1_1[[#This Row],[order_date]])</f>
        <v>6</v>
      </c>
      <c r="Z1708">
        <f>ROUND(Table1_1[[#This Row],[profit]]/Table1_1[[#This Row],[sales_fix]]*100,2)</f>
        <v>17.79</v>
      </c>
    </row>
    <row r="1709" spans="1:26" x14ac:dyDescent="0.3">
      <c r="A1709" t="s">
        <v>2242</v>
      </c>
      <c r="B1709" s="1">
        <v>45315</v>
      </c>
      <c r="C1709" s="1"/>
      <c r="D1709" t="s">
        <v>919</v>
      </c>
      <c r="E1709" t="s">
        <v>920</v>
      </c>
      <c r="F1709" t="s">
        <v>23</v>
      </c>
      <c r="G1709" t="s">
        <v>35</v>
      </c>
      <c r="H1709" t="s">
        <v>36</v>
      </c>
      <c r="I1709" t="s">
        <v>103</v>
      </c>
      <c r="J1709" t="s">
        <v>104</v>
      </c>
      <c r="K1709" t="s">
        <v>65</v>
      </c>
      <c r="L1709">
        <v>3</v>
      </c>
      <c r="M1709">
        <v>8000</v>
      </c>
      <c r="N1709">
        <v>5</v>
      </c>
      <c r="O1709">
        <v>22800</v>
      </c>
      <c r="P1709">
        <v>4850.18</v>
      </c>
      <c r="Q1709" t="s">
        <v>74</v>
      </c>
      <c r="R1709" t="s">
        <v>49</v>
      </c>
      <c r="S1709" t="s">
        <v>40</v>
      </c>
      <c r="T1709">
        <f>YEAR(Table1_1[[#This Row],[order_date]])</f>
        <v>2024</v>
      </c>
      <c r="U1709">
        <f>MONTH(Table1_1[[#This Row],[order_date]])</f>
        <v>1</v>
      </c>
      <c r="V1709" t="str">
        <f>TEXT(Table1_1[[#This Row],[order_date]],"mmm")</f>
        <v>Jan</v>
      </c>
      <c r="W1709" t="str">
        <f>"Q"&amp;ROUNDUP(MONTH(Table1_1[[#This Row],[order_date]])/3,0)</f>
        <v>Q1</v>
      </c>
      <c r="X1709" t="str">
        <f>TEXT(Table1_1[[#This Row],[order_date]],"yyyy-mm")</f>
        <v>2024-01</v>
      </c>
      <c r="Y1709" t="str">
        <f>IF(Table1_1[[#This Row],[ship_date]]="","",Table1_1[[#This Row],[ship_date]]-Table1_1[[#This Row],[order_date]])</f>
        <v/>
      </c>
      <c r="Z1709">
        <f>ROUND(Table1_1[[#This Row],[profit]]/Table1_1[[#This Row],[sales_fix]]*100,2)</f>
        <v>21.27</v>
      </c>
    </row>
    <row r="1710" spans="1:26" x14ac:dyDescent="0.3">
      <c r="A1710" t="s">
        <v>2046</v>
      </c>
      <c r="B1710" s="1">
        <v>45809</v>
      </c>
      <c r="C1710" s="1">
        <v>45811</v>
      </c>
      <c r="D1710" t="s">
        <v>477</v>
      </c>
      <c r="E1710" t="s">
        <v>478</v>
      </c>
      <c r="F1710" t="s">
        <v>34</v>
      </c>
      <c r="G1710" t="s">
        <v>44</v>
      </c>
      <c r="H1710" t="s">
        <v>161</v>
      </c>
      <c r="I1710" t="s">
        <v>46</v>
      </c>
      <c r="J1710" t="s">
        <v>47</v>
      </c>
      <c r="K1710" t="s">
        <v>48</v>
      </c>
      <c r="L1710">
        <v>5</v>
      </c>
      <c r="M1710">
        <v>180</v>
      </c>
      <c r="N1710">
        <v>0</v>
      </c>
      <c r="O1710">
        <v>900</v>
      </c>
      <c r="P1710">
        <v>408.57</v>
      </c>
      <c r="Q1710" t="s">
        <v>74</v>
      </c>
      <c r="R1710" t="s">
        <v>29</v>
      </c>
      <c r="S1710" t="s">
        <v>40</v>
      </c>
      <c r="T1710">
        <f>YEAR(Table1_1[[#This Row],[order_date]])</f>
        <v>2025</v>
      </c>
      <c r="U1710">
        <f>MONTH(Table1_1[[#This Row],[order_date]])</f>
        <v>6</v>
      </c>
      <c r="V1710" t="str">
        <f>TEXT(Table1_1[[#This Row],[order_date]],"mmm")</f>
        <v>Jun</v>
      </c>
      <c r="W1710" t="str">
        <f>"Q"&amp;ROUNDUP(MONTH(Table1_1[[#This Row],[order_date]])/3,0)</f>
        <v>Q2</v>
      </c>
      <c r="X1710" t="str">
        <f>TEXT(Table1_1[[#This Row],[order_date]],"yyyy-mm")</f>
        <v>2025-06</v>
      </c>
      <c r="Y1710">
        <f>IF(Table1_1[[#This Row],[ship_date]]="","",Table1_1[[#This Row],[ship_date]]-Table1_1[[#This Row],[order_date]])</f>
        <v>2</v>
      </c>
      <c r="Z1710">
        <f>ROUND(Table1_1[[#This Row],[profit]]/Table1_1[[#This Row],[sales_fix]]*100,2)</f>
        <v>45.4</v>
      </c>
    </row>
    <row r="1711" spans="1:26" x14ac:dyDescent="0.3">
      <c r="A1711" t="s">
        <v>1599</v>
      </c>
      <c r="B1711" s="1">
        <v>45474</v>
      </c>
      <c r="C1711" s="1">
        <v>45477</v>
      </c>
      <c r="D1711" t="s">
        <v>314</v>
      </c>
      <c r="E1711" t="s">
        <v>315</v>
      </c>
      <c r="F1711" t="s">
        <v>55</v>
      </c>
      <c r="G1711" t="s">
        <v>44</v>
      </c>
      <c r="H1711" t="s">
        <v>161</v>
      </c>
      <c r="I1711" t="s">
        <v>46</v>
      </c>
      <c r="J1711" t="s">
        <v>47</v>
      </c>
      <c r="K1711" t="s">
        <v>48</v>
      </c>
      <c r="L1711">
        <v>4</v>
      </c>
      <c r="M1711">
        <v>180</v>
      </c>
      <c r="N1711">
        <v>0</v>
      </c>
      <c r="O1711">
        <v>720</v>
      </c>
      <c r="P1711">
        <v>269.77</v>
      </c>
      <c r="Q1711" t="s">
        <v>28</v>
      </c>
      <c r="R1711" t="s">
        <v>56</v>
      </c>
      <c r="S1711" t="s">
        <v>86</v>
      </c>
      <c r="T1711">
        <f>YEAR(Table1_1[[#This Row],[order_date]])</f>
        <v>2024</v>
      </c>
      <c r="U1711">
        <f>MONTH(Table1_1[[#This Row],[order_date]])</f>
        <v>7</v>
      </c>
      <c r="V1711" t="str">
        <f>TEXT(Table1_1[[#This Row],[order_date]],"mmm")</f>
        <v>Jul</v>
      </c>
      <c r="W1711" t="str">
        <f>"Q"&amp;ROUNDUP(MONTH(Table1_1[[#This Row],[order_date]])/3,0)</f>
        <v>Q3</v>
      </c>
      <c r="X1711" t="str">
        <f>TEXT(Table1_1[[#This Row],[order_date]],"yyyy-mm")</f>
        <v>2024-07</v>
      </c>
      <c r="Y1711">
        <f>IF(Table1_1[[#This Row],[ship_date]]="","",Table1_1[[#This Row],[ship_date]]-Table1_1[[#This Row],[order_date]])</f>
        <v>3</v>
      </c>
      <c r="Z1711">
        <f>ROUND(Table1_1[[#This Row],[profit]]/Table1_1[[#This Row],[sales_fix]]*100,2)</f>
        <v>37.47</v>
      </c>
    </row>
    <row r="1712" spans="1:26" x14ac:dyDescent="0.3">
      <c r="A1712" t="s">
        <v>2871</v>
      </c>
      <c r="B1712" s="1">
        <v>45588</v>
      </c>
      <c r="C1712" s="1">
        <v>45592</v>
      </c>
      <c r="D1712" t="s">
        <v>1592</v>
      </c>
      <c r="E1712" t="s">
        <v>1593</v>
      </c>
      <c r="F1712" t="s">
        <v>34</v>
      </c>
      <c r="G1712" t="s">
        <v>44</v>
      </c>
      <c r="H1712" t="s">
        <v>155</v>
      </c>
      <c r="I1712" t="s">
        <v>114</v>
      </c>
      <c r="J1712" t="s">
        <v>115</v>
      </c>
      <c r="K1712" t="s">
        <v>65</v>
      </c>
      <c r="L1712">
        <v>1</v>
      </c>
      <c r="M1712">
        <v>55000</v>
      </c>
      <c r="N1712">
        <v>20</v>
      </c>
      <c r="O1712">
        <v>44000</v>
      </c>
      <c r="P1712">
        <v>6467.08</v>
      </c>
      <c r="Q1712" t="s">
        <v>121</v>
      </c>
      <c r="R1712" t="s">
        <v>29</v>
      </c>
      <c r="S1712" t="s">
        <v>110</v>
      </c>
      <c r="T1712">
        <f>YEAR(Table1_1[[#This Row],[order_date]])</f>
        <v>2024</v>
      </c>
      <c r="U1712">
        <f>MONTH(Table1_1[[#This Row],[order_date]])</f>
        <v>10</v>
      </c>
      <c r="V1712" t="str">
        <f>TEXT(Table1_1[[#This Row],[order_date]],"mmm")</f>
        <v>Oct</v>
      </c>
      <c r="W1712" t="str">
        <f>"Q"&amp;ROUNDUP(MONTH(Table1_1[[#This Row],[order_date]])/3,0)</f>
        <v>Q4</v>
      </c>
      <c r="X1712" t="str">
        <f>TEXT(Table1_1[[#This Row],[order_date]],"yyyy-mm")</f>
        <v>2024-10</v>
      </c>
      <c r="Y1712">
        <f>IF(Table1_1[[#This Row],[ship_date]]="","",Table1_1[[#This Row],[ship_date]]-Table1_1[[#This Row],[order_date]])</f>
        <v>4</v>
      </c>
      <c r="Z1712">
        <f>ROUND(Table1_1[[#This Row],[profit]]/Table1_1[[#This Row],[sales_fix]]*100,2)</f>
        <v>14.7</v>
      </c>
    </row>
    <row r="1713" spans="1:26" x14ac:dyDescent="0.3">
      <c r="A1713" t="s">
        <v>2837</v>
      </c>
      <c r="B1713" s="1">
        <v>45555</v>
      </c>
      <c r="C1713" s="1">
        <v>45559</v>
      </c>
      <c r="D1713" t="s">
        <v>1588</v>
      </c>
      <c r="E1713" t="s">
        <v>1589</v>
      </c>
      <c r="F1713" t="s">
        <v>34</v>
      </c>
      <c r="G1713" t="s">
        <v>61</v>
      </c>
      <c r="H1713" t="s">
        <v>78</v>
      </c>
      <c r="I1713" t="s">
        <v>46</v>
      </c>
      <c r="J1713" t="s">
        <v>47</v>
      </c>
      <c r="K1713" t="s">
        <v>48</v>
      </c>
      <c r="L1713">
        <v>2</v>
      </c>
      <c r="M1713">
        <v>180</v>
      </c>
      <c r="N1713">
        <v>15</v>
      </c>
      <c r="O1713">
        <v>306</v>
      </c>
      <c r="P1713">
        <v>103.12</v>
      </c>
      <c r="Q1713" t="s">
        <v>121</v>
      </c>
      <c r="R1713" t="s">
        <v>29</v>
      </c>
      <c r="S1713" t="s">
        <v>86</v>
      </c>
      <c r="T1713">
        <f>YEAR(Table1_1[[#This Row],[order_date]])</f>
        <v>2024</v>
      </c>
      <c r="U1713">
        <f>MONTH(Table1_1[[#This Row],[order_date]])</f>
        <v>9</v>
      </c>
      <c r="V1713" t="str">
        <f>TEXT(Table1_1[[#This Row],[order_date]],"mmm")</f>
        <v>Sep</v>
      </c>
      <c r="W1713" t="str">
        <f>"Q"&amp;ROUNDUP(MONTH(Table1_1[[#This Row],[order_date]])/3,0)</f>
        <v>Q3</v>
      </c>
      <c r="X1713" t="str">
        <f>TEXT(Table1_1[[#This Row],[order_date]],"yyyy-mm")</f>
        <v>2024-09</v>
      </c>
      <c r="Y1713">
        <f>IF(Table1_1[[#This Row],[ship_date]]="","",Table1_1[[#This Row],[ship_date]]-Table1_1[[#This Row],[order_date]])</f>
        <v>4</v>
      </c>
      <c r="Z1713">
        <f>ROUND(Table1_1[[#This Row],[profit]]/Table1_1[[#This Row],[sales_fix]]*100,2)</f>
        <v>33.700000000000003</v>
      </c>
    </row>
    <row r="1714" spans="1:26" x14ac:dyDescent="0.3">
      <c r="A1714" t="s">
        <v>2948</v>
      </c>
      <c r="B1714" s="1">
        <v>45906</v>
      </c>
      <c r="C1714" s="1">
        <v>45908</v>
      </c>
      <c r="D1714" t="s">
        <v>890</v>
      </c>
      <c r="E1714" t="s">
        <v>891</v>
      </c>
      <c r="F1714" t="s">
        <v>34</v>
      </c>
      <c r="G1714" t="s">
        <v>35</v>
      </c>
      <c r="H1714" t="s">
        <v>36</v>
      </c>
      <c r="I1714" t="s">
        <v>71</v>
      </c>
      <c r="J1714" t="s">
        <v>72</v>
      </c>
      <c r="K1714" t="s">
        <v>73</v>
      </c>
      <c r="L1714">
        <v>2</v>
      </c>
      <c r="M1714">
        <v>3500</v>
      </c>
      <c r="N1714">
        <v>5</v>
      </c>
      <c r="O1714">
        <v>6650</v>
      </c>
      <c r="P1714">
        <v>2103.5300000000002</v>
      </c>
      <c r="Q1714" t="s">
        <v>39</v>
      </c>
      <c r="R1714" t="s">
        <v>29</v>
      </c>
      <c r="S1714" t="s">
        <v>40</v>
      </c>
      <c r="T1714">
        <f>YEAR(Table1_1[[#This Row],[order_date]])</f>
        <v>2025</v>
      </c>
      <c r="U1714">
        <f>MONTH(Table1_1[[#This Row],[order_date]])</f>
        <v>9</v>
      </c>
      <c r="V1714" t="str">
        <f>TEXT(Table1_1[[#This Row],[order_date]],"mmm")</f>
        <v>Sep</v>
      </c>
      <c r="W1714" t="str">
        <f>"Q"&amp;ROUNDUP(MONTH(Table1_1[[#This Row],[order_date]])/3,0)</f>
        <v>Q3</v>
      </c>
      <c r="X1714" t="str">
        <f>TEXT(Table1_1[[#This Row],[order_date]],"yyyy-mm")</f>
        <v>2025-09</v>
      </c>
      <c r="Y1714">
        <f>IF(Table1_1[[#This Row],[ship_date]]="","",Table1_1[[#This Row],[ship_date]]-Table1_1[[#This Row],[order_date]])</f>
        <v>2</v>
      </c>
      <c r="Z1714">
        <f>ROUND(Table1_1[[#This Row],[profit]]/Table1_1[[#This Row],[sales_fix]]*100,2)</f>
        <v>31.63</v>
      </c>
    </row>
    <row r="1715" spans="1:26" x14ac:dyDescent="0.3">
      <c r="A1715" t="s">
        <v>1207</v>
      </c>
      <c r="B1715" s="1">
        <v>45899</v>
      </c>
      <c r="C1715" s="1">
        <v>45903</v>
      </c>
      <c r="D1715" t="s">
        <v>959</v>
      </c>
      <c r="E1715" t="s">
        <v>960</v>
      </c>
      <c r="F1715" t="s">
        <v>34</v>
      </c>
      <c r="G1715" t="s">
        <v>35</v>
      </c>
      <c r="H1715" t="s">
        <v>187</v>
      </c>
      <c r="I1715" t="s">
        <v>103</v>
      </c>
      <c r="J1715" t="s">
        <v>104</v>
      </c>
      <c r="K1715" t="s">
        <v>65</v>
      </c>
      <c r="L1715">
        <v>1</v>
      </c>
      <c r="M1715">
        <v>8000</v>
      </c>
      <c r="N1715">
        <v>15</v>
      </c>
      <c r="O1715">
        <v>6800</v>
      </c>
      <c r="P1715">
        <v>1324.63</v>
      </c>
      <c r="Q1715" t="s">
        <v>121</v>
      </c>
      <c r="R1715" t="s">
        <v>49</v>
      </c>
      <c r="S1715" t="s">
        <v>110</v>
      </c>
      <c r="T1715">
        <f>YEAR(Table1_1[[#This Row],[order_date]])</f>
        <v>2025</v>
      </c>
      <c r="U1715">
        <f>MONTH(Table1_1[[#This Row],[order_date]])</f>
        <v>8</v>
      </c>
      <c r="V1715" t="str">
        <f>TEXT(Table1_1[[#This Row],[order_date]],"mmm")</f>
        <v>Aug</v>
      </c>
      <c r="W1715" t="str">
        <f>"Q"&amp;ROUNDUP(MONTH(Table1_1[[#This Row],[order_date]])/3,0)</f>
        <v>Q3</v>
      </c>
      <c r="X1715" t="str">
        <f>TEXT(Table1_1[[#This Row],[order_date]],"yyyy-mm")</f>
        <v>2025-08</v>
      </c>
      <c r="Y1715">
        <f>IF(Table1_1[[#This Row],[ship_date]]="","",Table1_1[[#This Row],[ship_date]]-Table1_1[[#This Row],[order_date]])</f>
        <v>4</v>
      </c>
      <c r="Z1715">
        <f>ROUND(Table1_1[[#This Row],[profit]]/Table1_1[[#This Row],[sales_fix]]*100,2)</f>
        <v>19.48</v>
      </c>
    </row>
    <row r="1716" spans="1:26" x14ac:dyDescent="0.3">
      <c r="A1716" t="s">
        <v>1456</v>
      </c>
      <c r="B1716" s="1">
        <v>45708</v>
      </c>
      <c r="C1716" s="1">
        <v>45710</v>
      </c>
      <c r="D1716" t="s">
        <v>588</v>
      </c>
      <c r="E1716" t="s">
        <v>589</v>
      </c>
      <c r="F1716" t="s">
        <v>23</v>
      </c>
      <c r="G1716" t="s">
        <v>61</v>
      </c>
      <c r="H1716" t="s">
        <v>62</v>
      </c>
      <c r="I1716" t="s">
        <v>114</v>
      </c>
      <c r="J1716" t="s">
        <v>115</v>
      </c>
      <c r="K1716" t="s">
        <v>65</v>
      </c>
      <c r="L1716">
        <v>4</v>
      </c>
      <c r="M1716">
        <v>55000</v>
      </c>
      <c r="N1716">
        <v>15</v>
      </c>
      <c r="O1716">
        <v>187000</v>
      </c>
      <c r="P1716">
        <v>24596.58</v>
      </c>
      <c r="Q1716" t="s">
        <v>39</v>
      </c>
      <c r="R1716" t="s">
        <v>56</v>
      </c>
      <c r="S1716" t="s">
        <v>30</v>
      </c>
      <c r="T1716">
        <f>YEAR(Table1_1[[#This Row],[order_date]])</f>
        <v>2025</v>
      </c>
      <c r="U1716">
        <f>MONTH(Table1_1[[#This Row],[order_date]])</f>
        <v>2</v>
      </c>
      <c r="V1716" t="str">
        <f>TEXT(Table1_1[[#This Row],[order_date]],"mmm")</f>
        <v>Feb</v>
      </c>
      <c r="W1716" t="str">
        <f>"Q"&amp;ROUNDUP(MONTH(Table1_1[[#This Row],[order_date]])/3,0)</f>
        <v>Q1</v>
      </c>
      <c r="X1716" t="str">
        <f>TEXT(Table1_1[[#This Row],[order_date]],"yyyy-mm")</f>
        <v>2025-02</v>
      </c>
      <c r="Y1716">
        <f>IF(Table1_1[[#This Row],[ship_date]]="","",Table1_1[[#This Row],[ship_date]]-Table1_1[[#This Row],[order_date]])</f>
        <v>2</v>
      </c>
      <c r="Z1716">
        <f>ROUND(Table1_1[[#This Row],[profit]]/Table1_1[[#This Row],[sales_fix]]*100,2)</f>
        <v>13.15</v>
      </c>
    </row>
    <row r="1717" spans="1:26" x14ac:dyDescent="0.3">
      <c r="A1717" t="s">
        <v>2541</v>
      </c>
      <c r="B1717" s="1">
        <v>45389</v>
      </c>
      <c r="C1717" s="1">
        <v>45390</v>
      </c>
      <c r="D1717" t="s">
        <v>1398</v>
      </c>
      <c r="E1717" t="s">
        <v>1399</v>
      </c>
      <c r="F1717" t="s">
        <v>34</v>
      </c>
      <c r="G1717" t="s">
        <v>91</v>
      </c>
      <c r="H1717" t="s">
        <v>92</v>
      </c>
      <c r="I1717" t="s">
        <v>134</v>
      </c>
      <c r="J1717" t="s">
        <v>135</v>
      </c>
      <c r="K1717" t="s">
        <v>27</v>
      </c>
      <c r="L1717">
        <v>2</v>
      </c>
      <c r="M1717">
        <v>6000</v>
      </c>
      <c r="N1717">
        <v>10</v>
      </c>
      <c r="O1717">
        <v>10800</v>
      </c>
      <c r="P1717">
        <v>2704.37</v>
      </c>
      <c r="Q1717" t="s">
        <v>66</v>
      </c>
      <c r="R1717" t="s">
        <v>29</v>
      </c>
      <c r="S1717" t="s">
        <v>50</v>
      </c>
      <c r="T1717">
        <f>YEAR(Table1_1[[#This Row],[order_date]])</f>
        <v>2024</v>
      </c>
      <c r="U1717">
        <f>MONTH(Table1_1[[#This Row],[order_date]])</f>
        <v>4</v>
      </c>
      <c r="V1717" t="str">
        <f>TEXT(Table1_1[[#This Row],[order_date]],"mmm")</f>
        <v>Apr</v>
      </c>
      <c r="W1717" t="str">
        <f>"Q"&amp;ROUNDUP(MONTH(Table1_1[[#This Row],[order_date]])/3,0)</f>
        <v>Q2</v>
      </c>
      <c r="X1717" t="str">
        <f>TEXT(Table1_1[[#This Row],[order_date]],"yyyy-mm")</f>
        <v>2024-04</v>
      </c>
      <c r="Y1717">
        <f>IF(Table1_1[[#This Row],[ship_date]]="","",Table1_1[[#This Row],[ship_date]]-Table1_1[[#This Row],[order_date]])</f>
        <v>1</v>
      </c>
      <c r="Z1717">
        <f>ROUND(Table1_1[[#This Row],[profit]]/Table1_1[[#This Row],[sales_fix]]*100,2)</f>
        <v>25.04</v>
      </c>
    </row>
    <row r="1718" spans="1:26" x14ac:dyDescent="0.3">
      <c r="A1718" t="s">
        <v>1669</v>
      </c>
      <c r="B1718" s="1">
        <v>45892</v>
      </c>
      <c r="C1718" s="1">
        <v>45895</v>
      </c>
      <c r="D1718" t="s">
        <v>740</v>
      </c>
      <c r="E1718" t="s">
        <v>741</v>
      </c>
      <c r="F1718" t="s">
        <v>55</v>
      </c>
      <c r="G1718" t="s">
        <v>35</v>
      </c>
      <c r="H1718" t="s">
        <v>85</v>
      </c>
      <c r="I1718" t="s">
        <v>114</v>
      </c>
      <c r="J1718" t="s">
        <v>115</v>
      </c>
      <c r="K1718" t="s">
        <v>65</v>
      </c>
      <c r="L1718">
        <v>1</v>
      </c>
      <c r="M1718">
        <v>55000</v>
      </c>
      <c r="N1718">
        <v>20</v>
      </c>
      <c r="O1718">
        <v>44000</v>
      </c>
      <c r="P1718">
        <v>6858.79</v>
      </c>
      <c r="Q1718" t="s">
        <v>39</v>
      </c>
      <c r="R1718" t="s">
        <v>56</v>
      </c>
      <c r="S1718" t="s">
        <v>86</v>
      </c>
      <c r="T1718">
        <f>YEAR(Table1_1[[#This Row],[order_date]])</f>
        <v>2025</v>
      </c>
      <c r="U1718">
        <f>MONTH(Table1_1[[#This Row],[order_date]])</f>
        <v>8</v>
      </c>
      <c r="V1718" t="str">
        <f>TEXT(Table1_1[[#This Row],[order_date]],"mmm")</f>
        <v>Aug</v>
      </c>
      <c r="W1718" t="str">
        <f>"Q"&amp;ROUNDUP(MONTH(Table1_1[[#This Row],[order_date]])/3,0)</f>
        <v>Q3</v>
      </c>
      <c r="X1718" t="str">
        <f>TEXT(Table1_1[[#This Row],[order_date]],"yyyy-mm")</f>
        <v>2025-08</v>
      </c>
      <c r="Y1718">
        <f>IF(Table1_1[[#This Row],[ship_date]]="","",Table1_1[[#This Row],[ship_date]]-Table1_1[[#This Row],[order_date]])</f>
        <v>3</v>
      </c>
      <c r="Z1718">
        <f>ROUND(Table1_1[[#This Row],[profit]]/Table1_1[[#This Row],[sales_fix]]*100,2)</f>
        <v>15.59</v>
      </c>
    </row>
    <row r="1719" spans="1:26" x14ac:dyDescent="0.3">
      <c r="A1719" t="s">
        <v>2941</v>
      </c>
      <c r="B1719" s="1">
        <v>45678</v>
      </c>
      <c r="C1719" s="1">
        <v>45683</v>
      </c>
      <c r="D1719" t="s">
        <v>491</v>
      </c>
      <c r="E1719" t="s">
        <v>492</v>
      </c>
      <c r="F1719" t="s">
        <v>34</v>
      </c>
      <c r="G1719" t="s">
        <v>44</v>
      </c>
      <c r="H1719" t="s">
        <v>330</v>
      </c>
      <c r="I1719" t="s">
        <v>71</v>
      </c>
      <c r="J1719" t="s">
        <v>72</v>
      </c>
      <c r="K1719" t="s">
        <v>73</v>
      </c>
      <c r="L1719">
        <v>1</v>
      </c>
      <c r="M1719">
        <v>3500</v>
      </c>
      <c r="N1719">
        <v>15</v>
      </c>
      <c r="O1719">
        <v>2975</v>
      </c>
      <c r="P1719">
        <v>934.04</v>
      </c>
      <c r="Q1719" t="s">
        <v>156</v>
      </c>
      <c r="R1719" t="s">
        <v>49</v>
      </c>
      <c r="S1719" t="s">
        <v>40</v>
      </c>
      <c r="T1719">
        <f>YEAR(Table1_1[[#This Row],[order_date]])</f>
        <v>2025</v>
      </c>
      <c r="U1719">
        <f>MONTH(Table1_1[[#This Row],[order_date]])</f>
        <v>1</v>
      </c>
      <c r="V1719" t="str">
        <f>TEXT(Table1_1[[#This Row],[order_date]],"mmm")</f>
        <v>Jan</v>
      </c>
      <c r="W1719" t="str">
        <f>"Q"&amp;ROUNDUP(MONTH(Table1_1[[#This Row],[order_date]])/3,0)</f>
        <v>Q1</v>
      </c>
      <c r="X1719" t="str">
        <f>TEXT(Table1_1[[#This Row],[order_date]],"yyyy-mm")</f>
        <v>2025-01</v>
      </c>
      <c r="Y1719">
        <f>IF(Table1_1[[#This Row],[ship_date]]="","",Table1_1[[#This Row],[ship_date]]-Table1_1[[#This Row],[order_date]])</f>
        <v>5</v>
      </c>
      <c r="Z1719">
        <f>ROUND(Table1_1[[#This Row],[profit]]/Table1_1[[#This Row],[sales_fix]]*100,2)</f>
        <v>31.4</v>
      </c>
    </row>
    <row r="1720" spans="1:26" x14ac:dyDescent="0.3">
      <c r="A1720" t="s">
        <v>2732</v>
      </c>
      <c r="B1720" s="1">
        <v>45717</v>
      </c>
      <c r="C1720" s="1">
        <v>45724</v>
      </c>
      <c r="D1720" t="s">
        <v>421</v>
      </c>
      <c r="E1720" t="s">
        <v>422</v>
      </c>
      <c r="F1720" t="s">
        <v>34</v>
      </c>
      <c r="G1720" t="s">
        <v>61</v>
      </c>
      <c r="H1720" t="s">
        <v>211</v>
      </c>
      <c r="I1720" t="s">
        <v>71</v>
      </c>
      <c r="J1720" t="s">
        <v>72</v>
      </c>
      <c r="K1720" t="s">
        <v>73</v>
      </c>
      <c r="L1720">
        <v>5</v>
      </c>
      <c r="M1720">
        <v>3500</v>
      </c>
      <c r="N1720">
        <v>10</v>
      </c>
      <c r="O1720">
        <v>15750</v>
      </c>
      <c r="P1720">
        <v>4899.12</v>
      </c>
      <c r="Q1720" t="s">
        <v>74</v>
      </c>
      <c r="R1720" t="s">
        <v>56</v>
      </c>
      <c r="S1720" t="s">
        <v>110</v>
      </c>
      <c r="T1720">
        <f>YEAR(Table1_1[[#This Row],[order_date]])</f>
        <v>2025</v>
      </c>
      <c r="U1720">
        <f>MONTH(Table1_1[[#This Row],[order_date]])</f>
        <v>3</v>
      </c>
      <c r="V1720" t="str">
        <f>TEXT(Table1_1[[#This Row],[order_date]],"mmm")</f>
        <v>Mar</v>
      </c>
      <c r="W1720" t="str">
        <f>"Q"&amp;ROUNDUP(MONTH(Table1_1[[#This Row],[order_date]])/3,0)</f>
        <v>Q1</v>
      </c>
      <c r="X1720" t="str">
        <f>TEXT(Table1_1[[#This Row],[order_date]],"yyyy-mm")</f>
        <v>2025-03</v>
      </c>
      <c r="Y1720">
        <f>IF(Table1_1[[#This Row],[ship_date]]="","",Table1_1[[#This Row],[ship_date]]-Table1_1[[#This Row],[order_date]])</f>
        <v>7</v>
      </c>
      <c r="Z1720">
        <f>ROUND(Table1_1[[#This Row],[profit]]/Table1_1[[#This Row],[sales_fix]]*100,2)</f>
        <v>31.11</v>
      </c>
    </row>
    <row r="1721" spans="1:26" x14ac:dyDescent="0.3">
      <c r="A1721" t="s">
        <v>1815</v>
      </c>
      <c r="B1721" s="1">
        <v>45370</v>
      </c>
      <c r="C1721" s="1">
        <v>45375</v>
      </c>
      <c r="D1721" t="s">
        <v>457</v>
      </c>
      <c r="E1721" t="s">
        <v>458</v>
      </c>
      <c r="F1721" t="s">
        <v>55</v>
      </c>
      <c r="G1721" t="s">
        <v>44</v>
      </c>
      <c r="H1721" t="s">
        <v>24</v>
      </c>
      <c r="I1721" t="s">
        <v>114</v>
      </c>
      <c r="J1721" t="s">
        <v>115</v>
      </c>
      <c r="K1721" t="s">
        <v>65</v>
      </c>
      <c r="L1721">
        <v>1</v>
      </c>
      <c r="M1721">
        <v>55000</v>
      </c>
      <c r="N1721">
        <v>0</v>
      </c>
      <c r="O1721">
        <v>55000</v>
      </c>
      <c r="P1721">
        <v>10131.709999999999</v>
      </c>
      <c r="Q1721" t="s">
        <v>66</v>
      </c>
      <c r="R1721" t="s">
        <v>56</v>
      </c>
      <c r="S1721" t="s">
        <v>110</v>
      </c>
      <c r="T1721">
        <f>YEAR(Table1_1[[#This Row],[order_date]])</f>
        <v>2024</v>
      </c>
      <c r="U1721">
        <f>MONTH(Table1_1[[#This Row],[order_date]])</f>
        <v>3</v>
      </c>
      <c r="V1721" t="str">
        <f>TEXT(Table1_1[[#This Row],[order_date]],"mmm")</f>
        <v>Mar</v>
      </c>
      <c r="W1721" t="str">
        <f>"Q"&amp;ROUNDUP(MONTH(Table1_1[[#This Row],[order_date]])/3,0)</f>
        <v>Q1</v>
      </c>
      <c r="X1721" t="str">
        <f>TEXT(Table1_1[[#This Row],[order_date]],"yyyy-mm")</f>
        <v>2024-03</v>
      </c>
      <c r="Y1721">
        <f>IF(Table1_1[[#This Row],[ship_date]]="","",Table1_1[[#This Row],[ship_date]]-Table1_1[[#This Row],[order_date]])</f>
        <v>5</v>
      </c>
      <c r="Z1721">
        <f>ROUND(Table1_1[[#This Row],[profit]]/Table1_1[[#This Row],[sales_fix]]*100,2)</f>
        <v>18.420000000000002</v>
      </c>
    </row>
    <row r="1722" spans="1:26" x14ac:dyDescent="0.3">
      <c r="A1722" t="s">
        <v>587</v>
      </c>
      <c r="B1722" s="1">
        <v>45698</v>
      </c>
      <c r="C1722" s="1">
        <v>45701</v>
      </c>
      <c r="D1722" t="s">
        <v>588</v>
      </c>
      <c r="E1722" t="s">
        <v>589</v>
      </c>
      <c r="F1722" t="s">
        <v>23</v>
      </c>
      <c r="G1722" t="s">
        <v>61</v>
      </c>
      <c r="H1722" t="s">
        <v>62</v>
      </c>
      <c r="I1722" t="s">
        <v>103</v>
      </c>
      <c r="J1722" t="s">
        <v>104</v>
      </c>
      <c r="K1722" t="s">
        <v>65</v>
      </c>
      <c r="L1722">
        <v>2</v>
      </c>
      <c r="M1722">
        <v>8000</v>
      </c>
      <c r="N1722">
        <v>0</v>
      </c>
      <c r="O1722">
        <v>16000</v>
      </c>
      <c r="P1722">
        <v>4140.8999999999996</v>
      </c>
      <c r="Q1722" t="s">
        <v>28</v>
      </c>
      <c r="R1722" t="s">
        <v>29</v>
      </c>
      <c r="S1722" t="s">
        <v>50</v>
      </c>
      <c r="T1722">
        <f>YEAR(Table1_1[[#This Row],[order_date]])</f>
        <v>2025</v>
      </c>
      <c r="U1722">
        <f>MONTH(Table1_1[[#This Row],[order_date]])</f>
        <v>2</v>
      </c>
      <c r="V1722" t="str">
        <f>TEXT(Table1_1[[#This Row],[order_date]],"mmm")</f>
        <v>Feb</v>
      </c>
      <c r="W1722" t="str">
        <f>"Q"&amp;ROUNDUP(MONTH(Table1_1[[#This Row],[order_date]])/3,0)</f>
        <v>Q1</v>
      </c>
      <c r="X1722" t="str">
        <f>TEXT(Table1_1[[#This Row],[order_date]],"yyyy-mm")</f>
        <v>2025-02</v>
      </c>
      <c r="Y1722">
        <f>IF(Table1_1[[#This Row],[ship_date]]="","",Table1_1[[#This Row],[ship_date]]-Table1_1[[#This Row],[order_date]])</f>
        <v>3</v>
      </c>
      <c r="Z1722">
        <f>ROUND(Table1_1[[#This Row],[profit]]/Table1_1[[#This Row],[sales_fix]]*100,2)</f>
        <v>25.88</v>
      </c>
    </row>
    <row r="1723" spans="1:26" x14ac:dyDescent="0.3">
      <c r="A1723" t="s">
        <v>668</v>
      </c>
      <c r="B1723" s="1">
        <v>45913</v>
      </c>
      <c r="C1723" s="1">
        <v>45921</v>
      </c>
      <c r="D1723" t="s">
        <v>670</v>
      </c>
      <c r="E1723" t="s">
        <v>1308</v>
      </c>
      <c r="F1723" t="s">
        <v>23</v>
      </c>
      <c r="G1723" t="s">
        <v>91</v>
      </c>
      <c r="H1723" t="s">
        <v>177</v>
      </c>
      <c r="I1723" t="s">
        <v>103</v>
      </c>
      <c r="J1723" t="s">
        <v>104</v>
      </c>
      <c r="K1723" t="s">
        <v>65</v>
      </c>
      <c r="L1723">
        <v>2</v>
      </c>
      <c r="M1723">
        <v>8000</v>
      </c>
      <c r="N1723">
        <v>0</v>
      </c>
      <c r="O1723">
        <v>16000</v>
      </c>
      <c r="P1723">
        <v>2917.6</v>
      </c>
      <c r="Q1723" t="s">
        <v>74</v>
      </c>
      <c r="R1723" t="s">
        <v>49</v>
      </c>
      <c r="S1723" t="s">
        <v>110</v>
      </c>
      <c r="T1723">
        <f>YEAR(Table1_1[[#This Row],[order_date]])</f>
        <v>2025</v>
      </c>
      <c r="U1723">
        <f>MONTH(Table1_1[[#This Row],[order_date]])</f>
        <v>9</v>
      </c>
      <c r="V1723" t="str">
        <f>TEXT(Table1_1[[#This Row],[order_date]],"mmm")</f>
        <v>Sep</v>
      </c>
      <c r="W1723" t="str">
        <f>"Q"&amp;ROUNDUP(MONTH(Table1_1[[#This Row],[order_date]])/3,0)</f>
        <v>Q3</v>
      </c>
      <c r="X1723" t="str">
        <f>TEXT(Table1_1[[#This Row],[order_date]],"yyyy-mm")</f>
        <v>2025-09</v>
      </c>
      <c r="Y1723">
        <f>IF(Table1_1[[#This Row],[ship_date]]="","",Table1_1[[#This Row],[ship_date]]-Table1_1[[#This Row],[order_date]])</f>
        <v>8</v>
      </c>
      <c r="Z1723">
        <f>ROUND(Table1_1[[#This Row],[profit]]/Table1_1[[#This Row],[sales_fix]]*100,2)</f>
        <v>18.239999999999998</v>
      </c>
    </row>
    <row r="1724" spans="1:26" x14ac:dyDescent="0.3">
      <c r="A1724" t="s">
        <v>2520</v>
      </c>
      <c r="B1724" s="1">
        <v>45386</v>
      </c>
      <c r="C1724" s="1">
        <v>45391</v>
      </c>
      <c r="D1724" t="s">
        <v>1376</v>
      </c>
      <c r="E1724" t="s">
        <v>1377</v>
      </c>
      <c r="F1724" t="s">
        <v>34</v>
      </c>
      <c r="G1724" t="s">
        <v>61</v>
      </c>
      <c r="H1724" t="s">
        <v>125</v>
      </c>
      <c r="I1724" t="s">
        <v>63</v>
      </c>
      <c r="J1724" t="s">
        <v>64</v>
      </c>
      <c r="K1724" t="s">
        <v>65</v>
      </c>
      <c r="L1724">
        <v>1</v>
      </c>
      <c r="M1724">
        <v>25000</v>
      </c>
      <c r="N1724">
        <v>0</v>
      </c>
      <c r="O1724">
        <v>25000</v>
      </c>
      <c r="P1724">
        <v>3668.13</v>
      </c>
      <c r="Q1724" t="s">
        <v>121</v>
      </c>
      <c r="R1724" t="s">
        <v>56</v>
      </c>
      <c r="S1724" t="s">
        <v>40</v>
      </c>
      <c r="T1724">
        <f>YEAR(Table1_1[[#This Row],[order_date]])</f>
        <v>2024</v>
      </c>
      <c r="U1724">
        <f>MONTH(Table1_1[[#This Row],[order_date]])</f>
        <v>4</v>
      </c>
      <c r="V1724" t="str">
        <f>TEXT(Table1_1[[#This Row],[order_date]],"mmm")</f>
        <v>Apr</v>
      </c>
      <c r="W1724" t="str">
        <f>"Q"&amp;ROUNDUP(MONTH(Table1_1[[#This Row],[order_date]])/3,0)</f>
        <v>Q2</v>
      </c>
      <c r="X1724" t="str">
        <f>TEXT(Table1_1[[#This Row],[order_date]],"yyyy-mm")</f>
        <v>2024-04</v>
      </c>
      <c r="Y1724">
        <f>IF(Table1_1[[#This Row],[ship_date]]="","",Table1_1[[#This Row],[ship_date]]-Table1_1[[#This Row],[order_date]])</f>
        <v>5</v>
      </c>
      <c r="Z1724">
        <f>ROUND(Table1_1[[#This Row],[profit]]/Table1_1[[#This Row],[sales_fix]]*100,2)</f>
        <v>14.67</v>
      </c>
    </row>
    <row r="1725" spans="1:26" x14ac:dyDescent="0.3">
      <c r="A1725" t="s">
        <v>2894</v>
      </c>
      <c r="B1725" s="1">
        <v>45335</v>
      </c>
      <c r="C1725" s="1">
        <v>45341</v>
      </c>
      <c r="D1725" t="s">
        <v>373</v>
      </c>
      <c r="E1725" t="s">
        <v>374</v>
      </c>
      <c r="F1725" t="s">
        <v>55</v>
      </c>
      <c r="G1725" t="s">
        <v>35</v>
      </c>
      <c r="H1725" t="s">
        <v>85</v>
      </c>
      <c r="I1725" t="s">
        <v>71</v>
      </c>
      <c r="J1725" t="s">
        <v>72</v>
      </c>
      <c r="K1725" t="s">
        <v>73</v>
      </c>
      <c r="L1725">
        <v>4</v>
      </c>
      <c r="M1725">
        <v>3500</v>
      </c>
      <c r="N1725">
        <v>15</v>
      </c>
      <c r="O1725">
        <v>11900</v>
      </c>
      <c r="P1725">
        <v>2697.97</v>
      </c>
      <c r="Q1725" t="s">
        <v>121</v>
      </c>
      <c r="R1725" t="s">
        <v>49</v>
      </c>
      <c r="S1725" t="s">
        <v>30</v>
      </c>
      <c r="T1725">
        <f>YEAR(Table1_1[[#This Row],[order_date]])</f>
        <v>2024</v>
      </c>
      <c r="U1725">
        <f>MONTH(Table1_1[[#This Row],[order_date]])</f>
        <v>2</v>
      </c>
      <c r="V1725" t="str">
        <f>TEXT(Table1_1[[#This Row],[order_date]],"mmm")</f>
        <v>Feb</v>
      </c>
      <c r="W1725" t="str">
        <f>"Q"&amp;ROUNDUP(MONTH(Table1_1[[#This Row],[order_date]])/3,0)</f>
        <v>Q1</v>
      </c>
      <c r="X1725" t="str">
        <f>TEXT(Table1_1[[#This Row],[order_date]],"yyyy-mm")</f>
        <v>2024-02</v>
      </c>
      <c r="Y1725">
        <f>IF(Table1_1[[#This Row],[ship_date]]="","",Table1_1[[#This Row],[ship_date]]-Table1_1[[#This Row],[order_date]])</f>
        <v>6</v>
      </c>
      <c r="Z1725">
        <f>ROUND(Table1_1[[#This Row],[profit]]/Table1_1[[#This Row],[sales_fix]]*100,2)</f>
        <v>22.67</v>
      </c>
    </row>
    <row r="1726" spans="1:26" x14ac:dyDescent="0.3">
      <c r="A1726" t="s">
        <v>2079</v>
      </c>
      <c r="B1726" s="1">
        <v>45339</v>
      </c>
      <c r="C1726" s="1">
        <v>45342</v>
      </c>
      <c r="D1726" t="s">
        <v>2080</v>
      </c>
      <c r="E1726" t="s">
        <v>2081</v>
      </c>
      <c r="F1726" t="s">
        <v>34</v>
      </c>
      <c r="G1726" t="s">
        <v>91</v>
      </c>
      <c r="H1726" t="s">
        <v>120</v>
      </c>
      <c r="I1726" t="s">
        <v>134</v>
      </c>
      <c r="J1726" t="s">
        <v>135</v>
      </c>
      <c r="K1726" t="s">
        <v>27</v>
      </c>
      <c r="L1726">
        <v>2</v>
      </c>
      <c r="M1726">
        <v>6000</v>
      </c>
      <c r="N1726">
        <v>0</v>
      </c>
      <c r="O1726">
        <v>12000</v>
      </c>
      <c r="P1726">
        <v>2150.2199999999998</v>
      </c>
      <c r="Q1726" t="s">
        <v>28</v>
      </c>
      <c r="R1726" t="s">
        <v>29</v>
      </c>
      <c r="S1726" t="s">
        <v>86</v>
      </c>
      <c r="T1726">
        <f>YEAR(Table1_1[[#This Row],[order_date]])</f>
        <v>2024</v>
      </c>
      <c r="U1726">
        <f>MONTH(Table1_1[[#This Row],[order_date]])</f>
        <v>2</v>
      </c>
      <c r="V1726" t="str">
        <f>TEXT(Table1_1[[#This Row],[order_date]],"mmm")</f>
        <v>Feb</v>
      </c>
      <c r="W1726" t="str">
        <f>"Q"&amp;ROUNDUP(MONTH(Table1_1[[#This Row],[order_date]])/3,0)</f>
        <v>Q1</v>
      </c>
      <c r="X1726" t="str">
        <f>TEXT(Table1_1[[#This Row],[order_date]],"yyyy-mm")</f>
        <v>2024-02</v>
      </c>
      <c r="Y1726">
        <f>IF(Table1_1[[#This Row],[ship_date]]="","",Table1_1[[#This Row],[ship_date]]-Table1_1[[#This Row],[order_date]])</f>
        <v>3</v>
      </c>
      <c r="Z1726">
        <f>ROUND(Table1_1[[#This Row],[profit]]/Table1_1[[#This Row],[sales_fix]]*100,2)</f>
        <v>17.920000000000002</v>
      </c>
    </row>
    <row r="1727" spans="1:26" x14ac:dyDescent="0.3">
      <c r="A1727" t="s">
        <v>2306</v>
      </c>
      <c r="B1727" s="1">
        <v>45824</v>
      </c>
      <c r="C1727" s="1">
        <v>45826</v>
      </c>
      <c r="D1727" t="s">
        <v>206</v>
      </c>
      <c r="E1727" t="s">
        <v>207</v>
      </c>
      <c r="F1727" t="s">
        <v>55</v>
      </c>
      <c r="G1727" t="s">
        <v>44</v>
      </c>
      <c r="H1727" t="s">
        <v>24</v>
      </c>
      <c r="I1727" t="s">
        <v>114</v>
      </c>
      <c r="J1727" t="s">
        <v>115</v>
      </c>
      <c r="K1727" t="s">
        <v>65</v>
      </c>
      <c r="L1727">
        <v>4</v>
      </c>
      <c r="M1727">
        <v>55000</v>
      </c>
      <c r="N1727">
        <v>0</v>
      </c>
      <c r="O1727">
        <v>220000</v>
      </c>
      <c r="P1727">
        <v>39600</v>
      </c>
      <c r="Q1727" t="s">
        <v>66</v>
      </c>
      <c r="R1727" t="s">
        <v>49</v>
      </c>
      <c r="S1727" t="s">
        <v>50</v>
      </c>
      <c r="T1727">
        <f>YEAR(Table1_1[[#This Row],[order_date]])</f>
        <v>2025</v>
      </c>
      <c r="U1727">
        <f>MONTH(Table1_1[[#This Row],[order_date]])</f>
        <v>6</v>
      </c>
      <c r="V1727" t="str">
        <f>TEXT(Table1_1[[#This Row],[order_date]],"mmm")</f>
        <v>Jun</v>
      </c>
      <c r="W1727" t="str">
        <f>"Q"&amp;ROUNDUP(MONTH(Table1_1[[#This Row],[order_date]])/3,0)</f>
        <v>Q2</v>
      </c>
      <c r="X1727" t="str">
        <f>TEXT(Table1_1[[#This Row],[order_date]],"yyyy-mm")</f>
        <v>2025-06</v>
      </c>
      <c r="Y1727">
        <f>IF(Table1_1[[#This Row],[ship_date]]="","",Table1_1[[#This Row],[ship_date]]-Table1_1[[#This Row],[order_date]])</f>
        <v>2</v>
      </c>
      <c r="Z1727">
        <f>ROUND(Table1_1[[#This Row],[profit]]/Table1_1[[#This Row],[sales_fix]]*100,2)</f>
        <v>18</v>
      </c>
    </row>
    <row r="1728" spans="1:26" x14ac:dyDescent="0.3">
      <c r="A1728" t="s">
        <v>1516</v>
      </c>
      <c r="B1728" s="1">
        <v>45620</v>
      </c>
      <c r="C1728" s="1">
        <v>45625</v>
      </c>
      <c r="D1728" t="s">
        <v>509</v>
      </c>
      <c r="E1728" t="s">
        <v>510</v>
      </c>
      <c r="F1728" t="s">
        <v>23</v>
      </c>
      <c r="G1728" t="s">
        <v>91</v>
      </c>
      <c r="H1728" t="s">
        <v>120</v>
      </c>
      <c r="I1728" t="s">
        <v>63</v>
      </c>
      <c r="J1728" t="s">
        <v>64</v>
      </c>
      <c r="K1728" t="s">
        <v>65</v>
      </c>
      <c r="L1728">
        <v>1</v>
      </c>
      <c r="M1728">
        <v>25000</v>
      </c>
      <c r="N1728">
        <v>0</v>
      </c>
      <c r="O1728">
        <v>25000</v>
      </c>
      <c r="P1728">
        <v>3776.39</v>
      </c>
      <c r="Q1728" t="s">
        <v>74</v>
      </c>
      <c r="R1728" t="s">
        <v>49</v>
      </c>
      <c r="S1728" t="s">
        <v>86</v>
      </c>
      <c r="T1728">
        <f>YEAR(Table1_1[[#This Row],[order_date]])</f>
        <v>2024</v>
      </c>
      <c r="U1728">
        <f>MONTH(Table1_1[[#This Row],[order_date]])</f>
        <v>11</v>
      </c>
      <c r="V1728" t="str">
        <f>TEXT(Table1_1[[#This Row],[order_date]],"mmm")</f>
        <v>Nov</v>
      </c>
      <c r="W1728" t="str">
        <f>"Q"&amp;ROUNDUP(MONTH(Table1_1[[#This Row],[order_date]])/3,0)</f>
        <v>Q4</v>
      </c>
      <c r="X1728" t="str">
        <f>TEXT(Table1_1[[#This Row],[order_date]],"yyyy-mm")</f>
        <v>2024-11</v>
      </c>
      <c r="Y1728">
        <f>IF(Table1_1[[#This Row],[ship_date]]="","",Table1_1[[#This Row],[ship_date]]-Table1_1[[#This Row],[order_date]])</f>
        <v>5</v>
      </c>
      <c r="Z1728">
        <f>ROUND(Table1_1[[#This Row],[profit]]/Table1_1[[#This Row],[sales_fix]]*100,2)</f>
        <v>15.11</v>
      </c>
    </row>
    <row r="1729" spans="1:26" x14ac:dyDescent="0.3">
      <c r="A1729" t="s">
        <v>1023</v>
      </c>
      <c r="B1729" s="1">
        <v>45855</v>
      </c>
      <c r="C1729" s="1">
        <v>45863</v>
      </c>
      <c r="D1729" t="s">
        <v>575</v>
      </c>
      <c r="E1729" t="s">
        <v>836</v>
      </c>
      <c r="F1729" t="s">
        <v>34</v>
      </c>
      <c r="G1729" t="s">
        <v>91</v>
      </c>
      <c r="H1729" t="s">
        <v>120</v>
      </c>
      <c r="I1729" t="s">
        <v>46</v>
      </c>
      <c r="J1729" t="s">
        <v>47</v>
      </c>
      <c r="K1729" t="s">
        <v>48</v>
      </c>
      <c r="L1729">
        <v>1</v>
      </c>
      <c r="M1729">
        <v>180</v>
      </c>
      <c r="N1729">
        <v>10</v>
      </c>
      <c r="O1729">
        <v>162</v>
      </c>
      <c r="P1729">
        <v>54.2</v>
      </c>
      <c r="Q1729" t="s">
        <v>28</v>
      </c>
      <c r="R1729" t="s">
        <v>56</v>
      </c>
      <c r="S1729" t="s">
        <v>50</v>
      </c>
      <c r="T1729">
        <f>YEAR(Table1_1[[#This Row],[order_date]])</f>
        <v>2025</v>
      </c>
      <c r="U1729">
        <f>MONTH(Table1_1[[#This Row],[order_date]])</f>
        <v>7</v>
      </c>
      <c r="V1729" t="str">
        <f>TEXT(Table1_1[[#This Row],[order_date]],"mmm")</f>
        <v>Jul</v>
      </c>
      <c r="W1729" t="str">
        <f>"Q"&amp;ROUNDUP(MONTH(Table1_1[[#This Row],[order_date]])/3,0)</f>
        <v>Q3</v>
      </c>
      <c r="X1729" t="str">
        <f>TEXT(Table1_1[[#This Row],[order_date]],"yyyy-mm")</f>
        <v>2025-07</v>
      </c>
      <c r="Y1729">
        <f>IF(Table1_1[[#This Row],[ship_date]]="","",Table1_1[[#This Row],[ship_date]]-Table1_1[[#This Row],[order_date]])</f>
        <v>8</v>
      </c>
      <c r="Z1729">
        <f>ROUND(Table1_1[[#This Row],[profit]]/Table1_1[[#This Row],[sales_fix]]*100,2)</f>
        <v>33.46</v>
      </c>
    </row>
    <row r="1730" spans="1:26" x14ac:dyDescent="0.3">
      <c r="A1730" t="s">
        <v>901</v>
      </c>
      <c r="B1730" s="1">
        <v>45562</v>
      </c>
      <c r="C1730" s="1">
        <v>45567</v>
      </c>
      <c r="D1730" t="s">
        <v>643</v>
      </c>
      <c r="E1730" t="s">
        <v>644</v>
      </c>
      <c r="F1730" t="s">
        <v>34</v>
      </c>
      <c r="G1730" t="s">
        <v>61</v>
      </c>
      <c r="H1730" t="s">
        <v>78</v>
      </c>
      <c r="I1730" t="s">
        <v>46</v>
      </c>
      <c r="J1730" t="s">
        <v>47</v>
      </c>
      <c r="K1730" t="s">
        <v>48</v>
      </c>
      <c r="L1730">
        <v>1</v>
      </c>
      <c r="M1730">
        <v>180</v>
      </c>
      <c r="N1730">
        <v>0</v>
      </c>
      <c r="O1730">
        <v>180</v>
      </c>
      <c r="P1730">
        <v>60.45</v>
      </c>
      <c r="Q1730" t="s">
        <v>39</v>
      </c>
      <c r="R1730" t="s">
        <v>29</v>
      </c>
      <c r="S1730" t="s">
        <v>40</v>
      </c>
      <c r="T1730">
        <f>YEAR(Table1_1[[#This Row],[order_date]])</f>
        <v>2024</v>
      </c>
      <c r="U1730">
        <f>MONTH(Table1_1[[#This Row],[order_date]])</f>
        <v>9</v>
      </c>
      <c r="V1730" t="str">
        <f>TEXT(Table1_1[[#This Row],[order_date]],"mmm")</f>
        <v>Sep</v>
      </c>
      <c r="W1730" t="str">
        <f>"Q"&amp;ROUNDUP(MONTH(Table1_1[[#This Row],[order_date]])/3,0)</f>
        <v>Q3</v>
      </c>
      <c r="X1730" t="str">
        <f>TEXT(Table1_1[[#This Row],[order_date]],"yyyy-mm")</f>
        <v>2024-09</v>
      </c>
      <c r="Y1730">
        <f>IF(Table1_1[[#This Row],[ship_date]]="","",Table1_1[[#This Row],[ship_date]]-Table1_1[[#This Row],[order_date]])</f>
        <v>5</v>
      </c>
      <c r="Z1730">
        <f>ROUND(Table1_1[[#This Row],[profit]]/Table1_1[[#This Row],[sales_fix]]*100,2)</f>
        <v>33.58</v>
      </c>
    </row>
    <row r="1731" spans="1:26" x14ac:dyDescent="0.3">
      <c r="A1731" t="s">
        <v>2020</v>
      </c>
      <c r="B1731" s="1">
        <v>45642</v>
      </c>
      <c r="C1731" s="1">
        <v>45645</v>
      </c>
      <c r="D1731" t="s">
        <v>578</v>
      </c>
      <c r="E1731" t="s">
        <v>579</v>
      </c>
      <c r="F1731" t="s">
        <v>23</v>
      </c>
      <c r="G1731" t="s">
        <v>91</v>
      </c>
      <c r="H1731" t="s">
        <v>177</v>
      </c>
      <c r="I1731" t="s">
        <v>103</v>
      </c>
      <c r="J1731" t="s">
        <v>104</v>
      </c>
      <c r="K1731" t="s">
        <v>65</v>
      </c>
      <c r="L1731">
        <v>2</v>
      </c>
      <c r="M1731">
        <v>8000</v>
      </c>
      <c r="N1731">
        <v>15</v>
      </c>
      <c r="O1731">
        <v>13600</v>
      </c>
      <c r="P1731">
        <v>3400</v>
      </c>
      <c r="Q1731" t="s">
        <v>28</v>
      </c>
      <c r="R1731" t="s">
        <v>29</v>
      </c>
      <c r="S1731" t="s">
        <v>50</v>
      </c>
      <c r="T1731">
        <f>YEAR(Table1_1[[#This Row],[order_date]])</f>
        <v>2024</v>
      </c>
      <c r="U1731">
        <f>MONTH(Table1_1[[#This Row],[order_date]])</f>
        <v>12</v>
      </c>
      <c r="V1731" t="str">
        <f>TEXT(Table1_1[[#This Row],[order_date]],"mmm")</f>
        <v>Dec</v>
      </c>
      <c r="W1731" t="str">
        <f>"Q"&amp;ROUNDUP(MONTH(Table1_1[[#This Row],[order_date]])/3,0)</f>
        <v>Q4</v>
      </c>
      <c r="X1731" t="str">
        <f>TEXT(Table1_1[[#This Row],[order_date]],"yyyy-mm")</f>
        <v>2024-12</v>
      </c>
      <c r="Y1731">
        <f>IF(Table1_1[[#This Row],[ship_date]]="","",Table1_1[[#This Row],[ship_date]]-Table1_1[[#This Row],[order_date]])</f>
        <v>3</v>
      </c>
      <c r="Z1731">
        <f>ROUND(Table1_1[[#This Row],[profit]]/Table1_1[[#This Row],[sales_fix]]*100,2)</f>
        <v>25</v>
      </c>
    </row>
    <row r="1732" spans="1:26" x14ac:dyDescent="0.3">
      <c r="A1732" t="s">
        <v>1117</v>
      </c>
      <c r="B1732" s="1">
        <v>45675</v>
      </c>
      <c r="C1732" s="1">
        <v>45681</v>
      </c>
      <c r="D1732" t="s">
        <v>59</v>
      </c>
      <c r="E1732" t="s">
        <v>60</v>
      </c>
      <c r="F1732" t="s">
        <v>23</v>
      </c>
      <c r="G1732" t="s">
        <v>61</v>
      </c>
      <c r="H1732" t="s">
        <v>62</v>
      </c>
      <c r="I1732" t="s">
        <v>126</v>
      </c>
      <c r="J1732" t="s">
        <v>127</v>
      </c>
      <c r="K1732" t="s">
        <v>95</v>
      </c>
      <c r="L1732">
        <v>2</v>
      </c>
      <c r="M1732">
        <v>600</v>
      </c>
      <c r="N1732">
        <v>0</v>
      </c>
      <c r="O1732">
        <v>1200</v>
      </c>
      <c r="P1732">
        <v>328.94</v>
      </c>
      <c r="Q1732" t="s">
        <v>28</v>
      </c>
      <c r="R1732" t="s">
        <v>56</v>
      </c>
      <c r="S1732" t="s">
        <v>86</v>
      </c>
      <c r="T1732">
        <f>YEAR(Table1_1[[#This Row],[order_date]])</f>
        <v>2025</v>
      </c>
      <c r="U1732">
        <f>MONTH(Table1_1[[#This Row],[order_date]])</f>
        <v>1</v>
      </c>
      <c r="V1732" t="str">
        <f>TEXT(Table1_1[[#This Row],[order_date]],"mmm")</f>
        <v>Jan</v>
      </c>
      <c r="W1732" t="str">
        <f>"Q"&amp;ROUNDUP(MONTH(Table1_1[[#This Row],[order_date]])/3,0)</f>
        <v>Q1</v>
      </c>
      <c r="X1732" t="str">
        <f>TEXT(Table1_1[[#This Row],[order_date]],"yyyy-mm")</f>
        <v>2025-01</v>
      </c>
      <c r="Y1732">
        <f>IF(Table1_1[[#This Row],[ship_date]]="","",Table1_1[[#This Row],[ship_date]]-Table1_1[[#This Row],[order_date]])</f>
        <v>6</v>
      </c>
      <c r="Z1732">
        <f>ROUND(Table1_1[[#This Row],[profit]]/Table1_1[[#This Row],[sales_fix]]*100,2)</f>
        <v>27.41</v>
      </c>
    </row>
    <row r="1733" spans="1:26" x14ac:dyDescent="0.3">
      <c r="A1733" t="s">
        <v>979</v>
      </c>
      <c r="B1733" s="1">
        <v>45669</v>
      </c>
      <c r="C1733" s="1">
        <v>45674</v>
      </c>
      <c r="D1733" t="s">
        <v>209</v>
      </c>
      <c r="E1733" t="s">
        <v>210</v>
      </c>
      <c r="F1733" t="s">
        <v>34</v>
      </c>
      <c r="G1733" t="s">
        <v>61</v>
      </c>
      <c r="H1733" t="s">
        <v>211</v>
      </c>
      <c r="I1733" t="s">
        <v>46</v>
      </c>
      <c r="J1733" t="s">
        <v>47</v>
      </c>
      <c r="K1733" t="s">
        <v>48</v>
      </c>
      <c r="L1733">
        <v>10</v>
      </c>
      <c r="M1733">
        <v>180</v>
      </c>
      <c r="N1733">
        <v>10</v>
      </c>
      <c r="O1733">
        <v>1620</v>
      </c>
      <c r="P1733">
        <v>716.62</v>
      </c>
      <c r="Q1733" t="s">
        <v>74</v>
      </c>
      <c r="R1733" t="s">
        <v>56</v>
      </c>
      <c r="S1733" t="s">
        <v>50</v>
      </c>
      <c r="T1733">
        <f>YEAR(Table1_1[[#This Row],[order_date]])</f>
        <v>2025</v>
      </c>
      <c r="U1733">
        <f>MONTH(Table1_1[[#This Row],[order_date]])</f>
        <v>1</v>
      </c>
      <c r="V1733" t="str">
        <f>TEXT(Table1_1[[#This Row],[order_date]],"mmm")</f>
        <v>Jan</v>
      </c>
      <c r="W1733" t="str">
        <f>"Q"&amp;ROUNDUP(MONTH(Table1_1[[#This Row],[order_date]])/3,0)</f>
        <v>Q1</v>
      </c>
      <c r="X1733" t="str">
        <f>TEXT(Table1_1[[#This Row],[order_date]],"yyyy-mm")</f>
        <v>2025-01</v>
      </c>
      <c r="Y1733">
        <f>IF(Table1_1[[#This Row],[ship_date]]="","",Table1_1[[#This Row],[ship_date]]-Table1_1[[#This Row],[order_date]])</f>
        <v>5</v>
      </c>
      <c r="Z1733">
        <f>ROUND(Table1_1[[#This Row],[profit]]/Table1_1[[#This Row],[sales_fix]]*100,2)</f>
        <v>44.24</v>
      </c>
    </row>
    <row r="1734" spans="1:26" x14ac:dyDescent="0.3">
      <c r="A1734" t="s">
        <v>2539</v>
      </c>
      <c r="B1734" s="1">
        <v>45755</v>
      </c>
      <c r="C1734" s="1">
        <v>45762</v>
      </c>
      <c r="D1734" t="s">
        <v>1171</v>
      </c>
      <c r="E1734" t="s">
        <v>1172</v>
      </c>
      <c r="F1734" t="s">
        <v>34</v>
      </c>
      <c r="G1734" t="s">
        <v>35</v>
      </c>
      <c r="H1734" t="s">
        <v>85</v>
      </c>
      <c r="I1734" t="s">
        <v>71</v>
      </c>
      <c r="J1734" t="s">
        <v>72</v>
      </c>
      <c r="K1734" t="s">
        <v>73</v>
      </c>
      <c r="L1734">
        <v>10</v>
      </c>
      <c r="M1734">
        <v>3500</v>
      </c>
      <c r="N1734">
        <v>10</v>
      </c>
      <c r="O1734">
        <v>31500</v>
      </c>
      <c r="P1734">
        <v>10311.129999999999</v>
      </c>
      <c r="Q1734" t="s">
        <v>39</v>
      </c>
      <c r="R1734" t="s">
        <v>56</v>
      </c>
      <c r="S1734" t="s">
        <v>40</v>
      </c>
      <c r="T1734">
        <f>YEAR(Table1_1[[#This Row],[order_date]])</f>
        <v>2025</v>
      </c>
      <c r="U1734">
        <f>MONTH(Table1_1[[#This Row],[order_date]])</f>
        <v>4</v>
      </c>
      <c r="V1734" t="str">
        <f>TEXT(Table1_1[[#This Row],[order_date]],"mmm")</f>
        <v>Apr</v>
      </c>
      <c r="W1734" t="str">
        <f>"Q"&amp;ROUNDUP(MONTH(Table1_1[[#This Row],[order_date]])/3,0)</f>
        <v>Q2</v>
      </c>
      <c r="X1734" t="str">
        <f>TEXT(Table1_1[[#This Row],[order_date]],"yyyy-mm")</f>
        <v>2025-04</v>
      </c>
      <c r="Y1734">
        <f>IF(Table1_1[[#This Row],[ship_date]]="","",Table1_1[[#This Row],[ship_date]]-Table1_1[[#This Row],[order_date]])</f>
        <v>7</v>
      </c>
      <c r="Z1734">
        <f>ROUND(Table1_1[[#This Row],[profit]]/Table1_1[[#This Row],[sales_fix]]*100,2)</f>
        <v>32.729999999999997</v>
      </c>
    </row>
    <row r="1735" spans="1:26" x14ac:dyDescent="0.3">
      <c r="A1735" t="s">
        <v>967</v>
      </c>
      <c r="B1735" s="1">
        <v>45878</v>
      </c>
      <c r="C1735" s="1">
        <v>45883</v>
      </c>
      <c r="D1735" t="s">
        <v>699</v>
      </c>
      <c r="E1735" t="s">
        <v>700</v>
      </c>
      <c r="F1735" t="s">
        <v>23</v>
      </c>
      <c r="G1735" t="s">
        <v>35</v>
      </c>
      <c r="H1735" t="s">
        <v>36</v>
      </c>
      <c r="I1735" t="s">
        <v>93</v>
      </c>
      <c r="J1735" t="s">
        <v>94</v>
      </c>
      <c r="K1735" t="s">
        <v>95</v>
      </c>
      <c r="L1735">
        <v>4</v>
      </c>
      <c r="M1735">
        <v>1800</v>
      </c>
      <c r="N1735">
        <v>20</v>
      </c>
      <c r="O1735">
        <v>5760</v>
      </c>
      <c r="P1735">
        <v>2040.61</v>
      </c>
      <c r="Q1735" t="s">
        <v>39</v>
      </c>
      <c r="R1735" t="s">
        <v>56</v>
      </c>
      <c r="S1735" t="s">
        <v>40</v>
      </c>
      <c r="T1735">
        <f>YEAR(Table1_1[[#This Row],[order_date]])</f>
        <v>2025</v>
      </c>
      <c r="U1735">
        <f>MONTH(Table1_1[[#This Row],[order_date]])</f>
        <v>8</v>
      </c>
      <c r="V1735" t="str">
        <f>TEXT(Table1_1[[#This Row],[order_date]],"mmm")</f>
        <v>Aug</v>
      </c>
      <c r="W1735" t="str">
        <f>"Q"&amp;ROUNDUP(MONTH(Table1_1[[#This Row],[order_date]])/3,0)</f>
        <v>Q3</v>
      </c>
      <c r="X1735" t="str">
        <f>TEXT(Table1_1[[#This Row],[order_date]],"yyyy-mm")</f>
        <v>2025-08</v>
      </c>
      <c r="Y1735">
        <f>IF(Table1_1[[#This Row],[ship_date]]="","",Table1_1[[#This Row],[ship_date]]-Table1_1[[#This Row],[order_date]])</f>
        <v>5</v>
      </c>
      <c r="Z1735">
        <f>ROUND(Table1_1[[#This Row],[profit]]/Table1_1[[#This Row],[sales_fix]]*100,2)</f>
        <v>35.43</v>
      </c>
    </row>
    <row r="1736" spans="1:26" x14ac:dyDescent="0.3">
      <c r="A1736" t="s">
        <v>1775</v>
      </c>
      <c r="B1736" s="1">
        <v>45826</v>
      </c>
      <c r="C1736" s="1">
        <v>45833</v>
      </c>
      <c r="D1736" t="s">
        <v>509</v>
      </c>
      <c r="E1736" t="s">
        <v>510</v>
      </c>
      <c r="F1736" t="s">
        <v>23</v>
      </c>
      <c r="G1736" t="s">
        <v>91</v>
      </c>
      <c r="H1736" t="s">
        <v>120</v>
      </c>
      <c r="I1736" t="s">
        <v>63</v>
      </c>
      <c r="J1736" t="s">
        <v>64</v>
      </c>
      <c r="K1736" t="s">
        <v>65</v>
      </c>
      <c r="L1736">
        <v>1</v>
      </c>
      <c r="M1736">
        <v>25000</v>
      </c>
      <c r="N1736">
        <v>10</v>
      </c>
      <c r="O1736">
        <v>22500</v>
      </c>
      <c r="P1736">
        <v>3420.27</v>
      </c>
      <c r="Q1736" t="s">
        <v>156</v>
      </c>
      <c r="R1736" t="s">
        <v>56</v>
      </c>
      <c r="S1736" t="s">
        <v>50</v>
      </c>
      <c r="T1736">
        <f>YEAR(Table1_1[[#This Row],[order_date]])</f>
        <v>2025</v>
      </c>
      <c r="U1736">
        <f>MONTH(Table1_1[[#This Row],[order_date]])</f>
        <v>6</v>
      </c>
      <c r="V1736" t="str">
        <f>TEXT(Table1_1[[#This Row],[order_date]],"mmm")</f>
        <v>Jun</v>
      </c>
      <c r="W1736" t="str">
        <f>"Q"&amp;ROUNDUP(MONTH(Table1_1[[#This Row],[order_date]])/3,0)</f>
        <v>Q2</v>
      </c>
      <c r="X1736" t="str">
        <f>TEXT(Table1_1[[#This Row],[order_date]],"yyyy-mm")</f>
        <v>2025-06</v>
      </c>
      <c r="Y1736">
        <f>IF(Table1_1[[#This Row],[ship_date]]="","",Table1_1[[#This Row],[ship_date]]-Table1_1[[#This Row],[order_date]])</f>
        <v>7</v>
      </c>
      <c r="Z1736">
        <f>ROUND(Table1_1[[#This Row],[profit]]/Table1_1[[#This Row],[sales_fix]]*100,2)</f>
        <v>15.2</v>
      </c>
    </row>
    <row r="1737" spans="1:26" x14ac:dyDescent="0.3">
      <c r="A1737" t="s">
        <v>1655</v>
      </c>
      <c r="B1737" s="1">
        <v>45870</v>
      </c>
      <c r="C1737" s="1">
        <v>45875</v>
      </c>
      <c r="D1737" t="s">
        <v>1090</v>
      </c>
      <c r="E1737" t="s">
        <v>1091</v>
      </c>
      <c r="F1737" t="s">
        <v>23</v>
      </c>
      <c r="G1737" t="s">
        <v>61</v>
      </c>
      <c r="H1737" t="s">
        <v>78</v>
      </c>
      <c r="I1737" t="s">
        <v>37</v>
      </c>
      <c r="J1737" t="s">
        <v>38</v>
      </c>
      <c r="K1737" t="s">
        <v>27</v>
      </c>
      <c r="L1737">
        <v>1</v>
      </c>
      <c r="M1737">
        <v>9500</v>
      </c>
      <c r="N1737">
        <v>0</v>
      </c>
      <c r="O1737">
        <v>9500</v>
      </c>
      <c r="P1737">
        <v>1916.95</v>
      </c>
      <c r="Q1737" t="s">
        <v>39</v>
      </c>
      <c r="R1737" t="s">
        <v>56</v>
      </c>
      <c r="S1737" t="s">
        <v>50</v>
      </c>
      <c r="T1737">
        <f>YEAR(Table1_1[[#This Row],[order_date]])</f>
        <v>2025</v>
      </c>
      <c r="U1737">
        <f>MONTH(Table1_1[[#This Row],[order_date]])</f>
        <v>8</v>
      </c>
      <c r="V1737" t="str">
        <f>TEXT(Table1_1[[#This Row],[order_date]],"mmm")</f>
        <v>Aug</v>
      </c>
      <c r="W1737" t="str">
        <f>"Q"&amp;ROUNDUP(MONTH(Table1_1[[#This Row],[order_date]])/3,0)</f>
        <v>Q3</v>
      </c>
      <c r="X1737" t="str">
        <f>TEXT(Table1_1[[#This Row],[order_date]],"yyyy-mm")</f>
        <v>2025-08</v>
      </c>
      <c r="Y1737">
        <f>IF(Table1_1[[#This Row],[ship_date]]="","",Table1_1[[#This Row],[ship_date]]-Table1_1[[#This Row],[order_date]])</f>
        <v>5</v>
      </c>
      <c r="Z1737">
        <f>ROUND(Table1_1[[#This Row],[profit]]/Table1_1[[#This Row],[sales_fix]]*100,2)</f>
        <v>20.18</v>
      </c>
    </row>
    <row r="1738" spans="1:26" x14ac:dyDescent="0.3">
      <c r="A1738" t="s">
        <v>1025</v>
      </c>
      <c r="B1738" s="1">
        <v>45402</v>
      </c>
      <c r="C1738" s="1">
        <v>45406</v>
      </c>
      <c r="D1738" t="s">
        <v>288</v>
      </c>
      <c r="E1738" t="s">
        <v>289</v>
      </c>
      <c r="F1738" t="s">
        <v>34</v>
      </c>
      <c r="G1738" t="s">
        <v>44</v>
      </c>
      <c r="H1738" t="s">
        <v>155</v>
      </c>
      <c r="I1738" t="s">
        <v>103</v>
      </c>
      <c r="J1738" t="s">
        <v>104</v>
      </c>
      <c r="K1738" t="s">
        <v>65</v>
      </c>
      <c r="L1738">
        <v>1</v>
      </c>
      <c r="M1738">
        <v>8000</v>
      </c>
      <c r="N1738">
        <v>20</v>
      </c>
      <c r="O1738">
        <v>6400</v>
      </c>
      <c r="P1738">
        <v>1636.53</v>
      </c>
      <c r="Q1738" t="s">
        <v>74</v>
      </c>
      <c r="R1738" t="s">
        <v>29</v>
      </c>
      <c r="S1738" t="s">
        <v>30</v>
      </c>
      <c r="T1738">
        <f>YEAR(Table1_1[[#This Row],[order_date]])</f>
        <v>2024</v>
      </c>
      <c r="U1738">
        <f>MONTH(Table1_1[[#This Row],[order_date]])</f>
        <v>4</v>
      </c>
      <c r="V1738" t="str">
        <f>TEXT(Table1_1[[#This Row],[order_date]],"mmm")</f>
        <v>Apr</v>
      </c>
      <c r="W1738" t="str">
        <f>"Q"&amp;ROUNDUP(MONTH(Table1_1[[#This Row],[order_date]])/3,0)</f>
        <v>Q2</v>
      </c>
      <c r="X1738" t="str">
        <f>TEXT(Table1_1[[#This Row],[order_date]],"yyyy-mm")</f>
        <v>2024-04</v>
      </c>
      <c r="Y1738">
        <f>IF(Table1_1[[#This Row],[ship_date]]="","",Table1_1[[#This Row],[ship_date]]-Table1_1[[#This Row],[order_date]])</f>
        <v>4</v>
      </c>
      <c r="Z1738">
        <f>ROUND(Table1_1[[#This Row],[profit]]/Table1_1[[#This Row],[sales_fix]]*100,2)</f>
        <v>25.57</v>
      </c>
    </row>
    <row r="1739" spans="1:26" x14ac:dyDescent="0.3">
      <c r="A1739" t="s">
        <v>2270</v>
      </c>
      <c r="B1739" s="1">
        <v>45865</v>
      </c>
      <c r="C1739" s="1">
        <v>45866</v>
      </c>
      <c r="D1739" t="s">
        <v>689</v>
      </c>
      <c r="E1739" t="s">
        <v>690</v>
      </c>
      <c r="F1739" t="s">
        <v>55</v>
      </c>
      <c r="G1739" t="s">
        <v>61</v>
      </c>
      <c r="H1739" t="s">
        <v>62</v>
      </c>
      <c r="I1739" t="s">
        <v>93</v>
      </c>
      <c r="J1739" t="s">
        <v>94</v>
      </c>
      <c r="K1739" t="s">
        <v>95</v>
      </c>
      <c r="L1739">
        <v>10</v>
      </c>
      <c r="M1739">
        <v>1800</v>
      </c>
      <c r="N1739">
        <v>0</v>
      </c>
      <c r="O1739">
        <v>18000</v>
      </c>
      <c r="P1739">
        <v>5437.7</v>
      </c>
      <c r="Q1739" t="s">
        <v>39</v>
      </c>
      <c r="R1739" t="s">
        <v>49</v>
      </c>
      <c r="S1739" t="s">
        <v>50</v>
      </c>
      <c r="T1739">
        <f>YEAR(Table1_1[[#This Row],[order_date]])</f>
        <v>2025</v>
      </c>
      <c r="U1739">
        <f>MONTH(Table1_1[[#This Row],[order_date]])</f>
        <v>7</v>
      </c>
      <c r="V1739" t="str">
        <f>TEXT(Table1_1[[#This Row],[order_date]],"mmm")</f>
        <v>Jul</v>
      </c>
      <c r="W1739" t="str">
        <f>"Q"&amp;ROUNDUP(MONTH(Table1_1[[#This Row],[order_date]])/3,0)</f>
        <v>Q3</v>
      </c>
      <c r="X1739" t="str">
        <f>TEXT(Table1_1[[#This Row],[order_date]],"yyyy-mm")</f>
        <v>2025-07</v>
      </c>
      <c r="Y1739">
        <f>IF(Table1_1[[#This Row],[ship_date]]="","",Table1_1[[#This Row],[ship_date]]-Table1_1[[#This Row],[order_date]])</f>
        <v>1</v>
      </c>
      <c r="Z1739">
        <f>ROUND(Table1_1[[#This Row],[profit]]/Table1_1[[#This Row],[sales_fix]]*100,2)</f>
        <v>30.21</v>
      </c>
    </row>
    <row r="1740" spans="1:26" x14ac:dyDescent="0.3">
      <c r="A1740" t="s">
        <v>930</v>
      </c>
      <c r="B1740" s="1">
        <v>45412</v>
      </c>
      <c r="C1740" s="1">
        <v>45413</v>
      </c>
      <c r="D1740" t="s">
        <v>609</v>
      </c>
      <c r="E1740" t="s">
        <v>610</v>
      </c>
      <c r="F1740" t="s">
        <v>23</v>
      </c>
      <c r="G1740" t="s">
        <v>44</v>
      </c>
      <c r="H1740" t="s">
        <v>155</v>
      </c>
      <c r="I1740" t="s">
        <v>126</v>
      </c>
      <c r="J1740" t="s">
        <v>127</v>
      </c>
      <c r="K1740" t="s">
        <v>95</v>
      </c>
      <c r="L1740">
        <v>2</v>
      </c>
      <c r="M1740">
        <v>600</v>
      </c>
      <c r="N1740">
        <v>5</v>
      </c>
      <c r="O1740">
        <v>1140</v>
      </c>
      <c r="P1740">
        <v>471.73</v>
      </c>
      <c r="Q1740" t="s">
        <v>156</v>
      </c>
      <c r="R1740" t="s">
        <v>49</v>
      </c>
      <c r="S1740" t="s">
        <v>50</v>
      </c>
      <c r="T1740">
        <f>YEAR(Table1_1[[#This Row],[order_date]])</f>
        <v>2024</v>
      </c>
      <c r="U1740">
        <f>MONTH(Table1_1[[#This Row],[order_date]])</f>
        <v>4</v>
      </c>
      <c r="V1740" t="str">
        <f>TEXT(Table1_1[[#This Row],[order_date]],"mmm")</f>
        <v>Apr</v>
      </c>
      <c r="W1740" t="str">
        <f>"Q"&amp;ROUNDUP(MONTH(Table1_1[[#This Row],[order_date]])/3,0)</f>
        <v>Q2</v>
      </c>
      <c r="X1740" t="str">
        <f>TEXT(Table1_1[[#This Row],[order_date]],"yyyy-mm")</f>
        <v>2024-04</v>
      </c>
      <c r="Y1740">
        <f>IF(Table1_1[[#This Row],[ship_date]]="","",Table1_1[[#This Row],[ship_date]]-Table1_1[[#This Row],[order_date]])</f>
        <v>1</v>
      </c>
      <c r="Z1740">
        <f>ROUND(Table1_1[[#This Row],[profit]]/Table1_1[[#This Row],[sales_fix]]*100,2)</f>
        <v>41.38</v>
      </c>
    </row>
    <row r="1741" spans="1:26" x14ac:dyDescent="0.3">
      <c r="A1741" t="s">
        <v>348</v>
      </c>
      <c r="B1741" s="1">
        <v>45867</v>
      </c>
      <c r="C1741" s="1">
        <v>45871</v>
      </c>
      <c r="D1741" t="s">
        <v>349</v>
      </c>
      <c r="E1741" t="s">
        <v>350</v>
      </c>
      <c r="F1741" t="s">
        <v>34</v>
      </c>
      <c r="G1741" t="s">
        <v>91</v>
      </c>
      <c r="H1741" t="s">
        <v>120</v>
      </c>
      <c r="I1741" t="s">
        <v>25</v>
      </c>
      <c r="J1741" t="s">
        <v>26</v>
      </c>
      <c r="K1741" t="s">
        <v>27</v>
      </c>
      <c r="L1741">
        <v>5</v>
      </c>
      <c r="M1741">
        <v>7000</v>
      </c>
      <c r="N1741">
        <v>15</v>
      </c>
      <c r="O1741">
        <v>29750</v>
      </c>
      <c r="P1741">
        <v>5178.6899999999996</v>
      </c>
      <c r="Q1741" t="s">
        <v>74</v>
      </c>
      <c r="R1741" t="s">
        <v>56</v>
      </c>
      <c r="S1741" t="s">
        <v>40</v>
      </c>
      <c r="T1741">
        <f>YEAR(Table1_1[[#This Row],[order_date]])</f>
        <v>2025</v>
      </c>
      <c r="U1741">
        <f>MONTH(Table1_1[[#This Row],[order_date]])</f>
        <v>7</v>
      </c>
      <c r="V1741" t="str">
        <f>TEXT(Table1_1[[#This Row],[order_date]],"mmm")</f>
        <v>Jul</v>
      </c>
      <c r="W1741" t="str">
        <f>"Q"&amp;ROUNDUP(MONTH(Table1_1[[#This Row],[order_date]])/3,0)</f>
        <v>Q3</v>
      </c>
      <c r="X1741" t="str">
        <f>TEXT(Table1_1[[#This Row],[order_date]],"yyyy-mm")</f>
        <v>2025-07</v>
      </c>
      <c r="Y1741">
        <f>IF(Table1_1[[#This Row],[ship_date]]="","",Table1_1[[#This Row],[ship_date]]-Table1_1[[#This Row],[order_date]])</f>
        <v>4</v>
      </c>
      <c r="Z1741">
        <f>ROUND(Table1_1[[#This Row],[profit]]/Table1_1[[#This Row],[sales_fix]]*100,2)</f>
        <v>17.41</v>
      </c>
    </row>
    <row r="1742" spans="1:26" x14ac:dyDescent="0.3">
      <c r="A1742" t="s">
        <v>2602</v>
      </c>
      <c r="B1742" s="1">
        <v>45541</v>
      </c>
      <c r="C1742" s="1"/>
      <c r="D1742" t="s">
        <v>2360</v>
      </c>
      <c r="E1742" t="s">
        <v>2361</v>
      </c>
      <c r="F1742" t="s">
        <v>23</v>
      </c>
      <c r="G1742" t="s">
        <v>44</v>
      </c>
      <c r="H1742" t="s">
        <v>330</v>
      </c>
      <c r="I1742" t="s">
        <v>126</v>
      </c>
      <c r="J1742" t="s">
        <v>127</v>
      </c>
      <c r="K1742" t="s">
        <v>95</v>
      </c>
      <c r="L1742">
        <v>4</v>
      </c>
      <c r="M1742">
        <v>600</v>
      </c>
      <c r="N1742">
        <v>10</v>
      </c>
      <c r="O1742">
        <v>2160</v>
      </c>
      <c r="P1742">
        <v>620.04</v>
      </c>
      <c r="Q1742" t="s">
        <v>74</v>
      </c>
      <c r="R1742" t="s">
        <v>29</v>
      </c>
      <c r="S1742" t="s">
        <v>110</v>
      </c>
      <c r="T1742">
        <f>YEAR(Table1_1[[#This Row],[order_date]])</f>
        <v>2024</v>
      </c>
      <c r="U1742">
        <f>MONTH(Table1_1[[#This Row],[order_date]])</f>
        <v>9</v>
      </c>
      <c r="V1742" t="str">
        <f>TEXT(Table1_1[[#This Row],[order_date]],"mmm")</f>
        <v>Sep</v>
      </c>
      <c r="W1742" t="str">
        <f>"Q"&amp;ROUNDUP(MONTH(Table1_1[[#This Row],[order_date]])/3,0)</f>
        <v>Q3</v>
      </c>
      <c r="X1742" t="str">
        <f>TEXT(Table1_1[[#This Row],[order_date]],"yyyy-mm")</f>
        <v>2024-09</v>
      </c>
      <c r="Y1742" t="str">
        <f>IF(Table1_1[[#This Row],[ship_date]]="","",Table1_1[[#This Row],[ship_date]]-Table1_1[[#This Row],[order_date]])</f>
        <v/>
      </c>
      <c r="Z1742">
        <f>ROUND(Table1_1[[#This Row],[profit]]/Table1_1[[#This Row],[sales_fix]]*100,2)</f>
        <v>28.71</v>
      </c>
    </row>
    <row r="1743" spans="1:26" x14ac:dyDescent="0.3">
      <c r="A1743" t="s">
        <v>1069</v>
      </c>
      <c r="B1743" s="1">
        <v>45412</v>
      </c>
      <c r="C1743" s="1">
        <v>45419</v>
      </c>
      <c r="D1743" t="s">
        <v>373</v>
      </c>
      <c r="E1743" t="s">
        <v>374</v>
      </c>
      <c r="F1743" t="s">
        <v>55</v>
      </c>
      <c r="G1743" t="s">
        <v>35</v>
      </c>
      <c r="H1743" t="s">
        <v>85</v>
      </c>
      <c r="I1743" t="s">
        <v>126</v>
      </c>
      <c r="J1743" t="s">
        <v>127</v>
      </c>
      <c r="K1743" t="s">
        <v>95</v>
      </c>
      <c r="L1743">
        <v>10</v>
      </c>
      <c r="M1743">
        <v>600</v>
      </c>
      <c r="N1743">
        <v>15</v>
      </c>
      <c r="O1743">
        <v>5100</v>
      </c>
      <c r="P1743">
        <v>1795.57</v>
      </c>
      <c r="Q1743" t="s">
        <v>74</v>
      </c>
      <c r="R1743" t="s">
        <v>29</v>
      </c>
      <c r="S1743" t="s">
        <v>40</v>
      </c>
      <c r="T1743">
        <f>YEAR(Table1_1[[#This Row],[order_date]])</f>
        <v>2024</v>
      </c>
      <c r="U1743">
        <f>MONTH(Table1_1[[#This Row],[order_date]])</f>
        <v>4</v>
      </c>
      <c r="V1743" t="str">
        <f>TEXT(Table1_1[[#This Row],[order_date]],"mmm")</f>
        <v>Apr</v>
      </c>
      <c r="W1743" t="str">
        <f>"Q"&amp;ROUNDUP(MONTH(Table1_1[[#This Row],[order_date]])/3,0)</f>
        <v>Q2</v>
      </c>
      <c r="X1743" t="str">
        <f>TEXT(Table1_1[[#This Row],[order_date]],"yyyy-mm")</f>
        <v>2024-04</v>
      </c>
      <c r="Y1743">
        <f>IF(Table1_1[[#This Row],[ship_date]]="","",Table1_1[[#This Row],[ship_date]]-Table1_1[[#This Row],[order_date]])</f>
        <v>7</v>
      </c>
      <c r="Z1743">
        <f>ROUND(Table1_1[[#This Row],[profit]]/Table1_1[[#This Row],[sales_fix]]*100,2)</f>
        <v>35.21</v>
      </c>
    </row>
    <row r="1744" spans="1:26" x14ac:dyDescent="0.3">
      <c r="A1744" t="s">
        <v>2818</v>
      </c>
      <c r="B1744" s="1">
        <v>45896</v>
      </c>
      <c r="C1744" s="1">
        <v>45903</v>
      </c>
      <c r="D1744" t="s">
        <v>1090</v>
      </c>
      <c r="E1744" t="s">
        <v>1091</v>
      </c>
      <c r="F1744" t="s">
        <v>23</v>
      </c>
      <c r="G1744" t="s">
        <v>61</v>
      </c>
      <c r="H1744" t="s">
        <v>78</v>
      </c>
      <c r="I1744" t="s">
        <v>134</v>
      </c>
      <c r="J1744" t="s">
        <v>135</v>
      </c>
      <c r="K1744" t="s">
        <v>27</v>
      </c>
      <c r="L1744">
        <v>3</v>
      </c>
      <c r="M1744">
        <v>6000</v>
      </c>
      <c r="N1744">
        <v>10</v>
      </c>
      <c r="O1744">
        <v>16200</v>
      </c>
      <c r="P1744">
        <v>3773.78</v>
      </c>
      <c r="Q1744" t="s">
        <v>156</v>
      </c>
      <c r="R1744" t="s">
        <v>49</v>
      </c>
      <c r="S1744" t="s">
        <v>86</v>
      </c>
      <c r="T1744">
        <f>YEAR(Table1_1[[#This Row],[order_date]])</f>
        <v>2025</v>
      </c>
      <c r="U1744">
        <f>MONTH(Table1_1[[#This Row],[order_date]])</f>
        <v>8</v>
      </c>
      <c r="V1744" t="str">
        <f>TEXT(Table1_1[[#This Row],[order_date]],"mmm")</f>
        <v>Aug</v>
      </c>
      <c r="W1744" t="str">
        <f>"Q"&amp;ROUNDUP(MONTH(Table1_1[[#This Row],[order_date]])/3,0)</f>
        <v>Q3</v>
      </c>
      <c r="X1744" t="str">
        <f>TEXT(Table1_1[[#This Row],[order_date]],"yyyy-mm")</f>
        <v>2025-08</v>
      </c>
      <c r="Y1744">
        <f>IF(Table1_1[[#This Row],[ship_date]]="","",Table1_1[[#This Row],[ship_date]]-Table1_1[[#This Row],[order_date]])</f>
        <v>7</v>
      </c>
      <c r="Z1744">
        <f>ROUND(Table1_1[[#This Row],[profit]]/Table1_1[[#This Row],[sales_fix]]*100,2)</f>
        <v>23.29</v>
      </c>
    </row>
    <row r="1745" spans="1:26" x14ac:dyDescent="0.3">
      <c r="A1745" t="s">
        <v>1885</v>
      </c>
      <c r="B1745" s="1">
        <v>45878</v>
      </c>
      <c r="C1745" s="1">
        <v>45882</v>
      </c>
      <c r="D1745" t="s">
        <v>1886</v>
      </c>
      <c r="E1745" t="s">
        <v>1887</v>
      </c>
      <c r="F1745" t="s">
        <v>23</v>
      </c>
      <c r="G1745" t="s">
        <v>91</v>
      </c>
      <c r="H1745" t="s">
        <v>120</v>
      </c>
      <c r="I1745" t="s">
        <v>134</v>
      </c>
      <c r="J1745" t="s">
        <v>135</v>
      </c>
      <c r="K1745" t="s">
        <v>27</v>
      </c>
      <c r="L1745">
        <v>1</v>
      </c>
      <c r="M1745">
        <v>6000</v>
      </c>
      <c r="N1745">
        <v>5</v>
      </c>
      <c r="O1745">
        <v>5700</v>
      </c>
      <c r="P1745">
        <v>1302.53</v>
      </c>
      <c r="Q1745" t="s">
        <v>66</v>
      </c>
      <c r="R1745" t="s">
        <v>56</v>
      </c>
      <c r="S1745" t="s">
        <v>30</v>
      </c>
      <c r="T1745">
        <f>YEAR(Table1_1[[#This Row],[order_date]])</f>
        <v>2025</v>
      </c>
      <c r="U1745">
        <f>MONTH(Table1_1[[#This Row],[order_date]])</f>
        <v>8</v>
      </c>
      <c r="V1745" t="str">
        <f>TEXT(Table1_1[[#This Row],[order_date]],"mmm")</f>
        <v>Aug</v>
      </c>
      <c r="W1745" t="str">
        <f>"Q"&amp;ROUNDUP(MONTH(Table1_1[[#This Row],[order_date]])/3,0)</f>
        <v>Q3</v>
      </c>
      <c r="X1745" t="str">
        <f>TEXT(Table1_1[[#This Row],[order_date]],"yyyy-mm")</f>
        <v>2025-08</v>
      </c>
      <c r="Y1745">
        <f>IF(Table1_1[[#This Row],[ship_date]]="","",Table1_1[[#This Row],[ship_date]]-Table1_1[[#This Row],[order_date]])</f>
        <v>4</v>
      </c>
      <c r="Z1745">
        <f>ROUND(Table1_1[[#This Row],[profit]]/Table1_1[[#This Row],[sales_fix]]*100,2)</f>
        <v>22.85</v>
      </c>
    </row>
    <row r="1746" spans="1:26" x14ac:dyDescent="0.3">
      <c r="A1746" t="s">
        <v>2607</v>
      </c>
      <c r="B1746" s="1">
        <v>45980</v>
      </c>
      <c r="C1746" s="1">
        <v>45986</v>
      </c>
      <c r="D1746" t="s">
        <v>297</v>
      </c>
      <c r="E1746" t="s">
        <v>1110</v>
      </c>
      <c r="F1746" t="s">
        <v>23</v>
      </c>
      <c r="G1746" t="s">
        <v>91</v>
      </c>
      <c r="H1746" t="s">
        <v>177</v>
      </c>
      <c r="I1746" t="s">
        <v>63</v>
      </c>
      <c r="J1746" t="s">
        <v>64</v>
      </c>
      <c r="K1746" t="s">
        <v>65</v>
      </c>
      <c r="L1746">
        <v>4</v>
      </c>
      <c r="M1746">
        <v>25000</v>
      </c>
      <c r="N1746">
        <v>20</v>
      </c>
      <c r="O1746">
        <v>80000</v>
      </c>
      <c r="P1746">
        <v>9313.3799999999992</v>
      </c>
      <c r="Q1746" t="s">
        <v>39</v>
      </c>
      <c r="R1746" t="s">
        <v>49</v>
      </c>
      <c r="S1746" t="s">
        <v>86</v>
      </c>
      <c r="T1746">
        <f>YEAR(Table1_1[[#This Row],[order_date]])</f>
        <v>2025</v>
      </c>
      <c r="U1746">
        <f>MONTH(Table1_1[[#This Row],[order_date]])</f>
        <v>11</v>
      </c>
      <c r="V1746" t="str">
        <f>TEXT(Table1_1[[#This Row],[order_date]],"mmm")</f>
        <v>Nov</v>
      </c>
      <c r="W1746" t="str">
        <f>"Q"&amp;ROUNDUP(MONTH(Table1_1[[#This Row],[order_date]])/3,0)</f>
        <v>Q4</v>
      </c>
      <c r="X1746" t="str">
        <f>TEXT(Table1_1[[#This Row],[order_date]],"yyyy-mm")</f>
        <v>2025-11</v>
      </c>
      <c r="Y1746">
        <f>IF(Table1_1[[#This Row],[ship_date]]="","",Table1_1[[#This Row],[ship_date]]-Table1_1[[#This Row],[order_date]])</f>
        <v>6</v>
      </c>
      <c r="Z1746">
        <f>ROUND(Table1_1[[#This Row],[profit]]/Table1_1[[#This Row],[sales_fix]]*100,2)</f>
        <v>11.64</v>
      </c>
    </row>
    <row r="1747" spans="1:26" x14ac:dyDescent="0.3">
      <c r="A1747" t="s">
        <v>1417</v>
      </c>
      <c r="B1747" s="1">
        <v>45565</v>
      </c>
      <c r="C1747" s="1">
        <v>45570</v>
      </c>
      <c r="D1747" t="s">
        <v>1418</v>
      </c>
      <c r="E1747" t="s">
        <v>1419</v>
      </c>
      <c r="F1747" t="s">
        <v>34</v>
      </c>
      <c r="G1747" t="s">
        <v>61</v>
      </c>
      <c r="H1747" t="s">
        <v>211</v>
      </c>
      <c r="I1747" t="s">
        <v>103</v>
      </c>
      <c r="J1747" t="s">
        <v>104</v>
      </c>
      <c r="K1747" t="s">
        <v>65</v>
      </c>
      <c r="L1747">
        <v>1</v>
      </c>
      <c r="M1747">
        <v>8000</v>
      </c>
      <c r="N1747">
        <v>0</v>
      </c>
      <c r="O1747">
        <v>8000</v>
      </c>
      <c r="P1747">
        <v>1592.48</v>
      </c>
      <c r="Q1747" t="s">
        <v>39</v>
      </c>
      <c r="R1747" t="s">
        <v>49</v>
      </c>
      <c r="S1747" t="s">
        <v>86</v>
      </c>
      <c r="T1747">
        <f>YEAR(Table1_1[[#This Row],[order_date]])</f>
        <v>2024</v>
      </c>
      <c r="U1747">
        <f>MONTH(Table1_1[[#This Row],[order_date]])</f>
        <v>9</v>
      </c>
      <c r="V1747" t="str">
        <f>TEXT(Table1_1[[#This Row],[order_date]],"mmm")</f>
        <v>Sep</v>
      </c>
      <c r="W1747" t="str">
        <f>"Q"&amp;ROUNDUP(MONTH(Table1_1[[#This Row],[order_date]])/3,0)</f>
        <v>Q3</v>
      </c>
      <c r="X1747" t="str">
        <f>TEXT(Table1_1[[#This Row],[order_date]],"yyyy-mm")</f>
        <v>2024-09</v>
      </c>
      <c r="Y1747">
        <f>IF(Table1_1[[#This Row],[ship_date]]="","",Table1_1[[#This Row],[ship_date]]-Table1_1[[#This Row],[order_date]])</f>
        <v>5</v>
      </c>
      <c r="Z1747">
        <f>ROUND(Table1_1[[#This Row],[profit]]/Table1_1[[#This Row],[sales_fix]]*100,2)</f>
        <v>19.91</v>
      </c>
    </row>
    <row r="1748" spans="1:26" x14ac:dyDescent="0.3">
      <c r="A1748" t="s">
        <v>664</v>
      </c>
      <c r="B1748" s="1">
        <v>45781</v>
      </c>
      <c r="C1748" s="1">
        <v>45788</v>
      </c>
      <c r="D1748" t="s">
        <v>388</v>
      </c>
      <c r="E1748" t="s">
        <v>389</v>
      </c>
      <c r="F1748" t="s">
        <v>23</v>
      </c>
      <c r="G1748" t="s">
        <v>44</v>
      </c>
      <c r="H1748" t="s">
        <v>161</v>
      </c>
      <c r="I1748" t="s">
        <v>79</v>
      </c>
      <c r="J1748" t="s">
        <v>80</v>
      </c>
      <c r="K1748" t="s">
        <v>65</v>
      </c>
      <c r="L1748">
        <v>3</v>
      </c>
      <c r="M1748">
        <v>3000</v>
      </c>
      <c r="N1748">
        <v>0</v>
      </c>
      <c r="O1748">
        <v>9000</v>
      </c>
      <c r="P1748">
        <v>1897.03</v>
      </c>
      <c r="Q1748" t="s">
        <v>39</v>
      </c>
      <c r="R1748" t="s">
        <v>49</v>
      </c>
      <c r="S1748" t="s">
        <v>30</v>
      </c>
      <c r="T1748">
        <f>YEAR(Table1_1[[#This Row],[order_date]])</f>
        <v>2025</v>
      </c>
      <c r="U1748">
        <f>MONTH(Table1_1[[#This Row],[order_date]])</f>
        <v>5</v>
      </c>
      <c r="V1748" t="str">
        <f>TEXT(Table1_1[[#This Row],[order_date]],"mmm")</f>
        <v>May</v>
      </c>
      <c r="W1748" t="str">
        <f>"Q"&amp;ROUNDUP(MONTH(Table1_1[[#This Row],[order_date]])/3,0)</f>
        <v>Q2</v>
      </c>
      <c r="X1748" t="str">
        <f>TEXT(Table1_1[[#This Row],[order_date]],"yyyy-mm")</f>
        <v>2025-05</v>
      </c>
      <c r="Y1748">
        <f>IF(Table1_1[[#This Row],[ship_date]]="","",Table1_1[[#This Row],[ship_date]]-Table1_1[[#This Row],[order_date]])</f>
        <v>7</v>
      </c>
      <c r="Z1748">
        <f>ROUND(Table1_1[[#This Row],[profit]]/Table1_1[[#This Row],[sales_fix]]*100,2)</f>
        <v>21.08</v>
      </c>
    </row>
    <row r="1749" spans="1:26" x14ac:dyDescent="0.3">
      <c r="A1749" t="s">
        <v>1393</v>
      </c>
      <c r="B1749" s="1">
        <v>45411</v>
      </c>
      <c r="C1749" s="1">
        <v>45415</v>
      </c>
      <c r="D1749" t="s">
        <v>1394</v>
      </c>
      <c r="E1749" t="s">
        <v>1395</v>
      </c>
      <c r="F1749" t="s">
        <v>55</v>
      </c>
      <c r="G1749" t="s">
        <v>61</v>
      </c>
      <c r="H1749" t="s">
        <v>211</v>
      </c>
      <c r="I1749" t="s">
        <v>114</v>
      </c>
      <c r="J1749" t="s">
        <v>115</v>
      </c>
      <c r="K1749" t="s">
        <v>65</v>
      </c>
      <c r="L1749">
        <v>4</v>
      </c>
      <c r="M1749">
        <v>55000</v>
      </c>
      <c r="N1749">
        <v>20</v>
      </c>
      <c r="O1749">
        <v>176000</v>
      </c>
      <c r="P1749">
        <v>27082.44</v>
      </c>
      <c r="Q1749" t="s">
        <v>66</v>
      </c>
      <c r="R1749" t="s">
        <v>29</v>
      </c>
      <c r="S1749" t="s">
        <v>50</v>
      </c>
      <c r="T1749">
        <f>YEAR(Table1_1[[#This Row],[order_date]])</f>
        <v>2024</v>
      </c>
      <c r="U1749">
        <f>MONTH(Table1_1[[#This Row],[order_date]])</f>
        <v>4</v>
      </c>
      <c r="V1749" t="str">
        <f>TEXT(Table1_1[[#This Row],[order_date]],"mmm")</f>
        <v>Apr</v>
      </c>
      <c r="W1749" t="str">
        <f>"Q"&amp;ROUNDUP(MONTH(Table1_1[[#This Row],[order_date]])/3,0)</f>
        <v>Q2</v>
      </c>
      <c r="X1749" t="str">
        <f>TEXT(Table1_1[[#This Row],[order_date]],"yyyy-mm")</f>
        <v>2024-04</v>
      </c>
      <c r="Y1749">
        <f>IF(Table1_1[[#This Row],[ship_date]]="","",Table1_1[[#This Row],[ship_date]]-Table1_1[[#This Row],[order_date]])</f>
        <v>4</v>
      </c>
      <c r="Z1749">
        <f>ROUND(Table1_1[[#This Row],[profit]]/Table1_1[[#This Row],[sales_fix]]*100,2)</f>
        <v>15.39</v>
      </c>
    </row>
    <row r="1750" spans="1:26" x14ac:dyDescent="0.3">
      <c r="A1750" t="s">
        <v>2549</v>
      </c>
      <c r="B1750" s="1">
        <v>45341</v>
      </c>
      <c r="C1750" s="1">
        <v>45346</v>
      </c>
      <c r="D1750" t="s">
        <v>1107</v>
      </c>
      <c r="E1750" t="s">
        <v>1108</v>
      </c>
      <c r="F1750" t="s">
        <v>55</v>
      </c>
      <c r="G1750" t="s">
        <v>91</v>
      </c>
      <c r="H1750" t="s">
        <v>109</v>
      </c>
      <c r="I1750" t="s">
        <v>114</v>
      </c>
      <c r="J1750" t="s">
        <v>115</v>
      </c>
      <c r="K1750" t="s">
        <v>65</v>
      </c>
      <c r="L1750">
        <v>5</v>
      </c>
      <c r="M1750">
        <v>55000</v>
      </c>
      <c r="N1750">
        <v>5</v>
      </c>
      <c r="O1750">
        <v>261250</v>
      </c>
      <c r="P1750">
        <v>42845.65</v>
      </c>
      <c r="Q1750" t="s">
        <v>66</v>
      </c>
      <c r="R1750" t="s">
        <v>49</v>
      </c>
      <c r="S1750" t="s">
        <v>40</v>
      </c>
      <c r="T1750">
        <f>YEAR(Table1_1[[#This Row],[order_date]])</f>
        <v>2024</v>
      </c>
      <c r="U1750">
        <f>MONTH(Table1_1[[#This Row],[order_date]])</f>
        <v>2</v>
      </c>
      <c r="V1750" t="str">
        <f>TEXT(Table1_1[[#This Row],[order_date]],"mmm")</f>
        <v>Feb</v>
      </c>
      <c r="W1750" t="str">
        <f>"Q"&amp;ROUNDUP(MONTH(Table1_1[[#This Row],[order_date]])/3,0)</f>
        <v>Q1</v>
      </c>
      <c r="X1750" t="str">
        <f>TEXT(Table1_1[[#This Row],[order_date]],"yyyy-mm")</f>
        <v>2024-02</v>
      </c>
      <c r="Y1750">
        <f>IF(Table1_1[[#This Row],[ship_date]]="","",Table1_1[[#This Row],[ship_date]]-Table1_1[[#This Row],[order_date]])</f>
        <v>5</v>
      </c>
      <c r="Z1750">
        <f>ROUND(Table1_1[[#This Row],[profit]]/Table1_1[[#This Row],[sales_fix]]*100,2)</f>
        <v>16.399999999999999</v>
      </c>
    </row>
    <row r="1751" spans="1:26" x14ac:dyDescent="0.3">
      <c r="A1751" t="s">
        <v>2521</v>
      </c>
      <c r="B1751" s="1">
        <v>45621</v>
      </c>
      <c r="C1751" s="1">
        <v>45625</v>
      </c>
      <c r="D1751" t="s">
        <v>384</v>
      </c>
      <c r="E1751" t="s">
        <v>385</v>
      </c>
      <c r="F1751" t="s">
        <v>55</v>
      </c>
      <c r="G1751" t="s">
        <v>61</v>
      </c>
      <c r="H1751" t="s">
        <v>125</v>
      </c>
      <c r="I1751" t="s">
        <v>71</v>
      </c>
      <c r="J1751" t="s">
        <v>72</v>
      </c>
      <c r="K1751" t="s">
        <v>73</v>
      </c>
      <c r="L1751">
        <v>2</v>
      </c>
      <c r="M1751">
        <v>3500</v>
      </c>
      <c r="N1751">
        <v>0</v>
      </c>
      <c r="O1751">
        <v>7000</v>
      </c>
      <c r="P1751">
        <v>2341.16</v>
      </c>
      <c r="Q1751" t="s">
        <v>39</v>
      </c>
      <c r="R1751" t="s">
        <v>49</v>
      </c>
      <c r="S1751" t="s">
        <v>30</v>
      </c>
      <c r="T1751">
        <f>YEAR(Table1_1[[#This Row],[order_date]])</f>
        <v>2024</v>
      </c>
      <c r="U1751">
        <f>MONTH(Table1_1[[#This Row],[order_date]])</f>
        <v>11</v>
      </c>
      <c r="V1751" t="str">
        <f>TEXT(Table1_1[[#This Row],[order_date]],"mmm")</f>
        <v>Nov</v>
      </c>
      <c r="W1751" t="str">
        <f>"Q"&amp;ROUNDUP(MONTH(Table1_1[[#This Row],[order_date]])/3,0)</f>
        <v>Q4</v>
      </c>
      <c r="X1751" t="str">
        <f>TEXT(Table1_1[[#This Row],[order_date]],"yyyy-mm")</f>
        <v>2024-11</v>
      </c>
      <c r="Y1751">
        <f>IF(Table1_1[[#This Row],[ship_date]]="","",Table1_1[[#This Row],[ship_date]]-Table1_1[[#This Row],[order_date]])</f>
        <v>4</v>
      </c>
      <c r="Z1751">
        <f>ROUND(Table1_1[[#This Row],[profit]]/Table1_1[[#This Row],[sales_fix]]*100,2)</f>
        <v>33.450000000000003</v>
      </c>
    </row>
    <row r="1752" spans="1:26" x14ac:dyDescent="0.3">
      <c r="A1752" t="s">
        <v>2256</v>
      </c>
      <c r="B1752" s="1">
        <v>45669</v>
      </c>
      <c r="C1752" s="1">
        <v>45677</v>
      </c>
      <c r="D1752" t="s">
        <v>625</v>
      </c>
      <c r="E1752" t="s">
        <v>626</v>
      </c>
      <c r="F1752" t="s">
        <v>34</v>
      </c>
      <c r="G1752" t="s">
        <v>61</v>
      </c>
      <c r="H1752" t="s">
        <v>211</v>
      </c>
      <c r="I1752" t="s">
        <v>114</v>
      </c>
      <c r="J1752" t="s">
        <v>115</v>
      </c>
      <c r="K1752" t="s">
        <v>65</v>
      </c>
      <c r="L1752">
        <v>1</v>
      </c>
      <c r="M1752">
        <v>55000</v>
      </c>
      <c r="N1752">
        <v>0</v>
      </c>
      <c r="O1752">
        <v>55000</v>
      </c>
      <c r="P1752">
        <v>7999.68</v>
      </c>
      <c r="Q1752" t="s">
        <v>28</v>
      </c>
      <c r="R1752" t="s">
        <v>49</v>
      </c>
      <c r="S1752" t="s">
        <v>40</v>
      </c>
      <c r="T1752">
        <f>YEAR(Table1_1[[#This Row],[order_date]])</f>
        <v>2025</v>
      </c>
      <c r="U1752">
        <f>MONTH(Table1_1[[#This Row],[order_date]])</f>
        <v>1</v>
      </c>
      <c r="V1752" t="str">
        <f>TEXT(Table1_1[[#This Row],[order_date]],"mmm")</f>
        <v>Jan</v>
      </c>
      <c r="W1752" t="str">
        <f>"Q"&amp;ROUNDUP(MONTH(Table1_1[[#This Row],[order_date]])/3,0)</f>
        <v>Q1</v>
      </c>
      <c r="X1752" t="str">
        <f>TEXT(Table1_1[[#This Row],[order_date]],"yyyy-mm")</f>
        <v>2025-01</v>
      </c>
      <c r="Y1752">
        <f>IF(Table1_1[[#This Row],[ship_date]]="","",Table1_1[[#This Row],[ship_date]]-Table1_1[[#This Row],[order_date]])</f>
        <v>8</v>
      </c>
      <c r="Z1752">
        <f>ROUND(Table1_1[[#This Row],[profit]]/Table1_1[[#This Row],[sales_fix]]*100,2)</f>
        <v>14.54</v>
      </c>
    </row>
    <row r="1753" spans="1:26" x14ac:dyDescent="0.3">
      <c r="A1753" t="s">
        <v>131</v>
      </c>
      <c r="B1753" s="1">
        <v>45458</v>
      </c>
      <c r="C1753" s="1">
        <v>45465</v>
      </c>
      <c r="D1753" t="s">
        <v>132</v>
      </c>
      <c r="E1753" t="s">
        <v>133</v>
      </c>
      <c r="F1753" t="s">
        <v>23</v>
      </c>
      <c r="G1753" t="s">
        <v>91</v>
      </c>
      <c r="H1753" t="s">
        <v>120</v>
      </c>
      <c r="I1753" t="s">
        <v>134</v>
      </c>
      <c r="J1753" t="s">
        <v>135</v>
      </c>
      <c r="K1753" t="s">
        <v>27</v>
      </c>
      <c r="L1753">
        <v>1</v>
      </c>
      <c r="M1753">
        <v>6000</v>
      </c>
      <c r="N1753">
        <v>5</v>
      </c>
      <c r="O1753">
        <v>5700</v>
      </c>
      <c r="P1753">
        <v>1442.11</v>
      </c>
      <c r="Q1753" t="s">
        <v>28</v>
      </c>
      <c r="R1753" t="s">
        <v>56</v>
      </c>
      <c r="S1753" t="s">
        <v>50</v>
      </c>
      <c r="T1753">
        <f>YEAR(Table1_1[[#This Row],[order_date]])</f>
        <v>2024</v>
      </c>
      <c r="U1753">
        <f>MONTH(Table1_1[[#This Row],[order_date]])</f>
        <v>6</v>
      </c>
      <c r="V1753" t="str">
        <f>TEXT(Table1_1[[#This Row],[order_date]],"mmm")</f>
        <v>Jun</v>
      </c>
      <c r="W1753" t="str">
        <f>"Q"&amp;ROUNDUP(MONTH(Table1_1[[#This Row],[order_date]])/3,0)</f>
        <v>Q2</v>
      </c>
      <c r="X1753" t="str">
        <f>TEXT(Table1_1[[#This Row],[order_date]],"yyyy-mm")</f>
        <v>2024-06</v>
      </c>
      <c r="Y1753">
        <f>IF(Table1_1[[#This Row],[ship_date]]="","",Table1_1[[#This Row],[ship_date]]-Table1_1[[#This Row],[order_date]])</f>
        <v>7</v>
      </c>
      <c r="Z1753">
        <f>ROUND(Table1_1[[#This Row],[profit]]/Table1_1[[#This Row],[sales_fix]]*100,2)</f>
        <v>25.3</v>
      </c>
    </row>
    <row r="1754" spans="1:26" x14ac:dyDescent="0.3">
      <c r="A1754" t="s">
        <v>747</v>
      </c>
      <c r="B1754" s="1">
        <v>45311</v>
      </c>
      <c r="C1754" s="1">
        <v>45319</v>
      </c>
      <c r="D1754" t="s">
        <v>748</v>
      </c>
      <c r="E1754" t="s">
        <v>749</v>
      </c>
      <c r="F1754" t="s">
        <v>55</v>
      </c>
      <c r="G1754" t="s">
        <v>91</v>
      </c>
      <c r="H1754" t="s">
        <v>92</v>
      </c>
      <c r="I1754" t="s">
        <v>37</v>
      </c>
      <c r="J1754" t="s">
        <v>38</v>
      </c>
      <c r="K1754" t="s">
        <v>27</v>
      </c>
      <c r="L1754">
        <v>2</v>
      </c>
      <c r="M1754">
        <v>9500</v>
      </c>
      <c r="N1754">
        <v>0</v>
      </c>
      <c r="O1754">
        <v>19000</v>
      </c>
      <c r="P1754">
        <v>3793.71</v>
      </c>
      <c r="Q1754" t="s">
        <v>156</v>
      </c>
      <c r="R1754" t="s">
        <v>56</v>
      </c>
      <c r="S1754" t="s">
        <v>30</v>
      </c>
      <c r="T1754">
        <f>YEAR(Table1_1[[#This Row],[order_date]])</f>
        <v>2024</v>
      </c>
      <c r="U1754">
        <f>MONTH(Table1_1[[#This Row],[order_date]])</f>
        <v>1</v>
      </c>
      <c r="V1754" t="str">
        <f>TEXT(Table1_1[[#This Row],[order_date]],"mmm")</f>
        <v>Jan</v>
      </c>
      <c r="W1754" t="str">
        <f>"Q"&amp;ROUNDUP(MONTH(Table1_1[[#This Row],[order_date]])/3,0)</f>
        <v>Q1</v>
      </c>
      <c r="X1754" t="str">
        <f>TEXT(Table1_1[[#This Row],[order_date]],"yyyy-mm")</f>
        <v>2024-01</v>
      </c>
      <c r="Y1754">
        <f>IF(Table1_1[[#This Row],[ship_date]]="","",Table1_1[[#This Row],[ship_date]]-Table1_1[[#This Row],[order_date]])</f>
        <v>8</v>
      </c>
      <c r="Z1754">
        <f>ROUND(Table1_1[[#This Row],[profit]]/Table1_1[[#This Row],[sales_fix]]*100,2)</f>
        <v>19.97</v>
      </c>
    </row>
    <row r="1755" spans="1:26" x14ac:dyDescent="0.3">
      <c r="A1755" t="s">
        <v>2253</v>
      </c>
      <c r="B1755" s="1">
        <v>45456</v>
      </c>
      <c r="C1755" s="1">
        <v>45461</v>
      </c>
      <c r="D1755" t="s">
        <v>802</v>
      </c>
      <c r="E1755" t="s">
        <v>803</v>
      </c>
      <c r="F1755" t="s">
        <v>55</v>
      </c>
      <c r="G1755" t="s">
        <v>35</v>
      </c>
      <c r="H1755" t="s">
        <v>258</v>
      </c>
      <c r="I1755" t="s">
        <v>114</v>
      </c>
      <c r="J1755" t="s">
        <v>115</v>
      </c>
      <c r="K1755" t="s">
        <v>65</v>
      </c>
      <c r="L1755">
        <v>2</v>
      </c>
      <c r="M1755">
        <v>55000</v>
      </c>
      <c r="N1755">
        <v>10</v>
      </c>
      <c r="O1755">
        <v>99000</v>
      </c>
      <c r="P1755">
        <v>12950.11</v>
      </c>
      <c r="Q1755" t="s">
        <v>66</v>
      </c>
      <c r="R1755" t="s">
        <v>49</v>
      </c>
      <c r="S1755" t="s">
        <v>40</v>
      </c>
      <c r="T1755">
        <f>YEAR(Table1_1[[#This Row],[order_date]])</f>
        <v>2024</v>
      </c>
      <c r="U1755">
        <f>MONTH(Table1_1[[#This Row],[order_date]])</f>
        <v>6</v>
      </c>
      <c r="V1755" t="str">
        <f>TEXT(Table1_1[[#This Row],[order_date]],"mmm")</f>
        <v>Jun</v>
      </c>
      <c r="W1755" t="str">
        <f>"Q"&amp;ROUNDUP(MONTH(Table1_1[[#This Row],[order_date]])/3,0)</f>
        <v>Q2</v>
      </c>
      <c r="X1755" t="str">
        <f>TEXT(Table1_1[[#This Row],[order_date]],"yyyy-mm")</f>
        <v>2024-06</v>
      </c>
      <c r="Y1755">
        <f>IF(Table1_1[[#This Row],[ship_date]]="","",Table1_1[[#This Row],[ship_date]]-Table1_1[[#This Row],[order_date]])</f>
        <v>5</v>
      </c>
      <c r="Z1755">
        <f>ROUND(Table1_1[[#This Row],[profit]]/Table1_1[[#This Row],[sales_fix]]*100,2)</f>
        <v>13.08</v>
      </c>
    </row>
    <row r="1756" spans="1:26" x14ac:dyDescent="0.3">
      <c r="A1756" t="s">
        <v>2507</v>
      </c>
      <c r="B1756" s="1">
        <v>45360</v>
      </c>
      <c r="C1756" s="1">
        <v>45364</v>
      </c>
      <c r="D1756" t="s">
        <v>98</v>
      </c>
      <c r="E1756" t="s">
        <v>99</v>
      </c>
      <c r="F1756" t="s">
        <v>34</v>
      </c>
      <c r="G1756" t="s">
        <v>91</v>
      </c>
      <c r="H1756" t="s">
        <v>92</v>
      </c>
      <c r="I1756" t="s">
        <v>25</v>
      </c>
      <c r="J1756" t="s">
        <v>26</v>
      </c>
      <c r="K1756" t="s">
        <v>27</v>
      </c>
      <c r="L1756">
        <v>10</v>
      </c>
      <c r="M1756">
        <v>7000</v>
      </c>
      <c r="N1756">
        <v>0</v>
      </c>
      <c r="O1756">
        <v>70000</v>
      </c>
      <c r="P1756">
        <v>12028.43</v>
      </c>
      <c r="Q1756" t="s">
        <v>66</v>
      </c>
      <c r="R1756" t="s">
        <v>29</v>
      </c>
      <c r="S1756" t="s">
        <v>110</v>
      </c>
      <c r="T1756">
        <f>YEAR(Table1_1[[#This Row],[order_date]])</f>
        <v>2024</v>
      </c>
      <c r="U1756">
        <f>MONTH(Table1_1[[#This Row],[order_date]])</f>
        <v>3</v>
      </c>
      <c r="V1756" t="str">
        <f>TEXT(Table1_1[[#This Row],[order_date]],"mmm")</f>
        <v>Mar</v>
      </c>
      <c r="W1756" t="str">
        <f>"Q"&amp;ROUNDUP(MONTH(Table1_1[[#This Row],[order_date]])/3,0)</f>
        <v>Q1</v>
      </c>
      <c r="X1756" t="str">
        <f>TEXT(Table1_1[[#This Row],[order_date]],"yyyy-mm")</f>
        <v>2024-03</v>
      </c>
      <c r="Y1756">
        <f>IF(Table1_1[[#This Row],[ship_date]]="","",Table1_1[[#This Row],[ship_date]]-Table1_1[[#This Row],[order_date]])</f>
        <v>4</v>
      </c>
      <c r="Z1756">
        <f>ROUND(Table1_1[[#This Row],[profit]]/Table1_1[[#This Row],[sales_fix]]*100,2)</f>
        <v>17.18</v>
      </c>
    </row>
    <row r="1757" spans="1:26" x14ac:dyDescent="0.3">
      <c r="A1757" t="s">
        <v>1571</v>
      </c>
      <c r="B1757" s="1">
        <v>45467</v>
      </c>
      <c r="C1757" s="1">
        <v>45469</v>
      </c>
      <c r="D1757" t="s">
        <v>517</v>
      </c>
      <c r="E1757" t="s">
        <v>518</v>
      </c>
      <c r="F1757" t="s">
        <v>34</v>
      </c>
      <c r="G1757" t="s">
        <v>61</v>
      </c>
      <c r="H1757" t="s">
        <v>125</v>
      </c>
      <c r="I1757" t="s">
        <v>71</v>
      </c>
      <c r="J1757" t="s">
        <v>72</v>
      </c>
      <c r="K1757" t="s">
        <v>73</v>
      </c>
      <c r="L1757">
        <v>1</v>
      </c>
      <c r="M1757">
        <v>3500</v>
      </c>
      <c r="N1757">
        <v>5</v>
      </c>
      <c r="O1757">
        <v>3325</v>
      </c>
      <c r="P1757">
        <v>791.07</v>
      </c>
      <c r="Q1757" t="s">
        <v>28</v>
      </c>
      <c r="R1757" t="s">
        <v>29</v>
      </c>
      <c r="S1757" t="s">
        <v>50</v>
      </c>
      <c r="T1757">
        <f>YEAR(Table1_1[[#This Row],[order_date]])</f>
        <v>2024</v>
      </c>
      <c r="U1757">
        <f>MONTH(Table1_1[[#This Row],[order_date]])</f>
        <v>6</v>
      </c>
      <c r="V1757" t="str">
        <f>TEXT(Table1_1[[#This Row],[order_date]],"mmm")</f>
        <v>Jun</v>
      </c>
      <c r="W1757" t="str">
        <f>"Q"&amp;ROUNDUP(MONTH(Table1_1[[#This Row],[order_date]])/3,0)</f>
        <v>Q2</v>
      </c>
      <c r="X1757" t="str">
        <f>TEXT(Table1_1[[#This Row],[order_date]],"yyyy-mm")</f>
        <v>2024-06</v>
      </c>
      <c r="Y1757">
        <f>IF(Table1_1[[#This Row],[ship_date]]="","",Table1_1[[#This Row],[ship_date]]-Table1_1[[#This Row],[order_date]])</f>
        <v>2</v>
      </c>
      <c r="Z1757">
        <f>ROUND(Table1_1[[#This Row],[profit]]/Table1_1[[#This Row],[sales_fix]]*100,2)</f>
        <v>23.79</v>
      </c>
    </row>
    <row r="1758" spans="1:26" x14ac:dyDescent="0.3">
      <c r="A1758" t="s">
        <v>1198</v>
      </c>
      <c r="B1758" s="1">
        <v>45396</v>
      </c>
      <c r="C1758" s="1">
        <v>45398</v>
      </c>
      <c r="D1758" t="s">
        <v>1132</v>
      </c>
      <c r="E1758" t="s">
        <v>1133</v>
      </c>
      <c r="F1758" t="s">
        <v>34</v>
      </c>
      <c r="G1758" t="s">
        <v>91</v>
      </c>
      <c r="H1758" t="s">
        <v>177</v>
      </c>
      <c r="I1758" t="s">
        <v>126</v>
      </c>
      <c r="J1758" t="s">
        <v>127</v>
      </c>
      <c r="K1758" t="s">
        <v>95</v>
      </c>
      <c r="L1758">
        <v>1</v>
      </c>
      <c r="M1758">
        <v>600</v>
      </c>
      <c r="N1758">
        <v>0</v>
      </c>
      <c r="O1758">
        <v>600</v>
      </c>
      <c r="P1758">
        <v>228</v>
      </c>
      <c r="Q1758" t="s">
        <v>121</v>
      </c>
      <c r="R1758" t="s">
        <v>49</v>
      </c>
      <c r="S1758" t="s">
        <v>50</v>
      </c>
      <c r="T1758">
        <f>YEAR(Table1_1[[#This Row],[order_date]])</f>
        <v>2024</v>
      </c>
      <c r="U1758">
        <f>MONTH(Table1_1[[#This Row],[order_date]])</f>
        <v>4</v>
      </c>
      <c r="V1758" t="str">
        <f>TEXT(Table1_1[[#This Row],[order_date]],"mmm")</f>
        <v>Apr</v>
      </c>
      <c r="W1758" t="str">
        <f>"Q"&amp;ROUNDUP(MONTH(Table1_1[[#This Row],[order_date]])/3,0)</f>
        <v>Q2</v>
      </c>
      <c r="X1758" t="str">
        <f>TEXT(Table1_1[[#This Row],[order_date]],"yyyy-mm")</f>
        <v>2024-04</v>
      </c>
      <c r="Y1758">
        <f>IF(Table1_1[[#This Row],[ship_date]]="","",Table1_1[[#This Row],[ship_date]]-Table1_1[[#This Row],[order_date]])</f>
        <v>2</v>
      </c>
      <c r="Z1758">
        <f>ROUND(Table1_1[[#This Row],[profit]]/Table1_1[[#This Row],[sales_fix]]*100,2)</f>
        <v>38</v>
      </c>
    </row>
    <row r="1759" spans="1:26" x14ac:dyDescent="0.3">
      <c r="A1759" t="s">
        <v>274</v>
      </c>
      <c r="B1759" s="1">
        <v>45617</v>
      </c>
      <c r="C1759" s="1">
        <v>45624</v>
      </c>
      <c r="D1759" t="s">
        <v>275</v>
      </c>
      <c r="E1759" t="s">
        <v>276</v>
      </c>
      <c r="F1759" t="s">
        <v>34</v>
      </c>
      <c r="G1759" t="s">
        <v>91</v>
      </c>
      <c r="H1759" t="s">
        <v>120</v>
      </c>
      <c r="I1759" t="s">
        <v>126</v>
      </c>
      <c r="J1759" t="s">
        <v>127</v>
      </c>
      <c r="K1759" t="s">
        <v>95</v>
      </c>
      <c r="L1759">
        <v>2</v>
      </c>
      <c r="M1759">
        <v>600</v>
      </c>
      <c r="N1759">
        <v>10</v>
      </c>
      <c r="O1759">
        <v>1080</v>
      </c>
      <c r="P1759">
        <v>447.57</v>
      </c>
      <c r="Q1759" t="s">
        <v>66</v>
      </c>
      <c r="R1759" t="s">
        <v>29</v>
      </c>
      <c r="S1759" t="s">
        <v>194</v>
      </c>
      <c r="T1759">
        <f>YEAR(Table1_1[[#This Row],[order_date]])</f>
        <v>2024</v>
      </c>
      <c r="U1759">
        <f>MONTH(Table1_1[[#This Row],[order_date]])</f>
        <v>11</v>
      </c>
      <c r="V1759" t="str">
        <f>TEXT(Table1_1[[#This Row],[order_date]],"mmm")</f>
        <v>Nov</v>
      </c>
      <c r="W1759" t="str">
        <f>"Q"&amp;ROUNDUP(MONTH(Table1_1[[#This Row],[order_date]])/3,0)</f>
        <v>Q4</v>
      </c>
      <c r="X1759" t="str">
        <f>TEXT(Table1_1[[#This Row],[order_date]],"yyyy-mm")</f>
        <v>2024-11</v>
      </c>
      <c r="Y1759">
        <f>IF(Table1_1[[#This Row],[ship_date]]="","",Table1_1[[#This Row],[ship_date]]-Table1_1[[#This Row],[order_date]])</f>
        <v>7</v>
      </c>
      <c r="Z1759">
        <f>ROUND(Table1_1[[#This Row],[profit]]/Table1_1[[#This Row],[sales_fix]]*100,2)</f>
        <v>41.44</v>
      </c>
    </row>
    <row r="1760" spans="1:26" x14ac:dyDescent="0.3">
      <c r="A1760" t="s">
        <v>2312</v>
      </c>
      <c r="B1760" s="1">
        <v>45975</v>
      </c>
      <c r="C1760" s="1">
        <v>45978</v>
      </c>
      <c r="D1760" t="s">
        <v>578</v>
      </c>
      <c r="E1760" t="s">
        <v>579</v>
      </c>
      <c r="F1760" t="s">
        <v>23</v>
      </c>
      <c r="G1760" t="s">
        <v>91</v>
      </c>
      <c r="H1760" t="s">
        <v>177</v>
      </c>
      <c r="I1760" t="s">
        <v>63</v>
      </c>
      <c r="J1760" t="s">
        <v>64</v>
      </c>
      <c r="K1760" t="s">
        <v>65</v>
      </c>
      <c r="L1760">
        <v>1</v>
      </c>
      <c r="M1760">
        <v>25000</v>
      </c>
      <c r="N1760">
        <v>10</v>
      </c>
      <c r="O1760">
        <v>22500</v>
      </c>
      <c r="P1760">
        <v>2428.9</v>
      </c>
      <c r="Q1760" t="s">
        <v>39</v>
      </c>
      <c r="R1760" t="s">
        <v>49</v>
      </c>
      <c r="S1760" t="s">
        <v>86</v>
      </c>
      <c r="T1760">
        <f>YEAR(Table1_1[[#This Row],[order_date]])</f>
        <v>2025</v>
      </c>
      <c r="U1760">
        <f>MONTH(Table1_1[[#This Row],[order_date]])</f>
        <v>11</v>
      </c>
      <c r="V1760" t="str">
        <f>TEXT(Table1_1[[#This Row],[order_date]],"mmm")</f>
        <v>Nov</v>
      </c>
      <c r="W1760" t="str">
        <f>"Q"&amp;ROUNDUP(MONTH(Table1_1[[#This Row],[order_date]])/3,0)</f>
        <v>Q4</v>
      </c>
      <c r="X1760" t="str">
        <f>TEXT(Table1_1[[#This Row],[order_date]],"yyyy-mm")</f>
        <v>2025-11</v>
      </c>
      <c r="Y1760">
        <f>IF(Table1_1[[#This Row],[ship_date]]="","",Table1_1[[#This Row],[ship_date]]-Table1_1[[#This Row],[order_date]])</f>
        <v>3</v>
      </c>
      <c r="Z1760">
        <f>ROUND(Table1_1[[#This Row],[profit]]/Table1_1[[#This Row],[sales_fix]]*100,2)</f>
        <v>10.8</v>
      </c>
    </row>
    <row r="1761" spans="1:26" x14ac:dyDescent="0.3">
      <c r="A1761" t="s">
        <v>656</v>
      </c>
      <c r="B1761" s="1">
        <v>45593</v>
      </c>
      <c r="C1761" s="1">
        <v>45598</v>
      </c>
      <c r="D1761" t="s">
        <v>657</v>
      </c>
      <c r="E1761" t="s">
        <v>658</v>
      </c>
      <c r="F1761" t="s">
        <v>34</v>
      </c>
      <c r="G1761" t="s">
        <v>91</v>
      </c>
      <c r="H1761" t="s">
        <v>120</v>
      </c>
      <c r="I1761" t="s">
        <v>134</v>
      </c>
      <c r="J1761" t="s">
        <v>135</v>
      </c>
      <c r="K1761" t="s">
        <v>27</v>
      </c>
      <c r="L1761">
        <v>10</v>
      </c>
      <c r="M1761">
        <v>6000</v>
      </c>
      <c r="N1761">
        <v>0</v>
      </c>
      <c r="O1761">
        <v>60000</v>
      </c>
      <c r="P1761">
        <v>12563.48</v>
      </c>
      <c r="Q1761" t="s">
        <v>66</v>
      </c>
      <c r="R1761" t="s">
        <v>29</v>
      </c>
      <c r="S1761" t="s">
        <v>30</v>
      </c>
      <c r="T1761">
        <f>YEAR(Table1_1[[#This Row],[order_date]])</f>
        <v>2024</v>
      </c>
      <c r="U1761">
        <f>MONTH(Table1_1[[#This Row],[order_date]])</f>
        <v>10</v>
      </c>
      <c r="V1761" t="str">
        <f>TEXT(Table1_1[[#This Row],[order_date]],"mmm")</f>
        <v>Oct</v>
      </c>
      <c r="W1761" t="str">
        <f>"Q"&amp;ROUNDUP(MONTH(Table1_1[[#This Row],[order_date]])/3,0)</f>
        <v>Q4</v>
      </c>
      <c r="X1761" t="str">
        <f>TEXT(Table1_1[[#This Row],[order_date]],"yyyy-mm")</f>
        <v>2024-10</v>
      </c>
      <c r="Y1761">
        <f>IF(Table1_1[[#This Row],[ship_date]]="","",Table1_1[[#This Row],[ship_date]]-Table1_1[[#This Row],[order_date]])</f>
        <v>5</v>
      </c>
      <c r="Z1761">
        <f>ROUND(Table1_1[[#This Row],[profit]]/Table1_1[[#This Row],[sales_fix]]*100,2)</f>
        <v>20.94</v>
      </c>
    </row>
    <row r="1762" spans="1:26" x14ac:dyDescent="0.3">
      <c r="A1762" t="s">
        <v>2186</v>
      </c>
      <c r="B1762" s="1">
        <v>45548</v>
      </c>
      <c r="C1762" s="1">
        <v>45550</v>
      </c>
      <c r="D1762" t="s">
        <v>561</v>
      </c>
      <c r="E1762" t="s">
        <v>562</v>
      </c>
      <c r="F1762" t="s">
        <v>23</v>
      </c>
      <c r="G1762" t="s">
        <v>44</v>
      </c>
      <c r="H1762" t="s">
        <v>155</v>
      </c>
      <c r="I1762" t="s">
        <v>126</v>
      </c>
      <c r="J1762" t="s">
        <v>127</v>
      </c>
      <c r="K1762" t="s">
        <v>95</v>
      </c>
      <c r="L1762">
        <v>4</v>
      </c>
      <c r="M1762">
        <v>600</v>
      </c>
      <c r="N1762">
        <v>5</v>
      </c>
      <c r="O1762">
        <v>2280</v>
      </c>
      <c r="P1762">
        <v>769.5</v>
      </c>
      <c r="Q1762" t="s">
        <v>121</v>
      </c>
      <c r="R1762" t="s">
        <v>49</v>
      </c>
      <c r="S1762" t="s">
        <v>30</v>
      </c>
      <c r="T1762">
        <f>YEAR(Table1_1[[#This Row],[order_date]])</f>
        <v>2024</v>
      </c>
      <c r="U1762">
        <f>MONTH(Table1_1[[#This Row],[order_date]])</f>
        <v>9</v>
      </c>
      <c r="V1762" t="str">
        <f>TEXT(Table1_1[[#This Row],[order_date]],"mmm")</f>
        <v>Sep</v>
      </c>
      <c r="W1762" t="str">
        <f>"Q"&amp;ROUNDUP(MONTH(Table1_1[[#This Row],[order_date]])/3,0)</f>
        <v>Q3</v>
      </c>
      <c r="X1762" t="str">
        <f>TEXT(Table1_1[[#This Row],[order_date]],"yyyy-mm")</f>
        <v>2024-09</v>
      </c>
      <c r="Y1762">
        <f>IF(Table1_1[[#This Row],[ship_date]]="","",Table1_1[[#This Row],[ship_date]]-Table1_1[[#This Row],[order_date]])</f>
        <v>2</v>
      </c>
      <c r="Z1762">
        <f>ROUND(Table1_1[[#This Row],[profit]]/Table1_1[[#This Row],[sales_fix]]*100,2)</f>
        <v>33.75</v>
      </c>
    </row>
    <row r="1763" spans="1:26" x14ac:dyDescent="0.3">
      <c r="A1763" t="s">
        <v>2155</v>
      </c>
      <c r="B1763" s="1">
        <v>45483</v>
      </c>
      <c r="C1763" s="1">
        <v>45485</v>
      </c>
      <c r="D1763" t="s">
        <v>275</v>
      </c>
      <c r="E1763" t="s">
        <v>276</v>
      </c>
      <c r="F1763" t="s">
        <v>34</v>
      </c>
      <c r="G1763" t="s">
        <v>91</v>
      </c>
      <c r="H1763" t="s">
        <v>120</v>
      </c>
      <c r="I1763" t="s">
        <v>79</v>
      </c>
      <c r="J1763" t="s">
        <v>80</v>
      </c>
      <c r="K1763" t="s">
        <v>65</v>
      </c>
      <c r="L1763">
        <v>1</v>
      </c>
      <c r="M1763">
        <v>3000</v>
      </c>
      <c r="N1763">
        <v>20</v>
      </c>
      <c r="O1763">
        <v>2400</v>
      </c>
      <c r="P1763">
        <v>550.51</v>
      </c>
      <c r="Q1763" t="s">
        <v>28</v>
      </c>
      <c r="R1763" t="s">
        <v>56</v>
      </c>
      <c r="S1763" t="s">
        <v>40</v>
      </c>
      <c r="T1763">
        <f>YEAR(Table1_1[[#This Row],[order_date]])</f>
        <v>2024</v>
      </c>
      <c r="U1763">
        <f>MONTH(Table1_1[[#This Row],[order_date]])</f>
        <v>7</v>
      </c>
      <c r="V1763" t="str">
        <f>TEXT(Table1_1[[#This Row],[order_date]],"mmm")</f>
        <v>Jul</v>
      </c>
      <c r="W1763" t="str">
        <f>"Q"&amp;ROUNDUP(MONTH(Table1_1[[#This Row],[order_date]])/3,0)</f>
        <v>Q3</v>
      </c>
      <c r="X1763" t="str">
        <f>TEXT(Table1_1[[#This Row],[order_date]],"yyyy-mm")</f>
        <v>2024-07</v>
      </c>
      <c r="Y1763">
        <f>IF(Table1_1[[#This Row],[ship_date]]="","",Table1_1[[#This Row],[ship_date]]-Table1_1[[#This Row],[order_date]])</f>
        <v>2</v>
      </c>
      <c r="Z1763">
        <f>ROUND(Table1_1[[#This Row],[profit]]/Table1_1[[#This Row],[sales_fix]]*100,2)</f>
        <v>22.94</v>
      </c>
    </row>
    <row r="1764" spans="1:26" x14ac:dyDescent="0.3">
      <c r="A1764" t="s">
        <v>772</v>
      </c>
      <c r="B1764" s="1">
        <v>45935</v>
      </c>
      <c r="C1764" s="1">
        <v>45941</v>
      </c>
      <c r="D1764" t="s">
        <v>356</v>
      </c>
      <c r="E1764" t="s">
        <v>357</v>
      </c>
      <c r="F1764" t="s">
        <v>23</v>
      </c>
      <c r="G1764" t="s">
        <v>91</v>
      </c>
      <c r="H1764" t="s">
        <v>120</v>
      </c>
      <c r="I1764" t="s">
        <v>63</v>
      </c>
      <c r="J1764" t="s">
        <v>64</v>
      </c>
      <c r="K1764" t="s">
        <v>65</v>
      </c>
      <c r="L1764">
        <v>2</v>
      </c>
      <c r="M1764">
        <v>25000</v>
      </c>
      <c r="N1764">
        <v>5</v>
      </c>
      <c r="O1764">
        <v>47500</v>
      </c>
      <c r="P1764">
        <v>5476.62</v>
      </c>
      <c r="Q1764" t="s">
        <v>156</v>
      </c>
      <c r="R1764" t="s">
        <v>49</v>
      </c>
      <c r="S1764" t="s">
        <v>40</v>
      </c>
      <c r="T1764">
        <f>YEAR(Table1_1[[#This Row],[order_date]])</f>
        <v>2025</v>
      </c>
      <c r="U1764">
        <f>MONTH(Table1_1[[#This Row],[order_date]])</f>
        <v>10</v>
      </c>
      <c r="V1764" t="str">
        <f>TEXT(Table1_1[[#This Row],[order_date]],"mmm")</f>
        <v>Oct</v>
      </c>
      <c r="W1764" t="str">
        <f>"Q"&amp;ROUNDUP(MONTH(Table1_1[[#This Row],[order_date]])/3,0)</f>
        <v>Q4</v>
      </c>
      <c r="X1764" t="str">
        <f>TEXT(Table1_1[[#This Row],[order_date]],"yyyy-mm")</f>
        <v>2025-10</v>
      </c>
      <c r="Y1764">
        <f>IF(Table1_1[[#This Row],[ship_date]]="","",Table1_1[[#This Row],[ship_date]]-Table1_1[[#This Row],[order_date]])</f>
        <v>6</v>
      </c>
      <c r="Z1764">
        <f>ROUND(Table1_1[[#This Row],[profit]]/Table1_1[[#This Row],[sales_fix]]*100,2)</f>
        <v>11.53</v>
      </c>
    </row>
    <row r="1765" spans="1:26" x14ac:dyDescent="0.3">
      <c r="A1765" t="s">
        <v>386</v>
      </c>
      <c r="B1765" s="1">
        <v>45728</v>
      </c>
      <c r="C1765" s="1">
        <v>45732</v>
      </c>
      <c r="D1765" t="s">
        <v>281</v>
      </c>
      <c r="E1765" t="s">
        <v>282</v>
      </c>
      <c r="F1765" t="s">
        <v>34</v>
      </c>
      <c r="G1765" t="s">
        <v>61</v>
      </c>
      <c r="H1765" t="s">
        <v>62</v>
      </c>
      <c r="I1765" t="s">
        <v>103</v>
      </c>
      <c r="J1765" t="s">
        <v>104</v>
      </c>
      <c r="K1765" t="s">
        <v>65</v>
      </c>
      <c r="L1765">
        <v>4</v>
      </c>
      <c r="M1765">
        <v>8000</v>
      </c>
      <c r="N1765">
        <v>0</v>
      </c>
      <c r="O1765">
        <v>32000</v>
      </c>
      <c r="P1765">
        <v>8399.15</v>
      </c>
      <c r="Q1765" t="s">
        <v>66</v>
      </c>
      <c r="R1765" t="s">
        <v>56</v>
      </c>
      <c r="S1765" t="s">
        <v>50</v>
      </c>
      <c r="T1765">
        <f>YEAR(Table1_1[[#This Row],[order_date]])</f>
        <v>2025</v>
      </c>
      <c r="U1765">
        <f>MONTH(Table1_1[[#This Row],[order_date]])</f>
        <v>3</v>
      </c>
      <c r="V1765" t="str">
        <f>TEXT(Table1_1[[#This Row],[order_date]],"mmm")</f>
        <v>Mar</v>
      </c>
      <c r="W1765" t="str">
        <f>"Q"&amp;ROUNDUP(MONTH(Table1_1[[#This Row],[order_date]])/3,0)</f>
        <v>Q1</v>
      </c>
      <c r="X1765" t="str">
        <f>TEXT(Table1_1[[#This Row],[order_date]],"yyyy-mm")</f>
        <v>2025-03</v>
      </c>
      <c r="Y1765">
        <f>IF(Table1_1[[#This Row],[ship_date]]="","",Table1_1[[#This Row],[ship_date]]-Table1_1[[#This Row],[order_date]])</f>
        <v>4</v>
      </c>
      <c r="Z1765">
        <f>ROUND(Table1_1[[#This Row],[profit]]/Table1_1[[#This Row],[sales_fix]]*100,2)</f>
        <v>26.25</v>
      </c>
    </row>
    <row r="1766" spans="1:26" x14ac:dyDescent="0.3">
      <c r="A1766" t="s">
        <v>1663</v>
      </c>
      <c r="B1766" s="1">
        <v>45618</v>
      </c>
      <c r="C1766" s="1">
        <v>45619</v>
      </c>
      <c r="D1766" t="s">
        <v>942</v>
      </c>
      <c r="E1766" t="s">
        <v>943</v>
      </c>
      <c r="F1766" t="s">
        <v>23</v>
      </c>
      <c r="G1766" t="s">
        <v>44</v>
      </c>
      <c r="H1766" t="s">
        <v>155</v>
      </c>
      <c r="I1766" t="s">
        <v>126</v>
      </c>
      <c r="J1766" t="s">
        <v>127</v>
      </c>
      <c r="K1766" t="s">
        <v>95</v>
      </c>
      <c r="L1766">
        <v>1</v>
      </c>
      <c r="M1766">
        <v>600</v>
      </c>
      <c r="N1766">
        <v>10</v>
      </c>
      <c r="O1766">
        <v>540</v>
      </c>
      <c r="P1766">
        <v>205.22</v>
      </c>
      <c r="Q1766" t="s">
        <v>28</v>
      </c>
      <c r="R1766" t="s">
        <v>56</v>
      </c>
      <c r="S1766" t="s">
        <v>40</v>
      </c>
      <c r="T1766">
        <f>YEAR(Table1_1[[#This Row],[order_date]])</f>
        <v>2024</v>
      </c>
      <c r="U1766">
        <f>MONTH(Table1_1[[#This Row],[order_date]])</f>
        <v>11</v>
      </c>
      <c r="V1766" t="str">
        <f>TEXT(Table1_1[[#This Row],[order_date]],"mmm")</f>
        <v>Nov</v>
      </c>
      <c r="W1766" t="str">
        <f>"Q"&amp;ROUNDUP(MONTH(Table1_1[[#This Row],[order_date]])/3,0)</f>
        <v>Q4</v>
      </c>
      <c r="X1766" t="str">
        <f>TEXT(Table1_1[[#This Row],[order_date]],"yyyy-mm")</f>
        <v>2024-11</v>
      </c>
      <c r="Y1766">
        <f>IF(Table1_1[[#This Row],[ship_date]]="","",Table1_1[[#This Row],[ship_date]]-Table1_1[[#This Row],[order_date]])</f>
        <v>1</v>
      </c>
      <c r="Z1766">
        <f>ROUND(Table1_1[[#This Row],[profit]]/Table1_1[[#This Row],[sales_fix]]*100,2)</f>
        <v>38</v>
      </c>
    </row>
    <row r="1767" spans="1:26" x14ac:dyDescent="0.3">
      <c r="A1767" t="s">
        <v>3094</v>
      </c>
      <c r="B1767" s="1">
        <v>45943</v>
      </c>
      <c r="C1767" s="1">
        <v>45944</v>
      </c>
      <c r="D1767" t="s">
        <v>942</v>
      </c>
      <c r="E1767" t="s">
        <v>943</v>
      </c>
      <c r="F1767" t="s">
        <v>23</v>
      </c>
      <c r="G1767" t="s">
        <v>44</v>
      </c>
      <c r="H1767" t="s">
        <v>155</v>
      </c>
      <c r="I1767" t="s">
        <v>71</v>
      </c>
      <c r="J1767" t="s">
        <v>72</v>
      </c>
      <c r="K1767" t="s">
        <v>73</v>
      </c>
      <c r="L1767">
        <v>3</v>
      </c>
      <c r="M1767">
        <v>3500</v>
      </c>
      <c r="N1767">
        <v>0</v>
      </c>
      <c r="O1767">
        <v>10500</v>
      </c>
      <c r="P1767">
        <v>2961.6</v>
      </c>
      <c r="Q1767" t="s">
        <v>28</v>
      </c>
      <c r="R1767" t="s">
        <v>49</v>
      </c>
      <c r="S1767" t="s">
        <v>50</v>
      </c>
      <c r="T1767">
        <f>YEAR(Table1_1[[#This Row],[order_date]])</f>
        <v>2025</v>
      </c>
      <c r="U1767">
        <f>MONTH(Table1_1[[#This Row],[order_date]])</f>
        <v>10</v>
      </c>
      <c r="V1767" t="str">
        <f>TEXT(Table1_1[[#This Row],[order_date]],"mmm")</f>
        <v>Oct</v>
      </c>
      <c r="W1767" t="str">
        <f>"Q"&amp;ROUNDUP(MONTH(Table1_1[[#This Row],[order_date]])/3,0)</f>
        <v>Q4</v>
      </c>
      <c r="X1767" t="str">
        <f>TEXT(Table1_1[[#This Row],[order_date]],"yyyy-mm")</f>
        <v>2025-10</v>
      </c>
      <c r="Y1767">
        <f>IF(Table1_1[[#This Row],[ship_date]]="","",Table1_1[[#This Row],[ship_date]]-Table1_1[[#This Row],[order_date]])</f>
        <v>1</v>
      </c>
      <c r="Z1767">
        <f>ROUND(Table1_1[[#This Row],[profit]]/Table1_1[[#This Row],[sales_fix]]*100,2)</f>
        <v>28.21</v>
      </c>
    </row>
    <row r="1768" spans="1:26" x14ac:dyDescent="0.3">
      <c r="A1768" t="s">
        <v>2035</v>
      </c>
      <c r="B1768" s="1">
        <v>45442</v>
      </c>
      <c r="C1768" s="1">
        <v>45443</v>
      </c>
      <c r="D1768" t="s">
        <v>1055</v>
      </c>
      <c r="E1768" t="s">
        <v>1056</v>
      </c>
      <c r="F1768" t="s">
        <v>55</v>
      </c>
      <c r="G1768" t="s">
        <v>61</v>
      </c>
      <c r="H1768" t="s">
        <v>62</v>
      </c>
      <c r="I1768" t="s">
        <v>46</v>
      </c>
      <c r="J1768" t="s">
        <v>47</v>
      </c>
      <c r="K1768" t="s">
        <v>48</v>
      </c>
      <c r="L1768">
        <v>4</v>
      </c>
      <c r="M1768">
        <v>180</v>
      </c>
      <c r="N1768">
        <v>0</v>
      </c>
      <c r="O1768">
        <v>720</v>
      </c>
      <c r="P1768">
        <v>274.12</v>
      </c>
      <c r="Q1768" t="s">
        <v>28</v>
      </c>
      <c r="R1768" t="s">
        <v>56</v>
      </c>
      <c r="S1768" t="s">
        <v>50</v>
      </c>
      <c r="T1768">
        <f>YEAR(Table1_1[[#This Row],[order_date]])</f>
        <v>2024</v>
      </c>
      <c r="U1768">
        <f>MONTH(Table1_1[[#This Row],[order_date]])</f>
        <v>5</v>
      </c>
      <c r="V1768" t="str">
        <f>TEXT(Table1_1[[#This Row],[order_date]],"mmm")</f>
        <v>May</v>
      </c>
      <c r="W1768" t="str">
        <f>"Q"&amp;ROUNDUP(MONTH(Table1_1[[#This Row],[order_date]])/3,0)</f>
        <v>Q2</v>
      </c>
      <c r="X1768" t="str">
        <f>TEXT(Table1_1[[#This Row],[order_date]],"yyyy-mm")</f>
        <v>2024-05</v>
      </c>
      <c r="Y1768">
        <f>IF(Table1_1[[#This Row],[ship_date]]="","",Table1_1[[#This Row],[ship_date]]-Table1_1[[#This Row],[order_date]])</f>
        <v>1</v>
      </c>
      <c r="Z1768">
        <f>ROUND(Table1_1[[#This Row],[profit]]/Table1_1[[#This Row],[sales_fix]]*100,2)</f>
        <v>38.07</v>
      </c>
    </row>
    <row r="1769" spans="1:26" x14ac:dyDescent="0.3">
      <c r="A1769" t="s">
        <v>2225</v>
      </c>
      <c r="B1769" s="1">
        <v>45467</v>
      </c>
      <c r="C1769" s="1">
        <v>45470</v>
      </c>
      <c r="D1769" t="s">
        <v>550</v>
      </c>
      <c r="E1769" t="s">
        <v>551</v>
      </c>
      <c r="F1769" t="s">
        <v>55</v>
      </c>
      <c r="G1769" t="s">
        <v>91</v>
      </c>
      <c r="H1769" t="s">
        <v>109</v>
      </c>
      <c r="I1769" t="s">
        <v>126</v>
      </c>
      <c r="J1769" t="s">
        <v>127</v>
      </c>
      <c r="K1769" t="s">
        <v>95</v>
      </c>
      <c r="L1769">
        <v>1</v>
      </c>
      <c r="M1769">
        <v>600</v>
      </c>
      <c r="N1769">
        <v>15</v>
      </c>
      <c r="O1769">
        <v>510</v>
      </c>
      <c r="P1769">
        <v>162.74</v>
      </c>
      <c r="Q1769" t="s">
        <v>66</v>
      </c>
      <c r="R1769" t="s">
        <v>49</v>
      </c>
      <c r="S1769" t="s">
        <v>110</v>
      </c>
      <c r="T1769">
        <f>YEAR(Table1_1[[#This Row],[order_date]])</f>
        <v>2024</v>
      </c>
      <c r="U1769">
        <f>MONTH(Table1_1[[#This Row],[order_date]])</f>
        <v>6</v>
      </c>
      <c r="V1769" t="str">
        <f>TEXT(Table1_1[[#This Row],[order_date]],"mmm")</f>
        <v>Jun</v>
      </c>
      <c r="W1769" t="str">
        <f>"Q"&amp;ROUNDUP(MONTH(Table1_1[[#This Row],[order_date]])/3,0)</f>
        <v>Q2</v>
      </c>
      <c r="X1769" t="str">
        <f>TEXT(Table1_1[[#This Row],[order_date]],"yyyy-mm")</f>
        <v>2024-06</v>
      </c>
      <c r="Y1769">
        <f>IF(Table1_1[[#This Row],[ship_date]]="","",Table1_1[[#This Row],[ship_date]]-Table1_1[[#This Row],[order_date]])</f>
        <v>3</v>
      </c>
      <c r="Z1769">
        <f>ROUND(Table1_1[[#This Row],[profit]]/Table1_1[[#This Row],[sales_fix]]*100,2)</f>
        <v>31.91</v>
      </c>
    </row>
    <row r="1770" spans="1:26" x14ac:dyDescent="0.3">
      <c r="A1770" t="s">
        <v>3065</v>
      </c>
      <c r="B1770" s="1">
        <v>45844</v>
      </c>
      <c r="C1770" s="1">
        <v>45851</v>
      </c>
      <c r="D1770" t="s">
        <v>332</v>
      </c>
      <c r="E1770" t="s">
        <v>333</v>
      </c>
      <c r="F1770" t="s">
        <v>23</v>
      </c>
      <c r="G1770" t="s">
        <v>91</v>
      </c>
      <c r="H1770" t="s">
        <v>177</v>
      </c>
      <c r="I1770" t="s">
        <v>37</v>
      </c>
      <c r="J1770" t="s">
        <v>38</v>
      </c>
      <c r="K1770" t="s">
        <v>27</v>
      </c>
      <c r="L1770">
        <v>10</v>
      </c>
      <c r="M1770">
        <v>9500</v>
      </c>
      <c r="N1770">
        <v>0</v>
      </c>
      <c r="O1770">
        <v>95000</v>
      </c>
      <c r="P1770">
        <v>18519.28</v>
      </c>
      <c r="Q1770" t="s">
        <v>39</v>
      </c>
      <c r="R1770" t="s">
        <v>29</v>
      </c>
      <c r="S1770" t="s">
        <v>86</v>
      </c>
      <c r="T1770">
        <f>YEAR(Table1_1[[#This Row],[order_date]])</f>
        <v>2025</v>
      </c>
      <c r="U1770">
        <f>MONTH(Table1_1[[#This Row],[order_date]])</f>
        <v>7</v>
      </c>
      <c r="V1770" t="str">
        <f>TEXT(Table1_1[[#This Row],[order_date]],"mmm")</f>
        <v>Jul</v>
      </c>
      <c r="W1770" t="str">
        <f>"Q"&amp;ROUNDUP(MONTH(Table1_1[[#This Row],[order_date]])/3,0)</f>
        <v>Q3</v>
      </c>
      <c r="X1770" t="str">
        <f>TEXT(Table1_1[[#This Row],[order_date]],"yyyy-mm")</f>
        <v>2025-07</v>
      </c>
      <c r="Y1770">
        <f>IF(Table1_1[[#This Row],[ship_date]]="","",Table1_1[[#This Row],[ship_date]]-Table1_1[[#This Row],[order_date]])</f>
        <v>7</v>
      </c>
      <c r="Z1770">
        <f>ROUND(Table1_1[[#This Row],[profit]]/Table1_1[[#This Row],[sales_fix]]*100,2)</f>
        <v>19.489999999999998</v>
      </c>
    </row>
    <row r="1771" spans="1:26" x14ac:dyDescent="0.3">
      <c r="A1771" t="s">
        <v>1772</v>
      </c>
      <c r="B1771" s="1">
        <v>45470</v>
      </c>
      <c r="C1771" s="1">
        <v>45477</v>
      </c>
      <c r="D1771" t="s">
        <v>1191</v>
      </c>
      <c r="E1771" t="s">
        <v>1192</v>
      </c>
      <c r="F1771" t="s">
        <v>23</v>
      </c>
      <c r="G1771" t="s">
        <v>61</v>
      </c>
      <c r="H1771" t="s">
        <v>211</v>
      </c>
      <c r="I1771" t="s">
        <v>126</v>
      </c>
      <c r="J1771" t="s">
        <v>127</v>
      </c>
      <c r="K1771" t="s">
        <v>95</v>
      </c>
      <c r="L1771">
        <v>1</v>
      </c>
      <c r="M1771">
        <v>600</v>
      </c>
      <c r="N1771">
        <v>10</v>
      </c>
      <c r="O1771">
        <v>540</v>
      </c>
      <c r="P1771">
        <v>155.03</v>
      </c>
      <c r="Q1771" t="s">
        <v>28</v>
      </c>
      <c r="R1771" t="s">
        <v>56</v>
      </c>
      <c r="S1771" t="s">
        <v>86</v>
      </c>
      <c r="T1771">
        <f>YEAR(Table1_1[[#This Row],[order_date]])</f>
        <v>2024</v>
      </c>
      <c r="U1771">
        <f>MONTH(Table1_1[[#This Row],[order_date]])</f>
        <v>6</v>
      </c>
      <c r="V1771" t="str">
        <f>TEXT(Table1_1[[#This Row],[order_date]],"mmm")</f>
        <v>Jun</v>
      </c>
      <c r="W1771" t="str">
        <f>"Q"&amp;ROUNDUP(MONTH(Table1_1[[#This Row],[order_date]])/3,0)</f>
        <v>Q2</v>
      </c>
      <c r="X1771" t="str">
        <f>TEXT(Table1_1[[#This Row],[order_date]],"yyyy-mm")</f>
        <v>2024-06</v>
      </c>
      <c r="Y1771">
        <f>IF(Table1_1[[#This Row],[ship_date]]="","",Table1_1[[#This Row],[ship_date]]-Table1_1[[#This Row],[order_date]])</f>
        <v>7</v>
      </c>
      <c r="Z1771">
        <f>ROUND(Table1_1[[#This Row],[profit]]/Table1_1[[#This Row],[sales_fix]]*100,2)</f>
        <v>28.71</v>
      </c>
    </row>
    <row r="1772" spans="1:26" x14ac:dyDescent="0.3">
      <c r="A1772" t="s">
        <v>1412</v>
      </c>
      <c r="B1772" s="1">
        <v>45839</v>
      </c>
      <c r="C1772" s="1">
        <v>45844</v>
      </c>
      <c r="D1772" t="s">
        <v>217</v>
      </c>
      <c r="E1772" t="s">
        <v>218</v>
      </c>
      <c r="F1772" t="s">
        <v>23</v>
      </c>
      <c r="G1772" t="s">
        <v>91</v>
      </c>
      <c r="H1772" t="s">
        <v>109</v>
      </c>
      <c r="I1772" t="s">
        <v>93</v>
      </c>
      <c r="J1772" t="s">
        <v>94</v>
      </c>
      <c r="K1772" t="s">
        <v>95</v>
      </c>
      <c r="L1772">
        <v>3</v>
      </c>
      <c r="M1772">
        <v>1800</v>
      </c>
      <c r="N1772">
        <v>0</v>
      </c>
      <c r="O1772">
        <v>5400</v>
      </c>
      <c r="P1772">
        <v>1500.83</v>
      </c>
      <c r="Q1772" t="s">
        <v>39</v>
      </c>
      <c r="R1772" t="s">
        <v>29</v>
      </c>
      <c r="S1772" t="s">
        <v>50</v>
      </c>
      <c r="T1772">
        <f>YEAR(Table1_1[[#This Row],[order_date]])</f>
        <v>2025</v>
      </c>
      <c r="U1772">
        <f>MONTH(Table1_1[[#This Row],[order_date]])</f>
        <v>7</v>
      </c>
      <c r="V1772" t="str">
        <f>TEXT(Table1_1[[#This Row],[order_date]],"mmm")</f>
        <v>Jul</v>
      </c>
      <c r="W1772" t="str">
        <f>"Q"&amp;ROUNDUP(MONTH(Table1_1[[#This Row],[order_date]])/3,0)</f>
        <v>Q3</v>
      </c>
      <c r="X1772" t="str">
        <f>TEXT(Table1_1[[#This Row],[order_date]],"yyyy-mm")</f>
        <v>2025-07</v>
      </c>
      <c r="Y1772">
        <f>IF(Table1_1[[#This Row],[ship_date]]="","",Table1_1[[#This Row],[ship_date]]-Table1_1[[#This Row],[order_date]])</f>
        <v>5</v>
      </c>
      <c r="Z1772">
        <f>ROUND(Table1_1[[#This Row],[profit]]/Table1_1[[#This Row],[sales_fix]]*100,2)</f>
        <v>27.79</v>
      </c>
    </row>
    <row r="1773" spans="1:26" x14ac:dyDescent="0.3">
      <c r="A1773" t="s">
        <v>1007</v>
      </c>
      <c r="B1773" s="1">
        <v>45630</v>
      </c>
      <c r="C1773" s="1">
        <v>45637</v>
      </c>
      <c r="D1773" t="s">
        <v>755</v>
      </c>
      <c r="E1773" t="s">
        <v>756</v>
      </c>
      <c r="F1773" t="s">
        <v>34</v>
      </c>
      <c r="G1773" t="s">
        <v>44</v>
      </c>
      <c r="H1773" t="s">
        <v>161</v>
      </c>
      <c r="I1773" t="s">
        <v>114</v>
      </c>
      <c r="J1773" t="s">
        <v>115</v>
      </c>
      <c r="K1773" t="s">
        <v>65</v>
      </c>
      <c r="L1773">
        <v>5</v>
      </c>
      <c r="M1773">
        <v>55000</v>
      </c>
      <c r="N1773">
        <v>15</v>
      </c>
      <c r="O1773">
        <v>233750</v>
      </c>
      <c r="P1773">
        <v>42075</v>
      </c>
      <c r="Q1773" t="s">
        <v>156</v>
      </c>
      <c r="R1773" t="s">
        <v>56</v>
      </c>
      <c r="S1773" t="s">
        <v>110</v>
      </c>
      <c r="T1773">
        <f>YEAR(Table1_1[[#This Row],[order_date]])</f>
        <v>2024</v>
      </c>
      <c r="U1773">
        <f>MONTH(Table1_1[[#This Row],[order_date]])</f>
        <v>12</v>
      </c>
      <c r="V1773" t="str">
        <f>TEXT(Table1_1[[#This Row],[order_date]],"mmm")</f>
        <v>Dec</v>
      </c>
      <c r="W1773" t="str">
        <f>"Q"&amp;ROUNDUP(MONTH(Table1_1[[#This Row],[order_date]])/3,0)</f>
        <v>Q4</v>
      </c>
      <c r="X1773" t="str">
        <f>TEXT(Table1_1[[#This Row],[order_date]],"yyyy-mm")</f>
        <v>2024-12</v>
      </c>
      <c r="Y1773">
        <f>IF(Table1_1[[#This Row],[ship_date]]="","",Table1_1[[#This Row],[ship_date]]-Table1_1[[#This Row],[order_date]])</f>
        <v>7</v>
      </c>
      <c r="Z1773">
        <f>ROUND(Table1_1[[#This Row],[profit]]/Table1_1[[#This Row],[sales_fix]]*100,2)</f>
        <v>18</v>
      </c>
    </row>
    <row r="1774" spans="1:26" x14ac:dyDescent="0.3">
      <c r="A1774" t="s">
        <v>1457</v>
      </c>
      <c r="B1774" s="1">
        <v>45955</v>
      </c>
      <c r="C1774" s="1">
        <v>45957</v>
      </c>
      <c r="D1774" t="s">
        <v>864</v>
      </c>
      <c r="E1774" t="s">
        <v>865</v>
      </c>
      <c r="F1774" t="s">
        <v>34</v>
      </c>
      <c r="G1774" t="s">
        <v>44</v>
      </c>
      <c r="H1774" t="s">
        <v>155</v>
      </c>
      <c r="I1774" t="s">
        <v>25</v>
      </c>
      <c r="J1774" t="s">
        <v>26</v>
      </c>
      <c r="K1774" t="s">
        <v>27</v>
      </c>
      <c r="L1774">
        <v>4</v>
      </c>
      <c r="M1774">
        <v>7000</v>
      </c>
      <c r="N1774">
        <v>0</v>
      </c>
      <c r="O1774">
        <v>28000</v>
      </c>
      <c r="P1774">
        <v>6396.88</v>
      </c>
      <c r="Q1774" t="s">
        <v>156</v>
      </c>
      <c r="R1774" t="s">
        <v>29</v>
      </c>
      <c r="S1774" t="s">
        <v>110</v>
      </c>
      <c r="T1774">
        <f>YEAR(Table1_1[[#This Row],[order_date]])</f>
        <v>2025</v>
      </c>
      <c r="U1774">
        <f>MONTH(Table1_1[[#This Row],[order_date]])</f>
        <v>10</v>
      </c>
      <c r="V1774" t="str">
        <f>TEXT(Table1_1[[#This Row],[order_date]],"mmm")</f>
        <v>Oct</v>
      </c>
      <c r="W1774" t="str">
        <f>"Q"&amp;ROUNDUP(MONTH(Table1_1[[#This Row],[order_date]])/3,0)</f>
        <v>Q4</v>
      </c>
      <c r="X1774" t="str">
        <f>TEXT(Table1_1[[#This Row],[order_date]],"yyyy-mm")</f>
        <v>2025-10</v>
      </c>
      <c r="Y1774">
        <f>IF(Table1_1[[#This Row],[ship_date]]="","",Table1_1[[#This Row],[ship_date]]-Table1_1[[#This Row],[order_date]])</f>
        <v>2</v>
      </c>
      <c r="Z1774">
        <f>ROUND(Table1_1[[#This Row],[profit]]/Table1_1[[#This Row],[sales_fix]]*100,2)</f>
        <v>22.85</v>
      </c>
    </row>
    <row r="1775" spans="1:26" x14ac:dyDescent="0.3">
      <c r="A1775" t="s">
        <v>1583</v>
      </c>
      <c r="B1775" s="1">
        <v>45933</v>
      </c>
      <c r="C1775" s="1">
        <v>45934</v>
      </c>
      <c r="D1775" t="s">
        <v>793</v>
      </c>
      <c r="E1775" t="s">
        <v>794</v>
      </c>
      <c r="F1775" t="s">
        <v>23</v>
      </c>
      <c r="G1775" t="s">
        <v>91</v>
      </c>
      <c r="H1775" t="s">
        <v>92</v>
      </c>
      <c r="I1775" t="s">
        <v>147</v>
      </c>
      <c r="J1775" t="s">
        <v>148</v>
      </c>
      <c r="K1775" t="s">
        <v>48</v>
      </c>
      <c r="L1775">
        <v>2</v>
      </c>
      <c r="M1775">
        <v>250</v>
      </c>
      <c r="N1775">
        <v>20</v>
      </c>
      <c r="O1775">
        <v>400</v>
      </c>
      <c r="P1775">
        <v>160.08000000000001</v>
      </c>
      <c r="Q1775" t="s">
        <v>156</v>
      </c>
      <c r="R1775" t="s">
        <v>56</v>
      </c>
      <c r="S1775" t="s">
        <v>30</v>
      </c>
      <c r="T1775">
        <f>YEAR(Table1_1[[#This Row],[order_date]])</f>
        <v>2025</v>
      </c>
      <c r="U1775">
        <f>MONTH(Table1_1[[#This Row],[order_date]])</f>
        <v>10</v>
      </c>
      <c r="V1775" t="str">
        <f>TEXT(Table1_1[[#This Row],[order_date]],"mmm")</f>
        <v>Oct</v>
      </c>
      <c r="W1775" t="str">
        <f>"Q"&amp;ROUNDUP(MONTH(Table1_1[[#This Row],[order_date]])/3,0)</f>
        <v>Q4</v>
      </c>
      <c r="X1775" t="str">
        <f>TEXT(Table1_1[[#This Row],[order_date]],"yyyy-mm")</f>
        <v>2025-10</v>
      </c>
      <c r="Y1775">
        <f>IF(Table1_1[[#This Row],[ship_date]]="","",Table1_1[[#This Row],[ship_date]]-Table1_1[[#This Row],[order_date]])</f>
        <v>1</v>
      </c>
      <c r="Z1775">
        <f>ROUND(Table1_1[[#This Row],[profit]]/Table1_1[[#This Row],[sales_fix]]*100,2)</f>
        <v>40.020000000000003</v>
      </c>
    </row>
    <row r="1776" spans="1:26" x14ac:dyDescent="0.3">
      <c r="A1776" t="s">
        <v>2307</v>
      </c>
      <c r="B1776" s="1">
        <v>45475</v>
      </c>
      <c r="C1776" s="1">
        <v>45482</v>
      </c>
      <c r="D1776" t="s">
        <v>1031</v>
      </c>
      <c r="E1776" t="s">
        <v>1032</v>
      </c>
      <c r="F1776" t="s">
        <v>23</v>
      </c>
      <c r="G1776" t="s">
        <v>61</v>
      </c>
      <c r="H1776" t="s">
        <v>211</v>
      </c>
      <c r="I1776" t="s">
        <v>37</v>
      </c>
      <c r="J1776" t="s">
        <v>38</v>
      </c>
      <c r="K1776" t="s">
        <v>27</v>
      </c>
      <c r="L1776">
        <v>1</v>
      </c>
      <c r="M1776">
        <v>9500</v>
      </c>
      <c r="N1776">
        <v>10</v>
      </c>
      <c r="O1776">
        <v>8550</v>
      </c>
      <c r="P1776">
        <v>1471.73</v>
      </c>
      <c r="Q1776" t="s">
        <v>28</v>
      </c>
      <c r="R1776" t="s">
        <v>29</v>
      </c>
      <c r="S1776" t="s">
        <v>40</v>
      </c>
      <c r="T1776">
        <f>YEAR(Table1_1[[#This Row],[order_date]])</f>
        <v>2024</v>
      </c>
      <c r="U1776">
        <f>MONTH(Table1_1[[#This Row],[order_date]])</f>
        <v>7</v>
      </c>
      <c r="V1776" t="str">
        <f>TEXT(Table1_1[[#This Row],[order_date]],"mmm")</f>
        <v>Jul</v>
      </c>
      <c r="W1776" t="str">
        <f>"Q"&amp;ROUNDUP(MONTH(Table1_1[[#This Row],[order_date]])/3,0)</f>
        <v>Q3</v>
      </c>
      <c r="X1776" t="str">
        <f>TEXT(Table1_1[[#This Row],[order_date]],"yyyy-mm")</f>
        <v>2024-07</v>
      </c>
      <c r="Y1776">
        <f>IF(Table1_1[[#This Row],[ship_date]]="","",Table1_1[[#This Row],[ship_date]]-Table1_1[[#This Row],[order_date]])</f>
        <v>7</v>
      </c>
      <c r="Z1776">
        <f>ROUND(Table1_1[[#This Row],[profit]]/Table1_1[[#This Row],[sales_fix]]*100,2)</f>
        <v>17.21</v>
      </c>
    </row>
    <row r="1777" spans="1:26" x14ac:dyDescent="0.3">
      <c r="A1777" t="s">
        <v>3051</v>
      </c>
      <c r="B1777" s="1">
        <v>45922</v>
      </c>
      <c r="C1777" s="1">
        <v>45924</v>
      </c>
      <c r="D1777" t="s">
        <v>787</v>
      </c>
      <c r="E1777" t="s">
        <v>788</v>
      </c>
      <c r="F1777" t="s">
        <v>34</v>
      </c>
      <c r="G1777" t="s">
        <v>35</v>
      </c>
      <c r="H1777" t="s">
        <v>36</v>
      </c>
      <c r="I1777" t="s">
        <v>114</v>
      </c>
      <c r="J1777" t="s">
        <v>115</v>
      </c>
      <c r="K1777" t="s">
        <v>65</v>
      </c>
      <c r="L1777">
        <v>2</v>
      </c>
      <c r="M1777">
        <v>55000</v>
      </c>
      <c r="N1777">
        <v>5</v>
      </c>
      <c r="O1777">
        <v>104500</v>
      </c>
      <c r="P1777">
        <v>19037.59</v>
      </c>
      <c r="Q1777" t="s">
        <v>156</v>
      </c>
      <c r="R1777" t="s">
        <v>56</v>
      </c>
      <c r="S1777" t="s">
        <v>30</v>
      </c>
      <c r="T1777">
        <f>YEAR(Table1_1[[#This Row],[order_date]])</f>
        <v>2025</v>
      </c>
      <c r="U1777">
        <f>MONTH(Table1_1[[#This Row],[order_date]])</f>
        <v>9</v>
      </c>
      <c r="V1777" t="str">
        <f>TEXT(Table1_1[[#This Row],[order_date]],"mmm")</f>
        <v>Sep</v>
      </c>
      <c r="W1777" t="str">
        <f>"Q"&amp;ROUNDUP(MONTH(Table1_1[[#This Row],[order_date]])/3,0)</f>
        <v>Q3</v>
      </c>
      <c r="X1777" t="str">
        <f>TEXT(Table1_1[[#This Row],[order_date]],"yyyy-mm")</f>
        <v>2025-09</v>
      </c>
      <c r="Y1777">
        <f>IF(Table1_1[[#This Row],[ship_date]]="","",Table1_1[[#This Row],[ship_date]]-Table1_1[[#This Row],[order_date]])</f>
        <v>2</v>
      </c>
      <c r="Z1777">
        <f>ROUND(Table1_1[[#This Row],[profit]]/Table1_1[[#This Row],[sales_fix]]*100,2)</f>
        <v>18.22</v>
      </c>
    </row>
    <row r="1778" spans="1:26" x14ac:dyDescent="0.3">
      <c r="A1778" t="s">
        <v>2905</v>
      </c>
      <c r="B1778" s="1">
        <v>45836</v>
      </c>
      <c r="C1778" s="1">
        <v>45843</v>
      </c>
      <c r="D1778" t="s">
        <v>1965</v>
      </c>
      <c r="E1778" t="s">
        <v>1966</v>
      </c>
      <c r="F1778" t="s">
        <v>23</v>
      </c>
      <c r="G1778" t="s">
        <v>61</v>
      </c>
      <c r="H1778" t="s">
        <v>125</v>
      </c>
      <c r="I1778" t="s">
        <v>93</v>
      </c>
      <c r="J1778" t="s">
        <v>94</v>
      </c>
      <c r="K1778" t="s">
        <v>95</v>
      </c>
      <c r="L1778">
        <v>2</v>
      </c>
      <c r="M1778">
        <v>1800</v>
      </c>
      <c r="N1778">
        <v>10</v>
      </c>
      <c r="O1778">
        <v>3240</v>
      </c>
      <c r="P1778">
        <v>861.8</v>
      </c>
      <c r="Q1778" t="s">
        <v>39</v>
      </c>
      <c r="R1778" t="s">
        <v>49</v>
      </c>
      <c r="S1778" t="s">
        <v>50</v>
      </c>
      <c r="T1778">
        <f>YEAR(Table1_1[[#This Row],[order_date]])</f>
        <v>2025</v>
      </c>
      <c r="U1778">
        <f>MONTH(Table1_1[[#This Row],[order_date]])</f>
        <v>6</v>
      </c>
      <c r="V1778" t="str">
        <f>TEXT(Table1_1[[#This Row],[order_date]],"mmm")</f>
        <v>Jun</v>
      </c>
      <c r="W1778" t="str">
        <f>"Q"&amp;ROUNDUP(MONTH(Table1_1[[#This Row],[order_date]])/3,0)</f>
        <v>Q2</v>
      </c>
      <c r="X1778" t="str">
        <f>TEXT(Table1_1[[#This Row],[order_date]],"yyyy-mm")</f>
        <v>2025-06</v>
      </c>
      <c r="Y1778">
        <f>IF(Table1_1[[#This Row],[ship_date]]="","",Table1_1[[#This Row],[ship_date]]-Table1_1[[#This Row],[order_date]])</f>
        <v>7</v>
      </c>
      <c r="Z1778">
        <f>ROUND(Table1_1[[#This Row],[profit]]/Table1_1[[#This Row],[sales_fix]]*100,2)</f>
        <v>26.6</v>
      </c>
    </row>
    <row r="1779" spans="1:26" x14ac:dyDescent="0.3">
      <c r="A1779" t="s">
        <v>2311</v>
      </c>
      <c r="B1779" s="1">
        <v>45820</v>
      </c>
      <c r="C1779" s="1">
        <v>45821</v>
      </c>
      <c r="D1779" t="s">
        <v>602</v>
      </c>
      <c r="E1779" t="s">
        <v>603</v>
      </c>
      <c r="F1779" t="s">
        <v>34</v>
      </c>
      <c r="G1779" t="s">
        <v>61</v>
      </c>
      <c r="H1779" t="s">
        <v>125</v>
      </c>
      <c r="I1779" t="s">
        <v>37</v>
      </c>
      <c r="J1779" t="s">
        <v>38</v>
      </c>
      <c r="K1779" t="s">
        <v>27</v>
      </c>
      <c r="L1779">
        <v>2</v>
      </c>
      <c r="M1779">
        <v>9500</v>
      </c>
      <c r="N1779">
        <v>5</v>
      </c>
      <c r="O1779">
        <v>18050</v>
      </c>
      <c r="P1779">
        <v>3962.61</v>
      </c>
      <c r="Q1779" t="s">
        <v>156</v>
      </c>
      <c r="R1779" t="s">
        <v>56</v>
      </c>
      <c r="S1779" t="s">
        <v>110</v>
      </c>
      <c r="T1779">
        <f>YEAR(Table1_1[[#This Row],[order_date]])</f>
        <v>2025</v>
      </c>
      <c r="U1779">
        <f>MONTH(Table1_1[[#This Row],[order_date]])</f>
        <v>6</v>
      </c>
      <c r="V1779" t="str">
        <f>TEXT(Table1_1[[#This Row],[order_date]],"mmm")</f>
        <v>Jun</v>
      </c>
      <c r="W1779" t="str">
        <f>"Q"&amp;ROUNDUP(MONTH(Table1_1[[#This Row],[order_date]])/3,0)</f>
        <v>Q2</v>
      </c>
      <c r="X1779" t="str">
        <f>TEXT(Table1_1[[#This Row],[order_date]],"yyyy-mm")</f>
        <v>2025-06</v>
      </c>
      <c r="Y1779">
        <f>IF(Table1_1[[#This Row],[ship_date]]="","",Table1_1[[#This Row],[ship_date]]-Table1_1[[#This Row],[order_date]])</f>
        <v>1</v>
      </c>
      <c r="Z1779">
        <f>ROUND(Table1_1[[#This Row],[profit]]/Table1_1[[#This Row],[sales_fix]]*100,2)</f>
        <v>21.95</v>
      </c>
    </row>
    <row r="1780" spans="1:26" x14ac:dyDescent="0.3">
      <c r="A1780" t="s">
        <v>1774</v>
      </c>
      <c r="B1780" s="1">
        <v>45700</v>
      </c>
      <c r="C1780" s="1">
        <v>45704</v>
      </c>
      <c r="D1780" t="s">
        <v>460</v>
      </c>
      <c r="E1780" t="s">
        <v>461</v>
      </c>
      <c r="F1780" t="s">
        <v>34</v>
      </c>
      <c r="G1780" t="s">
        <v>61</v>
      </c>
      <c r="H1780" t="s">
        <v>62</v>
      </c>
      <c r="I1780" t="s">
        <v>114</v>
      </c>
      <c r="J1780" t="s">
        <v>115</v>
      </c>
      <c r="K1780" t="s">
        <v>65</v>
      </c>
      <c r="L1780">
        <v>2</v>
      </c>
      <c r="M1780">
        <v>55000</v>
      </c>
      <c r="N1780">
        <v>15</v>
      </c>
      <c r="O1780">
        <v>93500</v>
      </c>
      <c r="P1780">
        <v>15989.85</v>
      </c>
      <c r="Q1780" t="s">
        <v>74</v>
      </c>
      <c r="R1780" t="s">
        <v>29</v>
      </c>
      <c r="S1780" t="s">
        <v>110</v>
      </c>
      <c r="T1780">
        <f>YEAR(Table1_1[[#This Row],[order_date]])</f>
        <v>2025</v>
      </c>
      <c r="U1780">
        <f>MONTH(Table1_1[[#This Row],[order_date]])</f>
        <v>2</v>
      </c>
      <c r="V1780" t="str">
        <f>TEXT(Table1_1[[#This Row],[order_date]],"mmm")</f>
        <v>Feb</v>
      </c>
      <c r="W1780" t="str">
        <f>"Q"&amp;ROUNDUP(MONTH(Table1_1[[#This Row],[order_date]])/3,0)</f>
        <v>Q1</v>
      </c>
      <c r="X1780" t="str">
        <f>TEXT(Table1_1[[#This Row],[order_date]],"yyyy-mm")</f>
        <v>2025-02</v>
      </c>
      <c r="Y1780">
        <f>IF(Table1_1[[#This Row],[ship_date]]="","",Table1_1[[#This Row],[ship_date]]-Table1_1[[#This Row],[order_date]])</f>
        <v>4</v>
      </c>
      <c r="Z1780">
        <f>ROUND(Table1_1[[#This Row],[profit]]/Table1_1[[#This Row],[sales_fix]]*100,2)</f>
        <v>17.100000000000001</v>
      </c>
    </row>
    <row r="1781" spans="1:26" x14ac:dyDescent="0.3">
      <c r="A1781" t="s">
        <v>1738</v>
      </c>
      <c r="B1781" s="1">
        <v>45661</v>
      </c>
      <c r="C1781" s="1">
        <v>45667</v>
      </c>
      <c r="D1781" t="s">
        <v>388</v>
      </c>
      <c r="E1781" t="s">
        <v>389</v>
      </c>
      <c r="F1781" t="s">
        <v>23</v>
      </c>
      <c r="G1781" t="s">
        <v>44</v>
      </c>
      <c r="H1781" t="s">
        <v>161</v>
      </c>
      <c r="I1781" t="s">
        <v>126</v>
      </c>
      <c r="J1781" t="s">
        <v>127</v>
      </c>
      <c r="K1781" t="s">
        <v>95</v>
      </c>
      <c r="L1781">
        <v>3</v>
      </c>
      <c r="M1781">
        <v>600</v>
      </c>
      <c r="N1781">
        <v>5</v>
      </c>
      <c r="O1781">
        <v>1710</v>
      </c>
      <c r="P1781">
        <v>553.87</v>
      </c>
      <c r="Q1781" t="s">
        <v>3113</v>
      </c>
      <c r="R1781" t="s">
        <v>49</v>
      </c>
      <c r="S1781" t="s">
        <v>40</v>
      </c>
      <c r="T1781">
        <f>YEAR(Table1_1[[#This Row],[order_date]])</f>
        <v>2025</v>
      </c>
      <c r="U1781">
        <f>MONTH(Table1_1[[#This Row],[order_date]])</f>
        <v>1</v>
      </c>
      <c r="V1781" t="str">
        <f>TEXT(Table1_1[[#This Row],[order_date]],"mmm")</f>
        <v>Jan</v>
      </c>
      <c r="W1781" t="str">
        <f>"Q"&amp;ROUNDUP(MONTH(Table1_1[[#This Row],[order_date]])/3,0)</f>
        <v>Q1</v>
      </c>
      <c r="X1781" t="str">
        <f>TEXT(Table1_1[[#This Row],[order_date]],"yyyy-mm")</f>
        <v>2025-01</v>
      </c>
      <c r="Y1781">
        <f>IF(Table1_1[[#This Row],[ship_date]]="","",Table1_1[[#This Row],[ship_date]]-Table1_1[[#This Row],[order_date]])</f>
        <v>6</v>
      </c>
      <c r="Z1781">
        <f>ROUND(Table1_1[[#This Row],[profit]]/Table1_1[[#This Row],[sales_fix]]*100,2)</f>
        <v>32.39</v>
      </c>
    </row>
    <row r="1782" spans="1:26" x14ac:dyDescent="0.3">
      <c r="A1782" t="s">
        <v>2300</v>
      </c>
      <c r="B1782" s="1">
        <v>45981</v>
      </c>
      <c r="C1782" s="1">
        <v>45987</v>
      </c>
      <c r="D1782" t="s">
        <v>244</v>
      </c>
      <c r="E1782" t="s">
        <v>245</v>
      </c>
      <c r="F1782" t="s">
        <v>23</v>
      </c>
      <c r="G1782" t="s">
        <v>61</v>
      </c>
      <c r="H1782" t="s">
        <v>62</v>
      </c>
      <c r="I1782" t="s">
        <v>114</v>
      </c>
      <c r="J1782" t="s">
        <v>115</v>
      </c>
      <c r="K1782" t="s">
        <v>65</v>
      </c>
      <c r="L1782">
        <v>1</v>
      </c>
      <c r="M1782">
        <v>55000</v>
      </c>
      <c r="N1782">
        <v>10</v>
      </c>
      <c r="O1782">
        <v>49500</v>
      </c>
      <c r="P1782">
        <v>6863.93</v>
      </c>
      <c r="Q1782" t="s">
        <v>74</v>
      </c>
      <c r="R1782" t="s">
        <v>49</v>
      </c>
      <c r="S1782" t="s">
        <v>110</v>
      </c>
      <c r="T1782">
        <f>YEAR(Table1_1[[#This Row],[order_date]])</f>
        <v>2025</v>
      </c>
      <c r="U1782">
        <f>MONTH(Table1_1[[#This Row],[order_date]])</f>
        <v>11</v>
      </c>
      <c r="V1782" t="str">
        <f>TEXT(Table1_1[[#This Row],[order_date]],"mmm")</f>
        <v>Nov</v>
      </c>
      <c r="W1782" t="str">
        <f>"Q"&amp;ROUNDUP(MONTH(Table1_1[[#This Row],[order_date]])/3,0)</f>
        <v>Q4</v>
      </c>
      <c r="X1782" t="str">
        <f>TEXT(Table1_1[[#This Row],[order_date]],"yyyy-mm")</f>
        <v>2025-11</v>
      </c>
      <c r="Y1782">
        <f>IF(Table1_1[[#This Row],[ship_date]]="","",Table1_1[[#This Row],[ship_date]]-Table1_1[[#This Row],[order_date]])</f>
        <v>6</v>
      </c>
      <c r="Z1782">
        <f>ROUND(Table1_1[[#This Row],[profit]]/Table1_1[[#This Row],[sales_fix]]*100,2)</f>
        <v>13.87</v>
      </c>
    </row>
    <row r="1783" spans="1:26" x14ac:dyDescent="0.3">
      <c r="A1783" t="s">
        <v>3045</v>
      </c>
      <c r="B1783" s="1">
        <v>45694</v>
      </c>
      <c r="C1783" s="1">
        <v>45700</v>
      </c>
      <c r="D1783" t="s">
        <v>356</v>
      </c>
      <c r="E1783" t="s">
        <v>357</v>
      </c>
      <c r="F1783" t="s">
        <v>23</v>
      </c>
      <c r="G1783" t="s">
        <v>91</v>
      </c>
      <c r="H1783" t="s">
        <v>120</v>
      </c>
      <c r="I1783" t="s">
        <v>46</v>
      </c>
      <c r="J1783" t="s">
        <v>47</v>
      </c>
      <c r="K1783" t="s">
        <v>48</v>
      </c>
      <c r="L1783">
        <v>2</v>
      </c>
      <c r="M1783">
        <v>180</v>
      </c>
      <c r="N1783">
        <v>5</v>
      </c>
      <c r="O1783">
        <v>342</v>
      </c>
      <c r="P1783">
        <v>119.8</v>
      </c>
      <c r="Q1783" t="s">
        <v>39</v>
      </c>
      <c r="R1783" t="s">
        <v>49</v>
      </c>
      <c r="S1783" t="s">
        <v>50</v>
      </c>
      <c r="T1783">
        <f>YEAR(Table1_1[[#This Row],[order_date]])</f>
        <v>2025</v>
      </c>
      <c r="U1783">
        <f>MONTH(Table1_1[[#This Row],[order_date]])</f>
        <v>2</v>
      </c>
      <c r="V1783" t="str">
        <f>TEXT(Table1_1[[#This Row],[order_date]],"mmm")</f>
        <v>Feb</v>
      </c>
      <c r="W1783" t="str">
        <f>"Q"&amp;ROUNDUP(MONTH(Table1_1[[#This Row],[order_date]])/3,0)</f>
        <v>Q1</v>
      </c>
      <c r="X1783" t="str">
        <f>TEXT(Table1_1[[#This Row],[order_date]],"yyyy-mm")</f>
        <v>2025-02</v>
      </c>
      <c r="Y1783">
        <f>IF(Table1_1[[#This Row],[ship_date]]="","",Table1_1[[#This Row],[ship_date]]-Table1_1[[#This Row],[order_date]])</f>
        <v>6</v>
      </c>
      <c r="Z1783">
        <f>ROUND(Table1_1[[#This Row],[profit]]/Table1_1[[#This Row],[sales_fix]]*100,2)</f>
        <v>35.03</v>
      </c>
    </row>
    <row r="1784" spans="1:26" x14ac:dyDescent="0.3">
      <c r="A1784" t="s">
        <v>1348</v>
      </c>
      <c r="B1784" s="1">
        <v>45428</v>
      </c>
      <c r="C1784" s="1">
        <v>45433</v>
      </c>
      <c r="D1784" t="s">
        <v>1343</v>
      </c>
      <c r="E1784" t="s">
        <v>1344</v>
      </c>
      <c r="F1784" t="s">
        <v>34</v>
      </c>
      <c r="G1784" t="s">
        <v>91</v>
      </c>
      <c r="H1784" t="s">
        <v>177</v>
      </c>
      <c r="I1784" t="s">
        <v>126</v>
      </c>
      <c r="J1784" t="s">
        <v>127</v>
      </c>
      <c r="K1784" t="s">
        <v>95</v>
      </c>
      <c r="L1784">
        <v>3</v>
      </c>
      <c r="M1784">
        <v>600</v>
      </c>
      <c r="N1784">
        <v>15</v>
      </c>
      <c r="O1784">
        <v>1530</v>
      </c>
      <c r="P1784">
        <v>540.95000000000005</v>
      </c>
      <c r="Q1784" t="s">
        <v>28</v>
      </c>
      <c r="R1784" t="s">
        <v>29</v>
      </c>
      <c r="S1784" t="s">
        <v>50</v>
      </c>
      <c r="T1784">
        <f>YEAR(Table1_1[[#This Row],[order_date]])</f>
        <v>2024</v>
      </c>
      <c r="U1784">
        <f>MONTH(Table1_1[[#This Row],[order_date]])</f>
        <v>5</v>
      </c>
      <c r="V1784" t="str">
        <f>TEXT(Table1_1[[#This Row],[order_date]],"mmm")</f>
        <v>May</v>
      </c>
      <c r="W1784" t="str">
        <f>"Q"&amp;ROUNDUP(MONTH(Table1_1[[#This Row],[order_date]])/3,0)</f>
        <v>Q2</v>
      </c>
      <c r="X1784" t="str">
        <f>TEXT(Table1_1[[#This Row],[order_date]],"yyyy-mm")</f>
        <v>2024-05</v>
      </c>
      <c r="Y1784">
        <f>IF(Table1_1[[#This Row],[ship_date]]="","",Table1_1[[#This Row],[ship_date]]-Table1_1[[#This Row],[order_date]])</f>
        <v>5</v>
      </c>
      <c r="Z1784">
        <f>ROUND(Table1_1[[#This Row],[profit]]/Table1_1[[#This Row],[sales_fix]]*100,2)</f>
        <v>35.36</v>
      </c>
    </row>
    <row r="1785" spans="1:26" x14ac:dyDescent="0.3">
      <c r="A1785" t="s">
        <v>116</v>
      </c>
      <c r="B1785" s="1">
        <v>45397</v>
      </c>
      <c r="C1785" s="1">
        <v>45403</v>
      </c>
      <c r="D1785" t="s">
        <v>118</v>
      </c>
      <c r="E1785" t="s">
        <v>119</v>
      </c>
      <c r="F1785" t="s">
        <v>34</v>
      </c>
      <c r="G1785" t="s">
        <v>91</v>
      </c>
      <c r="H1785" t="s">
        <v>120</v>
      </c>
      <c r="I1785" t="s">
        <v>93</v>
      </c>
      <c r="J1785" t="s">
        <v>94</v>
      </c>
      <c r="K1785" t="s">
        <v>95</v>
      </c>
      <c r="L1785">
        <v>1</v>
      </c>
      <c r="M1785">
        <v>1800</v>
      </c>
      <c r="N1785">
        <v>0</v>
      </c>
      <c r="O1785">
        <v>1800</v>
      </c>
      <c r="P1785">
        <v>506.7</v>
      </c>
      <c r="Q1785" t="s">
        <v>121</v>
      </c>
      <c r="R1785" t="s">
        <v>56</v>
      </c>
      <c r="S1785" t="s">
        <v>110</v>
      </c>
      <c r="T1785">
        <f>YEAR(Table1_1[[#This Row],[order_date]])</f>
        <v>2024</v>
      </c>
      <c r="U1785">
        <f>MONTH(Table1_1[[#This Row],[order_date]])</f>
        <v>4</v>
      </c>
      <c r="V1785" t="str">
        <f>TEXT(Table1_1[[#This Row],[order_date]],"mmm")</f>
        <v>Apr</v>
      </c>
      <c r="W1785" t="str">
        <f>"Q"&amp;ROUNDUP(MONTH(Table1_1[[#This Row],[order_date]])/3,0)</f>
        <v>Q2</v>
      </c>
      <c r="X1785" t="str">
        <f>TEXT(Table1_1[[#This Row],[order_date]],"yyyy-mm")</f>
        <v>2024-04</v>
      </c>
      <c r="Y1785">
        <f>IF(Table1_1[[#This Row],[ship_date]]="","",Table1_1[[#This Row],[ship_date]]-Table1_1[[#This Row],[order_date]])</f>
        <v>6</v>
      </c>
      <c r="Z1785">
        <f>ROUND(Table1_1[[#This Row],[profit]]/Table1_1[[#This Row],[sales_fix]]*100,2)</f>
        <v>28.15</v>
      </c>
    </row>
    <row r="1786" spans="1:26" x14ac:dyDescent="0.3">
      <c r="A1786" t="s">
        <v>2616</v>
      </c>
      <c r="B1786" s="1">
        <v>45643</v>
      </c>
      <c r="C1786" s="1">
        <v>45647</v>
      </c>
      <c r="D1786" t="s">
        <v>32</v>
      </c>
      <c r="E1786" t="s">
        <v>33</v>
      </c>
      <c r="F1786" t="s">
        <v>34</v>
      </c>
      <c r="G1786" t="s">
        <v>35</v>
      </c>
      <c r="H1786" t="s">
        <v>36</v>
      </c>
      <c r="I1786" t="s">
        <v>79</v>
      </c>
      <c r="J1786" t="s">
        <v>80</v>
      </c>
      <c r="K1786" t="s">
        <v>65</v>
      </c>
      <c r="L1786">
        <v>10</v>
      </c>
      <c r="M1786">
        <v>3000</v>
      </c>
      <c r="N1786">
        <v>0</v>
      </c>
      <c r="O1786">
        <v>30000</v>
      </c>
      <c r="P1786">
        <v>7753.15</v>
      </c>
      <c r="Q1786" t="s">
        <v>156</v>
      </c>
      <c r="R1786" t="s">
        <v>29</v>
      </c>
      <c r="S1786" t="s">
        <v>110</v>
      </c>
      <c r="T1786">
        <f>YEAR(Table1_1[[#This Row],[order_date]])</f>
        <v>2024</v>
      </c>
      <c r="U1786">
        <f>MONTH(Table1_1[[#This Row],[order_date]])</f>
        <v>12</v>
      </c>
      <c r="V1786" t="str">
        <f>TEXT(Table1_1[[#This Row],[order_date]],"mmm")</f>
        <v>Dec</v>
      </c>
      <c r="W1786" t="str">
        <f>"Q"&amp;ROUNDUP(MONTH(Table1_1[[#This Row],[order_date]])/3,0)</f>
        <v>Q4</v>
      </c>
      <c r="X1786" t="str">
        <f>TEXT(Table1_1[[#This Row],[order_date]],"yyyy-mm")</f>
        <v>2024-12</v>
      </c>
      <c r="Y1786">
        <f>IF(Table1_1[[#This Row],[ship_date]]="","",Table1_1[[#This Row],[ship_date]]-Table1_1[[#This Row],[order_date]])</f>
        <v>4</v>
      </c>
      <c r="Z1786">
        <f>ROUND(Table1_1[[#This Row],[profit]]/Table1_1[[#This Row],[sales_fix]]*100,2)</f>
        <v>25.84</v>
      </c>
    </row>
    <row r="1787" spans="1:26" x14ac:dyDescent="0.3">
      <c r="A1787" t="s">
        <v>2249</v>
      </c>
      <c r="B1787" s="1">
        <v>45994</v>
      </c>
      <c r="C1787" s="1">
        <v>46001</v>
      </c>
      <c r="D1787" t="s">
        <v>692</v>
      </c>
      <c r="E1787" t="s">
        <v>2006</v>
      </c>
      <c r="F1787" t="s">
        <v>55</v>
      </c>
      <c r="G1787" t="s">
        <v>91</v>
      </c>
      <c r="H1787" t="s">
        <v>120</v>
      </c>
      <c r="I1787" t="s">
        <v>93</v>
      </c>
      <c r="J1787" t="s">
        <v>94</v>
      </c>
      <c r="K1787" t="s">
        <v>95</v>
      </c>
      <c r="L1787">
        <v>1</v>
      </c>
      <c r="M1787">
        <v>1800</v>
      </c>
      <c r="N1787">
        <v>10</v>
      </c>
      <c r="O1787">
        <v>1620</v>
      </c>
      <c r="P1787">
        <v>420.99</v>
      </c>
      <c r="Q1787" t="s">
        <v>74</v>
      </c>
      <c r="R1787" t="s">
        <v>49</v>
      </c>
      <c r="S1787" t="s">
        <v>86</v>
      </c>
      <c r="T1787">
        <f>YEAR(Table1_1[[#This Row],[order_date]])</f>
        <v>2025</v>
      </c>
      <c r="U1787">
        <f>MONTH(Table1_1[[#This Row],[order_date]])</f>
        <v>12</v>
      </c>
      <c r="V1787" t="str">
        <f>TEXT(Table1_1[[#This Row],[order_date]],"mmm")</f>
        <v>Dec</v>
      </c>
      <c r="W1787" t="str">
        <f>"Q"&amp;ROUNDUP(MONTH(Table1_1[[#This Row],[order_date]])/3,0)</f>
        <v>Q4</v>
      </c>
      <c r="X1787" t="str">
        <f>TEXT(Table1_1[[#This Row],[order_date]],"yyyy-mm")</f>
        <v>2025-12</v>
      </c>
      <c r="Y1787">
        <f>IF(Table1_1[[#This Row],[ship_date]]="","",Table1_1[[#This Row],[ship_date]]-Table1_1[[#This Row],[order_date]])</f>
        <v>7</v>
      </c>
      <c r="Z1787">
        <f>ROUND(Table1_1[[#This Row],[profit]]/Table1_1[[#This Row],[sales_fix]]*100,2)</f>
        <v>25.99</v>
      </c>
    </row>
    <row r="1788" spans="1:26" x14ac:dyDescent="0.3">
      <c r="A1788" t="s">
        <v>1581</v>
      </c>
      <c r="B1788" s="1">
        <v>45561</v>
      </c>
      <c r="C1788" s="1">
        <v>45562</v>
      </c>
      <c r="D1788" t="s">
        <v>731</v>
      </c>
      <c r="E1788" t="s">
        <v>732</v>
      </c>
      <c r="F1788" t="s">
        <v>34</v>
      </c>
      <c r="G1788" t="s">
        <v>44</v>
      </c>
      <c r="H1788" t="s">
        <v>155</v>
      </c>
      <c r="I1788" t="s">
        <v>46</v>
      </c>
      <c r="J1788" t="s">
        <v>47</v>
      </c>
      <c r="K1788" t="s">
        <v>48</v>
      </c>
      <c r="L1788">
        <v>5</v>
      </c>
      <c r="M1788">
        <v>180</v>
      </c>
      <c r="N1788">
        <v>20</v>
      </c>
      <c r="O1788">
        <v>720</v>
      </c>
      <c r="P1788">
        <v>299.20999999999998</v>
      </c>
      <c r="Q1788" t="s">
        <v>39</v>
      </c>
      <c r="R1788" t="s">
        <v>49</v>
      </c>
      <c r="S1788" t="s">
        <v>30</v>
      </c>
      <c r="T1788">
        <f>YEAR(Table1_1[[#This Row],[order_date]])</f>
        <v>2024</v>
      </c>
      <c r="U1788">
        <f>MONTH(Table1_1[[#This Row],[order_date]])</f>
        <v>9</v>
      </c>
      <c r="V1788" t="str">
        <f>TEXT(Table1_1[[#This Row],[order_date]],"mmm")</f>
        <v>Sep</v>
      </c>
      <c r="W1788" t="str">
        <f>"Q"&amp;ROUNDUP(MONTH(Table1_1[[#This Row],[order_date]])/3,0)</f>
        <v>Q3</v>
      </c>
      <c r="X1788" t="str">
        <f>TEXT(Table1_1[[#This Row],[order_date]],"yyyy-mm")</f>
        <v>2024-09</v>
      </c>
      <c r="Y1788">
        <f>IF(Table1_1[[#This Row],[ship_date]]="","",Table1_1[[#This Row],[ship_date]]-Table1_1[[#This Row],[order_date]])</f>
        <v>1</v>
      </c>
      <c r="Z1788">
        <f>ROUND(Table1_1[[#This Row],[profit]]/Table1_1[[#This Row],[sales_fix]]*100,2)</f>
        <v>41.56</v>
      </c>
    </row>
    <row r="1789" spans="1:26" x14ac:dyDescent="0.3">
      <c r="A1789" t="s">
        <v>2889</v>
      </c>
      <c r="B1789" s="1">
        <v>45521</v>
      </c>
      <c r="C1789" s="1">
        <v>45523</v>
      </c>
      <c r="D1789" t="s">
        <v>285</v>
      </c>
      <c r="E1789" t="s">
        <v>286</v>
      </c>
      <c r="F1789" t="s">
        <v>23</v>
      </c>
      <c r="G1789" t="s">
        <v>61</v>
      </c>
      <c r="H1789" t="s">
        <v>78</v>
      </c>
      <c r="I1789" t="s">
        <v>25</v>
      </c>
      <c r="J1789" t="s">
        <v>26</v>
      </c>
      <c r="K1789" t="s">
        <v>27</v>
      </c>
      <c r="L1789">
        <v>1</v>
      </c>
      <c r="M1789">
        <v>7000</v>
      </c>
      <c r="N1789">
        <v>0</v>
      </c>
      <c r="O1789">
        <v>7000</v>
      </c>
      <c r="P1789">
        <v>1464.93</v>
      </c>
      <c r="Q1789" t="s">
        <v>156</v>
      </c>
      <c r="R1789" t="s">
        <v>56</v>
      </c>
      <c r="S1789" t="s">
        <v>40</v>
      </c>
      <c r="T1789">
        <f>YEAR(Table1_1[[#This Row],[order_date]])</f>
        <v>2024</v>
      </c>
      <c r="U1789">
        <f>MONTH(Table1_1[[#This Row],[order_date]])</f>
        <v>8</v>
      </c>
      <c r="V1789" t="str">
        <f>TEXT(Table1_1[[#This Row],[order_date]],"mmm")</f>
        <v>Aug</v>
      </c>
      <c r="W1789" t="str">
        <f>"Q"&amp;ROUNDUP(MONTH(Table1_1[[#This Row],[order_date]])/3,0)</f>
        <v>Q3</v>
      </c>
      <c r="X1789" t="str">
        <f>TEXT(Table1_1[[#This Row],[order_date]],"yyyy-mm")</f>
        <v>2024-08</v>
      </c>
      <c r="Y1789">
        <f>IF(Table1_1[[#This Row],[ship_date]]="","",Table1_1[[#This Row],[ship_date]]-Table1_1[[#This Row],[order_date]])</f>
        <v>2</v>
      </c>
      <c r="Z1789">
        <f>ROUND(Table1_1[[#This Row],[profit]]/Table1_1[[#This Row],[sales_fix]]*100,2)</f>
        <v>20.93</v>
      </c>
    </row>
    <row r="1790" spans="1:26" x14ac:dyDescent="0.3">
      <c r="A1790" t="s">
        <v>1960</v>
      </c>
      <c r="B1790" s="1">
        <v>45784</v>
      </c>
      <c r="C1790" s="1">
        <v>45790</v>
      </c>
      <c r="D1790" t="s">
        <v>328</v>
      </c>
      <c r="E1790" t="s">
        <v>329</v>
      </c>
      <c r="F1790" t="s">
        <v>23</v>
      </c>
      <c r="G1790" t="s">
        <v>44</v>
      </c>
      <c r="H1790" t="s">
        <v>330</v>
      </c>
      <c r="I1790" t="s">
        <v>63</v>
      </c>
      <c r="J1790" t="s">
        <v>64</v>
      </c>
      <c r="K1790" t="s">
        <v>65</v>
      </c>
      <c r="L1790">
        <v>2</v>
      </c>
      <c r="M1790">
        <v>25000</v>
      </c>
      <c r="N1790">
        <v>0</v>
      </c>
      <c r="O1790">
        <v>50000</v>
      </c>
      <c r="P1790">
        <v>5390.67</v>
      </c>
      <c r="Q1790" t="s">
        <v>39</v>
      </c>
      <c r="R1790" t="s">
        <v>29</v>
      </c>
      <c r="S1790" t="s">
        <v>110</v>
      </c>
      <c r="T1790">
        <f>YEAR(Table1_1[[#This Row],[order_date]])</f>
        <v>2025</v>
      </c>
      <c r="U1790">
        <f>MONTH(Table1_1[[#This Row],[order_date]])</f>
        <v>5</v>
      </c>
      <c r="V1790" t="str">
        <f>TEXT(Table1_1[[#This Row],[order_date]],"mmm")</f>
        <v>May</v>
      </c>
      <c r="W1790" t="str">
        <f>"Q"&amp;ROUNDUP(MONTH(Table1_1[[#This Row],[order_date]])/3,0)</f>
        <v>Q2</v>
      </c>
      <c r="X1790" t="str">
        <f>TEXT(Table1_1[[#This Row],[order_date]],"yyyy-mm")</f>
        <v>2025-05</v>
      </c>
      <c r="Y1790">
        <f>IF(Table1_1[[#This Row],[ship_date]]="","",Table1_1[[#This Row],[ship_date]]-Table1_1[[#This Row],[order_date]])</f>
        <v>6</v>
      </c>
      <c r="Z1790">
        <f>ROUND(Table1_1[[#This Row],[profit]]/Table1_1[[#This Row],[sales_fix]]*100,2)</f>
        <v>10.78</v>
      </c>
    </row>
    <row r="1791" spans="1:26" x14ac:dyDescent="0.3">
      <c r="A1791" t="s">
        <v>1895</v>
      </c>
      <c r="B1791" s="1">
        <v>45664</v>
      </c>
      <c r="C1791" s="1">
        <v>45669</v>
      </c>
      <c r="D1791" t="s">
        <v>244</v>
      </c>
      <c r="E1791" t="s">
        <v>245</v>
      </c>
      <c r="F1791" t="s">
        <v>23</v>
      </c>
      <c r="G1791" t="s">
        <v>61</v>
      </c>
      <c r="H1791" t="s">
        <v>62</v>
      </c>
      <c r="I1791" t="s">
        <v>63</v>
      </c>
      <c r="J1791" t="s">
        <v>64</v>
      </c>
      <c r="K1791" t="s">
        <v>65</v>
      </c>
      <c r="L1791">
        <v>1</v>
      </c>
      <c r="M1791">
        <v>25000</v>
      </c>
      <c r="N1791">
        <v>0</v>
      </c>
      <c r="O1791">
        <v>25000</v>
      </c>
      <c r="P1791">
        <v>2757.31</v>
      </c>
      <c r="Q1791" t="s">
        <v>28</v>
      </c>
      <c r="R1791" t="s">
        <v>29</v>
      </c>
      <c r="S1791" t="s">
        <v>110</v>
      </c>
      <c r="T1791">
        <f>YEAR(Table1_1[[#This Row],[order_date]])</f>
        <v>2025</v>
      </c>
      <c r="U1791">
        <f>MONTH(Table1_1[[#This Row],[order_date]])</f>
        <v>1</v>
      </c>
      <c r="V1791" t="str">
        <f>TEXT(Table1_1[[#This Row],[order_date]],"mmm")</f>
        <v>Jan</v>
      </c>
      <c r="W1791" t="str">
        <f>"Q"&amp;ROUNDUP(MONTH(Table1_1[[#This Row],[order_date]])/3,0)</f>
        <v>Q1</v>
      </c>
      <c r="X1791" t="str">
        <f>TEXT(Table1_1[[#This Row],[order_date]],"yyyy-mm")</f>
        <v>2025-01</v>
      </c>
      <c r="Y1791">
        <f>IF(Table1_1[[#This Row],[ship_date]]="","",Table1_1[[#This Row],[ship_date]]-Table1_1[[#This Row],[order_date]])</f>
        <v>5</v>
      </c>
      <c r="Z1791">
        <f>ROUND(Table1_1[[#This Row],[profit]]/Table1_1[[#This Row],[sales_fix]]*100,2)</f>
        <v>11.03</v>
      </c>
    </row>
    <row r="1792" spans="1:26" x14ac:dyDescent="0.3">
      <c r="A1792" t="s">
        <v>1926</v>
      </c>
      <c r="B1792" s="1">
        <v>45401</v>
      </c>
      <c r="C1792" s="1">
        <v>45405</v>
      </c>
      <c r="D1792" t="s">
        <v>1398</v>
      </c>
      <c r="E1792" t="s">
        <v>1399</v>
      </c>
      <c r="F1792" t="s">
        <v>34</v>
      </c>
      <c r="G1792" t="s">
        <v>91</v>
      </c>
      <c r="H1792" t="s">
        <v>92</v>
      </c>
      <c r="I1792" t="s">
        <v>103</v>
      </c>
      <c r="J1792" t="s">
        <v>104</v>
      </c>
      <c r="K1792" t="s">
        <v>65</v>
      </c>
      <c r="L1792">
        <v>1</v>
      </c>
      <c r="M1792">
        <v>8000</v>
      </c>
      <c r="N1792">
        <v>0</v>
      </c>
      <c r="O1792">
        <v>8000</v>
      </c>
      <c r="P1792">
        <v>1692.89</v>
      </c>
      <c r="Q1792" t="s">
        <v>28</v>
      </c>
      <c r="R1792" t="s">
        <v>49</v>
      </c>
      <c r="S1792" t="s">
        <v>40</v>
      </c>
      <c r="T1792">
        <f>YEAR(Table1_1[[#This Row],[order_date]])</f>
        <v>2024</v>
      </c>
      <c r="U1792">
        <f>MONTH(Table1_1[[#This Row],[order_date]])</f>
        <v>4</v>
      </c>
      <c r="V1792" t="str">
        <f>TEXT(Table1_1[[#This Row],[order_date]],"mmm")</f>
        <v>Apr</v>
      </c>
      <c r="W1792" t="str">
        <f>"Q"&amp;ROUNDUP(MONTH(Table1_1[[#This Row],[order_date]])/3,0)</f>
        <v>Q2</v>
      </c>
      <c r="X1792" t="str">
        <f>TEXT(Table1_1[[#This Row],[order_date]],"yyyy-mm")</f>
        <v>2024-04</v>
      </c>
      <c r="Y1792">
        <f>IF(Table1_1[[#This Row],[ship_date]]="","",Table1_1[[#This Row],[ship_date]]-Table1_1[[#This Row],[order_date]])</f>
        <v>4</v>
      </c>
      <c r="Z1792">
        <f>ROUND(Table1_1[[#This Row],[profit]]/Table1_1[[#This Row],[sales_fix]]*100,2)</f>
        <v>21.16</v>
      </c>
    </row>
    <row r="1793" spans="1:26" x14ac:dyDescent="0.3">
      <c r="A1793" t="s">
        <v>2709</v>
      </c>
      <c r="B1793" s="1">
        <v>45728</v>
      </c>
      <c r="C1793" s="1">
        <v>45733</v>
      </c>
      <c r="D1793" t="s">
        <v>203</v>
      </c>
      <c r="E1793" t="s">
        <v>204</v>
      </c>
      <c r="F1793" t="s">
        <v>23</v>
      </c>
      <c r="G1793" t="s">
        <v>44</v>
      </c>
      <c r="H1793" t="s">
        <v>45</v>
      </c>
      <c r="I1793" t="s">
        <v>103</v>
      </c>
      <c r="J1793" t="s">
        <v>104</v>
      </c>
      <c r="K1793" t="s">
        <v>65</v>
      </c>
      <c r="L1793">
        <v>2</v>
      </c>
      <c r="M1793">
        <v>8000</v>
      </c>
      <c r="N1793">
        <v>0</v>
      </c>
      <c r="O1793">
        <v>16000</v>
      </c>
      <c r="P1793">
        <v>2873.27</v>
      </c>
      <c r="Q1793" t="s">
        <v>3113</v>
      </c>
      <c r="R1793" t="s">
        <v>56</v>
      </c>
      <c r="S1793" t="s">
        <v>86</v>
      </c>
      <c r="T1793">
        <f>YEAR(Table1_1[[#This Row],[order_date]])</f>
        <v>2025</v>
      </c>
      <c r="U1793">
        <f>MONTH(Table1_1[[#This Row],[order_date]])</f>
        <v>3</v>
      </c>
      <c r="V1793" t="str">
        <f>TEXT(Table1_1[[#This Row],[order_date]],"mmm")</f>
        <v>Mar</v>
      </c>
      <c r="W1793" t="str">
        <f>"Q"&amp;ROUNDUP(MONTH(Table1_1[[#This Row],[order_date]])/3,0)</f>
        <v>Q1</v>
      </c>
      <c r="X1793" t="str">
        <f>TEXT(Table1_1[[#This Row],[order_date]],"yyyy-mm")</f>
        <v>2025-03</v>
      </c>
      <c r="Y1793">
        <f>IF(Table1_1[[#This Row],[ship_date]]="","",Table1_1[[#This Row],[ship_date]]-Table1_1[[#This Row],[order_date]])</f>
        <v>5</v>
      </c>
      <c r="Z1793">
        <f>ROUND(Table1_1[[#This Row],[profit]]/Table1_1[[#This Row],[sales_fix]]*100,2)</f>
        <v>17.96</v>
      </c>
    </row>
    <row r="1794" spans="1:26" x14ac:dyDescent="0.3">
      <c r="A1794" t="s">
        <v>2050</v>
      </c>
      <c r="B1794" s="1">
        <v>45328</v>
      </c>
      <c r="C1794" s="1">
        <v>45330</v>
      </c>
      <c r="D1794" t="s">
        <v>924</v>
      </c>
      <c r="E1794" t="s">
        <v>925</v>
      </c>
      <c r="F1794" t="s">
        <v>34</v>
      </c>
      <c r="G1794" t="s">
        <v>35</v>
      </c>
      <c r="H1794" t="s">
        <v>258</v>
      </c>
      <c r="I1794" t="s">
        <v>63</v>
      </c>
      <c r="J1794" t="s">
        <v>64</v>
      </c>
      <c r="K1794" t="s">
        <v>65</v>
      </c>
      <c r="L1794">
        <v>3</v>
      </c>
      <c r="M1794">
        <v>25000</v>
      </c>
      <c r="N1794">
        <v>0</v>
      </c>
      <c r="O1794">
        <v>75000</v>
      </c>
      <c r="P1794">
        <v>9929.85</v>
      </c>
      <c r="Q1794" t="s">
        <v>156</v>
      </c>
      <c r="R1794" t="s">
        <v>56</v>
      </c>
      <c r="S1794" t="s">
        <v>40</v>
      </c>
      <c r="T1794">
        <f>YEAR(Table1_1[[#This Row],[order_date]])</f>
        <v>2024</v>
      </c>
      <c r="U1794">
        <f>MONTH(Table1_1[[#This Row],[order_date]])</f>
        <v>2</v>
      </c>
      <c r="V1794" t="str">
        <f>TEXT(Table1_1[[#This Row],[order_date]],"mmm")</f>
        <v>Feb</v>
      </c>
      <c r="W1794" t="str">
        <f>"Q"&amp;ROUNDUP(MONTH(Table1_1[[#This Row],[order_date]])/3,0)</f>
        <v>Q1</v>
      </c>
      <c r="X1794" t="str">
        <f>TEXT(Table1_1[[#This Row],[order_date]],"yyyy-mm")</f>
        <v>2024-02</v>
      </c>
      <c r="Y1794">
        <f>IF(Table1_1[[#This Row],[ship_date]]="","",Table1_1[[#This Row],[ship_date]]-Table1_1[[#This Row],[order_date]])</f>
        <v>2</v>
      </c>
      <c r="Z1794">
        <f>ROUND(Table1_1[[#This Row],[profit]]/Table1_1[[#This Row],[sales_fix]]*100,2)</f>
        <v>13.24</v>
      </c>
    </row>
    <row r="1795" spans="1:26" x14ac:dyDescent="0.3">
      <c r="A1795" t="s">
        <v>2579</v>
      </c>
      <c r="B1795" s="1">
        <v>45353</v>
      </c>
      <c r="C1795" s="1">
        <v>45361</v>
      </c>
      <c r="D1795" t="s">
        <v>166</v>
      </c>
      <c r="E1795" t="s">
        <v>167</v>
      </c>
      <c r="F1795" t="s">
        <v>23</v>
      </c>
      <c r="G1795" t="s">
        <v>44</v>
      </c>
      <c r="H1795" t="s">
        <v>161</v>
      </c>
      <c r="I1795" t="s">
        <v>46</v>
      </c>
      <c r="J1795" t="s">
        <v>47</v>
      </c>
      <c r="K1795" t="s">
        <v>48</v>
      </c>
      <c r="L1795">
        <v>2</v>
      </c>
      <c r="M1795">
        <v>180</v>
      </c>
      <c r="N1795">
        <v>20</v>
      </c>
      <c r="O1795">
        <v>288</v>
      </c>
      <c r="P1795">
        <v>97.54</v>
      </c>
      <c r="Q1795" t="s">
        <v>66</v>
      </c>
      <c r="R1795" t="s">
        <v>49</v>
      </c>
      <c r="S1795" t="s">
        <v>110</v>
      </c>
      <c r="T1795">
        <f>YEAR(Table1_1[[#This Row],[order_date]])</f>
        <v>2024</v>
      </c>
      <c r="U1795">
        <f>MONTH(Table1_1[[#This Row],[order_date]])</f>
        <v>3</v>
      </c>
      <c r="V1795" t="str">
        <f>TEXT(Table1_1[[#This Row],[order_date]],"mmm")</f>
        <v>Mar</v>
      </c>
      <c r="W1795" t="str">
        <f>"Q"&amp;ROUNDUP(MONTH(Table1_1[[#This Row],[order_date]])/3,0)</f>
        <v>Q1</v>
      </c>
      <c r="X1795" t="str">
        <f>TEXT(Table1_1[[#This Row],[order_date]],"yyyy-mm")</f>
        <v>2024-03</v>
      </c>
      <c r="Y1795">
        <f>IF(Table1_1[[#This Row],[ship_date]]="","",Table1_1[[#This Row],[ship_date]]-Table1_1[[#This Row],[order_date]])</f>
        <v>8</v>
      </c>
      <c r="Z1795">
        <f>ROUND(Table1_1[[#This Row],[profit]]/Table1_1[[#This Row],[sales_fix]]*100,2)</f>
        <v>33.869999999999997</v>
      </c>
    </row>
    <row r="1796" spans="1:26" x14ac:dyDescent="0.3">
      <c r="A1796" t="s">
        <v>1901</v>
      </c>
      <c r="B1796" s="1">
        <v>45818</v>
      </c>
      <c r="C1796" s="1">
        <v>45825</v>
      </c>
      <c r="D1796" t="s">
        <v>602</v>
      </c>
      <c r="E1796" t="s">
        <v>603</v>
      </c>
      <c r="F1796" t="s">
        <v>34</v>
      </c>
      <c r="G1796" t="s">
        <v>61</v>
      </c>
      <c r="H1796" t="s">
        <v>125</v>
      </c>
      <c r="I1796" t="s">
        <v>103</v>
      </c>
      <c r="J1796" t="s">
        <v>104</v>
      </c>
      <c r="K1796" t="s">
        <v>65</v>
      </c>
      <c r="L1796">
        <v>2</v>
      </c>
      <c r="M1796">
        <v>8000</v>
      </c>
      <c r="N1796">
        <v>20</v>
      </c>
      <c r="O1796">
        <v>12800</v>
      </c>
      <c r="P1796">
        <v>3221.74</v>
      </c>
      <c r="Q1796" t="s">
        <v>121</v>
      </c>
      <c r="R1796" t="s">
        <v>29</v>
      </c>
      <c r="S1796" t="s">
        <v>110</v>
      </c>
      <c r="T1796">
        <f>YEAR(Table1_1[[#This Row],[order_date]])</f>
        <v>2025</v>
      </c>
      <c r="U1796">
        <f>MONTH(Table1_1[[#This Row],[order_date]])</f>
        <v>6</v>
      </c>
      <c r="V1796" t="str">
        <f>TEXT(Table1_1[[#This Row],[order_date]],"mmm")</f>
        <v>Jun</v>
      </c>
      <c r="W1796" t="str">
        <f>"Q"&amp;ROUNDUP(MONTH(Table1_1[[#This Row],[order_date]])/3,0)</f>
        <v>Q2</v>
      </c>
      <c r="X1796" t="str">
        <f>TEXT(Table1_1[[#This Row],[order_date]],"yyyy-mm")</f>
        <v>2025-06</v>
      </c>
      <c r="Y1796">
        <f>IF(Table1_1[[#This Row],[ship_date]]="","",Table1_1[[#This Row],[ship_date]]-Table1_1[[#This Row],[order_date]])</f>
        <v>7</v>
      </c>
      <c r="Z1796">
        <f>ROUND(Table1_1[[#This Row],[profit]]/Table1_1[[#This Row],[sales_fix]]*100,2)</f>
        <v>25.17</v>
      </c>
    </row>
    <row r="1797" spans="1:26" x14ac:dyDescent="0.3">
      <c r="A1797" t="s">
        <v>585</v>
      </c>
      <c r="B1797" s="1">
        <v>45718</v>
      </c>
      <c r="C1797" s="1">
        <v>45725</v>
      </c>
      <c r="D1797" t="s">
        <v>217</v>
      </c>
      <c r="E1797" t="s">
        <v>218</v>
      </c>
      <c r="F1797" t="s">
        <v>23</v>
      </c>
      <c r="G1797" t="s">
        <v>91</v>
      </c>
      <c r="H1797" t="s">
        <v>109</v>
      </c>
      <c r="I1797" t="s">
        <v>134</v>
      </c>
      <c r="J1797" t="s">
        <v>135</v>
      </c>
      <c r="K1797" t="s">
        <v>27</v>
      </c>
      <c r="L1797">
        <v>1</v>
      </c>
      <c r="M1797">
        <v>6000</v>
      </c>
      <c r="N1797">
        <v>0</v>
      </c>
      <c r="O1797">
        <v>6000</v>
      </c>
      <c r="P1797">
        <v>1505.68</v>
      </c>
      <c r="Q1797" t="s">
        <v>28</v>
      </c>
      <c r="R1797" t="s">
        <v>56</v>
      </c>
      <c r="S1797" t="s">
        <v>86</v>
      </c>
      <c r="T1797">
        <f>YEAR(Table1_1[[#This Row],[order_date]])</f>
        <v>2025</v>
      </c>
      <c r="U1797">
        <f>MONTH(Table1_1[[#This Row],[order_date]])</f>
        <v>3</v>
      </c>
      <c r="V1797" t="str">
        <f>TEXT(Table1_1[[#This Row],[order_date]],"mmm")</f>
        <v>Mar</v>
      </c>
      <c r="W1797" t="str">
        <f>"Q"&amp;ROUNDUP(MONTH(Table1_1[[#This Row],[order_date]])/3,0)</f>
        <v>Q1</v>
      </c>
      <c r="X1797" t="str">
        <f>TEXT(Table1_1[[#This Row],[order_date]],"yyyy-mm")</f>
        <v>2025-03</v>
      </c>
      <c r="Y1797">
        <f>IF(Table1_1[[#This Row],[ship_date]]="","",Table1_1[[#This Row],[ship_date]]-Table1_1[[#This Row],[order_date]])</f>
        <v>7</v>
      </c>
      <c r="Z1797">
        <f>ROUND(Table1_1[[#This Row],[profit]]/Table1_1[[#This Row],[sales_fix]]*100,2)</f>
        <v>25.09</v>
      </c>
    </row>
    <row r="1798" spans="1:26" x14ac:dyDescent="0.3">
      <c r="A1798" t="s">
        <v>2849</v>
      </c>
      <c r="B1798" s="1">
        <v>45463</v>
      </c>
      <c r="C1798" s="1">
        <v>45469</v>
      </c>
      <c r="D1798" t="s">
        <v>1019</v>
      </c>
      <c r="E1798" t="s">
        <v>1020</v>
      </c>
      <c r="F1798" t="s">
        <v>55</v>
      </c>
      <c r="G1798" t="s">
        <v>35</v>
      </c>
      <c r="H1798" t="s">
        <v>187</v>
      </c>
      <c r="I1798" t="s">
        <v>25</v>
      </c>
      <c r="J1798" t="s">
        <v>26</v>
      </c>
      <c r="K1798" t="s">
        <v>27</v>
      </c>
      <c r="L1798">
        <v>1</v>
      </c>
      <c r="M1798">
        <v>7000</v>
      </c>
      <c r="N1798">
        <v>15</v>
      </c>
      <c r="O1798">
        <v>5950</v>
      </c>
      <c r="P1798">
        <v>1093.22</v>
      </c>
      <c r="Q1798" t="s">
        <v>156</v>
      </c>
      <c r="R1798" t="s">
        <v>56</v>
      </c>
      <c r="S1798" t="s">
        <v>110</v>
      </c>
      <c r="T1798">
        <f>YEAR(Table1_1[[#This Row],[order_date]])</f>
        <v>2024</v>
      </c>
      <c r="U1798">
        <f>MONTH(Table1_1[[#This Row],[order_date]])</f>
        <v>6</v>
      </c>
      <c r="V1798" t="str">
        <f>TEXT(Table1_1[[#This Row],[order_date]],"mmm")</f>
        <v>Jun</v>
      </c>
      <c r="W1798" t="str">
        <f>"Q"&amp;ROUNDUP(MONTH(Table1_1[[#This Row],[order_date]])/3,0)</f>
        <v>Q2</v>
      </c>
      <c r="X1798" t="str">
        <f>TEXT(Table1_1[[#This Row],[order_date]],"yyyy-mm")</f>
        <v>2024-06</v>
      </c>
      <c r="Y1798">
        <f>IF(Table1_1[[#This Row],[ship_date]]="","",Table1_1[[#This Row],[ship_date]]-Table1_1[[#This Row],[order_date]])</f>
        <v>6</v>
      </c>
      <c r="Z1798">
        <f>ROUND(Table1_1[[#This Row],[profit]]/Table1_1[[#This Row],[sales_fix]]*100,2)</f>
        <v>18.37</v>
      </c>
    </row>
    <row r="1799" spans="1:26" x14ac:dyDescent="0.3">
      <c r="A1799" t="s">
        <v>866</v>
      </c>
      <c r="B1799" s="1">
        <v>45639</v>
      </c>
      <c r="C1799" s="1">
        <v>45645</v>
      </c>
      <c r="D1799" t="s">
        <v>265</v>
      </c>
      <c r="E1799" t="s">
        <v>266</v>
      </c>
      <c r="F1799" t="s">
        <v>55</v>
      </c>
      <c r="G1799" t="s">
        <v>44</v>
      </c>
      <c r="H1799" t="s">
        <v>45</v>
      </c>
      <c r="I1799" t="s">
        <v>126</v>
      </c>
      <c r="J1799" t="s">
        <v>127</v>
      </c>
      <c r="K1799" t="s">
        <v>95</v>
      </c>
      <c r="L1799">
        <v>2</v>
      </c>
      <c r="M1799">
        <v>600</v>
      </c>
      <c r="N1799">
        <v>0</v>
      </c>
      <c r="O1799">
        <v>1200</v>
      </c>
      <c r="P1799">
        <v>464.5</v>
      </c>
      <c r="Q1799" t="s">
        <v>156</v>
      </c>
      <c r="R1799" t="s">
        <v>56</v>
      </c>
      <c r="S1799" t="s">
        <v>110</v>
      </c>
      <c r="T1799">
        <f>YEAR(Table1_1[[#This Row],[order_date]])</f>
        <v>2024</v>
      </c>
      <c r="U1799">
        <f>MONTH(Table1_1[[#This Row],[order_date]])</f>
        <v>12</v>
      </c>
      <c r="V1799" t="str">
        <f>TEXT(Table1_1[[#This Row],[order_date]],"mmm")</f>
        <v>Dec</v>
      </c>
      <c r="W1799" t="str">
        <f>"Q"&amp;ROUNDUP(MONTH(Table1_1[[#This Row],[order_date]])/3,0)</f>
        <v>Q4</v>
      </c>
      <c r="X1799" t="str">
        <f>TEXT(Table1_1[[#This Row],[order_date]],"yyyy-mm")</f>
        <v>2024-12</v>
      </c>
      <c r="Y1799">
        <f>IF(Table1_1[[#This Row],[ship_date]]="","",Table1_1[[#This Row],[ship_date]]-Table1_1[[#This Row],[order_date]])</f>
        <v>6</v>
      </c>
      <c r="Z1799">
        <f>ROUND(Table1_1[[#This Row],[profit]]/Table1_1[[#This Row],[sales_fix]]*100,2)</f>
        <v>38.71</v>
      </c>
    </row>
    <row r="1800" spans="1:26" x14ac:dyDescent="0.3">
      <c r="A1800" t="s">
        <v>1267</v>
      </c>
      <c r="B1800" s="1">
        <v>45423</v>
      </c>
      <c r="C1800" s="1">
        <v>45425</v>
      </c>
      <c r="D1800" t="s">
        <v>220</v>
      </c>
      <c r="E1800" t="s">
        <v>221</v>
      </c>
      <c r="F1800" t="s">
        <v>34</v>
      </c>
      <c r="G1800" t="s">
        <v>44</v>
      </c>
      <c r="H1800" t="s">
        <v>161</v>
      </c>
      <c r="I1800" t="s">
        <v>46</v>
      </c>
      <c r="J1800" t="s">
        <v>47</v>
      </c>
      <c r="K1800" t="s">
        <v>48</v>
      </c>
      <c r="L1800">
        <v>1</v>
      </c>
      <c r="M1800">
        <v>180</v>
      </c>
      <c r="N1800">
        <v>10</v>
      </c>
      <c r="O1800">
        <v>162</v>
      </c>
      <c r="P1800">
        <v>77.58</v>
      </c>
      <c r="Q1800" t="s">
        <v>156</v>
      </c>
      <c r="R1800" t="s">
        <v>49</v>
      </c>
      <c r="S1800" t="s">
        <v>110</v>
      </c>
      <c r="T1800">
        <f>YEAR(Table1_1[[#This Row],[order_date]])</f>
        <v>2024</v>
      </c>
      <c r="U1800">
        <f>MONTH(Table1_1[[#This Row],[order_date]])</f>
        <v>5</v>
      </c>
      <c r="V1800" t="str">
        <f>TEXT(Table1_1[[#This Row],[order_date]],"mmm")</f>
        <v>May</v>
      </c>
      <c r="W1800" t="str">
        <f>"Q"&amp;ROUNDUP(MONTH(Table1_1[[#This Row],[order_date]])/3,0)</f>
        <v>Q2</v>
      </c>
      <c r="X1800" t="str">
        <f>TEXT(Table1_1[[#This Row],[order_date]],"yyyy-mm")</f>
        <v>2024-05</v>
      </c>
      <c r="Y1800">
        <f>IF(Table1_1[[#This Row],[ship_date]]="","",Table1_1[[#This Row],[ship_date]]-Table1_1[[#This Row],[order_date]])</f>
        <v>2</v>
      </c>
      <c r="Z1800">
        <f>ROUND(Table1_1[[#This Row],[profit]]/Table1_1[[#This Row],[sales_fix]]*100,2)</f>
        <v>47.89</v>
      </c>
    </row>
    <row r="1801" spans="1:26" x14ac:dyDescent="0.3">
      <c r="A1801" t="s">
        <v>739</v>
      </c>
      <c r="B1801" s="1">
        <v>45298</v>
      </c>
      <c r="C1801" s="1">
        <v>45303</v>
      </c>
      <c r="D1801" t="s">
        <v>740</v>
      </c>
      <c r="E1801" t="s">
        <v>741</v>
      </c>
      <c r="F1801" t="s">
        <v>55</v>
      </c>
      <c r="G1801" t="s">
        <v>35</v>
      </c>
      <c r="H1801" t="s">
        <v>85</v>
      </c>
      <c r="I1801" t="s">
        <v>79</v>
      </c>
      <c r="J1801" t="s">
        <v>80</v>
      </c>
      <c r="K1801" t="s">
        <v>65</v>
      </c>
      <c r="L1801">
        <v>4</v>
      </c>
      <c r="M1801">
        <v>3000</v>
      </c>
      <c r="N1801">
        <v>0</v>
      </c>
      <c r="O1801">
        <v>12000</v>
      </c>
      <c r="P1801">
        <v>3600</v>
      </c>
      <c r="Q1801" t="s">
        <v>74</v>
      </c>
      <c r="R1801" t="s">
        <v>56</v>
      </c>
      <c r="S1801" t="s">
        <v>50</v>
      </c>
      <c r="T1801">
        <f>YEAR(Table1_1[[#This Row],[order_date]])</f>
        <v>2024</v>
      </c>
      <c r="U1801">
        <f>MONTH(Table1_1[[#This Row],[order_date]])</f>
        <v>1</v>
      </c>
      <c r="V1801" t="str">
        <f>TEXT(Table1_1[[#This Row],[order_date]],"mmm")</f>
        <v>Jan</v>
      </c>
      <c r="W1801" t="str">
        <f>"Q"&amp;ROUNDUP(MONTH(Table1_1[[#This Row],[order_date]])/3,0)</f>
        <v>Q1</v>
      </c>
      <c r="X1801" t="str">
        <f>TEXT(Table1_1[[#This Row],[order_date]],"yyyy-mm")</f>
        <v>2024-01</v>
      </c>
      <c r="Y1801">
        <f>IF(Table1_1[[#This Row],[ship_date]]="","",Table1_1[[#This Row],[ship_date]]-Table1_1[[#This Row],[order_date]])</f>
        <v>5</v>
      </c>
      <c r="Z1801">
        <f>ROUND(Table1_1[[#This Row],[profit]]/Table1_1[[#This Row],[sales_fix]]*100,2)</f>
        <v>30</v>
      </c>
    </row>
    <row r="1802" spans="1:26" x14ac:dyDescent="0.3">
      <c r="A1802" t="s">
        <v>3019</v>
      </c>
      <c r="B1802" s="1">
        <v>45534</v>
      </c>
      <c r="C1802" s="1">
        <v>45536</v>
      </c>
      <c r="D1802" t="s">
        <v>1205</v>
      </c>
      <c r="E1802" t="s">
        <v>1206</v>
      </c>
      <c r="F1802" t="s">
        <v>34</v>
      </c>
      <c r="G1802" t="s">
        <v>44</v>
      </c>
      <c r="H1802" t="s">
        <v>45</v>
      </c>
      <c r="I1802" t="s">
        <v>63</v>
      </c>
      <c r="J1802" t="s">
        <v>64</v>
      </c>
      <c r="K1802" t="s">
        <v>65</v>
      </c>
      <c r="L1802">
        <v>1</v>
      </c>
      <c r="M1802">
        <v>25000</v>
      </c>
      <c r="N1802">
        <v>20</v>
      </c>
      <c r="O1802">
        <v>20000</v>
      </c>
      <c r="P1802">
        <v>3159.7</v>
      </c>
      <c r="Q1802" t="s">
        <v>74</v>
      </c>
      <c r="R1802" t="s">
        <v>49</v>
      </c>
      <c r="S1802" t="s">
        <v>86</v>
      </c>
      <c r="T1802">
        <f>YEAR(Table1_1[[#This Row],[order_date]])</f>
        <v>2024</v>
      </c>
      <c r="U1802">
        <f>MONTH(Table1_1[[#This Row],[order_date]])</f>
        <v>8</v>
      </c>
      <c r="V1802" t="str">
        <f>TEXT(Table1_1[[#This Row],[order_date]],"mmm")</f>
        <v>Aug</v>
      </c>
      <c r="W1802" t="str">
        <f>"Q"&amp;ROUNDUP(MONTH(Table1_1[[#This Row],[order_date]])/3,0)</f>
        <v>Q3</v>
      </c>
      <c r="X1802" t="str">
        <f>TEXT(Table1_1[[#This Row],[order_date]],"yyyy-mm")</f>
        <v>2024-08</v>
      </c>
      <c r="Y1802">
        <f>IF(Table1_1[[#This Row],[ship_date]]="","",Table1_1[[#This Row],[ship_date]]-Table1_1[[#This Row],[order_date]])</f>
        <v>2</v>
      </c>
      <c r="Z1802">
        <f>ROUND(Table1_1[[#This Row],[profit]]/Table1_1[[#This Row],[sales_fix]]*100,2)</f>
        <v>15.8</v>
      </c>
    </row>
    <row r="1803" spans="1:26" x14ac:dyDescent="0.3">
      <c r="A1803" t="s">
        <v>2088</v>
      </c>
      <c r="B1803" s="1">
        <v>45623</v>
      </c>
      <c r="C1803" s="1">
        <v>45630</v>
      </c>
      <c r="D1803" t="s">
        <v>76</v>
      </c>
      <c r="E1803" t="s">
        <v>666</v>
      </c>
      <c r="F1803" t="s">
        <v>23</v>
      </c>
      <c r="G1803" t="s">
        <v>61</v>
      </c>
      <c r="H1803" t="s">
        <v>78</v>
      </c>
      <c r="I1803" t="s">
        <v>114</v>
      </c>
      <c r="J1803" t="s">
        <v>115</v>
      </c>
      <c r="K1803" t="s">
        <v>65</v>
      </c>
      <c r="L1803">
        <v>1</v>
      </c>
      <c r="M1803">
        <v>55000</v>
      </c>
      <c r="N1803">
        <v>0</v>
      </c>
      <c r="O1803">
        <v>55000</v>
      </c>
      <c r="P1803">
        <v>9438.33</v>
      </c>
      <c r="Q1803" t="s">
        <v>39</v>
      </c>
      <c r="R1803" t="s">
        <v>56</v>
      </c>
      <c r="S1803" t="s">
        <v>50</v>
      </c>
      <c r="T1803">
        <f>YEAR(Table1_1[[#This Row],[order_date]])</f>
        <v>2024</v>
      </c>
      <c r="U1803">
        <f>MONTH(Table1_1[[#This Row],[order_date]])</f>
        <v>11</v>
      </c>
      <c r="V1803" t="str">
        <f>TEXT(Table1_1[[#This Row],[order_date]],"mmm")</f>
        <v>Nov</v>
      </c>
      <c r="W1803" t="str">
        <f>"Q"&amp;ROUNDUP(MONTH(Table1_1[[#This Row],[order_date]])/3,0)</f>
        <v>Q4</v>
      </c>
      <c r="X1803" t="str">
        <f>TEXT(Table1_1[[#This Row],[order_date]],"yyyy-mm")</f>
        <v>2024-11</v>
      </c>
      <c r="Y1803">
        <f>IF(Table1_1[[#This Row],[ship_date]]="","",Table1_1[[#This Row],[ship_date]]-Table1_1[[#This Row],[order_date]])</f>
        <v>7</v>
      </c>
      <c r="Z1803">
        <f>ROUND(Table1_1[[#This Row],[profit]]/Table1_1[[#This Row],[sales_fix]]*100,2)</f>
        <v>17.16</v>
      </c>
    </row>
    <row r="1804" spans="1:26" x14ac:dyDescent="0.3">
      <c r="A1804" t="s">
        <v>968</v>
      </c>
      <c r="B1804" s="1">
        <v>45602</v>
      </c>
      <c r="C1804" s="1">
        <v>45610</v>
      </c>
      <c r="D1804" t="s">
        <v>861</v>
      </c>
      <c r="E1804" t="s">
        <v>862</v>
      </c>
      <c r="F1804" t="s">
        <v>55</v>
      </c>
      <c r="G1804" t="s">
        <v>44</v>
      </c>
      <c r="H1804" t="s">
        <v>24</v>
      </c>
      <c r="I1804" t="s">
        <v>25</v>
      </c>
      <c r="J1804" t="s">
        <v>26</v>
      </c>
      <c r="K1804" t="s">
        <v>27</v>
      </c>
      <c r="L1804">
        <v>2</v>
      </c>
      <c r="M1804">
        <v>7000</v>
      </c>
      <c r="N1804">
        <v>10</v>
      </c>
      <c r="O1804">
        <v>12600</v>
      </c>
      <c r="P1804">
        <v>2365.15</v>
      </c>
      <c r="Q1804" t="s">
        <v>121</v>
      </c>
      <c r="R1804" t="s">
        <v>49</v>
      </c>
      <c r="S1804" t="s">
        <v>50</v>
      </c>
      <c r="T1804">
        <f>YEAR(Table1_1[[#This Row],[order_date]])</f>
        <v>2024</v>
      </c>
      <c r="U1804">
        <f>MONTH(Table1_1[[#This Row],[order_date]])</f>
        <v>11</v>
      </c>
      <c r="V1804" t="str">
        <f>TEXT(Table1_1[[#This Row],[order_date]],"mmm")</f>
        <v>Nov</v>
      </c>
      <c r="W1804" t="str">
        <f>"Q"&amp;ROUNDUP(MONTH(Table1_1[[#This Row],[order_date]])/3,0)</f>
        <v>Q4</v>
      </c>
      <c r="X1804" t="str">
        <f>TEXT(Table1_1[[#This Row],[order_date]],"yyyy-mm")</f>
        <v>2024-11</v>
      </c>
      <c r="Y1804">
        <f>IF(Table1_1[[#This Row],[ship_date]]="","",Table1_1[[#This Row],[ship_date]]-Table1_1[[#This Row],[order_date]])</f>
        <v>8</v>
      </c>
      <c r="Z1804">
        <f>ROUND(Table1_1[[#This Row],[profit]]/Table1_1[[#This Row],[sales_fix]]*100,2)</f>
        <v>18.77</v>
      </c>
    </row>
    <row r="1805" spans="1:26" x14ac:dyDescent="0.3">
      <c r="A1805" t="s">
        <v>1711</v>
      </c>
      <c r="B1805" s="1">
        <v>45944</v>
      </c>
      <c r="C1805" s="1">
        <v>45947</v>
      </c>
      <c r="D1805" t="s">
        <v>1301</v>
      </c>
      <c r="E1805" t="s">
        <v>1302</v>
      </c>
      <c r="F1805" t="s">
        <v>23</v>
      </c>
      <c r="G1805" t="s">
        <v>91</v>
      </c>
      <c r="H1805" t="s">
        <v>120</v>
      </c>
      <c r="I1805" t="s">
        <v>147</v>
      </c>
      <c r="J1805" t="s">
        <v>148</v>
      </c>
      <c r="K1805" t="s">
        <v>48</v>
      </c>
      <c r="L1805">
        <v>3</v>
      </c>
      <c r="M1805">
        <v>250</v>
      </c>
      <c r="N1805">
        <v>0</v>
      </c>
      <c r="O1805">
        <v>750</v>
      </c>
      <c r="P1805">
        <v>287.18</v>
      </c>
      <c r="Q1805" t="s">
        <v>156</v>
      </c>
      <c r="R1805" t="s">
        <v>29</v>
      </c>
      <c r="S1805" t="s">
        <v>50</v>
      </c>
      <c r="T1805">
        <f>YEAR(Table1_1[[#This Row],[order_date]])</f>
        <v>2025</v>
      </c>
      <c r="U1805">
        <f>MONTH(Table1_1[[#This Row],[order_date]])</f>
        <v>10</v>
      </c>
      <c r="V1805" t="str">
        <f>TEXT(Table1_1[[#This Row],[order_date]],"mmm")</f>
        <v>Oct</v>
      </c>
      <c r="W1805" t="str">
        <f>"Q"&amp;ROUNDUP(MONTH(Table1_1[[#This Row],[order_date]])/3,0)</f>
        <v>Q4</v>
      </c>
      <c r="X1805" t="str">
        <f>TEXT(Table1_1[[#This Row],[order_date]],"yyyy-mm")</f>
        <v>2025-10</v>
      </c>
      <c r="Y1805">
        <f>IF(Table1_1[[#This Row],[ship_date]]="","",Table1_1[[#This Row],[ship_date]]-Table1_1[[#This Row],[order_date]])</f>
        <v>3</v>
      </c>
      <c r="Z1805">
        <f>ROUND(Table1_1[[#This Row],[profit]]/Table1_1[[#This Row],[sales_fix]]*100,2)</f>
        <v>38.29</v>
      </c>
    </row>
    <row r="1806" spans="1:26" x14ac:dyDescent="0.3">
      <c r="A1806" t="s">
        <v>988</v>
      </c>
      <c r="B1806" s="1">
        <v>46012</v>
      </c>
      <c r="C1806" s="1">
        <v>46014</v>
      </c>
      <c r="D1806" t="s">
        <v>990</v>
      </c>
      <c r="E1806" t="s">
        <v>991</v>
      </c>
      <c r="F1806" t="s">
        <v>23</v>
      </c>
      <c r="G1806" t="s">
        <v>61</v>
      </c>
      <c r="H1806" t="s">
        <v>62</v>
      </c>
      <c r="I1806" t="s">
        <v>46</v>
      </c>
      <c r="J1806" t="s">
        <v>47</v>
      </c>
      <c r="K1806" t="s">
        <v>48</v>
      </c>
      <c r="L1806">
        <v>1</v>
      </c>
      <c r="M1806">
        <v>180</v>
      </c>
      <c r="N1806">
        <v>0</v>
      </c>
      <c r="O1806">
        <v>180</v>
      </c>
      <c r="P1806">
        <v>87.47</v>
      </c>
      <c r="Q1806" t="s">
        <v>39</v>
      </c>
      <c r="R1806" t="s">
        <v>29</v>
      </c>
      <c r="S1806" t="s">
        <v>50</v>
      </c>
      <c r="T1806">
        <f>YEAR(Table1_1[[#This Row],[order_date]])</f>
        <v>2025</v>
      </c>
      <c r="U1806">
        <f>MONTH(Table1_1[[#This Row],[order_date]])</f>
        <v>12</v>
      </c>
      <c r="V1806" t="str">
        <f>TEXT(Table1_1[[#This Row],[order_date]],"mmm")</f>
        <v>Dec</v>
      </c>
      <c r="W1806" t="str">
        <f>"Q"&amp;ROUNDUP(MONTH(Table1_1[[#This Row],[order_date]])/3,0)</f>
        <v>Q4</v>
      </c>
      <c r="X1806" t="str">
        <f>TEXT(Table1_1[[#This Row],[order_date]],"yyyy-mm")</f>
        <v>2025-12</v>
      </c>
      <c r="Y1806">
        <f>IF(Table1_1[[#This Row],[ship_date]]="","",Table1_1[[#This Row],[ship_date]]-Table1_1[[#This Row],[order_date]])</f>
        <v>2</v>
      </c>
      <c r="Z1806">
        <f>ROUND(Table1_1[[#This Row],[profit]]/Table1_1[[#This Row],[sales_fix]]*100,2)</f>
        <v>48.59</v>
      </c>
    </row>
    <row r="1807" spans="1:26" x14ac:dyDescent="0.3">
      <c r="A1807" t="s">
        <v>2342</v>
      </c>
      <c r="B1807" s="1">
        <v>45428</v>
      </c>
      <c r="C1807" s="1">
        <v>45431</v>
      </c>
      <c r="D1807" t="s">
        <v>942</v>
      </c>
      <c r="E1807" t="s">
        <v>943</v>
      </c>
      <c r="F1807" t="s">
        <v>23</v>
      </c>
      <c r="G1807" t="s">
        <v>44</v>
      </c>
      <c r="H1807" t="s">
        <v>155</v>
      </c>
      <c r="I1807" t="s">
        <v>63</v>
      </c>
      <c r="J1807" t="s">
        <v>64</v>
      </c>
      <c r="K1807" t="s">
        <v>65</v>
      </c>
      <c r="L1807">
        <v>1</v>
      </c>
      <c r="M1807">
        <v>25000</v>
      </c>
      <c r="N1807">
        <v>0</v>
      </c>
      <c r="O1807">
        <v>25000</v>
      </c>
      <c r="P1807">
        <v>2814.44</v>
      </c>
      <c r="Q1807" t="s">
        <v>156</v>
      </c>
      <c r="R1807" t="s">
        <v>29</v>
      </c>
      <c r="S1807" t="s">
        <v>110</v>
      </c>
      <c r="T1807">
        <f>YEAR(Table1_1[[#This Row],[order_date]])</f>
        <v>2024</v>
      </c>
      <c r="U1807">
        <f>MONTH(Table1_1[[#This Row],[order_date]])</f>
        <v>5</v>
      </c>
      <c r="V1807" t="str">
        <f>TEXT(Table1_1[[#This Row],[order_date]],"mmm")</f>
        <v>May</v>
      </c>
      <c r="W1807" t="str">
        <f>"Q"&amp;ROUNDUP(MONTH(Table1_1[[#This Row],[order_date]])/3,0)</f>
        <v>Q2</v>
      </c>
      <c r="X1807" t="str">
        <f>TEXT(Table1_1[[#This Row],[order_date]],"yyyy-mm")</f>
        <v>2024-05</v>
      </c>
      <c r="Y1807">
        <f>IF(Table1_1[[#This Row],[ship_date]]="","",Table1_1[[#This Row],[ship_date]]-Table1_1[[#This Row],[order_date]])</f>
        <v>3</v>
      </c>
      <c r="Z1807">
        <f>ROUND(Table1_1[[#This Row],[profit]]/Table1_1[[#This Row],[sales_fix]]*100,2)</f>
        <v>11.26</v>
      </c>
    </row>
    <row r="1808" spans="1:26" x14ac:dyDescent="0.3">
      <c r="A1808" t="s">
        <v>2805</v>
      </c>
      <c r="B1808" s="1">
        <v>45678</v>
      </c>
      <c r="C1808" s="1">
        <v>45685</v>
      </c>
      <c r="D1808" t="s">
        <v>554</v>
      </c>
      <c r="E1808" t="s">
        <v>555</v>
      </c>
      <c r="F1808" t="s">
        <v>55</v>
      </c>
      <c r="G1808" t="s">
        <v>61</v>
      </c>
      <c r="H1808" t="s">
        <v>62</v>
      </c>
      <c r="I1808" t="s">
        <v>114</v>
      </c>
      <c r="J1808" t="s">
        <v>115</v>
      </c>
      <c r="K1808" t="s">
        <v>65</v>
      </c>
      <c r="L1808">
        <v>3</v>
      </c>
      <c r="M1808">
        <v>55000</v>
      </c>
      <c r="N1808">
        <v>0</v>
      </c>
      <c r="O1808">
        <v>165000</v>
      </c>
      <c r="P1808">
        <v>26962.74</v>
      </c>
      <c r="Q1808" t="s">
        <v>74</v>
      </c>
      <c r="R1808" t="s">
        <v>49</v>
      </c>
      <c r="S1808" t="s">
        <v>50</v>
      </c>
      <c r="T1808">
        <f>YEAR(Table1_1[[#This Row],[order_date]])</f>
        <v>2025</v>
      </c>
      <c r="U1808">
        <f>MONTH(Table1_1[[#This Row],[order_date]])</f>
        <v>1</v>
      </c>
      <c r="V1808" t="str">
        <f>TEXT(Table1_1[[#This Row],[order_date]],"mmm")</f>
        <v>Jan</v>
      </c>
      <c r="W1808" t="str">
        <f>"Q"&amp;ROUNDUP(MONTH(Table1_1[[#This Row],[order_date]])/3,0)</f>
        <v>Q1</v>
      </c>
      <c r="X1808" t="str">
        <f>TEXT(Table1_1[[#This Row],[order_date]],"yyyy-mm")</f>
        <v>2025-01</v>
      </c>
      <c r="Y1808">
        <f>IF(Table1_1[[#This Row],[ship_date]]="","",Table1_1[[#This Row],[ship_date]]-Table1_1[[#This Row],[order_date]])</f>
        <v>7</v>
      </c>
      <c r="Z1808">
        <f>ROUND(Table1_1[[#This Row],[profit]]/Table1_1[[#This Row],[sales_fix]]*100,2)</f>
        <v>16.34</v>
      </c>
    </row>
    <row r="1809" spans="1:26" x14ac:dyDescent="0.3">
      <c r="A1809" t="s">
        <v>1839</v>
      </c>
      <c r="B1809" s="1">
        <v>45858</v>
      </c>
      <c r="C1809" s="1">
        <v>45866</v>
      </c>
      <c r="D1809" t="s">
        <v>561</v>
      </c>
      <c r="E1809" t="s">
        <v>562</v>
      </c>
      <c r="F1809" t="s">
        <v>23</v>
      </c>
      <c r="G1809" t="s">
        <v>44</v>
      </c>
      <c r="H1809" t="s">
        <v>155</v>
      </c>
      <c r="I1809" t="s">
        <v>71</v>
      </c>
      <c r="J1809" t="s">
        <v>72</v>
      </c>
      <c r="K1809" t="s">
        <v>73</v>
      </c>
      <c r="L1809">
        <v>2</v>
      </c>
      <c r="M1809">
        <v>3500</v>
      </c>
      <c r="N1809">
        <v>0</v>
      </c>
      <c r="O1809">
        <v>7000</v>
      </c>
      <c r="P1809">
        <v>2045.13</v>
      </c>
      <c r="Q1809" t="s">
        <v>28</v>
      </c>
      <c r="R1809" t="s">
        <v>56</v>
      </c>
      <c r="S1809" t="s">
        <v>86</v>
      </c>
      <c r="T1809">
        <f>YEAR(Table1_1[[#This Row],[order_date]])</f>
        <v>2025</v>
      </c>
      <c r="U1809">
        <f>MONTH(Table1_1[[#This Row],[order_date]])</f>
        <v>7</v>
      </c>
      <c r="V1809" t="str">
        <f>TEXT(Table1_1[[#This Row],[order_date]],"mmm")</f>
        <v>Jul</v>
      </c>
      <c r="W1809" t="str">
        <f>"Q"&amp;ROUNDUP(MONTH(Table1_1[[#This Row],[order_date]])/3,0)</f>
        <v>Q3</v>
      </c>
      <c r="X1809" t="str">
        <f>TEXT(Table1_1[[#This Row],[order_date]],"yyyy-mm")</f>
        <v>2025-07</v>
      </c>
      <c r="Y1809">
        <f>IF(Table1_1[[#This Row],[ship_date]]="","",Table1_1[[#This Row],[ship_date]]-Table1_1[[#This Row],[order_date]])</f>
        <v>8</v>
      </c>
      <c r="Z1809">
        <f>ROUND(Table1_1[[#This Row],[profit]]/Table1_1[[#This Row],[sales_fix]]*100,2)</f>
        <v>29.22</v>
      </c>
    </row>
    <row r="1810" spans="1:26" x14ac:dyDescent="0.3">
      <c r="A1810" t="s">
        <v>1687</v>
      </c>
      <c r="B1810" s="1">
        <v>45477</v>
      </c>
      <c r="C1810" s="1">
        <v>45482</v>
      </c>
      <c r="D1810" t="s">
        <v>509</v>
      </c>
      <c r="E1810" t="s">
        <v>510</v>
      </c>
      <c r="F1810" t="s">
        <v>23</v>
      </c>
      <c r="G1810" t="s">
        <v>91</v>
      </c>
      <c r="H1810" t="s">
        <v>120</v>
      </c>
      <c r="I1810" t="s">
        <v>79</v>
      </c>
      <c r="J1810" t="s">
        <v>80</v>
      </c>
      <c r="K1810" t="s">
        <v>65</v>
      </c>
      <c r="L1810">
        <v>4</v>
      </c>
      <c r="M1810">
        <v>3000</v>
      </c>
      <c r="N1810">
        <v>5</v>
      </c>
      <c r="O1810">
        <v>11400</v>
      </c>
      <c r="P1810">
        <v>3029.11</v>
      </c>
      <c r="Q1810" t="s">
        <v>156</v>
      </c>
      <c r="R1810" t="s">
        <v>49</v>
      </c>
      <c r="S1810" t="s">
        <v>40</v>
      </c>
      <c r="T1810">
        <f>YEAR(Table1_1[[#This Row],[order_date]])</f>
        <v>2024</v>
      </c>
      <c r="U1810">
        <f>MONTH(Table1_1[[#This Row],[order_date]])</f>
        <v>7</v>
      </c>
      <c r="V1810" t="str">
        <f>TEXT(Table1_1[[#This Row],[order_date]],"mmm")</f>
        <v>Jul</v>
      </c>
      <c r="W1810" t="str">
        <f>"Q"&amp;ROUNDUP(MONTH(Table1_1[[#This Row],[order_date]])/3,0)</f>
        <v>Q3</v>
      </c>
      <c r="X1810" t="str">
        <f>TEXT(Table1_1[[#This Row],[order_date]],"yyyy-mm")</f>
        <v>2024-07</v>
      </c>
      <c r="Y1810">
        <f>IF(Table1_1[[#This Row],[ship_date]]="","",Table1_1[[#This Row],[ship_date]]-Table1_1[[#This Row],[order_date]])</f>
        <v>5</v>
      </c>
      <c r="Z1810">
        <f>ROUND(Table1_1[[#This Row],[profit]]/Table1_1[[#This Row],[sales_fix]]*100,2)</f>
        <v>26.57</v>
      </c>
    </row>
    <row r="1811" spans="1:26" x14ac:dyDescent="0.3">
      <c r="A1811" t="s">
        <v>1428</v>
      </c>
      <c r="B1811" s="1">
        <v>45430</v>
      </c>
      <c r="C1811" s="1">
        <v>45431</v>
      </c>
      <c r="D1811" t="s">
        <v>1221</v>
      </c>
      <c r="E1811" t="s">
        <v>1222</v>
      </c>
      <c r="F1811" t="s">
        <v>55</v>
      </c>
      <c r="G1811" t="s">
        <v>35</v>
      </c>
      <c r="H1811" t="s">
        <v>36</v>
      </c>
      <c r="I1811" t="s">
        <v>147</v>
      </c>
      <c r="J1811" t="s">
        <v>148</v>
      </c>
      <c r="K1811" t="s">
        <v>48</v>
      </c>
      <c r="L1811">
        <v>1</v>
      </c>
      <c r="M1811">
        <v>250</v>
      </c>
      <c r="N1811">
        <v>20</v>
      </c>
      <c r="O1811">
        <v>200</v>
      </c>
      <c r="P1811">
        <v>74.28</v>
      </c>
      <c r="Q1811" t="s">
        <v>74</v>
      </c>
      <c r="R1811" t="s">
        <v>29</v>
      </c>
      <c r="S1811" t="s">
        <v>40</v>
      </c>
      <c r="T1811">
        <f>YEAR(Table1_1[[#This Row],[order_date]])</f>
        <v>2024</v>
      </c>
      <c r="U1811">
        <f>MONTH(Table1_1[[#This Row],[order_date]])</f>
        <v>5</v>
      </c>
      <c r="V1811" t="str">
        <f>TEXT(Table1_1[[#This Row],[order_date]],"mmm")</f>
        <v>May</v>
      </c>
      <c r="W1811" t="str">
        <f>"Q"&amp;ROUNDUP(MONTH(Table1_1[[#This Row],[order_date]])/3,0)</f>
        <v>Q2</v>
      </c>
      <c r="X1811" t="str">
        <f>TEXT(Table1_1[[#This Row],[order_date]],"yyyy-mm")</f>
        <v>2024-05</v>
      </c>
      <c r="Y1811">
        <f>IF(Table1_1[[#This Row],[ship_date]]="","",Table1_1[[#This Row],[ship_date]]-Table1_1[[#This Row],[order_date]])</f>
        <v>1</v>
      </c>
      <c r="Z1811">
        <f>ROUND(Table1_1[[#This Row],[profit]]/Table1_1[[#This Row],[sales_fix]]*100,2)</f>
        <v>37.14</v>
      </c>
    </row>
    <row r="1812" spans="1:26" x14ac:dyDescent="0.3">
      <c r="A1812" t="s">
        <v>1667</v>
      </c>
      <c r="B1812" s="1">
        <v>45977</v>
      </c>
      <c r="C1812" s="1">
        <v>45979</v>
      </c>
      <c r="D1812" t="s">
        <v>1031</v>
      </c>
      <c r="E1812" t="s">
        <v>1032</v>
      </c>
      <c r="F1812" t="s">
        <v>23</v>
      </c>
      <c r="G1812" t="s">
        <v>61</v>
      </c>
      <c r="H1812" t="s">
        <v>211</v>
      </c>
      <c r="I1812" t="s">
        <v>46</v>
      </c>
      <c r="J1812" t="s">
        <v>47</v>
      </c>
      <c r="K1812" t="s">
        <v>48</v>
      </c>
      <c r="L1812">
        <v>1</v>
      </c>
      <c r="M1812">
        <v>180</v>
      </c>
      <c r="N1812">
        <v>15</v>
      </c>
      <c r="O1812">
        <v>153</v>
      </c>
      <c r="P1812">
        <v>63.45</v>
      </c>
      <c r="Q1812" t="s">
        <v>28</v>
      </c>
      <c r="R1812" t="s">
        <v>29</v>
      </c>
      <c r="S1812" t="s">
        <v>40</v>
      </c>
      <c r="T1812">
        <f>YEAR(Table1_1[[#This Row],[order_date]])</f>
        <v>2025</v>
      </c>
      <c r="U1812">
        <f>MONTH(Table1_1[[#This Row],[order_date]])</f>
        <v>11</v>
      </c>
      <c r="V1812" t="str">
        <f>TEXT(Table1_1[[#This Row],[order_date]],"mmm")</f>
        <v>Nov</v>
      </c>
      <c r="W1812" t="str">
        <f>"Q"&amp;ROUNDUP(MONTH(Table1_1[[#This Row],[order_date]])/3,0)</f>
        <v>Q4</v>
      </c>
      <c r="X1812" t="str">
        <f>TEXT(Table1_1[[#This Row],[order_date]],"yyyy-mm")</f>
        <v>2025-11</v>
      </c>
      <c r="Y1812">
        <f>IF(Table1_1[[#This Row],[ship_date]]="","",Table1_1[[#This Row],[ship_date]]-Table1_1[[#This Row],[order_date]])</f>
        <v>2</v>
      </c>
      <c r="Z1812">
        <f>ROUND(Table1_1[[#This Row],[profit]]/Table1_1[[#This Row],[sales_fix]]*100,2)</f>
        <v>41.47</v>
      </c>
    </row>
    <row r="1813" spans="1:26" x14ac:dyDescent="0.3">
      <c r="A1813" t="s">
        <v>815</v>
      </c>
      <c r="B1813" s="1">
        <v>45742</v>
      </c>
      <c r="C1813" s="1">
        <v>45744</v>
      </c>
      <c r="D1813" t="s">
        <v>356</v>
      </c>
      <c r="E1813" t="s">
        <v>357</v>
      </c>
      <c r="F1813" t="s">
        <v>23</v>
      </c>
      <c r="G1813" t="s">
        <v>91</v>
      </c>
      <c r="H1813" t="s">
        <v>120</v>
      </c>
      <c r="I1813" t="s">
        <v>71</v>
      </c>
      <c r="J1813" t="s">
        <v>72</v>
      </c>
      <c r="K1813" t="s">
        <v>73</v>
      </c>
      <c r="L1813">
        <v>10</v>
      </c>
      <c r="M1813">
        <v>3500</v>
      </c>
      <c r="N1813">
        <v>15</v>
      </c>
      <c r="O1813">
        <v>29750</v>
      </c>
      <c r="P1813">
        <v>8449.09</v>
      </c>
      <c r="Q1813" t="s">
        <v>28</v>
      </c>
      <c r="R1813" t="s">
        <v>56</v>
      </c>
      <c r="S1813" t="s">
        <v>50</v>
      </c>
      <c r="T1813">
        <f>YEAR(Table1_1[[#This Row],[order_date]])</f>
        <v>2025</v>
      </c>
      <c r="U1813">
        <f>MONTH(Table1_1[[#This Row],[order_date]])</f>
        <v>3</v>
      </c>
      <c r="V1813" t="str">
        <f>TEXT(Table1_1[[#This Row],[order_date]],"mmm")</f>
        <v>Mar</v>
      </c>
      <c r="W1813" t="str">
        <f>"Q"&amp;ROUNDUP(MONTH(Table1_1[[#This Row],[order_date]])/3,0)</f>
        <v>Q1</v>
      </c>
      <c r="X1813" t="str">
        <f>TEXT(Table1_1[[#This Row],[order_date]],"yyyy-mm")</f>
        <v>2025-03</v>
      </c>
      <c r="Y1813">
        <f>IF(Table1_1[[#This Row],[ship_date]]="","",Table1_1[[#This Row],[ship_date]]-Table1_1[[#This Row],[order_date]])</f>
        <v>2</v>
      </c>
      <c r="Z1813">
        <f>ROUND(Table1_1[[#This Row],[profit]]/Table1_1[[#This Row],[sales_fix]]*100,2)</f>
        <v>28.4</v>
      </c>
    </row>
    <row r="1814" spans="1:26" x14ac:dyDescent="0.3">
      <c r="A1814" t="s">
        <v>958</v>
      </c>
      <c r="B1814" s="1">
        <v>45514</v>
      </c>
      <c r="C1814" s="1">
        <v>45517</v>
      </c>
      <c r="D1814" t="s">
        <v>959</v>
      </c>
      <c r="E1814" t="s">
        <v>960</v>
      </c>
      <c r="F1814" t="s">
        <v>34</v>
      </c>
      <c r="G1814" t="s">
        <v>35</v>
      </c>
      <c r="H1814" t="s">
        <v>187</v>
      </c>
      <c r="I1814" t="s">
        <v>147</v>
      </c>
      <c r="J1814" t="s">
        <v>148</v>
      </c>
      <c r="K1814" t="s">
        <v>48</v>
      </c>
      <c r="L1814">
        <v>5</v>
      </c>
      <c r="M1814">
        <v>250</v>
      </c>
      <c r="N1814">
        <v>15</v>
      </c>
      <c r="O1814">
        <v>1062.5</v>
      </c>
      <c r="P1814">
        <v>396.53</v>
      </c>
      <c r="Q1814" t="s">
        <v>66</v>
      </c>
      <c r="R1814" t="s">
        <v>49</v>
      </c>
      <c r="S1814" t="s">
        <v>50</v>
      </c>
      <c r="T1814">
        <f>YEAR(Table1_1[[#This Row],[order_date]])</f>
        <v>2024</v>
      </c>
      <c r="U1814">
        <f>MONTH(Table1_1[[#This Row],[order_date]])</f>
        <v>8</v>
      </c>
      <c r="V1814" t="str">
        <f>TEXT(Table1_1[[#This Row],[order_date]],"mmm")</f>
        <v>Aug</v>
      </c>
      <c r="W1814" t="str">
        <f>"Q"&amp;ROUNDUP(MONTH(Table1_1[[#This Row],[order_date]])/3,0)</f>
        <v>Q3</v>
      </c>
      <c r="X1814" t="str">
        <f>TEXT(Table1_1[[#This Row],[order_date]],"yyyy-mm")</f>
        <v>2024-08</v>
      </c>
      <c r="Y1814">
        <f>IF(Table1_1[[#This Row],[ship_date]]="","",Table1_1[[#This Row],[ship_date]]-Table1_1[[#This Row],[order_date]])</f>
        <v>3</v>
      </c>
      <c r="Z1814">
        <f>ROUND(Table1_1[[#This Row],[profit]]/Table1_1[[#This Row],[sales_fix]]*100,2)</f>
        <v>37.32</v>
      </c>
    </row>
    <row r="1815" spans="1:26" x14ac:dyDescent="0.3">
      <c r="A1815" t="s">
        <v>448</v>
      </c>
      <c r="B1815" s="1">
        <v>45882</v>
      </c>
      <c r="C1815" s="1">
        <v>45889</v>
      </c>
      <c r="D1815" t="s">
        <v>450</v>
      </c>
      <c r="E1815" t="s">
        <v>451</v>
      </c>
      <c r="F1815" t="s">
        <v>55</v>
      </c>
      <c r="G1815" t="s">
        <v>61</v>
      </c>
      <c r="H1815" t="s">
        <v>62</v>
      </c>
      <c r="I1815" t="s">
        <v>79</v>
      </c>
      <c r="J1815" t="s">
        <v>80</v>
      </c>
      <c r="K1815" t="s">
        <v>65</v>
      </c>
      <c r="L1815">
        <v>5</v>
      </c>
      <c r="M1815">
        <v>3000</v>
      </c>
      <c r="N1815">
        <v>10</v>
      </c>
      <c r="O1815">
        <v>13500</v>
      </c>
      <c r="P1815">
        <v>3181.84</v>
      </c>
      <c r="Q1815" t="s">
        <v>121</v>
      </c>
      <c r="R1815" t="s">
        <v>29</v>
      </c>
      <c r="S1815" t="s">
        <v>30</v>
      </c>
      <c r="T1815">
        <f>YEAR(Table1_1[[#This Row],[order_date]])</f>
        <v>2025</v>
      </c>
      <c r="U1815">
        <f>MONTH(Table1_1[[#This Row],[order_date]])</f>
        <v>8</v>
      </c>
      <c r="V1815" t="str">
        <f>TEXT(Table1_1[[#This Row],[order_date]],"mmm")</f>
        <v>Aug</v>
      </c>
      <c r="W1815" t="str">
        <f>"Q"&amp;ROUNDUP(MONTH(Table1_1[[#This Row],[order_date]])/3,0)</f>
        <v>Q3</v>
      </c>
      <c r="X1815" t="str">
        <f>TEXT(Table1_1[[#This Row],[order_date]],"yyyy-mm")</f>
        <v>2025-08</v>
      </c>
      <c r="Y1815">
        <f>IF(Table1_1[[#This Row],[ship_date]]="","",Table1_1[[#This Row],[ship_date]]-Table1_1[[#This Row],[order_date]])</f>
        <v>7</v>
      </c>
      <c r="Z1815">
        <f>ROUND(Table1_1[[#This Row],[profit]]/Table1_1[[#This Row],[sales_fix]]*100,2)</f>
        <v>23.57</v>
      </c>
    </row>
    <row r="1816" spans="1:26" x14ac:dyDescent="0.3">
      <c r="A1816" t="s">
        <v>1397</v>
      </c>
      <c r="B1816" s="1">
        <v>45891</v>
      </c>
      <c r="C1816" s="1">
        <v>45894</v>
      </c>
      <c r="D1816" t="s">
        <v>1398</v>
      </c>
      <c r="E1816" t="s">
        <v>1399</v>
      </c>
      <c r="F1816" t="s">
        <v>34</v>
      </c>
      <c r="G1816" t="s">
        <v>91</v>
      </c>
      <c r="H1816" t="s">
        <v>92</v>
      </c>
      <c r="I1816" t="s">
        <v>126</v>
      </c>
      <c r="J1816" t="s">
        <v>127</v>
      </c>
      <c r="K1816" t="s">
        <v>95</v>
      </c>
      <c r="L1816">
        <v>1</v>
      </c>
      <c r="M1816">
        <v>600</v>
      </c>
      <c r="N1816">
        <v>0</v>
      </c>
      <c r="O1816">
        <v>600</v>
      </c>
      <c r="P1816">
        <v>228</v>
      </c>
      <c r="Q1816" t="s">
        <v>121</v>
      </c>
      <c r="R1816" t="s">
        <v>29</v>
      </c>
      <c r="S1816" t="s">
        <v>110</v>
      </c>
      <c r="T1816">
        <f>YEAR(Table1_1[[#This Row],[order_date]])</f>
        <v>2025</v>
      </c>
      <c r="U1816">
        <f>MONTH(Table1_1[[#This Row],[order_date]])</f>
        <v>8</v>
      </c>
      <c r="V1816" t="str">
        <f>TEXT(Table1_1[[#This Row],[order_date]],"mmm")</f>
        <v>Aug</v>
      </c>
      <c r="W1816" t="str">
        <f>"Q"&amp;ROUNDUP(MONTH(Table1_1[[#This Row],[order_date]])/3,0)</f>
        <v>Q3</v>
      </c>
      <c r="X1816" t="str">
        <f>TEXT(Table1_1[[#This Row],[order_date]],"yyyy-mm")</f>
        <v>2025-08</v>
      </c>
      <c r="Y1816">
        <f>IF(Table1_1[[#This Row],[ship_date]]="","",Table1_1[[#This Row],[ship_date]]-Table1_1[[#This Row],[order_date]])</f>
        <v>3</v>
      </c>
      <c r="Z1816">
        <f>ROUND(Table1_1[[#This Row],[profit]]/Table1_1[[#This Row],[sales_fix]]*100,2)</f>
        <v>38</v>
      </c>
    </row>
    <row r="1817" spans="1:26" x14ac:dyDescent="0.3">
      <c r="A1817" t="s">
        <v>2622</v>
      </c>
      <c r="B1817" s="1">
        <v>45542</v>
      </c>
      <c r="C1817" s="1">
        <v>45546</v>
      </c>
      <c r="D1817" t="s">
        <v>981</v>
      </c>
      <c r="E1817" t="s">
        <v>982</v>
      </c>
      <c r="F1817" t="s">
        <v>23</v>
      </c>
      <c r="G1817" t="s">
        <v>91</v>
      </c>
      <c r="H1817" t="s">
        <v>177</v>
      </c>
      <c r="I1817" t="s">
        <v>71</v>
      </c>
      <c r="J1817" t="s">
        <v>72</v>
      </c>
      <c r="K1817" t="s">
        <v>73</v>
      </c>
      <c r="L1817">
        <v>3</v>
      </c>
      <c r="M1817">
        <v>3500</v>
      </c>
      <c r="N1817">
        <v>20</v>
      </c>
      <c r="O1817">
        <v>8400</v>
      </c>
      <c r="P1817">
        <v>2843.39</v>
      </c>
      <c r="Q1817" t="s">
        <v>74</v>
      </c>
      <c r="R1817" t="s">
        <v>56</v>
      </c>
      <c r="S1817" t="s">
        <v>110</v>
      </c>
      <c r="T1817">
        <f>YEAR(Table1_1[[#This Row],[order_date]])</f>
        <v>2024</v>
      </c>
      <c r="U1817">
        <f>MONTH(Table1_1[[#This Row],[order_date]])</f>
        <v>9</v>
      </c>
      <c r="V1817" t="str">
        <f>TEXT(Table1_1[[#This Row],[order_date]],"mmm")</f>
        <v>Sep</v>
      </c>
      <c r="W1817" t="str">
        <f>"Q"&amp;ROUNDUP(MONTH(Table1_1[[#This Row],[order_date]])/3,0)</f>
        <v>Q3</v>
      </c>
      <c r="X1817" t="str">
        <f>TEXT(Table1_1[[#This Row],[order_date]],"yyyy-mm")</f>
        <v>2024-09</v>
      </c>
      <c r="Y1817">
        <f>IF(Table1_1[[#This Row],[ship_date]]="","",Table1_1[[#This Row],[ship_date]]-Table1_1[[#This Row],[order_date]])</f>
        <v>4</v>
      </c>
      <c r="Z1817">
        <f>ROUND(Table1_1[[#This Row],[profit]]/Table1_1[[#This Row],[sales_fix]]*100,2)</f>
        <v>33.85</v>
      </c>
    </row>
    <row r="1818" spans="1:26" x14ac:dyDescent="0.3">
      <c r="A1818" t="s">
        <v>1220</v>
      </c>
      <c r="B1818" s="1">
        <v>45417</v>
      </c>
      <c r="C1818" s="1">
        <v>45425</v>
      </c>
      <c r="D1818" t="s">
        <v>1221</v>
      </c>
      <c r="E1818" t="s">
        <v>1222</v>
      </c>
      <c r="F1818" t="s">
        <v>55</v>
      </c>
      <c r="G1818" t="s">
        <v>35</v>
      </c>
      <c r="H1818" t="s">
        <v>36</v>
      </c>
      <c r="I1818" t="s">
        <v>134</v>
      </c>
      <c r="J1818" t="s">
        <v>135</v>
      </c>
      <c r="K1818" t="s">
        <v>27</v>
      </c>
      <c r="L1818">
        <v>2</v>
      </c>
      <c r="M1818">
        <v>6000</v>
      </c>
      <c r="N1818">
        <v>15</v>
      </c>
      <c r="O1818">
        <v>10200</v>
      </c>
      <c r="P1818">
        <v>2167</v>
      </c>
      <c r="Q1818" t="s">
        <v>121</v>
      </c>
      <c r="R1818" t="s">
        <v>29</v>
      </c>
      <c r="S1818" t="s">
        <v>30</v>
      </c>
      <c r="T1818">
        <f>YEAR(Table1_1[[#This Row],[order_date]])</f>
        <v>2024</v>
      </c>
      <c r="U1818">
        <f>MONTH(Table1_1[[#This Row],[order_date]])</f>
        <v>5</v>
      </c>
      <c r="V1818" t="str">
        <f>TEXT(Table1_1[[#This Row],[order_date]],"mmm")</f>
        <v>May</v>
      </c>
      <c r="W1818" t="str">
        <f>"Q"&amp;ROUNDUP(MONTH(Table1_1[[#This Row],[order_date]])/3,0)</f>
        <v>Q2</v>
      </c>
      <c r="X1818" t="str">
        <f>TEXT(Table1_1[[#This Row],[order_date]],"yyyy-mm")</f>
        <v>2024-05</v>
      </c>
      <c r="Y1818">
        <f>IF(Table1_1[[#This Row],[ship_date]]="","",Table1_1[[#This Row],[ship_date]]-Table1_1[[#This Row],[order_date]])</f>
        <v>8</v>
      </c>
      <c r="Z1818">
        <f>ROUND(Table1_1[[#This Row],[profit]]/Table1_1[[#This Row],[sales_fix]]*100,2)</f>
        <v>21.25</v>
      </c>
    </row>
    <row r="1819" spans="1:26" x14ac:dyDescent="0.3">
      <c r="A1819" t="s">
        <v>2287</v>
      </c>
      <c r="B1819" s="1">
        <v>45312</v>
      </c>
      <c r="C1819" s="1">
        <v>45320</v>
      </c>
      <c r="D1819" t="s">
        <v>514</v>
      </c>
      <c r="E1819" t="s">
        <v>515</v>
      </c>
      <c r="F1819" t="s">
        <v>23</v>
      </c>
      <c r="G1819" t="s">
        <v>44</v>
      </c>
      <c r="H1819" t="s">
        <v>45</v>
      </c>
      <c r="I1819" t="s">
        <v>103</v>
      </c>
      <c r="J1819" t="s">
        <v>104</v>
      </c>
      <c r="K1819" t="s">
        <v>65</v>
      </c>
      <c r="L1819">
        <v>2</v>
      </c>
      <c r="M1819">
        <v>8000</v>
      </c>
      <c r="N1819">
        <v>0</v>
      </c>
      <c r="O1819">
        <v>16000</v>
      </c>
      <c r="P1819">
        <v>4184.6899999999996</v>
      </c>
      <c r="Q1819" t="s">
        <v>39</v>
      </c>
      <c r="R1819" t="s">
        <v>56</v>
      </c>
      <c r="S1819" t="s">
        <v>86</v>
      </c>
      <c r="T1819">
        <f>YEAR(Table1_1[[#This Row],[order_date]])</f>
        <v>2024</v>
      </c>
      <c r="U1819">
        <f>MONTH(Table1_1[[#This Row],[order_date]])</f>
        <v>1</v>
      </c>
      <c r="V1819" t="str">
        <f>TEXT(Table1_1[[#This Row],[order_date]],"mmm")</f>
        <v>Jan</v>
      </c>
      <c r="W1819" t="str">
        <f>"Q"&amp;ROUNDUP(MONTH(Table1_1[[#This Row],[order_date]])/3,0)</f>
        <v>Q1</v>
      </c>
      <c r="X1819" t="str">
        <f>TEXT(Table1_1[[#This Row],[order_date]],"yyyy-mm")</f>
        <v>2024-01</v>
      </c>
      <c r="Y1819">
        <f>IF(Table1_1[[#This Row],[ship_date]]="","",Table1_1[[#This Row],[ship_date]]-Table1_1[[#This Row],[order_date]])</f>
        <v>8</v>
      </c>
      <c r="Z1819">
        <f>ROUND(Table1_1[[#This Row],[profit]]/Table1_1[[#This Row],[sales_fix]]*100,2)</f>
        <v>26.15</v>
      </c>
    </row>
    <row r="1820" spans="1:26" x14ac:dyDescent="0.3">
      <c r="A1820" t="s">
        <v>1216</v>
      </c>
      <c r="B1820" s="1">
        <v>45910</v>
      </c>
      <c r="C1820" s="1"/>
      <c r="D1820" t="s">
        <v>570</v>
      </c>
      <c r="E1820" t="s">
        <v>571</v>
      </c>
      <c r="F1820" t="s">
        <v>34</v>
      </c>
      <c r="G1820" t="s">
        <v>44</v>
      </c>
      <c r="H1820" t="s">
        <v>161</v>
      </c>
      <c r="I1820" t="s">
        <v>147</v>
      </c>
      <c r="J1820" t="s">
        <v>148</v>
      </c>
      <c r="K1820" t="s">
        <v>48</v>
      </c>
      <c r="L1820">
        <v>4</v>
      </c>
      <c r="M1820">
        <v>250</v>
      </c>
      <c r="N1820">
        <v>20</v>
      </c>
      <c r="O1820">
        <v>800</v>
      </c>
      <c r="P1820">
        <v>298.52999999999997</v>
      </c>
      <c r="Q1820" t="s">
        <v>121</v>
      </c>
      <c r="R1820" t="s">
        <v>56</v>
      </c>
      <c r="S1820" t="s">
        <v>50</v>
      </c>
      <c r="T1820">
        <f>YEAR(Table1_1[[#This Row],[order_date]])</f>
        <v>2025</v>
      </c>
      <c r="U1820">
        <f>MONTH(Table1_1[[#This Row],[order_date]])</f>
        <v>9</v>
      </c>
      <c r="V1820" t="str">
        <f>TEXT(Table1_1[[#This Row],[order_date]],"mmm")</f>
        <v>Sep</v>
      </c>
      <c r="W1820" t="str">
        <f>"Q"&amp;ROUNDUP(MONTH(Table1_1[[#This Row],[order_date]])/3,0)</f>
        <v>Q3</v>
      </c>
      <c r="X1820" t="str">
        <f>TEXT(Table1_1[[#This Row],[order_date]],"yyyy-mm")</f>
        <v>2025-09</v>
      </c>
      <c r="Y1820" t="str">
        <f>IF(Table1_1[[#This Row],[ship_date]]="","",Table1_1[[#This Row],[ship_date]]-Table1_1[[#This Row],[order_date]])</f>
        <v/>
      </c>
      <c r="Z1820">
        <f>ROUND(Table1_1[[#This Row],[profit]]/Table1_1[[#This Row],[sales_fix]]*100,2)</f>
        <v>37.32</v>
      </c>
    </row>
    <row r="1821" spans="1:26" x14ac:dyDescent="0.3">
      <c r="A1821" t="s">
        <v>249</v>
      </c>
      <c r="B1821" s="1">
        <v>45457</v>
      </c>
      <c r="C1821" s="1">
        <v>45465</v>
      </c>
      <c r="D1821" t="s">
        <v>169</v>
      </c>
      <c r="E1821" t="s">
        <v>170</v>
      </c>
      <c r="F1821" t="s">
        <v>55</v>
      </c>
      <c r="G1821" t="s">
        <v>91</v>
      </c>
      <c r="H1821" t="s">
        <v>92</v>
      </c>
      <c r="I1821" t="s">
        <v>63</v>
      </c>
      <c r="J1821" t="s">
        <v>64</v>
      </c>
      <c r="K1821" t="s">
        <v>65</v>
      </c>
      <c r="L1821">
        <v>1</v>
      </c>
      <c r="M1821">
        <v>25000</v>
      </c>
      <c r="N1821">
        <v>0</v>
      </c>
      <c r="O1821">
        <v>25000</v>
      </c>
      <c r="P1821">
        <v>3750</v>
      </c>
      <c r="Q1821" t="s">
        <v>39</v>
      </c>
      <c r="R1821" t="s">
        <v>49</v>
      </c>
      <c r="S1821" t="s">
        <v>86</v>
      </c>
      <c r="T1821">
        <f>YEAR(Table1_1[[#This Row],[order_date]])</f>
        <v>2024</v>
      </c>
      <c r="U1821">
        <f>MONTH(Table1_1[[#This Row],[order_date]])</f>
        <v>6</v>
      </c>
      <c r="V1821" t="str">
        <f>TEXT(Table1_1[[#This Row],[order_date]],"mmm")</f>
        <v>Jun</v>
      </c>
      <c r="W1821" t="str">
        <f>"Q"&amp;ROUNDUP(MONTH(Table1_1[[#This Row],[order_date]])/3,0)</f>
        <v>Q2</v>
      </c>
      <c r="X1821" t="str">
        <f>TEXT(Table1_1[[#This Row],[order_date]],"yyyy-mm")</f>
        <v>2024-06</v>
      </c>
      <c r="Y1821">
        <f>IF(Table1_1[[#This Row],[ship_date]]="","",Table1_1[[#This Row],[ship_date]]-Table1_1[[#This Row],[order_date]])</f>
        <v>8</v>
      </c>
      <c r="Z1821">
        <f>ROUND(Table1_1[[#This Row],[profit]]/Table1_1[[#This Row],[sales_fix]]*100,2)</f>
        <v>15</v>
      </c>
    </row>
    <row r="1822" spans="1:26" x14ac:dyDescent="0.3">
      <c r="A1822" t="s">
        <v>2870</v>
      </c>
      <c r="B1822" s="1">
        <v>46016</v>
      </c>
      <c r="C1822" s="1">
        <v>46020</v>
      </c>
      <c r="D1822" t="s">
        <v>956</v>
      </c>
      <c r="E1822" t="s">
        <v>1086</v>
      </c>
      <c r="F1822" t="s">
        <v>55</v>
      </c>
      <c r="G1822" t="s">
        <v>44</v>
      </c>
      <c r="H1822" t="s">
        <v>24</v>
      </c>
      <c r="I1822" t="s">
        <v>147</v>
      </c>
      <c r="J1822" t="s">
        <v>148</v>
      </c>
      <c r="K1822" t="s">
        <v>48</v>
      </c>
      <c r="L1822">
        <v>1</v>
      </c>
      <c r="M1822">
        <v>250</v>
      </c>
      <c r="N1822">
        <v>10</v>
      </c>
      <c r="O1822">
        <v>225</v>
      </c>
      <c r="P1822">
        <v>97.24</v>
      </c>
      <c r="Q1822" t="s">
        <v>121</v>
      </c>
      <c r="R1822" t="s">
        <v>29</v>
      </c>
      <c r="S1822" t="s">
        <v>86</v>
      </c>
      <c r="T1822">
        <f>YEAR(Table1_1[[#This Row],[order_date]])</f>
        <v>2025</v>
      </c>
      <c r="U1822">
        <f>MONTH(Table1_1[[#This Row],[order_date]])</f>
        <v>12</v>
      </c>
      <c r="V1822" t="str">
        <f>TEXT(Table1_1[[#This Row],[order_date]],"mmm")</f>
        <v>Dec</v>
      </c>
      <c r="W1822" t="str">
        <f>"Q"&amp;ROUNDUP(MONTH(Table1_1[[#This Row],[order_date]])/3,0)</f>
        <v>Q4</v>
      </c>
      <c r="X1822" t="str">
        <f>TEXT(Table1_1[[#This Row],[order_date]],"yyyy-mm")</f>
        <v>2025-12</v>
      </c>
      <c r="Y1822">
        <f>IF(Table1_1[[#This Row],[ship_date]]="","",Table1_1[[#This Row],[ship_date]]-Table1_1[[#This Row],[order_date]])</f>
        <v>4</v>
      </c>
      <c r="Z1822">
        <f>ROUND(Table1_1[[#This Row],[profit]]/Table1_1[[#This Row],[sales_fix]]*100,2)</f>
        <v>43.22</v>
      </c>
    </row>
    <row r="1823" spans="1:26" x14ac:dyDescent="0.3">
      <c r="A1823" t="s">
        <v>472</v>
      </c>
      <c r="B1823" s="1">
        <v>45665</v>
      </c>
      <c r="C1823" s="1">
        <v>45666</v>
      </c>
      <c r="D1823" t="s">
        <v>473</v>
      </c>
      <c r="E1823" t="s">
        <v>474</v>
      </c>
      <c r="F1823" t="s">
        <v>34</v>
      </c>
      <c r="G1823" t="s">
        <v>61</v>
      </c>
      <c r="H1823" t="s">
        <v>62</v>
      </c>
      <c r="I1823" t="s">
        <v>79</v>
      </c>
      <c r="J1823" t="s">
        <v>80</v>
      </c>
      <c r="K1823" t="s">
        <v>65</v>
      </c>
      <c r="L1823">
        <v>1</v>
      </c>
      <c r="M1823">
        <v>3000</v>
      </c>
      <c r="N1823">
        <v>20</v>
      </c>
      <c r="O1823">
        <v>2400</v>
      </c>
      <c r="P1823">
        <v>713.12</v>
      </c>
      <c r="Q1823" t="s">
        <v>39</v>
      </c>
      <c r="R1823" t="s">
        <v>29</v>
      </c>
      <c r="S1823" t="s">
        <v>50</v>
      </c>
      <c r="T1823">
        <f>YEAR(Table1_1[[#This Row],[order_date]])</f>
        <v>2025</v>
      </c>
      <c r="U1823">
        <f>MONTH(Table1_1[[#This Row],[order_date]])</f>
        <v>1</v>
      </c>
      <c r="V1823" t="str">
        <f>TEXT(Table1_1[[#This Row],[order_date]],"mmm")</f>
        <v>Jan</v>
      </c>
      <c r="W1823" t="str">
        <f>"Q"&amp;ROUNDUP(MONTH(Table1_1[[#This Row],[order_date]])/3,0)</f>
        <v>Q1</v>
      </c>
      <c r="X1823" t="str">
        <f>TEXT(Table1_1[[#This Row],[order_date]],"yyyy-mm")</f>
        <v>2025-01</v>
      </c>
      <c r="Y1823">
        <f>IF(Table1_1[[#This Row],[ship_date]]="","",Table1_1[[#This Row],[ship_date]]-Table1_1[[#This Row],[order_date]])</f>
        <v>1</v>
      </c>
      <c r="Z1823">
        <f>ROUND(Table1_1[[#This Row],[profit]]/Table1_1[[#This Row],[sales_fix]]*100,2)</f>
        <v>29.71</v>
      </c>
    </row>
    <row r="1824" spans="1:26" x14ac:dyDescent="0.3">
      <c r="A1824" t="s">
        <v>243</v>
      </c>
      <c r="B1824" s="1">
        <v>45563</v>
      </c>
      <c r="C1824" s="1">
        <v>45571</v>
      </c>
      <c r="D1824" t="s">
        <v>244</v>
      </c>
      <c r="E1824" t="s">
        <v>245</v>
      </c>
      <c r="F1824" t="s">
        <v>23</v>
      </c>
      <c r="G1824" t="s">
        <v>61</v>
      </c>
      <c r="H1824" t="s">
        <v>62</v>
      </c>
      <c r="I1824" t="s">
        <v>114</v>
      </c>
      <c r="J1824" t="s">
        <v>115</v>
      </c>
      <c r="K1824" t="s">
        <v>65</v>
      </c>
      <c r="L1824">
        <v>3</v>
      </c>
      <c r="M1824">
        <v>55000</v>
      </c>
      <c r="N1824">
        <v>5</v>
      </c>
      <c r="O1824">
        <v>156750</v>
      </c>
      <c r="P1824">
        <v>26596.36</v>
      </c>
      <c r="Q1824" t="s">
        <v>39</v>
      </c>
      <c r="R1824" t="s">
        <v>56</v>
      </c>
      <c r="S1824" t="s">
        <v>40</v>
      </c>
      <c r="T1824">
        <f>YEAR(Table1_1[[#This Row],[order_date]])</f>
        <v>2024</v>
      </c>
      <c r="U1824">
        <f>MONTH(Table1_1[[#This Row],[order_date]])</f>
        <v>9</v>
      </c>
      <c r="V1824" t="str">
        <f>TEXT(Table1_1[[#This Row],[order_date]],"mmm")</f>
        <v>Sep</v>
      </c>
      <c r="W1824" t="str">
        <f>"Q"&amp;ROUNDUP(MONTH(Table1_1[[#This Row],[order_date]])/3,0)</f>
        <v>Q3</v>
      </c>
      <c r="X1824" t="str">
        <f>TEXT(Table1_1[[#This Row],[order_date]],"yyyy-mm")</f>
        <v>2024-09</v>
      </c>
      <c r="Y1824">
        <f>IF(Table1_1[[#This Row],[ship_date]]="","",Table1_1[[#This Row],[ship_date]]-Table1_1[[#This Row],[order_date]])</f>
        <v>8</v>
      </c>
      <c r="Z1824">
        <f>ROUND(Table1_1[[#This Row],[profit]]/Table1_1[[#This Row],[sales_fix]]*100,2)</f>
        <v>16.97</v>
      </c>
    </row>
    <row r="1825" spans="1:26" x14ac:dyDescent="0.3">
      <c r="A1825" t="s">
        <v>2753</v>
      </c>
      <c r="B1825" s="1">
        <v>45649</v>
      </c>
      <c r="C1825" s="1">
        <v>45655</v>
      </c>
      <c r="D1825" t="s">
        <v>321</v>
      </c>
      <c r="E1825" t="s">
        <v>322</v>
      </c>
      <c r="F1825" t="s">
        <v>34</v>
      </c>
      <c r="G1825" t="s">
        <v>91</v>
      </c>
      <c r="H1825" t="s">
        <v>109</v>
      </c>
      <c r="I1825" t="s">
        <v>147</v>
      </c>
      <c r="J1825" t="s">
        <v>148</v>
      </c>
      <c r="K1825" t="s">
        <v>48</v>
      </c>
      <c r="L1825">
        <v>3</v>
      </c>
      <c r="M1825">
        <v>250</v>
      </c>
      <c r="N1825">
        <v>15</v>
      </c>
      <c r="O1825">
        <v>637.5</v>
      </c>
      <c r="P1825">
        <v>250.41</v>
      </c>
      <c r="Q1825" t="s">
        <v>156</v>
      </c>
      <c r="R1825" t="s">
        <v>56</v>
      </c>
      <c r="S1825" t="s">
        <v>110</v>
      </c>
      <c r="T1825">
        <f>YEAR(Table1_1[[#This Row],[order_date]])</f>
        <v>2024</v>
      </c>
      <c r="U1825">
        <f>MONTH(Table1_1[[#This Row],[order_date]])</f>
        <v>12</v>
      </c>
      <c r="V1825" t="str">
        <f>TEXT(Table1_1[[#This Row],[order_date]],"mmm")</f>
        <v>Dec</v>
      </c>
      <c r="W1825" t="str">
        <f>"Q"&amp;ROUNDUP(MONTH(Table1_1[[#This Row],[order_date]])/3,0)</f>
        <v>Q4</v>
      </c>
      <c r="X1825" t="str">
        <f>TEXT(Table1_1[[#This Row],[order_date]],"yyyy-mm")</f>
        <v>2024-12</v>
      </c>
      <c r="Y1825">
        <f>IF(Table1_1[[#This Row],[ship_date]]="","",Table1_1[[#This Row],[ship_date]]-Table1_1[[#This Row],[order_date]])</f>
        <v>6</v>
      </c>
      <c r="Z1825">
        <f>ROUND(Table1_1[[#This Row],[profit]]/Table1_1[[#This Row],[sales_fix]]*100,2)</f>
        <v>39.28</v>
      </c>
    </row>
    <row r="1826" spans="1:26" x14ac:dyDescent="0.3">
      <c r="A1826" t="s">
        <v>945</v>
      </c>
      <c r="B1826" s="1">
        <v>45944</v>
      </c>
      <c r="C1826" s="1">
        <v>45945</v>
      </c>
      <c r="D1826" t="s">
        <v>129</v>
      </c>
      <c r="E1826" t="s">
        <v>130</v>
      </c>
      <c r="F1826" t="s">
        <v>34</v>
      </c>
      <c r="G1826" t="s">
        <v>61</v>
      </c>
      <c r="H1826" t="s">
        <v>78</v>
      </c>
      <c r="I1826" t="s">
        <v>103</v>
      </c>
      <c r="J1826" t="s">
        <v>104</v>
      </c>
      <c r="K1826" t="s">
        <v>65</v>
      </c>
      <c r="L1826">
        <v>5</v>
      </c>
      <c r="M1826">
        <v>8000</v>
      </c>
      <c r="N1826">
        <v>20</v>
      </c>
      <c r="O1826">
        <v>32000</v>
      </c>
      <c r="P1826">
        <v>8281.1299999999992</v>
      </c>
      <c r="Q1826" t="s">
        <v>121</v>
      </c>
      <c r="R1826" t="s">
        <v>29</v>
      </c>
      <c r="S1826" t="s">
        <v>110</v>
      </c>
      <c r="T1826">
        <f>YEAR(Table1_1[[#This Row],[order_date]])</f>
        <v>2025</v>
      </c>
      <c r="U1826">
        <f>MONTH(Table1_1[[#This Row],[order_date]])</f>
        <v>10</v>
      </c>
      <c r="V1826" t="str">
        <f>TEXT(Table1_1[[#This Row],[order_date]],"mmm")</f>
        <v>Oct</v>
      </c>
      <c r="W1826" t="str">
        <f>"Q"&amp;ROUNDUP(MONTH(Table1_1[[#This Row],[order_date]])/3,0)</f>
        <v>Q4</v>
      </c>
      <c r="X1826" t="str">
        <f>TEXT(Table1_1[[#This Row],[order_date]],"yyyy-mm")</f>
        <v>2025-10</v>
      </c>
      <c r="Y1826">
        <f>IF(Table1_1[[#This Row],[ship_date]]="","",Table1_1[[#This Row],[ship_date]]-Table1_1[[#This Row],[order_date]])</f>
        <v>1</v>
      </c>
      <c r="Z1826">
        <f>ROUND(Table1_1[[#This Row],[profit]]/Table1_1[[#This Row],[sales_fix]]*100,2)</f>
        <v>25.88</v>
      </c>
    </row>
    <row r="1827" spans="1:26" x14ac:dyDescent="0.3">
      <c r="A1827" t="s">
        <v>235</v>
      </c>
      <c r="B1827" s="1">
        <v>45689</v>
      </c>
      <c r="C1827" s="1">
        <v>45695</v>
      </c>
      <c r="D1827" t="s">
        <v>223</v>
      </c>
      <c r="E1827" t="s">
        <v>224</v>
      </c>
      <c r="F1827" t="s">
        <v>34</v>
      </c>
      <c r="G1827" t="s">
        <v>35</v>
      </c>
      <c r="H1827" t="s">
        <v>85</v>
      </c>
      <c r="I1827" t="s">
        <v>103</v>
      </c>
      <c r="J1827" t="s">
        <v>104</v>
      </c>
      <c r="K1827" t="s">
        <v>65</v>
      </c>
      <c r="L1827">
        <v>2</v>
      </c>
      <c r="M1827">
        <v>8000</v>
      </c>
      <c r="N1827">
        <v>20</v>
      </c>
      <c r="O1827">
        <v>12800</v>
      </c>
      <c r="P1827">
        <v>2973.01</v>
      </c>
      <c r="Q1827" t="s">
        <v>66</v>
      </c>
      <c r="R1827" t="s">
        <v>49</v>
      </c>
      <c r="S1827" t="s">
        <v>86</v>
      </c>
      <c r="T1827">
        <f>YEAR(Table1_1[[#This Row],[order_date]])</f>
        <v>2025</v>
      </c>
      <c r="U1827">
        <f>MONTH(Table1_1[[#This Row],[order_date]])</f>
        <v>2</v>
      </c>
      <c r="V1827" t="str">
        <f>TEXT(Table1_1[[#This Row],[order_date]],"mmm")</f>
        <v>Feb</v>
      </c>
      <c r="W1827" t="str">
        <f>"Q"&amp;ROUNDUP(MONTH(Table1_1[[#This Row],[order_date]])/3,0)</f>
        <v>Q1</v>
      </c>
      <c r="X1827" t="str">
        <f>TEXT(Table1_1[[#This Row],[order_date]],"yyyy-mm")</f>
        <v>2025-02</v>
      </c>
      <c r="Y1827">
        <f>IF(Table1_1[[#This Row],[ship_date]]="","",Table1_1[[#This Row],[ship_date]]-Table1_1[[#This Row],[order_date]])</f>
        <v>6</v>
      </c>
      <c r="Z1827">
        <f>ROUND(Table1_1[[#This Row],[profit]]/Table1_1[[#This Row],[sales_fix]]*100,2)</f>
        <v>23.23</v>
      </c>
    </row>
    <row r="1828" spans="1:26" x14ac:dyDescent="0.3">
      <c r="A1828" t="s">
        <v>2975</v>
      </c>
      <c r="B1828" s="1">
        <v>45507</v>
      </c>
      <c r="C1828" s="1">
        <v>45509</v>
      </c>
      <c r="D1828" t="s">
        <v>793</v>
      </c>
      <c r="E1828" t="s">
        <v>794</v>
      </c>
      <c r="F1828" t="s">
        <v>23</v>
      </c>
      <c r="G1828" t="s">
        <v>91</v>
      </c>
      <c r="H1828" t="s">
        <v>92</v>
      </c>
      <c r="I1828" t="s">
        <v>79</v>
      </c>
      <c r="J1828" t="s">
        <v>80</v>
      </c>
      <c r="K1828" t="s">
        <v>65</v>
      </c>
      <c r="L1828">
        <v>4</v>
      </c>
      <c r="M1828">
        <v>3000</v>
      </c>
      <c r="N1828">
        <v>10</v>
      </c>
      <c r="O1828">
        <v>10800</v>
      </c>
      <c r="P1828">
        <v>3432.51</v>
      </c>
      <c r="Q1828" t="s">
        <v>66</v>
      </c>
      <c r="R1828" t="s">
        <v>29</v>
      </c>
      <c r="S1828" t="s">
        <v>40</v>
      </c>
      <c r="T1828">
        <f>YEAR(Table1_1[[#This Row],[order_date]])</f>
        <v>2024</v>
      </c>
      <c r="U1828">
        <f>MONTH(Table1_1[[#This Row],[order_date]])</f>
        <v>8</v>
      </c>
      <c r="V1828" t="str">
        <f>TEXT(Table1_1[[#This Row],[order_date]],"mmm")</f>
        <v>Aug</v>
      </c>
      <c r="W1828" t="str">
        <f>"Q"&amp;ROUNDUP(MONTH(Table1_1[[#This Row],[order_date]])/3,0)</f>
        <v>Q3</v>
      </c>
      <c r="X1828" t="str">
        <f>TEXT(Table1_1[[#This Row],[order_date]],"yyyy-mm")</f>
        <v>2024-08</v>
      </c>
      <c r="Y1828">
        <f>IF(Table1_1[[#This Row],[ship_date]]="","",Table1_1[[#This Row],[ship_date]]-Table1_1[[#This Row],[order_date]])</f>
        <v>2</v>
      </c>
      <c r="Z1828">
        <f>ROUND(Table1_1[[#This Row],[profit]]/Table1_1[[#This Row],[sales_fix]]*100,2)</f>
        <v>31.78</v>
      </c>
    </row>
    <row r="1829" spans="1:26" x14ac:dyDescent="0.3">
      <c r="A1829" t="s">
        <v>2559</v>
      </c>
      <c r="B1829" s="1">
        <v>45892</v>
      </c>
      <c r="C1829" s="1">
        <v>45897</v>
      </c>
      <c r="D1829" t="s">
        <v>726</v>
      </c>
      <c r="E1829" t="s">
        <v>727</v>
      </c>
      <c r="F1829" t="s">
        <v>34</v>
      </c>
      <c r="G1829" t="s">
        <v>35</v>
      </c>
      <c r="H1829" t="s">
        <v>258</v>
      </c>
      <c r="I1829" t="s">
        <v>71</v>
      </c>
      <c r="J1829" t="s">
        <v>72</v>
      </c>
      <c r="K1829" t="s">
        <v>73</v>
      </c>
      <c r="L1829">
        <v>3</v>
      </c>
      <c r="M1829">
        <v>3500</v>
      </c>
      <c r="N1829">
        <v>15</v>
      </c>
      <c r="O1829">
        <v>8925</v>
      </c>
      <c r="P1829">
        <v>2026.65</v>
      </c>
      <c r="Q1829" t="s">
        <v>121</v>
      </c>
      <c r="R1829" t="s">
        <v>49</v>
      </c>
      <c r="S1829" t="s">
        <v>110</v>
      </c>
      <c r="T1829">
        <f>YEAR(Table1_1[[#This Row],[order_date]])</f>
        <v>2025</v>
      </c>
      <c r="U1829">
        <f>MONTH(Table1_1[[#This Row],[order_date]])</f>
        <v>8</v>
      </c>
      <c r="V1829" t="str">
        <f>TEXT(Table1_1[[#This Row],[order_date]],"mmm")</f>
        <v>Aug</v>
      </c>
      <c r="W1829" t="str">
        <f>"Q"&amp;ROUNDUP(MONTH(Table1_1[[#This Row],[order_date]])/3,0)</f>
        <v>Q3</v>
      </c>
      <c r="X1829" t="str">
        <f>TEXT(Table1_1[[#This Row],[order_date]],"yyyy-mm")</f>
        <v>2025-08</v>
      </c>
      <c r="Y1829">
        <f>IF(Table1_1[[#This Row],[ship_date]]="","",Table1_1[[#This Row],[ship_date]]-Table1_1[[#This Row],[order_date]])</f>
        <v>5</v>
      </c>
      <c r="Z1829">
        <f>ROUND(Table1_1[[#This Row],[profit]]/Table1_1[[#This Row],[sales_fix]]*100,2)</f>
        <v>22.71</v>
      </c>
    </row>
    <row r="1830" spans="1:26" x14ac:dyDescent="0.3">
      <c r="A1830" t="s">
        <v>2310</v>
      </c>
      <c r="B1830" s="1">
        <v>45350</v>
      </c>
      <c r="C1830" s="1">
        <v>45357</v>
      </c>
      <c r="D1830" t="s">
        <v>798</v>
      </c>
      <c r="E1830" t="s">
        <v>799</v>
      </c>
      <c r="F1830" t="s">
        <v>23</v>
      </c>
      <c r="G1830" t="s">
        <v>44</v>
      </c>
      <c r="H1830" t="s">
        <v>330</v>
      </c>
      <c r="I1830" t="s">
        <v>103</v>
      </c>
      <c r="J1830" t="s">
        <v>104</v>
      </c>
      <c r="K1830" t="s">
        <v>65</v>
      </c>
      <c r="L1830">
        <v>2</v>
      </c>
      <c r="M1830">
        <v>8000</v>
      </c>
      <c r="N1830">
        <v>0</v>
      </c>
      <c r="O1830">
        <v>16000</v>
      </c>
      <c r="P1830">
        <v>4258.6499999999996</v>
      </c>
      <c r="Q1830" t="s">
        <v>28</v>
      </c>
      <c r="R1830" t="s">
        <v>29</v>
      </c>
      <c r="S1830" t="s">
        <v>50</v>
      </c>
      <c r="T1830">
        <f>YEAR(Table1_1[[#This Row],[order_date]])</f>
        <v>2024</v>
      </c>
      <c r="U1830">
        <f>MONTH(Table1_1[[#This Row],[order_date]])</f>
        <v>2</v>
      </c>
      <c r="V1830" t="str">
        <f>TEXT(Table1_1[[#This Row],[order_date]],"mmm")</f>
        <v>Feb</v>
      </c>
      <c r="W1830" t="str">
        <f>"Q"&amp;ROUNDUP(MONTH(Table1_1[[#This Row],[order_date]])/3,0)</f>
        <v>Q1</v>
      </c>
      <c r="X1830" t="str">
        <f>TEXT(Table1_1[[#This Row],[order_date]],"yyyy-mm")</f>
        <v>2024-02</v>
      </c>
      <c r="Y1830">
        <f>IF(Table1_1[[#This Row],[ship_date]]="","",Table1_1[[#This Row],[ship_date]]-Table1_1[[#This Row],[order_date]])</f>
        <v>7</v>
      </c>
      <c r="Z1830">
        <f>ROUND(Table1_1[[#This Row],[profit]]/Table1_1[[#This Row],[sales_fix]]*100,2)</f>
        <v>26.62</v>
      </c>
    </row>
    <row r="1831" spans="1:26" x14ac:dyDescent="0.3">
      <c r="A1831" t="s">
        <v>1130</v>
      </c>
      <c r="B1831" s="1">
        <v>45915</v>
      </c>
      <c r="C1831" s="1"/>
      <c r="D1831" t="s">
        <v>498</v>
      </c>
      <c r="E1831" t="s">
        <v>499</v>
      </c>
      <c r="F1831" t="s">
        <v>55</v>
      </c>
      <c r="G1831" t="s">
        <v>91</v>
      </c>
      <c r="H1831" t="s">
        <v>120</v>
      </c>
      <c r="I1831" t="s">
        <v>63</v>
      </c>
      <c r="J1831" t="s">
        <v>64</v>
      </c>
      <c r="K1831" t="s">
        <v>65</v>
      </c>
      <c r="L1831">
        <v>10</v>
      </c>
      <c r="M1831">
        <v>25000</v>
      </c>
      <c r="N1831">
        <v>0</v>
      </c>
      <c r="O1831">
        <v>250000</v>
      </c>
      <c r="P1831">
        <v>32217.29</v>
      </c>
      <c r="Q1831" t="s">
        <v>156</v>
      </c>
      <c r="R1831" t="s">
        <v>29</v>
      </c>
      <c r="S1831" t="s">
        <v>86</v>
      </c>
      <c r="T1831">
        <f>YEAR(Table1_1[[#This Row],[order_date]])</f>
        <v>2025</v>
      </c>
      <c r="U1831">
        <f>MONTH(Table1_1[[#This Row],[order_date]])</f>
        <v>9</v>
      </c>
      <c r="V1831" t="str">
        <f>TEXT(Table1_1[[#This Row],[order_date]],"mmm")</f>
        <v>Sep</v>
      </c>
      <c r="W1831" t="str">
        <f>"Q"&amp;ROUNDUP(MONTH(Table1_1[[#This Row],[order_date]])/3,0)</f>
        <v>Q3</v>
      </c>
      <c r="X1831" t="str">
        <f>TEXT(Table1_1[[#This Row],[order_date]],"yyyy-mm")</f>
        <v>2025-09</v>
      </c>
      <c r="Y1831" t="str">
        <f>IF(Table1_1[[#This Row],[ship_date]]="","",Table1_1[[#This Row],[ship_date]]-Table1_1[[#This Row],[order_date]])</f>
        <v/>
      </c>
      <c r="Z1831">
        <f>ROUND(Table1_1[[#This Row],[profit]]/Table1_1[[#This Row],[sales_fix]]*100,2)</f>
        <v>12.89</v>
      </c>
    </row>
    <row r="1832" spans="1:26" x14ac:dyDescent="0.3">
      <c r="A1832" t="s">
        <v>75</v>
      </c>
      <c r="B1832" s="1">
        <v>45412</v>
      </c>
      <c r="C1832" s="1">
        <v>45419</v>
      </c>
      <c r="D1832" t="s">
        <v>76</v>
      </c>
      <c r="E1832" t="s">
        <v>666</v>
      </c>
      <c r="F1832" t="s">
        <v>23</v>
      </c>
      <c r="G1832" t="s">
        <v>61</v>
      </c>
      <c r="H1832" t="s">
        <v>78</v>
      </c>
      <c r="I1832" t="s">
        <v>79</v>
      </c>
      <c r="J1832" t="s">
        <v>80</v>
      </c>
      <c r="K1832" t="s">
        <v>65</v>
      </c>
      <c r="L1832">
        <v>4</v>
      </c>
      <c r="M1832">
        <v>3000</v>
      </c>
      <c r="N1832">
        <v>15</v>
      </c>
      <c r="O1832">
        <v>10200</v>
      </c>
      <c r="P1832">
        <v>3317.18</v>
      </c>
      <c r="Q1832" t="s">
        <v>28</v>
      </c>
      <c r="R1832" t="s">
        <v>56</v>
      </c>
      <c r="S1832" t="s">
        <v>50</v>
      </c>
      <c r="T1832">
        <f>YEAR(Table1_1[[#This Row],[order_date]])</f>
        <v>2024</v>
      </c>
      <c r="U1832">
        <f>MONTH(Table1_1[[#This Row],[order_date]])</f>
        <v>4</v>
      </c>
      <c r="V1832" t="str">
        <f>TEXT(Table1_1[[#This Row],[order_date]],"mmm")</f>
        <v>Apr</v>
      </c>
      <c r="W1832" t="str">
        <f>"Q"&amp;ROUNDUP(MONTH(Table1_1[[#This Row],[order_date]])/3,0)</f>
        <v>Q2</v>
      </c>
      <c r="X1832" t="str">
        <f>TEXT(Table1_1[[#This Row],[order_date]],"yyyy-mm")</f>
        <v>2024-04</v>
      </c>
      <c r="Y1832">
        <f>IF(Table1_1[[#This Row],[ship_date]]="","",Table1_1[[#This Row],[ship_date]]-Table1_1[[#This Row],[order_date]])</f>
        <v>7</v>
      </c>
      <c r="Z1832">
        <f>ROUND(Table1_1[[#This Row],[profit]]/Table1_1[[#This Row],[sales_fix]]*100,2)</f>
        <v>32.520000000000003</v>
      </c>
    </row>
    <row r="1833" spans="1:26" x14ac:dyDescent="0.3">
      <c r="A1833" t="s">
        <v>2499</v>
      </c>
      <c r="B1833" s="1">
        <v>45912</v>
      </c>
      <c r="C1833" s="1">
        <v>45914</v>
      </c>
      <c r="D1833" t="s">
        <v>1009</v>
      </c>
      <c r="E1833" t="s">
        <v>1010</v>
      </c>
      <c r="F1833" t="s">
        <v>23</v>
      </c>
      <c r="G1833" t="s">
        <v>61</v>
      </c>
      <c r="H1833" t="s">
        <v>62</v>
      </c>
      <c r="I1833" t="s">
        <v>63</v>
      </c>
      <c r="J1833" t="s">
        <v>64</v>
      </c>
      <c r="K1833" t="s">
        <v>65</v>
      </c>
      <c r="L1833">
        <v>3</v>
      </c>
      <c r="M1833">
        <v>25000</v>
      </c>
      <c r="N1833">
        <v>15</v>
      </c>
      <c r="O1833">
        <v>63750</v>
      </c>
      <c r="P1833">
        <v>7035.08</v>
      </c>
      <c r="Q1833" t="s">
        <v>28</v>
      </c>
      <c r="R1833" t="s">
        <v>49</v>
      </c>
      <c r="S1833" t="s">
        <v>86</v>
      </c>
      <c r="T1833">
        <f>YEAR(Table1_1[[#This Row],[order_date]])</f>
        <v>2025</v>
      </c>
      <c r="U1833">
        <f>MONTH(Table1_1[[#This Row],[order_date]])</f>
        <v>9</v>
      </c>
      <c r="V1833" t="str">
        <f>TEXT(Table1_1[[#This Row],[order_date]],"mmm")</f>
        <v>Sep</v>
      </c>
      <c r="W1833" t="str">
        <f>"Q"&amp;ROUNDUP(MONTH(Table1_1[[#This Row],[order_date]])/3,0)</f>
        <v>Q3</v>
      </c>
      <c r="X1833" t="str">
        <f>TEXT(Table1_1[[#This Row],[order_date]],"yyyy-mm")</f>
        <v>2025-09</v>
      </c>
      <c r="Y1833">
        <f>IF(Table1_1[[#This Row],[ship_date]]="","",Table1_1[[#This Row],[ship_date]]-Table1_1[[#This Row],[order_date]])</f>
        <v>2</v>
      </c>
      <c r="Z1833">
        <f>ROUND(Table1_1[[#This Row],[profit]]/Table1_1[[#This Row],[sales_fix]]*100,2)</f>
        <v>11.04</v>
      </c>
    </row>
    <row r="1834" spans="1:26" x14ac:dyDescent="0.3">
      <c r="A1834" t="s">
        <v>601</v>
      </c>
      <c r="B1834" s="1">
        <v>45334</v>
      </c>
      <c r="C1834" s="1">
        <v>45337</v>
      </c>
      <c r="D1834" t="s">
        <v>602</v>
      </c>
      <c r="E1834" t="s">
        <v>603</v>
      </c>
      <c r="F1834" t="s">
        <v>34</v>
      </c>
      <c r="G1834" t="s">
        <v>61</v>
      </c>
      <c r="H1834" t="s">
        <v>125</v>
      </c>
      <c r="I1834" t="s">
        <v>79</v>
      </c>
      <c r="J1834" t="s">
        <v>80</v>
      </c>
      <c r="K1834" t="s">
        <v>65</v>
      </c>
      <c r="L1834">
        <v>1</v>
      </c>
      <c r="M1834">
        <v>3000</v>
      </c>
      <c r="N1834">
        <v>15</v>
      </c>
      <c r="O1834">
        <v>2550</v>
      </c>
      <c r="P1834">
        <v>545.27</v>
      </c>
      <c r="Q1834" t="s">
        <v>156</v>
      </c>
      <c r="R1834" t="s">
        <v>49</v>
      </c>
      <c r="S1834" t="s">
        <v>40</v>
      </c>
      <c r="T1834">
        <f>YEAR(Table1_1[[#This Row],[order_date]])</f>
        <v>2024</v>
      </c>
      <c r="U1834">
        <f>MONTH(Table1_1[[#This Row],[order_date]])</f>
        <v>2</v>
      </c>
      <c r="V1834" t="str">
        <f>TEXT(Table1_1[[#This Row],[order_date]],"mmm")</f>
        <v>Feb</v>
      </c>
      <c r="W1834" t="str">
        <f>"Q"&amp;ROUNDUP(MONTH(Table1_1[[#This Row],[order_date]])/3,0)</f>
        <v>Q1</v>
      </c>
      <c r="X1834" t="str">
        <f>TEXT(Table1_1[[#This Row],[order_date]],"yyyy-mm")</f>
        <v>2024-02</v>
      </c>
      <c r="Y1834">
        <f>IF(Table1_1[[#This Row],[ship_date]]="","",Table1_1[[#This Row],[ship_date]]-Table1_1[[#This Row],[order_date]])</f>
        <v>3</v>
      </c>
      <c r="Z1834">
        <f>ROUND(Table1_1[[#This Row],[profit]]/Table1_1[[#This Row],[sales_fix]]*100,2)</f>
        <v>21.38</v>
      </c>
    </row>
    <row r="1835" spans="1:26" x14ac:dyDescent="0.3">
      <c r="A1835" t="s">
        <v>1959</v>
      </c>
      <c r="B1835" s="1">
        <v>45494</v>
      </c>
      <c r="C1835" s="1">
        <v>45495</v>
      </c>
      <c r="D1835" t="s">
        <v>281</v>
      </c>
      <c r="E1835" t="s">
        <v>282</v>
      </c>
      <c r="F1835" t="s">
        <v>34</v>
      </c>
      <c r="G1835" t="s">
        <v>61</v>
      </c>
      <c r="H1835" t="s">
        <v>62</v>
      </c>
      <c r="I1835" t="s">
        <v>103</v>
      </c>
      <c r="J1835" t="s">
        <v>104</v>
      </c>
      <c r="K1835" t="s">
        <v>65</v>
      </c>
      <c r="L1835">
        <v>5</v>
      </c>
      <c r="M1835">
        <v>8000</v>
      </c>
      <c r="N1835">
        <v>15</v>
      </c>
      <c r="O1835">
        <v>34000</v>
      </c>
      <c r="P1835">
        <v>8430.92</v>
      </c>
      <c r="Q1835" t="s">
        <v>74</v>
      </c>
      <c r="R1835" t="s">
        <v>56</v>
      </c>
      <c r="S1835" t="s">
        <v>50</v>
      </c>
      <c r="T1835">
        <f>YEAR(Table1_1[[#This Row],[order_date]])</f>
        <v>2024</v>
      </c>
      <c r="U1835">
        <f>MONTH(Table1_1[[#This Row],[order_date]])</f>
        <v>7</v>
      </c>
      <c r="V1835" t="str">
        <f>TEXT(Table1_1[[#This Row],[order_date]],"mmm")</f>
        <v>Jul</v>
      </c>
      <c r="W1835" t="str">
        <f>"Q"&amp;ROUNDUP(MONTH(Table1_1[[#This Row],[order_date]])/3,0)</f>
        <v>Q3</v>
      </c>
      <c r="X1835" t="str">
        <f>TEXT(Table1_1[[#This Row],[order_date]],"yyyy-mm")</f>
        <v>2024-07</v>
      </c>
      <c r="Y1835">
        <f>IF(Table1_1[[#This Row],[ship_date]]="","",Table1_1[[#This Row],[ship_date]]-Table1_1[[#This Row],[order_date]])</f>
        <v>1</v>
      </c>
      <c r="Z1835">
        <f>ROUND(Table1_1[[#This Row],[profit]]/Table1_1[[#This Row],[sales_fix]]*100,2)</f>
        <v>24.8</v>
      </c>
    </row>
    <row r="1836" spans="1:26" x14ac:dyDescent="0.3">
      <c r="A1836" t="s">
        <v>1867</v>
      </c>
      <c r="B1836" s="1">
        <v>45637</v>
      </c>
      <c r="C1836" s="1">
        <v>45642</v>
      </c>
      <c r="D1836" t="s">
        <v>575</v>
      </c>
      <c r="E1836" t="s">
        <v>836</v>
      </c>
      <c r="F1836" t="s">
        <v>34</v>
      </c>
      <c r="G1836" t="s">
        <v>91</v>
      </c>
      <c r="H1836" t="s">
        <v>120</v>
      </c>
      <c r="I1836" t="s">
        <v>134</v>
      </c>
      <c r="J1836" t="s">
        <v>135</v>
      </c>
      <c r="K1836" t="s">
        <v>27</v>
      </c>
      <c r="L1836">
        <v>1</v>
      </c>
      <c r="M1836">
        <v>6000</v>
      </c>
      <c r="N1836">
        <v>0</v>
      </c>
      <c r="O1836">
        <v>6000</v>
      </c>
      <c r="P1836">
        <v>1270.28</v>
      </c>
      <c r="Q1836" t="s">
        <v>39</v>
      </c>
      <c r="R1836" t="s">
        <v>29</v>
      </c>
      <c r="S1836" t="s">
        <v>50</v>
      </c>
      <c r="T1836">
        <f>YEAR(Table1_1[[#This Row],[order_date]])</f>
        <v>2024</v>
      </c>
      <c r="U1836">
        <f>MONTH(Table1_1[[#This Row],[order_date]])</f>
        <v>12</v>
      </c>
      <c r="V1836" t="str">
        <f>TEXT(Table1_1[[#This Row],[order_date]],"mmm")</f>
        <v>Dec</v>
      </c>
      <c r="W1836" t="str">
        <f>"Q"&amp;ROUNDUP(MONTH(Table1_1[[#This Row],[order_date]])/3,0)</f>
        <v>Q4</v>
      </c>
      <c r="X1836" t="str">
        <f>TEXT(Table1_1[[#This Row],[order_date]],"yyyy-mm")</f>
        <v>2024-12</v>
      </c>
      <c r="Y1836">
        <f>IF(Table1_1[[#This Row],[ship_date]]="","",Table1_1[[#This Row],[ship_date]]-Table1_1[[#This Row],[order_date]])</f>
        <v>5</v>
      </c>
      <c r="Z1836">
        <f>ROUND(Table1_1[[#This Row],[profit]]/Table1_1[[#This Row],[sales_fix]]*100,2)</f>
        <v>21.17</v>
      </c>
    </row>
    <row r="1837" spans="1:26" x14ac:dyDescent="0.3">
      <c r="A1837" t="s">
        <v>1906</v>
      </c>
      <c r="B1837" s="1">
        <v>45394</v>
      </c>
      <c r="C1837" s="1">
        <v>45401</v>
      </c>
      <c r="D1837" t="s">
        <v>132</v>
      </c>
      <c r="E1837" t="s">
        <v>133</v>
      </c>
      <c r="F1837" t="s">
        <v>23</v>
      </c>
      <c r="G1837" t="s">
        <v>91</v>
      </c>
      <c r="H1837" t="s">
        <v>120</v>
      </c>
      <c r="I1837" t="s">
        <v>79</v>
      </c>
      <c r="J1837" t="s">
        <v>80</v>
      </c>
      <c r="K1837" t="s">
        <v>65</v>
      </c>
      <c r="L1837">
        <v>1</v>
      </c>
      <c r="M1837">
        <v>3000</v>
      </c>
      <c r="N1837">
        <v>0</v>
      </c>
      <c r="O1837">
        <v>3000</v>
      </c>
      <c r="P1837">
        <v>914.34</v>
      </c>
      <c r="Q1837" t="s">
        <v>156</v>
      </c>
      <c r="R1837" t="s">
        <v>56</v>
      </c>
      <c r="S1837" t="s">
        <v>50</v>
      </c>
      <c r="T1837">
        <f>YEAR(Table1_1[[#This Row],[order_date]])</f>
        <v>2024</v>
      </c>
      <c r="U1837">
        <f>MONTH(Table1_1[[#This Row],[order_date]])</f>
        <v>4</v>
      </c>
      <c r="V1837" t="str">
        <f>TEXT(Table1_1[[#This Row],[order_date]],"mmm")</f>
        <v>Apr</v>
      </c>
      <c r="W1837" t="str">
        <f>"Q"&amp;ROUNDUP(MONTH(Table1_1[[#This Row],[order_date]])/3,0)</f>
        <v>Q2</v>
      </c>
      <c r="X1837" t="str">
        <f>TEXT(Table1_1[[#This Row],[order_date]],"yyyy-mm")</f>
        <v>2024-04</v>
      </c>
      <c r="Y1837">
        <f>IF(Table1_1[[#This Row],[ship_date]]="","",Table1_1[[#This Row],[ship_date]]-Table1_1[[#This Row],[order_date]])</f>
        <v>7</v>
      </c>
      <c r="Z1837">
        <f>ROUND(Table1_1[[#This Row],[profit]]/Table1_1[[#This Row],[sales_fix]]*100,2)</f>
        <v>30.48</v>
      </c>
    </row>
    <row r="1838" spans="1:26" x14ac:dyDescent="0.3">
      <c r="A1838" t="s">
        <v>2217</v>
      </c>
      <c r="B1838" s="1">
        <v>45882</v>
      </c>
      <c r="C1838" s="1">
        <v>45887</v>
      </c>
      <c r="D1838" t="s">
        <v>838</v>
      </c>
      <c r="E1838" t="s">
        <v>839</v>
      </c>
      <c r="F1838" t="s">
        <v>23</v>
      </c>
      <c r="G1838" t="s">
        <v>35</v>
      </c>
      <c r="H1838" t="s">
        <v>258</v>
      </c>
      <c r="I1838" t="s">
        <v>114</v>
      </c>
      <c r="J1838" t="s">
        <v>115</v>
      </c>
      <c r="K1838" t="s">
        <v>65</v>
      </c>
      <c r="L1838">
        <v>3</v>
      </c>
      <c r="M1838">
        <v>55000</v>
      </c>
      <c r="N1838">
        <v>0</v>
      </c>
      <c r="O1838">
        <v>165000</v>
      </c>
      <c r="P1838">
        <v>22573.52</v>
      </c>
      <c r="Q1838" t="s">
        <v>28</v>
      </c>
      <c r="R1838" t="s">
        <v>29</v>
      </c>
      <c r="S1838" t="s">
        <v>86</v>
      </c>
      <c r="T1838">
        <f>YEAR(Table1_1[[#This Row],[order_date]])</f>
        <v>2025</v>
      </c>
      <c r="U1838">
        <f>MONTH(Table1_1[[#This Row],[order_date]])</f>
        <v>8</v>
      </c>
      <c r="V1838" t="str">
        <f>TEXT(Table1_1[[#This Row],[order_date]],"mmm")</f>
        <v>Aug</v>
      </c>
      <c r="W1838" t="str">
        <f>"Q"&amp;ROUNDUP(MONTH(Table1_1[[#This Row],[order_date]])/3,0)</f>
        <v>Q3</v>
      </c>
      <c r="X1838" t="str">
        <f>TEXT(Table1_1[[#This Row],[order_date]],"yyyy-mm")</f>
        <v>2025-08</v>
      </c>
      <c r="Y1838">
        <f>IF(Table1_1[[#This Row],[ship_date]]="","",Table1_1[[#This Row],[ship_date]]-Table1_1[[#This Row],[order_date]])</f>
        <v>5</v>
      </c>
      <c r="Z1838">
        <f>ROUND(Table1_1[[#This Row],[profit]]/Table1_1[[#This Row],[sales_fix]]*100,2)</f>
        <v>13.68</v>
      </c>
    </row>
    <row r="1839" spans="1:26" x14ac:dyDescent="0.3">
      <c r="A1839" t="s">
        <v>2608</v>
      </c>
      <c r="B1839" s="1">
        <v>45667</v>
      </c>
      <c r="C1839" s="1">
        <v>45669</v>
      </c>
      <c r="D1839" t="s">
        <v>1588</v>
      </c>
      <c r="E1839" t="s">
        <v>1589</v>
      </c>
      <c r="F1839" t="s">
        <v>34</v>
      </c>
      <c r="G1839" t="s">
        <v>61</v>
      </c>
      <c r="H1839" t="s">
        <v>78</v>
      </c>
      <c r="I1839" t="s">
        <v>71</v>
      </c>
      <c r="J1839" t="s">
        <v>72</v>
      </c>
      <c r="K1839" t="s">
        <v>73</v>
      </c>
      <c r="L1839">
        <v>10</v>
      </c>
      <c r="M1839">
        <v>3500</v>
      </c>
      <c r="N1839">
        <v>0</v>
      </c>
      <c r="O1839">
        <v>35000</v>
      </c>
      <c r="P1839">
        <v>11072.65</v>
      </c>
      <c r="Q1839" t="s">
        <v>156</v>
      </c>
      <c r="R1839" t="s">
        <v>56</v>
      </c>
      <c r="S1839" t="s">
        <v>86</v>
      </c>
      <c r="T1839">
        <f>YEAR(Table1_1[[#This Row],[order_date]])</f>
        <v>2025</v>
      </c>
      <c r="U1839">
        <f>MONTH(Table1_1[[#This Row],[order_date]])</f>
        <v>1</v>
      </c>
      <c r="V1839" t="str">
        <f>TEXT(Table1_1[[#This Row],[order_date]],"mmm")</f>
        <v>Jan</v>
      </c>
      <c r="W1839" t="str">
        <f>"Q"&amp;ROUNDUP(MONTH(Table1_1[[#This Row],[order_date]])/3,0)</f>
        <v>Q1</v>
      </c>
      <c r="X1839" t="str">
        <f>TEXT(Table1_1[[#This Row],[order_date]],"yyyy-mm")</f>
        <v>2025-01</v>
      </c>
      <c r="Y1839">
        <f>IF(Table1_1[[#This Row],[ship_date]]="","",Table1_1[[#This Row],[ship_date]]-Table1_1[[#This Row],[order_date]])</f>
        <v>2</v>
      </c>
      <c r="Z1839">
        <f>ROUND(Table1_1[[#This Row],[profit]]/Table1_1[[#This Row],[sales_fix]]*100,2)</f>
        <v>31.64</v>
      </c>
    </row>
    <row r="1840" spans="1:26" x14ac:dyDescent="0.3">
      <c r="A1840" t="s">
        <v>3044</v>
      </c>
      <c r="B1840" s="1">
        <v>45974</v>
      </c>
      <c r="C1840" s="1">
        <v>45982</v>
      </c>
      <c r="D1840" t="s">
        <v>956</v>
      </c>
      <c r="E1840" t="s">
        <v>1086</v>
      </c>
      <c r="F1840" t="s">
        <v>55</v>
      </c>
      <c r="G1840" t="s">
        <v>44</v>
      </c>
      <c r="H1840" t="s">
        <v>24</v>
      </c>
      <c r="I1840" t="s">
        <v>71</v>
      </c>
      <c r="J1840" t="s">
        <v>72</v>
      </c>
      <c r="K1840" t="s">
        <v>73</v>
      </c>
      <c r="L1840">
        <v>1</v>
      </c>
      <c r="M1840">
        <v>3500</v>
      </c>
      <c r="N1840">
        <v>20</v>
      </c>
      <c r="O1840">
        <v>2800</v>
      </c>
      <c r="P1840">
        <v>876.13</v>
      </c>
      <c r="Q1840" t="s">
        <v>66</v>
      </c>
      <c r="R1840" t="s">
        <v>29</v>
      </c>
      <c r="S1840" t="s">
        <v>50</v>
      </c>
      <c r="T1840">
        <f>YEAR(Table1_1[[#This Row],[order_date]])</f>
        <v>2025</v>
      </c>
      <c r="U1840">
        <f>MONTH(Table1_1[[#This Row],[order_date]])</f>
        <v>11</v>
      </c>
      <c r="V1840" t="str">
        <f>TEXT(Table1_1[[#This Row],[order_date]],"mmm")</f>
        <v>Nov</v>
      </c>
      <c r="W1840" t="str">
        <f>"Q"&amp;ROUNDUP(MONTH(Table1_1[[#This Row],[order_date]])/3,0)</f>
        <v>Q4</v>
      </c>
      <c r="X1840" t="str">
        <f>TEXT(Table1_1[[#This Row],[order_date]],"yyyy-mm")</f>
        <v>2025-11</v>
      </c>
      <c r="Y1840">
        <f>IF(Table1_1[[#This Row],[ship_date]]="","",Table1_1[[#This Row],[ship_date]]-Table1_1[[#This Row],[order_date]])</f>
        <v>8</v>
      </c>
      <c r="Z1840">
        <f>ROUND(Table1_1[[#This Row],[profit]]/Table1_1[[#This Row],[sales_fix]]*100,2)</f>
        <v>31.29</v>
      </c>
    </row>
    <row r="1841" spans="1:26" x14ac:dyDescent="0.3">
      <c r="A1841" t="s">
        <v>1475</v>
      </c>
      <c r="B1841" s="1">
        <v>45437</v>
      </c>
      <c r="C1841" s="1">
        <v>45443</v>
      </c>
      <c r="D1841" t="s">
        <v>185</v>
      </c>
      <c r="E1841" t="s">
        <v>186</v>
      </c>
      <c r="F1841" t="s">
        <v>55</v>
      </c>
      <c r="G1841" t="s">
        <v>35</v>
      </c>
      <c r="H1841" t="s">
        <v>187</v>
      </c>
      <c r="I1841" t="s">
        <v>63</v>
      </c>
      <c r="J1841" t="s">
        <v>64</v>
      </c>
      <c r="K1841" t="s">
        <v>65</v>
      </c>
      <c r="L1841">
        <v>1</v>
      </c>
      <c r="M1841">
        <v>25000</v>
      </c>
      <c r="N1841">
        <v>5</v>
      </c>
      <c r="O1841">
        <v>23750</v>
      </c>
      <c r="P1841">
        <v>3826.37</v>
      </c>
      <c r="Q1841" t="s">
        <v>39</v>
      </c>
      <c r="R1841" t="s">
        <v>49</v>
      </c>
      <c r="S1841" t="s">
        <v>30</v>
      </c>
      <c r="T1841">
        <f>YEAR(Table1_1[[#This Row],[order_date]])</f>
        <v>2024</v>
      </c>
      <c r="U1841">
        <f>MONTH(Table1_1[[#This Row],[order_date]])</f>
        <v>5</v>
      </c>
      <c r="V1841" t="str">
        <f>TEXT(Table1_1[[#This Row],[order_date]],"mmm")</f>
        <v>May</v>
      </c>
      <c r="W1841" t="str">
        <f>"Q"&amp;ROUNDUP(MONTH(Table1_1[[#This Row],[order_date]])/3,0)</f>
        <v>Q2</v>
      </c>
      <c r="X1841" t="str">
        <f>TEXT(Table1_1[[#This Row],[order_date]],"yyyy-mm")</f>
        <v>2024-05</v>
      </c>
      <c r="Y1841">
        <f>IF(Table1_1[[#This Row],[ship_date]]="","",Table1_1[[#This Row],[ship_date]]-Table1_1[[#This Row],[order_date]])</f>
        <v>6</v>
      </c>
      <c r="Z1841">
        <f>ROUND(Table1_1[[#This Row],[profit]]/Table1_1[[#This Row],[sales_fix]]*100,2)</f>
        <v>16.11</v>
      </c>
    </row>
    <row r="1842" spans="1:26" x14ac:dyDescent="0.3">
      <c r="A1842" t="s">
        <v>2624</v>
      </c>
      <c r="B1842" s="1">
        <v>45509</v>
      </c>
      <c r="C1842" s="1">
        <v>45512</v>
      </c>
      <c r="D1842" t="s">
        <v>682</v>
      </c>
      <c r="E1842" t="s">
        <v>683</v>
      </c>
      <c r="F1842" t="s">
        <v>55</v>
      </c>
      <c r="G1842" t="s">
        <v>61</v>
      </c>
      <c r="H1842" t="s">
        <v>125</v>
      </c>
      <c r="I1842" t="s">
        <v>79</v>
      </c>
      <c r="J1842" t="s">
        <v>80</v>
      </c>
      <c r="K1842" t="s">
        <v>65</v>
      </c>
      <c r="L1842">
        <v>4</v>
      </c>
      <c r="M1842">
        <v>3000</v>
      </c>
      <c r="N1842">
        <v>0</v>
      </c>
      <c r="O1842">
        <v>12000</v>
      </c>
      <c r="P1842">
        <v>3875.78</v>
      </c>
      <c r="Q1842" t="s">
        <v>66</v>
      </c>
      <c r="R1842" t="s">
        <v>29</v>
      </c>
      <c r="S1842" t="s">
        <v>30</v>
      </c>
      <c r="T1842">
        <f>YEAR(Table1_1[[#This Row],[order_date]])</f>
        <v>2024</v>
      </c>
      <c r="U1842">
        <f>MONTH(Table1_1[[#This Row],[order_date]])</f>
        <v>8</v>
      </c>
      <c r="V1842" t="str">
        <f>TEXT(Table1_1[[#This Row],[order_date]],"mmm")</f>
        <v>Aug</v>
      </c>
      <c r="W1842" t="str">
        <f>"Q"&amp;ROUNDUP(MONTH(Table1_1[[#This Row],[order_date]])/3,0)</f>
        <v>Q3</v>
      </c>
      <c r="X1842" t="str">
        <f>TEXT(Table1_1[[#This Row],[order_date]],"yyyy-mm")</f>
        <v>2024-08</v>
      </c>
      <c r="Y1842">
        <f>IF(Table1_1[[#This Row],[ship_date]]="","",Table1_1[[#This Row],[ship_date]]-Table1_1[[#This Row],[order_date]])</f>
        <v>3</v>
      </c>
      <c r="Z1842">
        <f>ROUND(Table1_1[[#This Row],[profit]]/Table1_1[[#This Row],[sales_fix]]*100,2)</f>
        <v>32.299999999999997</v>
      </c>
    </row>
    <row r="1843" spans="1:26" x14ac:dyDescent="0.3">
      <c r="A1843" t="s">
        <v>1174</v>
      </c>
      <c r="B1843" s="1">
        <v>45418</v>
      </c>
      <c r="C1843" s="1">
        <v>45426</v>
      </c>
      <c r="D1843" t="s">
        <v>1009</v>
      </c>
      <c r="E1843" t="s">
        <v>1010</v>
      </c>
      <c r="F1843" t="s">
        <v>23</v>
      </c>
      <c r="G1843" t="s">
        <v>61</v>
      </c>
      <c r="H1843" t="s">
        <v>62</v>
      </c>
      <c r="I1843" t="s">
        <v>134</v>
      </c>
      <c r="J1843" t="s">
        <v>135</v>
      </c>
      <c r="K1843" t="s">
        <v>27</v>
      </c>
      <c r="L1843">
        <v>1</v>
      </c>
      <c r="M1843">
        <v>6000</v>
      </c>
      <c r="N1843">
        <v>0</v>
      </c>
      <c r="O1843">
        <v>6000</v>
      </c>
      <c r="P1843">
        <v>1284.08</v>
      </c>
      <c r="Q1843" t="s">
        <v>74</v>
      </c>
      <c r="R1843" t="s">
        <v>29</v>
      </c>
      <c r="S1843" t="s">
        <v>50</v>
      </c>
      <c r="T1843">
        <f>YEAR(Table1_1[[#This Row],[order_date]])</f>
        <v>2024</v>
      </c>
      <c r="U1843">
        <f>MONTH(Table1_1[[#This Row],[order_date]])</f>
        <v>5</v>
      </c>
      <c r="V1843" t="str">
        <f>TEXT(Table1_1[[#This Row],[order_date]],"mmm")</f>
        <v>May</v>
      </c>
      <c r="W1843" t="str">
        <f>"Q"&amp;ROUNDUP(MONTH(Table1_1[[#This Row],[order_date]])/3,0)</f>
        <v>Q2</v>
      </c>
      <c r="X1843" t="str">
        <f>TEXT(Table1_1[[#This Row],[order_date]],"yyyy-mm")</f>
        <v>2024-05</v>
      </c>
      <c r="Y1843">
        <f>IF(Table1_1[[#This Row],[ship_date]]="","",Table1_1[[#This Row],[ship_date]]-Table1_1[[#This Row],[order_date]])</f>
        <v>8</v>
      </c>
      <c r="Z1843">
        <f>ROUND(Table1_1[[#This Row],[profit]]/Table1_1[[#This Row],[sales_fix]]*100,2)</f>
        <v>21.4</v>
      </c>
    </row>
    <row r="1844" spans="1:26" x14ac:dyDescent="0.3">
      <c r="A1844" t="s">
        <v>1601</v>
      </c>
      <c r="B1844" s="1">
        <v>45379</v>
      </c>
      <c r="C1844" s="1">
        <v>45386</v>
      </c>
      <c r="D1844" t="s">
        <v>1168</v>
      </c>
      <c r="E1844" t="s">
        <v>1169</v>
      </c>
      <c r="F1844" t="s">
        <v>23</v>
      </c>
      <c r="G1844" t="s">
        <v>91</v>
      </c>
      <c r="H1844" t="s">
        <v>177</v>
      </c>
      <c r="I1844" t="s">
        <v>147</v>
      </c>
      <c r="J1844" t="s">
        <v>148</v>
      </c>
      <c r="K1844" t="s">
        <v>48</v>
      </c>
      <c r="L1844">
        <v>2</v>
      </c>
      <c r="M1844">
        <v>250</v>
      </c>
      <c r="N1844">
        <v>20</v>
      </c>
      <c r="O1844">
        <v>400</v>
      </c>
      <c r="P1844">
        <v>149.81</v>
      </c>
      <c r="Q1844" t="s">
        <v>121</v>
      </c>
      <c r="R1844" t="s">
        <v>29</v>
      </c>
      <c r="S1844" t="s">
        <v>50</v>
      </c>
      <c r="T1844">
        <f>YEAR(Table1_1[[#This Row],[order_date]])</f>
        <v>2024</v>
      </c>
      <c r="U1844">
        <f>MONTH(Table1_1[[#This Row],[order_date]])</f>
        <v>3</v>
      </c>
      <c r="V1844" t="str">
        <f>TEXT(Table1_1[[#This Row],[order_date]],"mmm")</f>
        <v>Mar</v>
      </c>
      <c r="W1844" t="str">
        <f>"Q"&amp;ROUNDUP(MONTH(Table1_1[[#This Row],[order_date]])/3,0)</f>
        <v>Q1</v>
      </c>
      <c r="X1844" t="str">
        <f>TEXT(Table1_1[[#This Row],[order_date]],"yyyy-mm")</f>
        <v>2024-03</v>
      </c>
      <c r="Y1844">
        <f>IF(Table1_1[[#This Row],[ship_date]]="","",Table1_1[[#This Row],[ship_date]]-Table1_1[[#This Row],[order_date]])</f>
        <v>7</v>
      </c>
      <c r="Z1844">
        <f>ROUND(Table1_1[[#This Row],[profit]]/Table1_1[[#This Row],[sales_fix]]*100,2)</f>
        <v>37.450000000000003</v>
      </c>
    </row>
    <row r="1845" spans="1:26" x14ac:dyDescent="0.3">
      <c r="A1845" t="s">
        <v>1918</v>
      </c>
      <c r="B1845" s="1">
        <v>45957</v>
      </c>
      <c r="C1845" s="1">
        <v>45960</v>
      </c>
      <c r="D1845" t="s">
        <v>132</v>
      </c>
      <c r="E1845" t="s">
        <v>133</v>
      </c>
      <c r="F1845" t="s">
        <v>23</v>
      </c>
      <c r="G1845" t="s">
        <v>91</v>
      </c>
      <c r="H1845" t="s">
        <v>120</v>
      </c>
      <c r="I1845" t="s">
        <v>46</v>
      </c>
      <c r="J1845" t="s">
        <v>47</v>
      </c>
      <c r="K1845" t="s">
        <v>48</v>
      </c>
      <c r="L1845">
        <v>1</v>
      </c>
      <c r="M1845">
        <v>180</v>
      </c>
      <c r="N1845">
        <v>0</v>
      </c>
      <c r="O1845">
        <v>180</v>
      </c>
      <c r="P1845">
        <v>65.16</v>
      </c>
      <c r="Q1845" t="s">
        <v>156</v>
      </c>
      <c r="R1845" t="s">
        <v>56</v>
      </c>
      <c r="S1845" t="s">
        <v>86</v>
      </c>
      <c r="T1845">
        <f>YEAR(Table1_1[[#This Row],[order_date]])</f>
        <v>2025</v>
      </c>
      <c r="U1845">
        <f>MONTH(Table1_1[[#This Row],[order_date]])</f>
        <v>10</v>
      </c>
      <c r="V1845" t="str">
        <f>TEXT(Table1_1[[#This Row],[order_date]],"mmm")</f>
        <v>Oct</v>
      </c>
      <c r="W1845" t="str">
        <f>"Q"&amp;ROUNDUP(MONTH(Table1_1[[#This Row],[order_date]])/3,0)</f>
        <v>Q4</v>
      </c>
      <c r="X1845" t="str">
        <f>TEXT(Table1_1[[#This Row],[order_date]],"yyyy-mm")</f>
        <v>2025-10</v>
      </c>
      <c r="Y1845">
        <f>IF(Table1_1[[#This Row],[ship_date]]="","",Table1_1[[#This Row],[ship_date]]-Table1_1[[#This Row],[order_date]])</f>
        <v>3</v>
      </c>
      <c r="Z1845">
        <f>ROUND(Table1_1[[#This Row],[profit]]/Table1_1[[#This Row],[sales_fix]]*100,2)</f>
        <v>36.200000000000003</v>
      </c>
    </row>
    <row r="1846" spans="1:26" x14ac:dyDescent="0.3">
      <c r="A1846" t="s">
        <v>2582</v>
      </c>
      <c r="B1846" s="1">
        <v>46019</v>
      </c>
      <c r="C1846" s="1">
        <v>46025</v>
      </c>
      <c r="D1846" t="s">
        <v>444</v>
      </c>
      <c r="E1846" t="s">
        <v>445</v>
      </c>
      <c r="F1846" t="s">
        <v>55</v>
      </c>
      <c r="G1846" t="s">
        <v>91</v>
      </c>
      <c r="H1846" t="s">
        <v>92</v>
      </c>
      <c r="I1846" t="s">
        <v>71</v>
      </c>
      <c r="J1846" t="s">
        <v>72</v>
      </c>
      <c r="K1846" t="s">
        <v>73</v>
      </c>
      <c r="L1846">
        <v>1</v>
      </c>
      <c r="M1846">
        <v>3500</v>
      </c>
      <c r="N1846">
        <v>0</v>
      </c>
      <c r="O1846">
        <v>3500</v>
      </c>
      <c r="P1846">
        <v>839.86</v>
      </c>
      <c r="Q1846" t="s">
        <v>28</v>
      </c>
      <c r="R1846" t="s">
        <v>49</v>
      </c>
      <c r="S1846" t="s">
        <v>40</v>
      </c>
      <c r="T1846">
        <f>YEAR(Table1_1[[#This Row],[order_date]])</f>
        <v>2025</v>
      </c>
      <c r="U1846">
        <f>MONTH(Table1_1[[#This Row],[order_date]])</f>
        <v>12</v>
      </c>
      <c r="V1846" t="str">
        <f>TEXT(Table1_1[[#This Row],[order_date]],"mmm")</f>
        <v>Dec</v>
      </c>
      <c r="W1846" t="str">
        <f>"Q"&amp;ROUNDUP(MONTH(Table1_1[[#This Row],[order_date]])/3,0)</f>
        <v>Q4</v>
      </c>
      <c r="X1846" t="str">
        <f>TEXT(Table1_1[[#This Row],[order_date]],"yyyy-mm")</f>
        <v>2025-12</v>
      </c>
      <c r="Y1846">
        <f>IF(Table1_1[[#This Row],[ship_date]]="","",Table1_1[[#This Row],[ship_date]]-Table1_1[[#This Row],[order_date]])</f>
        <v>6</v>
      </c>
      <c r="Z1846">
        <f>ROUND(Table1_1[[#This Row],[profit]]/Table1_1[[#This Row],[sales_fix]]*100,2)</f>
        <v>24</v>
      </c>
    </row>
    <row r="1847" spans="1:26" x14ac:dyDescent="0.3">
      <c r="A1847" t="s">
        <v>2643</v>
      </c>
      <c r="B1847" s="1">
        <v>45725</v>
      </c>
      <c r="C1847" s="1">
        <v>45731</v>
      </c>
      <c r="D1847" t="s">
        <v>362</v>
      </c>
      <c r="E1847" t="s">
        <v>363</v>
      </c>
      <c r="F1847" t="s">
        <v>55</v>
      </c>
      <c r="G1847" t="s">
        <v>35</v>
      </c>
      <c r="H1847" t="s">
        <v>36</v>
      </c>
      <c r="I1847" t="s">
        <v>37</v>
      </c>
      <c r="J1847" t="s">
        <v>38</v>
      </c>
      <c r="K1847" t="s">
        <v>27</v>
      </c>
      <c r="L1847">
        <v>4</v>
      </c>
      <c r="M1847">
        <v>9500</v>
      </c>
      <c r="N1847">
        <v>0</v>
      </c>
      <c r="O1847">
        <v>38000</v>
      </c>
      <c r="P1847">
        <v>7213.64</v>
      </c>
      <c r="Q1847" t="s">
        <v>3113</v>
      </c>
      <c r="R1847" t="s">
        <v>56</v>
      </c>
      <c r="S1847" t="s">
        <v>110</v>
      </c>
      <c r="T1847">
        <f>YEAR(Table1_1[[#This Row],[order_date]])</f>
        <v>2025</v>
      </c>
      <c r="U1847">
        <f>MONTH(Table1_1[[#This Row],[order_date]])</f>
        <v>3</v>
      </c>
      <c r="V1847" t="str">
        <f>TEXT(Table1_1[[#This Row],[order_date]],"mmm")</f>
        <v>Mar</v>
      </c>
      <c r="W1847" t="str">
        <f>"Q"&amp;ROUNDUP(MONTH(Table1_1[[#This Row],[order_date]])/3,0)</f>
        <v>Q1</v>
      </c>
      <c r="X1847" t="str">
        <f>TEXT(Table1_1[[#This Row],[order_date]],"yyyy-mm")</f>
        <v>2025-03</v>
      </c>
      <c r="Y1847">
        <f>IF(Table1_1[[#This Row],[ship_date]]="","",Table1_1[[#This Row],[ship_date]]-Table1_1[[#This Row],[order_date]])</f>
        <v>6</v>
      </c>
      <c r="Z1847">
        <f>ROUND(Table1_1[[#This Row],[profit]]/Table1_1[[#This Row],[sales_fix]]*100,2)</f>
        <v>18.98</v>
      </c>
    </row>
    <row r="1848" spans="1:26" x14ac:dyDescent="0.3">
      <c r="A1848" t="s">
        <v>1002</v>
      </c>
      <c r="B1848" s="1">
        <v>45727</v>
      </c>
      <c r="C1848" s="1">
        <v>45729</v>
      </c>
      <c r="D1848" t="s">
        <v>1003</v>
      </c>
      <c r="E1848" t="s">
        <v>1004</v>
      </c>
      <c r="F1848" t="s">
        <v>23</v>
      </c>
      <c r="G1848" t="s">
        <v>61</v>
      </c>
      <c r="H1848" t="s">
        <v>62</v>
      </c>
      <c r="I1848" t="s">
        <v>25</v>
      </c>
      <c r="J1848" t="s">
        <v>26</v>
      </c>
      <c r="K1848" t="s">
        <v>27</v>
      </c>
      <c r="L1848">
        <v>4</v>
      </c>
      <c r="M1848">
        <v>7000</v>
      </c>
      <c r="N1848">
        <v>0</v>
      </c>
      <c r="O1848">
        <v>28000</v>
      </c>
      <c r="P1848">
        <v>4931.16</v>
      </c>
      <c r="Q1848" t="s">
        <v>121</v>
      </c>
      <c r="R1848" t="s">
        <v>49</v>
      </c>
      <c r="S1848" t="s">
        <v>57</v>
      </c>
      <c r="T1848">
        <f>YEAR(Table1_1[[#This Row],[order_date]])</f>
        <v>2025</v>
      </c>
      <c r="U1848">
        <f>MONTH(Table1_1[[#This Row],[order_date]])</f>
        <v>3</v>
      </c>
      <c r="V1848" t="str">
        <f>TEXT(Table1_1[[#This Row],[order_date]],"mmm")</f>
        <v>Mar</v>
      </c>
      <c r="W1848" t="str">
        <f>"Q"&amp;ROUNDUP(MONTH(Table1_1[[#This Row],[order_date]])/3,0)</f>
        <v>Q1</v>
      </c>
      <c r="X1848" t="str">
        <f>TEXT(Table1_1[[#This Row],[order_date]],"yyyy-mm")</f>
        <v>2025-03</v>
      </c>
      <c r="Y1848">
        <f>IF(Table1_1[[#This Row],[ship_date]]="","",Table1_1[[#This Row],[ship_date]]-Table1_1[[#This Row],[order_date]])</f>
        <v>2</v>
      </c>
      <c r="Z1848">
        <f>ROUND(Table1_1[[#This Row],[profit]]/Table1_1[[#This Row],[sales_fix]]*100,2)</f>
        <v>17.61</v>
      </c>
    </row>
    <row r="1849" spans="1:26" x14ac:dyDescent="0.3">
      <c r="A1849" t="s">
        <v>2536</v>
      </c>
      <c r="B1849" s="1">
        <v>45405</v>
      </c>
      <c r="C1849" s="1">
        <v>45407</v>
      </c>
      <c r="D1849" t="s">
        <v>200</v>
      </c>
      <c r="E1849" t="s">
        <v>201</v>
      </c>
      <c r="F1849" t="s">
        <v>23</v>
      </c>
      <c r="G1849" t="s">
        <v>35</v>
      </c>
      <c r="H1849" t="s">
        <v>187</v>
      </c>
      <c r="I1849" t="s">
        <v>114</v>
      </c>
      <c r="J1849" t="s">
        <v>115</v>
      </c>
      <c r="K1849" t="s">
        <v>65</v>
      </c>
      <c r="L1849">
        <v>1</v>
      </c>
      <c r="M1849">
        <v>55000</v>
      </c>
      <c r="N1849">
        <v>0</v>
      </c>
      <c r="O1849">
        <v>55000</v>
      </c>
      <c r="P1849">
        <v>9975.86</v>
      </c>
      <c r="Q1849" t="s">
        <v>66</v>
      </c>
      <c r="R1849" t="s">
        <v>29</v>
      </c>
      <c r="S1849" t="s">
        <v>86</v>
      </c>
      <c r="T1849">
        <f>YEAR(Table1_1[[#This Row],[order_date]])</f>
        <v>2024</v>
      </c>
      <c r="U1849">
        <f>MONTH(Table1_1[[#This Row],[order_date]])</f>
        <v>4</v>
      </c>
      <c r="V1849" t="str">
        <f>TEXT(Table1_1[[#This Row],[order_date]],"mmm")</f>
        <v>Apr</v>
      </c>
      <c r="W1849" t="str">
        <f>"Q"&amp;ROUNDUP(MONTH(Table1_1[[#This Row],[order_date]])/3,0)</f>
        <v>Q2</v>
      </c>
      <c r="X1849" t="str">
        <f>TEXT(Table1_1[[#This Row],[order_date]],"yyyy-mm")</f>
        <v>2024-04</v>
      </c>
      <c r="Y1849">
        <f>IF(Table1_1[[#This Row],[ship_date]]="","",Table1_1[[#This Row],[ship_date]]-Table1_1[[#This Row],[order_date]])</f>
        <v>2</v>
      </c>
      <c r="Z1849">
        <f>ROUND(Table1_1[[#This Row],[profit]]/Table1_1[[#This Row],[sales_fix]]*100,2)</f>
        <v>18.14</v>
      </c>
    </row>
    <row r="1850" spans="1:26" x14ac:dyDescent="0.3">
      <c r="A1850" t="s">
        <v>711</v>
      </c>
      <c r="B1850" s="1">
        <v>45527</v>
      </c>
      <c r="C1850" s="1">
        <v>45529</v>
      </c>
      <c r="D1850" t="s">
        <v>261</v>
      </c>
      <c r="E1850" t="s">
        <v>262</v>
      </c>
      <c r="F1850" t="s">
        <v>23</v>
      </c>
      <c r="G1850" t="s">
        <v>35</v>
      </c>
      <c r="H1850" t="s">
        <v>85</v>
      </c>
      <c r="I1850" t="s">
        <v>46</v>
      </c>
      <c r="J1850" t="s">
        <v>47</v>
      </c>
      <c r="K1850" t="s">
        <v>48</v>
      </c>
      <c r="L1850">
        <v>1</v>
      </c>
      <c r="M1850">
        <v>180</v>
      </c>
      <c r="N1850">
        <v>5</v>
      </c>
      <c r="O1850">
        <v>171</v>
      </c>
      <c r="P1850">
        <v>62.37</v>
      </c>
      <c r="Q1850" t="s">
        <v>28</v>
      </c>
      <c r="R1850" t="s">
        <v>29</v>
      </c>
      <c r="S1850" t="s">
        <v>30</v>
      </c>
      <c r="T1850">
        <f>YEAR(Table1_1[[#This Row],[order_date]])</f>
        <v>2024</v>
      </c>
      <c r="U1850">
        <f>MONTH(Table1_1[[#This Row],[order_date]])</f>
        <v>8</v>
      </c>
      <c r="V1850" t="str">
        <f>TEXT(Table1_1[[#This Row],[order_date]],"mmm")</f>
        <v>Aug</v>
      </c>
      <c r="W1850" t="str">
        <f>"Q"&amp;ROUNDUP(MONTH(Table1_1[[#This Row],[order_date]])/3,0)</f>
        <v>Q3</v>
      </c>
      <c r="X1850" t="str">
        <f>TEXT(Table1_1[[#This Row],[order_date]],"yyyy-mm")</f>
        <v>2024-08</v>
      </c>
      <c r="Y1850">
        <f>IF(Table1_1[[#This Row],[ship_date]]="","",Table1_1[[#This Row],[ship_date]]-Table1_1[[#This Row],[order_date]])</f>
        <v>2</v>
      </c>
      <c r="Z1850">
        <f>ROUND(Table1_1[[#This Row],[profit]]/Table1_1[[#This Row],[sales_fix]]*100,2)</f>
        <v>36.47</v>
      </c>
    </row>
    <row r="1851" spans="1:26" x14ac:dyDescent="0.3">
      <c r="A1851" t="s">
        <v>486</v>
      </c>
      <c r="B1851" s="1">
        <v>45849</v>
      </c>
      <c r="C1851" s="1">
        <v>45855</v>
      </c>
      <c r="D1851" t="s">
        <v>488</v>
      </c>
      <c r="E1851" t="s">
        <v>489</v>
      </c>
      <c r="F1851" t="s">
        <v>34</v>
      </c>
      <c r="G1851" t="s">
        <v>35</v>
      </c>
      <c r="H1851" t="s">
        <v>36</v>
      </c>
      <c r="I1851" t="s">
        <v>114</v>
      </c>
      <c r="J1851" t="s">
        <v>115</v>
      </c>
      <c r="K1851" t="s">
        <v>65</v>
      </c>
      <c r="L1851">
        <v>1</v>
      </c>
      <c r="M1851">
        <v>55000</v>
      </c>
      <c r="N1851">
        <v>0</v>
      </c>
      <c r="O1851">
        <v>55000</v>
      </c>
      <c r="P1851">
        <v>10146.85</v>
      </c>
      <c r="Q1851" t="s">
        <v>28</v>
      </c>
      <c r="R1851" t="s">
        <v>29</v>
      </c>
      <c r="S1851" t="s">
        <v>50</v>
      </c>
      <c r="T1851">
        <f>YEAR(Table1_1[[#This Row],[order_date]])</f>
        <v>2025</v>
      </c>
      <c r="U1851">
        <f>MONTH(Table1_1[[#This Row],[order_date]])</f>
        <v>7</v>
      </c>
      <c r="V1851" t="str">
        <f>TEXT(Table1_1[[#This Row],[order_date]],"mmm")</f>
        <v>Jul</v>
      </c>
      <c r="W1851" t="str">
        <f>"Q"&amp;ROUNDUP(MONTH(Table1_1[[#This Row],[order_date]])/3,0)</f>
        <v>Q3</v>
      </c>
      <c r="X1851" t="str">
        <f>TEXT(Table1_1[[#This Row],[order_date]],"yyyy-mm")</f>
        <v>2025-07</v>
      </c>
      <c r="Y1851">
        <f>IF(Table1_1[[#This Row],[ship_date]]="","",Table1_1[[#This Row],[ship_date]]-Table1_1[[#This Row],[order_date]])</f>
        <v>6</v>
      </c>
      <c r="Z1851">
        <f>ROUND(Table1_1[[#This Row],[profit]]/Table1_1[[#This Row],[sales_fix]]*100,2)</f>
        <v>18.45</v>
      </c>
    </row>
    <row r="1852" spans="1:26" x14ac:dyDescent="0.3">
      <c r="A1852" t="s">
        <v>2132</v>
      </c>
      <c r="B1852" s="1">
        <v>45402</v>
      </c>
      <c r="C1852" s="1">
        <v>45404</v>
      </c>
      <c r="D1852" t="s">
        <v>388</v>
      </c>
      <c r="E1852" t="s">
        <v>389</v>
      </c>
      <c r="F1852" t="s">
        <v>23</v>
      </c>
      <c r="G1852" t="s">
        <v>44</v>
      </c>
      <c r="H1852" t="s">
        <v>161</v>
      </c>
      <c r="I1852" t="s">
        <v>71</v>
      </c>
      <c r="J1852" t="s">
        <v>72</v>
      </c>
      <c r="K1852" t="s">
        <v>73</v>
      </c>
      <c r="L1852">
        <v>10</v>
      </c>
      <c r="M1852">
        <v>3500</v>
      </c>
      <c r="N1852">
        <v>15</v>
      </c>
      <c r="O1852">
        <v>29750</v>
      </c>
      <c r="P1852">
        <v>6895.54</v>
      </c>
      <c r="Q1852" t="s">
        <v>121</v>
      </c>
      <c r="R1852" t="s">
        <v>56</v>
      </c>
      <c r="S1852" t="s">
        <v>86</v>
      </c>
      <c r="T1852">
        <f>YEAR(Table1_1[[#This Row],[order_date]])</f>
        <v>2024</v>
      </c>
      <c r="U1852">
        <f>MONTH(Table1_1[[#This Row],[order_date]])</f>
        <v>4</v>
      </c>
      <c r="V1852" t="str">
        <f>TEXT(Table1_1[[#This Row],[order_date]],"mmm")</f>
        <v>Apr</v>
      </c>
      <c r="W1852" t="str">
        <f>"Q"&amp;ROUNDUP(MONTH(Table1_1[[#This Row],[order_date]])/3,0)</f>
        <v>Q2</v>
      </c>
      <c r="X1852" t="str">
        <f>TEXT(Table1_1[[#This Row],[order_date]],"yyyy-mm")</f>
        <v>2024-04</v>
      </c>
      <c r="Y1852">
        <f>IF(Table1_1[[#This Row],[ship_date]]="","",Table1_1[[#This Row],[ship_date]]-Table1_1[[#This Row],[order_date]])</f>
        <v>2</v>
      </c>
      <c r="Z1852">
        <f>ROUND(Table1_1[[#This Row],[profit]]/Table1_1[[#This Row],[sales_fix]]*100,2)</f>
        <v>23.18</v>
      </c>
    </row>
    <row r="1853" spans="1:26" x14ac:dyDescent="0.3">
      <c r="A1853" t="s">
        <v>2443</v>
      </c>
      <c r="B1853" s="1">
        <v>45396</v>
      </c>
      <c r="C1853" s="1">
        <v>45402</v>
      </c>
      <c r="D1853" t="s">
        <v>182</v>
      </c>
      <c r="E1853" t="s">
        <v>183</v>
      </c>
      <c r="F1853" t="s">
        <v>55</v>
      </c>
      <c r="G1853" t="s">
        <v>44</v>
      </c>
      <c r="H1853" t="s">
        <v>45</v>
      </c>
      <c r="I1853" t="s">
        <v>147</v>
      </c>
      <c r="J1853" t="s">
        <v>148</v>
      </c>
      <c r="K1853" t="s">
        <v>48</v>
      </c>
      <c r="L1853">
        <v>1</v>
      </c>
      <c r="M1853">
        <v>250</v>
      </c>
      <c r="N1853">
        <v>5</v>
      </c>
      <c r="O1853">
        <v>237.5</v>
      </c>
      <c r="P1853">
        <v>93.58</v>
      </c>
      <c r="Q1853" t="s">
        <v>66</v>
      </c>
      <c r="R1853" t="s">
        <v>29</v>
      </c>
      <c r="S1853" t="s">
        <v>110</v>
      </c>
      <c r="T1853">
        <f>YEAR(Table1_1[[#This Row],[order_date]])</f>
        <v>2024</v>
      </c>
      <c r="U1853">
        <f>MONTH(Table1_1[[#This Row],[order_date]])</f>
        <v>4</v>
      </c>
      <c r="V1853" t="str">
        <f>TEXT(Table1_1[[#This Row],[order_date]],"mmm")</f>
        <v>Apr</v>
      </c>
      <c r="W1853" t="str">
        <f>"Q"&amp;ROUNDUP(MONTH(Table1_1[[#This Row],[order_date]])/3,0)</f>
        <v>Q2</v>
      </c>
      <c r="X1853" t="str">
        <f>TEXT(Table1_1[[#This Row],[order_date]],"yyyy-mm")</f>
        <v>2024-04</v>
      </c>
      <c r="Y1853">
        <f>IF(Table1_1[[#This Row],[ship_date]]="","",Table1_1[[#This Row],[ship_date]]-Table1_1[[#This Row],[order_date]])</f>
        <v>6</v>
      </c>
      <c r="Z1853">
        <f>ROUND(Table1_1[[#This Row],[profit]]/Table1_1[[#This Row],[sales_fix]]*100,2)</f>
        <v>39.4</v>
      </c>
    </row>
    <row r="1854" spans="1:26" x14ac:dyDescent="0.3">
      <c r="A1854" t="s">
        <v>2383</v>
      </c>
      <c r="B1854" s="1">
        <v>45574</v>
      </c>
      <c r="C1854" s="1">
        <v>45578</v>
      </c>
      <c r="D1854" t="s">
        <v>112</v>
      </c>
      <c r="E1854" t="s">
        <v>113</v>
      </c>
      <c r="F1854" t="s">
        <v>23</v>
      </c>
      <c r="G1854" t="s">
        <v>35</v>
      </c>
      <c r="H1854" t="s">
        <v>36</v>
      </c>
      <c r="I1854" t="s">
        <v>46</v>
      </c>
      <c r="J1854" t="s">
        <v>47</v>
      </c>
      <c r="K1854" t="s">
        <v>48</v>
      </c>
      <c r="L1854">
        <v>1</v>
      </c>
      <c r="M1854">
        <v>180</v>
      </c>
      <c r="N1854">
        <v>5</v>
      </c>
      <c r="O1854">
        <v>171</v>
      </c>
      <c r="P1854">
        <v>59.25</v>
      </c>
      <c r="Q1854" t="s">
        <v>66</v>
      </c>
      <c r="R1854" t="s">
        <v>29</v>
      </c>
      <c r="S1854" t="s">
        <v>40</v>
      </c>
      <c r="T1854">
        <f>YEAR(Table1_1[[#This Row],[order_date]])</f>
        <v>2024</v>
      </c>
      <c r="U1854">
        <f>MONTH(Table1_1[[#This Row],[order_date]])</f>
        <v>10</v>
      </c>
      <c r="V1854" t="str">
        <f>TEXT(Table1_1[[#This Row],[order_date]],"mmm")</f>
        <v>Oct</v>
      </c>
      <c r="W1854" t="str">
        <f>"Q"&amp;ROUNDUP(MONTH(Table1_1[[#This Row],[order_date]])/3,0)</f>
        <v>Q4</v>
      </c>
      <c r="X1854" t="str">
        <f>TEXT(Table1_1[[#This Row],[order_date]],"yyyy-mm")</f>
        <v>2024-10</v>
      </c>
      <c r="Y1854">
        <f>IF(Table1_1[[#This Row],[ship_date]]="","",Table1_1[[#This Row],[ship_date]]-Table1_1[[#This Row],[order_date]])</f>
        <v>4</v>
      </c>
      <c r="Z1854">
        <f>ROUND(Table1_1[[#This Row],[profit]]/Table1_1[[#This Row],[sales_fix]]*100,2)</f>
        <v>34.65</v>
      </c>
    </row>
    <row r="1855" spans="1:26" x14ac:dyDescent="0.3">
      <c r="A1855" t="s">
        <v>1651</v>
      </c>
      <c r="B1855" s="1">
        <v>45649</v>
      </c>
      <c r="C1855" s="1">
        <v>45656</v>
      </c>
      <c r="D1855" t="s">
        <v>200</v>
      </c>
      <c r="E1855" t="s">
        <v>201</v>
      </c>
      <c r="F1855" t="s">
        <v>23</v>
      </c>
      <c r="G1855" t="s">
        <v>35</v>
      </c>
      <c r="H1855" t="s">
        <v>187</v>
      </c>
      <c r="I1855" t="s">
        <v>79</v>
      </c>
      <c r="J1855" t="s">
        <v>80</v>
      </c>
      <c r="K1855" t="s">
        <v>65</v>
      </c>
      <c r="L1855">
        <v>2</v>
      </c>
      <c r="M1855">
        <v>3000</v>
      </c>
      <c r="N1855">
        <v>0</v>
      </c>
      <c r="O1855">
        <v>6000</v>
      </c>
      <c r="P1855">
        <v>1581.71</v>
      </c>
      <c r="Q1855" t="s">
        <v>39</v>
      </c>
      <c r="R1855" t="s">
        <v>49</v>
      </c>
      <c r="S1855" t="s">
        <v>30</v>
      </c>
      <c r="T1855">
        <f>YEAR(Table1_1[[#This Row],[order_date]])</f>
        <v>2024</v>
      </c>
      <c r="U1855">
        <f>MONTH(Table1_1[[#This Row],[order_date]])</f>
        <v>12</v>
      </c>
      <c r="V1855" t="str">
        <f>TEXT(Table1_1[[#This Row],[order_date]],"mmm")</f>
        <v>Dec</v>
      </c>
      <c r="W1855" t="str">
        <f>"Q"&amp;ROUNDUP(MONTH(Table1_1[[#This Row],[order_date]])/3,0)</f>
        <v>Q4</v>
      </c>
      <c r="X1855" t="str">
        <f>TEXT(Table1_1[[#This Row],[order_date]],"yyyy-mm")</f>
        <v>2024-12</v>
      </c>
      <c r="Y1855">
        <f>IF(Table1_1[[#This Row],[ship_date]]="","",Table1_1[[#This Row],[ship_date]]-Table1_1[[#This Row],[order_date]])</f>
        <v>7</v>
      </c>
      <c r="Z1855">
        <f>ROUND(Table1_1[[#This Row],[profit]]/Table1_1[[#This Row],[sales_fix]]*100,2)</f>
        <v>26.36</v>
      </c>
    </row>
    <row r="1856" spans="1:26" x14ac:dyDescent="0.3">
      <c r="A1856" t="s">
        <v>2262</v>
      </c>
      <c r="B1856" s="1">
        <v>45415</v>
      </c>
      <c r="C1856" s="1">
        <v>45419</v>
      </c>
      <c r="D1856" t="s">
        <v>388</v>
      </c>
      <c r="E1856" t="s">
        <v>389</v>
      </c>
      <c r="F1856" t="s">
        <v>23</v>
      </c>
      <c r="G1856" t="s">
        <v>44</v>
      </c>
      <c r="H1856" t="s">
        <v>161</v>
      </c>
      <c r="I1856" t="s">
        <v>103</v>
      </c>
      <c r="J1856" t="s">
        <v>104</v>
      </c>
      <c r="K1856" t="s">
        <v>65</v>
      </c>
      <c r="L1856">
        <v>2</v>
      </c>
      <c r="M1856">
        <v>8000</v>
      </c>
      <c r="N1856">
        <v>0</v>
      </c>
      <c r="O1856">
        <v>16000</v>
      </c>
      <c r="P1856">
        <v>3118.34</v>
      </c>
      <c r="Q1856" t="s">
        <v>39</v>
      </c>
      <c r="R1856" t="s">
        <v>49</v>
      </c>
      <c r="S1856" t="s">
        <v>50</v>
      </c>
      <c r="T1856">
        <f>YEAR(Table1_1[[#This Row],[order_date]])</f>
        <v>2024</v>
      </c>
      <c r="U1856">
        <f>MONTH(Table1_1[[#This Row],[order_date]])</f>
        <v>5</v>
      </c>
      <c r="V1856" t="str">
        <f>TEXT(Table1_1[[#This Row],[order_date]],"mmm")</f>
        <v>May</v>
      </c>
      <c r="W1856" t="str">
        <f>"Q"&amp;ROUNDUP(MONTH(Table1_1[[#This Row],[order_date]])/3,0)</f>
        <v>Q2</v>
      </c>
      <c r="X1856" t="str">
        <f>TEXT(Table1_1[[#This Row],[order_date]],"yyyy-mm")</f>
        <v>2024-05</v>
      </c>
      <c r="Y1856">
        <f>IF(Table1_1[[#This Row],[ship_date]]="","",Table1_1[[#This Row],[ship_date]]-Table1_1[[#This Row],[order_date]])</f>
        <v>4</v>
      </c>
      <c r="Z1856">
        <f>ROUND(Table1_1[[#This Row],[profit]]/Table1_1[[#This Row],[sales_fix]]*100,2)</f>
        <v>19.489999999999998</v>
      </c>
    </row>
    <row r="1857" spans="1:26" x14ac:dyDescent="0.3">
      <c r="A1857" t="s">
        <v>3029</v>
      </c>
      <c r="B1857" s="1">
        <v>45739</v>
      </c>
      <c r="C1857" s="1">
        <v>45741</v>
      </c>
      <c r="D1857" t="s">
        <v>169</v>
      </c>
      <c r="E1857" t="s">
        <v>170</v>
      </c>
      <c r="F1857" t="s">
        <v>55</v>
      </c>
      <c r="G1857" t="s">
        <v>91</v>
      </c>
      <c r="H1857" t="s">
        <v>92</v>
      </c>
      <c r="I1857" t="s">
        <v>25</v>
      </c>
      <c r="J1857" t="s">
        <v>26</v>
      </c>
      <c r="K1857" t="s">
        <v>27</v>
      </c>
      <c r="L1857">
        <v>4</v>
      </c>
      <c r="M1857">
        <v>7000</v>
      </c>
      <c r="N1857">
        <v>5</v>
      </c>
      <c r="O1857">
        <v>26600</v>
      </c>
      <c r="P1857">
        <v>6023.33</v>
      </c>
      <c r="Q1857" t="s">
        <v>74</v>
      </c>
      <c r="R1857" t="s">
        <v>56</v>
      </c>
      <c r="S1857" t="s">
        <v>86</v>
      </c>
      <c r="T1857">
        <f>YEAR(Table1_1[[#This Row],[order_date]])</f>
        <v>2025</v>
      </c>
      <c r="U1857">
        <f>MONTH(Table1_1[[#This Row],[order_date]])</f>
        <v>3</v>
      </c>
      <c r="V1857" t="str">
        <f>TEXT(Table1_1[[#This Row],[order_date]],"mmm")</f>
        <v>Mar</v>
      </c>
      <c r="W1857" t="str">
        <f>"Q"&amp;ROUNDUP(MONTH(Table1_1[[#This Row],[order_date]])/3,0)</f>
        <v>Q1</v>
      </c>
      <c r="X1857" t="str">
        <f>TEXT(Table1_1[[#This Row],[order_date]],"yyyy-mm")</f>
        <v>2025-03</v>
      </c>
      <c r="Y1857">
        <f>IF(Table1_1[[#This Row],[ship_date]]="","",Table1_1[[#This Row],[ship_date]]-Table1_1[[#This Row],[order_date]])</f>
        <v>2</v>
      </c>
      <c r="Z1857">
        <f>ROUND(Table1_1[[#This Row],[profit]]/Table1_1[[#This Row],[sales_fix]]*100,2)</f>
        <v>22.64</v>
      </c>
    </row>
    <row r="1858" spans="1:26" x14ac:dyDescent="0.3">
      <c r="A1858" t="s">
        <v>2508</v>
      </c>
      <c r="B1858" s="1">
        <v>45433</v>
      </c>
      <c r="C1858" s="1"/>
      <c r="D1858" t="s">
        <v>460</v>
      </c>
      <c r="E1858" t="s">
        <v>461</v>
      </c>
      <c r="F1858" t="s">
        <v>34</v>
      </c>
      <c r="G1858" t="s">
        <v>61</v>
      </c>
      <c r="H1858" t="s">
        <v>62</v>
      </c>
      <c r="I1858" t="s">
        <v>103</v>
      </c>
      <c r="J1858" t="s">
        <v>104</v>
      </c>
      <c r="K1858" t="s">
        <v>65</v>
      </c>
      <c r="L1858">
        <v>3</v>
      </c>
      <c r="M1858">
        <v>8000</v>
      </c>
      <c r="N1858">
        <v>5</v>
      </c>
      <c r="O1858">
        <v>22800</v>
      </c>
      <c r="P1858">
        <v>4033.28</v>
      </c>
      <c r="Q1858" t="s">
        <v>74</v>
      </c>
      <c r="R1858" t="s">
        <v>49</v>
      </c>
      <c r="S1858" t="s">
        <v>30</v>
      </c>
      <c r="T1858">
        <f>YEAR(Table1_1[[#This Row],[order_date]])</f>
        <v>2024</v>
      </c>
      <c r="U1858">
        <f>MONTH(Table1_1[[#This Row],[order_date]])</f>
        <v>5</v>
      </c>
      <c r="V1858" t="str">
        <f>TEXT(Table1_1[[#This Row],[order_date]],"mmm")</f>
        <v>May</v>
      </c>
      <c r="W1858" t="str">
        <f>"Q"&amp;ROUNDUP(MONTH(Table1_1[[#This Row],[order_date]])/3,0)</f>
        <v>Q2</v>
      </c>
      <c r="X1858" t="str">
        <f>TEXT(Table1_1[[#This Row],[order_date]],"yyyy-mm")</f>
        <v>2024-05</v>
      </c>
      <c r="Y1858" t="str">
        <f>IF(Table1_1[[#This Row],[ship_date]]="","",Table1_1[[#This Row],[ship_date]]-Table1_1[[#This Row],[order_date]])</f>
        <v/>
      </c>
      <c r="Z1858">
        <f>ROUND(Table1_1[[#This Row],[profit]]/Table1_1[[#This Row],[sales_fix]]*100,2)</f>
        <v>17.690000000000001</v>
      </c>
    </row>
    <row r="1859" spans="1:26" x14ac:dyDescent="0.3">
      <c r="A1859" t="s">
        <v>1489</v>
      </c>
      <c r="B1859" s="1">
        <v>45610</v>
      </c>
      <c r="C1859" s="1">
        <v>45612</v>
      </c>
      <c r="D1859" t="s">
        <v>470</v>
      </c>
      <c r="E1859" t="s">
        <v>471</v>
      </c>
      <c r="F1859" t="s">
        <v>23</v>
      </c>
      <c r="G1859" t="s">
        <v>61</v>
      </c>
      <c r="H1859" t="s">
        <v>62</v>
      </c>
      <c r="I1859" t="s">
        <v>63</v>
      </c>
      <c r="J1859" t="s">
        <v>64</v>
      </c>
      <c r="K1859" t="s">
        <v>65</v>
      </c>
      <c r="L1859">
        <v>2</v>
      </c>
      <c r="M1859">
        <v>25000</v>
      </c>
      <c r="N1859">
        <v>0</v>
      </c>
      <c r="O1859">
        <v>50000</v>
      </c>
      <c r="P1859">
        <v>7515.29</v>
      </c>
      <c r="Q1859" t="s">
        <v>66</v>
      </c>
      <c r="R1859" t="s">
        <v>49</v>
      </c>
      <c r="S1859" t="s">
        <v>40</v>
      </c>
      <c r="T1859">
        <f>YEAR(Table1_1[[#This Row],[order_date]])</f>
        <v>2024</v>
      </c>
      <c r="U1859">
        <f>MONTH(Table1_1[[#This Row],[order_date]])</f>
        <v>11</v>
      </c>
      <c r="V1859" t="str">
        <f>TEXT(Table1_1[[#This Row],[order_date]],"mmm")</f>
        <v>Nov</v>
      </c>
      <c r="W1859" t="str">
        <f>"Q"&amp;ROUNDUP(MONTH(Table1_1[[#This Row],[order_date]])/3,0)</f>
        <v>Q4</v>
      </c>
      <c r="X1859" t="str">
        <f>TEXT(Table1_1[[#This Row],[order_date]],"yyyy-mm")</f>
        <v>2024-11</v>
      </c>
      <c r="Y1859">
        <f>IF(Table1_1[[#This Row],[ship_date]]="","",Table1_1[[#This Row],[ship_date]]-Table1_1[[#This Row],[order_date]])</f>
        <v>2</v>
      </c>
      <c r="Z1859">
        <f>ROUND(Table1_1[[#This Row],[profit]]/Table1_1[[#This Row],[sales_fix]]*100,2)</f>
        <v>15.03</v>
      </c>
    </row>
    <row r="1860" spans="1:26" x14ac:dyDescent="0.3">
      <c r="A1860" t="s">
        <v>2109</v>
      </c>
      <c r="B1860" s="1">
        <v>45770</v>
      </c>
      <c r="C1860" s="1"/>
      <c r="D1860" t="s">
        <v>660</v>
      </c>
      <c r="E1860" t="s">
        <v>661</v>
      </c>
      <c r="F1860" t="s">
        <v>23</v>
      </c>
      <c r="G1860" t="s">
        <v>44</v>
      </c>
      <c r="H1860" t="s">
        <v>330</v>
      </c>
      <c r="I1860" t="s">
        <v>126</v>
      </c>
      <c r="J1860" t="s">
        <v>127</v>
      </c>
      <c r="K1860" t="s">
        <v>95</v>
      </c>
      <c r="L1860">
        <v>1</v>
      </c>
      <c r="M1860">
        <v>600</v>
      </c>
      <c r="N1860">
        <v>0</v>
      </c>
      <c r="O1860">
        <v>600</v>
      </c>
      <c r="P1860">
        <v>228</v>
      </c>
      <c r="Q1860" t="s">
        <v>39</v>
      </c>
      <c r="R1860" t="s">
        <v>29</v>
      </c>
      <c r="S1860" t="s">
        <v>40</v>
      </c>
      <c r="T1860">
        <f>YEAR(Table1_1[[#This Row],[order_date]])</f>
        <v>2025</v>
      </c>
      <c r="U1860">
        <f>MONTH(Table1_1[[#This Row],[order_date]])</f>
        <v>4</v>
      </c>
      <c r="V1860" t="str">
        <f>TEXT(Table1_1[[#This Row],[order_date]],"mmm")</f>
        <v>Apr</v>
      </c>
      <c r="W1860" t="str">
        <f>"Q"&amp;ROUNDUP(MONTH(Table1_1[[#This Row],[order_date]])/3,0)</f>
        <v>Q2</v>
      </c>
      <c r="X1860" t="str">
        <f>TEXT(Table1_1[[#This Row],[order_date]],"yyyy-mm")</f>
        <v>2025-04</v>
      </c>
      <c r="Y1860" t="str">
        <f>IF(Table1_1[[#This Row],[ship_date]]="","",Table1_1[[#This Row],[ship_date]]-Table1_1[[#This Row],[order_date]])</f>
        <v/>
      </c>
      <c r="Z1860">
        <f>ROUND(Table1_1[[#This Row],[profit]]/Table1_1[[#This Row],[sales_fix]]*100,2)</f>
        <v>38</v>
      </c>
    </row>
    <row r="1861" spans="1:26" x14ac:dyDescent="0.3">
      <c r="A1861" t="s">
        <v>707</v>
      </c>
      <c r="B1861" s="1">
        <v>45868</v>
      </c>
      <c r="C1861" s="1">
        <v>45873</v>
      </c>
      <c r="D1861" t="s">
        <v>291</v>
      </c>
      <c r="E1861" t="s">
        <v>292</v>
      </c>
      <c r="F1861" t="s">
        <v>55</v>
      </c>
      <c r="G1861" t="s">
        <v>35</v>
      </c>
      <c r="H1861" t="s">
        <v>187</v>
      </c>
      <c r="I1861" t="s">
        <v>63</v>
      </c>
      <c r="J1861" t="s">
        <v>64</v>
      </c>
      <c r="K1861" t="s">
        <v>65</v>
      </c>
      <c r="L1861">
        <v>3</v>
      </c>
      <c r="M1861">
        <v>25000</v>
      </c>
      <c r="N1861">
        <v>20</v>
      </c>
      <c r="O1861">
        <v>60000</v>
      </c>
      <c r="P1861">
        <v>8847.0300000000007</v>
      </c>
      <c r="Q1861" t="s">
        <v>39</v>
      </c>
      <c r="R1861" t="s">
        <v>29</v>
      </c>
      <c r="S1861" t="s">
        <v>110</v>
      </c>
      <c r="T1861">
        <f>YEAR(Table1_1[[#This Row],[order_date]])</f>
        <v>2025</v>
      </c>
      <c r="U1861">
        <f>MONTH(Table1_1[[#This Row],[order_date]])</f>
        <v>7</v>
      </c>
      <c r="V1861" t="str">
        <f>TEXT(Table1_1[[#This Row],[order_date]],"mmm")</f>
        <v>Jul</v>
      </c>
      <c r="W1861" t="str">
        <f>"Q"&amp;ROUNDUP(MONTH(Table1_1[[#This Row],[order_date]])/3,0)</f>
        <v>Q3</v>
      </c>
      <c r="X1861" t="str">
        <f>TEXT(Table1_1[[#This Row],[order_date]],"yyyy-mm")</f>
        <v>2025-07</v>
      </c>
      <c r="Y1861">
        <f>IF(Table1_1[[#This Row],[ship_date]]="","",Table1_1[[#This Row],[ship_date]]-Table1_1[[#This Row],[order_date]])</f>
        <v>5</v>
      </c>
      <c r="Z1861">
        <f>ROUND(Table1_1[[#This Row],[profit]]/Table1_1[[#This Row],[sales_fix]]*100,2)</f>
        <v>14.75</v>
      </c>
    </row>
    <row r="1862" spans="1:26" x14ac:dyDescent="0.3">
      <c r="A1862" t="s">
        <v>416</v>
      </c>
      <c r="B1862" s="1">
        <v>46016</v>
      </c>
      <c r="C1862" s="1">
        <v>46017</v>
      </c>
      <c r="D1862" t="s">
        <v>418</v>
      </c>
      <c r="E1862" t="s">
        <v>419</v>
      </c>
      <c r="F1862" t="s">
        <v>23</v>
      </c>
      <c r="G1862" t="s">
        <v>91</v>
      </c>
      <c r="H1862" t="s">
        <v>120</v>
      </c>
      <c r="I1862" t="s">
        <v>126</v>
      </c>
      <c r="J1862" t="s">
        <v>127</v>
      </c>
      <c r="K1862" t="s">
        <v>95</v>
      </c>
      <c r="L1862">
        <v>3</v>
      </c>
      <c r="M1862">
        <v>600</v>
      </c>
      <c r="N1862">
        <v>0</v>
      </c>
      <c r="O1862">
        <v>1800</v>
      </c>
      <c r="P1862">
        <v>548.71</v>
      </c>
      <c r="Q1862" t="s">
        <v>39</v>
      </c>
      <c r="R1862" t="s">
        <v>49</v>
      </c>
      <c r="S1862" t="s">
        <v>40</v>
      </c>
      <c r="T1862">
        <f>YEAR(Table1_1[[#This Row],[order_date]])</f>
        <v>2025</v>
      </c>
      <c r="U1862">
        <f>MONTH(Table1_1[[#This Row],[order_date]])</f>
        <v>12</v>
      </c>
      <c r="V1862" t="str">
        <f>TEXT(Table1_1[[#This Row],[order_date]],"mmm")</f>
        <v>Dec</v>
      </c>
      <c r="W1862" t="str">
        <f>"Q"&amp;ROUNDUP(MONTH(Table1_1[[#This Row],[order_date]])/3,0)</f>
        <v>Q4</v>
      </c>
      <c r="X1862" t="str">
        <f>TEXT(Table1_1[[#This Row],[order_date]],"yyyy-mm")</f>
        <v>2025-12</v>
      </c>
      <c r="Y1862">
        <f>IF(Table1_1[[#This Row],[ship_date]]="","",Table1_1[[#This Row],[ship_date]]-Table1_1[[#This Row],[order_date]])</f>
        <v>1</v>
      </c>
      <c r="Z1862">
        <f>ROUND(Table1_1[[#This Row],[profit]]/Table1_1[[#This Row],[sales_fix]]*100,2)</f>
        <v>30.48</v>
      </c>
    </row>
    <row r="1863" spans="1:26" x14ac:dyDescent="0.3">
      <c r="A1863" t="s">
        <v>2107</v>
      </c>
      <c r="B1863" s="1">
        <v>45912</v>
      </c>
      <c r="C1863" s="1">
        <v>45914</v>
      </c>
      <c r="D1863" t="s">
        <v>628</v>
      </c>
      <c r="E1863" t="s">
        <v>629</v>
      </c>
      <c r="F1863" t="s">
        <v>55</v>
      </c>
      <c r="G1863" t="s">
        <v>91</v>
      </c>
      <c r="H1863" t="s">
        <v>120</v>
      </c>
      <c r="I1863" t="s">
        <v>134</v>
      </c>
      <c r="J1863" t="s">
        <v>135</v>
      </c>
      <c r="K1863" t="s">
        <v>27</v>
      </c>
      <c r="L1863">
        <v>2</v>
      </c>
      <c r="M1863">
        <v>6000</v>
      </c>
      <c r="N1863">
        <v>5</v>
      </c>
      <c r="O1863">
        <v>11400</v>
      </c>
      <c r="P1863">
        <v>2614.39</v>
      </c>
      <c r="Q1863" t="s">
        <v>121</v>
      </c>
      <c r="R1863" t="s">
        <v>49</v>
      </c>
      <c r="S1863" t="s">
        <v>40</v>
      </c>
      <c r="T1863">
        <f>YEAR(Table1_1[[#This Row],[order_date]])</f>
        <v>2025</v>
      </c>
      <c r="U1863">
        <f>MONTH(Table1_1[[#This Row],[order_date]])</f>
        <v>9</v>
      </c>
      <c r="V1863" t="str">
        <f>TEXT(Table1_1[[#This Row],[order_date]],"mmm")</f>
        <v>Sep</v>
      </c>
      <c r="W1863" t="str">
        <f>"Q"&amp;ROUNDUP(MONTH(Table1_1[[#This Row],[order_date]])/3,0)</f>
        <v>Q3</v>
      </c>
      <c r="X1863" t="str">
        <f>TEXT(Table1_1[[#This Row],[order_date]],"yyyy-mm")</f>
        <v>2025-09</v>
      </c>
      <c r="Y1863">
        <f>IF(Table1_1[[#This Row],[ship_date]]="","",Table1_1[[#This Row],[ship_date]]-Table1_1[[#This Row],[order_date]])</f>
        <v>2</v>
      </c>
      <c r="Z1863">
        <f>ROUND(Table1_1[[#This Row],[profit]]/Table1_1[[#This Row],[sales_fix]]*100,2)</f>
        <v>22.93</v>
      </c>
    </row>
    <row r="1864" spans="1:26" x14ac:dyDescent="0.3">
      <c r="A1864" t="s">
        <v>1156</v>
      </c>
      <c r="B1864" s="1">
        <v>45415</v>
      </c>
      <c r="C1864" s="1">
        <v>45420</v>
      </c>
      <c r="D1864" t="s">
        <v>281</v>
      </c>
      <c r="E1864" t="s">
        <v>282</v>
      </c>
      <c r="F1864" t="s">
        <v>34</v>
      </c>
      <c r="G1864" t="s">
        <v>61</v>
      </c>
      <c r="H1864" t="s">
        <v>62</v>
      </c>
      <c r="I1864" t="s">
        <v>126</v>
      </c>
      <c r="J1864" t="s">
        <v>127</v>
      </c>
      <c r="K1864" t="s">
        <v>95</v>
      </c>
      <c r="L1864">
        <v>4</v>
      </c>
      <c r="M1864">
        <v>600</v>
      </c>
      <c r="N1864">
        <v>5</v>
      </c>
      <c r="O1864">
        <v>2280</v>
      </c>
      <c r="P1864">
        <v>815.45</v>
      </c>
      <c r="Q1864" t="s">
        <v>66</v>
      </c>
      <c r="R1864" t="s">
        <v>49</v>
      </c>
      <c r="S1864" t="s">
        <v>30</v>
      </c>
      <c r="T1864">
        <f>YEAR(Table1_1[[#This Row],[order_date]])</f>
        <v>2024</v>
      </c>
      <c r="U1864">
        <f>MONTH(Table1_1[[#This Row],[order_date]])</f>
        <v>5</v>
      </c>
      <c r="V1864" t="str">
        <f>TEXT(Table1_1[[#This Row],[order_date]],"mmm")</f>
        <v>May</v>
      </c>
      <c r="W1864" t="str">
        <f>"Q"&amp;ROUNDUP(MONTH(Table1_1[[#This Row],[order_date]])/3,0)</f>
        <v>Q2</v>
      </c>
      <c r="X1864" t="str">
        <f>TEXT(Table1_1[[#This Row],[order_date]],"yyyy-mm")</f>
        <v>2024-05</v>
      </c>
      <c r="Y1864">
        <f>IF(Table1_1[[#This Row],[ship_date]]="","",Table1_1[[#This Row],[ship_date]]-Table1_1[[#This Row],[order_date]])</f>
        <v>5</v>
      </c>
      <c r="Z1864">
        <f>ROUND(Table1_1[[#This Row],[profit]]/Table1_1[[#This Row],[sales_fix]]*100,2)</f>
        <v>35.770000000000003</v>
      </c>
    </row>
    <row r="1865" spans="1:26" x14ac:dyDescent="0.3">
      <c r="A1865" t="s">
        <v>1504</v>
      </c>
      <c r="B1865" s="1">
        <v>45513</v>
      </c>
      <c r="C1865" s="1">
        <v>45518</v>
      </c>
      <c r="D1865" t="s">
        <v>473</v>
      </c>
      <c r="E1865" t="s">
        <v>474</v>
      </c>
      <c r="F1865" t="s">
        <v>34</v>
      </c>
      <c r="G1865" t="s">
        <v>61</v>
      </c>
      <c r="H1865" t="s">
        <v>62</v>
      </c>
      <c r="I1865" t="s">
        <v>79</v>
      </c>
      <c r="J1865" t="s">
        <v>80</v>
      </c>
      <c r="K1865" t="s">
        <v>65</v>
      </c>
      <c r="L1865">
        <v>2</v>
      </c>
      <c r="M1865">
        <v>3000</v>
      </c>
      <c r="N1865">
        <v>0</v>
      </c>
      <c r="O1865">
        <v>6000</v>
      </c>
      <c r="P1865">
        <v>1609.22</v>
      </c>
      <c r="Q1865" t="s">
        <v>121</v>
      </c>
      <c r="R1865" t="s">
        <v>29</v>
      </c>
      <c r="S1865" t="s">
        <v>50</v>
      </c>
      <c r="T1865">
        <f>YEAR(Table1_1[[#This Row],[order_date]])</f>
        <v>2024</v>
      </c>
      <c r="U1865">
        <f>MONTH(Table1_1[[#This Row],[order_date]])</f>
        <v>8</v>
      </c>
      <c r="V1865" t="str">
        <f>TEXT(Table1_1[[#This Row],[order_date]],"mmm")</f>
        <v>Aug</v>
      </c>
      <c r="W1865" t="str">
        <f>"Q"&amp;ROUNDUP(MONTH(Table1_1[[#This Row],[order_date]])/3,0)</f>
        <v>Q3</v>
      </c>
      <c r="X1865" t="str">
        <f>TEXT(Table1_1[[#This Row],[order_date]],"yyyy-mm")</f>
        <v>2024-08</v>
      </c>
      <c r="Y1865">
        <f>IF(Table1_1[[#This Row],[ship_date]]="","",Table1_1[[#This Row],[ship_date]]-Table1_1[[#This Row],[order_date]])</f>
        <v>5</v>
      </c>
      <c r="Z1865">
        <f>ROUND(Table1_1[[#This Row],[profit]]/Table1_1[[#This Row],[sales_fix]]*100,2)</f>
        <v>26.82</v>
      </c>
    </row>
    <row r="1866" spans="1:26" x14ac:dyDescent="0.3">
      <c r="A1866" t="s">
        <v>2156</v>
      </c>
      <c r="B1866" s="1">
        <v>45479</v>
      </c>
      <c r="C1866" s="1">
        <v>45484</v>
      </c>
      <c r="D1866" t="s">
        <v>2043</v>
      </c>
      <c r="E1866" t="s">
        <v>2044</v>
      </c>
      <c r="F1866" t="s">
        <v>55</v>
      </c>
      <c r="G1866" t="s">
        <v>61</v>
      </c>
      <c r="H1866" t="s">
        <v>125</v>
      </c>
      <c r="I1866" t="s">
        <v>134</v>
      </c>
      <c r="J1866" t="s">
        <v>135</v>
      </c>
      <c r="K1866" t="s">
        <v>27</v>
      </c>
      <c r="L1866">
        <v>1</v>
      </c>
      <c r="M1866">
        <v>6000</v>
      </c>
      <c r="N1866">
        <v>15</v>
      </c>
      <c r="O1866">
        <v>5100</v>
      </c>
      <c r="P1866">
        <v>1330.26</v>
      </c>
      <c r="Q1866" t="s">
        <v>39</v>
      </c>
      <c r="R1866" t="s">
        <v>56</v>
      </c>
      <c r="S1866" t="s">
        <v>86</v>
      </c>
      <c r="T1866">
        <f>YEAR(Table1_1[[#This Row],[order_date]])</f>
        <v>2024</v>
      </c>
      <c r="U1866">
        <f>MONTH(Table1_1[[#This Row],[order_date]])</f>
        <v>7</v>
      </c>
      <c r="V1866" t="str">
        <f>TEXT(Table1_1[[#This Row],[order_date]],"mmm")</f>
        <v>Jul</v>
      </c>
      <c r="W1866" t="str">
        <f>"Q"&amp;ROUNDUP(MONTH(Table1_1[[#This Row],[order_date]])/3,0)</f>
        <v>Q3</v>
      </c>
      <c r="X1866" t="str">
        <f>TEXT(Table1_1[[#This Row],[order_date]],"yyyy-mm")</f>
        <v>2024-07</v>
      </c>
      <c r="Y1866">
        <f>IF(Table1_1[[#This Row],[ship_date]]="","",Table1_1[[#This Row],[ship_date]]-Table1_1[[#This Row],[order_date]])</f>
        <v>5</v>
      </c>
      <c r="Z1866">
        <f>ROUND(Table1_1[[#This Row],[profit]]/Table1_1[[#This Row],[sales_fix]]*100,2)</f>
        <v>26.08</v>
      </c>
    </row>
    <row r="1867" spans="1:26" x14ac:dyDescent="0.3">
      <c r="A1867" t="s">
        <v>1232</v>
      </c>
      <c r="B1867" s="1">
        <v>45360</v>
      </c>
      <c r="C1867" s="1">
        <v>45367</v>
      </c>
      <c r="D1867" t="s">
        <v>965</v>
      </c>
      <c r="E1867" t="s">
        <v>966</v>
      </c>
      <c r="F1867" t="s">
        <v>34</v>
      </c>
      <c r="G1867" t="s">
        <v>44</v>
      </c>
      <c r="H1867" t="s">
        <v>45</v>
      </c>
      <c r="I1867" t="s">
        <v>114</v>
      </c>
      <c r="J1867" t="s">
        <v>115</v>
      </c>
      <c r="K1867" t="s">
        <v>65</v>
      </c>
      <c r="L1867">
        <v>3</v>
      </c>
      <c r="M1867">
        <v>55000</v>
      </c>
      <c r="N1867">
        <v>0</v>
      </c>
      <c r="O1867">
        <v>165000</v>
      </c>
      <c r="P1867">
        <v>22751.9</v>
      </c>
      <c r="Q1867" t="s">
        <v>156</v>
      </c>
      <c r="R1867" t="s">
        <v>29</v>
      </c>
      <c r="S1867" t="s">
        <v>86</v>
      </c>
      <c r="T1867">
        <f>YEAR(Table1_1[[#This Row],[order_date]])</f>
        <v>2024</v>
      </c>
      <c r="U1867">
        <f>MONTH(Table1_1[[#This Row],[order_date]])</f>
        <v>3</v>
      </c>
      <c r="V1867" t="str">
        <f>TEXT(Table1_1[[#This Row],[order_date]],"mmm")</f>
        <v>Mar</v>
      </c>
      <c r="W1867" t="str">
        <f>"Q"&amp;ROUNDUP(MONTH(Table1_1[[#This Row],[order_date]])/3,0)</f>
        <v>Q1</v>
      </c>
      <c r="X1867" t="str">
        <f>TEXT(Table1_1[[#This Row],[order_date]],"yyyy-mm")</f>
        <v>2024-03</v>
      </c>
      <c r="Y1867">
        <f>IF(Table1_1[[#This Row],[ship_date]]="","",Table1_1[[#This Row],[ship_date]]-Table1_1[[#This Row],[order_date]])</f>
        <v>7</v>
      </c>
      <c r="Z1867">
        <f>ROUND(Table1_1[[#This Row],[profit]]/Table1_1[[#This Row],[sales_fix]]*100,2)</f>
        <v>13.79</v>
      </c>
    </row>
    <row r="1868" spans="1:26" x14ac:dyDescent="0.3">
      <c r="A1868" t="s">
        <v>1768</v>
      </c>
      <c r="B1868" s="1">
        <v>45344</v>
      </c>
      <c r="C1868" s="1">
        <v>45347</v>
      </c>
      <c r="D1868" t="s">
        <v>956</v>
      </c>
      <c r="E1868" t="s">
        <v>1086</v>
      </c>
      <c r="F1868" t="s">
        <v>55</v>
      </c>
      <c r="G1868" t="s">
        <v>44</v>
      </c>
      <c r="H1868" t="s">
        <v>24</v>
      </c>
      <c r="I1868" t="s">
        <v>147</v>
      </c>
      <c r="J1868" t="s">
        <v>148</v>
      </c>
      <c r="K1868" t="s">
        <v>48</v>
      </c>
      <c r="L1868">
        <v>2</v>
      </c>
      <c r="M1868">
        <v>250</v>
      </c>
      <c r="N1868">
        <v>20</v>
      </c>
      <c r="O1868">
        <v>400</v>
      </c>
      <c r="P1868">
        <v>169.86</v>
      </c>
      <c r="Q1868" t="s">
        <v>66</v>
      </c>
      <c r="R1868" t="s">
        <v>29</v>
      </c>
      <c r="S1868" t="s">
        <v>30</v>
      </c>
      <c r="T1868">
        <f>YEAR(Table1_1[[#This Row],[order_date]])</f>
        <v>2024</v>
      </c>
      <c r="U1868">
        <f>MONTH(Table1_1[[#This Row],[order_date]])</f>
        <v>2</v>
      </c>
      <c r="V1868" t="str">
        <f>TEXT(Table1_1[[#This Row],[order_date]],"mmm")</f>
        <v>Feb</v>
      </c>
      <c r="W1868" t="str">
        <f>"Q"&amp;ROUNDUP(MONTH(Table1_1[[#This Row],[order_date]])/3,0)</f>
        <v>Q1</v>
      </c>
      <c r="X1868" t="str">
        <f>TEXT(Table1_1[[#This Row],[order_date]],"yyyy-mm")</f>
        <v>2024-02</v>
      </c>
      <c r="Y1868">
        <f>IF(Table1_1[[#This Row],[ship_date]]="","",Table1_1[[#This Row],[ship_date]]-Table1_1[[#This Row],[order_date]])</f>
        <v>3</v>
      </c>
      <c r="Z1868">
        <f>ROUND(Table1_1[[#This Row],[profit]]/Table1_1[[#This Row],[sales_fix]]*100,2)</f>
        <v>42.47</v>
      </c>
    </row>
    <row r="1869" spans="1:26" x14ac:dyDescent="0.3">
      <c r="A1869" t="s">
        <v>2612</v>
      </c>
      <c r="B1869" s="1">
        <v>45968</v>
      </c>
      <c r="C1869" s="1">
        <v>45973</v>
      </c>
      <c r="D1869" t="s">
        <v>596</v>
      </c>
      <c r="E1869" t="s">
        <v>597</v>
      </c>
      <c r="F1869" t="s">
        <v>34</v>
      </c>
      <c r="G1869" t="s">
        <v>91</v>
      </c>
      <c r="H1869" t="s">
        <v>120</v>
      </c>
      <c r="I1869" t="s">
        <v>79</v>
      </c>
      <c r="J1869" t="s">
        <v>80</v>
      </c>
      <c r="K1869" t="s">
        <v>65</v>
      </c>
      <c r="L1869">
        <v>1</v>
      </c>
      <c r="M1869">
        <v>3000</v>
      </c>
      <c r="N1869">
        <v>20</v>
      </c>
      <c r="O1869">
        <v>2400</v>
      </c>
      <c r="P1869">
        <v>694.21</v>
      </c>
      <c r="Q1869" t="s">
        <v>66</v>
      </c>
      <c r="R1869" t="s">
        <v>56</v>
      </c>
      <c r="S1869" t="s">
        <v>86</v>
      </c>
      <c r="T1869">
        <f>YEAR(Table1_1[[#This Row],[order_date]])</f>
        <v>2025</v>
      </c>
      <c r="U1869">
        <f>MONTH(Table1_1[[#This Row],[order_date]])</f>
        <v>11</v>
      </c>
      <c r="V1869" t="str">
        <f>TEXT(Table1_1[[#This Row],[order_date]],"mmm")</f>
        <v>Nov</v>
      </c>
      <c r="W1869" t="str">
        <f>"Q"&amp;ROUNDUP(MONTH(Table1_1[[#This Row],[order_date]])/3,0)</f>
        <v>Q4</v>
      </c>
      <c r="X1869" t="str">
        <f>TEXT(Table1_1[[#This Row],[order_date]],"yyyy-mm")</f>
        <v>2025-11</v>
      </c>
      <c r="Y1869">
        <f>IF(Table1_1[[#This Row],[ship_date]]="","",Table1_1[[#This Row],[ship_date]]-Table1_1[[#This Row],[order_date]])</f>
        <v>5</v>
      </c>
      <c r="Z1869">
        <f>ROUND(Table1_1[[#This Row],[profit]]/Table1_1[[#This Row],[sales_fix]]*100,2)</f>
        <v>28.93</v>
      </c>
    </row>
    <row r="1870" spans="1:26" x14ac:dyDescent="0.3">
      <c r="A1870" t="s">
        <v>2938</v>
      </c>
      <c r="B1870" s="1">
        <v>45992</v>
      </c>
      <c r="C1870" s="1">
        <v>46000</v>
      </c>
      <c r="D1870" t="s">
        <v>973</v>
      </c>
      <c r="E1870" t="s">
        <v>974</v>
      </c>
      <c r="F1870" t="s">
        <v>34</v>
      </c>
      <c r="G1870" t="s">
        <v>91</v>
      </c>
      <c r="H1870" t="s">
        <v>177</v>
      </c>
      <c r="I1870" t="s">
        <v>37</v>
      </c>
      <c r="J1870" t="s">
        <v>38</v>
      </c>
      <c r="K1870" t="s">
        <v>27</v>
      </c>
      <c r="L1870">
        <v>2</v>
      </c>
      <c r="M1870">
        <v>9500</v>
      </c>
      <c r="N1870">
        <v>10</v>
      </c>
      <c r="O1870">
        <v>17100</v>
      </c>
      <c r="P1870">
        <v>3208.61</v>
      </c>
      <c r="Q1870" t="s">
        <v>121</v>
      </c>
      <c r="R1870" t="s">
        <v>29</v>
      </c>
      <c r="S1870" t="s">
        <v>86</v>
      </c>
      <c r="T1870">
        <f>YEAR(Table1_1[[#This Row],[order_date]])</f>
        <v>2025</v>
      </c>
      <c r="U1870">
        <f>MONTH(Table1_1[[#This Row],[order_date]])</f>
        <v>12</v>
      </c>
      <c r="V1870" t="str">
        <f>TEXT(Table1_1[[#This Row],[order_date]],"mmm")</f>
        <v>Dec</v>
      </c>
      <c r="W1870" t="str">
        <f>"Q"&amp;ROUNDUP(MONTH(Table1_1[[#This Row],[order_date]])/3,0)</f>
        <v>Q4</v>
      </c>
      <c r="X1870" t="str">
        <f>TEXT(Table1_1[[#This Row],[order_date]],"yyyy-mm")</f>
        <v>2025-12</v>
      </c>
      <c r="Y1870">
        <f>IF(Table1_1[[#This Row],[ship_date]]="","",Table1_1[[#This Row],[ship_date]]-Table1_1[[#This Row],[order_date]])</f>
        <v>8</v>
      </c>
      <c r="Z1870">
        <f>ROUND(Table1_1[[#This Row],[profit]]/Table1_1[[#This Row],[sales_fix]]*100,2)</f>
        <v>18.760000000000002</v>
      </c>
    </row>
    <row r="1871" spans="1:26" x14ac:dyDescent="0.3">
      <c r="A1871" t="s">
        <v>2012</v>
      </c>
      <c r="B1871" s="1">
        <v>45842</v>
      </c>
      <c r="C1871" s="1">
        <v>45843</v>
      </c>
      <c r="D1871" t="s">
        <v>546</v>
      </c>
      <c r="E1871" t="s">
        <v>547</v>
      </c>
      <c r="F1871" t="s">
        <v>34</v>
      </c>
      <c r="G1871" t="s">
        <v>91</v>
      </c>
      <c r="H1871" t="s">
        <v>92</v>
      </c>
      <c r="I1871" t="s">
        <v>114</v>
      </c>
      <c r="J1871" t="s">
        <v>115</v>
      </c>
      <c r="K1871" t="s">
        <v>65</v>
      </c>
      <c r="L1871">
        <v>2</v>
      </c>
      <c r="M1871">
        <v>55000</v>
      </c>
      <c r="N1871">
        <v>10</v>
      </c>
      <c r="O1871">
        <v>99000</v>
      </c>
      <c r="P1871">
        <v>19349.54</v>
      </c>
      <c r="Q1871" t="s">
        <v>66</v>
      </c>
      <c r="R1871" t="s">
        <v>56</v>
      </c>
      <c r="S1871" t="s">
        <v>30</v>
      </c>
      <c r="T1871">
        <f>YEAR(Table1_1[[#This Row],[order_date]])</f>
        <v>2025</v>
      </c>
      <c r="U1871">
        <f>MONTH(Table1_1[[#This Row],[order_date]])</f>
        <v>7</v>
      </c>
      <c r="V1871" t="str">
        <f>TEXT(Table1_1[[#This Row],[order_date]],"mmm")</f>
        <v>Jul</v>
      </c>
      <c r="W1871" t="str">
        <f>"Q"&amp;ROUNDUP(MONTH(Table1_1[[#This Row],[order_date]])/3,0)</f>
        <v>Q3</v>
      </c>
      <c r="X1871" t="str">
        <f>TEXT(Table1_1[[#This Row],[order_date]],"yyyy-mm")</f>
        <v>2025-07</v>
      </c>
      <c r="Y1871">
        <f>IF(Table1_1[[#This Row],[ship_date]]="","",Table1_1[[#This Row],[ship_date]]-Table1_1[[#This Row],[order_date]])</f>
        <v>1</v>
      </c>
      <c r="Z1871">
        <f>ROUND(Table1_1[[#This Row],[profit]]/Table1_1[[#This Row],[sales_fix]]*100,2)</f>
        <v>19.54</v>
      </c>
    </row>
    <row r="1872" spans="1:26" x14ac:dyDescent="0.3">
      <c r="A1872" t="s">
        <v>807</v>
      </c>
      <c r="B1872" s="1">
        <v>45839</v>
      </c>
      <c r="C1872" s="1">
        <v>45845</v>
      </c>
      <c r="D1872" t="s">
        <v>808</v>
      </c>
      <c r="E1872" t="s">
        <v>809</v>
      </c>
      <c r="F1872" t="s">
        <v>55</v>
      </c>
      <c r="G1872" t="s">
        <v>35</v>
      </c>
      <c r="H1872" t="s">
        <v>258</v>
      </c>
      <c r="I1872" t="s">
        <v>25</v>
      </c>
      <c r="J1872" t="s">
        <v>26</v>
      </c>
      <c r="K1872" t="s">
        <v>27</v>
      </c>
      <c r="L1872">
        <v>1</v>
      </c>
      <c r="M1872">
        <v>7000</v>
      </c>
      <c r="N1872">
        <v>20</v>
      </c>
      <c r="O1872">
        <v>5600</v>
      </c>
      <c r="P1872">
        <v>921.66</v>
      </c>
      <c r="Q1872" t="s">
        <v>39</v>
      </c>
      <c r="R1872" t="s">
        <v>56</v>
      </c>
      <c r="S1872" t="s">
        <v>50</v>
      </c>
      <c r="T1872">
        <f>YEAR(Table1_1[[#This Row],[order_date]])</f>
        <v>2025</v>
      </c>
      <c r="U1872">
        <f>MONTH(Table1_1[[#This Row],[order_date]])</f>
        <v>7</v>
      </c>
      <c r="V1872" t="str">
        <f>TEXT(Table1_1[[#This Row],[order_date]],"mmm")</f>
        <v>Jul</v>
      </c>
      <c r="W1872" t="str">
        <f>"Q"&amp;ROUNDUP(MONTH(Table1_1[[#This Row],[order_date]])/3,0)</f>
        <v>Q3</v>
      </c>
      <c r="X1872" t="str">
        <f>TEXT(Table1_1[[#This Row],[order_date]],"yyyy-mm")</f>
        <v>2025-07</v>
      </c>
      <c r="Y1872">
        <f>IF(Table1_1[[#This Row],[ship_date]]="","",Table1_1[[#This Row],[ship_date]]-Table1_1[[#This Row],[order_date]])</f>
        <v>6</v>
      </c>
      <c r="Z1872">
        <f>ROUND(Table1_1[[#This Row],[profit]]/Table1_1[[#This Row],[sales_fix]]*100,2)</f>
        <v>16.46</v>
      </c>
    </row>
    <row r="1873" spans="1:26" x14ac:dyDescent="0.3">
      <c r="A1873" t="s">
        <v>2830</v>
      </c>
      <c r="B1873" s="1">
        <v>45811</v>
      </c>
      <c r="C1873" s="1">
        <v>45812</v>
      </c>
      <c r="D1873" t="s">
        <v>272</v>
      </c>
      <c r="E1873" t="s">
        <v>273</v>
      </c>
      <c r="F1873" t="s">
        <v>23</v>
      </c>
      <c r="G1873" t="s">
        <v>35</v>
      </c>
      <c r="H1873" t="s">
        <v>258</v>
      </c>
      <c r="I1873" t="s">
        <v>147</v>
      </c>
      <c r="J1873" t="s">
        <v>148</v>
      </c>
      <c r="K1873" t="s">
        <v>48</v>
      </c>
      <c r="L1873">
        <v>1</v>
      </c>
      <c r="M1873">
        <v>250</v>
      </c>
      <c r="N1873">
        <v>0</v>
      </c>
      <c r="O1873">
        <v>250</v>
      </c>
      <c r="P1873">
        <v>91.56</v>
      </c>
      <c r="Q1873" t="s">
        <v>66</v>
      </c>
      <c r="R1873" t="s">
        <v>49</v>
      </c>
      <c r="S1873" t="s">
        <v>40</v>
      </c>
      <c r="T1873">
        <f>YEAR(Table1_1[[#This Row],[order_date]])</f>
        <v>2025</v>
      </c>
      <c r="U1873">
        <f>MONTH(Table1_1[[#This Row],[order_date]])</f>
        <v>6</v>
      </c>
      <c r="V1873" t="str">
        <f>TEXT(Table1_1[[#This Row],[order_date]],"mmm")</f>
        <v>Jun</v>
      </c>
      <c r="W1873" t="str">
        <f>"Q"&amp;ROUNDUP(MONTH(Table1_1[[#This Row],[order_date]])/3,0)</f>
        <v>Q2</v>
      </c>
      <c r="X1873" t="str">
        <f>TEXT(Table1_1[[#This Row],[order_date]],"yyyy-mm")</f>
        <v>2025-06</v>
      </c>
      <c r="Y1873">
        <f>IF(Table1_1[[#This Row],[ship_date]]="","",Table1_1[[#This Row],[ship_date]]-Table1_1[[#This Row],[order_date]])</f>
        <v>1</v>
      </c>
      <c r="Z1873">
        <f>ROUND(Table1_1[[#This Row],[profit]]/Table1_1[[#This Row],[sales_fix]]*100,2)</f>
        <v>36.619999999999997</v>
      </c>
    </row>
    <row r="1874" spans="1:26" x14ac:dyDescent="0.3">
      <c r="A1874" t="s">
        <v>2556</v>
      </c>
      <c r="B1874" s="1">
        <v>45777</v>
      </c>
      <c r="C1874" s="1">
        <v>45780</v>
      </c>
      <c r="D1874" t="s">
        <v>1950</v>
      </c>
      <c r="E1874" t="s">
        <v>1951</v>
      </c>
      <c r="F1874" t="s">
        <v>55</v>
      </c>
      <c r="G1874" t="s">
        <v>35</v>
      </c>
      <c r="H1874" t="s">
        <v>85</v>
      </c>
      <c r="I1874" t="s">
        <v>134</v>
      </c>
      <c r="J1874" t="s">
        <v>135</v>
      </c>
      <c r="K1874" t="s">
        <v>27</v>
      </c>
      <c r="L1874">
        <v>1</v>
      </c>
      <c r="M1874">
        <v>6000</v>
      </c>
      <c r="N1874">
        <v>15</v>
      </c>
      <c r="O1874">
        <v>5100</v>
      </c>
      <c r="P1874">
        <v>902.67</v>
      </c>
      <c r="Q1874" t="s">
        <v>121</v>
      </c>
      <c r="R1874" t="s">
        <v>49</v>
      </c>
      <c r="S1874" t="s">
        <v>40</v>
      </c>
      <c r="T1874">
        <f>YEAR(Table1_1[[#This Row],[order_date]])</f>
        <v>2025</v>
      </c>
      <c r="U1874">
        <f>MONTH(Table1_1[[#This Row],[order_date]])</f>
        <v>4</v>
      </c>
      <c r="V1874" t="str">
        <f>TEXT(Table1_1[[#This Row],[order_date]],"mmm")</f>
        <v>Apr</v>
      </c>
      <c r="W1874" t="str">
        <f>"Q"&amp;ROUNDUP(MONTH(Table1_1[[#This Row],[order_date]])/3,0)</f>
        <v>Q2</v>
      </c>
      <c r="X1874" t="str">
        <f>TEXT(Table1_1[[#This Row],[order_date]],"yyyy-mm")</f>
        <v>2025-04</v>
      </c>
      <c r="Y1874">
        <f>IF(Table1_1[[#This Row],[ship_date]]="","",Table1_1[[#This Row],[ship_date]]-Table1_1[[#This Row],[order_date]])</f>
        <v>3</v>
      </c>
      <c r="Z1874">
        <f>ROUND(Table1_1[[#This Row],[profit]]/Table1_1[[#This Row],[sales_fix]]*100,2)</f>
        <v>17.7</v>
      </c>
    </row>
    <row r="1875" spans="1:26" x14ac:dyDescent="0.3">
      <c r="A1875" t="s">
        <v>706</v>
      </c>
      <c r="B1875" s="1">
        <v>45901</v>
      </c>
      <c r="C1875" s="1">
        <v>45903</v>
      </c>
      <c r="D1875" t="s">
        <v>550</v>
      </c>
      <c r="E1875" t="s">
        <v>551</v>
      </c>
      <c r="F1875" t="s">
        <v>55</v>
      </c>
      <c r="G1875" t="s">
        <v>91</v>
      </c>
      <c r="H1875" t="s">
        <v>109</v>
      </c>
      <c r="I1875" t="s">
        <v>25</v>
      </c>
      <c r="J1875" t="s">
        <v>26</v>
      </c>
      <c r="K1875" t="s">
        <v>27</v>
      </c>
      <c r="L1875">
        <v>2</v>
      </c>
      <c r="M1875">
        <v>7000</v>
      </c>
      <c r="N1875">
        <v>20</v>
      </c>
      <c r="O1875">
        <v>11200</v>
      </c>
      <c r="P1875">
        <v>2363.42</v>
      </c>
      <c r="Q1875" t="s">
        <v>121</v>
      </c>
      <c r="R1875" t="s">
        <v>56</v>
      </c>
      <c r="S1875" t="s">
        <v>30</v>
      </c>
      <c r="T1875">
        <f>YEAR(Table1_1[[#This Row],[order_date]])</f>
        <v>2025</v>
      </c>
      <c r="U1875">
        <f>MONTH(Table1_1[[#This Row],[order_date]])</f>
        <v>9</v>
      </c>
      <c r="V1875" t="str">
        <f>TEXT(Table1_1[[#This Row],[order_date]],"mmm")</f>
        <v>Sep</v>
      </c>
      <c r="W1875" t="str">
        <f>"Q"&amp;ROUNDUP(MONTH(Table1_1[[#This Row],[order_date]])/3,0)</f>
        <v>Q3</v>
      </c>
      <c r="X1875" t="str">
        <f>TEXT(Table1_1[[#This Row],[order_date]],"yyyy-mm")</f>
        <v>2025-09</v>
      </c>
      <c r="Y1875">
        <f>IF(Table1_1[[#This Row],[ship_date]]="","",Table1_1[[#This Row],[ship_date]]-Table1_1[[#This Row],[order_date]])</f>
        <v>2</v>
      </c>
      <c r="Z1875">
        <f>ROUND(Table1_1[[#This Row],[profit]]/Table1_1[[#This Row],[sales_fix]]*100,2)</f>
        <v>21.1</v>
      </c>
    </row>
    <row r="1876" spans="1:26" x14ac:dyDescent="0.3">
      <c r="A1876" t="s">
        <v>2535</v>
      </c>
      <c r="B1876" s="1">
        <v>45906</v>
      </c>
      <c r="C1876" s="1">
        <v>45909</v>
      </c>
      <c r="D1876" t="s">
        <v>805</v>
      </c>
      <c r="E1876" t="s">
        <v>806</v>
      </c>
      <c r="F1876" t="s">
        <v>34</v>
      </c>
      <c r="G1876" t="s">
        <v>61</v>
      </c>
      <c r="H1876" t="s">
        <v>78</v>
      </c>
      <c r="I1876" t="s">
        <v>79</v>
      </c>
      <c r="J1876" t="s">
        <v>80</v>
      </c>
      <c r="K1876" t="s">
        <v>65</v>
      </c>
      <c r="L1876">
        <v>3</v>
      </c>
      <c r="M1876">
        <v>3000</v>
      </c>
      <c r="N1876">
        <v>10</v>
      </c>
      <c r="O1876">
        <v>8100</v>
      </c>
      <c r="P1876">
        <v>2579.5</v>
      </c>
      <c r="Q1876" t="s">
        <v>3113</v>
      </c>
      <c r="R1876" t="s">
        <v>56</v>
      </c>
      <c r="S1876" t="s">
        <v>30</v>
      </c>
      <c r="T1876">
        <f>YEAR(Table1_1[[#This Row],[order_date]])</f>
        <v>2025</v>
      </c>
      <c r="U1876">
        <f>MONTH(Table1_1[[#This Row],[order_date]])</f>
        <v>9</v>
      </c>
      <c r="V1876" t="str">
        <f>TEXT(Table1_1[[#This Row],[order_date]],"mmm")</f>
        <v>Sep</v>
      </c>
      <c r="W1876" t="str">
        <f>"Q"&amp;ROUNDUP(MONTH(Table1_1[[#This Row],[order_date]])/3,0)</f>
        <v>Q3</v>
      </c>
      <c r="X1876" t="str">
        <f>TEXT(Table1_1[[#This Row],[order_date]],"yyyy-mm")</f>
        <v>2025-09</v>
      </c>
      <c r="Y1876">
        <f>IF(Table1_1[[#This Row],[ship_date]]="","",Table1_1[[#This Row],[ship_date]]-Table1_1[[#This Row],[order_date]])</f>
        <v>3</v>
      </c>
      <c r="Z1876">
        <f>ROUND(Table1_1[[#This Row],[profit]]/Table1_1[[#This Row],[sales_fix]]*100,2)</f>
        <v>31.85</v>
      </c>
    </row>
    <row r="1877" spans="1:26" x14ac:dyDescent="0.3">
      <c r="A1877" t="s">
        <v>1954</v>
      </c>
      <c r="B1877" s="1">
        <v>45780</v>
      </c>
      <c r="C1877" s="1">
        <v>45786</v>
      </c>
      <c r="D1877" t="s">
        <v>1482</v>
      </c>
      <c r="E1877" t="s">
        <v>1483</v>
      </c>
      <c r="F1877" t="s">
        <v>23</v>
      </c>
      <c r="G1877" t="s">
        <v>44</v>
      </c>
      <c r="H1877" t="s">
        <v>161</v>
      </c>
      <c r="I1877" t="s">
        <v>126</v>
      </c>
      <c r="J1877" t="s">
        <v>127</v>
      </c>
      <c r="K1877" t="s">
        <v>95</v>
      </c>
      <c r="L1877">
        <v>3</v>
      </c>
      <c r="M1877">
        <v>600</v>
      </c>
      <c r="N1877">
        <v>0</v>
      </c>
      <c r="O1877">
        <v>1800</v>
      </c>
      <c r="P1877">
        <v>551.89</v>
      </c>
      <c r="Q1877" t="s">
        <v>121</v>
      </c>
      <c r="R1877" t="s">
        <v>56</v>
      </c>
      <c r="S1877" t="s">
        <v>86</v>
      </c>
      <c r="T1877">
        <f>YEAR(Table1_1[[#This Row],[order_date]])</f>
        <v>2025</v>
      </c>
      <c r="U1877">
        <f>MONTH(Table1_1[[#This Row],[order_date]])</f>
        <v>5</v>
      </c>
      <c r="V1877" t="str">
        <f>TEXT(Table1_1[[#This Row],[order_date]],"mmm")</f>
        <v>May</v>
      </c>
      <c r="W1877" t="str">
        <f>"Q"&amp;ROUNDUP(MONTH(Table1_1[[#This Row],[order_date]])/3,0)</f>
        <v>Q2</v>
      </c>
      <c r="X1877" t="str">
        <f>TEXT(Table1_1[[#This Row],[order_date]],"yyyy-mm")</f>
        <v>2025-05</v>
      </c>
      <c r="Y1877">
        <f>IF(Table1_1[[#This Row],[ship_date]]="","",Table1_1[[#This Row],[ship_date]]-Table1_1[[#This Row],[order_date]])</f>
        <v>6</v>
      </c>
      <c r="Z1877">
        <f>ROUND(Table1_1[[#This Row],[profit]]/Table1_1[[#This Row],[sales_fix]]*100,2)</f>
        <v>30.66</v>
      </c>
    </row>
    <row r="1878" spans="1:26" x14ac:dyDescent="0.3">
      <c r="A1878" t="s">
        <v>655</v>
      </c>
      <c r="B1878" s="1">
        <v>45886</v>
      </c>
      <c r="C1878" s="1"/>
      <c r="D1878" t="s">
        <v>438</v>
      </c>
      <c r="E1878" t="s">
        <v>439</v>
      </c>
      <c r="F1878" t="s">
        <v>34</v>
      </c>
      <c r="G1878" t="s">
        <v>35</v>
      </c>
      <c r="H1878" t="s">
        <v>85</v>
      </c>
      <c r="I1878" t="s">
        <v>63</v>
      </c>
      <c r="J1878" t="s">
        <v>64</v>
      </c>
      <c r="K1878" t="s">
        <v>65</v>
      </c>
      <c r="L1878">
        <v>2</v>
      </c>
      <c r="M1878">
        <v>25000</v>
      </c>
      <c r="N1878">
        <v>0</v>
      </c>
      <c r="O1878">
        <v>50000</v>
      </c>
      <c r="P1878">
        <v>6531.45</v>
      </c>
      <c r="Q1878" t="s">
        <v>3113</v>
      </c>
      <c r="R1878" t="s">
        <v>56</v>
      </c>
      <c r="S1878" t="s">
        <v>50</v>
      </c>
      <c r="T1878">
        <f>YEAR(Table1_1[[#This Row],[order_date]])</f>
        <v>2025</v>
      </c>
      <c r="U1878">
        <f>MONTH(Table1_1[[#This Row],[order_date]])</f>
        <v>8</v>
      </c>
      <c r="V1878" t="str">
        <f>TEXT(Table1_1[[#This Row],[order_date]],"mmm")</f>
        <v>Aug</v>
      </c>
      <c r="W1878" t="str">
        <f>"Q"&amp;ROUNDUP(MONTH(Table1_1[[#This Row],[order_date]])/3,0)</f>
        <v>Q3</v>
      </c>
      <c r="X1878" t="str">
        <f>TEXT(Table1_1[[#This Row],[order_date]],"yyyy-mm")</f>
        <v>2025-08</v>
      </c>
      <c r="Y1878" t="str">
        <f>IF(Table1_1[[#This Row],[ship_date]]="","",Table1_1[[#This Row],[ship_date]]-Table1_1[[#This Row],[order_date]])</f>
        <v/>
      </c>
      <c r="Z1878">
        <f>ROUND(Table1_1[[#This Row],[profit]]/Table1_1[[#This Row],[sales_fix]]*100,2)</f>
        <v>13.06</v>
      </c>
    </row>
    <row r="1879" spans="1:26" x14ac:dyDescent="0.3">
      <c r="A1879" t="s">
        <v>2980</v>
      </c>
      <c r="B1879" s="1">
        <v>45582</v>
      </c>
      <c r="C1879" s="1">
        <v>45588</v>
      </c>
      <c r="D1879" t="s">
        <v>153</v>
      </c>
      <c r="E1879" t="s">
        <v>154</v>
      </c>
      <c r="F1879" t="s">
        <v>23</v>
      </c>
      <c r="G1879" t="s">
        <v>44</v>
      </c>
      <c r="H1879" t="s">
        <v>155</v>
      </c>
      <c r="I1879" t="s">
        <v>147</v>
      </c>
      <c r="J1879" t="s">
        <v>148</v>
      </c>
      <c r="K1879" t="s">
        <v>48</v>
      </c>
      <c r="L1879">
        <v>4</v>
      </c>
      <c r="M1879">
        <v>250</v>
      </c>
      <c r="N1879">
        <v>10</v>
      </c>
      <c r="O1879">
        <v>900</v>
      </c>
      <c r="P1879">
        <v>332.38</v>
      </c>
      <c r="Q1879" t="s">
        <v>156</v>
      </c>
      <c r="R1879" t="s">
        <v>49</v>
      </c>
      <c r="S1879" t="s">
        <v>110</v>
      </c>
      <c r="T1879">
        <f>YEAR(Table1_1[[#This Row],[order_date]])</f>
        <v>2024</v>
      </c>
      <c r="U1879">
        <f>MONTH(Table1_1[[#This Row],[order_date]])</f>
        <v>10</v>
      </c>
      <c r="V1879" t="str">
        <f>TEXT(Table1_1[[#This Row],[order_date]],"mmm")</f>
        <v>Oct</v>
      </c>
      <c r="W1879" t="str">
        <f>"Q"&amp;ROUNDUP(MONTH(Table1_1[[#This Row],[order_date]])/3,0)</f>
        <v>Q4</v>
      </c>
      <c r="X1879" t="str">
        <f>TEXT(Table1_1[[#This Row],[order_date]],"yyyy-mm")</f>
        <v>2024-10</v>
      </c>
      <c r="Y1879">
        <f>IF(Table1_1[[#This Row],[ship_date]]="","",Table1_1[[#This Row],[ship_date]]-Table1_1[[#This Row],[order_date]])</f>
        <v>6</v>
      </c>
      <c r="Z1879">
        <f>ROUND(Table1_1[[#This Row],[profit]]/Table1_1[[#This Row],[sales_fix]]*100,2)</f>
        <v>36.93</v>
      </c>
    </row>
    <row r="1880" spans="1:26" x14ac:dyDescent="0.3">
      <c r="A1880" t="s">
        <v>2301</v>
      </c>
      <c r="B1880" s="1">
        <v>45886</v>
      </c>
      <c r="C1880" s="1">
        <v>45893</v>
      </c>
      <c r="D1880" t="s">
        <v>179</v>
      </c>
      <c r="E1880" t="s">
        <v>180</v>
      </c>
      <c r="F1880" t="s">
        <v>23</v>
      </c>
      <c r="G1880" t="s">
        <v>91</v>
      </c>
      <c r="H1880" t="s">
        <v>177</v>
      </c>
      <c r="I1880" t="s">
        <v>147</v>
      </c>
      <c r="J1880" t="s">
        <v>148</v>
      </c>
      <c r="K1880" t="s">
        <v>48</v>
      </c>
      <c r="L1880">
        <v>3</v>
      </c>
      <c r="M1880">
        <v>250</v>
      </c>
      <c r="N1880">
        <v>20</v>
      </c>
      <c r="O1880">
        <v>600</v>
      </c>
      <c r="P1880">
        <v>231.23</v>
      </c>
      <c r="Q1880" t="s">
        <v>121</v>
      </c>
      <c r="R1880" t="s">
        <v>49</v>
      </c>
      <c r="S1880" t="s">
        <v>86</v>
      </c>
      <c r="T1880">
        <f>YEAR(Table1_1[[#This Row],[order_date]])</f>
        <v>2025</v>
      </c>
      <c r="U1880">
        <f>MONTH(Table1_1[[#This Row],[order_date]])</f>
        <v>8</v>
      </c>
      <c r="V1880" t="str">
        <f>TEXT(Table1_1[[#This Row],[order_date]],"mmm")</f>
        <v>Aug</v>
      </c>
      <c r="W1880" t="str">
        <f>"Q"&amp;ROUNDUP(MONTH(Table1_1[[#This Row],[order_date]])/3,0)</f>
        <v>Q3</v>
      </c>
      <c r="X1880" t="str">
        <f>TEXT(Table1_1[[#This Row],[order_date]],"yyyy-mm")</f>
        <v>2025-08</v>
      </c>
      <c r="Y1880">
        <f>IF(Table1_1[[#This Row],[ship_date]]="","",Table1_1[[#This Row],[ship_date]]-Table1_1[[#This Row],[order_date]])</f>
        <v>7</v>
      </c>
      <c r="Z1880">
        <f>ROUND(Table1_1[[#This Row],[profit]]/Table1_1[[#This Row],[sales_fix]]*100,2)</f>
        <v>38.54</v>
      </c>
    </row>
    <row r="1881" spans="1:26" x14ac:dyDescent="0.3">
      <c r="A1881" t="s">
        <v>698</v>
      </c>
      <c r="B1881" s="1">
        <v>45947</v>
      </c>
      <c r="C1881" s="1">
        <v>45952</v>
      </c>
      <c r="D1881" t="s">
        <v>699</v>
      </c>
      <c r="E1881" t="s">
        <v>700</v>
      </c>
      <c r="F1881" t="s">
        <v>23</v>
      </c>
      <c r="G1881" t="s">
        <v>35</v>
      </c>
      <c r="H1881" t="s">
        <v>36</v>
      </c>
      <c r="I1881" t="s">
        <v>71</v>
      </c>
      <c r="J1881" t="s">
        <v>72</v>
      </c>
      <c r="K1881" t="s">
        <v>73</v>
      </c>
      <c r="L1881">
        <v>2</v>
      </c>
      <c r="M1881">
        <v>3500</v>
      </c>
      <c r="N1881">
        <v>5</v>
      </c>
      <c r="O1881">
        <v>6650</v>
      </c>
      <c r="P1881">
        <v>1955.03</v>
      </c>
      <c r="Q1881" t="s">
        <v>39</v>
      </c>
      <c r="R1881" t="s">
        <v>49</v>
      </c>
      <c r="S1881" t="s">
        <v>86</v>
      </c>
      <c r="T1881">
        <f>YEAR(Table1_1[[#This Row],[order_date]])</f>
        <v>2025</v>
      </c>
      <c r="U1881">
        <f>MONTH(Table1_1[[#This Row],[order_date]])</f>
        <v>10</v>
      </c>
      <c r="V1881" t="str">
        <f>TEXT(Table1_1[[#This Row],[order_date]],"mmm")</f>
        <v>Oct</v>
      </c>
      <c r="W1881" t="str">
        <f>"Q"&amp;ROUNDUP(MONTH(Table1_1[[#This Row],[order_date]])/3,0)</f>
        <v>Q4</v>
      </c>
      <c r="X1881" t="str">
        <f>TEXT(Table1_1[[#This Row],[order_date]],"yyyy-mm")</f>
        <v>2025-10</v>
      </c>
      <c r="Y1881">
        <f>IF(Table1_1[[#This Row],[ship_date]]="","",Table1_1[[#This Row],[ship_date]]-Table1_1[[#This Row],[order_date]])</f>
        <v>5</v>
      </c>
      <c r="Z1881">
        <f>ROUND(Table1_1[[#This Row],[profit]]/Table1_1[[#This Row],[sales_fix]]*100,2)</f>
        <v>29.4</v>
      </c>
    </row>
    <row r="1882" spans="1:26" x14ac:dyDescent="0.3">
      <c r="A1882" t="s">
        <v>2929</v>
      </c>
      <c r="B1882" s="1">
        <v>45815</v>
      </c>
      <c r="C1882" s="1">
        <v>45818</v>
      </c>
      <c r="D1882" t="s">
        <v>1221</v>
      </c>
      <c r="E1882" t="s">
        <v>1222</v>
      </c>
      <c r="F1882" t="s">
        <v>55</v>
      </c>
      <c r="G1882" t="s">
        <v>35</v>
      </c>
      <c r="H1882" t="s">
        <v>36</v>
      </c>
      <c r="I1882" t="s">
        <v>147</v>
      </c>
      <c r="J1882" t="s">
        <v>148</v>
      </c>
      <c r="K1882" t="s">
        <v>48</v>
      </c>
      <c r="L1882">
        <v>1</v>
      </c>
      <c r="M1882">
        <v>250</v>
      </c>
      <c r="N1882">
        <v>0</v>
      </c>
      <c r="O1882">
        <v>250</v>
      </c>
      <c r="P1882">
        <v>87.76</v>
      </c>
      <c r="Q1882" t="s">
        <v>39</v>
      </c>
      <c r="R1882" t="s">
        <v>49</v>
      </c>
      <c r="S1882" t="s">
        <v>86</v>
      </c>
      <c r="T1882">
        <f>YEAR(Table1_1[[#This Row],[order_date]])</f>
        <v>2025</v>
      </c>
      <c r="U1882">
        <f>MONTH(Table1_1[[#This Row],[order_date]])</f>
        <v>6</v>
      </c>
      <c r="V1882" t="str">
        <f>TEXT(Table1_1[[#This Row],[order_date]],"mmm")</f>
        <v>Jun</v>
      </c>
      <c r="W1882" t="str">
        <f>"Q"&amp;ROUNDUP(MONTH(Table1_1[[#This Row],[order_date]])/3,0)</f>
        <v>Q2</v>
      </c>
      <c r="X1882" t="str">
        <f>TEXT(Table1_1[[#This Row],[order_date]],"yyyy-mm")</f>
        <v>2025-06</v>
      </c>
      <c r="Y1882">
        <f>IF(Table1_1[[#This Row],[ship_date]]="","",Table1_1[[#This Row],[ship_date]]-Table1_1[[#This Row],[order_date]])</f>
        <v>3</v>
      </c>
      <c r="Z1882">
        <f>ROUND(Table1_1[[#This Row],[profit]]/Table1_1[[#This Row],[sales_fix]]*100,2)</f>
        <v>35.1</v>
      </c>
    </row>
    <row r="1883" spans="1:26" x14ac:dyDescent="0.3">
      <c r="A1883" t="s">
        <v>2399</v>
      </c>
      <c r="B1883" s="1">
        <v>45455</v>
      </c>
      <c r="C1883" s="1">
        <v>45459</v>
      </c>
      <c r="D1883" t="s">
        <v>301</v>
      </c>
      <c r="E1883" t="s">
        <v>302</v>
      </c>
      <c r="F1883" t="s">
        <v>34</v>
      </c>
      <c r="G1883" t="s">
        <v>44</v>
      </c>
      <c r="H1883" t="s">
        <v>24</v>
      </c>
      <c r="I1883" t="s">
        <v>79</v>
      </c>
      <c r="J1883" t="s">
        <v>80</v>
      </c>
      <c r="K1883" t="s">
        <v>65</v>
      </c>
      <c r="L1883">
        <v>10</v>
      </c>
      <c r="M1883">
        <v>3000</v>
      </c>
      <c r="N1883">
        <v>0</v>
      </c>
      <c r="O1883">
        <v>30000</v>
      </c>
      <c r="P1883">
        <v>8387.99</v>
      </c>
      <c r="Q1883" t="s">
        <v>156</v>
      </c>
      <c r="R1883" t="s">
        <v>49</v>
      </c>
      <c r="S1883" t="s">
        <v>110</v>
      </c>
      <c r="T1883">
        <f>YEAR(Table1_1[[#This Row],[order_date]])</f>
        <v>2024</v>
      </c>
      <c r="U1883">
        <f>MONTH(Table1_1[[#This Row],[order_date]])</f>
        <v>6</v>
      </c>
      <c r="V1883" t="str">
        <f>TEXT(Table1_1[[#This Row],[order_date]],"mmm")</f>
        <v>Jun</v>
      </c>
      <c r="W1883" t="str">
        <f>"Q"&amp;ROUNDUP(MONTH(Table1_1[[#This Row],[order_date]])/3,0)</f>
        <v>Q2</v>
      </c>
      <c r="X1883" t="str">
        <f>TEXT(Table1_1[[#This Row],[order_date]],"yyyy-mm")</f>
        <v>2024-06</v>
      </c>
      <c r="Y1883">
        <f>IF(Table1_1[[#This Row],[ship_date]]="","",Table1_1[[#This Row],[ship_date]]-Table1_1[[#This Row],[order_date]])</f>
        <v>4</v>
      </c>
      <c r="Z1883">
        <f>ROUND(Table1_1[[#This Row],[profit]]/Table1_1[[#This Row],[sales_fix]]*100,2)</f>
        <v>27.96</v>
      </c>
    </row>
    <row r="1884" spans="1:26" x14ac:dyDescent="0.3">
      <c r="A1884" t="s">
        <v>2673</v>
      </c>
      <c r="B1884" s="1">
        <v>45420</v>
      </c>
      <c r="C1884" s="1">
        <v>45424</v>
      </c>
      <c r="D1884" t="s">
        <v>265</v>
      </c>
      <c r="E1884" t="s">
        <v>266</v>
      </c>
      <c r="F1884" t="s">
        <v>55</v>
      </c>
      <c r="G1884" t="s">
        <v>44</v>
      </c>
      <c r="H1884" t="s">
        <v>45</v>
      </c>
      <c r="I1884" t="s">
        <v>46</v>
      </c>
      <c r="J1884" t="s">
        <v>47</v>
      </c>
      <c r="K1884" t="s">
        <v>48</v>
      </c>
      <c r="L1884">
        <v>1</v>
      </c>
      <c r="M1884">
        <v>180</v>
      </c>
      <c r="N1884">
        <v>10</v>
      </c>
      <c r="O1884">
        <v>162</v>
      </c>
      <c r="P1884">
        <v>79.03</v>
      </c>
      <c r="Q1884" t="s">
        <v>74</v>
      </c>
      <c r="R1884" t="s">
        <v>56</v>
      </c>
      <c r="S1884" t="s">
        <v>30</v>
      </c>
      <c r="T1884">
        <f>YEAR(Table1_1[[#This Row],[order_date]])</f>
        <v>2024</v>
      </c>
      <c r="U1884">
        <f>MONTH(Table1_1[[#This Row],[order_date]])</f>
        <v>5</v>
      </c>
      <c r="V1884" t="str">
        <f>TEXT(Table1_1[[#This Row],[order_date]],"mmm")</f>
        <v>May</v>
      </c>
      <c r="W1884" t="str">
        <f>"Q"&amp;ROUNDUP(MONTH(Table1_1[[#This Row],[order_date]])/3,0)</f>
        <v>Q2</v>
      </c>
      <c r="X1884" t="str">
        <f>TEXT(Table1_1[[#This Row],[order_date]],"yyyy-mm")</f>
        <v>2024-05</v>
      </c>
      <c r="Y1884">
        <f>IF(Table1_1[[#This Row],[ship_date]]="","",Table1_1[[#This Row],[ship_date]]-Table1_1[[#This Row],[order_date]])</f>
        <v>4</v>
      </c>
      <c r="Z1884">
        <f>ROUND(Table1_1[[#This Row],[profit]]/Table1_1[[#This Row],[sales_fix]]*100,2)</f>
        <v>48.78</v>
      </c>
    </row>
    <row r="1885" spans="1:26" x14ac:dyDescent="0.3">
      <c r="A1885" t="s">
        <v>1303</v>
      </c>
      <c r="B1885" s="1">
        <v>45805</v>
      </c>
      <c r="C1885" s="1"/>
      <c r="D1885" t="s">
        <v>241</v>
      </c>
      <c r="E1885" t="s">
        <v>242</v>
      </c>
      <c r="F1885" t="s">
        <v>55</v>
      </c>
      <c r="G1885" t="s">
        <v>91</v>
      </c>
      <c r="H1885" t="s">
        <v>120</v>
      </c>
      <c r="I1885" t="s">
        <v>71</v>
      </c>
      <c r="J1885" t="s">
        <v>72</v>
      </c>
      <c r="K1885" t="s">
        <v>73</v>
      </c>
      <c r="L1885">
        <v>1</v>
      </c>
      <c r="M1885">
        <v>3500</v>
      </c>
      <c r="N1885">
        <v>0</v>
      </c>
      <c r="O1885">
        <v>3500</v>
      </c>
      <c r="P1885">
        <v>1120</v>
      </c>
      <c r="Q1885" t="s">
        <v>74</v>
      </c>
      <c r="R1885" t="s">
        <v>49</v>
      </c>
      <c r="S1885" t="s">
        <v>30</v>
      </c>
      <c r="T1885">
        <f>YEAR(Table1_1[[#This Row],[order_date]])</f>
        <v>2025</v>
      </c>
      <c r="U1885">
        <f>MONTH(Table1_1[[#This Row],[order_date]])</f>
        <v>5</v>
      </c>
      <c r="V1885" t="str">
        <f>TEXT(Table1_1[[#This Row],[order_date]],"mmm")</f>
        <v>May</v>
      </c>
      <c r="W1885" t="str">
        <f>"Q"&amp;ROUNDUP(MONTH(Table1_1[[#This Row],[order_date]])/3,0)</f>
        <v>Q2</v>
      </c>
      <c r="X1885" t="str">
        <f>TEXT(Table1_1[[#This Row],[order_date]],"yyyy-mm")</f>
        <v>2025-05</v>
      </c>
      <c r="Y1885" t="str">
        <f>IF(Table1_1[[#This Row],[ship_date]]="","",Table1_1[[#This Row],[ship_date]]-Table1_1[[#This Row],[order_date]])</f>
        <v/>
      </c>
      <c r="Z1885">
        <f>ROUND(Table1_1[[#This Row],[profit]]/Table1_1[[#This Row],[sales_fix]]*100,2)</f>
        <v>32</v>
      </c>
    </row>
    <row r="1886" spans="1:26" x14ac:dyDescent="0.3">
      <c r="A1886" t="s">
        <v>2676</v>
      </c>
      <c r="B1886" s="1">
        <v>45747</v>
      </c>
      <c r="C1886" s="1">
        <v>45749</v>
      </c>
      <c r="D1886" t="s">
        <v>1609</v>
      </c>
      <c r="E1886" t="s">
        <v>1610</v>
      </c>
      <c r="F1886" t="s">
        <v>55</v>
      </c>
      <c r="G1886" t="s">
        <v>44</v>
      </c>
      <c r="H1886" t="s">
        <v>24</v>
      </c>
      <c r="I1886" t="s">
        <v>46</v>
      </c>
      <c r="J1886" t="s">
        <v>47</v>
      </c>
      <c r="K1886" t="s">
        <v>48</v>
      </c>
      <c r="L1886">
        <v>2</v>
      </c>
      <c r="M1886">
        <v>180</v>
      </c>
      <c r="N1886">
        <v>0</v>
      </c>
      <c r="O1886">
        <v>360</v>
      </c>
      <c r="P1886">
        <v>140.93</v>
      </c>
      <c r="Q1886" t="s">
        <v>66</v>
      </c>
      <c r="R1886" t="s">
        <v>49</v>
      </c>
      <c r="S1886" t="s">
        <v>86</v>
      </c>
      <c r="T1886">
        <f>YEAR(Table1_1[[#This Row],[order_date]])</f>
        <v>2025</v>
      </c>
      <c r="U1886">
        <f>MONTH(Table1_1[[#This Row],[order_date]])</f>
        <v>3</v>
      </c>
      <c r="V1886" t="str">
        <f>TEXT(Table1_1[[#This Row],[order_date]],"mmm")</f>
        <v>Mar</v>
      </c>
      <c r="W1886" t="str">
        <f>"Q"&amp;ROUNDUP(MONTH(Table1_1[[#This Row],[order_date]])/3,0)</f>
        <v>Q1</v>
      </c>
      <c r="X1886" t="str">
        <f>TEXT(Table1_1[[#This Row],[order_date]],"yyyy-mm")</f>
        <v>2025-03</v>
      </c>
      <c r="Y1886">
        <f>IF(Table1_1[[#This Row],[ship_date]]="","",Table1_1[[#This Row],[ship_date]]-Table1_1[[#This Row],[order_date]])</f>
        <v>2</v>
      </c>
      <c r="Z1886">
        <f>ROUND(Table1_1[[#This Row],[profit]]/Table1_1[[#This Row],[sales_fix]]*100,2)</f>
        <v>39.15</v>
      </c>
    </row>
    <row r="1887" spans="1:26" x14ac:dyDescent="0.3">
      <c r="A1887" t="s">
        <v>2790</v>
      </c>
      <c r="B1887" s="1">
        <v>45892</v>
      </c>
      <c r="C1887" s="1">
        <v>45895</v>
      </c>
      <c r="D1887" t="s">
        <v>956</v>
      </c>
      <c r="E1887" t="s">
        <v>1086</v>
      </c>
      <c r="F1887" t="s">
        <v>55</v>
      </c>
      <c r="G1887" t="s">
        <v>44</v>
      </c>
      <c r="H1887" t="s">
        <v>24</v>
      </c>
      <c r="I1887" t="s">
        <v>63</v>
      </c>
      <c r="J1887" t="s">
        <v>64</v>
      </c>
      <c r="K1887" t="s">
        <v>65</v>
      </c>
      <c r="L1887">
        <v>4</v>
      </c>
      <c r="M1887">
        <v>25000</v>
      </c>
      <c r="N1887">
        <v>15</v>
      </c>
      <c r="O1887">
        <v>85000</v>
      </c>
      <c r="P1887">
        <v>10191.25</v>
      </c>
      <c r="Q1887" t="s">
        <v>121</v>
      </c>
      <c r="R1887" t="s">
        <v>56</v>
      </c>
      <c r="S1887" t="s">
        <v>30</v>
      </c>
      <c r="T1887">
        <f>YEAR(Table1_1[[#This Row],[order_date]])</f>
        <v>2025</v>
      </c>
      <c r="U1887">
        <f>MONTH(Table1_1[[#This Row],[order_date]])</f>
        <v>8</v>
      </c>
      <c r="V1887" t="str">
        <f>TEXT(Table1_1[[#This Row],[order_date]],"mmm")</f>
        <v>Aug</v>
      </c>
      <c r="W1887" t="str">
        <f>"Q"&amp;ROUNDUP(MONTH(Table1_1[[#This Row],[order_date]])/3,0)</f>
        <v>Q3</v>
      </c>
      <c r="X1887" t="str">
        <f>TEXT(Table1_1[[#This Row],[order_date]],"yyyy-mm")</f>
        <v>2025-08</v>
      </c>
      <c r="Y1887">
        <f>IF(Table1_1[[#This Row],[ship_date]]="","",Table1_1[[#This Row],[ship_date]]-Table1_1[[#This Row],[order_date]])</f>
        <v>3</v>
      </c>
      <c r="Z1887">
        <f>ROUND(Table1_1[[#This Row],[profit]]/Table1_1[[#This Row],[sales_fix]]*100,2)</f>
        <v>11.99</v>
      </c>
    </row>
    <row r="1888" spans="1:26" x14ac:dyDescent="0.3">
      <c r="A1888" t="s">
        <v>1793</v>
      </c>
      <c r="B1888" s="1">
        <v>45510</v>
      </c>
      <c r="C1888" s="1">
        <v>45516</v>
      </c>
      <c r="D1888" t="s">
        <v>172</v>
      </c>
      <c r="E1888" t="s">
        <v>173</v>
      </c>
      <c r="F1888" t="s">
        <v>55</v>
      </c>
      <c r="G1888" t="s">
        <v>91</v>
      </c>
      <c r="H1888" t="s">
        <v>177</v>
      </c>
      <c r="I1888" t="s">
        <v>103</v>
      </c>
      <c r="J1888" t="s">
        <v>104</v>
      </c>
      <c r="K1888" t="s">
        <v>65</v>
      </c>
      <c r="L1888">
        <v>2</v>
      </c>
      <c r="M1888">
        <v>8000</v>
      </c>
      <c r="N1888">
        <v>5</v>
      </c>
      <c r="O1888">
        <v>15200</v>
      </c>
      <c r="P1888">
        <v>4019.55</v>
      </c>
      <c r="Q1888" t="s">
        <v>121</v>
      </c>
      <c r="R1888" t="s">
        <v>29</v>
      </c>
      <c r="S1888" t="s">
        <v>86</v>
      </c>
      <c r="T1888">
        <f>YEAR(Table1_1[[#This Row],[order_date]])</f>
        <v>2024</v>
      </c>
      <c r="U1888">
        <f>MONTH(Table1_1[[#This Row],[order_date]])</f>
        <v>8</v>
      </c>
      <c r="V1888" t="str">
        <f>TEXT(Table1_1[[#This Row],[order_date]],"mmm")</f>
        <v>Aug</v>
      </c>
      <c r="W1888" t="str">
        <f>"Q"&amp;ROUNDUP(MONTH(Table1_1[[#This Row],[order_date]])/3,0)</f>
        <v>Q3</v>
      </c>
      <c r="X1888" t="str">
        <f>TEXT(Table1_1[[#This Row],[order_date]],"yyyy-mm")</f>
        <v>2024-08</v>
      </c>
      <c r="Y1888">
        <f>IF(Table1_1[[#This Row],[ship_date]]="","",Table1_1[[#This Row],[ship_date]]-Table1_1[[#This Row],[order_date]])</f>
        <v>6</v>
      </c>
      <c r="Z1888">
        <f>ROUND(Table1_1[[#This Row],[profit]]/Table1_1[[#This Row],[sales_fix]]*100,2)</f>
        <v>26.44</v>
      </c>
    </row>
    <row r="1889" spans="1:26" x14ac:dyDescent="0.3">
      <c r="A1889" t="s">
        <v>1934</v>
      </c>
      <c r="B1889" s="1">
        <v>45861</v>
      </c>
      <c r="C1889" s="1">
        <v>45862</v>
      </c>
      <c r="D1889" t="s">
        <v>716</v>
      </c>
      <c r="E1889" t="s">
        <v>717</v>
      </c>
      <c r="F1889" t="s">
        <v>23</v>
      </c>
      <c r="G1889" t="s">
        <v>35</v>
      </c>
      <c r="H1889" t="s">
        <v>85</v>
      </c>
      <c r="I1889" t="s">
        <v>37</v>
      </c>
      <c r="J1889" t="s">
        <v>38</v>
      </c>
      <c r="K1889" t="s">
        <v>27</v>
      </c>
      <c r="L1889">
        <v>2</v>
      </c>
      <c r="M1889">
        <v>9500</v>
      </c>
      <c r="N1889">
        <v>5</v>
      </c>
      <c r="O1889">
        <v>18050</v>
      </c>
      <c r="P1889">
        <v>3610</v>
      </c>
      <c r="Q1889" t="s">
        <v>121</v>
      </c>
      <c r="R1889" t="s">
        <v>49</v>
      </c>
      <c r="S1889" t="s">
        <v>110</v>
      </c>
      <c r="T1889">
        <f>YEAR(Table1_1[[#This Row],[order_date]])</f>
        <v>2025</v>
      </c>
      <c r="U1889">
        <f>MONTH(Table1_1[[#This Row],[order_date]])</f>
        <v>7</v>
      </c>
      <c r="V1889" t="str">
        <f>TEXT(Table1_1[[#This Row],[order_date]],"mmm")</f>
        <v>Jul</v>
      </c>
      <c r="W1889" t="str">
        <f>"Q"&amp;ROUNDUP(MONTH(Table1_1[[#This Row],[order_date]])/3,0)</f>
        <v>Q3</v>
      </c>
      <c r="X1889" t="str">
        <f>TEXT(Table1_1[[#This Row],[order_date]],"yyyy-mm")</f>
        <v>2025-07</v>
      </c>
      <c r="Y1889">
        <f>IF(Table1_1[[#This Row],[ship_date]]="","",Table1_1[[#This Row],[ship_date]]-Table1_1[[#This Row],[order_date]])</f>
        <v>1</v>
      </c>
      <c r="Z1889">
        <f>ROUND(Table1_1[[#This Row],[profit]]/Table1_1[[#This Row],[sales_fix]]*100,2)</f>
        <v>20</v>
      </c>
    </row>
    <row r="1890" spans="1:26" x14ac:dyDescent="0.3">
      <c r="A1890" t="s">
        <v>2689</v>
      </c>
      <c r="B1890" s="1">
        <v>45440</v>
      </c>
      <c r="C1890" s="1">
        <v>45446</v>
      </c>
      <c r="D1890" t="s">
        <v>223</v>
      </c>
      <c r="E1890" t="s">
        <v>224</v>
      </c>
      <c r="F1890" t="s">
        <v>34</v>
      </c>
      <c r="G1890" t="s">
        <v>35</v>
      </c>
      <c r="H1890" t="s">
        <v>85</v>
      </c>
      <c r="I1890" t="s">
        <v>147</v>
      </c>
      <c r="J1890" t="s">
        <v>148</v>
      </c>
      <c r="K1890" t="s">
        <v>48</v>
      </c>
      <c r="L1890">
        <v>1</v>
      </c>
      <c r="M1890">
        <v>250</v>
      </c>
      <c r="N1890">
        <v>10</v>
      </c>
      <c r="O1890">
        <v>225</v>
      </c>
      <c r="P1890">
        <v>66.510000000000005</v>
      </c>
      <c r="Q1890" t="s">
        <v>156</v>
      </c>
      <c r="R1890" t="s">
        <v>29</v>
      </c>
      <c r="S1890" t="s">
        <v>50</v>
      </c>
      <c r="T1890">
        <f>YEAR(Table1_1[[#This Row],[order_date]])</f>
        <v>2024</v>
      </c>
      <c r="U1890">
        <f>MONTH(Table1_1[[#This Row],[order_date]])</f>
        <v>5</v>
      </c>
      <c r="V1890" t="str">
        <f>TEXT(Table1_1[[#This Row],[order_date]],"mmm")</f>
        <v>May</v>
      </c>
      <c r="W1890" t="str">
        <f>"Q"&amp;ROUNDUP(MONTH(Table1_1[[#This Row],[order_date]])/3,0)</f>
        <v>Q2</v>
      </c>
      <c r="X1890" t="str">
        <f>TEXT(Table1_1[[#This Row],[order_date]],"yyyy-mm")</f>
        <v>2024-05</v>
      </c>
      <c r="Y1890">
        <f>IF(Table1_1[[#This Row],[ship_date]]="","",Table1_1[[#This Row],[ship_date]]-Table1_1[[#This Row],[order_date]])</f>
        <v>6</v>
      </c>
      <c r="Z1890">
        <f>ROUND(Table1_1[[#This Row],[profit]]/Table1_1[[#This Row],[sales_fix]]*100,2)</f>
        <v>29.56</v>
      </c>
    </row>
    <row r="1891" spans="1:26" x14ac:dyDescent="0.3">
      <c r="A1891" t="s">
        <v>511</v>
      </c>
      <c r="B1891" s="1">
        <v>45320</v>
      </c>
      <c r="C1891" s="1">
        <v>45322</v>
      </c>
      <c r="D1891" t="s">
        <v>514</v>
      </c>
      <c r="E1891" t="s">
        <v>515</v>
      </c>
      <c r="F1891" t="s">
        <v>23</v>
      </c>
      <c r="G1891" t="s">
        <v>44</v>
      </c>
      <c r="H1891" t="s">
        <v>45</v>
      </c>
      <c r="I1891" t="s">
        <v>25</v>
      </c>
      <c r="J1891" t="s">
        <v>26</v>
      </c>
      <c r="K1891" t="s">
        <v>27</v>
      </c>
      <c r="L1891">
        <v>3</v>
      </c>
      <c r="M1891">
        <v>7000</v>
      </c>
      <c r="N1891">
        <v>5</v>
      </c>
      <c r="O1891">
        <v>19950</v>
      </c>
      <c r="P1891">
        <v>3778.16</v>
      </c>
      <c r="Q1891" t="s">
        <v>28</v>
      </c>
      <c r="R1891" t="s">
        <v>56</v>
      </c>
      <c r="S1891" t="s">
        <v>30</v>
      </c>
      <c r="T1891">
        <f>YEAR(Table1_1[[#This Row],[order_date]])</f>
        <v>2024</v>
      </c>
      <c r="U1891">
        <f>MONTH(Table1_1[[#This Row],[order_date]])</f>
        <v>1</v>
      </c>
      <c r="V1891" t="str">
        <f>TEXT(Table1_1[[#This Row],[order_date]],"mmm")</f>
        <v>Jan</v>
      </c>
      <c r="W1891" t="str">
        <f>"Q"&amp;ROUNDUP(MONTH(Table1_1[[#This Row],[order_date]])/3,0)</f>
        <v>Q1</v>
      </c>
      <c r="X1891" t="str">
        <f>TEXT(Table1_1[[#This Row],[order_date]],"yyyy-mm")</f>
        <v>2024-01</v>
      </c>
      <c r="Y1891">
        <f>IF(Table1_1[[#This Row],[ship_date]]="","",Table1_1[[#This Row],[ship_date]]-Table1_1[[#This Row],[order_date]])</f>
        <v>2</v>
      </c>
      <c r="Z1891">
        <f>ROUND(Table1_1[[#This Row],[profit]]/Table1_1[[#This Row],[sales_fix]]*100,2)</f>
        <v>18.940000000000001</v>
      </c>
    </row>
    <row r="1892" spans="1:26" x14ac:dyDescent="0.3">
      <c r="A1892" t="s">
        <v>2774</v>
      </c>
      <c r="B1892" s="1">
        <v>45421</v>
      </c>
      <c r="C1892" s="1">
        <v>45422</v>
      </c>
      <c r="D1892" t="s">
        <v>138</v>
      </c>
      <c r="E1892" t="s">
        <v>139</v>
      </c>
      <c r="F1892" t="s">
        <v>55</v>
      </c>
      <c r="G1892" t="s">
        <v>35</v>
      </c>
      <c r="H1892" t="s">
        <v>36</v>
      </c>
      <c r="I1892" t="s">
        <v>46</v>
      </c>
      <c r="J1892" t="s">
        <v>47</v>
      </c>
      <c r="K1892" t="s">
        <v>48</v>
      </c>
      <c r="L1892">
        <v>3</v>
      </c>
      <c r="M1892">
        <v>180</v>
      </c>
      <c r="N1892">
        <v>10</v>
      </c>
      <c r="O1892">
        <v>486</v>
      </c>
      <c r="P1892">
        <v>200.18</v>
      </c>
      <c r="Q1892" t="s">
        <v>39</v>
      </c>
      <c r="R1892" t="s">
        <v>56</v>
      </c>
      <c r="S1892" t="s">
        <v>86</v>
      </c>
      <c r="T1892">
        <f>YEAR(Table1_1[[#This Row],[order_date]])</f>
        <v>2024</v>
      </c>
      <c r="U1892">
        <f>MONTH(Table1_1[[#This Row],[order_date]])</f>
        <v>5</v>
      </c>
      <c r="V1892" t="str">
        <f>TEXT(Table1_1[[#This Row],[order_date]],"mmm")</f>
        <v>May</v>
      </c>
      <c r="W1892" t="str">
        <f>"Q"&amp;ROUNDUP(MONTH(Table1_1[[#This Row],[order_date]])/3,0)</f>
        <v>Q2</v>
      </c>
      <c r="X1892" t="str">
        <f>TEXT(Table1_1[[#This Row],[order_date]],"yyyy-mm")</f>
        <v>2024-05</v>
      </c>
      <c r="Y1892">
        <f>IF(Table1_1[[#This Row],[ship_date]]="","",Table1_1[[#This Row],[ship_date]]-Table1_1[[#This Row],[order_date]])</f>
        <v>1</v>
      </c>
      <c r="Z1892">
        <f>ROUND(Table1_1[[#This Row],[profit]]/Table1_1[[#This Row],[sales_fix]]*100,2)</f>
        <v>41.19</v>
      </c>
    </row>
    <row r="1893" spans="1:26" x14ac:dyDescent="0.3">
      <c r="A1893" t="s">
        <v>2637</v>
      </c>
      <c r="B1893" s="1">
        <v>45856</v>
      </c>
      <c r="C1893" s="1">
        <v>45861</v>
      </c>
      <c r="D1893" t="s">
        <v>269</v>
      </c>
      <c r="E1893" t="s">
        <v>270</v>
      </c>
      <c r="F1893" t="s">
        <v>23</v>
      </c>
      <c r="G1893" t="s">
        <v>35</v>
      </c>
      <c r="H1893" t="s">
        <v>36</v>
      </c>
      <c r="I1893" t="s">
        <v>147</v>
      </c>
      <c r="J1893" t="s">
        <v>148</v>
      </c>
      <c r="K1893" t="s">
        <v>48</v>
      </c>
      <c r="L1893">
        <v>1</v>
      </c>
      <c r="M1893">
        <v>250</v>
      </c>
      <c r="N1893">
        <v>0</v>
      </c>
      <c r="O1893">
        <v>250</v>
      </c>
      <c r="P1893">
        <v>73.180000000000007</v>
      </c>
      <c r="Q1893" t="s">
        <v>28</v>
      </c>
      <c r="R1893" t="s">
        <v>56</v>
      </c>
      <c r="S1893" t="s">
        <v>86</v>
      </c>
      <c r="T1893">
        <f>YEAR(Table1_1[[#This Row],[order_date]])</f>
        <v>2025</v>
      </c>
      <c r="U1893">
        <f>MONTH(Table1_1[[#This Row],[order_date]])</f>
        <v>7</v>
      </c>
      <c r="V1893" t="str">
        <f>TEXT(Table1_1[[#This Row],[order_date]],"mmm")</f>
        <v>Jul</v>
      </c>
      <c r="W1893" t="str">
        <f>"Q"&amp;ROUNDUP(MONTH(Table1_1[[#This Row],[order_date]])/3,0)</f>
        <v>Q3</v>
      </c>
      <c r="X1893" t="str">
        <f>TEXT(Table1_1[[#This Row],[order_date]],"yyyy-mm")</f>
        <v>2025-07</v>
      </c>
      <c r="Y1893">
        <f>IF(Table1_1[[#This Row],[ship_date]]="","",Table1_1[[#This Row],[ship_date]]-Table1_1[[#This Row],[order_date]])</f>
        <v>5</v>
      </c>
      <c r="Z1893">
        <f>ROUND(Table1_1[[#This Row],[profit]]/Table1_1[[#This Row],[sales_fix]]*100,2)</f>
        <v>29.27</v>
      </c>
    </row>
    <row r="1894" spans="1:26" x14ac:dyDescent="0.3">
      <c r="A1894" t="s">
        <v>1273</v>
      </c>
      <c r="B1894" s="1">
        <v>45929</v>
      </c>
      <c r="C1894" s="1">
        <v>45934</v>
      </c>
      <c r="D1894" t="s">
        <v>588</v>
      </c>
      <c r="E1894" t="s">
        <v>589</v>
      </c>
      <c r="F1894" t="s">
        <v>23</v>
      </c>
      <c r="G1894" t="s">
        <v>61</v>
      </c>
      <c r="H1894" t="s">
        <v>62</v>
      </c>
      <c r="I1894" t="s">
        <v>37</v>
      </c>
      <c r="J1894" t="s">
        <v>38</v>
      </c>
      <c r="K1894" t="s">
        <v>27</v>
      </c>
      <c r="L1894">
        <v>1</v>
      </c>
      <c r="M1894">
        <v>9500</v>
      </c>
      <c r="N1894">
        <v>5</v>
      </c>
      <c r="O1894">
        <v>9025</v>
      </c>
      <c r="P1894">
        <v>1715.9</v>
      </c>
      <c r="Q1894" t="s">
        <v>3113</v>
      </c>
      <c r="R1894" t="s">
        <v>49</v>
      </c>
      <c r="S1894" t="s">
        <v>40</v>
      </c>
      <c r="T1894">
        <f>YEAR(Table1_1[[#This Row],[order_date]])</f>
        <v>2025</v>
      </c>
      <c r="U1894">
        <f>MONTH(Table1_1[[#This Row],[order_date]])</f>
        <v>9</v>
      </c>
      <c r="V1894" t="str">
        <f>TEXT(Table1_1[[#This Row],[order_date]],"mmm")</f>
        <v>Sep</v>
      </c>
      <c r="W1894" t="str">
        <f>"Q"&amp;ROUNDUP(MONTH(Table1_1[[#This Row],[order_date]])/3,0)</f>
        <v>Q3</v>
      </c>
      <c r="X1894" t="str">
        <f>TEXT(Table1_1[[#This Row],[order_date]],"yyyy-mm")</f>
        <v>2025-09</v>
      </c>
      <c r="Y1894">
        <f>IF(Table1_1[[#This Row],[ship_date]]="","",Table1_1[[#This Row],[ship_date]]-Table1_1[[#This Row],[order_date]])</f>
        <v>5</v>
      </c>
      <c r="Z1894">
        <f>ROUND(Table1_1[[#This Row],[profit]]/Table1_1[[#This Row],[sales_fix]]*100,2)</f>
        <v>19.010000000000002</v>
      </c>
    </row>
    <row r="1895" spans="1:26" x14ac:dyDescent="0.3">
      <c r="A1895" t="s">
        <v>3013</v>
      </c>
      <c r="B1895" s="1">
        <v>45546</v>
      </c>
      <c r="C1895" s="1">
        <v>45554</v>
      </c>
      <c r="D1895" t="s">
        <v>822</v>
      </c>
      <c r="E1895" t="s">
        <v>823</v>
      </c>
      <c r="F1895" t="s">
        <v>34</v>
      </c>
      <c r="G1895" t="s">
        <v>35</v>
      </c>
      <c r="H1895" t="s">
        <v>187</v>
      </c>
      <c r="I1895" t="s">
        <v>93</v>
      </c>
      <c r="J1895" t="s">
        <v>94</v>
      </c>
      <c r="K1895" t="s">
        <v>95</v>
      </c>
      <c r="L1895">
        <v>3</v>
      </c>
      <c r="M1895">
        <v>1800</v>
      </c>
      <c r="N1895">
        <v>10</v>
      </c>
      <c r="O1895">
        <v>4860</v>
      </c>
      <c r="P1895">
        <v>1460.02</v>
      </c>
      <c r="Q1895" t="s">
        <v>74</v>
      </c>
      <c r="R1895" t="s">
        <v>56</v>
      </c>
      <c r="S1895" t="s">
        <v>30</v>
      </c>
      <c r="T1895">
        <f>YEAR(Table1_1[[#This Row],[order_date]])</f>
        <v>2024</v>
      </c>
      <c r="U1895">
        <f>MONTH(Table1_1[[#This Row],[order_date]])</f>
        <v>9</v>
      </c>
      <c r="V1895" t="str">
        <f>TEXT(Table1_1[[#This Row],[order_date]],"mmm")</f>
        <v>Sep</v>
      </c>
      <c r="W1895" t="str">
        <f>"Q"&amp;ROUNDUP(MONTH(Table1_1[[#This Row],[order_date]])/3,0)</f>
        <v>Q3</v>
      </c>
      <c r="X1895" t="str">
        <f>TEXT(Table1_1[[#This Row],[order_date]],"yyyy-mm")</f>
        <v>2024-09</v>
      </c>
      <c r="Y1895">
        <f>IF(Table1_1[[#This Row],[ship_date]]="","",Table1_1[[#This Row],[ship_date]]-Table1_1[[#This Row],[order_date]])</f>
        <v>8</v>
      </c>
      <c r="Z1895">
        <f>ROUND(Table1_1[[#This Row],[profit]]/Table1_1[[#This Row],[sales_fix]]*100,2)</f>
        <v>30.04</v>
      </c>
    </row>
    <row r="1896" spans="1:26" x14ac:dyDescent="0.3">
      <c r="A1896" t="s">
        <v>1938</v>
      </c>
      <c r="B1896" s="1">
        <v>45997</v>
      </c>
      <c r="C1896" s="1">
        <v>46003</v>
      </c>
      <c r="D1896" t="s">
        <v>403</v>
      </c>
      <c r="E1896" t="s">
        <v>404</v>
      </c>
      <c r="F1896" t="s">
        <v>55</v>
      </c>
      <c r="G1896" t="s">
        <v>35</v>
      </c>
      <c r="H1896" t="s">
        <v>36</v>
      </c>
      <c r="I1896" t="s">
        <v>25</v>
      </c>
      <c r="J1896" t="s">
        <v>26</v>
      </c>
      <c r="K1896" t="s">
        <v>27</v>
      </c>
      <c r="L1896">
        <v>1</v>
      </c>
      <c r="M1896">
        <v>7000</v>
      </c>
      <c r="N1896">
        <v>0</v>
      </c>
      <c r="O1896">
        <v>7000</v>
      </c>
      <c r="P1896">
        <v>1440.42</v>
      </c>
      <c r="Q1896" t="s">
        <v>156</v>
      </c>
      <c r="R1896" t="s">
        <v>29</v>
      </c>
      <c r="S1896" t="s">
        <v>86</v>
      </c>
      <c r="T1896">
        <f>YEAR(Table1_1[[#This Row],[order_date]])</f>
        <v>2025</v>
      </c>
      <c r="U1896">
        <f>MONTH(Table1_1[[#This Row],[order_date]])</f>
        <v>12</v>
      </c>
      <c r="V1896" t="str">
        <f>TEXT(Table1_1[[#This Row],[order_date]],"mmm")</f>
        <v>Dec</v>
      </c>
      <c r="W1896" t="str">
        <f>"Q"&amp;ROUNDUP(MONTH(Table1_1[[#This Row],[order_date]])/3,0)</f>
        <v>Q4</v>
      </c>
      <c r="X1896" t="str">
        <f>TEXT(Table1_1[[#This Row],[order_date]],"yyyy-mm")</f>
        <v>2025-12</v>
      </c>
      <c r="Y1896">
        <f>IF(Table1_1[[#This Row],[ship_date]]="","",Table1_1[[#This Row],[ship_date]]-Table1_1[[#This Row],[order_date]])</f>
        <v>6</v>
      </c>
      <c r="Z1896">
        <f>ROUND(Table1_1[[#This Row],[profit]]/Table1_1[[#This Row],[sales_fix]]*100,2)</f>
        <v>20.58</v>
      </c>
    </row>
    <row r="1897" spans="1:26" x14ac:dyDescent="0.3">
      <c r="A1897" t="s">
        <v>2788</v>
      </c>
      <c r="B1897" s="1">
        <v>45430</v>
      </c>
      <c r="C1897" s="1">
        <v>45438</v>
      </c>
      <c r="D1897" t="s">
        <v>69</v>
      </c>
      <c r="E1897" t="s">
        <v>70</v>
      </c>
      <c r="F1897" t="s">
        <v>23</v>
      </c>
      <c r="G1897" t="s">
        <v>44</v>
      </c>
      <c r="H1897" t="s">
        <v>24</v>
      </c>
      <c r="I1897" t="s">
        <v>93</v>
      </c>
      <c r="J1897" t="s">
        <v>94</v>
      </c>
      <c r="K1897" t="s">
        <v>95</v>
      </c>
      <c r="L1897">
        <v>3</v>
      </c>
      <c r="M1897">
        <v>1800</v>
      </c>
      <c r="N1897">
        <v>15</v>
      </c>
      <c r="O1897">
        <v>4590</v>
      </c>
      <c r="P1897">
        <v>1240.5899999999999</v>
      </c>
      <c r="Q1897" t="s">
        <v>74</v>
      </c>
      <c r="R1897" t="s">
        <v>29</v>
      </c>
      <c r="S1897" t="s">
        <v>30</v>
      </c>
      <c r="T1897">
        <f>YEAR(Table1_1[[#This Row],[order_date]])</f>
        <v>2024</v>
      </c>
      <c r="U1897">
        <f>MONTH(Table1_1[[#This Row],[order_date]])</f>
        <v>5</v>
      </c>
      <c r="V1897" t="str">
        <f>TEXT(Table1_1[[#This Row],[order_date]],"mmm")</f>
        <v>May</v>
      </c>
      <c r="W1897" t="str">
        <f>"Q"&amp;ROUNDUP(MONTH(Table1_1[[#This Row],[order_date]])/3,0)</f>
        <v>Q2</v>
      </c>
      <c r="X1897" t="str">
        <f>TEXT(Table1_1[[#This Row],[order_date]],"yyyy-mm")</f>
        <v>2024-05</v>
      </c>
      <c r="Y1897">
        <f>IF(Table1_1[[#This Row],[ship_date]]="","",Table1_1[[#This Row],[ship_date]]-Table1_1[[#This Row],[order_date]])</f>
        <v>8</v>
      </c>
      <c r="Z1897">
        <f>ROUND(Table1_1[[#This Row],[profit]]/Table1_1[[#This Row],[sales_fix]]*100,2)</f>
        <v>27.03</v>
      </c>
    </row>
    <row r="1898" spans="1:26" x14ac:dyDescent="0.3">
      <c r="A1898" t="s">
        <v>590</v>
      </c>
      <c r="B1898" s="1">
        <v>45408</v>
      </c>
      <c r="C1898" s="1">
        <v>45409</v>
      </c>
      <c r="D1898" t="s">
        <v>592</v>
      </c>
      <c r="E1898" t="s">
        <v>593</v>
      </c>
      <c r="F1898" t="s">
        <v>55</v>
      </c>
      <c r="G1898" t="s">
        <v>35</v>
      </c>
      <c r="H1898" t="s">
        <v>258</v>
      </c>
      <c r="I1898" t="s">
        <v>37</v>
      </c>
      <c r="J1898" t="s">
        <v>38</v>
      </c>
      <c r="K1898" t="s">
        <v>27</v>
      </c>
      <c r="L1898">
        <v>1</v>
      </c>
      <c r="M1898">
        <v>9500</v>
      </c>
      <c r="N1898">
        <v>0</v>
      </c>
      <c r="O1898">
        <v>9500</v>
      </c>
      <c r="P1898">
        <v>1651.09</v>
      </c>
      <c r="Q1898" t="s">
        <v>121</v>
      </c>
      <c r="R1898" t="s">
        <v>56</v>
      </c>
      <c r="S1898" t="s">
        <v>40</v>
      </c>
      <c r="T1898">
        <f>YEAR(Table1_1[[#This Row],[order_date]])</f>
        <v>2024</v>
      </c>
      <c r="U1898">
        <f>MONTH(Table1_1[[#This Row],[order_date]])</f>
        <v>4</v>
      </c>
      <c r="V1898" t="str">
        <f>TEXT(Table1_1[[#This Row],[order_date]],"mmm")</f>
        <v>Apr</v>
      </c>
      <c r="W1898" t="str">
        <f>"Q"&amp;ROUNDUP(MONTH(Table1_1[[#This Row],[order_date]])/3,0)</f>
        <v>Q2</v>
      </c>
      <c r="X1898" t="str">
        <f>TEXT(Table1_1[[#This Row],[order_date]],"yyyy-mm")</f>
        <v>2024-04</v>
      </c>
      <c r="Y1898">
        <f>IF(Table1_1[[#This Row],[ship_date]]="","",Table1_1[[#This Row],[ship_date]]-Table1_1[[#This Row],[order_date]])</f>
        <v>1</v>
      </c>
      <c r="Z1898">
        <f>ROUND(Table1_1[[#This Row],[profit]]/Table1_1[[#This Row],[sales_fix]]*100,2)</f>
        <v>17.38</v>
      </c>
    </row>
    <row r="1899" spans="1:26" x14ac:dyDescent="0.3">
      <c r="A1899" t="s">
        <v>783</v>
      </c>
      <c r="B1899" s="1">
        <v>45504</v>
      </c>
      <c r="C1899" s="1">
        <v>45507</v>
      </c>
      <c r="D1899" t="s">
        <v>784</v>
      </c>
      <c r="E1899" t="s">
        <v>785</v>
      </c>
      <c r="F1899" t="s">
        <v>23</v>
      </c>
      <c r="G1899" t="s">
        <v>91</v>
      </c>
      <c r="H1899" t="s">
        <v>92</v>
      </c>
      <c r="I1899" t="s">
        <v>134</v>
      </c>
      <c r="J1899" t="s">
        <v>135</v>
      </c>
      <c r="K1899" t="s">
        <v>27</v>
      </c>
      <c r="L1899">
        <v>2</v>
      </c>
      <c r="M1899">
        <v>6000</v>
      </c>
      <c r="N1899">
        <v>0</v>
      </c>
      <c r="O1899">
        <v>12000</v>
      </c>
      <c r="P1899">
        <v>2489.23</v>
      </c>
      <c r="Q1899" t="s">
        <v>66</v>
      </c>
      <c r="R1899" t="s">
        <v>56</v>
      </c>
      <c r="S1899" t="s">
        <v>40</v>
      </c>
      <c r="T1899">
        <f>YEAR(Table1_1[[#This Row],[order_date]])</f>
        <v>2024</v>
      </c>
      <c r="U1899">
        <f>MONTH(Table1_1[[#This Row],[order_date]])</f>
        <v>7</v>
      </c>
      <c r="V1899" t="str">
        <f>TEXT(Table1_1[[#This Row],[order_date]],"mmm")</f>
        <v>Jul</v>
      </c>
      <c r="W1899" t="str">
        <f>"Q"&amp;ROUNDUP(MONTH(Table1_1[[#This Row],[order_date]])/3,0)</f>
        <v>Q3</v>
      </c>
      <c r="X1899" t="str">
        <f>TEXT(Table1_1[[#This Row],[order_date]],"yyyy-mm")</f>
        <v>2024-07</v>
      </c>
      <c r="Y1899">
        <f>IF(Table1_1[[#This Row],[ship_date]]="","",Table1_1[[#This Row],[ship_date]]-Table1_1[[#This Row],[order_date]])</f>
        <v>3</v>
      </c>
      <c r="Z1899">
        <f>ROUND(Table1_1[[#This Row],[profit]]/Table1_1[[#This Row],[sales_fix]]*100,2)</f>
        <v>20.74</v>
      </c>
    </row>
    <row r="1900" spans="1:26" x14ac:dyDescent="0.3">
      <c r="A1900" t="s">
        <v>3034</v>
      </c>
      <c r="B1900" s="1">
        <v>45673</v>
      </c>
      <c r="C1900" s="1">
        <v>45674</v>
      </c>
      <c r="D1900" t="s">
        <v>808</v>
      </c>
      <c r="E1900" t="s">
        <v>809</v>
      </c>
      <c r="F1900" t="s">
        <v>55</v>
      </c>
      <c r="G1900" t="s">
        <v>35</v>
      </c>
      <c r="H1900" t="s">
        <v>258</v>
      </c>
      <c r="I1900" t="s">
        <v>37</v>
      </c>
      <c r="J1900" t="s">
        <v>38</v>
      </c>
      <c r="K1900" t="s">
        <v>27</v>
      </c>
      <c r="L1900">
        <v>2</v>
      </c>
      <c r="M1900">
        <v>9500</v>
      </c>
      <c r="N1900">
        <v>5</v>
      </c>
      <c r="O1900">
        <v>18050</v>
      </c>
      <c r="P1900">
        <v>3228.07</v>
      </c>
      <c r="Q1900" t="s">
        <v>66</v>
      </c>
      <c r="R1900" t="s">
        <v>56</v>
      </c>
      <c r="S1900" t="s">
        <v>40</v>
      </c>
      <c r="T1900">
        <f>YEAR(Table1_1[[#This Row],[order_date]])</f>
        <v>2025</v>
      </c>
      <c r="U1900">
        <f>MONTH(Table1_1[[#This Row],[order_date]])</f>
        <v>1</v>
      </c>
      <c r="V1900" t="str">
        <f>TEXT(Table1_1[[#This Row],[order_date]],"mmm")</f>
        <v>Jan</v>
      </c>
      <c r="W1900" t="str">
        <f>"Q"&amp;ROUNDUP(MONTH(Table1_1[[#This Row],[order_date]])/3,0)</f>
        <v>Q1</v>
      </c>
      <c r="X1900" t="str">
        <f>TEXT(Table1_1[[#This Row],[order_date]],"yyyy-mm")</f>
        <v>2025-01</v>
      </c>
      <c r="Y1900">
        <f>IF(Table1_1[[#This Row],[ship_date]]="","",Table1_1[[#This Row],[ship_date]]-Table1_1[[#This Row],[order_date]])</f>
        <v>1</v>
      </c>
      <c r="Z1900">
        <f>ROUND(Table1_1[[#This Row],[profit]]/Table1_1[[#This Row],[sales_fix]]*100,2)</f>
        <v>17.88</v>
      </c>
    </row>
    <row r="1901" spans="1:26" x14ac:dyDescent="0.3">
      <c r="A1901" t="s">
        <v>2045</v>
      </c>
      <c r="B1901" s="1">
        <v>45597</v>
      </c>
      <c r="C1901" s="1">
        <v>45604</v>
      </c>
      <c r="D1901" t="s">
        <v>223</v>
      </c>
      <c r="E1901" t="s">
        <v>224</v>
      </c>
      <c r="F1901" t="s">
        <v>34</v>
      </c>
      <c r="G1901" t="s">
        <v>35</v>
      </c>
      <c r="H1901" t="s">
        <v>85</v>
      </c>
      <c r="I1901" t="s">
        <v>79</v>
      </c>
      <c r="J1901" t="s">
        <v>80</v>
      </c>
      <c r="K1901" t="s">
        <v>65</v>
      </c>
      <c r="L1901">
        <v>2</v>
      </c>
      <c r="M1901">
        <v>3000</v>
      </c>
      <c r="N1901">
        <v>0</v>
      </c>
      <c r="O1901">
        <v>6000</v>
      </c>
      <c r="P1901">
        <v>1293.81</v>
      </c>
      <c r="Q1901" t="s">
        <v>28</v>
      </c>
      <c r="R1901" t="s">
        <v>56</v>
      </c>
      <c r="S1901" t="s">
        <v>110</v>
      </c>
      <c r="T1901">
        <f>YEAR(Table1_1[[#This Row],[order_date]])</f>
        <v>2024</v>
      </c>
      <c r="U1901">
        <f>MONTH(Table1_1[[#This Row],[order_date]])</f>
        <v>11</v>
      </c>
      <c r="V1901" t="str">
        <f>TEXT(Table1_1[[#This Row],[order_date]],"mmm")</f>
        <v>Nov</v>
      </c>
      <c r="W1901" t="str">
        <f>"Q"&amp;ROUNDUP(MONTH(Table1_1[[#This Row],[order_date]])/3,0)</f>
        <v>Q4</v>
      </c>
      <c r="X1901" t="str">
        <f>TEXT(Table1_1[[#This Row],[order_date]],"yyyy-mm")</f>
        <v>2024-11</v>
      </c>
      <c r="Y1901">
        <f>IF(Table1_1[[#This Row],[ship_date]]="","",Table1_1[[#This Row],[ship_date]]-Table1_1[[#This Row],[order_date]])</f>
        <v>7</v>
      </c>
      <c r="Z1901">
        <f>ROUND(Table1_1[[#This Row],[profit]]/Table1_1[[#This Row],[sales_fix]]*100,2)</f>
        <v>21.56</v>
      </c>
    </row>
    <row r="1902" spans="1:26" x14ac:dyDescent="0.3">
      <c r="A1902" t="s">
        <v>306</v>
      </c>
      <c r="B1902" s="1">
        <v>45737</v>
      </c>
      <c r="C1902" s="1"/>
      <c r="D1902" t="s">
        <v>217</v>
      </c>
      <c r="E1902" t="s">
        <v>218</v>
      </c>
      <c r="F1902" t="s">
        <v>23</v>
      </c>
      <c r="G1902" t="s">
        <v>91</v>
      </c>
      <c r="H1902" t="s">
        <v>109</v>
      </c>
      <c r="I1902" t="s">
        <v>93</v>
      </c>
      <c r="J1902" t="s">
        <v>94</v>
      </c>
      <c r="K1902" t="s">
        <v>95</v>
      </c>
      <c r="L1902">
        <v>2</v>
      </c>
      <c r="M1902">
        <v>1800</v>
      </c>
      <c r="N1902">
        <v>5</v>
      </c>
      <c r="O1902">
        <v>3420</v>
      </c>
      <c r="P1902">
        <v>861.84</v>
      </c>
      <c r="Q1902" t="s">
        <v>74</v>
      </c>
      <c r="R1902" t="s">
        <v>29</v>
      </c>
      <c r="S1902" t="s">
        <v>86</v>
      </c>
      <c r="T1902">
        <f>YEAR(Table1_1[[#This Row],[order_date]])</f>
        <v>2025</v>
      </c>
      <c r="U1902">
        <f>MONTH(Table1_1[[#This Row],[order_date]])</f>
        <v>3</v>
      </c>
      <c r="V1902" t="str">
        <f>TEXT(Table1_1[[#This Row],[order_date]],"mmm")</f>
        <v>Mar</v>
      </c>
      <c r="W1902" t="str">
        <f>"Q"&amp;ROUNDUP(MONTH(Table1_1[[#This Row],[order_date]])/3,0)</f>
        <v>Q1</v>
      </c>
      <c r="X1902" t="str">
        <f>TEXT(Table1_1[[#This Row],[order_date]],"yyyy-mm")</f>
        <v>2025-03</v>
      </c>
      <c r="Y1902" t="str">
        <f>IF(Table1_1[[#This Row],[ship_date]]="","",Table1_1[[#This Row],[ship_date]]-Table1_1[[#This Row],[order_date]])</f>
        <v/>
      </c>
      <c r="Z1902">
        <f>ROUND(Table1_1[[#This Row],[profit]]/Table1_1[[#This Row],[sales_fix]]*100,2)</f>
        <v>25.2</v>
      </c>
    </row>
    <row r="1903" spans="1:26" x14ac:dyDescent="0.3">
      <c r="A1903" t="s">
        <v>2531</v>
      </c>
      <c r="B1903" s="1">
        <v>45725</v>
      </c>
      <c r="C1903" s="1">
        <v>45731</v>
      </c>
      <c r="D1903" t="s">
        <v>830</v>
      </c>
      <c r="E1903" t="s">
        <v>831</v>
      </c>
      <c r="F1903" t="s">
        <v>23</v>
      </c>
      <c r="G1903" t="s">
        <v>61</v>
      </c>
      <c r="H1903" t="s">
        <v>125</v>
      </c>
      <c r="I1903" t="s">
        <v>37</v>
      </c>
      <c r="J1903" t="s">
        <v>38</v>
      </c>
      <c r="K1903" t="s">
        <v>27</v>
      </c>
      <c r="L1903">
        <v>4</v>
      </c>
      <c r="M1903">
        <v>9500</v>
      </c>
      <c r="N1903">
        <v>5</v>
      </c>
      <c r="O1903">
        <v>36100</v>
      </c>
      <c r="P1903">
        <v>7238.1</v>
      </c>
      <c r="Q1903" t="s">
        <v>39</v>
      </c>
      <c r="R1903" t="s">
        <v>29</v>
      </c>
      <c r="S1903" t="s">
        <v>40</v>
      </c>
      <c r="T1903">
        <f>YEAR(Table1_1[[#This Row],[order_date]])</f>
        <v>2025</v>
      </c>
      <c r="U1903">
        <f>MONTH(Table1_1[[#This Row],[order_date]])</f>
        <v>3</v>
      </c>
      <c r="V1903" t="str">
        <f>TEXT(Table1_1[[#This Row],[order_date]],"mmm")</f>
        <v>Mar</v>
      </c>
      <c r="W1903" t="str">
        <f>"Q"&amp;ROUNDUP(MONTH(Table1_1[[#This Row],[order_date]])/3,0)</f>
        <v>Q1</v>
      </c>
      <c r="X1903" t="str">
        <f>TEXT(Table1_1[[#This Row],[order_date]],"yyyy-mm")</f>
        <v>2025-03</v>
      </c>
      <c r="Y1903">
        <f>IF(Table1_1[[#This Row],[ship_date]]="","",Table1_1[[#This Row],[ship_date]]-Table1_1[[#This Row],[order_date]])</f>
        <v>6</v>
      </c>
      <c r="Z1903">
        <f>ROUND(Table1_1[[#This Row],[profit]]/Table1_1[[#This Row],[sales_fix]]*100,2)</f>
        <v>20.05</v>
      </c>
    </row>
    <row r="1904" spans="1:26" x14ac:dyDescent="0.3">
      <c r="A1904" t="s">
        <v>2755</v>
      </c>
      <c r="B1904" s="1">
        <v>45618</v>
      </c>
      <c r="C1904" s="1">
        <v>45619</v>
      </c>
      <c r="D1904" t="s">
        <v>192</v>
      </c>
      <c r="E1904" t="s">
        <v>193</v>
      </c>
      <c r="F1904" t="s">
        <v>55</v>
      </c>
      <c r="G1904" t="s">
        <v>35</v>
      </c>
      <c r="H1904" t="s">
        <v>36</v>
      </c>
      <c r="I1904" t="s">
        <v>25</v>
      </c>
      <c r="J1904" t="s">
        <v>26</v>
      </c>
      <c r="K1904" t="s">
        <v>27</v>
      </c>
      <c r="L1904">
        <v>1</v>
      </c>
      <c r="M1904">
        <v>7000</v>
      </c>
      <c r="N1904">
        <v>10</v>
      </c>
      <c r="O1904">
        <v>6300</v>
      </c>
      <c r="P1904">
        <v>1416.64</v>
      </c>
      <c r="Q1904" t="s">
        <v>28</v>
      </c>
      <c r="R1904" t="s">
        <v>29</v>
      </c>
      <c r="S1904" t="s">
        <v>50</v>
      </c>
      <c r="T1904">
        <f>YEAR(Table1_1[[#This Row],[order_date]])</f>
        <v>2024</v>
      </c>
      <c r="U1904">
        <f>MONTH(Table1_1[[#This Row],[order_date]])</f>
        <v>11</v>
      </c>
      <c r="V1904" t="str">
        <f>TEXT(Table1_1[[#This Row],[order_date]],"mmm")</f>
        <v>Nov</v>
      </c>
      <c r="W1904" t="str">
        <f>"Q"&amp;ROUNDUP(MONTH(Table1_1[[#This Row],[order_date]])/3,0)</f>
        <v>Q4</v>
      </c>
      <c r="X1904" t="str">
        <f>TEXT(Table1_1[[#This Row],[order_date]],"yyyy-mm")</f>
        <v>2024-11</v>
      </c>
      <c r="Y1904">
        <f>IF(Table1_1[[#This Row],[ship_date]]="","",Table1_1[[#This Row],[ship_date]]-Table1_1[[#This Row],[order_date]])</f>
        <v>1</v>
      </c>
      <c r="Z1904">
        <f>ROUND(Table1_1[[#This Row],[profit]]/Table1_1[[#This Row],[sales_fix]]*100,2)</f>
        <v>22.49</v>
      </c>
    </row>
    <row r="1905" spans="1:26" x14ac:dyDescent="0.3">
      <c r="A1905" t="s">
        <v>277</v>
      </c>
      <c r="B1905" s="1">
        <v>45706</v>
      </c>
      <c r="C1905" s="1">
        <v>45709</v>
      </c>
      <c r="D1905" t="s">
        <v>278</v>
      </c>
      <c r="E1905" t="s">
        <v>279</v>
      </c>
      <c r="F1905" t="s">
        <v>23</v>
      </c>
      <c r="G1905" t="s">
        <v>91</v>
      </c>
      <c r="H1905" t="s">
        <v>177</v>
      </c>
      <c r="I1905" t="s">
        <v>25</v>
      </c>
      <c r="J1905" t="s">
        <v>26</v>
      </c>
      <c r="K1905" t="s">
        <v>27</v>
      </c>
      <c r="L1905">
        <v>4</v>
      </c>
      <c r="M1905">
        <v>7000</v>
      </c>
      <c r="N1905">
        <v>20</v>
      </c>
      <c r="O1905">
        <v>22400</v>
      </c>
      <c r="P1905">
        <v>3707.45</v>
      </c>
      <c r="Q1905" t="s">
        <v>28</v>
      </c>
      <c r="R1905" t="s">
        <v>49</v>
      </c>
      <c r="S1905" t="s">
        <v>110</v>
      </c>
      <c r="T1905">
        <f>YEAR(Table1_1[[#This Row],[order_date]])</f>
        <v>2025</v>
      </c>
      <c r="U1905">
        <f>MONTH(Table1_1[[#This Row],[order_date]])</f>
        <v>2</v>
      </c>
      <c r="V1905" t="str">
        <f>TEXT(Table1_1[[#This Row],[order_date]],"mmm")</f>
        <v>Feb</v>
      </c>
      <c r="W1905" t="str">
        <f>"Q"&amp;ROUNDUP(MONTH(Table1_1[[#This Row],[order_date]])/3,0)</f>
        <v>Q1</v>
      </c>
      <c r="X1905" t="str">
        <f>TEXT(Table1_1[[#This Row],[order_date]],"yyyy-mm")</f>
        <v>2025-02</v>
      </c>
      <c r="Y1905">
        <f>IF(Table1_1[[#This Row],[ship_date]]="","",Table1_1[[#This Row],[ship_date]]-Table1_1[[#This Row],[order_date]])</f>
        <v>3</v>
      </c>
      <c r="Z1905">
        <f>ROUND(Table1_1[[#This Row],[profit]]/Table1_1[[#This Row],[sales_fix]]*100,2)</f>
        <v>16.55</v>
      </c>
    </row>
    <row r="1906" spans="1:26" x14ac:dyDescent="0.3">
      <c r="A1906" t="s">
        <v>3089</v>
      </c>
      <c r="B1906" s="1">
        <v>45698</v>
      </c>
      <c r="C1906" s="1">
        <v>45702</v>
      </c>
      <c r="D1906" t="s">
        <v>1009</v>
      </c>
      <c r="E1906" t="s">
        <v>1010</v>
      </c>
      <c r="F1906" t="s">
        <v>23</v>
      </c>
      <c r="G1906" t="s">
        <v>61</v>
      </c>
      <c r="H1906" t="s">
        <v>62</v>
      </c>
      <c r="I1906" t="s">
        <v>63</v>
      </c>
      <c r="J1906" t="s">
        <v>64</v>
      </c>
      <c r="K1906" t="s">
        <v>65</v>
      </c>
      <c r="L1906">
        <v>2</v>
      </c>
      <c r="M1906">
        <v>25000</v>
      </c>
      <c r="N1906">
        <v>10</v>
      </c>
      <c r="O1906">
        <v>45000</v>
      </c>
      <c r="P1906">
        <v>6367.25</v>
      </c>
      <c r="Q1906" t="s">
        <v>66</v>
      </c>
      <c r="R1906" t="s">
        <v>29</v>
      </c>
      <c r="S1906" t="s">
        <v>30</v>
      </c>
      <c r="T1906">
        <f>YEAR(Table1_1[[#This Row],[order_date]])</f>
        <v>2025</v>
      </c>
      <c r="U1906">
        <f>MONTH(Table1_1[[#This Row],[order_date]])</f>
        <v>2</v>
      </c>
      <c r="V1906" t="str">
        <f>TEXT(Table1_1[[#This Row],[order_date]],"mmm")</f>
        <v>Feb</v>
      </c>
      <c r="W1906" t="str">
        <f>"Q"&amp;ROUNDUP(MONTH(Table1_1[[#This Row],[order_date]])/3,0)</f>
        <v>Q1</v>
      </c>
      <c r="X1906" t="str">
        <f>TEXT(Table1_1[[#This Row],[order_date]],"yyyy-mm")</f>
        <v>2025-02</v>
      </c>
      <c r="Y1906">
        <f>IF(Table1_1[[#This Row],[ship_date]]="","",Table1_1[[#This Row],[ship_date]]-Table1_1[[#This Row],[order_date]])</f>
        <v>4</v>
      </c>
      <c r="Z1906">
        <f>ROUND(Table1_1[[#This Row],[profit]]/Table1_1[[#This Row],[sales_fix]]*100,2)</f>
        <v>14.15</v>
      </c>
    </row>
    <row r="1907" spans="1:26" x14ac:dyDescent="0.3">
      <c r="A1907" t="s">
        <v>1244</v>
      </c>
      <c r="B1907" s="1">
        <v>45413</v>
      </c>
      <c r="C1907" s="1">
        <v>45421</v>
      </c>
      <c r="D1907" t="s">
        <v>761</v>
      </c>
      <c r="E1907" t="s">
        <v>762</v>
      </c>
      <c r="F1907" t="s">
        <v>23</v>
      </c>
      <c r="G1907" t="s">
        <v>44</v>
      </c>
      <c r="H1907" t="s">
        <v>330</v>
      </c>
      <c r="I1907" t="s">
        <v>79</v>
      </c>
      <c r="J1907" t="s">
        <v>80</v>
      </c>
      <c r="K1907" t="s">
        <v>65</v>
      </c>
      <c r="L1907">
        <v>1</v>
      </c>
      <c r="M1907">
        <v>3000</v>
      </c>
      <c r="N1907">
        <v>0</v>
      </c>
      <c r="O1907">
        <v>3000</v>
      </c>
      <c r="P1907">
        <v>695.18</v>
      </c>
      <c r="Q1907" t="s">
        <v>28</v>
      </c>
      <c r="R1907" t="s">
        <v>49</v>
      </c>
      <c r="S1907" t="s">
        <v>30</v>
      </c>
      <c r="T1907">
        <f>YEAR(Table1_1[[#This Row],[order_date]])</f>
        <v>2024</v>
      </c>
      <c r="U1907">
        <f>MONTH(Table1_1[[#This Row],[order_date]])</f>
        <v>5</v>
      </c>
      <c r="V1907" t="str">
        <f>TEXT(Table1_1[[#This Row],[order_date]],"mmm")</f>
        <v>May</v>
      </c>
      <c r="W1907" t="str">
        <f>"Q"&amp;ROUNDUP(MONTH(Table1_1[[#This Row],[order_date]])/3,0)</f>
        <v>Q2</v>
      </c>
      <c r="X1907" t="str">
        <f>TEXT(Table1_1[[#This Row],[order_date]],"yyyy-mm")</f>
        <v>2024-05</v>
      </c>
      <c r="Y1907">
        <f>IF(Table1_1[[#This Row],[ship_date]]="","",Table1_1[[#This Row],[ship_date]]-Table1_1[[#This Row],[order_date]])</f>
        <v>8</v>
      </c>
      <c r="Z1907">
        <f>ROUND(Table1_1[[#This Row],[profit]]/Table1_1[[#This Row],[sales_fix]]*100,2)</f>
        <v>23.17</v>
      </c>
    </row>
    <row r="1908" spans="1:26" x14ac:dyDescent="0.3">
      <c r="A1908" t="s">
        <v>2115</v>
      </c>
      <c r="B1908" s="1">
        <v>45429</v>
      </c>
      <c r="C1908" s="1">
        <v>45430</v>
      </c>
      <c r="D1908" t="s">
        <v>830</v>
      </c>
      <c r="E1908" t="s">
        <v>831</v>
      </c>
      <c r="F1908" t="s">
        <v>23</v>
      </c>
      <c r="G1908" t="s">
        <v>61</v>
      </c>
      <c r="H1908" t="s">
        <v>125</v>
      </c>
      <c r="I1908" t="s">
        <v>134</v>
      </c>
      <c r="J1908" t="s">
        <v>135</v>
      </c>
      <c r="K1908" t="s">
        <v>27</v>
      </c>
      <c r="L1908">
        <v>3</v>
      </c>
      <c r="M1908">
        <v>6000</v>
      </c>
      <c r="N1908">
        <v>10</v>
      </c>
      <c r="O1908">
        <v>16200</v>
      </c>
      <c r="P1908">
        <v>2826.32</v>
      </c>
      <c r="Q1908" t="s">
        <v>66</v>
      </c>
      <c r="R1908" t="s">
        <v>29</v>
      </c>
      <c r="S1908" t="s">
        <v>50</v>
      </c>
      <c r="T1908">
        <f>YEAR(Table1_1[[#This Row],[order_date]])</f>
        <v>2024</v>
      </c>
      <c r="U1908">
        <f>MONTH(Table1_1[[#This Row],[order_date]])</f>
        <v>5</v>
      </c>
      <c r="V1908" t="str">
        <f>TEXT(Table1_1[[#This Row],[order_date]],"mmm")</f>
        <v>May</v>
      </c>
      <c r="W1908" t="str">
        <f>"Q"&amp;ROUNDUP(MONTH(Table1_1[[#This Row],[order_date]])/3,0)</f>
        <v>Q2</v>
      </c>
      <c r="X1908" t="str">
        <f>TEXT(Table1_1[[#This Row],[order_date]],"yyyy-mm")</f>
        <v>2024-05</v>
      </c>
      <c r="Y1908">
        <f>IF(Table1_1[[#This Row],[ship_date]]="","",Table1_1[[#This Row],[ship_date]]-Table1_1[[#This Row],[order_date]])</f>
        <v>1</v>
      </c>
      <c r="Z1908">
        <f>ROUND(Table1_1[[#This Row],[profit]]/Table1_1[[#This Row],[sales_fix]]*100,2)</f>
        <v>17.45</v>
      </c>
    </row>
    <row r="1909" spans="1:26" x14ac:dyDescent="0.3">
      <c r="A1909" t="s">
        <v>2371</v>
      </c>
      <c r="B1909" s="1">
        <v>45394</v>
      </c>
      <c r="C1909" s="1">
        <v>45399</v>
      </c>
      <c r="D1909" t="s">
        <v>1019</v>
      </c>
      <c r="E1909" t="s">
        <v>1020</v>
      </c>
      <c r="F1909" t="s">
        <v>55</v>
      </c>
      <c r="G1909" t="s">
        <v>35</v>
      </c>
      <c r="H1909" t="s">
        <v>187</v>
      </c>
      <c r="I1909" t="s">
        <v>71</v>
      </c>
      <c r="J1909" t="s">
        <v>72</v>
      </c>
      <c r="K1909" t="s">
        <v>73</v>
      </c>
      <c r="L1909">
        <v>1</v>
      </c>
      <c r="M1909">
        <v>3500</v>
      </c>
      <c r="N1909">
        <v>20</v>
      </c>
      <c r="O1909">
        <v>2800</v>
      </c>
      <c r="P1909">
        <v>807.6</v>
      </c>
      <c r="Q1909" t="s">
        <v>39</v>
      </c>
      <c r="R1909" t="s">
        <v>56</v>
      </c>
      <c r="S1909" t="s">
        <v>30</v>
      </c>
      <c r="T1909">
        <f>YEAR(Table1_1[[#This Row],[order_date]])</f>
        <v>2024</v>
      </c>
      <c r="U1909">
        <f>MONTH(Table1_1[[#This Row],[order_date]])</f>
        <v>4</v>
      </c>
      <c r="V1909" t="str">
        <f>TEXT(Table1_1[[#This Row],[order_date]],"mmm")</f>
        <v>Apr</v>
      </c>
      <c r="W1909" t="str">
        <f>"Q"&amp;ROUNDUP(MONTH(Table1_1[[#This Row],[order_date]])/3,0)</f>
        <v>Q2</v>
      </c>
      <c r="X1909" t="str">
        <f>TEXT(Table1_1[[#This Row],[order_date]],"yyyy-mm")</f>
        <v>2024-04</v>
      </c>
      <c r="Y1909">
        <f>IF(Table1_1[[#This Row],[ship_date]]="","",Table1_1[[#This Row],[ship_date]]-Table1_1[[#This Row],[order_date]])</f>
        <v>5</v>
      </c>
      <c r="Z1909">
        <f>ROUND(Table1_1[[#This Row],[profit]]/Table1_1[[#This Row],[sales_fix]]*100,2)</f>
        <v>28.84</v>
      </c>
    </row>
    <row r="1910" spans="1:26" x14ac:dyDescent="0.3">
      <c r="A1910" t="s">
        <v>1870</v>
      </c>
      <c r="B1910" s="1">
        <v>45841</v>
      </c>
      <c r="C1910" s="1">
        <v>45848</v>
      </c>
      <c r="D1910" t="s">
        <v>392</v>
      </c>
      <c r="E1910" t="s">
        <v>393</v>
      </c>
      <c r="F1910" t="s">
        <v>55</v>
      </c>
      <c r="G1910" t="s">
        <v>91</v>
      </c>
      <c r="H1910" t="s">
        <v>92</v>
      </c>
      <c r="I1910" t="s">
        <v>114</v>
      </c>
      <c r="J1910" t="s">
        <v>115</v>
      </c>
      <c r="K1910" t="s">
        <v>65</v>
      </c>
      <c r="L1910">
        <v>1</v>
      </c>
      <c r="M1910">
        <v>55000</v>
      </c>
      <c r="N1910">
        <v>5</v>
      </c>
      <c r="O1910">
        <v>52250</v>
      </c>
      <c r="P1910">
        <v>8798.6</v>
      </c>
      <c r="Q1910" t="s">
        <v>28</v>
      </c>
      <c r="R1910" t="s">
        <v>56</v>
      </c>
      <c r="S1910" t="s">
        <v>30</v>
      </c>
      <c r="T1910">
        <f>YEAR(Table1_1[[#This Row],[order_date]])</f>
        <v>2025</v>
      </c>
      <c r="U1910">
        <f>MONTH(Table1_1[[#This Row],[order_date]])</f>
        <v>7</v>
      </c>
      <c r="V1910" t="str">
        <f>TEXT(Table1_1[[#This Row],[order_date]],"mmm")</f>
        <v>Jul</v>
      </c>
      <c r="W1910" t="str">
        <f>"Q"&amp;ROUNDUP(MONTH(Table1_1[[#This Row],[order_date]])/3,0)</f>
        <v>Q3</v>
      </c>
      <c r="X1910" t="str">
        <f>TEXT(Table1_1[[#This Row],[order_date]],"yyyy-mm")</f>
        <v>2025-07</v>
      </c>
      <c r="Y1910">
        <f>IF(Table1_1[[#This Row],[ship_date]]="","",Table1_1[[#This Row],[ship_date]]-Table1_1[[#This Row],[order_date]])</f>
        <v>7</v>
      </c>
      <c r="Z1910">
        <f>ROUND(Table1_1[[#This Row],[profit]]/Table1_1[[#This Row],[sales_fix]]*100,2)</f>
        <v>16.84</v>
      </c>
    </row>
    <row r="1911" spans="1:26" x14ac:dyDescent="0.3">
      <c r="A1911" t="s">
        <v>1773</v>
      </c>
      <c r="B1911" s="1">
        <v>45492</v>
      </c>
      <c r="C1911" s="1">
        <v>45498</v>
      </c>
      <c r="D1911" t="s">
        <v>42</v>
      </c>
      <c r="E1911" t="s">
        <v>43</v>
      </c>
      <c r="F1911" t="s">
        <v>23</v>
      </c>
      <c r="G1911" t="s">
        <v>44</v>
      </c>
      <c r="H1911" t="s">
        <v>45</v>
      </c>
      <c r="I1911" t="s">
        <v>79</v>
      </c>
      <c r="J1911" t="s">
        <v>80</v>
      </c>
      <c r="K1911" t="s">
        <v>65</v>
      </c>
      <c r="L1911">
        <v>4</v>
      </c>
      <c r="M1911">
        <v>3000</v>
      </c>
      <c r="N1911">
        <v>0</v>
      </c>
      <c r="O1911">
        <v>12000</v>
      </c>
      <c r="P1911">
        <v>3352.09</v>
      </c>
      <c r="Q1911" t="s">
        <v>28</v>
      </c>
      <c r="R1911" t="s">
        <v>29</v>
      </c>
      <c r="S1911" t="s">
        <v>110</v>
      </c>
      <c r="T1911">
        <f>YEAR(Table1_1[[#This Row],[order_date]])</f>
        <v>2024</v>
      </c>
      <c r="U1911">
        <f>MONTH(Table1_1[[#This Row],[order_date]])</f>
        <v>7</v>
      </c>
      <c r="V1911" t="str">
        <f>TEXT(Table1_1[[#This Row],[order_date]],"mmm")</f>
        <v>Jul</v>
      </c>
      <c r="W1911" t="str">
        <f>"Q"&amp;ROUNDUP(MONTH(Table1_1[[#This Row],[order_date]])/3,0)</f>
        <v>Q3</v>
      </c>
      <c r="X1911" t="str">
        <f>TEXT(Table1_1[[#This Row],[order_date]],"yyyy-mm")</f>
        <v>2024-07</v>
      </c>
      <c r="Y1911">
        <f>IF(Table1_1[[#This Row],[ship_date]]="","",Table1_1[[#This Row],[ship_date]]-Table1_1[[#This Row],[order_date]])</f>
        <v>6</v>
      </c>
      <c r="Z1911">
        <f>ROUND(Table1_1[[#This Row],[profit]]/Table1_1[[#This Row],[sales_fix]]*100,2)</f>
        <v>27.93</v>
      </c>
    </row>
    <row r="1912" spans="1:26" x14ac:dyDescent="0.3">
      <c r="A1912" t="s">
        <v>2493</v>
      </c>
      <c r="B1912" s="1">
        <v>45710</v>
      </c>
      <c r="C1912" s="1">
        <v>45717</v>
      </c>
      <c r="D1912" t="s">
        <v>965</v>
      </c>
      <c r="E1912" t="s">
        <v>966</v>
      </c>
      <c r="F1912" t="s">
        <v>34</v>
      </c>
      <c r="G1912" t="s">
        <v>44</v>
      </c>
      <c r="H1912" t="s">
        <v>45</v>
      </c>
      <c r="I1912" t="s">
        <v>79</v>
      </c>
      <c r="J1912" t="s">
        <v>80</v>
      </c>
      <c r="K1912" t="s">
        <v>65</v>
      </c>
      <c r="L1912">
        <v>3</v>
      </c>
      <c r="M1912">
        <v>3000</v>
      </c>
      <c r="N1912">
        <v>20</v>
      </c>
      <c r="O1912">
        <v>7200</v>
      </c>
      <c r="P1912">
        <v>1653.79</v>
      </c>
      <c r="Q1912" t="s">
        <v>66</v>
      </c>
      <c r="R1912" t="s">
        <v>29</v>
      </c>
      <c r="S1912" t="s">
        <v>86</v>
      </c>
      <c r="T1912">
        <f>YEAR(Table1_1[[#This Row],[order_date]])</f>
        <v>2025</v>
      </c>
      <c r="U1912">
        <f>MONTH(Table1_1[[#This Row],[order_date]])</f>
        <v>2</v>
      </c>
      <c r="V1912" t="str">
        <f>TEXT(Table1_1[[#This Row],[order_date]],"mmm")</f>
        <v>Feb</v>
      </c>
      <c r="W1912" t="str">
        <f>"Q"&amp;ROUNDUP(MONTH(Table1_1[[#This Row],[order_date]])/3,0)</f>
        <v>Q1</v>
      </c>
      <c r="X1912" t="str">
        <f>TEXT(Table1_1[[#This Row],[order_date]],"yyyy-mm")</f>
        <v>2025-02</v>
      </c>
      <c r="Y1912">
        <f>IF(Table1_1[[#This Row],[ship_date]]="","",Table1_1[[#This Row],[ship_date]]-Table1_1[[#This Row],[order_date]])</f>
        <v>7</v>
      </c>
      <c r="Z1912">
        <f>ROUND(Table1_1[[#This Row],[profit]]/Table1_1[[#This Row],[sales_fix]]*100,2)</f>
        <v>22.97</v>
      </c>
    </row>
    <row r="1913" spans="1:26" x14ac:dyDescent="0.3">
      <c r="A1913" t="s">
        <v>1131</v>
      </c>
      <c r="B1913" s="1">
        <v>45500</v>
      </c>
      <c r="C1913" s="1">
        <v>45508</v>
      </c>
      <c r="D1913" t="s">
        <v>1132</v>
      </c>
      <c r="E1913" t="s">
        <v>1133</v>
      </c>
      <c r="F1913" t="s">
        <v>34</v>
      </c>
      <c r="G1913" t="s">
        <v>91</v>
      </c>
      <c r="H1913" t="s">
        <v>177</v>
      </c>
      <c r="I1913" t="s">
        <v>114</v>
      </c>
      <c r="J1913" t="s">
        <v>115</v>
      </c>
      <c r="K1913" t="s">
        <v>65</v>
      </c>
      <c r="L1913">
        <v>2</v>
      </c>
      <c r="M1913">
        <v>55000</v>
      </c>
      <c r="N1913">
        <v>0</v>
      </c>
      <c r="O1913">
        <v>110000</v>
      </c>
      <c r="P1913">
        <v>19684.490000000002</v>
      </c>
      <c r="Q1913" t="s">
        <v>74</v>
      </c>
      <c r="R1913" t="s">
        <v>29</v>
      </c>
      <c r="S1913" t="s">
        <v>30</v>
      </c>
      <c r="T1913">
        <f>YEAR(Table1_1[[#This Row],[order_date]])</f>
        <v>2024</v>
      </c>
      <c r="U1913">
        <f>MONTH(Table1_1[[#This Row],[order_date]])</f>
        <v>7</v>
      </c>
      <c r="V1913" t="str">
        <f>TEXT(Table1_1[[#This Row],[order_date]],"mmm")</f>
        <v>Jul</v>
      </c>
      <c r="W1913" t="str">
        <f>"Q"&amp;ROUNDUP(MONTH(Table1_1[[#This Row],[order_date]])/3,0)</f>
        <v>Q3</v>
      </c>
      <c r="X1913" t="str">
        <f>TEXT(Table1_1[[#This Row],[order_date]],"yyyy-mm")</f>
        <v>2024-07</v>
      </c>
      <c r="Y1913">
        <f>IF(Table1_1[[#This Row],[ship_date]]="","",Table1_1[[#This Row],[ship_date]]-Table1_1[[#This Row],[order_date]])</f>
        <v>8</v>
      </c>
      <c r="Z1913">
        <f>ROUND(Table1_1[[#This Row],[profit]]/Table1_1[[#This Row],[sales_fix]]*100,2)</f>
        <v>17.89</v>
      </c>
    </row>
    <row r="1914" spans="1:26" x14ac:dyDescent="0.3">
      <c r="A1914" t="s">
        <v>1748</v>
      </c>
      <c r="B1914" s="1">
        <v>45894</v>
      </c>
      <c r="C1914" s="1">
        <v>45895</v>
      </c>
      <c r="D1914" t="s">
        <v>793</v>
      </c>
      <c r="E1914" t="s">
        <v>794</v>
      </c>
      <c r="F1914" t="s">
        <v>23</v>
      </c>
      <c r="G1914" t="s">
        <v>91</v>
      </c>
      <c r="H1914" t="s">
        <v>92</v>
      </c>
      <c r="I1914" t="s">
        <v>71</v>
      </c>
      <c r="J1914" t="s">
        <v>72</v>
      </c>
      <c r="K1914" t="s">
        <v>73</v>
      </c>
      <c r="L1914">
        <v>3</v>
      </c>
      <c r="M1914">
        <v>3500</v>
      </c>
      <c r="N1914">
        <v>20</v>
      </c>
      <c r="O1914">
        <v>8400</v>
      </c>
      <c r="P1914">
        <v>2690.75</v>
      </c>
      <c r="Q1914" t="s">
        <v>28</v>
      </c>
      <c r="R1914" t="s">
        <v>56</v>
      </c>
      <c r="S1914" t="s">
        <v>110</v>
      </c>
      <c r="T1914">
        <f>YEAR(Table1_1[[#This Row],[order_date]])</f>
        <v>2025</v>
      </c>
      <c r="U1914">
        <f>MONTH(Table1_1[[#This Row],[order_date]])</f>
        <v>8</v>
      </c>
      <c r="V1914" t="str">
        <f>TEXT(Table1_1[[#This Row],[order_date]],"mmm")</f>
        <v>Aug</v>
      </c>
      <c r="W1914" t="str">
        <f>"Q"&amp;ROUNDUP(MONTH(Table1_1[[#This Row],[order_date]])/3,0)</f>
        <v>Q3</v>
      </c>
      <c r="X1914" t="str">
        <f>TEXT(Table1_1[[#This Row],[order_date]],"yyyy-mm")</f>
        <v>2025-08</v>
      </c>
      <c r="Y1914">
        <f>IF(Table1_1[[#This Row],[ship_date]]="","",Table1_1[[#This Row],[ship_date]]-Table1_1[[#This Row],[order_date]])</f>
        <v>1</v>
      </c>
      <c r="Z1914">
        <f>ROUND(Table1_1[[#This Row],[profit]]/Table1_1[[#This Row],[sales_fix]]*100,2)</f>
        <v>32.03</v>
      </c>
    </row>
    <row r="1915" spans="1:26" x14ac:dyDescent="0.3">
      <c r="A1915" t="s">
        <v>1011</v>
      </c>
      <c r="B1915" s="1">
        <v>45563</v>
      </c>
      <c r="C1915" s="1">
        <v>45565</v>
      </c>
      <c r="D1915" t="s">
        <v>428</v>
      </c>
      <c r="E1915" t="s">
        <v>429</v>
      </c>
      <c r="F1915" t="s">
        <v>34</v>
      </c>
      <c r="G1915" t="s">
        <v>44</v>
      </c>
      <c r="H1915" t="s">
        <v>45</v>
      </c>
      <c r="I1915" t="s">
        <v>37</v>
      </c>
      <c r="J1915" t="s">
        <v>38</v>
      </c>
      <c r="K1915" t="s">
        <v>27</v>
      </c>
      <c r="L1915">
        <v>5</v>
      </c>
      <c r="M1915">
        <v>9500</v>
      </c>
      <c r="N1915">
        <v>0</v>
      </c>
      <c r="O1915">
        <v>47500</v>
      </c>
      <c r="P1915">
        <v>7827.1</v>
      </c>
      <c r="Q1915" t="s">
        <v>156</v>
      </c>
      <c r="R1915" t="s">
        <v>56</v>
      </c>
      <c r="S1915" t="s">
        <v>50</v>
      </c>
      <c r="T1915">
        <f>YEAR(Table1_1[[#This Row],[order_date]])</f>
        <v>2024</v>
      </c>
      <c r="U1915">
        <f>MONTH(Table1_1[[#This Row],[order_date]])</f>
        <v>9</v>
      </c>
      <c r="V1915" t="str">
        <f>TEXT(Table1_1[[#This Row],[order_date]],"mmm")</f>
        <v>Sep</v>
      </c>
      <c r="W1915" t="str">
        <f>"Q"&amp;ROUNDUP(MONTH(Table1_1[[#This Row],[order_date]])/3,0)</f>
        <v>Q3</v>
      </c>
      <c r="X1915" t="str">
        <f>TEXT(Table1_1[[#This Row],[order_date]],"yyyy-mm")</f>
        <v>2024-09</v>
      </c>
      <c r="Y1915">
        <f>IF(Table1_1[[#This Row],[ship_date]]="","",Table1_1[[#This Row],[ship_date]]-Table1_1[[#This Row],[order_date]])</f>
        <v>2</v>
      </c>
      <c r="Z1915">
        <f>ROUND(Table1_1[[#This Row],[profit]]/Table1_1[[#This Row],[sales_fix]]*100,2)</f>
        <v>16.48</v>
      </c>
    </row>
    <row r="1916" spans="1:26" x14ac:dyDescent="0.3">
      <c r="A1916" t="s">
        <v>2479</v>
      </c>
      <c r="B1916" s="1">
        <v>45551</v>
      </c>
      <c r="C1916" s="1">
        <v>45556</v>
      </c>
      <c r="D1916" t="s">
        <v>237</v>
      </c>
      <c r="E1916" t="s">
        <v>238</v>
      </c>
      <c r="F1916" t="s">
        <v>55</v>
      </c>
      <c r="G1916" t="s">
        <v>44</v>
      </c>
      <c r="H1916" t="s">
        <v>155</v>
      </c>
      <c r="I1916" t="s">
        <v>37</v>
      </c>
      <c r="J1916" t="s">
        <v>38</v>
      </c>
      <c r="K1916" t="s">
        <v>27</v>
      </c>
      <c r="L1916">
        <v>1</v>
      </c>
      <c r="M1916">
        <v>9500</v>
      </c>
      <c r="N1916">
        <v>20</v>
      </c>
      <c r="O1916">
        <v>7600</v>
      </c>
      <c r="P1916">
        <v>1659.81</v>
      </c>
      <c r="Q1916" t="s">
        <v>66</v>
      </c>
      <c r="R1916" t="s">
        <v>29</v>
      </c>
      <c r="S1916" t="s">
        <v>30</v>
      </c>
      <c r="T1916">
        <f>YEAR(Table1_1[[#This Row],[order_date]])</f>
        <v>2024</v>
      </c>
      <c r="U1916">
        <f>MONTH(Table1_1[[#This Row],[order_date]])</f>
        <v>9</v>
      </c>
      <c r="V1916" t="str">
        <f>TEXT(Table1_1[[#This Row],[order_date]],"mmm")</f>
        <v>Sep</v>
      </c>
      <c r="W1916" t="str">
        <f>"Q"&amp;ROUNDUP(MONTH(Table1_1[[#This Row],[order_date]])/3,0)</f>
        <v>Q3</v>
      </c>
      <c r="X1916" t="str">
        <f>TEXT(Table1_1[[#This Row],[order_date]],"yyyy-mm")</f>
        <v>2024-09</v>
      </c>
      <c r="Y1916">
        <f>IF(Table1_1[[#This Row],[ship_date]]="","",Table1_1[[#This Row],[ship_date]]-Table1_1[[#This Row],[order_date]])</f>
        <v>5</v>
      </c>
      <c r="Z1916">
        <f>ROUND(Table1_1[[#This Row],[profit]]/Table1_1[[#This Row],[sales_fix]]*100,2)</f>
        <v>21.84</v>
      </c>
    </row>
    <row r="1917" spans="1:26" x14ac:dyDescent="0.3">
      <c r="A1917" t="s">
        <v>715</v>
      </c>
      <c r="B1917" s="1">
        <v>45960</v>
      </c>
      <c r="C1917" s="1">
        <v>45964</v>
      </c>
      <c r="D1917" t="s">
        <v>716</v>
      </c>
      <c r="E1917" t="s">
        <v>717</v>
      </c>
      <c r="F1917" t="s">
        <v>23</v>
      </c>
      <c r="G1917" t="s">
        <v>35</v>
      </c>
      <c r="H1917" t="s">
        <v>85</v>
      </c>
      <c r="I1917" t="s">
        <v>25</v>
      </c>
      <c r="J1917" t="s">
        <v>26</v>
      </c>
      <c r="K1917" t="s">
        <v>27</v>
      </c>
      <c r="L1917">
        <v>3</v>
      </c>
      <c r="M1917">
        <v>7000</v>
      </c>
      <c r="N1917">
        <v>0</v>
      </c>
      <c r="O1917">
        <v>21000</v>
      </c>
      <c r="P1917">
        <v>4601.09</v>
      </c>
      <c r="Q1917" t="s">
        <v>66</v>
      </c>
      <c r="R1917" t="s">
        <v>29</v>
      </c>
      <c r="S1917" t="s">
        <v>50</v>
      </c>
      <c r="T1917">
        <f>YEAR(Table1_1[[#This Row],[order_date]])</f>
        <v>2025</v>
      </c>
      <c r="U1917">
        <f>MONTH(Table1_1[[#This Row],[order_date]])</f>
        <v>10</v>
      </c>
      <c r="V1917" t="str">
        <f>TEXT(Table1_1[[#This Row],[order_date]],"mmm")</f>
        <v>Oct</v>
      </c>
      <c r="W1917" t="str">
        <f>"Q"&amp;ROUNDUP(MONTH(Table1_1[[#This Row],[order_date]])/3,0)</f>
        <v>Q4</v>
      </c>
      <c r="X1917" t="str">
        <f>TEXT(Table1_1[[#This Row],[order_date]],"yyyy-mm")</f>
        <v>2025-10</v>
      </c>
      <c r="Y1917">
        <f>IF(Table1_1[[#This Row],[ship_date]]="","",Table1_1[[#This Row],[ship_date]]-Table1_1[[#This Row],[order_date]])</f>
        <v>4</v>
      </c>
      <c r="Z1917">
        <f>ROUND(Table1_1[[#This Row],[profit]]/Table1_1[[#This Row],[sales_fix]]*100,2)</f>
        <v>21.91</v>
      </c>
    </row>
    <row r="1918" spans="1:26" x14ac:dyDescent="0.3">
      <c r="A1918" t="s">
        <v>2656</v>
      </c>
      <c r="B1918" s="1">
        <v>45750</v>
      </c>
      <c r="C1918" s="1">
        <v>45758</v>
      </c>
      <c r="D1918" t="s">
        <v>1588</v>
      </c>
      <c r="E1918" t="s">
        <v>1589</v>
      </c>
      <c r="F1918" t="s">
        <v>34</v>
      </c>
      <c r="G1918" t="s">
        <v>61</v>
      </c>
      <c r="H1918" t="s">
        <v>78</v>
      </c>
      <c r="I1918" t="s">
        <v>79</v>
      </c>
      <c r="J1918" t="s">
        <v>80</v>
      </c>
      <c r="K1918" t="s">
        <v>65</v>
      </c>
      <c r="L1918">
        <v>1</v>
      </c>
      <c r="M1918">
        <v>3000</v>
      </c>
      <c r="N1918">
        <v>10</v>
      </c>
      <c r="O1918">
        <v>2700</v>
      </c>
      <c r="P1918">
        <v>766.19</v>
      </c>
      <c r="Q1918" t="s">
        <v>156</v>
      </c>
      <c r="R1918" t="s">
        <v>56</v>
      </c>
      <c r="S1918" t="s">
        <v>86</v>
      </c>
      <c r="T1918">
        <f>YEAR(Table1_1[[#This Row],[order_date]])</f>
        <v>2025</v>
      </c>
      <c r="U1918">
        <f>MONTH(Table1_1[[#This Row],[order_date]])</f>
        <v>4</v>
      </c>
      <c r="V1918" t="str">
        <f>TEXT(Table1_1[[#This Row],[order_date]],"mmm")</f>
        <v>Apr</v>
      </c>
      <c r="W1918" t="str">
        <f>"Q"&amp;ROUNDUP(MONTH(Table1_1[[#This Row],[order_date]])/3,0)</f>
        <v>Q2</v>
      </c>
      <c r="X1918" t="str">
        <f>TEXT(Table1_1[[#This Row],[order_date]],"yyyy-mm")</f>
        <v>2025-04</v>
      </c>
      <c r="Y1918">
        <f>IF(Table1_1[[#This Row],[ship_date]]="","",Table1_1[[#This Row],[ship_date]]-Table1_1[[#This Row],[order_date]])</f>
        <v>8</v>
      </c>
      <c r="Z1918">
        <f>ROUND(Table1_1[[#This Row],[profit]]/Table1_1[[#This Row],[sales_fix]]*100,2)</f>
        <v>28.38</v>
      </c>
    </row>
    <row r="1919" spans="1:26" x14ac:dyDescent="0.3">
      <c r="A1919" t="s">
        <v>1597</v>
      </c>
      <c r="B1919" s="1">
        <v>45699</v>
      </c>
      <c r="C1919" s="1">
        <v>45702</v>
      </c>
      <c r="D1919" t="s">
        <v>192</v>
      </c>
      <c r="E1919" t="s">
        <v>193</v>
      </c>
      <c r="F1919" t="s">
        <v>55</v>
      </c>
      <c r="G1919" t="s">
        <v>35</v>
      </c>
      <c r="H1919" t="s">
        <v>36</v>
      </c>
      <c r="I1919" t="s">
        <v>147</v>
      </c>
      <c r="J1919" t="s">
        <v>148</v>
      </c>
      <c r="K1919" t="s">
        <v>48</v>
      </c>
      <c r="L1919">
        <v>3</v>
      </c>
      <c r="M1919">
        <v>250</v>
      </c>
      <c r="N1919">
        <v>0</v>
      </c>
      <c r="O1919">
        <v>750</v>
      </c>
      <c r="P1919">
        <v>289.74</v>
      </c>
      <c r="Q1919" t="s">
        <v>28</v>
      </c>
      <c r="R1919" t="s">
        <v>29</v>
      </c>
      <c r="S1919" t="s">
        <v>86</v>
      </c>
      <c r="T1919">
        <f>YEAR(Table1_1[[#This Row],[order_date]])</f>
        <v>2025</v>
      </c>
      <c r="U1919">
        <f>MONTH(Table1_1[[#This Row],[order_date]])</f>
        <v>2</v>
      </c>
      <c r="V1919" t="str">
        <f>TEXT(Table1_1[[#This Row],[order_date]],"mmm")</f>
        <v>Feb</v>
      </c>
      <c r="W1919" t="str">
        <f>"Q"&amp;ROUNDUP(MONTH(Table1_1[[#This Row],[order_date]])/3,0)</f>
        <v>Q1</v>
      </c>
      <c r="X1919" t="str">
        <f>TEXT(Table1_1[[#This Row],[order_date]],"yyyy-mm")</f>
        <v>2025-02</v>
      </c>
      <c r="Y1919">
        <f>IF(Table1_1[[#This Row],[ship_date]]="","",Table1_1[[#This Row],[ship_date]]-Table1_1[[#This Row],[order_date]])</f>
        <v>3</v>
      </c>
      <c r="Z1919">
        <f>ROUND(Table1_1[[#This Row],[profit]]/Table1_1[[#This Row],[sales_fix]]*100,2)</f>
        <v>38.630000000000003</v>
      </c>
    </row>
    <row r="1920" spans="1:26" x14ac:dyDescent="0.3">
      <c r="A1920" t="s">
        <v>1559</v>
      </c>
      <c r="B1920" s="1">
        <v>45843</v>
      </c>
      <c r="C1920" s="1">
        <v>45851</v>
      </c>
      <c r="D1920" t="s">
        <v>206</v>
      </c>
      <c r="E1920" t="s">
        <v>207</v>
      </c>
      <c r="F1920" t="s">
        <v>55</v>
      </c>
      <c r="G1920" t="s">
        <v>44</v>
      </c>
      <c r="H1920" t="s">
        <v>24</v>
      </c>
      <c r="I1920" t="s">
        <v>46</v>
      </c>
      <c r="J1920" t="s">
        <v>47</v>
      </c>
      <c r="K1920" t="s">
        <v>48</v>
      </c>
      <c r="L1920">
        <v>1</v>
      </c>
      <c r="M1920">
        <v>180</v>
      </c>
      <c r="N1920">
        <v>0</v>
      </c>
      <c r="O1920">
        <v>180</v>
      </c>
      <c r="P1920">
        <v>83.26</v>
      </c>
      <c r="Q1920" t="s">
        <v>74</v>
      </c>
      <c r="R1920" t="s">
        <v>56</v>
      </c>
      <c r="S1920" t="s">
        <v>86</v>
      </c>
      <c r="T1920">
        <f>YEAR(Table1_1[[#This Row],[order_date]])</f>
        <v>2025</v>
      </c>
      <c r="U1920">
        <f>MONTH(Table1_1[[#This Row],[order_date]])</f>
        <v>7</v>
      </c>
      <c r="V1920" t="str">
        <f>TEXT(Table1_1[[#This Row],[order_date]],"mmm")</f>
        <v>Jul</v>
      </c>
      <c r="W1920" t="str">
        <f>"Q"&amp;ROUNDUP(MONTH(Table1_1[[#This Row],[order_date]])/3,0)</f>
        <v>Q3</v>
      </c>
      <c r="X1920" t="str">
        <f>TEXT(Table1_1[[#This Row],[order_date]],"yyyy-mm")</f>
        <v>2025-07</v>
      </c>
      <c r="Y1920">
        <f>IF(Table1_1[[#This Row],[ship_date]]="","",Table1_1[[#This Row],[ship_date]]-Table1_1[[#This Row],[order_date]])</f>
        <v>8</v>
      </c>
      <c r="Z1920">
        <f>ROUND(Table1_1[[#This Row],[profit]]/Table1_1[[#This Row],[sales_fix]]*100,2)</f>
        <v>46.26</v>
      </c>
    </row>
    <row r="1921" spans="1:26" x14ac:dyDescent="0.3">
      <c r="A1921" t="s">
        <v>264</v>
      </c>
      <c r="B1921" s="1">
        <v>45360</v>
      </c>
      <c r="C1921" s="1">
        <v>45361</v>
      </c>
      <c r="D1921" t="s">
        <v>265</v>
      </c>
      <c r="E1921" t="s">
        <v>266</v>
      </c>
      <c r="F1921" t="s">
        <v>55</v>
      </c>
      <c r="G1921" t="s">
        <v>44</v>
      </c>
      <c r="H1921" t="s">
        <v>45</v>
      </c>
      <c r="I1921" t="s">
        <v>114</v>
      </c>
      <c r="J1921" t="s">
        <v>115</v>
      </c>
      <c r="K1921" t="s">
        <v>65</v>
      </c>
      <c r="L1921">
        <v>2</v>
      </c>
      <c r="M1921">
        <v>55000</v>
      </c>
      <c r="N1921">
        <v>5</v>
      </c>
      <c r="O1921">
        <v>104500</v>
      </c>
      <c r="P1921">
        <v>20407.47</v>
      </c>
      <c r="Q1921" t="s">
        <v>74</v>
      </c>
      <c r="R1921" t="s">
        <v>49</v>
      </c>
      <c r="S1921" t="s">
        <v>50</v>
      </c>
      <c r="T1921">
        <f>YEAR(Table1_1[[#This Row],[order_date]])</f>
        <v>2024</v>
      </c>
      <c r="U1921">
        <f>MONTH(Table1_1[[#This Row],[order_date]])</f>
        <v>3</v>
      </c>
      <c r="V1921" t="str">
        <f>TEXT(Table1_1[[#This Row],[order_date]],"mmm")</f>
        <v>Mar</v>
      </c>
      <c r="W1921" t="str">
        <f>"Q"&amp;ROUNDUP(MONTH(Table1_1[[#This Row],[order_date]])/3,0)</f>
        <v>Q1</v>
      </c>
      <c r="X1921" t="str">
        <f>TEXT(Table1_1[[#This Row],[order_date]],"yyyy-mm")</f>
        <v>2024-03</v>
      </c>
      <c r="Y1921">
        <f>IF(Table1_1[[#This Row],[ship_date]]="","",Table1_1[[#This Row],[ship_date]]-Table1_1[[#This Row],[order_date]])</f>
        <v>1</v>
      </c>
      <c r="Z1921">
        <f>ROUND(Table1_1[[#This Row],[profit]]/Table1_1[[#This Row],[sales_fix]]*100,2)</f>
        <v>19.53</v>
      </c>
    </row>
    <row r="1922" spans="1:26" x14ac:dyDescent="0.3">
      <c r="A1922" t="s">
        <v>1561</v>
      </c>
      <c r="B1922" s="1">
        <v>45915</v>
      </c>
      <c r="C1922" s="1">
        <v>45918</v>
      </c>
      <c r="D1922" t="s">
        <v>1250</v>
      </c>
      <c r="E1922" t="s">
        <v>1251</v>
      </c>
      <c r="F1922" t="s">
        <v>55</v>
      </c>
      <c r="G1922" t="s">
        <v>35</v>
      </c>
      <c r="H1922" t="s">
        <v>258</v>
      </c>
      <c r="I1922" t="s">
        <v>134</v>
      </c>
      <c r="J1922" t="s">
        <v>135</v>
      </c>
      <c r="K1922" t="s">
        <v>27</v>
      </c>
      <c r="L1922">
        <v>10</v>
      </c>
      <c r="M1922">
        <v>6000</v>
      </c>
      <c r="N1922">
        <v>0</v>
      </c>
      <c r="O1922">
        <v>60000</v>
      </c>
      <c r="P1922">
        <v>11952</v>
      </c>
      <c r="Q1922" t="s">
        <v>74</v>
      </c>
      <c r="R1922" t="s">
        <v>56</v>
      </c>
      <c r="S1922" t="s">
        <v>50</v>
      </c>
      <c r="T1922">
        <f>YEAR(Table1_1[[#This Row],[order_date]])</f>
        <v>2025</v>
      </c>
      <c r="U1922">
        <f>MONTH(Table1_1[[#This Row],[order_date]])</f>
        <v>9</v>
      </c>
      <c r="V1922" t="str">
        <f>TEXT(Table1_1[[#This Row],[order_date]],"mmm")</f>
        <v>Sep</v>
      </c>
      <c r="W1922" t="str">
        <f>"Q"&amp;ROUNDUP(MONTH(Table1_1[[#This Row],[order_date]])/3,0)</f>
        <v>Q3</v>
      </c>
      <c r="X1922" t="str">
        <f>TEXT(Table1_1[[#This Row],[order_date]],"yyyy-mm")</f>
        <v>2025-09</v>
      </c>
      <c r="Y1922">
        <f>IF(Table1_1[[#This Row],[ship_date]]="","",Table1_1[[#This Row],[ship_date]]-Table1_1[[#This Row],[order_date]])</f>
        <v>3</v>
      </c>
      <c r="Z1922">
        <f>ROUND(Table1_1[[#This Row],[profit]]/Table1_1[[#This Row],[sales_fix]]*100,2)</f>
        <v>19.920000000000002</v>
      </c>
    </row>
    <row r="1923" spans="1:26" x14ac:dyDescent="0.3">
      <c r="A1923" t="s">
        <v>2068</v>
      </c>
      <c r="B1923" s="1">
        <v>45604</v>
      </c>
      <c r="C1923" s="1">
        <v>45606</v>
      </c>
      <c r="D1923" t="s">
        <v>1506</v>
      </c>
      <c r="E1923" t="s">
        <v>1507</v>
      </c>
      <c r="F1923" t="s">
        <v>55</v>
      </c>
      <c r="G1923" t="s">
        <v>61</v>
      </c>
      <c r="H1923" t="s">
        <v>78</v>
      </c>
      <c r="I1923" t="s">
        <v>103</v>
      </c>
      <c r="J1923" t="s">
        <v>104</v>
      </c>
      <c r="K1923" t="s">
        <v>65</v>
      </c>
      <c r="L1923">
        <v>4</v>
      </c>
      <c r="M1923">
        <v>8000</v>
      </c>
      <c r="N1923">
        <v>20</v>
      </c>
      <c r="O1923">
        <v>25600</v>
      </c>
      <c r="P1923">
        <v>6272.01</v>
      </c>
      <c r="Q1923" t="s">
        <v>39</v>
      </c>
      <c r="R1923" t="s">
        <v>29</v>
      </c>
      <c r="S1923" t="s">
        <v>30</v>
      </c>
      <c r="T1923">
        <f>YEAR(Table1_1[[#This Row],[order_date]])</f>
        <v>2024</v>
      </c>
      <c r="U1923">
        <f>MONTH(Table1_1[[#This Row],[order_date]])</f>
        <v>11</v>
      </c>
      <c r="V1923" t="str">
        <f>TEXT(Table1_1[[#This Row],[order_date]],"mmm")</f>
        <v>Nov</v>
      </c>
      <c r="W1923" t="str">
        <f>"Q"&amp;ROUNDUP(MONTH(Table1_1[[#This Row],[order_date]])/3,0)</f>
        <v>Q4</v>
      </c>
      <c r="X1923" t="str">
        <f>TEXT(Table1_1[[#This Row],[order_date]],"yyyy-mm")</f>
        <v>2024-11</v>
      </c>
      <c r="Y1923">
        <f>IF(Table1_1[[#This Row],[ship_date]]="","",Table1_1[[#This Row],[ship_date]]-Table1_1[[#This Row],[order_date]])</f>
        <v>2</v>
      </c>
      <c r="Z1923">
        <f>ROUND(Table1_1[[#This Row],[profit]]/Table1_1[[#This Row],[sales_fix]]*100,2)</f>
        <v>24.5</v>
      </c>
    </row>
    <row r="1924" spans="1:26" x14ac:dyDescent="0.3">
      <c r="A1924" t="s">
        <v>168</v>
      </c>
      <c r="B1924" s="1">
        <v>45809</v>
      </c>
      <c r="C1924" s="1">
        <v>45815</v>
      </c>
      <c r="D1924" t="s">
        <v>169</v>
      </c>
      <c r="E1924" t="s">
        <v>170</v>
      </c>
      <c r="F1924" t="s">
        <v>55</v>
      </c>
      <c r="G1924" t="s">
        <v>91</v>
      </c>
      <c r="H1924" t="s">
        <v>92</v>
      </c>
      <c r="I1924" t="s">
        <v>147</v>
      </c>
      <c r="J1924" t="s">
        <v>148</v>
      </c>
      <c r="K1924" t="s">
        <v>48</v>
      </c>
      <c r="L1924">
        <v>1</v>
      </c>
      <c r="M1924">
        <v>250</v>
      </c>
      <c r="N1924">
        <v>0</v>
      </c>
      <c r="O1924">
        <v>250</v>
      </c>
      <c r="P1924">
        <v>103.7</v>
      </c>
      <c r="Q1924" t="s">
        <v>121</v>
      </c>
      <c r="R1924" t="s">
        <v>49</v>
      </c>
      <c r="S1924" t="s">
        <v>110</v>
      </c>
      <c r="T1924">
        <f>YEAR(Table1_1[[#This Row],[order_date]])</f>
        <v>2025</v>
      </c>
      <c r="U1924">
        <f>MONTH(Table1_1[[#This Row],[order_date]])</f>
        <v>6</v>
      </c>
      <c r="V1924" t="str">
        <f>TEXT(Table1_1[[#This Row],[order_date]],"mmm")</f>
        <v>Jun</v>
      </c>
      <c r="W1924" t="str">
        <f>"Q"&amp;ROUNDUP(MONTH(Table1_1[[#This Row],[order_date]])/3,0)</f>
        <v>Q2</v>
      </c>
      <c r="X1924" t="str">
        <f>TEXT(Table1_1[[#This Row],[order_date]],"yyyy-mm")</f>
        <v>2025-06</v>
      </c>
      <c r="Y1924">
        <f>IF(Table1_1[[#This Row],[ship_date]]="","",Table1_1[[#This Row],[ship_date]]-Table1_1[[#This Row],[order_date]])</f>
        <v>6</v>
      </c>
      <c r="Z1924">
        <f>ROUND(Table1_1[[#This Row],[profit]]/Table1_1[[#This Row],[sales_fix]]*100,2)</f>
        <v>41.48</v>
      </c>
    </row>
    <row r="1925" spans="1:26" x14ac:dyDescent="0.3">
      <c r="A1925" t="s">
        <v>1176</v>
      </c>
      <c r="B1925" s="1">
        <v>45660</v>
      </c>
      <c r="C1925" s="1">
        <v>45664</v>
      </c>
      <c r="D1925" t="s">
        <v>716</v>
      </c>
      <c r="E1925" t="s">
        <v>717</v>
      </c>
      <c r="F1925" t="s">
        <v>23</v>
      </c>
      <c r="G1925" t="s">
        <v>35</v>
      </c>
      <c r="H1925" t="s">
        <v>85</v>
      </c>
      <c r="I1925" t="s">
        <v>126</v>
      </c>
      <c r="J1925" t="s">
        <v>127</v>
      </c>
      <c r="K1925" t="s">
        <v>95</v>
      </c>
      <c r="L1925">
        <v>1</v>
      </c>
      <c r="M1925">
        <v>600</v>
      </c>
      <c r="N1925">
        <v>5</v>
      </c>
      <c r="O1925">
        <v>570</v>
      </c>
      <c r="P1925">
        <v>156.25</v>
      </c>
      <c r="Q1925" t="s">
        <v>39</v>
      </c>
      <c r="R1925" t="s">
        <v>49</v>
      </c>
      <c r="S1925" t="s">
        <v>86</v>
      </c>
      <c r="T1925">
        <f>YEAR(Table1_1[[#This Row],[order_date]])</f>
        <v>2025</v>
      </c>
      <c r="U1925">
        <f>MONTH(Table1_1[[#This Row],[order_date]])</f>
        <v>1</v>
      </c>
      <c r="V1925" t="str">
        <f>TEXT(Table1_1[[#This Row],[order_date]],"mmm")</f>
        <v>Jan</v>
      </c>
      <c r="W1925" t="str">
        <f>"Q"&amp;ROUNDUP(MONTH(Table1_1[[#This Row],[order_date]])/3,0)</f>
        <v>Q1</v>
      </c>
      <c r="X1925" t="str">
        <f>TEXT(Table1_1[[#This Row],[order_date]],"yyyy-mm")</f>
        <v>2025-01</v>
      </c>
      <c r="Y1925">
        <f>IF(Table1_1[[#This Row],[ship_date]]="","",Table1_1[[#This Row],[ship_date]]-Table1_1[[#This Row],[order_date]])</f>
        <v>4</v>
      </c>
      <c r="Z1925">
        <f>ROUND(Table1_1[[#This Row],[profit]]/Table1_1[[#This Row],[sales_fix]]*100,2)</f>
        <v>27.41</v>
      </c>
    </row>
    <row r="1926" spans="1:26" x14ac:dyDescent="0.3">
      <c r="A1926" t="s">
        <v>2634</v>
      </c>
      <c r="B1926" s="1">
        <v>45926</v>
      </c>
      <c r="C1926" s="1">
        <v>45928</v>
      </c>
      <c r="D1926" t="s">
        <v>123</v>
      </c>
      <c r="E1926" t="s">
        <v>124</v>
      </c>
      <c r="F1926" t="s">
        <v>34</v>
      </c>
      <c r="G1926" t="s">
        <v>61</v>
      </c>
      <c r="H1926" t="s">
        <v>125</v>
      </c>
      <c r="I1926" t="s">
        <v>93</v>
      </c>
      <c r="J1926" t="s">
        <v>94</v>
      </c>
      <c r="K1926" t="s">
        <v>95</v>
      </c>
      <c r="L1926">
        <v>1</v>
      </c>
      <c r="M1926">
        <v>1800</v>
      </c>
      <c r="N1926">
        <v>15</v>
      </c>
      <c r="O1926">
        <v>1530</v>
      </c>
      <c r="P1926">
        <v>542.84</v>
      </c>
      <c r="Q1926" t="s">
        <v>66</v>
      </c>
      <c r="R1926" t="s">
        <v>56</v>
      </c>
      <c r="S1926" t="s">
        <v>110</v>
      </c>
      <c r="T1926">
        <f>YEAR(Table1_1[[#This Row],[order_date]])</f>
        <v>2025</v>
      </c>
      <c r="U1926">
        <f>MONTH(Table1_1[[#This Row],[order_date]])</f>
        <v>9</v>
      </c>
      <c r="V1926" t="str">
        <f>TEXT(Table1_1[[#This Row],[order_date]],"mmm")</f>
        <v>Sep</v>
      </c>
      <c r="W1926" t="str">
        <f>"Q"&amp;ROUNDUP(MONTH(Table1_1[[#This Row],[order_date]])/3,0)</f>
        <v>Q3</v>
      </c>
      <c r="X1926" t="str">
        <f>TEXT(Table1_1[[#This Row],[order_date]],"yyyy-mm")</f>
        <v>2025-09</v>
      </c>
      <c r="Y1926">
        <f>IF(Table1_1[[#This Row],[ship_date]]="","",Table1_1[[#This Row],[ship_date]]-Table1_1[[#This Row],[order_date]])</f>
        <v>2</v>
      </c>
      <c r="Z1926">
        <f>ROUND(Table1_1[[#This Row],[profit]]/Table1_1[[#This Row],[sales_fix]]*100,2)</f>
        <v>35.479999999999997</v>
      </c>
    </row>
    <row r="1927" spans="1:26" x14ac:dyDescent="0.3">
      <c r="A1927" t="s">
        <v>2013</v>
      </c>
      <c r="B1927" s="1">
        <v>45902</v>
      </c>
      <c r="C1927" s="1">
        <v>45907</v>
      </c>
      <c r="D1927" t="s">
        <v>101</v>
      </c>
      <c r="E1927" t="s">
        <v>102</v>
      </c>
      <c r="F1927" t="s">
        <v>55</v>
      </c>
      <c r="G1927" t="s">
        <v>35</v>
      </c>
      <c r="H1927" t="s">
        <v>36</v>
      </c>
      <c r="I1927" t="s">
        <v>126</v>
      </c>
      <c r="J1927" t="s">
        <v>127</v>
      </c>
      <c r="K1927" t="s">
        <v>95</v>
      </c>
      <c r="L1927">
        <v>1</v>
      </c>
      <c r="M1927">
        <v>600</v>
      </c>
      <c r="N1927">
        <v>10</v>
      </c>
      <c r="O1927">
        <v>540</v>
      </c>
      <c r="P1927">
        <v>181.11</v>
      </c>
      <c r="Q1927" t="s">
        <v>39</v>
      </c>
      <c r="R1927" t="s">
        <v>56</v>
      </c>
      <c r="S1927" t="s">
        <v>30</v>
      </c>
      <c r="T1927">
        <f>YEAR(Table1_1[[#This Row],[order_date]])</f>
        <v>2025</v>
      </c>
      <c r="U1927">
        <f>MONTH(Table1_1[[#This Row],[order_date]])</f>
        <v>9</v>
      </c>
      <c r="V1927" t="str">
        <f>TEXT(Table1_1[[#This Row],[order_date]],"mmm")</f>
        <v>Sep</v>
      </c>
      <c r="W1927" t="str">
        <f>"Q"&amp;ROUNDUP(MONTH(Table1_1[[#This Row],[order_date]])/3,0)</f>
        <v>Q3</v>
      </c>
      <c r="X1927" t="str">
        <f>TEXT(Table1_1[[#This Row],[order_date]],"yyyy-mm")</f>
        <v>2025-09</v>
      </c>
      <c r="Y1927">
        <f>IF(Table1_1[[#This Row],[ship_date]]="","",Table1_1[[#This Row],[ship_date]]-Table1_1[[#This Row],[order_date]])</f>
        <v>5</v>
      </c>
      <c r="Z1927">
        <f>ROUND(Table1_1[[#This Row],[profit]]/Table1_1[[#This Row],[sales_fix]]*100,2)</f>
        <v>33.54</v>
      </c>
    </row>
    <row r="1928" spans="1:26" x14ac:dyDescent="0.3">
      <c r="A1928" t="s">
        <v>2677</v>
      </c>
      <c r="B1928" s="1">
        <v>45727</v>
      </c>
      <c r="C1928" s="1">
        <v>45730</v>
      </c>
      <c r="D1928" t="s">
        <v>403</v>
      </c>
      <c r="E1928" t="s">
        <v>404</v>
      </c>
      <c r="F1928" t="s">
        <v>55</v>
      </c>
      <c r="G1928" t="s">
        <v>35</v>
      </c>
      <c r="H1928" t="s">
        <v>36</v>
      </c>
      <c r="I1928" t="s">
        <v>93</v>
      </c>
      <c r="J1928" t="s">
        <v>94</v>
      </c>
      <c r="K1928" t="s">
        <v>95</v>
      </c>
      <c r="L1928">
        <v>10</v>
      </c>
      <c r="M1928">
        <v>1800</v>
      </c>
      <c r="N1928">
        <v>10</v>
      </c>
      <c r="O1928">
        <v>16200</v>
      </c>
      <c r="P1928">
        <v>5135.87</v>
      </c>
      <c r="Q1928" t="s">
        <v>156</v>
      </c>
      <c r="R1928" t="s">
        <v>49</v>
      </c>
      <c r="S1928" t="s">
        <v>86</v>
      </c>
      <c r="T1928">
        <f>YEAR(Table1_1[[#This Row],[order_date]])</f>
        <v>2025</v>
      </c>
      <c r="U1928">
        <f>MONTH(Table1_1[[#This Row],[order_date]])</f>
        <v>3</v>
      </c>
      <c r="V1928" t="str">
        <f>TEXT(Table1_1[[#This Row],[order_date]],"mmm")</f>
        <v>Mar</v>
      </c>
      <c r="W1928" t="str">
        <f>"Q"&amp;ROUNDUP(MONTH(Table1_1[[#This Row],[order_date]])/3,0)</f>
        <v>Q1</v>
      </c>
      <c r="X1928" t="str">
        <f>TEXT(Table1_1[[#This Row],[order_date]],"yyyy-mm")</f>
        <v>2025-03</v>
      </c>
      <c r="Y1928">
        <f>IF(Table1_1[[#This Row],[ship_date]]="","",Table1_1[[#This Row],[ship_date]]-Table1_1[[#This Row],[order_date]])</f>
        <v>3</v>
      </c>
      <c r="Z1928">
        <f>ROUND(Table1_1[[#This Row],[profit]]/Table1_1[[#This Row],[sales_fix]]*100,2)</f>
        <v>31.7</v>
      </c>
    </row>
    <row r="1929" spans="1:26" x14ac:dyDescent="0.3">
      <c r="A1929" t="s">
        <v>1664</v>
      </c>
      <c r="B1929" s="1">
        <v>45784</v>
      </c>
      <c r="C1929" s="1">
        <v>45786</v>
      </c>
      <c r="D1929" t="s">
        <v>1218</v>
      </c>
      <c r="E1929" t="s">
        <v>1219</v>
      </c>
      <c r="F1929" t="s">
        <v>34</v>
      </c>
      <c r="G1929" t="s">
        <v>61</v>
      </c>
      <c r="H1929" t="s">
        <v>62</v>
      </c>
      <c r="I1929" t="s">
        <v>37</v>
      </c>
      <c r="J1929" t="s">
        <v>38</v>
      </c>
      <c r="K1929" t="s">
        <v>27</v>
      </c>
      <c r="L1929">
        <v>2</v>
      </c>
      <c r="M1929">
        <v>9500</v>
      </c>
      <c r="N1929">
        <v>0</v>
      </c>
      <c r="O1929">
        <v>19000</v>
      </c>
      <c r="P1929">
        <v>3933.02</v>
      </c>
      <c r="Q1929" t="s">
        <v>3113</v>
      </c>
      <c r="R1929" t="s">
        <v>49</v>
      </c>
      <c r="S1929" t="s">
        <v>50</v>
      </c>
      <c r="T1929">
        <f>YEAR(Table1_1[[#This Row],[order_date]])</f>
        <v>2025</v>
      </c>
      <c r="U1929">
        <f>MONTH(Table1_1[[#This Row],[order_date]])</f>
        <v>5</v>
      </c>
      <c r="V1929" t="str">
        <f>TEXT(Table1_1[[#This Row],[order_date]],"mmm")</f>
        <v>May</v>
      </c>
      <c r="W1929" t="str">
        <f>"Q"&amp;ROUNDUP(MONTH(Table1_1[[#This Row],[order_date]])/3,0)</f>
        <v>Q2</v>
      </c>
      <c r="X1929" t="str">
        <f>TEXT(Table1_1[[#This Row],[order_date]],"yyyy-mm")</f>
        <v>2025-05</v>
      </c>
      <c r="Y1929">
        <f>IF(Table1_1[[#This Row],[ship_date]]="","",Table1_1[[#This Row],[ship_date]]-Table1_1[[#This Row],[order_date]])</f>
        <v>2</v>
      </c>
      <c r="Z1929">
        <f>ROUND(Table1_1[[#This Row],[profit]]/Table1_1[[#This Row],[sales_fix]]*100,2)</f>
        <v>20.7</v>
      </c>
    </row>
    <row r="1930" spans="1:26" x14ac:dyDescent="0.3">
      <c r="A1930" t="s">
        <v>1440</v>
      </c>
      <c r="B1930" s="1">
        <v>45530</v>
      </c>
      <c r="C1930" s="1">
        <v>45537</v>
      </c>
      <c r="D1930" t="s">
        <v>1442</v>
      </c>
      <c r="E1930" t="s">
        <v>1443</v>
      </c>
      <c r="F1930" t="s">
        <v>23</v>
      </c>
      <c r="G1930" t="s">
        <v>61</v>
      </c>
      <c r="H1930" t="s">
        <v>125</v>
      </c>
      <c r="I1930" t="s">
        <v>134</v>
      </c>
      <c r="J1930" t="s">
        <v>135</v>
      </c>
      <c r="K1930" t="s">
        <v>27</v>
      </c>
      <c r="L1930">
        <v>1</v>
      </c>
      <c r="M1930">
        <v>6000</v>
      </c>
      <c r="N1930">
        <v>0</v>
      </c>
      <c r="O1930">
        <v>6000</v>
      </c>
      <c r="P1930">
        <v>1504.42</v>
      </c>
      <c r="Q1930" t="s">
        <v>156</v>
      </c>
      <c r="R1930" t="s">
        <v>49</v>
      </c>
      <c r="S1930" t="s">
        <v>50</v>
      </c>
      <c r="T1930">
        <f>YEAR(Table1_1[[#This Row],[order_date]])</f>
        <v>2024</v>
      </c>
      <c r="U1930">
        <f>MONTH(Table1_1[[#This Row],[order_date]])</f>
        <v>8</v>
      </c>
      <c r="V1930" t="str">
        <f>TEXT(Table1_1[[#This Row],[order_date]],"mmm")</f>
        <v>Aug</v>
      </c>
      <c r="W1930" t="str">
        <f>"Q"&amp;ROUNDUP(MONTH(Table1_1[[#This Row],[order_date]])/3,0)</f>
        <v>Q3</v>
      </c>
      <c r="X1930" t="str">
        <f>TEXT(Table1_1[[#This Row],[order_date]],"yyyy-mm")</f>
        <v>2024-08</v>
      </c>
      <c r="Y1930">
        <f>IF(Table1_1[[#This Row],[ship_date]]="","",Table1_1[[#This Row],[ship_date]]-Table1_1[[#This Row],[order_date]])</f>
        <v>7</v>
      </c>
      <c r="Z1930">
        <f>ROUND(Table1_1[[#This Row],[profit]]/Table1_1[[#This Row],[sales_fix]]*100,2)</f>
        <v>25.07</v>
      </c>
    </row>
    <row r="1931" spans="1:26" x14ac:dyDescent="0.3">
      <c r="A1931" t="s">
        <v>2923</v>
      </c>
      <c r="B1931" s="1">
        <v>45500</v>
      </c>
      <c r="C1931" s="1">
        <v>45508</v>
      </c>
      <c r="D1931" t="s">
        <v>214</v>
      </c>
      <c r="E1931" t="s">
        <v>215</v>
      </c>
      <c r="F1931" t="s">
        <v>55</v>
      </c>
      <c r="G1931" t="s">
        <v>44</v>
      </c>
      <c r="H1931" t="s">
        <v>330</v>
      </c>
      <c r="I1931" t="s">
        <v>79</v>
      </c>
      <c r="J1931" t="s">
        <v>80</v>
      </c>
      <c r="K1931" t="s">
        <v>65</v>
      </c>
      <c r="L1931">
        <v>4</v>
      </c>
      <c r="M1931">
        <v>3000</v>
      </c>
      <c r="N1931">
        <v>15</v>
      </c>
      <c r="O1931">
        <v>10200</v>
      </c>
      <c r="P1931">
        <v>2419.09</v>
      </c>
      <c r="Q1931" t="s">
        <v>121</v>
      </c>
      <c r="R1931" t="s">
        <v>56</v>
      </c>
      <c r="S1931" t="s">
        <v>50</v>
      </c>
      <c r="T1931">
        <f>YEAR(Table1_1[[#This Row],[order_date]])</f>
        <v>2024</v>
      </c>
      <c r="U1931">
        <f>MONTH(Table1_1[[#This Row],[order_date]])</f>
        <v>7</v>
      </c>
      <c r="V1931" t="str">
        <f>TEXT(Table1_1[[#This Row],[order_date]],"mmm")</f>
        <v>Jul</v>
      </c>
      <c r="W1931" t="str">
        <f>"Q"&amp;ROUNDUP(MONTH(Table1_1[[#This Row],[order_date]])/3,0)</f>
        <v>Q3</v>
      </c>
      <c r="X1931" t="str">
        <f>TEXT(Table1_1[[#This Row],[order_date]],"yyyy-mm")</f>
        <v>2024-07</v>
      </c>
      <c r="Y1931">
        <f>IF(Table1_1[[#This Row],[ship_date]]="","",Table1_1[[#This Row],[ship_date]]-Table1_1[[#This Row],[order_date]])</f>
        <v>8</v>
      </c>
      <c r="Z1931">
        <f>ROUND(Table1_1[[#This Row],[profit]]/Table1_1[[#This Row],[sales_fix]]*100,2)</f>
        <v>23.72</v>
      </c>
    </row>
    <row r="1932" spans="1:26" x14ac:dyDescent="0.3">
      <c r="A1932" t="s">
        <v>541</v>
      </c>
      <c r="B1932" s="1">
        <v>45397</v>
      </c>
      <c r="C1932" s="1">
        <v>45405</v>
      </c>
      <c r="D1932" t="s">
        <v>233</v>
      </c>
      <c r="E1932" t="s">
        <v>234</v>
      </c>
      <c r="F1932" t="s">
        <v>23</v>
      </c>
      <c r="G1932" t="s">
        <v>61</v>
      </c>
      <c r="H1932" t="s">
        <v>211</v>
      </c>
      <c r="I1932" t="s">
        <v>93</v>
      </c>
      <c r="J1932" t="s">
        <v>94</v>
      </c>
      <c r="K1932" t="s">
        <v>95</v>
      </c>
      <c r="L1932">
        <v>1</v>
      </c>
      <c r="M1932">
        <v>1800</v>
      </c>
      <c r="N1932">
        <v>0</v>
      </c>
      <c r="O1932">
        <v>1800</v>
      </c>
      <c r="P1932">
        <v>689.3</v>
      </c>
      <c r="Q1932" t="s">
        <v>66</v>
      </c>
      <c r="R1932" t="s">
        <v>49</v>
      </c>
      <c r="S1932" t="s">
        <v>50</v>
      </c>
      <c r="T1932">
        <f>YEAR(Table1_1[[#This Row],[order_date]])</f>
        <v>2024</v>
      </c>
      <c r="U1932">
        <f>MONTH(Table1_1[[#This Row],[order_date]])</f>
        <v>4</v>
      </c>
      <c r="V1932" t="str">
        <f>TEXT(Table1_1[[#This Row],[order_date]],"mmm")</f>
        <v>Apr</v>
      </c>
      <c r="W1932" t="str">
        <f>"Q"&amp;ROUNDUP(MONTH(Table1_1[[#This Row],[order_date]])/3,0)</f>
        <v>Q2</v>
      </c>
      <c r="X1932" t="str">
        <f>TEXT(Table1_1[[#This Row],[order_date]],"yyyy-mm")</f>
        <v>2024-04</v>
      </c>
      <c r="Y1932">
        <f>IF(Table1_1[[#This Row],[ship_date]]="","",Table1_1[[#This Row],[ship_date]]-Table1_1[[#This Row],[order_date]])</f>
        <v>8</v>
      </c>
      <c r="Z1932">
        <f>ROUND(Table1_1[[#This Row],[profit]]/Table1_1[[#This Row],[sales_fix]]*100,2)</f>
        <v>38.29</v>
      </c>
    </row>
    <row r="1933" spans="1:26" x14ac:dyDescent="0.3">
      <c r="A1933" t="s">
        <v>1747</v>
      </c>
      <c r="B1933" s="1">
        <v>45468</v>
      </c>
      <c r="C1933" s="1"/>
      <c r="D1933" t="s">
        <v>403</v>
      </c>
      <c r="E1933" t="s">
        <v>404</v>
      </c>
      <c r="F1933" t="s">
        <v>55</v>
      </c>
      <c r="G1933" t="s">
        <v>35</v>
      </c>
      <c r="H1933" t="s">
        <v>36</v>
      </c>
      <c r="I1933" t="s">
        <v>103</v>
      </c>
      <c r="J1933" t="s">
        <v>104</v>
      </c>
      <c r="K1933" t="s">
        <v>65</v>
      </c>
      <c r="L1933">
        <v>2</v>
      </c>
      <c r="M1933">
        <v>8000</v>
      </c>
      <c r="N1933">
        <v>10</v>
      </c>
      <c r="O1933">
        <v>14400</v>
      </c>
      <c r="P1933">
        <v>3850.78</v>
      </c>
      <c r="Q1933" t="s">
        <v>121</v>
      </c>
      <c r="R1933" t="s">
        <v>29</v>
      </c>
      <c r="S1933" t="s">
        <v>86</v>
      </c>
      <c r="T1933">
        <f>YEAR(Table1_1[[#This Row],[order_date]])</f>
        <v>2024</v>
      </c>
      <c r="U1933">
        <f>MONTH(Table1_1[[#This Row],[order_date]])</f>
        <v>6</v>
      </c>
      <c r="V1933" t="str">
        <f>TEXT(Table1_1[[#This Row],[order_date]],"mmm")</f>
        <v>Jun</v>
      </c>
      <c r="W1933" t="str">
        <f>"Q"&amp;ROUNDUP(MONTH(Table1_1[[#This Row],[order_date]])/3,0)</f>
        <v>Q2</v>
      </c>
      <c r="X1933" t="str">
        <f>TEXT(Table1_1[[#This Row],[order_date]],"yyyy-mm")</f>
        <v>2024-06</v>
      </c>
      <c r="Y1933" t="str">
        <f>IF(Table1_1[[#This Row],[ship_date]]="","",Table1_1[[#This Row],[ship_date]]-Table1_1[[#This Row],[order_date]])</f>
        <v/>
      </c>
      <c r="Z1933">
        <f>ROUND(Table1_1[[#This Row],[profit]]/Table1_1[[#This Row],[sales_fix]]*100,2)</f>
        <v>26.74</v>
      </c>
    </row>
    <row r="1934" spans="1:26" x14ac:dyDescent="0.3">
      <c r="A1934" t="s">
        <v>1946</v>
      </c>
      <c r="B1934" s="1">
        <v>45307</v>
      </c>
      <c r="C1934" s="1">
        <v>45308</v>
      </c>
      <c r="D1934" t="s">
        <v>592</v>
      </c>
      <c r="E1934" t="s">
        <v>593</v>
      </c>
      <c r="F1934" t="s">
        <v>55</v>
      </c>
      <c r="G1934" t="s">
        <v>35</v>
      </c>
      <c r="H1934" t="s">
        <v>258</v>
      </c>
      <c r="I1934" t="s">
        <v>63</v>
      </c>
      <c r="J1934" t="s">
        <v>64</v>
      </c>
      <c r="K1934" t="s">
        <v>65</v>
      </c>
      <c r="L1934">
        <v>1</v>
      </c>
      <c r="M1934">
        <v>25000</v>
      </c>
      <c r="N1934">
        <v>0</v>
      </c>
      <c r="O1934">
        <v>25000</v>
      </c>
      <c r="P1934">
        <v>3958.45</v>
      </c>
      <c r="Q1934" t="s">
        <v>3113</v>
      </c>
      <c r="R1934" t="s">
        <v>56</v>
      </c>
      <c r="S1934" t="s">
        <v>40</v>
      </c>
      <c r="T1934">
        <f>YEAR(Table1_1[[#This Row],[order_date]])</f>
        <v>2024</v>
      </c>
      <c r="U1934">
        <f>MONTH(Table1_1[[#This Row],[order_date]])</f>
        <v>1</v>
      </c>
      <c r="V1934" t="str">
        <f>TEXT(Table1_1[[#This Row],[order_date]],"mmm")</f>
        <v>Jan</v>
      </c>
      <c r="W1934" t="str">
        <f>"Q"&amp;ROUNDUP(MONTH(Table1_1[[#This Row],[order_date]])/3,0)</f>
        <v>Q1</v>
      </c>
      <c r="X1934" t="str">
        <f>TEXT(Table1_1[[#This Row],[order_date]],"yyyy-mm")</f>
        <v>2024-01</v>
      </c>
      <c r="Y1934">
        <f>IF(Table1_1[[#This Row],[ship_date]]="","",Table1_1[[#This Row],[ship_date]]-Table1_1[[#This Row],[order_date]])</f>
        <v>1</v>
      </c>
      <c r="Z1934">
        <f>ROUND(Table1_1[[#This Row],[profit]]/Table1_1[[#This Row],[sales_fix]]*100,2)</f>
        <v>15.83</v>
      </c>
    </row>
    <row r="1935" spans="1:26" x14ac:dyDescent="0.3">
      <c r="A1935" t="s">
        <v>1981</v>
      </c>
      <c r="B1935" s="1">
        <v>45736</v>
      </c>
      <c r="C1935" s="1">
        <v>45744</v>
      </c>
      <c r="D1935" t="s">
        <v>301</v>
      </c>
      <c r="E1935" t="s">
        <v>302</v>
      </c>
      <c r="F1935" t="s">
        <v>34</v>
      </c>
      <c r="G1935" t="s">
        <v>44</v>
      </c>
      <c r="H1935" t="s">
        <v>24</v>
      </c>
      <c r="I1935" t="s">
        <v>147</v>
      </c>
      <c r="J1935" t="s">
        <v>148</v>
      </c>
      <c r="K1935" t="s">
        <v>48</v>
      </c>
      <c r="L1935">
        <v>1</v>
      </c>
      <c r="M1935">
        <v>250</v>
      </c>
      <c r="N1935">
        <v>0</v>
      </c>
      <c r="O1935">
        <v>250</v>
      </c>
      <c r="P1935">
        <v>106.4</v>
      </c>
      <c r="Q1935" t="s">
        <v>156</v>
      </c>
      <c r="R1935" t="s">
        <v>49</v>
      </c>
      <c r="S1935" t="s">
        <v>86</v>
      </c>
      <c r="T1935">
        <f>YEAR(Table1_1[[#This Row],[order_date]])</f>
        <v>2025</v>
      </c>
      <c r="U1935">
        <f>MONTH(Table1_1[[#This Row],[order_date]])</f>
        <v>3</v>
      </c>
      <c r="V1935" t="str">
        <f>TEXT(Table1_1[[#This Row],[order_date]],"mmm")</f>
        <v>Mar</v>
      </c>
      <c r="W1935" t="str">
        <f>"Q"&amp;ROUNDUP(MONTH(Table1_1[[#This Row],[order_date]])/3,0)</f>
        <v>Q1</v>
      </c>
      <c r="X1935" t="str">
        <f>TEXT(Table1_1[[#This Row],[order_date]],"yyyy-mm")</f>
        <v>2025-03</v>
      </c>
      <c r="Y1935">
        <f>IF(Table1_1[[#This Row],[ship_date]]="","",Table1_1[[#This Row],[ship_date]]-Table1_1[[#This Row],[order_date]])</f>
        <v>8</v>
      </c>
      <c r="Z1935">
        <f>ROUND(Table1_1[[#This Row],[profit]]/Table1_1[[#This Row],[sales_fix]]*100,2)</f>
        <v>42.56</v>
      </c>
    </row>
    <row r="1936" spans="1:26" x14ac:dyDescent="0.3">
      <c r="A1936" t="s">
        <v>1212</v>
      </c>
      <c r="B1936" s="1">
        <v>45377</v>
      </c>
      <c r="C1936" s="1">
        <v>45379</v>
      </c>
      <c r="D1936" t="s">
        <v>613</v>
      </c>
      <c r="E1936" t="s">
        <v>614</v>
      </c>
      <c r="F1936" t="s">
        <v>55</v>
      </c>
      <c r="G1936" t="s">
        <v>61</v>
      </c>
      <c r="H1936" t="s">
        <v>211</v>
      </c>
      <c r="I1936" t="s">
        <v>46</v>
      </c>
      <c r="J1936" t="s">
        <v>47</v>
      </c>
      <c r="K1936" t="s">
        <v>48</v>
      </c>
      <c r="L1936">
        <v>4</v>
      </c>
      <c r="M1936">
        <v>180</v>
      </c>
      <c r="N1936">
        <v>0</v>
      </c>
      <c r="O1936">
        <v>720</v>
      </c>
      <c r="P1936">
        <v>275.10000000000002</v>
      </c>
      <c r="Q1936" t="s">
        <v>74</v>
      </c>
      <c r="R1936" t="s">
        <v>29</v>
      </c>
      <c r="S1936" t="s">
        <v>50</v>
      </c>
      <c r="T1936">
        <f>YEAR(Table1_1[[#This Row],[order_date]])</f>
        <v>2024</v>
      </c>
      <c r="U1936">
        <f>MONTH(Table1_1[[#This Row],[order_date]])</f>
        <v>3</v>
      </c>
      <c r="V1936" t="str">
        <f>TEXT(Table1_1[[#This Row],[order_date]],"mmm")</f>
        <v>Mar</v>
      </c>
      <c r="W1936" t="str">
        <f>"Q"&amp;ROUNDUP(MONTH(Table1_1[[#This Row],[order_date]])/3,0)</f>
        <v>Q1</v>
      </c>
      <c r="X1936" t="str">
        <f>TEXT(Table1_1[[#This Row],[order_date]],"yyyy-mm")</f>
        <v>2024-03</v>
      </c>
      <c r="Y1936">
        <f>IF(Table1_1[[#This Row],[ship_date]]="","",Table1_1[[#This Row],[ship_date]]-Table1_1[[#This Row],[order_date]])</f>
        <v>2</v>
      </c>
      <c r="Z1936">
        <f>ROUND(Table1_1[[#This Row],[profit]]/Table1_1[[#This Row],[sales_fix]]*100,2)</f>
        <v>38.21</v>
      </c>
    </row>
    <row r="1937" spans="1:26" x14ac:dyDescent="0.3">
      <c r="A1937" t="s">
        <v>742</v>
      </c>
      <c r="B1937" s="1">
        <v>45618</v>
      </c>
      <c r="C1937" s="1">
        <v>45619</v>
      </c>
      <c r="D1937" t="s">
        <v>346</v>
      </c>
      <c r="E1937" t="s">
        <v>347</v>
      </c>
      <c r="F1937" t="s">
        <v>23</v>
      </c>
      <c r="G1937" t="s">
        <v>44</v>
      </c>
      <c r="H1937" t="s">
        <v>155</v>
      </c>
      <c r="I1937" t="s">
        <v>25</v>
      </c>
      <c r="J1937" t="s">
        <v>26</v>
      </c>
      <c r="K1937" t="s">
        <v>27</v>
      </c>
      <c r="L1937">
        <v>2</v>
      </c>
      <c r="M1937">
        <v>7000</v>
      </c>
      <c r="N1937">
        <v>0</v>
      </c>
      <c r="O1937">
        <v>14000</v>
      </c>
      <c r="P1937">
        <v>2882.43</v>
      </c>
      <c r="Q1937" t="s">
        <v>28</v>
      </c>
      <c r="R1937" t="s">
        <v>49</v>
      </c>
      <c r="S1937" t="s">
        <v>30</v>
      </c>
      <c r="T1937">
        <f>YEAR(Table1_1[[#This Row],[order_date]])</f>
        <v>2024</v>
      </c>
      <c r="U1937">
        <f>MONTH(Table1_1[[#This Row],[order_date]])</f>
        <v>11</v>
      </c>
      <c r="V1937" t="str">
        <f>TEXT(Table1_1[[#This Row],[order_date]],"mmm")</f>
        <v>Nov</v>
      </c>
      <c r="W1937" t="str">
        <f>"Q"&amp;ROUNDUP(MONTH(Table1_1[[#This Row],[order_date]])/3,0)</f>
        <v>Q4</v>
      </c>
      <c r="X1937" t="str">
        <f>TEXT(Table1_1[[#This Row],[order_date]],"yyyy-mm")</f>
        <v>2024-11</v>
      </c>
      <c r="Y1937">
        <f>IF(Table1_1[[#This Row],[ship_date]]="","",Table1_1[[#This Row],[ship_date]]-Table1_1[[#This Row],[order_date]])</f>
        <v>1</v>
      </c>
      <c r="Z1937">
        <f>ROUND(Table1_1[[#This Row],[profit]]/Table1_1[[#This Row],[sales_fix]]*100,2)</f>
        <v>20.59</v>
      </c>
    </row>
    <row r="1938" spans="1:26" x14ac:dyDescent="0.3">
      <c r="A1938" t="s">
        <v>2161</v>
      </c>
      <c r="B1938" s="1">
        <v>45433</v>
      </c>
      <c r="C1938" s="1">
        <v>45439</v>
      </c>
      <c r="D1938" t="s">
        <v>1886</v>
      </c>
      <c r="E1938" t="s">
        <v>1887</v>
      </c>
      <c r="F1938" t="s">
        <v>23</v>
      </c>
      <c r="G1938" t="s">
        <v>91</v>
      </c>
      <c r="H1938" t="s">
        <v>120</v>
      </c>
      <c r="I1938" t="s">
        <v>126</v>
      </c>
      <c r="J1938" t="s">
        <v>127</v>
      </c>
      <c r="K1938" t="s">
        <v>95</v>
      </c>
      <c r="L1938">
        <v>1</v>
      </c>
      <c r="M1938">
        <v>600</v>
      </c>
      <c r="N1938">
        <v>0</v>
      </c>
      <c r="O1938">
        <v>600</v>
      </c>
      <c r="P1938">
        <v>196.87</v>
      </c>
      <c r="Q1938" t="s">
        <v>156</v>
      </c>
      <c r="R1938" t="s">
        <v>29</v>
      </c>
      <c r="S1938" t="s">
        <v>86</v>
      </c>
      <c r="T1938">
        <f>YEAR(Table1_1[[#This Row],[order_date]])</f>
        <v>2024</v>
      </c>
      <c r="U1938">
        <f>MONTH(Table1_1[[#This Row],[order_date]])</f>
        <v>5</v>
      </c>
      <c r="V1938" t="str">
        <f>TEXT(Table1_1[[#This Row],[order_date]],"mmm")</f>
        <v>May</v>
      </c>
      <c r="W1938" t="str">
        <f>"Q"&amp;ROUNDUP(MONTH(Table1_1[[#This Row],[order_date]])/3,0)</f>
        <v>Q2</v>
      </c>
      <c r="X1938" t="str">
        <f>TEXT(Table1_1[[#This Row],[order_date]],"yyyy-mm")</f>
        <v>2024-05</v>
      </c>
      <c r="Y1938">
        <f>IF(Table1_1[[#This Row],[ship_date]]="","",Table1_1[[#This Row],[ship_date]]-Table1_1[[#This Row],[order_date]])</f>
        <v>6</v>
      </c>
      <c r="Z1938">
        <f>ROUND(Table1_1[[#This Row],[profit]]/Table1_1[[#This Row],[sales_fix]]*100,2)</f>
        <v>32.81</v>
      </c>
    </row>
    <row r="1939" spans="1:26" x14ac:dyDescent="0.3">
      <c r="A1939" t="s">
        <v>720</v>
      </c>
      <c r="B1939" s="1">
        <v>45309</v>
      </c>
      <c r="C1939" s="1">
        <v>45312</v>
      </c>
      <c r="D1939" t="s">
        <v>721</v>
      </c>
      <c r="E1939" t="s">
        <v>722</v>
      </c>
      <c r="F1939" t="s">
        <v>34</v>
      </c>
      <c r="G1939" t="s">
        <v>35</v>
      </c>
      <c r="H1939" t="s">
        <v>258</v>
      </c>
      <c r="I1939" t="s">
        <v>103</v>
      </c>
      <c r="J1939" t="s">
        <v>104</v>
      </c>
      <c r="K1939" t="s">
        <v>65</v>
      </c>
      <c r="L1939">
        <v>2</v>
      </c>
      <c r="M1939">
        <v>8000</v>
      </c>
      <c r="N1939">
        <v>20</v>
      </c>
      <c r="O1939">
        <v>12800</v>
      </c>
      <c r="P1939">
        <v>2757.48</v>
      </c>
      <c r="Q1939" t="s">
        <v>66</v>
      </c>
      <c r="R1939" t="s">
        <v>49</v>
      </c>
      <c r="S1939" t="s">
        <v>110</v>
      </c>
      <c r="T1939">
        <f>YEAR(Table1_1[[#This Row],[order_date]])</f>
        <v>2024</v>
      </c>
      <c r="U1939">
        <f>MONTH(Table1_1[[#This Row],[order_date]])</f>
        <v>1</v>
      </c>
      <c r="V1939" t="str">
        <f>TEXT(Table1_1[[#This Row],[order_date]],"mmm")</f>
        <v>Jan</v>
      </c>
      <c r="W1939" t="str">
        <f>"Q"&amp;ROUNDUP(MONTH(Table1_1[[#This Row],[order_date]])/3,0)</f>
        <v>Q1</v>
      </c>
      <c r="X1939" t="str">
        <f>TEXT(Table1_1[[#This Row],[order_date]],"yyyy-mm")</f>
        <v>2024-01</v>
      </c>
      <c r="Y1939">
        <f>IF(Table1_1[[#This Row],[ship_date]]="","",Table1_1[[#This Row],[ship_date]]-Table1_1[[#This Row],[order_date]])</f>
        <v>3</v>
      </c>
      <c r="Z1939">
        <f>ROUND(Table1_1[[#This Row],[profit]]/Table1_1[[#This Row],[sales_fix]]*100,2)</f>
        <v>21.54</v>
      </c>
    </row>
    <row r="1940" spans="1:26" x14ac:dyDescent="0.3">
      <c r="A1940" t="s">
        <v>2228</v>
      </c>
      <c r="B1940" s="1">
        <v>45894</v>
      </c>
      <c r="C1940" s="1">
        <v>45895</v>
      </c>
      <c r="D1940" t="s">
        <v>904</v>
      </c>
      <c r="E1940" t="s">
        <v>905</v>
      </c>
      <c r="F1940" t="s">
        <v>23</v>
      </c>
      <c r="G1940" t="s">
        <v>91</v>
      </c>
      <c r="H1940" t="s">
        <v>92</v>
      </c>
      <c r="I1940" t="s">
        <v>71</v>
      </c>
      <c r="J1940" t="s">
        <v>72</v>
      </c>
      <c r="K1940" t="s">
        <v>73</v>
      </c>
      <c r="L1940">
        <v>1</v>
      </c>
      <c r="M1940">
        <v>3500</v>
      </c>
      <c r="N1940">
        <v>20</v>
      </c>
      <c r="O1940">
        <v>2800</v>
      </c>
      <c r="P1940">
        <v>653.91</v>
      </c>
      <c r="Q1940" t="s">
        <v>156</v>
      </c>
      <c r="R1940" t="s">
        <v>29</v>
      </c>
      <c r="S1940" t="s">
        <v>30</v>
      </c>
      <c r="T1940">
        <f>YEAR(Table1_1[[#This Row],[order_date]])</f>
        <v>2025</v>
      </c>
      <c r="U1940">
        <f>MONTH(Table1_1[[#This Row],[order_date]])</f>
        <v>8</v>
      </c>
      <c r="V1940" t="str">
        <f>TEXT(Table1_1[[#This Row],[order_date]],"mmm")</f>
        <v>Aug</v>
      </c>
      <c r="W1940" t="str">
        <f>"Q"&amp;ROUNDUP(MONTH(Table1_1[[#This Row],[order_date]])/3,0)</f>
        <v>Q3</v>
      </c>
      <c r="X1940" t="str">
        <f>TEXT(Table1_1[[#This Row],[order_date]],"yyyy-mm")</f>
        <v>2025-08</v>
      </c>
      <c r="Y1940">
        <f>IF(Table1_1[[#This Row],[ship_date]]="","",Table1_1[[#This Row],[ship_date]]-Table1_1[[#This Row],[order_date]])</f>
        <v>1</v>
      </c>
      <c r="Z1940">
        <f>ROUND(Table1_1[[#This Row],[profit]]/Table1_1[[#This Row],[sales_fix]]*100,2)</f>
        <v>23.35</v>
      </c>
    </row>
    <row r="1941" spans="1:26" x14ac:dyDescent="0.3">
      <c r="A1941" t="s">
        <v>849</v>
      </c>
      <c r="B1941" s="1">
        <v>45691</v>
      </c>
      <c r="C1941" s="1">
        <v>45698</v>
      </c>
      <c r="D1941" t="s">
        <v>634</v>
      </c>
      <c r="E1941" t="s">
        <v>635</v>
      </c>
      <c r="F1941" t="s">
        <v>23</v>
      </c>
      <c r="G1941" t="s">
        <v>91</v>
      </c>
      <c r="H1941" t="s">
        <v>177</v>
      </c>
      <c r="I1941" t="s">
        <v>126</v>
      </c>
      <c r="J1941" t="s">
        <v>127</v>
      </c>
      <c r="K1941" t="s">
        <v>95</v>
      </c>
      <c r="L1941">
        <v>2</v>
      </c>
      <c r="M1941">
        <v>600</v>
      </c>
      <c r="N1941">
        <v>0</v>
      </c>
      <c r="O1941">
        <v>1200</v>
      </c>
      <c r="P1941">
        <v>332.67</v>
      </c>
      <c r="Q1941" t="s">
        <v>74</v>
      </c>
      <c r="R1941" t="s">
        <v>49</v>
      </c>
      <c r="S1941" t="s">
        <v>86</v>
      </c>
      <c r="T1941">
        <f>YEAR(Table1_1[[#This Row],[order_date]])</f>
        <v>2025</v>
      </c>
      <c r="U1941">
        <f>MONTH(Table1_1[[#This Row],[order_date]])</f>
        <v>2</v>
      </c>
      <c r="V1941" t="str">
        <f>TEXT(Table1_1[[#This Row],[order_date]],"mmm")</f>
        <v>Feb</v>
      </c>
      <c r="W1941" t="str">
        <f>"Q"&amp;ROUNDUP(MONTH(Table1_1[[#This Row],[order_date]])/3,0)</f>
        <v>Q1</v>
      </c>
      <c r="X1941" t="str">
        <f>TEXT(Table1_1[[#This Row],[order_date]],"yyyy-mm")</f>
        <v>2025-02</v>
      </c>
      <c r="Y1941">
        <f>IF(Table1_1[[#This Row],[ship_date]]="","",Table1_1[[#This Row],[ship_date]]-Table1_1[[#This Row],[order_date]])</f>
        <v>7</v>
      </c>
      <c r="Z1941">
        <f>ROUND(Table1_1[[#This Row],[profit]]/Table1_1[[#This Row],[sales_fix]]*100,2)</f>
        <v>27.72</v>
      </c>
    </row>
    <row r="1942" spans="1:26" x14ac:dyDescent="0.3">
      <c r="A1942" t="s">
        <v>1745</v>
      </c>
      <c r="B1942" s="1">
        <v>45522</v>
      </c>
      <c r="C1942" s="1">
        <v>45528</v>
      </c>
      <c r="D1942" t="s">
        <v>1031</v>
      </c>
      <c r="E1942" t="s">
        <v>1032</v>
      </c>
      <c r="F1942" t="s">
        <v>23</v>
      </c>
      <c r="G1942" t="s">
        <v>61</v>
      </c>
      <c r="H1942" t="s">
        <v>211</v>
      </c>
      <c r="I1942" t="s">
        <v>71</v>
      </c>
      <c r="J1942" t="s">
        <v>72</v>
      </c>
      <c r="K1942" t="s">
        <v>73</v>
      </c>
      <c r="L1942">
        <v>10</v>
      </c>
      <c r="M1942">
        <v>3500</v>
      </c>
      <c r="N1942">
        <v>0</v>
      </c>
      <c r="O1942">
        <v>35000</v>
      </c>
      <c r="P1942">
        <v>11458.78</v>
      </c>
      <c r="Q1942" t="s">
        <v>66</v>
      </c>
      <c r="R1942" t="s">
        <v>49</v>
      </c>
      <c r="S1942" t="s">
        <v>40</v>
      </c>
      <c r="T1942">
        <f>YEAR(Table1_1[[#This Row],[order_date]])</f>
        <v>2024</v>
      </c>
      <c r="U1942">
        <f>MONTH(Table1_1[[#This Row],[order_date]])</f>
        <v>8</v>
      </c>
      <c r="V1942" t="str">
        <f>TEXT(Table1_1[[#This Row],[order_date]],"mmm")</f>
        <v>Aug</v>
      </c>
      <c r="W1942" t="str">
        <f>"Q"&amp;ROUNDUP(MONTH(Table1_1[[#This Row],[order_date]])/3,0)</f>
        <v>Q3</v>
      </c>
      <c r="X1942" t="str">
        <f>TEXT(Table1_1[[#This Row],[order_date]],"yyyy-mm")</f>
        <v>2024-08</v>
      </c>
      <c r="Y1942">
        <f>IF(Table1_1[[#This Row],[ship_date]]="","",Table1_1[[#This Row],[ship_date]]-Table1_1[[#This Row],[order_date]])</f>
        <v>6</v>
      </c>
      <c r="Z1942">
        <f>ROUND(Table1_1[[#This Row],[profit]]/Table1_1[[#This Row],[sales_fix]]*100,2)</f>
        <v>32.74</v>
      </c>
    </row>
    <row r="1943" spans="1:26" x14ac:dyDescent="0.3">
      <c r="A1943" t="s">
        <v>2271</v>
      </c>
      <c r="B1943" s="1">
        <v>45772</v>
      </c>
      <c r="C1943" s="1">
        <v>45776</v>
      </c>
      <c r="D1943" t="s">
        <v>214</v>
      </c>
      <c r="E1943" t="s">
        <v>215</v>
      </c>
      <c r="F1943" t="s">
        <v>55</v>
      </c>
      <c r="G1943" t="s">
        <v>44</v>
      </c>
      <c r="H1943" t="s">
        <v>330</v>
      </c>
      <c r="I1943" t="s">
        <v>93</v>
      </c>
      <c r="J1943" t="s">
        <v>94</v>
      </c>
      <c r="K1943" t="s">
        <v>95</v>
      </c>
      <c r="L1943">
        <v>1</v>
      </c>
      <c r="M1943">
        <v>1800</v>
      </c>
      <c r="N1943">
        <v>10</v>
      </c>
      <c r="O1943">
        <v>1620</v>
      </c>
      <c r="P1943">
        <v>400.31</v>
      </c>
      <c r="Q1943" t="s">
        <v>28</v>
      </c>
      <c r="R1943" t="s">
        <v>49</v>
      </c>
      <c r="S1943" t="s">
        <v>40</v>
      </c>
      <c r="T1943">
        <f>YEAR(Table1_1[[#This Row],[order_date]])</f>
        <v>2025</v>
      </c>
      <c r="U1943">
        <f>MONTH(Table1_1[[#This Row],[order_date]])</f>
        <v>4</v>
      </c>
      <c r="V1943" t="str">
        <f>TEXT(Table1_1[[#This Row],[order_date]],"mmm")</f>
        <v>Apr</v>
      </c>
      <c r="W1943" t="str">
        <f>"Q"&amp;ROUNDUP(MONTH(Table1_1[[#This Row],[order_date]])/3,0)</f>
        <v>Q2</v>
      </c>
      <c r="X1943" t="str">
        <f>TEXT(Table1_1[[#This Row],[order_date]],"yyyy-mm")</f>
        <v>2025-04</v>
      </c>
      <c r="Y1943">
        <f>IF(Table1_1[[#This Row],[ship_date]]="","",Table1_1[[#This Row],[ship_date]]-Table1_1[[#This Row],[order_date]])</f>
        <v>4</v>
      </c>
      <c r="Z1943">
        <f>ROUND(Table1_1[[#This Row],[profit]]/Table1_1[[#This Row],[sales_fix]]*100,2)</f>
        <v>24.71</v>
      </c>
    </row>
    <row r="1944" spans="1:26" x14ac:dyDescent="0.3">
      <c r="A1944" t="s">
        <v>2841</v>
      </c>
      <c r="B1944" s="1">
        <v>45859</v>
      </c>
      <c r="C1944" s="1">
        <v>45866</v>
      </c>
      <c r="D1944" t="s">
        <v>1100</v>
      </c>
      <c r="E1944" t="s">
        <v>1101</v>
      </c>
      <c r="F1944" t="s">
        <v>23</v>
      </c>
      <c r="G1944" t="s">
        <v>44</v>
      </c>
      <c r="H1944" t="s">
        <v>161</v>
      </c>
      <c r="I1944" t="s">
        <v>25</v>
      </c>
      <c r="J1944" t="s">
        <v>26</v>
      </c>
      <c r="K1944" t="s">
        <v>27</v>
      </c>
      <c r="L1944">
        <v>1</v>
      </c>
      <c r="M1944">
        <v>7000</v>
      </c>
      <c r="N1944">
        <v>10</v>
      </c>
      <c r="O1944">
        <v>6300</v>
      </c>
      <c r="P1944">
        <v>1372.48</v>
      </c>
      <c r="Q1944" t="s">
        <v>121</v>
      </c>
      <c r="R1944" t="s">
        <v>49</v>
      </c>
      <c r="S1944" t="s">
        <v>40</v>
      </c>
      <c r="T1944">
        <f>YEAR(Table1_1[[#This Row],[order_date]])</f>
        <v>2025</v>
      </c>
      <c r="U1944">
        <f>MONTH(Table1_1[[#This Row],[order_date]])</f>
        <v>7</v>
      </c>
      <c r="V1944" t="str">
        <f>TEXT(Table1_1[[#This Row],[order_date]],"mmm")</f>
        <v>Jul</v>
      </c>
      <c r="W1944" t="str">
        <f>"Q"&amp;ROUNDUP(MONTH(Table1_1[[#This Row],[order_date]])/3,0)</f>
        <v>Q3</v>
      </c>
      <c r="X1944" t="str">
        <f>TEXT(Table1_1[[#This Row],[order_date]],"yyyy-mm")</f>
        <v>2025-07</v>
      </c>
      <c r="Y1944">
        <f>IF(Table1_1[[#This Row],[ship_date]]="","",Table1_1[[#This Row],[ship_date]]-Table1_1[[#This Row],[order_date]])</f>
        <v>7</v>
      </c>
      <c r="Z1944">
        <f>ROUND(Table1_1[[#This Row],[profit]]/Table1_1[[#This Row],[sales_fix]]*100,2)</f>
        <v>21.79</v>
      </c>
    </row>
    <row r="1945" spans="1:26" x14ac:dyDescent="0.3">
      <c r="A1945" t="s">
        <v>580</v>
      </c>
      <c r="B1945" s="1">
        <v>45832</v>
      </c>
      <c r="C1945" s="1">
        <v>45834</v>
      </c>
      <c r="D1945" t="s">
        <v>582</v>
      </c>
      <c r="E1945" t="s">
        <v>583</v>
      </c>
      <c r="F1945" t="s">
        <v>34</v>
      </c>
      <c r="G1945" t="s">
        <v>61</v>
      </c>
      <c r="H1945" t="s">
        <v>78</v>
      </c>
      <c r="I1945" t="s">
        <v>114</v>
      </c>
      <c r="J1945" t="s">
        <v>115</v>
      </c>
      <c r="K1945" t="s">
        <v>65</v>
      </c>
      <c r="L1945">
        <v>1</v>
      </c>
      <c r="M1945">
        <v>55000</v>
      </c>
      <c r="N1945">
        <v>5</v>
      </c>
      <c r="O1945">
        <v>52250</v>
      </c>
      <c r="P1945">
        <v>8682.81</v>
      </c>
      <c r="Q1945" t="s">
        <v>28</v>
      </c>
      <c r="R1945" t="s">
        <v>56</v>
      </c>
      <c r="S1945" t="s">
        <v>30</v>
      </c>
      <c r="T1945">
        <f>YEAR(Table1_1[[#This Row],[order_date]])</f>
        <v>2025</v>
      </c>
      <c r="U1945">
        <f>MONTH(Table1_1[[#This Row],[order_date]])</f>
        <v>6</v>
      </c>
      <c r="V1945" t="str">
        <f>TEXT(Table1_1[[#This Row],[order_date]],"mmm")</f>
        <v>Jun</v>
      </c>
      <c r="W1945" t="str">
        <f>"Q"&amp;ROUNDUP(MONTH(Table1_1[[#This Row],[order_date]])/3,0)</f>
        <v>Q2</v>
      </c>
      <c r="X1945" t="str">
        <f>TEXT(Table1_1[[#This Row],[order_date]],"yyyy-mm")</f>
        <v>2025-06</v>
      </c>
      <c r="Y1945">
        <f>IF(Table1_1[[#This Row],[ship_date]]="","",Table1_1[[#This Row],[ship_date]]-Table1_1[[#This Row],[order_date]])</f>
        <v>2</v>
      </c>
      <c r="Z1945">
        <f>ROUND(Table1_1[[#This Row],[profit]]/Table1_1[[#This Row],[sales_fix]]*100,2)</f>
        <v>16.62</v>
      </c>
    </row>
    <row r="1946" spans="1:26" x14ac:dyDescent="0.3">
      <c r="A1946" t="s">
        <v>1743</v>
      </c>
      <c r="B1946" s="1">
        <v>45323</v>
      </c>
      <c r="C1946" s="1">
        <v>45329</v>
      </c>
      <c r="D1946" t="s">
        <v>384</v>
      </c>
      <c r="E1946" t="s">
        <v>385</v>
      </c>
      <c r="F1946" t="s">
        <v>55</v>
      </c>
      <c r="G1946" t="s">
        <v>61</v>
      </c>
      <c r="H1946" t="s">
        <v>125</v>
      </c>
      <c r="I1946" t="s">
        <v>37</v>
      </c>
      <c r="J1946" t="s">
        <v>38</v>
      </c>
      <c r="K1946" t="s">
        <v>27</v>
      </c>
      <c r="L1946">
        <v>1</v>
      </c>
      <c r="M1946">
        <v>9500</v>
      </c>
      <c r="N1946">
        <v>10</v>
      </c>
      <c r="O1946">
        <v>8550</v>
      </c>
      <c r="P1946">
        <v>1490.27</v>
      </c>
      <c r="Q1946" t="s">
        <v>28</v>
      </c>
      <c r="R1946" t="s">
        <v>29</v>
      </c>
      <c r="S1946" t="s">
        <v>40</v>
      </c>
      <c r="T1946">
        <f>YEAR(Table1_1[[#This Row],[order_date]])</f>
        <v>2024</v>
      </c>
      <c r="U1946">
        <f>MONTH(Table1_1[[#This Row],[order_date]])</f>
        <v>2</v>
      </c>
      <c r="V1946" t="str">
        <f>TEXT(Table1_1[[#This Row],[order_date]],"mmm")</f>
        <v>Feb</v>
      </c>
      <c r="W1946" t="str">
        <f>"Q"&amp;ROUNDUP(MONTH(Table1_1[[#This Row],[order_date]])/3,0)</f>
        <v>Q1</v>
      </c>
      <c r="X1946" t="str">
        <f>TEXT(Table1_1[[#This Row],[order_date]],"yyyy-mm")</f>
        <v>2024-02</v>
      </c>
      <c r="Y1946">
        <f>IF(Table1_1[[#This Row],[ship_date]]="","",Table1_1[[#This Row],[ship_date]]-Table1_1[[#This Row],[order_date]])</f>
        <v>6</v>
      </c>
      <c r="Z1946">
        <f>ROUND(Table1_1[[#This Row],[profit]]/Table1_1[[#This Row],[sales_fix]]*100,2)</f>
        <v>17.43</v>
      </c>
    </row>
    <row r="1947" spans="1:26" x14ac:dyDescent="0.3">
      <c r="A1947" t="s">
        <v>1288</v>
      </c>
      <c r="B1947" s="1">
        <v>45315</v>
      </c>
      <c r="C1947" s="1">
        <v>45317</v>
      </c>
      <c r="D1947" t="s">
        <v>185</v>
      </c>
      <c r="E1947" t="s">
        <v>186</v>
      </c>
      <c r="F1947" t="s">
        <v>55</v>
      </c>
      <c r="G1947" t="s">
        <v>35</v>
      </c>
      <c r="H1947" t="s">
        <v>187</v>
      </c>
      <c r="I1947" t="s">
        <v>134</v>
      </c>
      <c r="J1947" t="s">
        <v>135</v>
      </c>
      <c r="K1947" t="s">
        <v>27</v>
      </c>
      <c r="L1947">
        <v>3</v>
      </c>
      <c r="M1947">
        <v>6000</v>
      </c>
      <c r="N1947">
        <v>0</v>
      </c>
      <c r="O1947">
        <v>18000</v>
      </c>
      <c r="P1947">
        <v>4320</v>
      </c>
      <c r="Q1947" t="s">
        <v>121</v>
      </c>
      <c r="R1947" t="s">
        <v>49</v>
      </c>
      <c r="S1947" t="s">
        <v>194</v>
      </c>
      <c r="T1947">
        <f>YEAR(Table1_1[[#This Row],[order_date]])</f>
        <v>2024</v>
      </c>
      <c r="U1947">
        <f>MONTH(Table1_1[[#This Row],[order_date]])</f>
        <v>1</v>
      </c>
      <c r="V1947" t="str">
        <f>TEXT(Table1_1[[#This Row],[order_date]],"mmm")</f>
        <v>Jan</v>
      </c>
      <c r="W1947" t="str">
        <f>"Q"&amp;ROUNDUP(MONTH(Table1_1[[#This Row],[order_date]])/3,0)</f>
        <v>Q1</v>
      </c>
      <c r="X1947" t="str">
        <f>TEXT(Table1_1[[#This Row],[order_date]],"yyyy-mm")</f>
        <v>2024-01</v>
      </c>
      <c r="Y1947">
        <f>IF(Table1_1[[#This Row],[ship_date]]="","",Table1_1[[#This Row],[ship_date]]-Table1_1[[#This Row],[order_date]])</f>
        <v>2</v>
      </c>
      <c r="Z1947">
        <f>ROUND(Table1_1[[#This Row],[profit]]/Table1_1[[#This Row],[sales_fix]]*100,2)</f>
        <v>24</v>
      </c>
    </row>
    <row r="1948" spans="1:26" x14ac:dyDescent="0.3">
      <c r="A1948" t="s">
        <v>995</v>
      </c>
      <c r="B1948" s="1">
        <v>45826</v>
      </c>
      <c r="C1948" s="1">
        <v>45833</v>
      </c>
      <c r="D1948" t="s">
        <v>185</v>
      </c>
      <c r="E1948" t="s">
        <v>186</v>
      </c>
      <c r="F1948" t="s">
        <v>55</v>
      </c>
      <c r="G1948" t="s">
        <v>35</v>
      </c>
      <c r="H1948" t="s">
        <v>187</v>
      </c>
      <c r="I1948" t="s">
        <v>126</v>
      </c>
      <c r="J1948" t="s">
        <v>127</v>
      </c>
      <c r="K1948" t="s">
        <v>95</v>
      </c>
      <c r="L1948">
        <v>2</v>
      </c>
      <c r="M1948">
        <v>600</v>
      </c>
      <c r="N1948">
        <v>20</v>
      </c>
      <c r="O1948">
        <v>960</v>
      </c>
      <c r="P1948">
        <v>382.7</v>
      </c>
      <c r="Q1948" t="s">
        <v>66</v>
      </c>
      <c r="R1948" t="s">
        <v>49</v>
      </c>
      <c r="S1948" t="s">
        <v>86</v>
      </c>
      <c r="T1948">
        <f>YEAR(Table1_1[[#This Row],[order_date]])</f>
        <v>2025</v>
      </c>
      <c r="U1948">
        <f>MONTH(Table1_1[[#This Row],[order_date]])</f>
        <v>6</v>
      </c>
      <c r="V1948" t="str">
        <f>TEXT(Table1_1[[#This Row],[order_date]],"mmm")</f>
        <v>Jun</v>
      </c>
      <c r="W1948" t="str">
        <f>"Q"&amp;ROUNDUP(MONTH(Table1_1[[#This Row],[order_date]])/3,0)</f>
        <v>Q2</v>
      </c>
      <c r="X1948" t="str">
        <f>TEXT(Table1_1[[#This Row],[order_date]],"yyyy-mm")</f>
        <v>2025-06</v>
      </c>
      <c r="Y1948">
        <f>IF(Table1_1[[#This Row],[ship_date]]="","",Table1_1[[#This Row],[ship_date]]-Table1_1[[#This Row],[order_date]])</f>
        <v>7</v>
      </c>
      <c r="Z1948">
        <f>ROUND(Table1_1[[#This Row],[profit]]/Table1_1[[#This Row],[sales_fix]]*100,2)</f>
        <v>39.86</v>
      </c>
    </row>
    <row r="1949" spans="1:26" x14ac:dyDescent="0.3">
      <c r="A1949" t="s">
        <v>345</v>
      </c>
      <c r="B1949" s="1">
        <v>45877</v>
      </c>
      <c r="C1949" s="1">
        <v>45885</v>
      </c>
      <c r="D1949" t="s">
        <v>346</v>
      </c>
      <c r="E1949" t="s">
        <v>347</v>
      </c>
      <c r="F1949" t="s">
        <v>23</v>
      </c>
      <c r="G1949" t="s">
        <v>44</v>
      </c>
      <c r="H1949" t="s">
        <v>155</v>
      </c>
      <c r="I1949" t="s">
        <v>114</v>
      </c>
      <c r="J1949" t="s">
        <v>115</v>
      </c>
      <c r="K1949" t="s">
        <v>65</v>
      </c>
      <c r="L1949">
        <v>1</v>
      </c>
      <c r="M1949">
        <v>55000</v>
      </c>
      <c r="N1949">
        <v>0</v>
      </c>
      <c r="O1949">
        <v>55000</v>
      </c>
      <c r="P1949">
        <v>10655.35</v>
      </c>
      <c r="Q1949" t="s">
        <v>74</v>
      </c>
      <c r="R1949" t="s">
        <v>49</v>
      </c>
      <c r="S1949" t="s">
        <v>40</v>
      </c>
      <c r="T1949">
        <f>YEAR(Table1_1[[#This Row],[order_date]])</f>
        <v>2025</v>
      </c>
      <c r="U1949">
        <f>MONTH(Table1_1[[#This Row],[order_date]])</f>
        <v>8</v>
      </c>
      <c r="V1949" t="str">
        <f>TEXT(Table1_1[[#This Row],[order_date]],"mmm")</f>
        <v>Aug</v>
      </c>
      <c r="W1949" t="str">
        <f>"Q"&amp;ROUNDUP(MONTH(Table1_1[[#This Row],[order_date]])/3,0)</f>
        <v>Q3</v>
      </c>
      <c r="X1949" t="str">
        <f>TEXT(Table1_1[[#This Row],[order_date]],"yyyy-mm")</f>
        <v>2025-08</v>
      </c>
      <c r="Y1949">
        <f>IF(Table1_1[[#This Row],[ship_date]]="","",Table1_1[[#This Row],[ship_date]]-Table1_1[[#This Row],[order_date]])</f>
        <v>8</v>
      </c>
      <c r="Z1949">
        <f>ROUND(Table1_1[[#This Row],[profit]]/Table1_1[[#This Row],[sales_fix]]*100,2)</f>
        <v>19.37</v>
      </c>
    </row>
    <row r="1950" spans="1:26" x14ac:dyDescent="0.3">
      <c r="A1950" t="s">
        <v>1285</v>
      </c>
      <c r="B1950" s="1">
        <v>45763</v>
      </c>
      <c r="C1950" s="1">
        <v>45766</v>
      </c>
      <c r="D1950" t="s">
        <v>308</v>
      </c>
      <c r="E1950" t="s">
        <v>309</v>
      </c>
      <c r="F1950" t="s">
        <v>34</v>
      </c>
      <c r="G1950" t="s">
        <v>91</v>
      </c>
      <c r="H1950" t="s">
        <v>177</v>
      </c>
      <c r="I1950" t="s">
        <v>63</v>
      </c>
      <c r="J1950" t="s">
        <v>64</v>
      </c>
      <c r="K1950" t="s">
        <v>65</v>
      </c>
      <c r="L1950">
        <v>2</v>
      </c>
      <c r="M1950">
        <v>25000</v>
      </c>
      <c r="N1950">
        <v>0</v>
      </c>
      <c r="O1950">
        <v>50000</v>
      </c>
      <c r="P1950">
        <v>7368.2</v>
      </c>
      <c r="Q1950" t="s">
        <v>28</v>
      </c>
      <c r="R1950" t="s">
        <v>49</v>
      </c>
      <c r="S1950" t="s">
        <v>30</v>
      </c>
      <c r="T1950">
        <f>YEAR(Table1_1[[#This Row],[order_date]])</f>
        <v>2025</v>
      </c>
      <c r="U1950">
        <f>MONTH(Table1_1[[#This Row],[order_date]])</f>
        <v>4</v>
      </c>
      <c r="V1950" t="str">
        <f>TEXT(Table1_1[[#This Row],[order_date]],"mmm")</f>
        <v>Apr</v>
      </c>
      <c r="W1950" t="str">
        <f>"Q"&amp;ROUNDUP(MONTH(Table1_1[[#This Row],[order_date]])/3,0)</f>
        <v>Q2</v>
      </c>
      <c r="X1950" t="str">
        <f>TEXT(Table1_1[[#This Row],[order_date]],"yyyy-mm")</f>
        <v>2025-04</v>
      </c>
      <c r="Y1950">
        <f>IF(Table1_1[[#This Row],[ship_date]]="","",Table1_1[[#This Row],[ship_date]]-Table1_1[[#This Row],[order_date]])</f>
        <v>3</v>
      </c>
      <c r="Z1950">
        <f>ROUND(Table1_1[[#This Row],[profit]]/Table1_1[[#This Row],[sales_fix]]*100,2)</f>
        <v>14.74</v>
      </c>
    </row>
    <row r="1951" spans="1:26" x14ac:dyDescent="0.3">
      <c r="A1951" t="s">
        <v>1611</v>
      </c>
      <c r="B1951" s="1">
        <v>45390</v>
      </c>
      <c r="C1951" s="1">
        <v>45393</v>
      </c>
      <c r="D1951" t="s">
        <v>129</v>
      </c>
      <c r="E1951" t="s">
        <v>130</v>
      </c>
      <c r="F1951" t="s">
        <v>34</v>
      </c>
      <c r="G1951" t="s">
        <v>61</v>
      </c>
      <c r="H1951" t="s">
        <v>78</v>
      </c>
      <c r="I1951" t="s">
        <v>63</v>
      </c>
      <c r="J1951" t="s">
        <v>64</v>
      </c>
      <c r="K1951" t="s">
        <v>65</v>
      </c>
      <c r="L1951">
        <v>2</v>
      </c>
      <c r="M1951">
        <v>25000</v>
      </c>
      <c r="N1951">
        <v>20</v>
      </c>
      <c r="O1951">
        <v>40000</v>
      </c>
      <c r="P1951">
        <v>6203.49</v>
      </c>
      <c r="Q1951" t="s">
        <v>74</v>
      </c>
      <c r="R1951" t="s">
        <v>29</v>
      </c>
      <c r="S1951" t="s">
        <v>40</v>
      </c>
      <c r="T1951">
        <f>YEAR(Table1_1[[#This Row],[order_date]])</f>
        <v>2024</v>
      </c>
      <c r="U1951">
        <f>MONTH(Table1_1[[#This Row],[order_date]])</f>
        <v>4</v>
      </c>
      <c r="V1951" t="str">
        <f>TEXT(Table1_1[[#This Row],[order_date]],"mmm")</f>
        <v>Apr</v>
      </c>
      <c r="W1951" t="str">
        <f>"Q"&amp;ROUNDUP(MONTH(Table1_1[[#This Row],[order_date]])/3,0)</f>
        <v>Q2</v>
      </c>
      <c r="X1951" t="str">
        <f>TEXT(Table1_1[[#This Row],[order_date]],"yyyy-mm")</f>
        <v>2024-04</v>
      </c>
      <c r="Y1951">
        <f>IF(Table1_1[[#This Row],[ship_date]]="","",Table1_1[[#This Row],[ship_date]]-Table1_1[[#This Row],[order_date]])</f>
        <v>3</v>
      </c>
      <c r="Z1951">
        <f>ROUND(Table1_1[[#This Row],[profit]]/Table1_1[[#This Row],[sales_fix]]*100,2)</f>
        <v>15.51</v>
      </c>
    </row>
    <row r="1952" spans="1:26" x14ac:dyDescent="0.3">
      <c r="A1952" t="s">
        <v>687</v>
      </c>
      <c r="B1952" s="1">
        <v>45738</v>
      </c>
      <c r="C1952" s="1">
        <v>45746</v>
      </c>
      <c r="D1952" t="s">
        <v>689</v>
      </c>
      <c r="E1952" t="s">
        <v>690</v>
      </c>
      <c r="F1952" t="s">
        <v>55</v>
      </c>
      <c r="G1952" t="s">
        <v>61</v>
      </c>
      <c r="H1952" t="s">
        <v>62</v>
      </c>
      <c r="I1952" t="s">
        <v>79</v>
      </c>
      <c r="J1952" t="s">
        <v>80</v>
      </c>
      <c r="K1952" t="s">
        <v>65</v>
      </c>
      <c r="L1952">
        <v>1</v>
      </c>
      <c r="M1952">
        <v>3000</v>
      </c>
      <c r="N1952">
        <v>0</v>
      </c>
      <c r="O1952">
        <v>3000</v>
      </c>
      <c r="P1952">
        <v>680.73</v>
      </c>
      <c r="Q1952" t="s">
        <v>74</v>
      </c>
      <c r="R1952" t="s">
        <v>56</v>
      </c>
      <c r="S1952" t="s">
        <v>40</v>
      </c>
      <c r="T1952">
        <f>YEAR(Table1_1[[#This Row],[order_date]])</f>
        <v>2025</v>
      </c>
      <c r="U1952">
        <f>MONTH(Table1_1[[#This Row],[order_date]])</f>
        <v>3</v>
      </c>
      <c r="V1952" t="str">
        <f>TEXT(Table1_1[[#This Row],[order_date]],"mmm")</f>
        <v>Mar</v>
      </c>
      <c r="W1952" t="str">
        <f>"Q"&amp;ROUNDUP(MONTH(Table1_1[[#This Row],[order_date]])/3,0)</f>
        <v>Q1</v>
      </c>
      <c r="X1952" t="str">
        <f>TEXT(Table1_1[[#This Row],[order_date]],"yyyy-mm")</f>
        <v>2025-03</v>
      </c>
      <c r="Y1952">
        <f>IF(Table1_1[[#This Row],[ship_date]]="","",Table1_1[[#This Row],[ship_date]]-Table1_1[[#This Row],[order_date]])</f>
        <v>8</v>
      </c>
      <c r="Z1952">
        <f>ROUND(Table1_1[[#This Row],[profit]]/Table1_1[[#This Row],[sales_fix]]*100,2)</f>
        <v>22.69</v>
      </c>
    </row>
    <row r="1953" spans="1:26" x14ac:dyDescent="0.3">
      <c r="A1953" t="s">
        <v>1001</v>
      </c>
      <c r="B1953" s="1">
        <v>45346</v>
      </c>
      <c r="C1953" s="1">
        <v>45352</v>
      </c>
      <c r="D1953" t="s">
        <v>328</v>
      </c>
      <c r="E1953" t="s">
        <v>329</v>
      </c>
      <c r="F1953" t="s">
        <v>23</v>
      </c>
      <c r="G1953" t="s">
        <v>44</v>
      </c>
      <c r="H1953" t="s">
        <v>330</v>
      </c>
      <c r="I1953" t="s">
        <v>147</v>
      </c>
      <c r="J1953" t="s">
        <v>148</v>
      </c>
      <c r="K1953" t="s">
        <v>48</v>
      </c>
      <c r="L1953">
        <v>4</v>
      </c>
      <c r="M1953">
        <v>250</v>
      </c>
      <c r="N1953">
        <v>0</v>
      </c>
      <c r="O1953">
        <v>1000</v>
      </c>
      <c r="P1953">
        <v>395.36</v>
      </c>
      <c r="Q1953" t="s">
        <v>74</v>
      </c>
      <c r="R1953" t="s">
        <v>29</v>
      </c>
      <c r="S1953" t="s">
        <v>86</v>
      </c>
      <c r="T1953">
        <f>YEAR(Table1_1[[#This Row],[order_date]])</f>
        <v>2024</v>
      </c>
      <c r="U1953">
        <f>MONTH(Table1_1[[#This Row],[order_date]])</f>
        <v>2</v>
      </c>
      <c r="V1953" t="str">
        <f>TEXT(Table1_1[[#This Row],[order_date]],"mmm")</f>
        <v>Feb</v>
      </c>
      <c r="W1953" t="str">
        <f>"Q"&amp;ROUNDUP(MONTH(Table1_1[[#This Row],[order_date]])/3,0)</f>
        <v>Q1</v>
      </c>
      <c r="X1953" t="str">
        <f>TEXT(Table1_1[[#This Row],[order_date]],"yyyy-mm")</f>
        <v>2024-02</v>
      </c>
      <c r="Y1953">
        <f>IF(Table1_1[[#This Row],[ship_date]]="","",Table1_1[[#This Row],[ship_date]]-Table1_1[[#This Row],[order_date]])</f>
        <v>6</v>
      </c>
      <c r="Z1953">
        <f>ROUND(Table1_1[[#This Row],[profit]]/Table1_1[[#This Row],[sales_fix]]*100,2)</f>
        <v>39.54</v>
      </c>
    </row>
    <row r="1954" spans="1:26" x14ac:dyDescent="0.3">
      <c r="A1954" t="s">
        <v>2999</v>
      </c>
      <c r="B1954" s="1">
        <v>45989</v>
      </c>
      <c r="C1954" s="1">
        <v>45996</v>
      </c>
      <c r="D1954" t="s">
        <v>346</v>
      </c>
      <c r="E1954" t="s">
        <v>347</v>
      </c>
      <c r="F1954" t="s">
        <v>23</v>
      </c>
      <c r="G1954" t="s">
        <v>44</v>
      </c>
      <c r="H1954" t="s">
        <v>155</v>
      </c>
      <c r="I1954" t="s">
        <v>37</v>
      </c>
      <c r="J1954" t="s">
        <v>38</v>
      </c>
      <c r="K1954" t="s">
        <v>27</v>
      </c>
      <c r="L1954">
        <v>2</v>
      </c>
      <c r="M1954">
        <v>9500</v>
      </c>
      <c r="N1954">
        <v>20</v>
      </c>
      <c r="O1954">
        <v>15200</v>
      </c>
      <c r="P1954">
        <v>2183.17</v>
      </c>
      <c r="Q1954" t="s">
        <v>39</v>
      </c>
      <c r="R1954" t="s">
        <v>29</v>
      </c>
      <c r="S1954" t="s">
        <v>86</v>
      </c>
      <c r="T1954">
        <f>YEAR(Table1_1[[#This Row],[order_date]])</f>
        <v>2025</v>
      </c>
      <c r="U1954">
        <f>MONTH(Table1_1[[#This Row],[order_date]])</f>
        <v>11</v>
      </c>
      <c r="V1954" t="str">
        <f>TEXT(Table1_1[[#This Row],[order_date]],"mmm")</f>
        <v>Nov</v>
      </c>
      <c r="W1954" t="str">
        <f>"Q"&amp;ROUNDUP(MONTH(Table1_1[[#This Row],[order_date]])/3,0)</f>
        <v>Q4</v>
      </c>
      <c r="X1954" t="str">
        <f>TEXT(Table1_1[[#This Row],[order_date]],"yyyy-mm")</f>
        <v>2025-11</v>
      </c>
      <c r="Y1954">
        <f>IF(Table1_1[[#This Row],[ship_date]]="","",Table1_1[[#This Row],[ship_date]]-Table1_1[[#This Row],[order_date]])</f>
        <v>7</v>
      </c>
      <c r="Z1954">
        <f>ROUND(Table1_1[[#This Row],[profit]]/Table1_1[[#This Row],[sales_fix]]*100,2)</f>
        <v>14.36</v>
      </c>
    </row>
    <row r="1955" spans="1:26" x14ac:dyDescent="0.3">
      <c r="A1955" t="s">
        <v>380</v>
      </c>
      <c r="B1955" s="1">
        <v>45421</v>
      </c>
      <c r="C1955" s="1">
        <v>45422</v>
      </c>
      <c r="D1955" t="s">
        <v>381</v>
      </c>
      <c r="E1955" t="s">
        <v>382</v>
      </c>
      <c r="F1955" t="s">
        <v>55</v>
      </c>
      <c r="G1955" t="s">
        <v>61</v>
      </c>
      <c r="H1955" t="s">
        <v>78</v>
      </c>
      <c r="I1955" t="s">
        <v>79</v>
      </c>
      <c r="J1955" t="s">
        <v>80</v>
      </c>
      <c r="K1955" t="s">
        <v>65</v>
      </c>
      <c r="L1955">
        <v>4</v>
      </c>
      <c r="M1955">
        <v>3000</v>
      </c>
      <c r="N1955">
        <v>0</v>
      </c>
      <c r="O1955">
        <v>12000</v>
      </c>
      <c r="P1955">
        <v>3235.6</v>
      </c>
      <c r="Q1955" t="s">
        <v>156</v>
      </c>
      <c r="R1955" t="s">
        <v>56</v>
      </c>
      <c r="S1955" t="s">
        <v>86</v>
      </c>
      <c r="T1955">
        <f>YEAR(Table1_1[[#This Row],[order_date]])</f>
        <v>2024</v>
      </c>
      <c r="U1955">
        <f>MONTH(Table1_1[[#This Row],[order_date]])</f>
        <v>5</v>
      </c>
      <c r="V1955" t="str">
        <f>TEXT(Table1_1[[#This Row],[order_date]],"mmm")</f>
        <v>May</v>
      </c>
      <c r="W1955" t="str">
        <f>"Q"&amp;ROUNDUP(MONTH(Table1_1[[#This Row],[order_date]])/3,0)</f>
        <v>Q2</v>
      </c>
      <c r="X1955" t="str">
        <f>TEXT(Table1_1[[#This Row],[order_date]],"yyyy-mm")</f>
        <v>2024-05</v>
      </c>
      <c r="Y1955">
        <f>IF(Table1_1[[#This Row],[ship_date]]="","",Table1_1[[#This Row],[ship_date]]-Table1_1[[#This Row],[order_date]])</f>
        <v>1</v>
      </c>
      <c r="Z1955">
        <f>ROUND(Table1_1[[#This Row],[profit]]/Table1_1[[#This Row],[sales_fix]]*100,2)</f>
        <v>26.96</v>
      </c>
    </row>
    <row r="1956" spans="1:26" x14ac:dyDescent="0.3">
      <c r="A1956" t="s">
        <v>1208</v>
      </c>
      <c r="B1956" s="1">
        <v>45939</v>
      </c>
      <c r="C1956" s="1">
        <v>45940</v>
      </c>
      <c r="D1956" t="s">
        <v>1209</v>
      </c>
      <c r="E1956" t="s">
        <v>1210</v>
      </c>
      <c r="F1956" t="s">
        <v>23</v>
      </c>
      <c r="G1956" t="s">
        <v>91</v>
      </c>
      <c r="H1956" t="s">
        <v>92</v>
      </c>
      <c r="I1956" t="s">
        <v>63</v>
      </c>
      <c r="J1956" t="s">
        <v>64</v>
      </c>
      <c r="K1956" t="s">
        <v>65</v>
      </c>
      <c r="L1956">
        <v>5</v>
      </c>
      <c r="M1956">
        <v>25000</v>
      </c>
      <c r="N1956">
        <v>0</v>
      </c>
      <c r="O1956">
        <v>125000</v>
      </c>
      <c r="P1956">
        <v>16200.07</v>
      </c>
      <c r="Q1956" t="s">
        <v>28</v>
      </c>
      <c r="R1956" t="s">
        <v>29</v>
      </c>
      <c r="S1956" t="s">
        <v>50</v>
      </c>
      <c r="T1956">
        <f>YEAR(Table1_1[[#This Row],[order_date]])</f>
        <v>2025</v>
      </c>
      <c r="U1956">
        <f>MONTH(Table1_1[[#This Row],[order_date]])</f>
        <v>10</v>
      </c>
      <c r="V1956" t="str">
        <f>TEXT(Table1_1[[#This Row],[order_date]],"mmm")</f>
        <v>Oct</v>
      </c>
      <c r="W1956" t="str">
        <f>"Q"&amp;ROUNDUP(MONTH(Table1_1[[#This Row],[order_date]])/3,0)</f>
        <v>Q4</v>
      </c>
      <c r="X1956" t="str">
        <f>TEXT(Table1_1[[#This Row],[order_date]],"yyyy-mm")</f>
        <v>2025-10</v>
      </c>
      <c r="Y1956">
        <f>IF(Table1_1[[#This Row],[ship_date]]="","",Table1_1[[#This Row],[ship_date]]-Table1_1[[#This Row],[order_date]])</f>
        <v>1</v>
      </c>
      <c r="Z1956">
        <f>ROUND(Table1_1[[#This Row],[profit]]/Table1_1[[#This Row],[sales_fix]]*100,2)</f>
        <v>12.96</v>
      </c>
    </row>
    <row r="1957" spans="1:26" x14ac:dyDescent="0.3">
      <c r="A1957" t="s">
        <v>1298</v>
      </c>
      <c r="B1957" s="1">
        <v>45773</v>
      </c>
      <c r="C1957" s="1">
        <v>45779</v>
      </c>
      <c r="D1957" t="s">
        <v>189</v>
      </c>
      <c r="E1957" t="s">
        <v>190</v>
      </c>
      <c r="F1957" t="s">
        <v>23</v>
      </c>
      <c r="G1957" t="s">
        <v>91</v>
      </c>
      <c r="H1957" t="s">
        <v>120</v>
      </c>
      <c r="I1957" t="s">
        <v>25</v>
      </c>
      <c r="J1957" t="s">
        <v>26</v>
      </c>
      <c r="K1957" t="s">
        <v>27</v>
      </c>
      <c r="L1957">
        <v>10</v>
      </c>
      <c r="M1957">
        <v>7000</v>
      </c>
      <c r="N1957">
        <v>10</v>
      </c>
      <c r="O1957">
        <v>63000</v>
      </c>
      <c r="P1957">
        <v>10605.42</v>
      </c>
      <c r="Q1957" t="s">
        <v>156</v>
      </c>
      <c r="R1957" t="s">
        <v>49</v>
      </c>
      <c r="S1957" t="s">
        <v>86</v>
      </c>
      <c r="T1957">
        <f>YEAR(Table1_1[[#This Row],[order_date]])</f>
        <v>2025</v>
      </c>
      <c r="U1957">
        <f>MONTH(Table1_1[[#This Row],[order_date]])</f>
        <v>4</v>
      </c>
      <c r="V1957" t="str">
        <f>TEXT(Table1_1[[#This Row],[order_date]],"mmm")</f>
        <v>Apr</v>
      </c>
      <c r="W1957" t="str">
        <f>"Q"&amp;ROUNDUP(MONTH(Table1_1[[#This Row],[order_date]])/3,0)</f>
        <v>Q2</v>
      </c>
      <c r="X1957" t="str">
        <f>TEXT(Table1_1[[#This Row],[order_date]],"yyyy-mm")</f>
        <v>2025-04</v>
      </c>
      <c r="Y1957">
        <f>IF(Table1_1[[#This Row],[ship_date]]="","",Table1_1[[#This Row],[ship_date]]-Table1_1[[#This Row],[order_date]])</f>
        <v>6</v>
      </c>
      <c r="Z1957">
        <f>ROUND(Table1_1[[#This Row],[profit]]/Table1_1[[#This Row],[sales_fix]]*100,2)</f>
        <v>16.829999999999998</v>
      </c>
    </row>
    <row r="1958" spans="1:26" x14ac:dyDescent="0.3">
      <c r="A1958" t="s">
        <v>1340</v>
      </c>
      <c r="B1958" s="1">
        <v>45789</v>
      </c>
      <c r="C1958" s="1">
        <v>45792</v>
      </c>
      <c r="D1958" t="s">
        <v>466</v>
      </c>
      <c r="E1958" t="s">
        <v>467</v>
      </c>
      <c r="F1958" t="s">
        <v>34</v>
      </c>
      <c r="G1958" t="s">
        <v>61</v>
      </c>
      <c r="H1958" t="s">
        <v>78</v>
      </c>
      <c r="I1958" t="s">
        <v>63</v>
      </c>
      <c r="J1958" t="s">
        <v>64</v>
      </c>
      <c r="K1958" t="s">
        <v>65</v>
      </c>
      <c r="L1958">
        <v>2</v>
      </c>
      <c r="M1958">
        <v>25000</v>
      </c>
      <c r="N1958">
        <v>20</v>
      </c>
      <c r="O1958">
        <v>40000</v>
      </c>
      <c r="P1958">
        <v>5440.1</v>
      </c>
      <c r="Q1958" t="s">
        <v>156</v>
      </c>
      <c r="R1958" t="s">
        <v>49</v>
      </c>
      <c r="S1958" t="s">
        <v>30</v>
      </c>
      <c r="T1958">
        <f>YEAR(Table1_1[[#This Row],[order_date]])</f>
        <v>2025</v>
      </c>
      <c r="U1958">
        <f>MONTH(Table1_1[[#This Row],[order_date]])</f>
        <v>5</v>
      </c>
      <c r="V1958" t="str">
        <f>TEXT(Table1_1[[#This Row],[order_date]],"mmm")</f>
        <v>May</v>
      </c>
      <c r="W1958" t="str">
        <f>"Q"&amp;ROUNDUP(MONTH(Table1_1[[#This Row],[order_date]])/3,0)</f>
        <v>Q2</v>
      </c>
      <c r="X1958" t="str">
        <f>TEXT(Table1_1[[#This Row],[order_date]],"yyyy-mm")</f>
        <v>2025-05</v>
      </c>
      <c r="Y1958">
        <f>IF(Table1_1[[#This Row],[ship_date]]="","",Table1_1[[#This Row],[ship_date]]-Table1_1[[#This Row],[order_date]])</f>
        <v>3</v>
      </c>
      <c r="Z1958">
        <f>ROUND(Table1_1[[#This Row],[profit]]/Table1_1[[#This Row],[sales_fix]]*100,2)</f>
        <v>13.6</v>
      </c>
    </row>
    <row r="1959" spans="1:26" x14ac:dyDescent="0.3">
      <c r="A1959" t="s">
        <v>2881</v>
      </c>
      <c r="B1959" s="1">
        <v>45431</v>
      </c>
      <c r="C1959" s="1">
        <v>45437</v>
      </c>
      <c r="D1959" t="s">
        <v>101</v>
      </c>
      <c r="E1959" t="s">
        <v>102</v>
      </c>
      <c r="F1959" t="s">
        <v>55</v>
      </c>
      <c r="G1959" t="s">
        <v>35</v>
      </c>
      <c r="H1959" t="s">
        <v>36</v>
      </c>
      <c r="I1959" t="s">
        <v>63</v>
      </c>
      <c r="J1959" t="s">
        <v>64</v>
      </c>
      <c r="K1959" t="s">
        <v>65</v>
      </c>
      <c r="L1959">
        <v>10</v>
      </c>
      <c r="M1959">
        <v>25000</v>
      </c>
      <c r="N1959">
        <v>0</v>
      </c>
      <c r="O1959">
        <v>250000</v>
      </c>
      <c r="P1959">
        <v>32092.29</v>
      </c>
      <c r="Q1959" t="s">
        <v>66</v>
      </c>
      <c r="R1959" t="s">
        <v>49</v>
      </c>
      <c r="S1959" t="s">
        <v>86</v>
      </c>
      <c r="T1959">
        <f>YEAR(Table1_1[[#This Row],[order_date]])</f>
        <v>2024</v>
      </c>
      <c r="U1959">
        <f>MONTH(Table1_1[[#This Row],[order_date]])</f>
        <v>5</v>
      </c>
      <c r="V1959" t="str">
        <f>TEXT(Table1_1[[#This Row],[order_date]],"mmm")</f>
        <v>May</v>
      </c>
      <c r="W1959" t="str">
        <f>"Q"&amp;ROUNDUP(MONTH(Table1_1[[#This Row],[order_date]])/3,0)</f>
        <v>Q2</v>
      </c>
      <c r="X1959" t="str">
        <f>TEXT(Table1_1[[#This Row],[order_date]],"yyyy-mm")</f>
        <v>2024-05</v>
      </c>
      <c r="Y1959">
        <f>IF(Table1_1[[#This Row],[ship_date]]="","",Table1_1[[#This Row],[ship_date]]-Table1_1[[#This Row],[order_date]])</f>
        <v>6</v>
      </c>
      <c r="Z1959">
        <f>ROUND(Table1_1[[#This Row],[profit]]/Table1_1[[#This Row],[sales_fix]]*100,2)</f>
        <v>12.84</v>
      </c>
    </row>
    <row r="1960" spans="1:26" x14ac:dyDescent="0.3">
      <c r="A1960" t="s">
        <v>2674</v>
      </c>
      <c r="B1960" s="1">
        <v>45867</v>
      </c>
      <c r="C1960" s="1">
        <v>45869</v>
      </c>
      <c r="D1960" t="s">
        <v>392</v>
      </c>
      <c r="E1960" t="s">
        <v>393</v>
      </c>
      <c r="F1960" t="s">
        <v>55</v>
      </c>
      <c r="G1960" t="s">
        <v>91</v>
      </c>
      <c r="H1960" t="s">
        <v>92</v>
      </c>
      <c r="I1960" t="s">
        <v>37</v>
      </c>
      <c r="J1960" t="s">
        <v>38</v>
      </c>
      <c r="K1960" t="s">
        <v>27</v>
      </c>
      <c r="L1960">
        <v>2</v>
      </c>
      <c r="M1960">
        <v>9500</v>
      </c>
      <c r="N1960">
        <v>20</v>
      </c>
      <c r="O1960">
        <v>15200</v>
      </c>
      <c r="P1960">
        <v>3281.73</v>
      </c>
      <c r="Q1960" t="s">
        <v>66</v>
      </c>
      <c r="R1960" t="s">
        <v>56</v>
      </c>
      <c r="S1960" t="s">
        <v>110</v>
      </c>
      <c r="T1960">
        <f>YEAR(Table1_1[[#This Row],[order_date]])</f>
        <v>2025</v>
      </c>
      <c r="U1960">
        <f>MONTH(Table1_1[[#This Row],[order_date]])</f>
        <v>7</v>
      </c>
      <c r="V1960" t="str">
        <f>TEXT(Table1_1[[#This Row],[order_date]],"mmm")</f>
        <v>Jul</v>
      </c>
      <c r="W1960" t="str">
        <f>"Q"&amp;ROUNDUP(MONTH(Table1_1[[#This Row],[order_date]])/3,0)</f>
        <v>Q3</v>
      </c>
      <c r="X1960" t="str">
        <f>TEXT(Table1_1[[#This Row],[order_date]],"yyyy-mm")</f>
        <v>2025-07</v>
      </c>
      <c r="Y1960">
        <f>IF(Table1_1[[#This Row],[ship_date]]="","",Table1_1[[#This Row],[ship_date]]-Table1_1[[#This Row],[order_date]])</f>
        <v>2</v>
      </c>
      <c r="Z1960">
        <f>ROUND(Table1_1[[#This Row],[profit]]/Table1_1[[#This Row],[sales_fix]]*100,2)</f>
        <v>21.59</v>
      </c>
    </row>
    <row r="1961" spans="1:26" x14ac:dyDescent="0.3">
      <c r="A1961" t="s">
        <v>1792</v>
      </c>
      <c r="B1961" s="1">
        <v>45474</v>
      </c>
      <c r="C1961" s="1">
        <v>45476</v>
      </c>
      <c r="D1961" t="s">
        <v>1356</v>
      </c>
      <c r="E1961" t="s">
        <v>1357</v>
      </c>
      <c r="F1961" t="s">
        <v>55</v>
      </c>
      <c r="G1961" t="s">
        <v>44</v>
      </c>
      <c r="H1961" t="s">
        <v>24</v>
      </c>
      <c r="I1961" t="s">
        <v>93</v>
      </c>
      <c r="J1961" t="s">
        <v>94</v>
      </c>
      <c r="K1961" t="s">
        <v>95</v>
      </c>
      <c r="L1961">
        <v>4</v>
      </c>
      <c r="M1961">
        <v>1800</v>
      </c>
      <c r="N1961">
        <v>20</v>
      </c>
      <c r="O1961">
        <v>5760</v>
      </c>
      <c r="P1961">
        <v>1499.26</v>
      </c>
      <c r="Q1961" t="s">
        <v>74</v>
      </c>
      <c r="R1961" t="s">
        <v>29</v>
      </c>
      <c r="S1961" t="s">
        <v>30</v>
      </c>
      <c r="T1961">
        <f>YEAR(Table1_1[[#This Row],[order_date]])</f>
        <v>2024</v>
      </c>
      <c r="U1961">
        <f>MONTH(Table1_1[[#This Row],[order_date]])</f>
        <v>7</v>
      </c>
      <c r="V1961" t="str">
        <f>TEXT(Table1_1[[#This Row],[order_date]],"mmm")</f>
        <v>Jul</v>
      </c>
      <c r="W1961" t="str">
        <f>"Q"&amp;ROUNDUP(MONTH(Table1_1[[#This Row],[order_date]])/3,0)</f>
        <v>Q3</v>
      </c>
      <c r="X1961" t="str">
        <f>TEXT(Table1_1[[#This Row],[order_date]],"yyyy-mm")</f>
        <v>2024-07</v>
      </c>
      <c r="Y1961">
        <f>IF(Table1_1[[#This Row],[ship_date]]="","",Table1_1[[#This Row],[ship_date]]-Table1_1[[#This Row],[order_date]])</f>
        <v>2</v>
      </c>
      <c r="Z1961">
        <f>ROUND(Table1_1[[#This Row],[profit]]/Table1_1[[#This Row],[sales_fix]]*100,2)</f>
        <v>26.03</v>
      </c>
    </row>
    <row r="1962" spans="1:26" x14ac:dyDescent="0.3">
      <c r="A1962" t="s">
        <v>2626</v>
      </c>
      <c r="B1962" s="1">
        <v>45336</v>
      </c>
      <c r="C1962" s="1">
        <v>45344</v>
      </c>
      <c r="D1962" t="s">
        <v>524</v>
      </c>
      <c r="E1962" t="s">
        <v>525</v>
      </c>
      <c r="F1962" t="s">
        <v>34</v>
      </c>
      <c r="G1962" t="s">
        <v>35</v>
      </c>
      <c r="H1962" t="s">
        <v>187</v>
      </c>
      <c r="I1962" t="s">
        <v>71</v>
      </c>
      <c r="J1962" t="s">
        <v>72</v>
      </c>
      <c r="K1962" t="s">
        <v>73</v>
      </c>
      <c r="L1962">
        <v>3</v>
      </c>
      <c r="M1962">
        <v>3500</v>
      </c>
      <c r="N1962">
        <v>0</v>
      </c>
      <c r="O1962">
        <v>10500</v>
      </c>
      <c r="P1962">
        <v>3624.77</v>
      </c>
      <c r="Q1962" t="s">
        <v>66</v>
      </c>
      <c r="R1962" t="s">
        <v>56</v>
      </c>
      <c r="S1962" t="s">
        <v>50</v>
      </c>
      <c r="T1962">
        <f>YEAR(Table1_1[[#This Row],[order_date]])</f>
        <v>2024</v>
      </c>
      <c r="U1962">
        <f>MONTH(Table1_1[[#This Row],[order_date]])</f>
        <v>2</v>
      </c>
      <c r="V1962" t="str">
        <f>TEXT(Table1_1[[#This Row],[order_date]],"mmm")</f>
        <v>Feb</v>
      </c>
      <c r="W1962" t="str">
        <f>"Q"&amp;ROUNDUP(MONTH(Table1_1[[#This Row],[order_date]])/3,0)</f>
        <v>Q1</v>
      </c>
      <c r="X1962" t="str">
        <f>TEXT(Table1_1[[#This Row],[order_date]],"yyyy-mm")</f>
        <v>2024-02</v>
      </c>
      <c r="Y1962">
        <f>IF(Table1_1[[#This Row],[ship_date]]="","",Table1_1[[#This Row],[ship_date]]-Table1_1[[#This Row],[order_date]])</f>
        <v>8</v>
      </c>
      <c r="Z1962">
        <f>ROUND(Table1_1[[#This Row],[profit]]/Table1_1[[#This Row],[sales_fix]]*100,2)</f>
        <v>34.520000000000003</v>
      </c>
    </row>
    <row r="1963" spans="1:26" x14ac:dyDescent="0.3">
      <c r="A1963" t="s">
        <v>2827</v>
      </c>
      <c r="B1963" s="1">
        <v>45325</v>
      </c>
      <c r="C1963" s="1">
        <v>45331</v>
      </c>
      <c r="D1963" t="s">
        <v>1643</v>
      </c>
      <c r="E1963" t="s">
        <v>1644</v>
      </c>
      <c r="F1963" t="s">
        <v>55</v>
      </c>
      <c r="G1963" t="s">
        <v>91</v>
      </c>
      <c r="H1963" t="s">
        <v>120</v>
      </c>
      <c r="I1963" t="s">
        <v>114</v>
      </c>
      <c r="J1963" t="s">
        <v>115</v>
      </c>
      <c r="K1963" t="s">
        <v>65</v>
      </c>
      <c r="L1963">
        <v>2</v>
      </c>
      <c r="M1963">
        <v>55000</v>
      </c>
      <c r="N1963">
        <v>20</v>
      </c>
      <c r="O1963">
        <v>88000</v>
      </c>
      <c r="P1963">
        <v>13813.67</v>
      </c>
      <c r="Q1963" t="s">
        <v>156</v>
      </c>
      <c r="R1963" t="s">
        <v>29</v>
      </c>
      <c r="S1963" t="s">
        <v>86</v>
      </c>
      <c r="T1963">
        <f>YEAR(Table1_1[[#This Row],[order_date]])</f>
        <v>2024</v>
      </c>
      <c r="U1963">
        <f>MONTH(Table1_1[[#This Row],[order_date]])</f>
        <v>2</v>
      </c>
      <c r="V1963" t="str">
        <f>TEXT(Table1_1[[#This Row],[order_date]],"mmm")</f>
        <v>Feb</v>
      </c>
      <c r="W1963" t="str">
        <f>"Q"&amp;ROUNDUP(MONTH(Table1_1[[#This Row],[order_date]])/3,0)</f>
        <v>Q1</v>
      </c>
      <c r="X1963" t="str">
        <f>TEXT(Table1_1[[#This Row],[order_date]],"yyyy-mm")</f>
        <v>2024-02</v>
      </c>
      <c r="Y1963">
        <f>IF(Table1_1[[#This Row],[ship_date]]="","",Table1_1[[#This Row],[ship_date]]-Table1_1[[#This Row],[order_date]])</f>
        <v>6</v>
      </c>
      <c r="Z1963">
        <f>ROUND(Table1_1[[#This Row],[profit]]/Table1_1[[#This Row],[sales_fix]]*100,2)</f>
        <v>15.7</v>
      </c>
    </row>
    <row r="1964" spans="1:26" x14ac:dyDescent="0.3">
      <c r="A1964" t="s">
        <v>3037</v>
      </c>
      <c r="B1964" s="1">
        <v>46009</v>
      </c>
      <c r="C1964" s="1">
        <v>46014</v>
      </c>
      <c r="D1964" t="s">
        <v>32</v>
      </c>
      <c r="E1964" t="s">
        <v>33</v>
      </c>
      <c r="F1964" t="s">
        <v>34</v>
      </c>
      <c r="G1964" t="s">
        <v>35</v>
      </c>
      <c r="H1964" t="s">
        <v>36</v>
      </c>
      <c r="I1964" t="s">
        <v>25</v>
      </c>
      <c r="J1964" t="s">
        <v>26</v>
      </c>
      <c r="K1964" t="s">
        <v>27</v>
      </c>
      <c r="L1964">
        <v>3</v>
      </c>
      <c r="M1964">
        <v>7000</v>
      </c>
      <c r="N1964">
        <v>10</v>
      </c>
      <c r="O1964">
        <v>18900</v>
      </c>
      <c r="P1964">
        <v>3865.28</v>
      </c>
      <c r="Q1964" t="s">
        <v>39</v>
      </c>
      <c r="R1964" t="s">
        <v>56</v>
      </c>
      <c r="S1964" t="s">
        <v>110</v>
      </c>
      <c r="T1964">
        <f>YEAR(Table1_1[[#This Row],[order_date]])</f>
        <v>2025</v>
      </c>
      <c r="U1964">
        <f>MONTH(Table1_1[[#This Row],[order_date]])</f>
        <v>12</v>
      </c>
      <c r="V1964" t="str">
        <f>TEXT(Table1_1[[#This Row],[order_date]],"mmm")</f>
        <v>Dec</v>
      </c>
      <c r="W1964" t="str">
        <f>"Q"&amp;ROUNDUP(MONTH(Table1_1[[#This Row],[order_date]])/3,0)</f>
        <v>Q4</v>
      </c>
      <c r="X1964" t="str">
        <f>TEXT(Table1_1[[#This Row],[order_date]],"yyyy-mm")</f>
        <v>2025-12</v>
      </c>
      <c r="Y1964">
        <f>IF(Table1_1[[#This Row],[ship_date]]="","",Table1_1[[#This Row],[ship_date]]-Table1_1[[#This Row],[order_date]])</f>
        <v>5</v>
      </c>
      <c r="Z1964">
        <f>ROUND(Table1_1[[#This Row],[profit]]/Table1_1[[#This Row],[sales_fix]]*100,2)</f>
        <v>20.45</v>
      </c>
    </row>
    <row r="1965" spans="1:26" x14ac:dyDescent="0.3">
      <c r="A1965" t="s">
        <v>917</v>
      </c>
      <c r="B1965" s="1">
        <v>45953</v>
      </c>
      <c r="C1965" s="1">
        <v>45957</v>
      </c>
      <c r="D1965" t="s">
        <v>919</v>
      </c>
      <c r="E1965" t="s">
        <v>920</v>
      </c>
      <c r="F1965" t="s">
        <v>23</v>
      </c>
      <c r="G1965" t="s">
        <v>35</v>
      </c>
      <c r="H1965" t="s">
        <v>36</v>
      </c>
      <c r="I1965" t="s">
        <v>103</v>
      </c>
      <c r="J1965" t="s">
        <v>104</v>
      </c>
      <c r="K1965" t="s">
        <v>65</v>
      </c>
      <c r="L1965">
        <v>2</v>
      </c>
      <c r="M1965">
        <v>8000</v>
      </c>
      <c r="N1965">
        <v>5</v>
      </c>
      <c r="O1965">
        <v>15200</v>
      </c>
      <c r="P1965">
        <v>3288.07</v>
      </c>
      <c r="Q1965" t="s">
        <v>28</v>
      </c>
      <c r="R1965" t="s">
        <v>49</v>
      </c>
      <c r="S1965" t="s">
        <v>50</v>
      </c>
      <c r="T1965">
        <f>YEAR(Table1_1[[#This Row],[order_date]])</f>
        <v>2025</v>
      </c>
      <c r="U1965">
        <f>MONTH(Table1_1[[#This Row],[order_date]])</f>
        <v>10</v>
      </c>
      <c r="V1965" t="str">
        <f>TEXT(Table1_1[[#This Row],[order_date]],"mmm")</f>
        <v>Oct</v>
      </c>
      <c r="W1965" t="str">
        <f>"Q"&amp;ROUNDUP(MONTH(Table1_1[[#This Row],[order_date]])/3,0)</f>
        <v>Q4</v>
      </c>
      <c r="X1965" t="str">
        <f>TEXT(Table1_1[[#This Row],[order_date]],"yyyy-mm")</f>
        <v>2025-10</v>
      </c>
      <c r="Y1965">
        <f>IF(Table1_1[[#This Row],[ship_date]]="","",Table1_1[[#This Row],[ship_date]]-Table1_1[[#This Row],[order_date]])</f>
        <v>4</v>
      </c>
      <c r="Z1965">
        <f>ROUND(Table1_1[[#This Row],[profit]]/Table1_1[[#This Row],[sales_fix]]*100,2)</f>
        <v>21.63</v>
      </c>
    </row>
    <row r="1966" spans="1:26" x14ac:dyDescent="0.3">
      <c r="A1966" t="s">
        <v>1654</v>
      </c>
      <c r="B1966" s="1">
        <v>45775</v>
      </c>
      <c r="C1966" s="1">
        <v>45777</v>
      </c>
      <c r="D1966" t="s">
        <v>947</v>
      </c>
      <c r="E1966" t="s">
        <v>948</v>
      </c>
      <c r="F1966" t="s">
        <v>55</v>
      </c>
      <c r="G1966" t="s">
        <v>35</v>
      </c>
      <c r="H1966" t="s">
        <v>36</v>
      </c>
      <c r="I1966" t="s">
        <v>25</v>
      </c>
      <c r="J1966" t="s">
        <v>26</v>
      </c>
      <c r="K1966" t="s">
        <v>27</v>
      </c>
      <c r="L1966">
        <v>3</v>
      </c>
      <c r="M1966">
        <v>7000</v>
      </c>
      <c r="N1966">
        <v>5</v>
      </c>
      <c r="O1966">
        <v>19950</v>
      </c>
      <c r="P1966">
        <v>4540.57</v>
      </c>
      <c r="Q1966" t="s">
        <v>39</v>
      </c>
      <c r="R1966" t="s">
        <v>56</v>
      </c>
      <c r="S1966" t="s">
        <v>40</v>
      </c>
      <c r="T1966">
        <f>YEAR(Table1_1[[#This Row],[order_date]])</f>
        <v>2025</v>
      </c>
      <c r="U1966">
        <f>MONTH(Table1_1[[#This Row],[order_date]])</f>
        <v>4</v>
      </c>
      <c r="V1966" t="str">
        <f>TEXT(Table1_1[[#This Row],[order_date]],"mmm")</f>
        <v>Apr</v>
      </c>
      <c r="W1966" t="str">
        <f>"Q"&amp;ROUNDUP(MONTH(Table1_1[[#This Row],[order_date]])/3,0)</f>
        <v>Q2</v>
      </c>
      <c r="X1966" t="str">
        <f>TEXT(Table1_1[[#This Row],[order_date]],"yyyy-mm")</f>
        <v>2025-04</v>
      </c>
      <c r="Y1966">
        <f>IF(Table1_1[[#This Row],[ship_date]]="","",Table1_1[[#This Row],[ship_date]]-Table1_1[[#This Row],[order_date]])</f>
        <v>2</v>
      </c>
      <c r="Z1966">
        <f>ROUND(Table1_1[[#This Row],[profit]]/Table1_1[[#This Row],[sales_fix]]*100,2)</f>
        <v>22.76</v>
      </c>
    </row>
    <row r="1967" spans="1:26" x14ac:dyDescent="0.3">
      <c r="A1967" t="s">
        <v>2061</v>
      </c>
      <c r="B1967" s="1">
        <v>45499</v>
      </c>
      <c r="C1967" s="1">
        <v>45503</v>
      </c>
      <c r="D1967" t="s">
        <v>657</v>
      </c>
      <c r="E1967" t="s">
        <v>658</v>
      </c>
      <c r="F1967" t="s">
        <v>34</v>
      </c>
      <c r="G1967" t="s">
        <v>91</v>
      </c>
      <c r="H1967" t="s">
        <v>120</v>
      </c>
      <c r="I1967" t="s">
        <v>147</v>
      </c>
      <c r="J1967" t="s">
        <v>148</v>
      </c>
      <c r="K1967" t="s">
        <v>48</v>
      </c>
      <c r="L1967">
        <v>4</v>
      </c>
      <c r="M1967">
        <v>250</v>
      </c>
      <c r="N1967">
        <v>20</v>
      </c>
      <c r="O1967">
        <v>800</v>
      </c>
      <c r="P1967">
        <v>292.92</v>
      </c>
      <c r="Q1967" t="s">
        <v>156</v>
      </c>
      <c r="R1967" t="s">
        <v>29</v>
      </c>
      <c r="S1967" t="s">
        <v>86</v>
      </c>
      <c r="T1967">
        <f>YEAR(Table1_1[[#This Row],[order_date]])</f>
        <v>2024</v>
      </c>
      <c r="U1967">
        <f>MONTH(Table1_1[[#This Row],[order_date]])</f>
        <v>7</v>
      </c>
      <c r="V1967" t="str">
        <f>TEXT(Table1_1[[#This Row],[order_date]],"mmm")</f>
        <v>Jul</v>
      </c>
      <c r="W1967" t="str">
        <f>"Q"&amp;ROUNDUP(MONTH(Table1_1[[#This Row],[order_date]])/3,0)</f>
        <v>Q3</v>
      </c>
      <c r="X1967" t="str">
        <f>TEXT(Table1_1[[#This Row],[order_date]],"yyyy-mm")</f>
        <v>2024-07</v>
      </c>
      <c r="Y1967">
        <f>IF(Table1_1[[#This Row],[ship_date]]="","",Table1_1[[#This Row],[ship_date]]-Table1_1[[#This Row],[order_date]])</f>
        <v>4</v>
      </c>
      <c r="Z1967">
        <f>ROUND(Table1_1[[#This Row],[profit]]/Table1_1[[#This Row],[sales_fix]]*100,2)</f>
        <v>36.619999999999997</v>
      </c>
    </row>
    <row r="1968" spans="1:26" x14ac:dyDescent="0.3">
      <c r="A1968" t="s">
        <v>2804</v>
      </c>
      <c r="B1968" s="1">
        <v>45338</v>
      </c>
      <c r="C1968" s="1">
        <v>45345</v>
      </c>
      <c r="D1968" t="s">
        <v>438</v>
      </c>
      <c r="E1968" t="s">
        <v>439</v>
      </c>
      <c r="F1968" t="s">
        <v>34</v>
      </c>
      <c r="G1968" t="s">
        <v>35</v>
      </c>
      <c r="H1968" t="s">
        <v>85</v>
      </c>
      <c r="I1968" t="s">
        <v>37</v>
      </c>
      <c r="J1968" t="s">
        <v>38</v>
      </c>
      <c r="K1968" t="s">
        <v>27</v>
      </c>
      <c r="L1968">
        <v>1</v>
      </c>
      <c r="M1968">
        <v>9500</v>
      </c>
      <c r="N1968">
        <v>20</v>
      </c>
      <c r="O1968">
        <v>7600</v>
      </c>
      <c r="P1968">
        <v>1405.38</v>
      </c>
      <c r="Q1968" t="s">
        <v>121</v>
      </c>
      <c r="R1968" t="s">
        <v>56</v>
      </c>
      <c r="S1968" t="s">
        <v>50</v>
      </c>
      <c r="T1968">
        <f>YEAR(Table1_1[[#This Row],[order_date]])</f>
        <v>2024</v>
      </c>
      <c r="U1968">
        <f>MONTH(Table1_1[[#This Row],[order_date]])</f>
        <v>2</v>
      </c>
      <c r="V1968" t="str">
        <f>TEXT(Table1_1[[#This Row],[order_date]],"mmm")</f>
        <v>Feb</v>
      </c>
      <c r="W1968" t="str">
        <f>"Q"&amp;ROUNDUP(MONTH(Table1_1[[#This Row],[order_date]])/3,0)</f>
        <v>Q1</v>
      </c>
      <c r="X1968" t="str">
        <f>TEXT(Table1_1[[#This Row],[order_date]],"yyyy-mm")</f>
        <v>2024-02</v>
      </c>
      <c r="Y1968">
        <f>IF(Table1_1[[#This Row],[ship_date]]="","",Table1_1[[#This Row],[ship_date]]-Table1_1[[#This Row],[order_date]])</f>
        <v>7</v>
      </c>
      <c r="Z1968">
        <f>ROUND(Table1_1[[#This Row],[profit]]/Table1_1[[#This Row],[sales_fix]]*100,2)</f>
        <v>18.489999999999998</v>
      </c>
    </row>
    <row r="1969" spans="1:26" x14ac:dyDescent="0.3">
      <c r="A1969" t="s">
        <v>1140</v>
      </c>
      <c r="B1969" s="1">
        <v>45595</v>
      </c>
      <c r="C1969" s="1">
        <v>45603</v>
      </c>
      <c r="D1969" t="s">
        <v>1048</v>
      </c>
      <c r="E1969" t="s">
        <v>1049</v>
      </c>
      <c r="F1969" t="s">
        <v>34</v>
      </c>
      <c r="G1969" t="s">
        <v>61</v>
      </c>
      <c r="H1969" t="s">
        <v>125</v>
      </c>
      <c r="I1969" t="s">
        <v>147</v>
      </c>
      <c r="J1969" t="s">
        <v>148</v>
      </c>
      <c r="K1969" t="s">
        <v>48</v>
      </c>
      <c r="L1969">
        <v>4</v>
      </c>
      <c r="M1969">
        <v>250</v>
      </c>
      <c r="N1969">
        <v>20</v>
      </c>
      <c r="O1969">
        <v>800</v>
      </c>
      <c r="P1969">
        <v>317.23</v>
      </c>
      <c r="Q1969" t="s">
        <v>74</v>
      </c>
      <c r="R1969" t="s">
        <v>56</v>
      </c>
      <c r="S1969" t="s">
        <v>50</v>
      </c>
      <c r="T1969">
        <f>YEAR(Table1_1[[#This Row],[order_date]])</f>
        <v>2024</v>
      </c>
      <c r="U1969">
        <f>MONTH(Table1_1[[#This Row],[order_date]])</f>
        <v>10</v>
      </c>
      <c r="V1969" t="str">
        <f>TEXT(Table1_1[[#This Row],[order_date]],"mmm")</f>
        <v>Oct</v>
      </c>
      <c r="W1969" t="str">
        <f>"Q"&amp;ROUNDUP(MONTH(Table1_1[[#This Row],[order_date]])/3,0)</f>
        <v>Q4</v>
      </c>
      <c r="X1969" t="str">
        <f>TEXT(Table1_1[[#This Row],[order_date]],"yyyy-mm")</f>
        <v>2024-10</v>
      </c>
      <c r="Y1969">
        <f>IF(Table1_1[[#This Row],[ship_date]]="","",Table1_1[[#This Row],[ship_date]]-Table1_1[[#This Row],[order_date]])</f>
        <v>8</v>
      </c>
      <c r="Z1969">
        <f>ROUND(Table1_1[[#This Row],[profit]]/Table1_1[[#This Row],[sales_fix]]*100,2)</f>
        <v>39.65</v>
      </c>
    </row>
    <row r="1970" spans="1:26" x14ac:dyDescent="0.3">
      <c r="A1970" t="s">
        <v>2502</v>
      </c>
      <c r="B1970" s="1">
        <v>45722</v>
      </c>
      <c r="C1970" s="1">
        <v>45729</v>
      </c>
      <c r="D1970" t="s">
        <v>838</v>
      </c>
      <c r="E1970" t="s">
        <v>839</v>
      </c>
      <c r="F1970" t="s">
        <v>23</v>
      </c>
      <c r="G1970" t="s">
        <v>35</v>
      </c>
      <c r="H1970" t="s">
        <v>258</v>
      </c>
      <c r="I1970" t="s">
        <v>79</v>
      </c>
      <c r="J1970" t="s">
        <v>80</v>
      </c>
      <c r="K1970" t="s">
        <v>65</v>
      </c>
      <c r="L1970">
        <v>2</v>
      </c>
      <c r="M1970">
        <v>3000</v>
      </c>
      <c r="N1970">
        <v>5</v>
      </c>
      <c r="O1970">
        <v>5700</v>
      </c>
      <c r="P1970">
        <v>1786.64</v>
      </c>
      <c r="Q1970" t="s">
        <v>66</v>
      </c>
      <c r="R1970" t="s">
        <v>56</v>
      </c>
      <c r="S1970" t="s">
        <v>30</v>
      </c>
      <c r="T1970">
        <f>YEAR(Table1_1[[#This Row],[order_date]])</f>
        <v>2025</v>
      </c>
      <c r="U1970">
        <f>MONTH(Table1_1[[#This Row],[order_date]])</f>
        <v>3</v>
      </c>
      <c r="V1970" t="str">
        <f>TEXT(Table1_1[[#This Row],[order_date]],"mmm")</f>
        <v>Mar</v>
      </c>
      <c r="W1970" t="str">
        <f>"Q"&amp;ROUNDUP(MONTH(Table1_1[[#This Row],[order_date]])/3,0)</f>
        <v>Q1</v>
      </c>
      <c r="X1970" t="str">
        <f>TEXT(Table1_1[[#This Row],[order_date]],"yyyy-mm")</f>
        <v>2025-03</v>
      </c>
      <c r="Y1970">
        <f>IF(Table1_1[[#This Row],[ship_date]]="","",Table1_1[[#This Row],[ship_date]]-Table1_1[[#This Row],[order_date]])</f>
        <v>7</v>
      </c>
      <c r="Z1970">
        <f>ROUND(Table1_1[[#This Row],[profit]]/Table1_1[[#This Row],[sales_fix]]*100,2)</f>
        <v>31.34</v>
      </c>
    </row>
    <row r="1971" spans="1:26" x14ac:dyDescent="0.3">
      <c r="A1971" t="s">
        <v>2212</v>
      </c>
      <c r="B1971" s="1">
        <v>45894</v>
      </c>
      <c r="C1971" s="1"/>
      <c r="D1971" t="s">
        <v>578</v>
      </c>
      <c r="E1971" t="s">
        <v>579</v>
      </c>
      <c r="F1971" t="s">
        <v>23</v>
      </c>
      <c r="G1971" t="s">
        <v>91</v>
      </c>
      <c r="H1971" t="s">
        <v>177</v>
      </c>
      <c r="I1971" t="s">
        <v>103</v>
      </c>
      <c r="J1971" t="s">
        <v>104</v>
      </c>
      <c r="K1971" t="s">
        <v>65</v>
      </c>
      <c r="L1971">
        <v>2</v>
      </c>
      <c r="M1971">
        <v>8000</v>
      </c>
      <c r="N1971">
        <v>15</v>
      </c>
      <c r="O1971">
        <v>13600</v>
      </c>
      <c r="P1971">
        <v>3735.18</v>
      </c>
      <c r="Q1971" t="s">
        <v>39</v>
      </c>
      <c r="R1971" t="s">
        <v>56</v>
      </c>
      <c r="S1971" t="s">
        <v>50</v>
      </c>
      <c r="T1971">
        <f>YEAR(Table1_1[[#This Row],[order_date]])</f>
        <v>2025</v>
      </c>
      <c r="U1971">
        <f>MONTH(Table1_1[[#This Row],[order_date]])</f>
        <v>8</v>
      </c>
      <c r="V1971" t="str">
        <f>TEXT(Table1_1[[#This Row],[order_date]],"mmm")</f>
        <v>Aug</v>
      </c>
      <c r="W1971" t="str">
        <f>"Q"&amp;ROUNDUP(MONTH(Table1_1[[#This Row],[order_date]])/3,0)</f>
        <v>Q3</v>
      </c>
      <c r="X1971" t="str">
        <f>TEXT(Table1_1[[#This Row],[order_date]],"yyyy-mm")</f>
        <v>2025-08</v>
      </c>
      <c r="Y1971" t="str">
        <f>IF(Table1_1[[#This Row],[ship_date]]="","",Table1_1[[#This Row],[ship_date]]-Table1_1[[#This Row],[order_date]])</f>
        <v/>
      </c>
      <c r="Z1971">
        <f>ROUND(Table1_1[[#This Row],[profit]]/Table1_1[[#This Row],[sales_fix]]*100,2)</f>
        <v>27.46</v>
      </c>
    </row>
    <row r="1972" spans="1:26" x14ac:dyDescent="0.3">
      <c r="A1972" t="s">
        <v>2180</v>
      </c>
      <c r="B1972" s="1">
        <v>45473</v>
      </c>
      <c r="C1972" s="1">
        <v>45478</v>
      </c>
      <c r="D1972" t="s">
        <v>145</v>
      </c>
      <c r="E1972" t="s">
        <v>146</v>
      </c>
      <c r="F1972" t="s">
        <v>34</v>
      </c>
      <c r="G1972" t="s">
        <v>91</v>
      </c>
      <c r="H1972" t="s">
        <v>92</v>
      </c>
      <c r="I1972" t="s">
        <v>25</v>
      </c>
      <c r="J1972" t="s">
        <v>26</v>
      </c>
      <c r="K1972" t="s">
        <v>27</v>
      </c>
      <c r="L1972">
        <v>1</v>
      </c>
      <c r="M1972">
        <v>7000</v>
      </c>
      <c r="N1972">
        <v>0</v>
      </c>
      <c r="O1972">
        <v>7000</v>
      </c>
      <c r="P1972">
        <v>1313.7</v>
      </c>
      <c r="Q1972" t="s">
        <v>28</v>
      </c>
      <c r="R1972" t="s">
        <v>29</v>
      </c>
      <c r="S1972" t="s">
        <v>40</v>
      </c>
      <c r="T1972">
        <f>YEAR(Table1_1[[#This Row],[order_date]])</f>
        <v>2024</v>
      </c>
      <c r="U1972">
        <f>MONTH(Table1_1[[#This Row],[order_date]])</f>
        <v>6</v>
      </c>
      <c r="V1972" t="str">
        <f>TEXT(Table1_1[[#This Row],[order_date]],"mmm")</f>
        <v>Jun</v>
      </c>
      <c r="W1972" t="str">
        <f>"Q"&amp;ROUNDUP(MONTH(Table1_1[[#This Row],[order_date]])/3,0)</f>
        <v>Q2</v>
      </c>
      <c r="X1972" t="str">
        <f>TEXT(Table1_1[[#This Row],[order_date]],"yyyy-mm")</f>
        <v>2024-06</v>
      </c>
      <c r="Y1972">
        <f>IF(Table1_1[[#This Row],[ship_date]]="","",Table1_1[[#This Row],[ship_date]]-Table1_1[[#This Row],[order_date]])</f>
        <v>5</v>
      </c>
      <c r="Z1972">
        <f>ROUND(Table1_1[[#This Row],[profit]]/Table1_1[[#This Row],[sales_fix]]*100,2)</f>
        <v>18.77</v>
      </c>
    </row>
    <row r="1973" spans="1:26" x14ac:dyDescent="0.3">
      <c r="A1973" t="s">
        <v>2661</v>
      </c>
      <c r="B1973" s="1">
        <v>45634</v>
      </c>
      <c r="C1973" s="1">
        <v>45641</v>
      </c>
      <c r="D1973" t="s">
        <v>209</v>
      </c>
      <c r="E1973" t="s">
        <v>210</v>
      </c>
      <c r="F1973" t="s">
        <v>34</v>
      </c>
      <c r="G1973" t="s">
        <v>61</v>
      </c>
      <c r="H1973" t="s">
        <v>211</v>
      </c>
      <c r="I1973" t="s">
        <v>37</v>
      </c>
      <c r="J1973" t="s">
        <v>38</v>
      </c>
      <c r="K1973" t="s">
        <v>27</v>
      </c>
      <c r="L1973">
        <v>4</v>
      </c>
      <c r="M1973">
        <v>9500</v>
      </c>
      <c r="N1973">
        <v>0</v>
      </c>
      <c r="O1973">
        <v>38000</v>
      </c>
      <c r="P1973">
        <v>7462.25</v>
      </c>
      <c r="Q1973" t="s">
        <v>74</v>
      </c>
      <c r="R1973" t="s">
        <v>49</v>
      </c>
      <c r="S1973" t="s">
        <v>40</v>
      </c>
      <c r="T1973">
        <f>YEAR(Table1_1[[#This Row],[order_date]])</f>
        <v>2024</v>
      </c>
      <c r="U1973">
        <f>MONTH(Table1_1[[#This Row],[order_date]])</f>
        <v>12</v>
      </c>
      <c r="V1973" t="str">
        <f>TEXT(Table1_1[[#This Row],[order_date]],"mmm")</f>
        <v>Dec</v>
      </c>
      <c r="W1973" t="str">
        <f>"Q"&amp;ROUNDUP(MONTH(Table1_1[[#This Row],[order_date]])/3,0)</f>
        <v>Q4</v>
      </c>
      <c r="X1973" t="str">
        <f>TEXT(Table1_1[[#This Row],[order_date]],"yyyy-mm")</f>
        <v>2024-12</v>
      </c>
      <c r="Y1973">
        <f>IF(Table1_1[[#This Row],[ship_date]]="","",Table1_1[[#This Row],[ship_date]]-Table1_1[[#This Row],[order_date]])</f>
        <v>7</v>
      </c>
      <c r="Z1973">
        <f>ROUND(Table1_1[[#This Row],[profit]]/Table1_1[[#This Row],[sales_fix]]*100,2)</f>
        <v>19.64</v>
      </c>
    </row>
    <row r="1974" spans="1:26" x14ac:dyDescent="0.3">
      <c r="A1974" t="s">
        <v>1400</v>
      </c>
      <c r="B1974" s="1">
        <v>45373</v>
      </c>
      <c r="C1974" s="1">
        <v>45376</v>
      </c>
      <c r="D1974" t="s">
        <v>1107</v>
      </c>
      <c r="E1974" t="s">
        <v>1108</v>
      </c>
      <c r="F1974" t="s">
        <v>55</v>
      </c>
      <c r="G1974" t="s">
        <v>91</v>
      </c>
      <c r="H1974" t="s">
        <v>109</v>
      </c>
      <c r="I1974" t="s">
        <v>37</v>
      </c>
      <c r="J1974" t="s">
        <v>38</v>
      </c>
      <c r="K1974" t="s">
        <v>27</v>
      </c>
      <c r="L1974">
        <v>1</v>
      </c>
      <c r="M1974">
        <v>9500</v>
      </c>
      <c r="N1974">
        <v>5</v>
      </c>
      <c r="O1974">
        <v>9025</v>
      </c>
      <c r="P1974">
        <v>1378.63</v>
      </c>
      <c r="Q1974" t="s">
        <v>156</v>
      </c>
      <c r="R1974" t="s">
        <v>29</v>
      </c>
      <c r="S1974" t="s">
        <v>40</v>
      </c>
      <c r="T1974">
        <f>YEAR(Table1_1[[#This Row],[order_date]])</f>
        <v>2024</v>
      </c>
      <c r="U1974">
        <f>MONTH(Table1_1[[#This Row],[order_date]])</f>
        <v>3</v>
      </c>
      <c r="V1974" t="str">
        <f>TEXT(Table1_1[[#This Row],[order_date]],"mmm")</f>
        <v>Mar</v>
      </c>
      <c r="W1974" t="str">
        <f>"Q"&amp;ROUNDUP(MONTH(Table1_1[[#This Row],[order_date]])/3,0)</f>
        <v>Q1</v>
      </c>
      <c r="X1974" t="str">
        <f>TEXT(Table1_1[[#This Row],[order_date]],"yyyy-mm")</f>
        <v>2024-03</v>
      </c>
      <c r="Y1974">
        <f>IF(Table1_1[[#This Row],[ship_date]]="","",Table1_1[[#This Row],[ship_date]]-Table1_1[[#This Row],[order_date]])</f>
        <v>3</v>
      </c>
      <c r="Z1974">
        <f>ROUND(Table1_1[[#This Row],[profit]]/Table1_1[[#This Row],[sales_fix]]*100,2)</f>
        <v>15.28</v>
      </c>
    </row>
    <row r="1975" spans="1:26" x14ac:dyDescent="0.3">
      <c r="A1975" t="s">
        <v>2933</v>
      </c>
      <c r="B1975" s="1">
        <v>45633</v>
      </c>
      <c r="C1975" s="1">
        <v>45638</v>
      </c>
      <c r="D1975" t="s">
        <v>2178</v>
      </c>
      <c r="E1975" t="s">
        <v>2179</v>
      </c>
      <c r="F1975" t="s">
        <v>55</v>
      </c>
      <c r="G1975" t="s">
        <v>44</v>
      </c>
      <c r="H1975" t="s">
        <v>24</v>
      </c>
      <c r="I1975" t="s">
        <v>46</v>
      </c>
      <c r="J1975" t="s">
        <v>47</v>
      </c>
      <c r="K1975" t="s">
        <v>48</v>
      </c>
      <c r="L1975">
        <v>1</v>
      </c>
      <c r="M1975">
        <v>180</v>
      </c>
      <c r="N1975">
        <v>0</v>
      </c>
      <c r="O1975">
        <v>180</v>
      </c>
      <c r="P1975">
        <v>72.69</v>
      </c>
      <c r="Q1975" t="s">
        <v>156</v>
      </c>
      <c r="R1975" t="s">
        <v>29</v>
      </c>
      <c r="S1975" t="s">
        <v>40</v>
      </c>
      <c r="T1975">
        <f>YEAR(Table1_1[[#This Row],[order_date]])</f>
        <v>2024</v>
      </c>
      <c r="U1975">
        <f>MONTH(Table1_1[[#This Row],[order_date]])</f>
        <v>12</v>
      </c>
      <c r="V1975" t="str">
        <f>TEXT(Table1_1[[#This Row],[order_date]],"mmm")</f>
        <v>Dec</v>
      </c>
      <c r="W1975" t="str">
        <f>"Q"&amp;ROUNDUP(MONTH(Table1_1[[#This Row],[order_date]])/3,0)</f>
        <v>Q4</v>
      </c>
      <c r="X1975" t="str">
        <f>TEXT(Table1_1[[#This Row],[order_date]],"yyyy-mm")</f>
        <v>2024-12</v>
      </c>
      <c r="Y1975">
        <f>IF(Table1_1[[#This Row],[ship_date]]="","",Table1_1[[#This Row],[ship_date]]-Table1_1[[#This Row],[order_date]])</f>
        <v>5</v>
      </c>
      <c r="Z1975">
        <f>ROUND(Table1_1[[#This Row],[profit]]/Table1_1[[#This Row],[sales_fix]]*100,2)</f>
        <v>40.380000000000003</v>
      </c>
    </row>
    <row r="1976" spans="1:26" x14ac:dyDescent="0.3">
      <c r="A1976" t="s">
        <v>2488</v>
      </c>
      <c r="B1976" s="1">
        <v>45394</v>
      </c>
      <c r="C1976" s="1">
        <v>45401</v>
      </c>
      <c r="D1976" t="s">
        <v>1184</v>
      </c>
      <c r="E1976" t="s">
        <v>1185</v>
      </c>
      <c r="F1976" t="s">
        <v>55</v>
      </c>
      <c r="G1976" t="s">
        <v>91</v>
      </c>
      <c r="H1976" t="s">
        <v>109</v>
      </c>
      <c r="I1976" t="s">
        <v>103</v>
      </c>
      <c r="J1976" t="s">
        <v>104</v>
      </c>
      <c r="K1976" t="s">
        <v>65</v>
      </c>
      <c r="L1976">
        <v>5</v>
      </c>
      <c r="M1976">
        <v>8000</v>
      </c>
      <c r="N1976">
        <v>0</v>
      </c>
      <c r="O1976">
        <v>40000</v>
      </c>
      <c r="P1976">
        <v>10000</v>
      </c>
      <c r="Q1976" t="s">
        <v>66</v>
      </c>
      <c r="R1976" t="s">
        <v>56</v>
      </c>
      <c r="S1976" t="s">
        <v>86</v>
      </c>
      <c r="T1976">
        <f>YEAR(Table1_1[[#This Row],[order_date]])</f>
        <v>2024</v>
      </c>
      <c r="U1976">
        <f>MONTH(Table1_1[[#This Row],[order_date]])</f>
        <v>4</v>
      </c>
      <c r="V1976" t="str">
        <f>TEXT(Table1_1[[#This Row],[order_date]],"mmm")</f>
        <v>Apr</v>
      </c>
      <c r="W1976" t="str">
        <f>"Q"&amp;ROUNDUP(MONTH(Table1_1[[#This Row],[order_date]])/3,0)</f>
        <v>Q2</v>
      </c>
      <c r="X1976" t="str">
        <f>TEXT(Table1_1[[#This Row],[order_date]],"yyyy-mm")</f>
        <v>2024-04</v>
      </c>
      <c r="Y1976">
        <f>IF(Table1_1[[#This Row],[ship_date]]="","",Table1_1[[#This Row],[ship_date]]-Table1_1[[#This Row],[order_date]])</f>
        <v>7</v>
      </c>
      <c r="Z1976">
        <f>ROUND(Table1_1[[#This Row],[profit]]/Table1_1[[#This Row],[sales_fix]]*100,2)</f>
        <v>25</v>
      </c>
    </row>
    <row r="1977" spans="1:26" x14ac:dyDescent="0.3">
      <c r="A1977" t="s">
        <v>2605</v>
      </c>
      <c r="B1977" s="1">
        <v>45594</v>
      </c>
      <c r="C1977" s="1">
        <v>45597</v>
      </c>
      <c r="D1977" t="s">
        <v>657</v>
      </c>
      <c r="E1977" t="s">
        <v>658</v>
      </c>
      <c r="F1977" t="s">
        <v>34</v>
      </c>
      <c r="G1977" t="s">
        <v>91</v>
      </c>
      <c r="H1977" t="s">
        <v>120</v>
      </c>
      <c r="I1977" t="s">
        <v>37</v>
      </c>
      <c r="J1977" t="s">
        <v>38</v>
      </c>
      <c r="K1977" t="s">
        <v>27</v>
      </c>
      <c r="L1977">
        <v>2</v>
      </c>
      <c r="M1977">
        <v>9500</v>
      </c>
      <c r="N1977">
        <v>5</v>
      </c>
      <c r="O1977">
        <v>18050</v>
      </c>
      <c r="P1977">
        <v>2604.9499999999998</v>
      </c>
      <c r="Q1977" t="s">
        <v>121</v>
      </c>
      <c r="R1977" t="s">
        <v>56</v>
      </c>
      <c r="S1977" t="s">
        <v>86</v>
      </c>
      <c r="T1977">
        <f>YEAR(Table1_1[[#This Row],[order_date]])</f>
        <v>2024</v>
      </c>
      <c r="U1977">
        <f>MONTH(Table1_1[[#This Row],[order_date]])</f>
        <v>10</v>
      </c>
      <c r="V1977" t="str">
        <f>TEXT(Table1_1[[#This Row],[order_date]],"mmm")</f>
        <v>Oct</v>
      </c>
      <c r="W1977" t="str">
        <f>"Q"&amp;ROUNDUP(MONTH(Table1_1[[#This Row],[order_date]])/3,0)</f>
        <v>Q4</v>
      </c>
      <c r="X1977" t="str">
        <f>TEXT(Table1_1[[#This Row],[order_date]],"yyyy-mm")</f>
        <v>2024-10</v>
      </c>
      <c r="Y1977">
        <f>IF(Table1_1[[#This Row],[ship_date]]="","",Table1_1[[#This Row],[ship_date]]-Table1_1[[#This Row],[order_date]])</f>
        <v>3</v>
      </c>
      <c r="Z1977">
        <f>ROUND(Table1_1[[#This Row],[profit]]/Table1_1[[#This Row],[sales_fix]]*100,2)</f>
        <v>14.43</v>
      </c>
    </row>
    <row r="1978" spans="1:26" x14ac:dyDescent="0.3">
      <c r="A1978" t="s">
        <v>1053</v>
      </c>
      <c r="B1978" s="1">
        <v>45927</v>
      </c>
      <c r="C1978" s="1">
        <v>45932</v>
      </c>
      <c r="D1978" t="s">
        <v>1055</v>
      </c>
      <c r="E1978" t="s">
        <v>1056</v>
      </c>
      <c r="F1978" t="s">
        <v>55</v>
      </c>
      <c r="G1978" t="s">
        <v>61</v>
      </c>
      <c r="H1978" t="s">
        <v>62</v>
      </c>
      <c r="I1978" t="s">
        <v>71</v>
      </c>
      <c r="J1978" t="s">
        <v>72</v>
      </c>
      <c r="K1978" t="s">
        <v>73</v>
      </c>
      <c r="L1978">
        <v>1</v>
      </c>
      <c r="M1978">
        <v>3500</v>
      </c>
      <c r="N1978">
        <v>0</v>
      </c>
      <c r="O1978">
        <v>3500</v>
      </c>
      <c r="P1978">
        <v>925.18</v>
      </c>
      <c r="Q1978" t="s">
        <v>156</v>
      </c>
      <c r="R1978" t="s">
        <v>29</v>
      </c>
      <c r="S1978" t="s">
        <v>50</v>
      </c>
      <c r="T1978">
        <f>YEAR(Table1_1[[#This Row],[order_date]])</f>
        <v>2025</v>
      </c>
      <c r="U1978">
        <f>MONTH(Table1_1[[#This Row],[order_date]])</f>
        <v>9</v>
      </c>
      <c r="V1978" t="str">
        <f>TEXT(Table1_1[[#This Row],[order_date]],"mmm")</f>
        <v>Sep</v>
      </c>
      <c r="W1978" t="str">
        <f>"Q"&amp;ROUNDUP(MONTH(Table1_1[[#This Row],[order_date]])/3,0)</f>
        <v>Q3</v>
      </c>
      <c r="X1978" t="str">
        <f>TEXT(Table1_1[[#This Row],[order_date]],"yyyy-mm")</f>
        <v>2025-09</v>
      </c>
      <c r="Y1978">
        <f>IF(Table1_1[[#This Row],[ship_date]]="","",Table1_1[[#This Row],[ship_date]]-Table1_1[[#This Row],[order_date]])</f>
        <v>5</v>
      </c>
      <c r="Z1978">
        <f>ROUND(Table1_1[[#This Row],[profit]]/Table1_1[[#This Row],[sales_fix]]*100,2)</f>
        <v>26.43</v>
      </c>
    </row>
    <row r="1979" spans="1:26" x14ac:dyDescent="0.3">
      <c r="A1979" t="s">
        <v>1568</v>
      </c>
      <c r="B1979" s="1">
        <v>45974</v>
      </c>
      <c r="C1979" s="1">
        <v>45980</v>
      </c>
      <c r="D1979" t="s">
        <v>1356</v>
      </c>
      <c r="E1979" t="s">
        <v>1357</v>
      </c>
      <c r="F1979" t="s">
        <v>55</v>
      </c>
      <c r="G1979" t="s">
        <v>44</v>
      </c>
      <c r="H1979" t="s">
        <v>24</v>
      </c>
      <c r="I1979" t="s">
        <v>63</v>
      </c>
      <c r="J1979" t="s">
        <v>64</v>
      </c>
      <c r="K1979" t="s">
        <v>65</v>
      </c>
      <c r="L1979">
        <v>2</v>
      </c>
      <c r="M1979">
        <v>25000</v>
      </c>
      <c r="N1979">
        <v>0</v>
      </c>
      <c r="O1979">
        <v>50000</v>
      </c>
      <c r="P1979">
        <v>7604.8</v>
      </c>
      <c r="Q1979" t="s">
        <v>66</v>
      </c>
      <c r="R1979" t="s">
        <v>29</v>
      </c>
      <c r="S1979" t="s">
        <v>50</v>
      </c>
      <c r="T1979">
        <f>YEAR(Table1_1[[#This Row],[order_date]])</f>
        <v>2025</v>
      </c>
      <c r="U1979">
        <f>MONTH(Table1_1[[#This Row],[order_date]])</f>
        <v>11</v>
      </c>
      <c r="V1979" t="str">
        <f>TEXT(Table1_1[[#This Row],[order_date]],"mmm")</f>
        <v>Nov</v>
      </c>
      <c r="W1979" t="str">
        <f>"Q"&amp;ROUNDUP(MONTH(Table1_1[[#This Row],[order_date]])/3,0)</f>
        <v>Q4</v>
      </c>
      <c r="X1979" t="str">
        <f>TEXT(Table1_1[[#This Row],[order_date]],"yyyy-mm")</f>
        <v>2025-11</v>
      </c>
      <c r="Y1979">
        <f>IF(Table1_1[[#This Row],[ship_date]]="","",Table1_1[[#This Row],[ship_date]]-Table1_1[[#This Row],[order_date]])</f>
        <v>6</v>
      </c>
      <c r="Z1979">
        <f>ROUND(Table1_1[[#This Row],[profit]]/Table1_1[[#This Row],[sales_fix]]*100,2)</f>
        <v>15.21</v>
      </c>
    </row>
    <row r="1980" spans="1:26" x14ac:dyDescent="0.3">
      <c r="A1980" t="s">
        <v>1258</v>
      </c>
      <c r="B1980" s="1">
        <v>45343</v>
      </c>
      <c r="C1980" s="1">
        <v>45346</v>
      </c>
      <c r="D1980" t="s">
        <v>318</v>
      </c>
      <c r="E1980" t="s">
        <v>319</v>
      </c>
      <c r="F1980" t="s">
        <v>55</v>
      </c>
      <c r="G1980" t="s">
        <v>35</v>
      </c>
      <c r="H1980" t="s">
        <v>36</v>
      </c>
      <c r="I1980" t="s">
        <v>71</v>
      </c>
      <c r="J1980" t="s">
        <v>72</v>
      </c>
      <c r="K1980" t="s">
        <v>73</v>
      </c>
      <c r="L1980">
        <v>1</v>
      </c>
      <c r="M1980">
        <v>3500</v>
      </c>
      <c r="N1980">
        <v>0</v>
      </c>
      <c r="O1980">
        <v>3500</v>
      </c>
      <c r="P1980">
        <v>935.09</v>
      </c>
      <c r="Q1980" t="s">
        <v>74</v>
      </c>
      <c r="R1980" t="s">
        <v>56</v>
      </c>
      <c r="S1980" t="s">
        <v>40</v>
      </c>
      <c r="T1980">
        <f>YEAR(Table1_1[[#This Row],[order_date]])</f>
        <v>2024</v>
      </c>
      <c r="U1980">
        <f>MONTH(Table1_1[[#This Row],[order_date]])</f>
        <v>2</v>
      </c>
      <c r="V1980" t="str">
        <f>TEXT(Table1_1[[#This Row],[order_date]],"mmm")</f>
        <v>Feb</v>
      </c>
      <c r="W1980" t="str">
        <f>"Q"&amp;ROUNDUP(MONTH(Table1_1[[#This Row],[order_date]])/3,0)</f>
        <v>Q1</v>
      </c>
      <c r="X1980" t="str">
        <f>TEXT(Table1_1[[#This Row],[order_date]],"yyyy-mm")</f>
        <v>2024-02</v>
      </c>
      <c r="Y1980">
        <f>IF(Table1_1[[#This Row],[ship_date]]="","",Table1_1[[#This Row],[ship_date]]-Table1_1[[#This Row],[order_date]])</f>
        <v>3</v>
      </c>
      <c r="Z1980">
        <f>ROUND(Table1_1[[#This Row],[profit]]/Table1_1[[#This Row],[sales_fix]]*100,2)</f>
        <v>26.72</v>
      </c>
    </row>
    <row r="1981" spans="1:26" x14ac:dyDescent="0.3">
      <c r="A1981" t="s">
        <v>1627</v>
      </c>
      <c r="B1981" s="1">
        <v>45940</v>
      </c>
      <c r="C1981" s="1">
        <v>45948</v>
      </c>
      <c r="D1981" t="s">
        <v>438</v>
      </c>
      <c r="E1981" t="s">
        <v>439</v>
      </c>
      <c r="F1981" t="s">
        <v>34</v>
      </c>
      <c r="G1981" t="s">
        <v>35</v>
      </c>
      <c r="H1981" t="s">
        <v>85</v>
      </c>
      <c r="I1981" t="s">
        <v>147</v>
      </c>
      <c r="J1981" t="s">
        <v>148</v>
      </c>
      <c r="K1981" t="s">
        <v>48</v>
      </c>
      <c r="L1981">
        <v>1</v>
      </c>
      <c r="M1981">
        <v>250</v>
      </c>
      <c r="N1981">
        <v>5</v>
      </c>
      <c r="O1981">
        <v>237.5</v>
      </c>
      <c r="P1981">
        <v>77.239999999999995</v>
      </c>
      <c r="Q1981" t="s">
        <v>66</v>
      </c>
      <c r="R1981" t="s">
        <v>49</v>
      </c>
      <c r="S1981" t="s">
        <v>50</v>
      </c>
      <c r="T1981">
        <f>YEAR(Table1_1[[#This Row],[order_date]])</f>
        <v>2025</v>
      </c>
      <c r="U1981">
        <f>MONTH(Table1_1[[#This Row],[order_date]])</f>
        <v>10</v>
      </c>
      <c r="V1981" t="str">
        <f>TEXT(Table1_1[[#This Row],[order_date]],"mmm")</f>
        <v>Oct</v>
      </c>
      <c r="W1981" t="str">
        <f>"Q"&amp;ROUNDUP(MONTH(Table1_1[[#This Row],[order_date]])/3,0)</f>
        <v>Q4</v>
      </c>
      <c r="X1981" t="str">
        <f>TEXT(Table1_1[[#This Row],[order_date]],"yyyy-mm")</f>
        <v>2025-10</v>
      </c>
      <c r="Y1981">
        <f>IF(Table1_1[[#This Row],[ship_date]]="","",Table1_1[[#This Row],[ship_date]]-Table1_1[[#This Row],[order_date]])</f>
        <v>8</v>
      </c>
      <c r="Z1981">
        <f>ROUND(Table1_1[[#This Row],[profit]]/Table1_1[[#This Row],[sales_fix]]*100,2)</f>
        <v>32.520000000000003</v>
      </c>
    </row>
    <row r="1982" spans="1:26" x14ac:dyDescent="0.3">
      <c r="A1982" t="s">
        <v>3006</v>
      </c>
      <c r="B1982" s="1">
        <v>45901</v>
      </c>
      <c r="C1982" s="1">
        <v>45907</v>
      </c>
      <c r="D1982" t="s">
        <v>602</v>
      </c>
      <c r="E1982" t="s">
        <v>603</v>
      </c>
      <c r="F1982" t="s">
        <v>34</v>
      </c>
      <c r="G1982" t="s">
        <v>61</v>
      </c>
      <c r="H1982" t="s">
        <v>125</v>
      </c>
      <c r="I1982" t="s">
        <v>147</v>
      </c>
      <c r="J1982" t="s">
        <v>148</v>
      </c>
      <c r="K1982" t="s">
        <v>48</v>
      </c>
      <c r="L1982">
        <v>2</v>
      </c>
      <c r="M1982">
        <v>250</v>
      </c>
      <c r="N1982">
        <v>0</v>
      </c>
      <c r="O1982">
        <v>500</v>
      </c>
      <c r="P1982">
        <v>196.66</v>
      </c>
      <c r="Q1982" t="s">
        <v>156</v>
      </c>
      <c r="R1982" t="s">
        <v>29</v>
      </c>
      <c r="S1982" t="s">
        <v>50</v>
      </c>
      <c r="T1982">
        <f>YEAR(Table1_1[[#This Row],[order_date]])</f>
        <v>2025</v>
      </c>
      <c r="U1982">
        <f>MONTH(Table1_1[[#This Row],[order_date]])</f>
        <v>9</v>
      </c>
      <c r="V1982" t="str">
        <f>TEXT(Table1_1[[#This Row],[order_date]],"mmm")</f>
        <v>Sep</v>
      </c>
      <c r="W1982" t="str">
        <f>"Q"&amp;ROUNDUP(MONTH(Table1_1[[#This Row],[order_date]])/3,0)</f>
        <v>Q3</v>
      </c>
      <c r="X1982" t="str">
        <f>TEXT(Table1_1[[#This Row],[order_date]],"yyyy-mm")</f>
        <v>2025-09</v>
      </c>
      <c r="Y1982">
        <f>IF(Table1_1[[#This Row],[ship_date]]="","",Table1_1[[#This Row],[ship_date]]-Table1_1[[#This Row],[order_date]])</f>
        <v>6</v>
      </c>
      <c r="Z1982">
        <f>ROUND(Table1_1[[#This Row],[profit]]/Table1_1[[#This Row],[sales_fix]]*100,2)</f>
        <v>39.33</v>
      </c>
    </row>
    <row r="1983" spans="1:26" x14ac:dyDescent="0.3">
      <c r="A1983" t="s">
        <v>2159</v>
      </c>
      <c r="B1983" s="1">
        <v>45301</v>
      </c>
      <c r="C1983" s="1">
        <v>45305</v>
      </c>
      <c r="D1983" t="s">
        <v>138</v>
      </c>
      <c r="E1983" t="s">
        <v>139</v>
      </c>
      <c r="F1983" t="s">
        <v>55</v>
      </c>
      <c r="G1983" t="s">
        <v>35</v>
      </c>
      <c r="H1983" t="s">
        <v>36</v>
      </c>
      <c r="I1983" t="s">
        <v>114</v>
      </c>
      <c r="J1983" t="s">
        <v>115</v>
      </c>
      <c r="K1983" t="s">
        <v>65</v>
      </c>
      <c r="L1983">
        <v>10</v>
      </c>
      <c r="M1983">
        <v>55000</v>
      </c>
      <c r="N1983">
        <v>0</v>
      </c>
      <c r="O1983">
        <v>550000</v>
      </c>
      <c r="P1983">
        <v>107212.75</v>
      </c>
      <c r="Q1983" t="s">
        <v>74</v>
      </c>
      <c r="R1983" t="s">
        <v>56</v>
      </c>
      <c r="S1983" t="s">
        <v>86</v>
      </c>
      <c r="T1983">
        <f>YEAR(Table1_1[[#This Row],[order_date]])</f>
        <v>2024</v>
      </c>
      <c r="U1983">
        <f>MONTH(Table1_1[[#This Row],[order_date]])</f>
        <v>1</v>
      </c>
      <c r="V1983" t="str">
        <f>TEXT(Table1_1[[#This Row],[order_date]],"mmm")</f>
        <v>Jan</v>
      </c>
      <c r="W1983" t="str">
        <f>"Q"&amp;ROUNDUP(MONTH(Table1_1[[#This Row],[order_date]])/3,0)</f>
        <v>Q1</v>
      </c>
      <c r="X1983" t="str">
        <f>TEXT(Table1_1[[#This Row],[order_date]],"yyyy-mm")</f>
        <v>2024-01</v>
      </c>
      <c r="Y1983">
        <f>IF(Table1_1[[#This Row],[ship_date]]="","",Table1_1[[#This Row],[ship_date]]-Table1_1[[#This Row],[order_date]])</f>
        <v>4</v>
      </c>
      <c r="Z1983">
        <f>ROUND(Table1_1[[#This Row],[profit]]/Table1_1[[#This Row],[sales_fix]]*100,2)</f>
        <v>19.489999999999998</v>
      </c>
    </row>
    <row r="1984" spans="1:26" x14ac:dyDescent="0.3">
      <c r="A1984" t="s">
        <v>2728</v>
      </c>
      <c r="B1984" s="1">
        <v>45884</v>
      </c>
      <c r="C1984" s="1">
        <v>45885</v>
      </c>
      <c r="D1984" t="s">
        <v>561</v>
      </c>
      <c r="E1984" t="s">
        <v>562</v>
      </c>
      <c r="F1984" t="s">
        <v>23</v>
      </c>
      <c r="G1984" t="s">
        <v>44</v>
      </c>
      <c r="H1984" t="s">
        <v>155</v>
      </c>
      <c r="I1984" t="s">
        <v>71</v>
      </c>
      <c r="J1984" t="s">
        <v>72</v>
      </c>
      <c r="K1984" t="s">
        <v>73</v>
      </c>
      <c r="L1984">
        <v>1</v>
      </c>
      <c r="M1984">
        <v>3500</v>
      </c>
      <c r="N1984">
        <v>0</v>
      </c>
      <c r="O1984">
        <v>3500</v>
      </c>
      <c r="P1984">
        <v>940</v>
      </c>
      <c r="Q1984" t="s">
        <v>121</v>
      </c>
      <c r="R1984" t="s">
        <v>49</v>
      </c>
      <c r="S1984" t="s">
        <v>86</v>
      </c>
      <c r="T1984">
        <f>YEAR(Table1_1[[#This Row],[order_date]])</f>
        <v>2025</v>
      </c>
      <c r="U1984">
        <f>MONTH(Table1_1[[#This Row],[order_date]])</f>
        <v>8</v>
      </c>
      <c r="V1984" t="str">
        <f>TEXT(Table1_1[[#This Row],[order_date]],"mmm")</f>
        <v>Aug</v>
      </c>
      <c r="W1984" t="str">
        <f>"Q"&amp;ROUNDUP(MONTH(Table1_1[[#This Row],[order_date]])/3,0)</f>
        <v>Q3</v>
      </c>
      <c r="X1984" t="str">
        <f>TEXT(Table1_1[[#This Row],[order_date]],"yyyy-mm")</f>
        <v>2025-08</v>
      </c>
      <c r="Y1984">
        <f>IF(Table1_1[[#This Row],[ship_date]]="","",Table1_1[[#This Row],[ship_date]]-Table1_1[[#This Row],[order_date]])</f>
        <v>1</v>
      </c>
      <c r="Z1984">
        <f>ROUND(Table1_1[[#This Row],[profit]]/Table1_1[[#This Row],[sales_fix]]*100,2)</f>
        <v>26.86</v>
      </c>
    </row>
    <row r="1985" spans="1:26" x14ac:dyDescent="0.3">
      <c r="A1985" t="s">
        <v>1808</v>
      </c>
      <c r="B1985" s="1">
        <v>46007</v>
      </c>
      <c r="C1985" s="1">
        <v>46009</v>
      </c>
      <c r="D1985" t="s">
        <v>864</v>
      </c>
      <c r="E1985" t="s">
        <v>865</v>
      </c>
      <c r="F1985" t="s">
        <v>34</v>
      </c>
      <c r="G1985" t="s">
        <v>44</v>
      </c>
      <c r="H1985" t="s">
        <v>155</v>
      </c>
      <c r="I1985" t="s">
        <v>93</v>
      </c>
      <c r="J1985" t="s">
        <v>94</v>
      </c>
      <c r="K1985" t="s">
        <v>95</v>
      </c>
      <c r="L1985">
        <v>1</v>
      </c>
      <c r="M1985">
        <v>1800</v>
      </c>
      <c r="N1985">
        <v>0</v>
      </c>
      <c r="O1985">
        <v>1800</v>
      </c>
      <c r="P1985">
        <v>577.78</v>
      </c>
      <c r="Q1985" t="s">
        <v>3113</v>
      </c>
      <c r="R1985" t="s">
        <v>56</v>
      </c>
      <c r="S1985" t="s">
        <v>110</v>
      </c>
      <c r="T1985">
        <f>YEAR(Table1_1[[#This Row],[order_date]])</f>
        <v>2025</v>
      </c>
      <c r="U1985">
        <f>MONTH(Table1_1[[#This Row],[order_date]])</f>
        <v>12</v>
      </c>
      <c r="V1985" t="str">
        <f>TEXT(Table1_1[[#This Row],[order_date]],"mmm")</f>
        <v>Dec</v>
      </c>
      <c r="W1985" t="str">
        <f>"Q"&amp;ROUNDUP(MONTH(Table1_1[[#This Row],[order_date]])/3,0)</f>
        <v>Q4</v>
      </c>
      <c r="X1985" t="str">
        <f>TEXT(Table1_1[[#This Row],[order_date]],"yyyy-mm")</f>
        <v>2025-12</v>
      </c>
      <c r="Y1985">
        <f>IF(Table1_1[[#This Row],[ship_date]]="","",Table1_1[[#This Row],[ship_date]]-Table1_1[[#This Row],[order_date]])</f>
        <v>2</v>
      </c>
      <c r="Z1985">
        <f>ROUND(Table1_1[[#This Row],[profit]]/Table1_1[[#This Row],[sales_fix]]*100,2)</f>
        <v>32.1</v>
      </c>
    </row>
    <row r="1986" spans="1:26" x14ac:dyDescent="0.3">
      <c r="A1986" t="s">
        <v>2102</v>
      </c>
      <c r="B1986" s="1">
        <v>45659</v>
      </c>
      <c r="C1986" s="1">
        <v>45665</v>
      </c>
      <c r="D1986" t="s">
        <v>288</v>
      </c>
      <c r="E1986" t="s">
        <v>289</v>
      </c>
      <c r="F1986" t="s">
        <v>34</v>
      </c>
      <c r="G1986" t="s">
        <v>44</v>
      </c>
      <c r="H1986" t="s">
        <v>155</v>
      </c>
      <c r="I1986" t="s">
        <v>46</v>
      </c>
      <c r="J1986" t="s">
        <v>47</v>
      </c>
      <c r="K1986" t="s">
        <v>48</v>
      </c>
      <c r="L1986">
        <v>1</v>
      </c>
      <c r="M1986">
        <v>180</v>
      </c>
      <c r="N1986">
        <v>20</v>
      </c>
      <c r="O1986">
        <v>144</v>
      </c>
      <c r="P1986">
        <v>51.67</v>
      </c>
      <c r="Q1986" t="s">
        <v>156</v>
      </c>
      <c r="R1986" t="s">
        <v>56</v>
      </c>
      <c r="S1986" t="s">
        <v>110</v>
      </c>
      <c r="T1986">
        <f>YEAR(Table1_1[[#This Row],[order_date]])</f>
        <v>2025</v>
      </c>
      <c r="U1986">
        <f>MONTH(Table1_1[[#This Row],[order_date]])</f>
        <v>1</v>
      </c>
      <c r="V1986" t="str">
        <f>TEXT(Table1_1[[#This Row],[order_date]],"mmm")</f>
        <v>Jan</v>
      </c>
      <c r="W1986" t="str">
        <f>"Q"&amp;ROUNDUP(MONTH(Table1_1[[#This Row],[order_date]])/3,0)</f>
        <v>Q1</v>
      </c>
      <c r="X1986" t="str">
        <f>TEXT(Table1_1[[#This Row],[order_date]],"yyyy-mm")</f>
        <v>2025-01</v>
      </c>
      <c r="Y1986">
        <f>IF(Table1_1[[#This Row],[ship_date]]="","",Table1_1[[#This Row],[ship_date]]-Table1_1[[#This Row],[order_date]])</f>
        <v>6</v>
      </c>
      <c r="Z1986">
        <f>ROUND(Table1_1[[#This Row],[profit]]/Table1_1[[#This Row],[sales_fix]]*100,2)</f>
        <v>35.880000000000003</v>
      </c>
    </row>
    <row r="1987" spans="1:26" x14ac:dyDescent="0.3">
      <c r="A1987" t="s">
        <v>2368</v>
      </c>
      <c r="B1987" s="1">
        <v>45662</v>
      </c>
      <c r="C1987" s="1">
        <v>45670</v>
      </c>
      <c r="D1987" t="s">
        <v>1090</v>
      </c>
      <c r="E1987" t="s">
        <v>1091</v>
      </c>
      <c r="F1987" t="s">
        <v>23</v>
      </c>
      <c r="G1987" t="s">
        <v>61</v>
      </c>
      <c r="H1987" t="s">
        <v>78</v>
      </c>
      <c r="I1987" t="s">
        <v>114</v>
      </c>
      <c r="J1987" t="s">
        <v>115</v>
      </c>
      <c r="K1987" t="s">
        <v>65</v>
      </c>
      <c r="L1987">
        <v>1</v>
      </c>
      <c r="M1987">
        <v>55000</v>
      </c>
      <c r="N1987">
        <v>0</v>
      </c>
      <c r="O1987">
        <v>55000</v>
      </c>
      <c r="P1987">
        <v>7164.93</v>
      </c>
      <c r="Q1987" t="s">
        <v>39</v>
      </c>
      <c r="R1987" t="s">
        <v>56</v>
      </c>
      <c r="S1987" t="s">
        <v>86</v>
      </c>
      <c r="T1987">
        <f>YEAR(Table1_1[[#This Row],[order_date]])</f>
        <v>2025</v>
      </c>
      <c r="U1987">
        <f>MONTH(Table1_1[[#This Row],[order_date]])</f>
        <v>1</v>
      </c>
      <c r="V1987" t="str">
        <f>TEXT(Table1_1[[#This Row],[order_date]],"mmm")</f>
        <v>Jan</v>
      </c>
      <c r="W1987" t="str">
        <f>"Q"&amp;ROUNDUP(MONTH(Table1_1[[#This Row],[order_date]])/3,0)</f>
        <v>Q1</v>
      </c>
      <c r="X1987" t="str">
        <f>TEXT(Table1_1[[#This Row],[order_date]],"yyyy-mm")</f>
        <v>2025-01</v>
      </c>
      <c r="Y1987">
        <f>IF(Table1_1[[#This Row],[ship_date]]="","",Table1_1[[#This Row],[ship_date]]-Table1_1[[#This Row],[order_date]])</f>
        <v>8</v>
      </c>
      <c r="Z1987">
        <f>ROUND(Table1_1[[#This Row],[profit]]/Table1_1[[#This Row],[sales_fix]]*100,2)</f>
        <v>13.03</v>
      </c>
    </row>
    <row r="1988" spans="1:26" x14ac:dyDescent="0.3">
      <c r="A1988" t="s">
        <v>2111</v>
      </c>
      <c r="B1988" s="1">
        <v>45876</v>
      </c>
      <c r="C1988" s="1">
        <v>45878</v>
      </c>
      <c r="D1988" t="s">
        <v>842</v>
      </c>
      <c r="E1988" t="s">
        <v>843</v>
      </c>
      <c r="F1988" t="s">
        <v>23</v>
      </c>
      <c r="G1988" t="s">
        <v>91</v>
      </c>
      <c r="H1988" t="s">
        <v>120</v>
      </c>
      <c r="I1988" t="s">
        <v>134</v>
      </c>
      <c r="J1988" t="s">
        <v>135</v>
      </c>
      <c r="K1988" t="s">
        <v>27</v>
      </c>
      <c r="L1988">
        <v>2</v>
      </c>
      <c r="M1988">
        <v>6000</v>
      </c>
      <c r="N1988">
        <v>20</v>
      </c>
      <c r="O1988">
        <v>9600</v>
      </c>
      <c r="P1988">
        <v>2117.37</v>
      </c>
      <c r="Q1988" t="s">
        <v>39</v>
      </c>
      <c r="R1988" t="s">
        <v>49</v>
      </c>
      <c r="S1988" t="s">
        <v>30</v>
      </c>
      <c r="T1988">
        <f>YEAR(Table1_1[[#This Row],[order_date]])</f>
        <v>2025</v>
      </c>
      <c r="U1988">
        <f>MONTH(Table1_1[[#This Row],[order_date]])</f>
        <v>8</v>
      </c>
      <c r="V1988" t="str">
        <f>TEXT(Table1_1[[#This Row],[order_date]],"mmm")</f>
        <v>Aug</v>
      </c>
      <c r="W1988" t="str">
        <f>"Q"&amp;ROUNDUP(MONTH(Table1_1[[#This Row],[order_date]])/3,0)</f>
        <v>Q3</v>
      </c>
      <c r="X1988" t="str">
        <f>TEXT(Table1_1[[#This Row],[order_date]],"yyyy-mm")</f>
        <v>2025-08</v>
      </c>
      <c r="Y1988">
        <f>IF(Table1_1[[#This Row],[ship_date]]="","",Table1_1[[#This Row],[ship_date]]-Table1_1[[#This Row],[order_date]])</f>
        <v>2</v>
      </c>
      <c r="Z1988">
        <f>ROUND(Table1_1[[#This Row],[profit]]/Table1_1[[#This Row],[sales_fix]]*100,2)</f>
        <v>22.06</v>
      </c>
    </row>
    <row r="1989" spans="1:26" x14ac:dyDescent="0.3">
      <c r="A1989" t="s">
        <v>2749</v>
      </c>
      <c r="B1989" s="1">
        <v>45337</v>
      </c>
      <c r="C1989" s="1">
        <v>45342</v>
      </c>
      <c r="D1989" t="s">
        <v>527</v>
      </c>
      <c r="E1989" t="s">
        <v>528</v>
      </c>
      <c r="F1989" t="s">
        <v>23</v>
      </c>
      <c r="G1989" t="s">
        <v>44</v>
      </c>
      <c r="H1989" t="s">
        <v>161</v>
      </c>
      <c r="I1989" t="s">
        <v>25</v>
      </c>
      <c r="J1989" t="s">
        <v>26</v>
      </c>
      <c r="K1989" t="s">
        <v>27</v>
      </c>
      <c r="L1989">
        <v>3</v>
      </c>
      <c r="M1989">
        <v>7000</v>
      </c>
      <c r="N1989">
        <v>0</v>
      </c>
      <c r="O1989">
        <v>21000</v>
      </c>
      <c r="P1989">
        <v>5074.82</v>
      </c>
      <c r="Q1989" t="s">
        <v>156</v>
      </c>
      <c r="R1989" t="s">
        <v>56</v>
      </c>
      <c r="S1989" t="s">
        <v>50</v>
      </c>
      <c r="T1989">
        <f>YEAR(Table1_1[[#This Row],[order_date]])</f>
        <v>2024</v>
      </c>
      <c r="U1989">
        <f>MONTH(Table1_1[[#This Row],[order_date]])</f>
        <v>2</v>
      </c>
      <c r="V1989" t="str">
        <f>TEXT(Table1_1[[#This Row],[order_date]],"mmm")</f>
        <v>Feb</v>
      </c>
      <c r="W1989" t="str">
        <f>"Q"&amp;ROUNDUP(MONTH(Table1_1[[#This Row],[order_date]])/3,0)</f>
        <v>Q1</v>
      </c>
      <c r="X1989" t="str">
        <f>TEXT(Table1_1[[#This Row],[order_date]],"yyyy-mm")</f>
        <v>2024-02</v>
      </c>
      <c r="Y1989">
        <f>IF(Table1_1[[#This Row],[ship_date]]="","",Table1_1[[#This Row],[ship_date]]-Table1_1[[#This Row],[order_date]])</f>
        <v>5</v>
      </c>
      <c r="Z1989">
        <f>ROUND(Table1_1[[#This Row],[profit]]/Table1_1[[#This Row],[sales_fix]]*100,2)</f>
        <v>24.17</v>
      </c>
    </row>
    <row r="1990" spans="1:26" x14ac:dyDescent="0.3">
      <c r="A1990" t="s">
        <v>2389</v>
      </c>
      <c r="B1990" s="1">
        <v>45490</v>
      </c>
      <c r="C1990" s="1">
        <v>45496</v>
      </c>
      <c r="D1990" t="s">
        <v>343</v>
      </c>
      <c r="E1990" t="s">
        <v>369</v>
      </c>
      <c r="F1990" t="s">
        <v>34</v>
      </c>
      <c r="G1990" t="s">
        <v>44</v>
      </c>
      <c r="H1990" t="s">
        <v>45</v>
      </c>
      <c r="I1990" t="s">
        <v>126</v>
      </c>
      <c r="J1990" t="s">
        <v>127</v>
      </c>
      <c r="K1990" t="s">
        <v>95</v>
      </c>
      <c r="L1990">
        <v>2</v>
      </c>
      <c r="M1990">
        <v>600</v>
      </c>
      <c r="N1990">
        <v>0</v>
      </c>
      <c r="O1990">
        <v>1200</v>
      </c>
      <c r="P1990">
        <v>375.15</v>
      </c>
      <c r="Q1990" t="s">
        <v>121</v>
      </c>
      <c r="R1990" t="s">
        <v>29</v>
      </c>
      <c r="S1990" t="s">
        <v>86</v>
      </c>
      <c r="T1990">
        <f>YEAR(Table1_1[[#This Row],[order_date]])</f>
        <v>2024</v>
      </c>
      <c r="U1990">
        <f>MONTH(Table1_1[[#This Row],[order_date]])</f>
        <v>7</v>
      </c>
      <c r="V1990" t="str">
        <f>TEXT(Table1_1[[#This Row],[order_date]],"mmm")</f>
        <v>Jul</v>
      </c>
      <c r="W1990" t="str">
        <f>"Q"&amp;ROUNDUP(MONTH(Table1_1[[#This Row],[order_date]])/3,0)</f>
        <v>Q3</v>
      </c>
      <c r="X1990" t="str">
        <f>TEXT(Table1_1[[#This Row],[order_date]],"yyyy-mm")</f>
        <v>2024-07</v>
      </c>
      <c r="Y1990">
        <f>IF(Table1_1[[#This Row],[ship_date]]="","",Table1_1[[#This Row],[ship_date]]-Table1_1[[#This Row],[order_date]])</f>
        <v>6</v>
      </c>
      <c r="Z1990">
        <f>ROUND(Table1_1[[#This Row],[profit]]/Table1_1[[#This Row],[sales_fix]]*100,2)</f>
        <v>31.26</v>
      </c>
    </row>
    <row r="1991" spans="1:26" x14ac:dyDescent="0.3">
      <c r="A1991" t="s">
        <v>2578</v>
      </c>
      <c r="B1991" s="1">
        <v>45761</v>
      </c>
      <c r="C1991" s="1">
        <v>45767</v>
      </c>
      <c r="D1991" t="s">
        <v>1075</v>
      </c>
      <c r="E1991" t="s">
        <v>1076</v>
      </c>
      <c r="F1991" t="s">
        <v>55</v>
      </c>
      <c r="G1991" t="s">
        <v>61</v>
      </c>
      <c r="H1991" t="s">
        <v>125</v>
      </c>
      <c r="I1991" t="s">
        <v>147</v>
      </c>
      <c r="J1991" t="s">
        <v>148</v>
      </c>
      <c r="K1991" t="s">
        <v>48</v>
      </c>
      <c r="L1991">
        <v>1</v>
      </c>
      <c r="M1991">
        <v>250</v>
      </c>
      <c r="N1991">
        <v>20</v>
      </c>
      <c r="O1991">
        <v>200</v>
      </c>
      <c r="P1991">
        <v>83.09</v>
      </c>
      <c r="Q1991" t="s">
        <v>74</v>
      </c>
      <c r="R1991" t="s">
        <v>29</v>
      </c>
      <c r="S1991" t="s">
        <v>50</v>
      </c>
      <c r="T1991">
        <f>YEAR(Table1_1[[#This Row],[order_date]])</f>
        <v>2025</v>
      </c>
      <c r="U1991">
        <f>MONTH(Table1_1[[#This Row],[order_date]])</f>
        <v>4</v>
      </c>
      <c r="V1991" t="str">
        <f>TEXT(Table1_1[[#This Row],[order_date]],"mmm")</f>
        <v>Apr</v>
      </c>
      <c r="W1991" t="str">
        <f>"Q"&amp;ROUNDUP(MONTH(Table1_1[[#This Row],[order_date]])/3,0)</f>
        <v>Q2</v>
      </c>
      <c r="X1991" t="str">
        <f>TEXT(Table1_1[[#This Row],[order_date]],"yyyy-mm")</f>
        <v>2025-04</v>
      </c>
      <c r="Y1991">
        <f>IF(Table1_1[[#This Row],[ship_date]]="","",Table1_1[[#This Row],[ship_date]]-Table1_1[[#This Row],[order_date]])</f>
        <v>6</v>
      </c>
      <c r="Z1991">
        <f>ROUND(Table1_1[[#This Row],[profit]]/Table1_1[[#This Row],[sales_fix]]*100,2)</f>
        <v>41.55</v>
      </c>
    </row>
    <row r="1992" spans="1:26" x14ac:dyDescent="0.3">
      <c r="A1992" t="s">
        <v>2403</v>
      </c>
      <c r="B1992" s="1">
        <v>45648</v>
      </c>
      <c r="C1992" s="1">
        <v>45654</v>
      </c>
      <c r="D1992" t="s">
        <v>761</v>
      </c>
      <c r="E1992" t="s">
        <v>762</v>
      </c>
      <c r="F1992" t="s">
        <v>23</v>
      </c>
      <c r="G1992" t="s">
        <v>44</v>
      </c>
      <c r="H1992" t="s">
        <v>330</v>
      </c>
      <c r="I1992" t="s">
        <v>126</v>
      </c>
      <c r="J1992" t="s">
        <v>127</v>
      </c>
      <c r="K1992" t="s">
        <v>95</v>
      </c>
      <c r="L1992">
        <v>1</v>
      </c>
      <c r="M1992">
        <v>600</v>
      </c>
      <c r="N1992">
        <v>0</v>
      </c>
      <c r="O1992">
        <v>600</v>
      </c>
      <c r="P1992">
        <v>249.47</v>
      </c>
      <c r="Q1992" t="s">
        <v>74</v>
      </c>
      <c r="R1992" t="s">
        <v>29</v>
      </c>
      <c r="S1992" t="s">
        <v>30</v>
      </c>
      <c r="T1992">
        <f>YEAR(Table1_1[[#This Row],[order_date]])</f>
        <v>2024</v>
      </c>
      <c r="U1992">
        <f>MONTH(Table1_1[[#This Row],[order_date]])</f>
        <v>12</v>
      </c>
      <c r="V1992" t="str">
        <f>TEXT(Table1_1[[#This Row],[order_date]],"mmm")</f>
        <v>Dec</v>
      </c>
      <c r="W1992" t="str">
        <f>"Q"&amp;ROUNDUP(MONTH(Table1_1[[#This Row],[order_date]])/3,0)</f>
        <v>Q4</v>
      </c>
      <c r="X1992" t="str">
        <f>TEXT(Table1_1[[#This Row],[order_date]],"yyyy-mm")</f>
        <v>2024-12</v>
      </c>
      <c r="Y1992">
        <f>IF(Table1_1[[#This Row],[ship_date]]="","",Table1_1[[#This Row],[ship_date]]-Table1_1[[#This Row],[order_date]])</f>
        <v>6</v>
      </c>
      <c r="Z1992">
        <f>ROUND(Table1_1[[#This Row],[profit]]/Table1_1[[#This Row],[sales_fix]]*100,2)</f>
        <v>41.58</v>
      </c>
    </row>
    <row r="1993" spans="1:26" x14ac:dyDescent="0.3">
      <c r="A1993" t="s">
        <v>1991</v>
      </c>
      <c r="B1993" s="1">
        <v>45400</v>
      </c>
      <c r="C1993" s="1">
        <v>45401</v>
      </c>
      <c r="D1993" t="s">
        <v>129</v>
      </c>
      <c r="E1993" t="s">
        <v>130</v>
      </c>
      <c r="F1993" t="s">
        <v>34</v>
      </c>
      <c r="G1993" t="s">
        <v>61</v>
      </c>
      <c r="H1993" t="s">
        <v>78</v>
      </c>
      <c r="I1993" t="s">
        <v>25</v>
      </c>
      <c r="J1993" t="s">
        <v>26</v>
      </c>
      <c r="K1993" t="s">
        <v>27</v>
      </c>
      <c r="L1993">
        <v>2</v>
      </c>
      <c r="M1993">
        <v>7000</v>
      </c>
      <c r="N1993">
        <v>0</v>
      </c>
      <c r="O1993">
        <v>14000</v>
      </c>
      <c r="P1993">
        <v>2382.4</v>
      </c>
      <c r="Q1993" t="s">
        <v>156</v>
      </c>
      <c r="R1993" t="s">
        <v>29</v>
      </c>
      <c r="S1993" t="s">
        <v>40</v>
      </c>
      <c r="T1993">
        <f>YEAR(Table1_1[[#This Row],[order_date]])</f>
        <v>2024</v>
      </c>
      <c r="U1993">
        <f>MONTH(Table1_1[[#This Row],[order_date]])</f>
        <v>4</v>
      </c>
      <c r="V1993" t="str">
        <f>TEXT(Table1_1[[#This Row],[order_date]],"mmm")</f>
        <v>Apr</v>
      </c>
      <c r="W1993" t="str">
        <f>"Q"&amp;ROUNDUP(MONTH(Table1_1[[#This Row],[order_date]])/3,0)</f>
        <v>Q2</v>
      </c>
      <c r="X1993" t="str">
        <f>TEXT(Table1_1[[#This Row],[order_date]],"yyyy-mm")</f>
        <v>2024-04</v>
      </c>
      <c r="Y1993">
        <f>IF(Table1_1[[#This Row],[ship_date]]="","",Table1_1[[#This Row],[ship_date]]-Table1_1[[#This Row],[order_date]])</f>
        <v>1</v>
      </c>
      <c r="Z1993">
        <f>ROUND(Table1_1[[#This Row],[profit]]/Table1_1[[#This Row],[sales_fix]]*100,2)</f>
        <v>17.02</v>
      </c>
    </row>
    <row r="1994" spans="1:26" x14ac:dyDescent="0.3">
      <c r="A1994" t="s">
        <v>2758</v>
      </c>
      <c r="B1994" s="1">
        <v>45518</v>
      </c>
      <c r="C1994" s="1">
        <v>45519</v>
      </c>
      <c r="D1994" t="s">
        <v>1426</v>
      </c>
      <c r="E1994" t="s">
        <v>1427</v>
      </c>
      <c r="F1994" t="s">
        <v>23</v>
      </c>
      <c r="G1994" t="s">
        <v>61</v>
      </c>
      <c r="H1994" t="s">
        <v>62</v>
      </c>
      <c r="I1994" t="s">
        <v>103</v>
      </c>
      <c r="J1994" t="s">
        <v>104</v>
      </c>
      <c r="K1994" t="s">
        <v>65</v>
      </c>
      <c r="L1994">
        <v>1</v>
      </c>
      <c r="M1994">
        <v>8000</v>
      </c>
      <c r="N1994">
        <v>20</v>
      </c>
      <c r="O1994">
        <v>6400</v>
      </c>
      <c r="P1994">
        <v>1180.96</v>
      </c>
      <c r="Q1994" t="s">
        <v>156</v>
      </c>
      <c r="R1994" t="s">
        <v>29</v>
      </c>
      <c r="S1994" t="s">
        <v>40</v>
      </c>
      <c r="T1994">
        <f>YEAR(Table1_1[[#This Row],[order_date]])</f>
        <v>2024</v>
      </c>
      <c r="U1994">
        <f>MONTH(Table1_1[[#This Row],[order_date]])</f>
        <v>8</v>
      </c>
      <c r="V1994" t="str">
        <f>TEXT(Table1_1[[#This Row],[order_date]],"mmm")</f>
        <v>Aug</v>
      </c>
      <c r="W1994" t="str">
        <f>"Q"&amp;ROUNDUP(MONTH(Table1_1[[#This Row],[order_date]])/3,0)</f>
        <v>Q3</v>
      </c>
      <c r="X1994" t="str">
        <f>TEXT(Table1_1[[#This Row],[order_date]],"yyyy-mm")</f>
        <v>2024-08</v>
      </c>
      <c r="Y1994">
        <f>IF(Table1_1[[#This Row],[ship_date]]="","",Table1_1[[#This Row],[ship_date]]-Table1_1[[#This Row],[order_date]])</f>
        <v>1</v>
      </c>
      <c r="Z1994">
        <f>ROUND(Table1_1[[#This Row],[profit]]/Table1_1[[#This Row],[sales_fix]]*100,2)</f>
        <v>18.45</v>
      </c>
    </row>
    <row r="1995" spans="1:26" x14ac:dyDescent="0.3">
      <c r="A1995" t="s">
        <v>1211</v>
      </c>
      <c r="B1995" s="1">
        <v>45723</v>
      </c>
      <c r="C1995" s="1">
        <v>45724</v>
      </c>
      <c r="D1995" t="s">
        <v>352</v>
      </c>
      <c r="E1995" t="s">
        <v>353</v>
      </c>
      <c r="F1995" t="s">
        <v>55</v>
      </c>
      <c r="G1995" t="s">
        <v>35</v>
      </c>
      <c r="H1995" t="s">
        <v>36</v>
      </c>
      <c r="I1995" t="s">
        <v>126</v>
      </c>
      <c r="J1995" t="s">
        <v>127</v>
      </c>
      <c r="K1995" t="s">
        <v>95</v>
      </c>
      <c r="L1995">
        <v>4</v>
      </c>
      <c r="M1995">
        <v>600</v>
      </c>
      <c r="N1995">
        <v>0</v>
      </c>
      <c r="O1995">
        <v>2400</v>
      </c>
      <c r="P1995">
        <v>768.33</v>
      </c>
      <c r="Q1995" t="s">
        <v>156</v>
      </c>
      <c r="R1995" t="s">
        <v>56</v>
      </c>
      <c r="S1995" t="s">
        <v>40</v>
      </c>
      <c r="T1995">
        <f>YEAR(Table1_1[[#This Row],[order_date]])</f>
        <v>2025</v>
      </c>
      <c r="U1995">
        <f>MONTH(Table1_1[[#This Row],[order_date]])</f>
        <v>3</v>
      </c>
      <c r="V1995" t="str">
        <f>TEXT(Table1_1[[#This Row],[order_date]],"mmm")</f>
        <v>Mar</v>
      </c>
      <c r="W1995" t="str">
        <f>"Q"&amp;ROUNDUP(MONTH(Table1_1[[#This Row],[order_date]])/3,0)</f>
        <v>Q1</v>
      </c>
      <c r="X1995" t="str">
        <f>TEXT(Table1_1[[#This Row],[order_date]],"yyyy-mm")</f>
        <v>2025-03</v>
      </c>
      <c r="Y1995">
        <f>IF(Table1_1[[#This Row],[ship_date]]="","",Table1_1[[#This Row],[ship_date]]-Table1_1[[#This Row],[order_date]])</f>
        <v>1</v>
      </c>
      <c r="Z1995">
        <f>ROUND(Table1_1[[#This Row],[profit]]/Table1_1[[#This Row],[sales_fix]]*100,2)</f>
        <v>32.01</v>
      </c>
    </row>
    <row r="1996" spans="1:26" x14ac:dyDescent="0.3">
      <c r="A1996" t="s">
        <v>2141</v>
      </c>
      <c r="B1996" s="1">
        <v>45551</v>
      </c>
      <c r="C1996" s="1">
        <v>45553</v>
      </c>
      <c r="D1996" t="s">
        <v>261</v>
      </c>
      <c r="E1996" t="s">
        <v>262</v>
      </c>
      <c r="F1996" t="s">
        <v>23</v>
      </c>
      <c r="G1996" t="s">
        <v>35</v>
      </c>
      <c r="H1996" t="s">
        <v>85</v>
      </c>
      <c r="I1996" t="s">
        <v>46</v>
      </c>
      <c r="J1996" t="s">
        <v>47</v>
      </c>
      <c r="K1996" t="s">
        <v>48</v>
      </c>
      <c r="L1996">
        <v>1</v>
      </c>
      <c r="M1996">
        <v>180</v>
      </c>
      <c r="N1996">
        <v>0</v>
      </c>
      <c r="O1996">
        <v>180</v>
      </c>
      <c r="P1996">
        <v>85.42</v>
      </c>
      <c r="Q1996" t="s">
        <v>66</v>
      </c>
      <c r="R1996" t="s">
        <v>49</v>
      </c>
      <c r="S1996" t="s">
        <v>30</v>
      </c>
      <c r="T1996">
        <f>YEAR(Table1_1[[#This Row],[order_date]])</f>
        <v>2024</v>
      </c>
      <c r="U1996">
        <f>MONTH(Table1_1[[#This Row],[order_date]])</f>
        <v>9</v>
      </c>
      <c r="V1996" t="str">
        <f>TEXT(Table1_1[[#This Row],[order_date]],"mmm")</f>
        <v>Sep</v>
      </c>
      <c r="W1996" t="str">
        <f>"Q"&amp;ROUNDUP(MONTH(Table1_1[[#This Row],[order_date]])/3,0)</f>
        <v>Q3</v>
      </c>
      <c r="X1996" t="str">
        <f>TEXT(Table1_1[[#This Row],[order_date]],"yyyy-mm")</f>
        <v>2024-09</v>
      </c>
      <c r="Y1996">
        <f>IF(Table1_1[[#This Row],[ship_date]]="","",Table1_1[[#This Row],[ship_date]]-Table1_1[[#This Row],[order_date]])</f>
        <v>2</v>
      </c>
      <c r="Z1996">
        <f>ROUND(Table1_1[[#This Row],[profit]]/Table1_1[[#This Row],[sales_fix]]*100,2)</f>
        <v>47.46</v>
      </c>
    </row>
    <row r="1997" spans="1:26" x14ac:dyDescent="0.3">
      <c r="A1997" t="s">
        <v>647</v>
      </c>
      <c r="B1997" s="1">
        <v>45431</v>
      </c>
      <c r="C1997" s="1">
        <v>45437</v>
      </c>
      <c r="D1997" t="s">
        <v>546</v>
      </c>
      <c r="E1997" t="s">
        <v>547</v>
      </c>
      <c r="F1997" t="s">
        <v>34</v>
      </c>
      <c r="G1997" t="s">
        <v>91</v>
      </c>
      <c r="H1997" t="s">
        <v>92</v>
      </c>
      <c r="I1997" t="s">
        <v>103</v>
      </c>
      <c r="J1997" t="s">
        <v>104</v>
      </c>
      <c r="K1997" t="s">
        <v>65</v>
      </c>
      <c r="L1997">
        <v>2</v>
      </c>
      <c r="M1997">
        <v>8000</v>
      </c>
      <c r="N1997">
        <v>0</v>
      </c>
      <c r="O1997">
        <v>16000</v>
      </c>
      <c r="P1997">
        <v>3250.54</v>
      </c>
      <c r="Q1997" t="s">
        <v>28</v>
      </c>
      <c r="R1997" t="s">
        <v>49</v>
      </c>
      <c r="S1997" t="s">
        <v>40</v>
      </c>
      <c r="T1997">
        <f>YEAR(Table1_1[[#This Row],[order_date]])</f>
        <v>2024</v>
      </c>
      <c r="U1997">
        <f>MONTH(Table1_1[[#This Row],[order_date]])</f>
        <v>5</v>
      </c>
      <c r="V1997" t="str">
        <f>TEXT(Table1_1[[#This Row],[order_date]],"mmm")</f>
        <v>May</v>
      </c>
      <c r="W1997" t="str">
        <f>"Q"&amp;ROUNDUP(MONTH(Table1_1[[#This Row],[order_date]])/3,0)</f>
        <v>Q2</v>
      </c>
      <c r="X1997" t="str">
        <f>TEXT(Table1_1[[#This Row],[order_date]],"yyyy-mm")</f>
        <v>2024-05</v>
      </c>
      <c r="Y1997">
        <f>IF(Table1_1[[#This Row],[ship_date]]="","",Table1_1[[#This Row],[ship_date]]-Table1_1[[#This Row],[order_date]])</f>
        <v>6</v>
      </c>
      <c r="Z1997">
        <f>ROUND(Table1_1[[#This Row],[profit]]/Table1_1[[#This Row],[sales_fix]]*100,2)</f>
        <v>20.32</v>
      </c>
    </row>
    <row r="1998" spans="1:26" x14ac:dyDescent="0.3">
      <c r="A1998" t="s">
        <v>2292</v>
      </c>
      <c r="B1998" s="1">
        <v>45753</v>
      </c>
      <c r="C1998" s="1">
        <v>45755</v>
      </c>
      <c r="D1998" t="s">
        <v>784</v>
      </c>
      <c r="E1998" t="s">
        <v>785</v>
      </c>
      <c r="F1998" t="s">
        <v>23</v>
      </c>
      <c r="G1998" t="s">
        <v>91</v>
      </c>
      <c r="H1998" t="s">
        <v>92</v>
      </c>
      <c r="I1998" t="s">
        <v>46</v>
      </c>
      <c r="J1998" t="s">
        <v>47</v>
      </c>
      <c r="K1998" t="s">
        <v>48</v>
      </c>
      <c r="L1998">
        <v>1</v>
      </c>
      <c r="M1998">
        <v>180</v>
      </c>
      <c r="N1998">
        <v>10</v>
      </c>
      <c r="O1998">
        <v>162</v>
      </c>
      <c r="P1998">
        <v>76.13</v>
      </c>
      <c r="Q1998" t="s">
        <v>121</v>
      </c>
      <c r="R1998" t="s">
        <v>56</v>
      </c>
      <c r="S1998" t="s">
        <v>40</v>
      </c>
      <c r="T1998">
        <f>YEAR(Table1_1[[#This Row],[order_date]])</f>
        <v>2025</v>
      </c>
      <c r="U1998">
        <f>MONTH(Table1_1[[#This Row],[order_date]])</f>
        <v>4</v>
      </c>
      <c r="V1998" t="str">
        <f>TEXT(Table1_1[[#This Row],[order_date]],"mmm")</f>
        <v>Apr</v>
      </c>
      <c r="W1998" t="str">
        <f>"Q"&amp;ROUNDUP(MONTH(Table1_1[[#This Row],[order_date]])/3,0)</f>
        <v>Q2</v>
      </c>
      <c r="X1998" t="str">
        <f>TEXT(Table1_1[[#This Row],[order_date]],"yyyy-mm")</f>
        <v>2025-04</v>
      </c>
      <c r="Y1998">
        <f>IF(Table1_1[[#This Row],[ship_date]]="","",Table1_1[[#This Row],[ship_date]]-Table1_1[[#This Row],[order_date]])</f>
        <v>2</v>
      </c>
      <c r="Z1998">
        <f>ROUND(Table1_1[[#This Row],[profit]]/Table1_1[[#This Row],[sales_fix]]*100,2)</f>
        <v>46.99</v>
      </c>
    </row>
    <row r="1999" spans="1:26" x14ac:dyDescent="0.3">
      <c r="A1999" t="s">
        <v>2166</v>
      </c>
      <c r="B1999" s="1">
        <v>45463</v>
      </c>
      <c r="C1999" s="1">
        <v>45467</v>
      </c>
      <c r="D1999" t="s">
        <v>1301</v>
      </c>
      <c r="E1999" t="s">
        <v>1302</v>
      </c>
      <c r="F1999" t="s">
        <v>23</v>
      </c>
      <c r="G1999" t="s">
        <v>91</v>
      </c>
      <c r="H1999" t="s">
        <v>120</v>
      </c>
      <c r="I1999" t="s">
        <v>25</v>
      </c>
      <c r="J1999" t="s">
        <v>26</v>
      </c>
      <c r="K1999" t="s">
        <v>27</v>
      </c>
      <c r="L1999">
        <v>1</v>
      </c>
      <c r="M1999">
        <v>7000</v>
      </c>
      <c r="N1999">
        <v>0</v>
      </c>
      <c r="O1999">
        <v>7000</v>
      </c>
      <c r="P1999">
        <v>1665.2</v>
      </c>
      <c r="Q1999" t="s">
        <v>28</v>
      </c>
      <c r="R1999" t="s">
        <v>56</v>
      </c>
      <c r="S1999" t="s">
        <v>50</v>
      </c>
      <c r="T1999">
        <f>YEAR(Table1_1[[#This Row],[order_date]])</f>
        <v>2024</v>
      </c>
      <c r="U1999">
        <f>MONTH(Table1_1[[#This Row],[order_date]])</f>
        <v>6</v>
      </c>
      <c r="V1999" t="str">
        <f>TEXT(Table1_1[[#This Row],[order_date]],"mmm")</f>
        <v>Jun</v>
      </c>
      <c r="W1999" t="str">
        <f>"Q"&amp;ROUNDUP(MONTH(Table1_1[[#This Row],[order_date]])/3,0)</f>
        <v>Q2</v>
      </c>
      <c r="X1999" t="str">
        <f>TEXT(Table1_1[[#This Row],[order_date]],"yyyy-mm")</f>
        <v>2024-06</v>
      </c>
      <c r="Y1999">
        <f>IF(Table1_1[[#This Row],[ship_date]]="","",Table1_1[[#This Row],[ship_date]]-Table1_1[[#This Row],[order_date]])</f>
        <v>4</v>
      </c>
      <c r="Z1999">
        <f>ROUND(Table1_1[[#This Row],[profit]]/Table1_1[[#This Row],[sales_fix]]*100,2)</f>
        <v>23.79</v>
      </c>
    </row>
    <row r="2000" spans="1:26" x14ac:dyDescent="0.3">
      <c r="A2000" t="s">
        <v>2667</v>
      </c>
      <c r="B2000" s="1">
        <v>45436</v>
      </c>
      <c r="C2000" s="1">
        <v>45438</v>
      </c>
      <c r="D2000" t="s">
        <v>400</v>
      </c>
      <c r="E2000" t="s">
        <v>401</v>
      </c>
      <c r="F2000" t="s">
        <v>34</v>
      </c>
      <c r="G2000" t="s">
        <v>44</v>
      </c>
      <c r="H2000" t="s">
        <v>24</v>
      </c>
      <c r="I2000" t="s">
        <v>71</v>
      </c>
      <c r="J2000" t="s">
        <v>72</v>
      </c>
      <c r="K2000" t="s">
        <v>73</v>
      </c>
      <c r="L2000">
        <v>2</v>
      </c>
      <c r="M2000">
        <v>3500</v>
      </c>
      <c r="N2000">
        <v>0</v>
      </c>
      <c r="O2000">
        <v>7000</v>
      </c>
      <c r="P2000">
        <v>2034.51</v>
      </c>
      <c r="Q2000" t="s">
        <v>74</v>
      </c>
      <c r="R2000" t="s">
        <v>49</v>
      </c>
      <c r="S2000" t="s">
        <v>30</v>
      </c>
      <c r="T2000">
        <f>YEAR(Table1_1[[#This Row],[order_date]])</f>
        <v>2024</v>
      </c>
      <c r="U2000">
        <f>MONTH(Table1_1[[#This Row],[order_date]])</f>
        <v>5</v>
      </c>
      <c r="V2000" t="str">
        <f>TEXT(Table1_1[[#This Row],[order_date]],"mmm")</f>
        <v>May</v>
      </c>
      <c r="W2000" t="str">
        <f>"Q"&amp;ROUNDUP(MONTH(Table1_1[[#This Row],[order_date]])/3,0)</f>
        <v>Q2</v>
      </c>
      <c r="X2000" t="str">
        <f>TEXT(Table1_1[[#This Row],[order_date]],"yyyy-mm")</f>
        <v>2024-05</v>
      </c>
      <c r="Y2000">
        <f>IF(Table1_1[[#This Row],[ship_date]]="","",Table1_1[[#This Row],[ship_date]]-Table1_1[[#This Row],[order_date]])</f>
        <v>2</v>
      </c>
      <c r="Z2000">
        <f>ROUND(Table1_1[[#This Row],[profit]]/Table1_1[[#This Row],[sales_fix]]*100,2)</f>
        <v>29.06</v>
      </c>
    </row>
    <row r="2001" spans="1:26" x14ac:dyDescent="0.3">
      <c r="A2001" t="s">
        <v>2769</v>
      </c>
      <c r="B2001" s="1">
        <v>45902</v>
      </c>
      <c r="C2001" s="1">
        <v>45908</v>
      </c>
      <c r="D2001" t="s">
        <v>1015</v>
      </c>
      <c r="E2001" t="s">
        <v>1016</v>
      </c>
      <c r="F2001" t="s">
        <v>23</v>
      </c>
      <c r="G2001" t="s">
        <v>44</v>
      </c>
      <c r="H2001" t="s">
        <v>45</v>
      </c>
      <c r="I2001" t="s">
        <v>71</v>
      </c>
      <c r="J2001" t="s">
        <v>72</v>
      </c>
      <c r="K2001" t="s">
        <v>73</v>
      </c>
      <c r="L2001">
        <v>1</v>
      </c>
      <c r="M2001">
        <v>3500</v>
      </c>
      <c r="N2001">
        <v>5</v>
      </c>
      <c r="O2001">
        <v>3325</v>
      </c>
      <c r="P2001">
        <v>793.55</v>
      </c>
      <c r="Q2001" t="s">
        <v>121</v>
      </c>
      <c r="R2001" t="s">
        <v>29</v>
      </c>
      <c r="S2001" t="s">
        <v>40</v>
      </c>
      <c r="T2001">
        <f>YEAR(Table1_1[[#This Row],[order_date]])</f>
        <v>2025</v>
      </c>
      <c r="U2001">
        <f>MONTH(Table1_1[[#This Row],[order_date]])</f>
        <v>9</v>
      </c>
      <c r="V2001" t="str">
        <f>TEXT(Table1_1[[#This Row],[order_date]],"mmm")</f>
        <v>Sep</v>
      </c>
      <c r="W2001" t="str">
        <f>"Q"&amp;ROUNDUP(MONTH(Table1_1[[#This Row],[order_date]])/3,0)</f>
        <v>Q3</v>
      </c>
      <c r="X2001" t="str">
        <f>TEXT(Table1_1[[#This Row],[order_date]],"yyyy-mm")</f>
        <v>2025-09</v>
      </c>
      <c r="Y2001">
        <f>IF(Table1_1[[#This Row],[ship_date]]="","",Table1_1[[#This Row],[ship_date]]-Table1_1[[#This Row],[order_date]])</f>
        <v>6</v>
      </c>
      <c r="Z2001">
        <f>ROUND(Table1_1[[#This Row],[profit]]/Table1_1[[#This Row],[sales_fix]]*100,2)</f>
        <v>23.87</v>
      </c>
    </row>
  </sheetData>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A9C10-0C05-45A2-91DB-B5DD597814BC}">
  <dimension ref="A1:S2001"/>
  <sheetViews>
    <sheetView topLeftCell="A2" workbookViewId="0">
      <selection activeCell="D15" sqref="D15"/>
    </sheetView>
  </sheetViews>
  <sheetFormatPr defaultRowHeight="14.4" x14ac:dyDescent="0.3"/>
  <cols>
    <col min="1" max="1" width="9.77734375" customWidth="1"/>
    <col min="2" max="2" width="16.33203125" customWidth="1"/>
    <col min="3" max="3" width="15.88671875" customWidth="1"/>
    <col min="4" max="4" width="13.21875" customWidth="1"/>
    <col min="5" max="5" width="16.21875" customWidth="1"/>
    <col min="6" max="6" width="13.109375" bestFit="1" customWidth="1"/>
    <col min="7" max="7" width="8.21875" bestFit="1" customWidth="1"/>
    <col min="8" max="8" width="12" bestFit="1" customWidth="1"/>
    <col min="9" max="9" width="11.88671875" customWidth="1"/>
    <col min="10" max="10" width="14.88671875" customWidth="1"/>
    <col min="11" max="11" width="12.44140625" bestFit="1" customWidth="1"/>
    <col min="12" max="12" width="9.77734375" customWidth="1"/>
    <col min="13" max="13" width="11.21875" customWidth="1"/>
    <col min="14" max="14" width="13.6640625" customWidth="1"/>
    <col min="17" max="17" width="11.77734375" bestFit="1" customWidth="1"/>
    <col min="18" max="18" width="10.109375" bestFit="1" customWidth="1"/>
    <col min="19" max="19" width="17.4414062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s="1">
        <v>45742</v>
      </c>
      <c r="C2" t="s">
        <v>20</v>
      </c>
      <c r="D2" t="s">
        <v>21</v>
      </c>
      <c r="E2" t="s">
        <v>22</v>
      </c>
      <c r="F2" t="s">
        <v>23</v>
      </c>
      <c r="G2" t="s">
        <v>44</v>
      </c>
      <c r="H2" t="s">
        <v>24</v>
      </c>
      <c r="I2" t="s">
        <v>25</v>
      </c>
      <c r="J2" t="s">
        <v>26</v>
      </c>
      <c r="K2" t="s">
        <v>27</v>
      </c>
      <c r="L2">
        <v>1</v>
      </c>
      <c r="M2">
        <v>7000</v>
      </c>
      <c r="N2">
        <v>0</v>
      </c>
      <c r="O2">
        <v>7000</v>
      </c>
      <c r="P2">
        <v>1554.59</v>
      </c>
      <c r="Q2" t="s">
        <v>28</v>
      </c>
      <c r="R2" t="s">
        <v>29</v>
      </c>
      <c r="S2" t="s">
        <v>30</v>
      </c>
    </row>
    <row r="3" spans="1:19" x14ac:dyDescent="0.3">
      <c r="A3" t="s">
        <v>31</v>
      </c>
      <c r="B3" s="1">
        <v>45587</v>
      </c>
      <c r="C3" s="1">
        <v>45590</v>
      </c>
      <c r="D3" t="s">
        <v>32</v>
      </c>
      <c r="E3" t="s">
        <v>33</v>
      </c>
      <c r="F3" t="s">
        <v>34</v>
      </c>
      <c r="G3" t="s">
        <v>35</v>
      </c>
      <c r="H3" t="s">
        <v>36</v>
      </c>
      <c r="I3" t="s">
        <v>37</v>
      </c>
      <c r="J3" t="s">
        <v>38</v>
      </c>
      <c r="K3" t="s">
        <v>27</v>
      </c>
      <c r="L3">
        <v>1</v>
      </c>
      <c r="M3">
        <v>9500</v>
      </c>
      <c r="N3">
        <v>0</v>
      </c>
      <c r="O3">
        <v>9500</v>
      </c>
      <c r="P3">
        <v>1546.13</v>
      </c>
      <c r="Q3" t="s">
        <v>39</v>
      </c>
      <c r="R3" t="s">
        <v>29</v>
      </c>
      <c r="S3" t="s">
        <v>40</v>
      </c>
    </row>
    <row r="4" spans="1:19" x14ac:dyDescent="0.3">
      <c r="A4" t="s">
        <v>41</v>
      </c>
      <c r="B4" s="1">
        <v>45370</v>
      </c>
      <c r="C4" s="1">
        <v>45374</v>
      </c>
      <c r="D4" t="s">
        <v>42</v>
      </c>
      <c r="E4" t="s">
        <v>43</v>
      </c>
      <c r="F4" t="s">
        <v>23</v>
      </c>
      <c r="G4" t="s">
        <v>44</v>
      </c>
      <c r="H4" t="s">
        <v>45</v>
      </c>
      <c r="I4" t="s">
        <v>46</v>
      </c>
      <c r="J4" t="s">
        <v>47</v>
      </c>
      <c r="K4" t="s">
        <v>48</v>
      </c>
      <c r="L4">
        <v>5</v>
      </c>
      <c r="M4">
        <v>180</v>
      </c>
      <c r="N4">
        <v>15</v>
      </c>
      <c r="O4">
        <v>765</v>
      </c>
      <c r="P4">
        <v>307.64</v>
      </c>
      <c r="Q4" t="s">
        <v>28</v>
      </c>
      <c r="R4" t="s">
        <v>49</v>
      </c>
      <c r="S4" t="s">
        <v>50</v>
      </c>
    </row>
    <row r="5" spans="1:19" x14ac:dyDescent="0.3">
      <c r="A5" t="s">
        <v>51</v>
      </c>
      <c r="B5" s="1">
        <v>45612</v>
      </c>
      <c r="C5" t="s">
        <v>52</v>
      </c>
      <c r="D5" t="s">
        <v>53</v>
      </c>
      <c r="E5" t="s">
        <v>54</v>
      </c>
      <c r="F5" t="s">
        <v>55</v>
      </c>
      <c r="G5" t="s">
        <v>44</v>
      </c>
      <c r="H5" t="s">
        <v>24</v>
      </c>
      <c r="I5" t="s">
        <v>46</v>
      </c>
      <c r="J5" t="s">
        <v>47</v>
      </c>
      <c r="K5" t="s">
        <v>48</v>
      </c>
      <c r="L5">
        <v>1</v>
      </c>
      <c r="M5">
        <v>180</v>
      </c>
      <c r="N5">
        <v>0</v>
      </c>
      <c r="O5">
        <v>180</v>
      </c>
      <c r="P5">
        <v>79.27</v>
      </c>
      <c r="Q5" t="s">
        <v>28</v>
      </c>
      <c r="R5" t="s">
        <v>56</v>
      </c>
      <c r="S5" t="s">
        <v>57</v>
      </c>
    </row>
    <row r="6" spans="1:19" x14ac:dyDescent="0.3">
      <c r="A6" t="s">
        <v>58</v>
      </c>
      <c r="B6" s="1">
        <v>45499</v>
      </c>
      <c r="D6" t="s">
        <v>59</v>
      </c>
      <c r="E6" t="s">
        <v>60</v>
      </c>
      <c r="F6" t="s">
        <v>23</v>
      </c>
      <c r="G6" t="s">
        <v>61</v>
      </c>
      <c r="H6" t="s">
        <v>62</v>
      </c>
      <c r="I6" t="s">
        <v>63</v>
      </c>
      <c r="J6" t="s">
        <v>64</v>
      </c>
      <c r="K6" t="s">
        <v>65</v>
      </c>
      <c r="M6">
        <v>25000</v>
      </c>
      <c r="N6">
        <v>20</v>
      </c>
      <c r="O6">
        <v>20000</v>
      </c>
      <c r="P6">
        <v>2801.65</v>
      </c>
      <c r="Q6" t="s">
        <v>66</v>
      </c>
      <c r="R6" t="s">
        <v>29</v>
      </c>
      <c r="S6" t="s">
        <v>30</v>
      </c>
    </row>
    <row r="7" spans="1:19" x14ac:dyDescent="0.3">
      <c r="A7" t="s">
        <v>67</v>
      </c>
      <c r="B7" t="s">
        <v>68</v>
      </c>
      <c r="C7" s="1">
        <v>45809</v>
      </c>
      <c r="D7" t="s">
        <v>69</v>
      </c>
      <c r="E7" t="s">
        <v>70</v>
      </c>
      <c r="F7" t="s">
        <v>23</v>
      </c>
      <c r="G7" t="s">
        <v>44</v>
      </c>
      <c r="H7" t="s">
        <v>24</v>
      </c>
      <c r="I7" t="s">
        <v>71</v>
      </c>
      <c r="J7" t="s">
        <v>72</v>
      </c>
      <c r="K7" t="s">
        <v>73</v>
      </c>
      <c r="L7">
        <v>2</v>
      </c>
      <c r="M7">
        <v>3500</v>
      </c>
      <c r="N7">
        <v>5</v>
      </c>
      <c r="O7">
        <v>6650</v>
      </c>
      <c r="P7">
        <v>1842.04</v>
      </c>
      <c r="Q7" t="s">
        <v>74</v>
      </c>
      <c r="R7" t="s">
        <v>56</v>
      </c>
      <c r="S7" t="s">
        <v>30</v>
      </c>
    </row>
    <row r="8" spans="1:19" x14ac:dyDescent="0.3">
      <c r="A8" t="s">
        <v>75</v>
      </c>
      <c r="B8" s="1">
        <v>45412</v>
      </c>
      <c r="C8" s="1">
        <v>45478</v>
      </c>
      <c r="D8" t="s">
        <v>76</v>
      </c>
      <c r="E8" t="s">
        <v>77</v>
      </c>
      <c r="F8" t="s">
        <v>23</v>
      </c>
      <c r="G8" t="s">
        <v>61</v>
      </c>
      <c r="H8" t="s">
        <v>78</v>
      </c>
      <c r="I8" t="s">
        <v>79</v>
      </c>
      <c r="J8" t="s">
        <v>80</v>
      </c>
      <c r="K8" t="s">
        <v>65</v>
      </c>
      <c r="L8">
        <v>4</v>
      </c>
      <c r="M8">
        <v>3000</v>
      </c>
      <c r="N8">
        <v>15</v>
      </c>
      <c r="O8">
        <v>10200</v>
      </c>
      <c r="P8">
        <v>3317.18</v>
      </c>
      <c r="Q8" t="s">
        <v>28</v>
      </c>
      <c r="R8" t="s">
        <v>56</v>
      </c>
      <c r="S8" t="s">
        <v>50</v>
      </c>
    </row>
    <row r="9" spans="1:19" x14ac:dyDescent="0.3">
      <c r="A9" t="s">
        <v>81</v>
      </c>
      <c r="B9" t="s">
        <v>82</v>
      </c>
      <c r="C9" s="2">
        <v>45410</v>
      </c>
      <c r="D9" t="s">
        <v>83</v>
      </c>
      <c r="E9" t="s">
        <v>84</v>
      </c>
      <c r="F9" t="s">
        <v>34</v>
      </c>
      <c r="G9" t="s">
        <v>35</v>
      </c>
      <c r="H9" t="s">
        <v>85</v>
      </c>
      <c r="I9" t="s">
        <v>79</v>
      </c>
      <c r="J9" t="s">
        <v>80</v>
      </c>
      <c r="K9" t="s">
        <v>65</v>
      </c>
      <c r="L9">
        <v>1</v>
      </c>
      <c r="M9">
        <v>3000</v>
      </c>
      <c r="N9">
        <v>0</v>
      </c>
      <c r="O9">
        <v>3000</v>
      </c>
      <c r="P9">
        <v>758.63</v>
      </c>
      <c r="Q9" t="s">
        <v>66</v>
      </c>
      <c r="R9" t="s">
        <v>49</v>
      </c>
      <c r="S9" t="s">
        <v>86</v>
      </c>
    </row>
    <row r="10" spans="1:19" x14ac:dyDescent="0.3">
      <c r="A10" t="s">
        <v>87</v>
      </c>
      <c r="B10" t="s">
        <v>88</v>
      </c>
      <c r="C10" s="1">
        <v>45703</v>
      </c>
      <c r="D10" t="s">
        <v>89</v>
      </c>
      <c r="E10" t="s">
        <v>90</v>
      </c>
      <c r="F10" t="s">
        <v>23</v>
      </c>
      <c r="G10" t="s">
        <v>91</v>
      </c>
      <c r="H10" t="s">
        <v>92</v>
      </c>
      <c r="I10" t="s">
        <v>93</v>
      </c>
      <c r="J10" t="s">
        <v>94</v>
      </c>
      <c r="K10" t="s">
        <v>95</v>
      </c>
      <c r="L10">
        <v>2</v>
      </c>
      <c r="M10">
        <v>1800</v>
      </c>
      <c r="N10">
        <v>20</v>
      </c>
      <c r="O10">
        <v>2880</v>
      </c>
      <c r="P10">
        <v>984.5</v>
      </c>
      <c r="Q10" t="s">
        <v>74</v>
      </c>
      <c r="R10" t="s">
        <v>56</v>
      </c>
      <c r="S10" t="s">
        <v>96</v>
      </c>
    </row>
    <row r="11" spans="1:19" x14ac:dyDescent="0.3">
      <c r="A11" t="s">
        <v>97</v>
      </c>
      <c r="B11" s="1">
        <v>45421</v>
      </c>
      <c r="C11" s="1">
        <v>45426</v>
      </c>
      <c r="D11" t="s">
        <v>98</v>
      </c>
      <c r="E11" t="s">
        <v>99</v>
      </c>
      <c r="F11" t="s">
        <v>34</v>
      </c>
      <c r="G11" t="s">
        <v>91</v>
      </c>
      <c r="H11" t="s">
        <v>92</v>
      </c>
      <c r="I11" t="s">
        <v>63</v>
      </c>
      <c r="J11" t="s">
        <v>64</v>
      </c>
      <c r="K11" t="s">
        <v>65</v>
      </c>
      <c r="L11">
        <v>3</v>
      </c>
      <c r="M11">
        <v>25000</v>
      </c>
      <c r="N11">
        <v>15</v>
      </c>
      <c r="O11">
        <v>63750</v>
      </c>
      <c r="P11">
        <v>8581.2000000000007</v>
      </c>
      <c r="Q11" t="s">
        <v>74</v>
      </c>
      <c r="R11" t="s">
        <v>49</v>
      </c>
      <c r="S11" t="s">
        <v>40</v>
      </c>
    </row>
    <row r="12" spans="1:19" x14ac:dyDescent="0.3">
      <c r="A12" t="s">
        <v>100</v>
      </c>
      <c r="B12" s="1">
        <v>45508</v>
      </c>
      <c r="C12" s="1">
        <v>45510</v>
      </c>
      <c r="D12" t="s">
        <v>101</v>
      </c>
      <c r="E12" t="s">
        <v>102</v>
      </c>
      <c r="F12" t="s">
        <v>55</v>
      </c>
      <c r="G12" t="s">
        <v>35</v>
      </c>
      <c r="H12" t="s">
        <v>36</v>
      </c>
      <c r="I12" t="s">
        <v>103</v>
      </c>
      <c r="J12" t="s">
        <v>104</v>
      </c>
      <c r="K12" t="s">
        <v>105</v>
      </c>
      <c r="L12">
        <v>1</v>
      </c>
      <c r="M12">
        <v>8000</v>
      </c>
      <c r="N12">
        <v>15</v>
      </c>
      <c r="O12">
        <v>6800</v>
      </c>
      <c r="P12">
        <v>1665.94</v>
      </c>
      <c r="Q12" t="s">
        <v>28</v>
      </c>
      <c r="R12" t="s">
        <v>56</v>
      </c>
      <c r="S12" t="s">
        <v>86</v>
      </c>
    </row>
    <row r="13" spans="1:19" x14ac:dyDescent="0.3">
      <c r="A13" t="s">
        <v>106</v>
      </c>
      <c r="B13" s="2">
        <v>45566</v>
      </c>
      <c r="C13" s="1">
        <v>45572</v>
      </c>
      <c r="D13" t="s">
        <v>107</v>
      </c>
      <c r="E13" t="s">
        <v>108</v>
      </c>
      <c r="F13" t="s">
        <v>23</v>
      </c>
      <c r="G13" t="s">
        <v>91</v>
      </c>
      <c r="H13" t="s">
        <v>109</v>
      </c>
      <c r="I13" t="s">
        <v>25</v>
      </c>
      <c r="J13" t="s">
        <v>26</v>
      </c>
      <c r="K13" t="s">
        <v>27</v>
      </c>
      <c r="L13">
        <v>4</v>
      </c>
      <c r="M13">
        <v>7000</v>
      </c>
      <c r="N13">
        <v>20</v>
      </c>
      <c r="O13">
        <v>22400</v>
      </c>
      <c r="P13">
        <v>4255.83</v>
      </c>
      <c r="Q13" t="s">
        <v>74</v>
      </c>
      <c r="R13" t="s">
        <v>56</v>
      </c>
      <c r="S13" t="s">
        <v>110</v>
      </c>
    </row>
    <row r="14" spans="1:19" x14ac:dyDescent="0.3">
      <c r="A14" t="s">
        <v>111</v>
      </c>
      <c r="B14" s="1">
        <v>45387</v>
      </c>
      <c r="C14" s="2">
        <v>45394</v>
      </c>
      <c r="D14" t="s">
        <v>112</v>
      </c>
      <c r="E14" t="s">
        <v>113</v>
      </c>
      <c r="F14" t="s">
        <v>23</v>
      </c>
      <c r="G14" t="s">
        <v>35</v>
      </c>
      <c r="H14" t="s">
        <v>36</v>
      </c>
      <c r="I14" t="s">
        <v>114</v>
      </c>
      <c r="J14" t="s">
        <v>115</v>
      </c>
      <c r="K14" t="s">
        <v>65</v>
      </c>
      <c r="L14">
        <v>3</v>
      </c>
      <c r="M14">
        <v>55000</v>
      </c>
      <c r="N14">
        <v>0</v>
      </c>
      <c r="O14">
        <v>165000</v>
      </c>
      <c r="P14">
        <v>25168.6</v>
      </c>
      <c r="Q14" t="s">
        <v>66</v>
      </c>
      <c r="R14" t="s">
        <v>49</v>
      </c>
      <c r="S14" t="s">
        <v>40</v>
      </c>
    </row>
    <row r="15" spans="1:19" x14ac:dyDescent="0.3">
      <c r="A15" t="s">
        <v>116</v>
      </c>
      <c r="B15" s="1">
        <v>45397</v>
      </c>
      <c r="C15" t="s">
        <v>117</v>
      </c>
      <c r="D15" t="s">
        <v>118</v>
      </c>
      <c r="E15" t="s">
        <v>119</v>
      </c>
      <c r="F15" t="s">
        <v>34</v>
      </c>
      <c r="G15" t="s">
        <v>91</v>
      </c>
      <c r="H15" t="s">
        <v>120</v>
      </c>
      <c r="I15" t="s">
        <v>93</v>
      </c>
      <c r="J15" t="s">
        <v>94</v>
      </c>
      <c r="K15" t="s">
        <v>95</v>
      </c>
      <c r="L15">
        <v>1</v>
      </c>
      <c r="M15">
        <v>1800</v>
      </c>
      <c r="N15">
        <v>0</v>
      </c>
      <c r="O15">
        <v>1800</v>
      </c>
      <c r="P15">
        <v>506.7</v>
      </c>
      <c r="Q15" t="s">
        <v>121</v>
      </c>
      <c r="R15" t="s">
        <v>56</v>
      </c>
      <c r="S15" t="s">
        <v>110</v>
      </c>
    </row>
    <row r="16" spans="1:19" x14ac:dyDescent="0.3">
      <c r="A16" t="s">
        <v>122</v>
      </c>
      <c r="B16" s="1">
        <v>45835</v>
      </c>
      <c r="C16" s="2">
        <v>45837</v>
      </c>
      <c r="D16" t="s">
        <v>123</v>
      </c>
      <c r="E16" t="s">
        <v>124</v>
      </c>
      <c r="F16" t="s">
        <v>34</v>
      </c>
      <c r="G16" t="s">
        <v>61</v>
      </c>
      <c r="H16" t="s">
        <v>125</v>
      </c>
      <c r="I16" t="s">
        <v>126</v>
      </c>
      <c r="J16" t="s">
        <v>127</v>
      </c>
      <c r="K16" t="s">
        <v>95</v>
      </c>
      <c r="M16">
        <v>600</v>
      </c>
      <c r="N16">
        <v>0</v>
      </c>
      <c r="O16">
        <v>1200</v>
      </c>
      <c r="P16">
        <v>340.78</v>
      </c>
      <c r="Q16" t="s">
        <v>74</v>
      </c>
      <c r="R16" t="s">
        <v>49</v>
      </c>
      <c r="S16" t="s">
        <v>50</v>
      </c>
    </row>
    <row r="17" spans="1:19" x14ac:dyDescent="0.3">
      <c r="A17" t="s">
        <v>128</v>
      </c>
      <c r="B17" s="2">
        <v>45910</v>
      </c>
      <c r="C17" s="1">
        <v>45911</v>
      </c>
      <c r="D17" t="s">
        <v>129</v>
      </c>
      <c r="E17" t="s">
        <v>130</v>
      </c>
      <c r="F17" t="s">
        <v>34</v>
      </c>
      <c r="G17" t="s">
        <v>61</v>
      </c>
      <c r="I17" t="s">
        <v>63</v>
      </c>
      <c r="J17" t="s">
        <v>64</v>
      </c>
      <c r="K17" t="s">
        <v>65</v>
      </c>
      <c r="L17">
        <v>1</v>
      </c>
      <c r="M17">
        <v>25000</v>
      </c>
      <c r="N17">
        <v>15</v>
      </c>
      <c r="O17">
        <v>21250</v>
      </c>
      <c r="P17">
        <v>2366.8200000000002</v>
      </c>
      <c r="Q17" t="s">
        <v>66</v>
      </c>
      <c r="R17" t="s">
        <v>49</v>
      </c>
      <c r="S17" t="s">
        <v>86</v>
      </c>
    </row>
    <row r="18" spans="1:19" x14ac:dyDescent="0.3">
      <c r="A18" t="s">
        <v>131</v>
      </c>
      <c r="B18" s="2">
        <v>45458</v>
      </c>
      <c r="C18" s="2">
        <v>45465</v>
      </c>
      <c r="D18" t="s">
        <v>132</v>
      </c>
      <c r="E18" t="s">
        <v>133</v>
      </c>
      <c r="F18" t="s">
        <v>23</v>
      </c>
      <c r="G18" t="s">
        <v>91</v>
      </c>
      <c r="H18" t="s">
        <v>120</v>
      </c>
      <c r="I18" t="s">
        <v>134</v>
      </c>
      <c r="J18" t="s">
        <v>135</v>
      </c>
      <c r="K18" t="s">
        <v>27</v>
      </c>
      <c r="L18">
        <v>1</v>
      </c>
      <c r="M18">
        <v>6000</v>
      </c>
      <c r="N18">
        <v>5</v>
      </c>
      <c r="O18">
        <v>5700</v>
      </c>
      <c r="P18">
        <v>1442.11</v>
      </c>
      <c r="Q18" t="s">
        <v>28</v>
      </c>
      <c r="R18" t="s">
        <v>56</v>
      </c>
      <c r="S18" t="s">
        <v>50</v>
      </c>
    </row>
    <row r="19" spans="1:19" x14ac:dyDescent="0.3">
      <c r="A19" t="s">
        <v>136</v>
      </c>
      <c r="B19" s="1">
        <v>45577</v>
      </c>
      <c r="C19" s="1">
        <v>45581</v>
      </c>
      <c r="D19" t="s">
        <v>123</v>
      </c>
      <c r="E19" t="s">
        <v>124</v>
      </c>
      <c r="F19" t="s">
        <v>34</v>
      </c>
      <c r="G19" t="s">
        <v>61</v>
      </c>
      <c r="H19" t="s">
        <v>125</v>
      </c>
      <c r="I19" t="s">
        <v>63</v>
      </c>
      <c r="J19" t="s">
        <v>64</v>
      </c>
      <c r="K19" t="s">
        <v>65</v>
      </c>
      <c r="L19">
        <v>2</v>
      </c>
      <c r="M19">
        <v>25000</v>
      </c>
      <c r="N19">
        <v>5</v>
      </c>
      <c r="O19">
        <v>47500</v>
      </c>
      <c r="P19">
        <v>5402.21</v>
      </c>
      <c r="Q19" t="s">
        <v>74</v>
      </c>
      <c r="R19" t="s">
        <v>56</v>
      </c>
      <c r="S19" t="s">
        <v>86</v>
      </c>
    </row>
    <row r="20" spans="1:19" x14ac:dyDescent="0.3">
      <c r="A20" t="s">
        <v>137</v>
      </c>
      <c r="B20" s="1">
        <v>45503</v>
      </c>
      <c r="C20" s="1">
        <v>45511</v>
      </c>
      <c r="D20" t="s">
        <v>138</v>
      </c>
      <c r="E20" t="s">
        <v>139</v>
      </c>
      <c r="F20" t="s">
        <v>55</v>
      </c>
      <c r="G20" t="s">
        <v>35</v>
      </c>
      <c r="H20" t="s">
        <v>36</v>
      </c>
      <c r="I20" t="s">
        <v>114</v>
      </c>
      <c r="J20" t="s">
        <v>115</v>
      </c>
      <c r="K20" t="s">
        <v>65</v>
      </c>
      <c r="L20">
        <v>2</v>
      </c>
      <c r="M20">
        <v>55000</v>
      </c>
      <c r="N20">
        <v>5</v>
      </c>
      <c r="O20">
        <v>104500</v>
      </c>
      <c r="P20">
        <v>15010.73</v>
      </c>
      <c r="Q20" t="s">
        <v>121</v>
      </c>
      <c r="R20" t="s">
        <v>29</v>
      </c>
      <c r="S20" t="s">
        <v>30</v>
      </c>
    </row>
    <row r="21" spans="1:19" x14ac:dyDescent="0.3">
      <c r="A21" t="s">
        <v>140</v>
      </c>
      <c r="B21" t="s">
        <v>141</v>
      </c>
      <c r="C21" s="2">
        <v>45412</v>
      </c>
      <c r="D21" t="s">
        <v>142</v>
      </c>
      <c r="E21" t="s">
        <v>143</v>
      </c>
      <c r="F21" t="s">
        <v>34</v>
      </c>
      <c r="G21" t="s">
        <v>44</v>
      </c>
      <c r="H21" t="s">
        <v>24</v>
      </c>
      <c r="I21" t="s">
        <v>126</v>
      </c>
      <c r="J21" t="s">
        <v>127</v>
      </c>
      <c r="K21" t="s">
        <v>95</v>
      </c>
      <c r="L21">
        <v>1</v>
      </c>
      <c r="M21">
        <v>600</v>
      </c>
      <c r="N21">
        <v>20</v>
      </c>
      <c r="O21">
        <v>480</v>
      </c>
      <c r="P21">
        <v>163.32</v>
      </c>
      <c r="Q21" t="s">
        <v>39</v>
      </c>
      <c r="R21" t="s">
        <v>49</v>
      </c>
      <c r="S21" t="s">
        <v>57</v>
      </c>
    </row>
    <row r="22" spans="1:19" x14ac:dyDescent="0.3">
      <c r="A22" t="s">
        <v>144</v>
      </c>
      <c r="B22" s="1">
        <v>45760</v>
      </c>
      <c r="C22" s="1">
        <v>45765</v>
      </c>
      <c r="D22" t="s">
        <v>145</v>
      </c>
      <c r="E22" t="s">
        <v>146</v>
      </c>
      <c r="F22" t="s">
        <v>34</v>
      </c>
      <c r="G22" t="s">
        <v>91</v>
      </c>
      <c r="H22" t="s">
        <v>92</v>
      </c>
      <c r="I22" t="s">
        <v>147</v>
      </c>
      <c r="J22" t="s">
        <v>148</v>
      </c>
      <c r="K22" t="s">
        <v>48</v>
      </c>
      <c r="L22">
        <v>1</v>
      </c>
      <c r="M22">
        <v>250</v>
      </c>
      <c r="N22">
        <v>0</v>
      </c>
      <c r="O22">
        <v>250</v>
      </c>
      <c r="P22">
        <v>105.93</v>
      </c>
      <c r="Q22" t="s">
        <v>121</v>
      </c>
      <c r="R22" t="s">
        <v>49</v>
      </c>
      <c r="S22" t="s">
        <v>50</v>
      </c>
    </row>
    <row r="23" spans="1:19" x14ac:dyDescent="0.3">
      <c r="A23" t="s">
        <v>149</v>
      </c>
      <c r="B23" s="2">
        <v>45914</v>
      </c>
      <c r="C23" s="1">
        <v>45918</v>
      </c>
      <c r="D23" t="s">
        <v>150</v>
      </c>
      <c r="E23" t="s">
        <v>151</v>
      </c>
      <c r="F23" t="s">
        <v>34</v>
      </c>
      <c r="G23" t="s">
        <v>35</v>
      </c>
      <c r="H23" t="s">
        <v>36</v>
      </c>
      <c r="I23" t="s">
        <v>79</v>
      </c>
      <c r="J23" t="s">
        <v>80</v>
      </c>
      <c r="K23" t="s">
        <v>65</v>
      </c>
      <c r="L23">
        <v>1</v>
      </c>
      <c r="M23">
        <v>3000</v>
      </c>
      <c r="N23">
        <v>5</v>
      </c>
      <c r="O23">
        <v>2850</v>
      </c>
      <c r="P23">
        <v>686.5</v>
      </c>
      <c r="Q23" t="s">
        <v>66</v>
      </c>
      <c r="R23" t="s">
        <v>29</v>
      </c>
      <c r="S23" t="s">
        <v>40</v>
      </c>
    </row>
    <row r="24" spans="1:19" x14ac:dyDescent="0.3">
      <c r="A24" t="s">
        <v>152</v>
      </c>
      <c r="B24" s="1">
        <v>45931</v>
      </c>
      <c r="C24" s="1">
        <v>45935</v>
      </c>
      <c r="D24" t="s">
        <v>153</v>
      </c>
      <c r="E24" t="s">
        <v>154</v>
      </c>
      <c r="F24" t="s">
        <v>23</v>
      </c>
      <c r="G24" t="s">
        <v>44</v>
      </c>
      <c r="H24" t="s">
        <v>155</v>
      </c>
      <c r="I24" t="s">
        <v>79</v>
      </c>
      <c r="J24" t="s">
        <v>80</v>
      </c>
      <c r="K24" t="s">
        <v>65</v>
      </c>
      <c r="L24">
        <v>1</v>
      </c>
      <c r="M24">
        <v>3000</v>
      </c>
      <c r="N24">
        <v>0</v>
      </c>
      <c r="O24">
        <v>3000</v>
      </c>
      <c r="P24">
        <v>669.95</v>
      </c>
      <c r="Q24" t="s">
        <v>156</v>
      </c>
      <c r="R24" t="s">
        <v>49</v>
      </c>
      <c r="S24" t="s">
        <v>110</v>
      </c>
    </row>
    <row r="25" spans="1:19" x14ac:dyDescent="0.3">
      <c r="A25" t="s">
        <v>157</v>
      </c>
      <c r="B25" s="2">
        <v>45441</v>
      </c>
      <c r="C25" t="s">
        <v>158</v>
      </c>
      <c r="D25" t="s">
        <v>159</v>
      </c>
      <c r="E25" t="s">
        <v>160</v>
      </c>
      <c r="F25" t="s">
        <v>34</v>
      </c>
      <c r="G25" t="s">
        <v>44</v>
      </c>
      <c r="H25" t="s">
        <v>161</v>
      </c>
      <c r="I25" t="s">
        <v>103</v>
      </c>
      <c r="J25" t="s">
        <v>104</v>
      </c>
      <c r="K25" t="s">
        <v>65</v>
      </c>
      <c r="L25">
        <v>4</v>
      </c>
      <c r="M25">
        <v>8000</v>
      </c>
      <c r="N25">
        <v>15</v>
      </c>
      <c r="O25">
        <v>27200</v>
      </c>
      <c r="P25">
        <v>5166.7700000000004</v>
      </c>
      <c r="Q25" t="s">
        <v>121</v>
      </c>
      <c r="R25" t="s">
        <v>49</v>
      </c>
      <c r="S25" t="s">
        <v>30</v>
      </c>
    </row>
    <row r="26" spans="1:19" x14ac:dyDescent="0.3">
      <c r="A26" t="s">
        <v>162</v>
      </c>
      <c r="B26" s="1">
        <v>45827</v>
      </c>
      <c r="C26" s="1">
        <v>45829</v>
      </c>
      <c r="D26" t="s">
        <v>163</v>
      </c>
      <c r="E26" t="s">
        <v>164</v>
      </c>
      <c r="F26" t="s">
        <v>55</v>
      </c>
      <c r="G26" t="s">
        <v>44</v>
      </c>
      <c r="H26" t="s">
        <v>45</v>
      </c>
      <c r="I26" t="s">
        <v>103</v>
      </c>
      <c r="J26" t="s">
        <v>104</v>
      </c>
      <c r="K26" t="s">
        <v>65</v>
      </c>
      <c r="L26">
        <v>2</v>
      </c>
      <c r="M26">
        <v>8000</v>
      </c>
      <c r="N26">
        <v>10</v>
      </c>
      <c r="O26">
        <v>14400</v>
      </c>
      <c r="P26">
        <v>2588.73</v>
      </c>
      <c r="Q26" t="s">
        <v>66</v>
      </c>
      <c r="R26" t="s">
        <v>56</v>
      </c>
      <c r="S26" t="s">
        <v>86</v>
      </c>
    </row>
    <row r="27" spans="1:19" x14ac:dyDescent="0.3">
      <c r="A27" t="s">
        <v>165</v>
      </c>
      <c r="B27" s="1">
        <v>45476</v>
      </c>
      <c r="C27" s="1">
        <v>45362</v>
      </c>
      <c r="D27" t="s">
        <v>166</v>
      </c>
      <c r="E27" t="s">
        <v>167</v>
      </c>
      <c r="F27" t="s">
        <v>23</v>
      </c>
      <c r="G27" t="s">
        <v>44</v>
      </c>
      <c r="H27" t="s">
        <v>161</v>
      </c>
      <c r="I27" t="s">
        <v>46</v>
      </c>
      <c r="J27" t="s">
        <v>47</v>
      </c>
      <c r="K27" t="s">
        <v>48</v>
      </c>
      <c r="L27">
        <v>2</v>
      </c>
      <c r="M27">
        <v>180</v>
      </c>
      <c r="N27">
        <v>0</v>
      </c>
      <c r="O27">
        <v>360</v>
      </c>
      <c r="P27">
        <v>133.05000000000001</v>
      </c>
      <c r="R27" t="s">
        <v>29</v>
      </c>
      <c r="S27" t="s">
        <v>110</v>
      </c>
    </row>
    <row r="28" spans="1:19" x14ac:dyDescent="0.3">
      <c r="A28" t="s">
        <v>168</v>
      </c>
      <c r="B28" s="1">
        <v>45809</v>
      </c>
      <c r="C28" s="1">
        <v>45815</v>
      </c>
      <c r="D28" t="s">
        <v>169</v>
      </c>
      <c r="E28" t="s">
        <v>170</v>
      </c>
      <c r="F28" t="s">
        <v>55</v>
      </c>
      <c r="G28" t="s">
        <v>91</v>
      </c>
      <c r="H28" t="s">
        <v>92</v>
      </c>
      <c r="I28" t="s">
        <v>147</v>
      </c>
      <c r="J28" t="s">
        <v>148</v>
      </c>
      <c r="K28" t="s">
        <v>48</v>
      </c>
      <c r="L28">
        <v>1</v>
      </c>
      <c r="M28">
        <v>250</v>
      </c>
      <c r="N28">
        <v>0</v>
      </c>
      <c r="O28">
        <v>250</v>
      </c>
      <c r="P28">
        <v>103.7</v>
      </c>
      <c r="Q28" t="s">
        <v>121</v>
      </c>
      <c r="R28" t="s">
        <v>49</v>
      </c>
      <c r="S28" t="s">
        <v>110</v>
      </c>
    </row>
    <row r="29" spans="1:19" x14ac:dyDescent="0.3">
      <c r="A29" t="s">
        <v>171</v>
      </c>
      <c r="B29" s="2">
        <v>45840</v>
      </c>
      <c r="C29" s="1">
        <v>45907</v>
      </c>
      <c r="D29" t="s">
        <v>172</v>
      </c>
      <c r="E29" t="s">
        <v>173</v>
      </c>
      <c r="F29" t="s">
        <v>55</v>
      </c>
      <c r="G29" t="s">
        <v>91</v>
      </c>
      <c r="I29" t="s">
        <v>46</v>
      </c>
      <c r="J29" t="s">
        <v>47</v>
      </c>
      <c r="K29" t="s">
        <v>48</v>
      </c>
      <c r="L29">
        <v>1</v>
      </c>
      <c r="M29">
        <v>180</v>
      </c>
      <c r="N29">
        <v>20</v>
      </c>
      <c r="O29">
        <v>144</v>
      </c>
      <c r="P29">
        <v>47.85</v>
      </c>
      <c r="Q29" t="s">
        <v>121</v>
      </c>
      <c r="R29" t="s">
        <v>29</v>
      </c>
      <c r="S29" t="s">
        <v>40</v>
      </c>
    </row>
    <row r="30" spans="1:19" x14ac:dyDescent="0.3">
      <c r="A30" t="s">
        <v>174</v>
      </c>
      <c r="B30" s="1">
        <v>45748</v>
      </c>
      <c r="C30" s="2">
        <v>45756</v>
      </c>
      <c r="D30" t="s">
        <v>175</v>
      </c>
      <c r="E30" t="s">
        <v>176</v>
      </c>
      <c r="F30" t="s">
        <v>55</v>
      </c>
      <c r="G30" t="s">
        <v>91</v>
      </c>
      <c r="H30" t="s">
        <v>177</v>
      </c>
      <c r="I30" t="s">
        <v>25</v>
      </c>
      <c r="J30" t="s">
        <v>26</v>
      </c>
      <c r="K30" t="s">
        <v>27</v>
      </c>
      <c r="L30">
        <v>2</v>
      </c>
      <c r="M30">
        <v>7000</v>
      </c>
      <c r="N30">
        <v>5</v>
      </c>
      <c r="O30">
        <v>13300</v>
      </c>
      <c r="P30">
        <v>2243.2399999999998</v>
      </c>
      <c r="Q30" t="s">
        <v>74</v>
      </c>
      <c r="R30" t="s">
        <v>49</v>
      </c>
      <c r="S30" t="s">
        <v>86</v>
      </c>
    </row>
    <row r="31" spans="1:19" x14ac:dyDescent="0.3">
      <c r="A31" t="s">
        <v>178</v>
      </c>
      <c r="B31" s="1">
        <v>45650</v>
      </c>
      <c r="C31" s="2">
        <v>45657</v>
      </c>
      <c r="D31" t="s">
        <v>179</v>
      </c>
      <c r="E31" t="s">
        <v>180</v>
      </c>
      <c r="F31" t="s">
        <v>23</v>
      </c>
      <c r="G31" t="s">
        <v>91</v>
      </c>
      <c r="H31" t="s">
        <v>177</v>
      </c>
      <c r="I31" t="s">
        <v>114</v>
      </c>
      <c r="J31" t="s">
        <v>115</v>
      </c>
      <c r="K31" t="s">
        <v>65</v>
      </c>
      <c r="L31">
        <v>1</v>
      </c>
      <c r="M31">
        <v>55000</v>
      </c>
      <c r="N31">
        <v>0</v>
      </c>
      <c r="O31">
        <v>55000</v>
      </c>
      <c r="P31">
        <v>6965.1</v>
      </c>
      <c r="Q31" t="s">
        <v>28</v>
      </c>
      <c r="R31" t="s">
        <v>29</v>
      </c>
      <c r="S31" t="s">
        <v>86</v>
      </c>
    </row>
    <row r="32" spans="1:19" x14ac:dyDescent="0.3">
      <c r="A32" t="s">
        <v>181</v>
      </c>
      <c r="B32" s="1">
        <v>45801</v>
      </c>
      <c r="C32" s="1">
        <v>45809</v>
      </c>
      <c r="D32" t="s">
        <v>182</v>
      </c>
      <c r="E32" t="s">
        <v>183</v>
      </c>
      <c r="F32" t="s">
        <v>55</v>
      </c>
      <c r="G32" t="s">
        <v>44</v>
      </c>
      <c r="H32" t="s">
        <v>45</v>
      </c>
      <c r="I32" t="s">
        <v>37</v>
      </c>
      <c r="J32" t="s">
        <v>38</v>
      </c>
      <c r="K32" t="s">
        <v>27</v>
      </c>
      <c r="L32">
        <v>1</v>
      </c>
      <c r="M32">
        <v>9500</v>
      </c>
      <c r="N32">
        <v>5</v>
      </c>
      <c r="O32">
        <v>9025</v>
      </c>
      <c r="P32">
        <v>1281.3499999999999</v>
      </c>
      <c r="Q32" t="s">
        <v>121</v>
      </c>
      <c r="R32" t="s">
        <v>49</v>
      </c>
      <c r="S32" t="s">
        <v>86</v>
      </c>
    </row>
    <row r="33" spans="1:19" x14ac:dyDescent="0.3">
      <c r="A33" t="s">
        <v>184</v>
      </c>
      <c r="B33" s="1">
        <v>45514</v>
      </c>
      <c r="C33" s="2">
        <v>45522</v>
      </c>
      <c r="D33" t="s">
        <v>185</v>
      </c>
      <c r="E33" t="s">
        <v>186</v>
      </c>
      <c r="F33" t="s">
        <v>55</v>
      </c>
      <c r="G33" t="s">
        <v>35</v>
      </c>
      <c r="H33" t="s">
        <v>187</v>
      </c>
      <c r="I33" t="s">
        <v>114</v>
      </c>
      <c r="J33" t="s">
        <v>115</v>
      </c>
      <c r="K33" t="s">
        <v>65</v>
      </c>
      <c r="L33">
        <v>1</v>
      </c>
      <c r="M33">
        <v>55000</v>
      </c>
      <c r="N33">
        <v>10</v>
      </c>
      <c r="O33">
        <v>49500</v>
      </c>
      <c r="P33">
        <v>6676.93</v>
      </c>
      <c r="Q33" t="s">
        <v>74</v>
      </c>
      <c r="R33" t="s">
        <v>29</v>
      </c>
      <c r="S33" t="s">
        <v>30</v>
      </c>
    </row>
    <row r="34" spans="1:19" x14ac:dyDescent="0.3">
      <c r="A34" t="s">
        <v>188</v>
      </c>
      <c r="B34" s="1">
        <v>45661</v>
      </c>
      <c r="C34" s="1">
        <v>45809</v>
      </c>
      <c r="D34" t="s">
        <v>189</v>
      </c>
      <c r="E34" t="s">
        <v>190</v>
      </c>
      <c r="F34" t="s">
        <v>23</v>
      </c>
      <c r="G34" t="s">
        <v>91</v>
      </c>
      <c r="H34" t="s">
        <v>120</v>
      </c>
      <c r="I34" t="s">
        <v>147</v>
      </c>
      <c r="J34" t="s">
        <v>148</v>
      </c>
      <c r="K34" t="s">
        <v>48</v>
      </c>
      <c r="L34">
        <v>3</v>
      </c>
      <c r="M34">
        <v>250</v>
      </c>
      <c r="N34">
        <v>10</v>
      </c>
      <c r="O34">
        <v>675</v>
      </c>
      <c r="P34">
        <v>266.99</v>
      </c>
      <c r="R34" t="s">
        <v>49</v>
      </c>
      <c r="S34" t="s">
        <v>86</v>
      </c>
    </row>
    <row r="35" spans="1:19" x14ac:dyDescent="0.3">
      <c r="A35" t="s">
        <v>191</v>
      </c>
      <c r="B35" s="1">
        <v>45516</v>
      </c>
      <c r="C35" s="1">
        <v>45639</v>
      </c>
      <c r="D35" t="s">
        <v>192</v>
      </c>
      <c r="E35" t="s">
        <v>193</v>
      </c>
      <c r="F35" t="s">
        <v>55</v>
      </c>
      <c r="G35" t="s">
        <v>35</v>
      </c>
      <c r="H35" t="s">
        <v>36</v>
      </c>
      <c r="I35" t="s">
        <v>71</v>
      </c>
      <c r="J35" t="s">
        <v>72</v>
      </c>
      <c r="K35" t="s">
        <v>73</v>
      </c>
      <c r="L35">
        <v>1</v>
      </c>
      <c r="M35">
        <v>3500</v>
      </c>
      <c r="N35">
        <v>10</v>
      </c>
      <c r="O35">
        <v>3150</v>
      </c>
      <c r="P35">
        <v>1081.32</v>
      </c>
      <c r="Q35" t="s">
        <v>74</v>
      </c>
      <c r="R35" t="s">
        <v>29</v>
      </c>
      <c r="S35" t="s">
        <v>194</v>
      </c>
    </row>
    <row r="36" spans="1:19" x14ac:dyDescent="0.3">
      <c r="A36" t="s">
        <v>195</v>
      </c>
      <c r="B36" s="1">
        <v>45719</v>
      </c>
      <c r="C36" s="2">
        <v>45725</v>
      </c>
      <c r="D36" t="s">
        <v>196</v>
      </c>
      <c r="E36" t="s">
        <v>197</v>
      </c>
      <c r="F36" t="s">
        <v>34</v>
      </c>
      <c r="G36" t="s">
        <v>91</v>
      </c>
      <c r="H36" t="s">
        <v>120</v>
      </c>
      <c r="I36" t="s">
        <v>114</v>
      </c>
      <c r="J36" t="s">
        <v>115</v>
      </c>
      <c r="K36" t="s">
        <v>65</v>
      </c>
      <c r="L36">
        <v>2</v>
      </c>
      <c r="M36">
        <v>55000</v>
      </c>
      <c r="N36">
        <v>0</v>
      </c>
      <c r="O36">
        <v>110000</v>
      </c>
      <c r="P36">
        <v>18340.849999999999</v>
      </c>
      <c r="Q36" t="s">
        <v>28</v>
      </c>
      <c r="R36" t="s">
        <v>49</v>
      </c>
      <c r="S36" t="s">
        <v>40</v>
      </c>
    </row>
    <row r="37" spans="1:19" x14ac:dyDescent="0.3">
      <c r="A37" t="s">
        <v>198</v>
      </c>
      <c r="B37" s="1">
        <v>45587</v>
      </c>
      <c r="C37" t="s">
        <v>199</v>
      </c>
      <c r="D37" t="s">
        <v>200</v>
      </c>
      <c r="E37" t="s">
        <v>201</v>
      </c>
      <c r="F37" t="s">
        <v>23</v>
      </c>
      <c r="G37" t="s">
        <v>35</v>
      </c>
      <c r="H37" t="s">
        <v>187</v>
      </c>
      <c r="I37" t="s">
        <v>114</v>
      </c>
      <c r="J37" t="s">
        <v>115</v>
      </c>
      <c r="K37" t="s">
        <v>65</v>
      </c>
      <c r="L37">
        <v>2</v>
      </c>
      <c r="M37">
        <v>55000</v>
      </c>
      <c r="N37">
        <v>15</v>
      </c>
      <c r="O37">
        <v>93500</v>
      </c>
      <c r="P37">
        <v>13906.22</v>
      </c>
      <c r="Q37" t="s">
        <v>66</v>
      </c>
      <c r="R37" t="s">
        <v>56</v>
      </c>
      <c r="S37" t="s">
        <v>110</v>
      </c>
    </row>
    <row r="38" spans="1:19" x14ac:dyDescent="0.3">
      <c r="A38" t="s">
        <v>202</v>
      </c>
      <c r="B38" s="1">
        <v>45326</v>
      </c>
      <c r="C38" s="1">
        <v>45333</v>
      </c>
      <c r="D38" t="s">
        <v>203</v>
      </c>
      <c r="E38" t="s">
        <v>204</v>
      </c>
      <c r="F38" t="s">
        <v>23</v>
      </c>
      <c r="G38" t="s">
        <v>44</v>
      </c>
      <c r="H38" t="s">
        <v>45</v>
      </c>
      <c r="I38" t="s">
        <v>103</v>
      </c>
      <c r="J38" t="s">
        <v>104</v>
      </c>
      <c r="K38" t="s">
        <v>65</v>
      </c>
      <c r="L38">
        <v>4</v>
      </c>
      <c r="M38">
        <v>8000</v>
      </c>
      <c r="N38">
        <v>0</v>
      </c>
      <c r="O38">
        <v>32000</v>
      </c>
      <c r="P38">
        <v>6750.6</v>
      </c>
      <c r="Q38" t="s">
        <v>39</v>
      </c>
      <c r="R38" t="s">
        <v>56</v>
      </c>
      <c r="S38" t="s">
        <v>86</v>
      </c>
    </row>
    <row r="39" spans="1:19" x14ac:dyDescent="0.3">
      <c r="A39" t="s">
        <v>205</v>
      </c>
      <c r="B39" s="1">
        <v>45846</v>
      </c>
      <c r="C39" s="1">
        <v>45998</v>
      </c>
      <c r="D39" t="s">
        <v>206</v>
      </c>
      <c r="E39" t="s">
        <v>207</v>
      </c>
      <c r="F39" t="s">
        <v>55</v>
      </c>
      <c r="G39" t="s">
        <v>44</v>
      </c>
      <c r="H39" t="s">
        <v>24</v>
      </c>
      <c r="I39" t="s">
        <v>93</v>
      </c>
      <c r="J39" t="s">
        <v>94</v>
      </c>
      <c r="K39" t="s">
        <v>95</v>
      </c>
      <c r="M39">
        <v>1800</v>
      </c>
      <c r="N39">
        <v>0</v>
      </c>
      <c r="O39">
        <v>3600</v>
      </c>
      <c r="P39">
        <v>1364.48</v>
      </c>
      <c r="Q39" t="s">
        <v>28</v>
      </c>
      <c r="R39" t="s">
        <v>56</v>
      </c>
      <c r="S39" t="s">
        <v>86</v>
      </c>
    </row>
    <row r="40" spans="1:19" x14ac:dyDescent="0.3">
      <c r="A40" t="s">
        <v>208</v>
      </c>
      <c r="B40" s="2">
        <v>45714</v>
      </c>
      <c r="D40" t="s">
        <v>209</v>
      </c>
      <c r="E40" t="s">
        <v>210</v>
      </c>
      <c r="F40" t="s">
        <v>34</v>
      </c>
      <c r="G40" t="s">
        <v>61</v>
      </c>
      <c r="H40" t="s">
        <v>211</v>
      </c>
      <c r="I40" t="s">
        <v>114</v>
      </c>
      <c r="J40" t="s">
        <v>115</v>
      </c>
      <c r="K40" t="s">
        <v>65</v>
      </c>
      <c r="L40">
        <v>1</v>
      </c>
      <c r="M40">
        <v>55000</v>
      </c>
      <c r="N40">
        <v>15</v>
      </c>
      <c r="O40">
        <v>46750</v>
      </c>
      <c r="P40">
        <v>6669.5</v>
      </c>
      <c r="Q40" t="s">
        <v>66</v>
      </c>
      <c r="R40" t="s">
        <v>29</v>
      </c>
      <c r="S40" t="s">
        <v>40</v>
      </c>
    </row>
    <row r="41" spans="1:19" x14ac:dyDescent="0.3">
      <c r="A41" t="s">
        <v>212</v>
      </c>
      <c r="B41" s="1">
        <v>45714</v>
      </c>
      <c r="D41" t="s">
        <v>83</v>
      </c>
      <c r="E41" t="s">
        <v>84</v>
      </c>
      <c r="F41" t="s">
        <v>34</v>
      </c>
      <c r="G41" t="s">
        <v>35</v>
      </c>
      <c r="H41" t="s">
        <v>85</v>
      </c>
      <c r="I41" t="s">
        <v>147</v>
      </c>
      <c r="J41" t="s">
        <v>148</v>
      </c>
      <c r="K41" t="s">
        <v>48</v>
      </c>
      <c r="L41">
        <v>5</v>
      </c>
      <c r="M41">
        <v>250</v>
      </c>
      <c r="N41">
        <v>0</v>
      </c>
      <c r="O41">
        <v>1250</v>
      </c>
      <c r="P41">
        <v>493.48</v>
      </c>
      <c r="Q41" t="s">
        <v>121</v>
      </c>
      <c r="R41" t="s">
        <v>56</v>
      </c>
      <c r="S41" t="s">
        <v>110</v>
      </c>
    </row>
    <row r="42" spans="1:19" x14ac:dyDescent="0.3">
      <c r="A42" t="s">
        <v>213</v>
      </c>
      <c r="B42" s="1">
        <v>45387</v>
      </c>
      <c r="C42" s="1">
        <v>45630</v>
      </c>
      <c r="D42" t="s">
        <v>214</v>
      </c>
      <c r="E42" t="s">
        <v>215</v>
      </c>
      <c r="F42" t="s">
        <v>55</v>
      </c>
      <c r="G42" t="s">
        <v>44</v>
      </c>
      <c r="I42" t="s">
        <v>71</v>
      </c>
      <c r="J42" t="s">
        <v>72</v>
      </c>
      <c r="K42" t="s">
        <v>73</v>
      </c>
      <c r="L42">
        <v>1</v>
      </c>
      <c r="M42">
        <v>3500</v>
      </c>
      <c r="N42">
        <v>0</v>
      </c>
      <c r="O42">
        <v>3500</v>
      </c>
      <c r="P42">
        <v>865.93</v>
      </c>
      <c r="Q42" t="s">
        <v>28</v>
      </c>
      <c r="R42" t="s">
        <v>49</v>
      </c>
      <c r="S42" t="s">
        <v>110</v>
      </c>
    </row>
    <row r="43" spans="1:19" x14ac:dyDescent="0.3">
      <c r="A43" t="s">
        <v>216</v>
      </c>
      <c r="B43" s="2">
        <v>45438</v>
      </c>
      <c r="C43" s="1">
        <v>45440</v>
      </c>
      <c r="D43" t="s">
        <v>217</v>
      </c>
      <c r="E43" t="s">
        <v>218</v>
      </c>
      <c r="F43" t="s">
        <v>23</v>
      </c>
      <c r="G43" t="s">
        <v>91</v>
      </c>
      <c r="H43" t="s">
        <v>109</v>
      </c>
      <c r="I43" t="s">
        <v>79</v>
      </c>
      <c r="J43" t="s">
        <v>80</v>
      </c>
      <c r="K43" t="s">
        <v>65</v>
      </c>
      <c r="L43">
        <v>2</v>
      </c>
      <c r="M43">
        <v>3000</v>
      </c>
      <c r="N43">
        <v>0</v>
      </c>
      <c r="O43">
        <v>6000</v>
      </c>
      <c r="P43">
        <v>1300.83</v>
      </c>
      <c r="Q43" t="s">
        <v>28</v>
      </c>
      <c r="R43" t="s">
        <v>56</v>
      </c>
      <c r="S43" t="s">
        <v>40</v>
      </c>
    </row>
    <row r="44" spans="1:19" x14ac:dyDescent="0.3">
      <c r="A44" t="s">
        <v>219</v>
      </c>
      <c r="B44" s="1">
        <v>46021</v>
      </c>
      <c r="C44" s="1">
        <v>46029</v>
      </c>
      <c r="D44" t="s">
        <v>220</v>
      </c>
      <c r="E44" t="s">
        <v>221</v>
      </c>
      <c r="F44" t="s">
        <v>34</v>
      </c>
      <c r="G44" t="s">
        <v>44</v>
      </c>
      <c r="H44" t="s">
        <v>161</v>
      </c>
      <c r="I44" t="s">
        <v>37</v>
      </c>
      <c r="J44" t="s">
        <v>38</v>
      </c>
      <c r="K44" t="s">
        <v>27</v>
      </c>
      <c r="L44">
        <v>3</v>
      </c>
      <c r="M44">
        <v>9500</v>
      </c>
      <c r="N44">
        <v>15</v>
      </c>
      <c r="O44">
        <v>24225</v>
      </c>
      <c r="P44">
        <v>5243.75</v>
      </c>
      <c r="Q44" t="s">
        <v>74</v>
      </c>
      <c r="R44" t="s">
        <v>56</v>
      </c>
      <c r="S44" t="s">
        <v>30</v>
      </c>
    </row>
    <row r="45" spans="1:19" x14ac:dyDescent="0.3">
      <c r="A45" t="s">
        <v>222</v>
      </c>
      <c r="B45" s="1">
        <v>45764</v>
      </c>
      <c r="C45" s="1">
        <v>45768</v>
      </c>
      <c r="D45" t="s">
        <v>223</v>
      </c>
      <c r="E45" t="s">
        <v>224</v>
      </c>
      <c r="F45" t="s">
        <v>34</v>
      </c>
      <c r="G45" t="s">
        <v>35</v>
      </c>
      <c r="H45" t="s">
        <v>85</v>
      </c>
      <c r="I45" t="s">
        <v>46</v>
      </c>
      <c r="J45" t="s">
        <v>47</v>
      </c>
      <c r="K45" t="s">
        <v>48</v>
      </c>
      <c r="L45">
        <v>2</v>
      </c>
      <c r="M45">
        <v>180</v>
      </c>
      <c r="N45">
        <v>5</v>
      </c>
      <c r="O45">
        <v>342</v>
      </c>
      <c r="P45">
        <v>122.42</v>
      </c>
      <c r="Q45" t="s">
        <v>39</v>
      </c>
      <c r="R45" t="s">
        <v>29</v>
      </c>
      <c r="S45" t="s">
        <v>86</v>
      </c>
    </row>
    <row r="46" spans="1:19" x14ac:dyDescent="0.3">
      <c r="A46" t="s">
        <v>225</v>
      </c>
      <c r="B46" s="1">
        <v>45833</v>
      </c>
      <c r="C46" t="s">
        <v>226</v>
      </c>
      <c r="D46" t="s">
        <v>227</v>
      </c>
      <c r="E46" t="s">
        <v>228</v>
      </c>
      <c r="F46" t="s">
        <v>23</v>
      </c>
      <c r="G46" t="s">
        <v>61</v>
      </c>
      <c r="H46" t="s">
        <v>62</v>
      </c>
      <c r="I46" t="s">
        <v>63</v>
      </c>
      <c r="J46" t="s">
        <v>64</v>
      </c>
      <c r="K46" t="s">
        <v>65</v>
      </c>
      <c r="L46">
        <v>2</v>
      </c>
      <c r="M46">
        <v>25000</v>
      </c>
      <c r="N46">
        <v>10</v>
      </c>
      <c r="O46">
        <v>45000</v>
      </c>
      <c r="Q46" t="s">
        <v>66</v>
      </c>
      <c r="R46" t="s">
        <v>49</v>
      </c>
      <c r="S46" t="s">
        <v>30</v>
      </c>
    </row>
    <row r="47" spans="1:19" x14ac:dyDescent="0.3">
      <c r="A47" t="s">
        <v>229</v>
      </c>
      <c r="B47" s="1">
        <v>45595</v>
      </c>
      <c r="C47" s="2">
        <v>45597</v>
      </c>
      <c r="D47" t="s">
        <v>230</v>
      </c>
      <c r="E47" t="s">
        <v>231</v>
      </c>
      <c r="F47" t="s">
        <v>55</v>
      </c>
      <c r="G47" t="s">
        <v>44</v>
      </c>
      <c r="H47" t="s">
        <v>161</v>
      </c>
      <c r="I47" t="s">
        <v>114</v>
      </c>
      <c r="J47" t="s">
        <v>115</v>
      </c>
      <c r="K47" t="s">
        <v>65</v>
      </c>
      <c r="L47">
        <v>1</v>
      </c>
      <c r="M47">
        <v>55000</v>
      </c>
      <c r="N47">
        <v>10</v>
      </c>
      <c r="O47">
        <v>49500</v>
      </c>
      <c r="P47">
        <v>6530.48</v>
      </c>
      <c r="Q47" t="s">
        <v>121</v>
      </c>
      <c r="R47" t="s">
        <v>56</v>
      </c>
      <c r="S47" t="s">
        <v>40</v>
      </c>
    </row>
    <row r="48" spans="1:19" x14ac:dyDescent="0.3">
      <c r="A48" t="s">
        <v>232</v>
      </c>
      <c r="B48" s="1">
        <v>45659</v>
      </c>
      <c r="C48" s="1">
        <v>45810</v>
      </c>
      <c r="D48" t="s">
        <v>233</v>
      </c>
      <c r="E48" t="s">
        <v>234</v>
      </c>
      <c r="F48" t="s">
        <v>23</v>
      </c>
      <c r="G48" t="s">
        <v>61</v>
      </c>
      <c r="H48" t="s">
        <v>211</v>
      </c>
      <c r="I48" t="s">
        <v>147</v>
      </c>
      <c r="J48" t="s">
        <v>148</v>
      </c>
      <c r="K48" t="s">
        <v>48</v>
      </c>
      <c r="L48">
        <v>1</v>
      </c>
      <c r="M48">
        <v>250</v>
      </c>
      <c r="N48">
        <v>5</v>
      </c>
      <c r="O48">
        <v>237.5</v>
      </c>
      <c r="P48">
        <v>101.75</v>
      </c>
      <c r="Q48" t="s">
        <v>74</v>
      </c>
      <c r="R48" t="s">
        <v>29</v>
      </c>
      <c r="S48" t="s">
        <v>50</v>
      </c>
    </row>
    <row r="49" spans="1:19" x14ac:dyDescent="0.3">
      <c r="A49" t="s">
        <v>235</v>
      </c>
      <c r="B49" s="1">
        <v>45689</v>
      </c>
      <c r="C49" s="1">
        <v>45695</v>
      </c>
      <c r="D49" t="s">
        <v>223</v>
      </c>
      <c r="E49" t="s">
        <v>224</v>
      </c>
      <c r="F49" t="s">
        <v>34</v>
      </c>
      <c r="G49" t="s">
        <v>35</v>
      </c>
      <c r="H49" t="s">
        <v>85</v>
      </c>
      <c r="I49" t="s">
        <v>103</v>
      </c>
      <c r="J49" t="s">
        <v>104</v>
      </c>
      <c r="K49" t="s">
        <v>65</v>
      </c>
      <c r="L49">
        <v>2</v>
      </c>
      <c r="M49">
        <v>8000</v>
      </c>
      <c r="N49">
        <v>20</v>
      </c>
      <c r="O49">
        <v>12800</v>
      </c>
      <c r="P49">
        <v>2973.01</v>
      </c>
      <c r="Q49" t="s">
        <v>66</v>
      </c>
      <c r="R49" t="s">
        <v>49</v>
      </c>
      <c r="S49" t="s">
        <v>86</v>
      </c>
    </row>
    <row r="50" spans="1:19" x14ac:dyDescent="0.3">
      <c r="A50" t="s">
        <v>236</v>
      </c>
      <c r="B50" s="2">
        <v>46002</v>
      </c>
      <c r="C50" s="2">
        <v>46010</v>
      </c>
      <c r="D50" t="s">
        <v>237</v>
      </c>
      <c r="E50" t="s">
        <v>238</v>
      </c>
      <c r="F50" t="s">
        <v>55</v>
      </c>
      <c r="G50" t="s">
        <v>44</v>
      </c>
      <c r="H50" t="s">
        <v>155</v>
      </c>
      <c r="I50" t="s">
        <v>46</v>
      </c>
      <c r="J50" t="s">
        <v>47</v>
      </c>
      <c r="K50" t="s">
        <v>48</v>
      </c>
      <c r="L50">
        <v>3</v>
      </c>
      <c r="M50">
        <v>180</v>
      </c>
      <c r="N50">
        <v>20</v>
      </c>
      <c r="O50">
        <v>432</v>
      </c>
      <c r="P50">
        <v>163.47</v>
      </c>
      <c r="Q50" t="s">
        <v>39</v>
      </c>
      <c r="R50" t="s">
        <v>56</v>
      </c>
      <c r="S50" t="s">
        <v>30</v>
      </c>
    </row>
    <row r="51" spans="1:19" x14ac:dyDescent="0.3">
      <c r="A51" t="s">
        <v>239</v>
      </c>
      <c r="B51" t="s">
        <v>240</v>
      </c>
      <c r="C51" s="1">
        <v>45685</v>
      </c>
      <c r="D51" t="s">
        <v>241</v>
      </c>
      <c r="E51" t="s">
        <v>242</v>
      </c>
      <c r="F51" t="s">
        <v>55</v>
      </c>
      <c r="G51" t="s">
        <v>91</v>
      </c>
      <c r="H51" t="s">
        <v>120</v>
      </c>
      <c r="I51" t="s">
        <v>126</v>
      </c>
      <c r="J51" t="s">
        <v>127</v>
      </c>
      <c r="K51" t="s">
        <v>95</v>
      </c>
      <c r="L51">
        <v>2</v>
      </c>
      <c r="M51">
        <v>600</v>
      </c>
      <c r="N51">
        <v>15</v>
      </c>
      <c r="O51">
        <v>1020</v>
      </c>
      <c r="P51">
        <v>335.14</v>
      </c>
      <c r="R51" t="s">
        <v>56</v>
      </c>
      <c r="S51" t="s">
        <v>40</v>
      </c>
    </row>
    <row r="52" spans="1:19" x14ac:dyDescent="0.3">
      <c r="A52" t="s">
        <v>243</v>
      </c>
      <c r="B52" s="1">
        <v>45563</v>
      </c>
      <c r="C52" s="1">
        <v>45571</v>
      </c>
      <c r="D52" t="s">
        <v>244</v>
      </c>
      <c r="E52" t="s">
        <v>245</v>
      </c>
      <c r="F52" t="s">
        <v>23</v>
      </c>
      <c r="G52" t="s">
        <v>61</v>
      </c>
      <c r="H52" t="s">
        <v>62</v>
      </c>
      <c r="I52" t="s">
        <v>114</v>
      </c>
      <c r="J52" t="s">
        <v>115</v>
      </c>
      <c r="K52" t="s">
        <v>65</v>
      </c>
      <c r="L52">
        <v>3</v>
      </c>
      <c r="M52">
        <v>55000</v>
      </c>
      <c r="N52">
        <v>5</v>
      </c>
      <c r="O52">
        <v>156750</v>
      </c>
      <c r="P52">
        <v>26596.36</v>
      </c>
      <c r="Q52" t="s">
        <v>39</v>
      </c>
      <c r="R52" t="s">
        <v>56</v>
      </c>
      <c r="S52" t="s">
        <v>40</v>
      </c>
    </row>
    <row r="53" spans="1:19" x14ac:dyDescent="0.3">
      <c r="A53" t="s">
        <v>246</v>
      </c>
      <c r="B53" s="1">
        <v>45443</v>
      </c>
      <c r="C53" s="2">
        <v>45449</v>
      </c>
      <c r="D53" t="s">
        <v>247</v>
      </c>
      <c r="E53" t="s">
        <v>248</v>
      </c>
      <c r="F53" t="s">
        <v>34</v>
      </c>
      <c r="G53" t="s">
        <v>61</v>
      </c>
      <c r="H53" t="s">
        <v>78</v>
      </c>
      <c r="I53" t="s">
        <v>79</v>
      </c>
      <c r="J53" t="s">
        <v>80</v>
      </c>
      <c r="K53" t="s">
        <v>65</v>
      </c>
      <c r="L53">
        <v>2</v>
      </c>
      <c r="M53">
        <v>3000</v>
      </c>
      <c r="N53">
        <v>0</v>
      </c>
      <c r="O53">
        <v>6000</v>
      </c>
      <c r="P53">
        <v>1419.14</v>
      </c>
      <c r="Q53" t="s">
        <v>39</v>
      </c>
      <c r="R53" t="s">
        <v>49</v>
      </c>
      <c r="S53" t="s">
        <v>110</v>
      </c>
    </row>
    <row r="54" spans="1:19" x14ac:dyDescent="0.3">
      <c r="A54" t="s">
        <v>249</v>
      </c>
      <c r="B54" s="1">
        <v>45457</v>
      </c>
      <c r="C54" t="s">
        <v>250</v>
      </c>
      <c r="D54" t="s">
        <v>169</v>
      </c>
      <c r="E54" t="s">
        <v>251</v>
      </c>
      <c r="F54" t="s">
        <v>55</v>
      </c>
      <c r="G54" t="s">
        <v>91</v>
      </c>
      <c r="H54" t="s">
        <v>92</v>
      </c>
      <c r="I54" t="s">
        <v>63</v>
      </c>
      <c r="J54" t="s">
        <v>64</v>
      </c>
      <c r="K54" t="s">
        <v>65</v>
      </c>
      <c r="L54">
        <v>1</v>
      </c>
      <c r="M54">
        <v>25000</v>
      </c>
      <c r="N54">
        <v>0</v>
      </c>
      <c r="O54">
        <v>25000</v>
      </c>
      <c r="Q54" t="s">
        <v>39</v>
      </c>
      <c r="R54" t="s">
        <v>49</v>
      </c>
      <c r="S54" t="s">
        <v>86</v>
      </c>
    </row>
    <row r="55" spans="1:19" x14ac:dyDescent="0.3">
      <c r="A55" t="s">
        <v>252</v>
      </c>
      <c r="B55" t="s">
        <v>253</v>
      </c>
      <c r="C55" s="1">
        <v>45930</v>
      </c>
      <c r="D55" t="s">
        <v>145</v>
      </c>
      <c r="E55" t="s">
        <v>146</v>
      </c>
      <c r="F55" t="s">
        <v>34</v>
      </c>
      <c r="G55" t="s">
        <v>91</v>
      </c>
      <c r="H55" t="s">
        <v>92</v>
      </c>
      <c r="I55" t="s">
        <v>147</v>
      </c>
      <c r="J55" t="s">
        <v>148</v>
      </c>
      <c r="K55" t="s">
        <v>48</v>
      </c>
      <c r="L55">
        <v>3</v>
      </c>
      <c r="M55">
        <v>250</v>
      </c>
      <c r="N55">
        <v>0</v>
      </c>
      <c r="O55">
        <v>750</v>
      </c>
      <c r="P55">
        <v>293.41000000000003</v>
      </c>
      <c r="Q55" t="s">
        <v>28</v>
      </c>
      <c r="R55" t="s">
        <v>56</v>
      </c>
      <c r="S55" t="s">
        <v>40</v>
      </c>
    </row>
    <row r="56" spans="1:19" x14ac:dyDescent="0.3">
      <c r="A56" t="s">
        <v>254</v>
      </c>
      <c r="B56" s="2">
        <v>45693</v>
      </c>
      <c r="C56" t="s">
        <v>255</v>
      </c>
      <c r="D56" t="s">
        <v>256</v>
      </c>
      <c r="E56" t="s">
        <v>257</v>
      </c>
      <c r="F56" t="s">
        <v>55</v>
      </c>
      <c r="G56" t="s">
        <v>35</v>
      </c>
      <c r="H56" t="s">
        <v>258</v>
      </c>
      <c r="I56" t="s">
        <v>134</v>
      </c>
      <c r="J56" t="s">
        <v>135</v>
      </c>
      <c r="K56" t="s">
        <v>27</v>
      </c>
      <c r="L56">
        <v>1</v>
      </c>
      <c r="M56">
        <v>6000</v>
      </c>
      <c r="N56">
        <v>10</v>
      </c>
      <c r="O56">
        <v>5400</v>
      </c>
      <c r="P56">
        <v>1369.24</v>
      </c>
      <c r="Q56" t="s">
        <v>39</v>
      </c>
      <c r="R56" t="s">
        <v>49</v>
      </c>
      <c r="S56" t="s">
        <v>110</v>
      </c>
    </row>
    <row r="57" spans="1:19" x14ac:dyDescent="0.3">
      <c r="A57" t="s">
        <v>259</v>
      </c>
      <c r="B57" t="s">
        <v>260</v>
      </c>
      <c r="C57" s="2">
        <v>45310</v>
      </c>
      <c r="D57" t="s">
        <v>261</v>
      </c>
      <c r="E57" t="s">
        <v>262</v>
      </c>
      <c r="F57" t="s">
        <v>23</v>
      </c>
      <c r="G57" t="s">
        <v>35</v>
      </c>
      <c r="I57" t="s">
        <v>79</v>
      </c>
      <c r="J57" t="s">
        <v>80</v>
      </c>
      <c r="K57" t="s">
        <v>65</v>
      </c>
      <c r="L57">
        <v>2</v>
      </c>
      <c r="M57">
        <v>3000</v>
      </c>
      <c r="N57">
        <v>0</v>
      </c>
      <c r="O57">
        <v>6000</v>
      </c>
      <c r="P57">
        <v>1732.76</v>
      </c>
      <c r="Q57" t="s">
        <v>156</v>
      </c>
      <c r="R57" t="s">
        <v>49</v>
      </c>
      <c r="S57" t="s">
        <v>30</v>
      </c>
    </row>
    <row r="58" spans="1:19" x14ac:dyDescent="0.3">
      <c r="A58" t="s">
        <v>263</v>
      </c>
      <c r="B58" s="1">
        <v>45919</v>
      </c>
      <c r="C58" s="1">
        <v>45926</v>
      </c>
      <c r="D58" t="s">
        <v>132</v>
      </c>
      <c r="E58" t="s">
        <v>133</v>
      </c>
      <c r="F58" t="s">
        <v>23</v>
      </c>
      <c r="G58" t="s">
        <v>91</v>
      </c>
      <c r="H58" t="s">
        <v>120</v>
      </c>
      <c r="I58" t="s">
        <v>25</v>
      </c>
      <c r="J58" t="s">
        <v>26</v>
      </c>
      <c r="K58" t="s">
        <v>27</v>
      </c>
      <c r="L58">
        <v>4</v>
      </c>
      <c r="M58">
        <v>7000</v>
      </c>
      <c r="N58">
        <v>0</v>
      </c>
      <c r="O58">
        <v>28000</v>
      </c>
      <c r="P58">
        <v>5585.82</v>
      </c>
      <c r="Q58" t="s">
        <v>121</v>
      </c>
      <c r="R58" t="s">
        <v>49</v>
      </c>
      <c r="S58" t="s">
        <v>30</v>
      </c>
    </row>
    <row r="59" spans="1:19" x14ac:dyDescent="0.3">
      <c r="A59" t="s">
        <v>264</v>
      </c>
      <c r="B59" s="2">
        <v>45360</v>
      </c>
      <c r="C59" s="2">
        <v>45361</v>
      </c>
      <c r="D59" t="s">
        <v>265</v>
      </c>
      <c r="E59" t="s">
        <v>266</v>
      </c>
      <c r="F59" t="s">
        <v>55</v>
      </c>
      <c r="G59" t="s">
        <v>44</v>
      </c>
      <c r="H59" t="s">
        <v>45</v>
      </c>
      <c r="I59" t="s">
        <v>114</v>
      </c>
      <c r="J59" t="s">
        <v>115</v>
      </c>
      <c r="K59" t="s">
        <v>65</v>
      </c>
      <c r="L59">
        <v>2</v>
      </c>
      <c r="M59">
        <v>55000</v>
      </c>
      <c r="N59">
        <v>5</v>
      </c>
      <c r="O59">
        <v>104500</v>
      </c>
      <c r="P59">
        <v>20407.47</v>
      </c>
      <c r="Q59" t="s">
        <v>74</v>
      </c>
      <c r="R59" t="s">
        <v>49</v>
      </c>
      <c r="S59" t="s">
        <v>50</v>
      </c>
    </row>
    <row r="60" spans="1:19" x14ac:dyDescent="0.3">
      <c r="A60" t="s">
        <v>267</v>
      </c>
      <c r="B60" s="2">
        <v>45939</v>
      </c>
      <c r="C60" t="s">
        <v>268</v>
      </c>
      <c r="D60" t="s">
        <v>269</v>
      </c>
      <c r="E60" t="s">
        <v>270</v>
      </c>
      <c r="F60" t="s">
        <v>23</v>
      </c>
      <c r="G60" t="s">
        <v>35</v>
      </c>
      <c r="H60" t="s">
        <v>36</v>
      </c>
      <c r="I60" t="s">
        <v>114</v>
      </c>
      <c r="J60" t="s">
        <v>115</v>
      </c>
      <c r="K60" t="s">
        <v>65</v>
      </c>
      <c r="L60">
        <v>2</v>
      </c>
      <c r="M60">
        <v>55000</v>
      </c>
      <c r="N60">
        <v>0</v>
      </c>
      <c r="O60">
        <v>110000</v>
      </c>
      <c r="P60">
        <v>18094.240000000002</v>
      </c>
      <c r="Q60" t="s">
        <v>66</v>
      </c>
      <c r="R60" t="s">
        <v>49</v>
      </c>
      <c r="S60" t="s">
        <v>110</v>
      </c>
    </row>
    <row r="61" spans="1:19" x14ac:dyDescent="0.3">
      <c r="A61" t="s">
        <v>271</v>
      </c>
      <c r="B61" s="1">
        <v>45531</v>
      </c>
      <c r="C61" s="1">
        <v>45539</v>
      </c>
      <c r="D61" t="s">
        <v>272</v>
      </c>
      <c r="E61" t="s">
        <v>273</v>
      </c>
      <c r="F61" t="s">
        <v>23</v>
      </c>
      <c r="G61" t="s">
        <v>35</v>
      </c>
      <c r="H61" t="s">
        <v>258</v>
      </c>
      <c r="I61" t="s">
        <v>134</v>
      </c>
      <c r="J61" t="s">
        <v>135</v>
      </c>
      <c r="K61" t="s">
        <v>27</v>
      </c>
      <c r="L61">
        <v>4</v>
      </c>
      <c r="M61">
        <v>6000</v>
      </c>
      <c r="N61">
        <v>5</v>
      </c>
      <c r="O61">
        <v>22800</v>
      </c>
      <c r="P61">
        <v>3925.94</v>
      </c>
      <c r="Q61" t="s">
        <v>156</v>
      </c>
      <c r="R61" t="s">
        <v>49</v>
      </c>
      <c r="S61" t="s">
        <v>30</v>
      </c>
    </row>
    <row r="62" spans="1:19" x14ac:dyDescent="0.3">
      <c r="A62" t="s">
        <v>274</v>
      </c>
      <c r="B62" s="2">
        <v>45617</v>
      </c>
      <c r="C62" s="1">
        <v>45624</v>
      </c>
      <c r="D62" t="s">
        <v>275</v>
      </c>
      <c r="E62" t="s">
        <v>276</v>
      </c>
      <c r="F62" t="s">
        <v>34</v>
      </c>
      <c r="G62" t="s">
        <v>91</v>
      </c>
      <c r="H62" t="s">
        <v>120</v>
      </c>
      <c r="I62" t="s">
        <v>126</v>
      </c>
      <c r="J62" t="s">
        <v>127</v>
      </c>
      <c r="K62" t="s">
        <v>95</v>
      </c>
      <c r="L62">
        <v>2</v>
      </c>
      <c r="M62">
        <v>600</v>
      </c>
      <c r="N62">
        <v>10</v>
      </c>
      <c r="O62">
        <v>1080</v>
      </c>
      <c r="P62">
        <v>447.57</v>
      </c>
      <c r="Q62" t="s">
        <v>66</v>
      </c>
      <c r="R62" t="s">
        <v>29</v>
      </c>
      <c r="S62" t="s">
        <v>194</v>
      </c>
    </row>
    <row r="63" spans="1:19" x14ac:dyDescent="0.3">
      <c r="A63" t="s">
        <v>277</v>
      </c>
      <c r="B63" s="1">
        <v>45706</v>
      </c>
      <c r="C63" s="1">
        <v>45709</v>
      </c>
      <c r="D63" t="s">
        <v>278</v>
      </c>
      <c r="E63" t="s">
        <v>279</v>
      </c>
      <c r="F63" t="s">
        <v>23</v>
      </c>
      <c r="G63" t="s">
        <v>91</v>
      </c>
      <c r="H63" t="s">
        <v>177</v>
      </c>
      <c r="I63" t="s">
        <v>25</v>
      </c>
      <c r="J63" t="s">
        <v>26</v>
      </c>
      <c r="K63" t="s">
        <v>27</v>
      </c>
      <c r="L63">
        <v>4</v>
      </c>
      <c r="M63">
        <v>7000</v>
      </c>
      <c r="N63">
        <v>20</v>
      </c>
      <c r="O63">
        <v>22400</v>
      </c>
      <c r="P63">
        <v>3707.45</v>
      </c>
      <c r="Q63" t="s">
        <v>28</v>
      </c>
      <c r="R63" t="s">
        <v>49</v>
      </c>
      <c r="S63" t="s">
        <v>110</v>
      </c>
    </row>
    <row r="64" spans="1:19" x14ac:dyDescent="0.3">
      <c r="A64" t="s">
        <v>280</v>
      </c>
      <c r="B64" s="2">
        <v>45405</v>
      </c>
      <c r="C64" s="1">
        <v>45412</v>
      </c>
      <c r="D64" t="s">
        <v>281</v>
      </c>
      <c r="E64" t="s">
        <v>282</v>
      </c>
      <c r="F64" t="s">
        <v>34</v>
      </c>
      <c r="G64" t="s">
        <v>61</v>
      </c>
      <c r="H64" t="s">
        <v>62</v>
      </c>
      <c r="I64" t="s">
        <v>25</v>
      </c>
      <c r="J64" t="s">
        <v>26</v>
      </c>
      <c r="K64" t="s">
        <v>27</v>
      </c>
      <c r="L64">
        <v>2</v>
      </c>
      <c r="M64">
        <v>7000</v>
      </c>
      <c r="N64">
        <v>15</v>
      </c>
      <c r="O64">
        <v>11900</v>
      </c>
      <c r="P64">
        <v>1910.08</v>
      </c>
      <c r="Q64" t="s">
        <v>121</v>
      </c>
      <c r="R64" t="s">
        <v>29</v>
      </c>
      <c r="S64" t="s">
        <v>40</v>
      </c>
    </row>
    <row r="65" spans="1:19" x14ac:dyDescent="0.3">
      <c r="A65" t="s">
        <v>283</v>
      </c>
      <c r="B65" t="s">
        <v>284</v>
      </c>
      <c r="C65" s="1">
        <v>45921</v>
      </c>
      <c r="D65" t="s">
        <v>285</v>
      </c>
      <c r="E65" t="s">
        <v>286</v>
      </c>
      <c r="F65" t="s">
        <v>23</v>
      </c>
      <c r="G65" t="s">
        <v>61</v>
      </c>
      <c r="H65" t="s">
        <v>78</v>
      </c>
      <c r="I65" t="s">
        <v>134</v>
      </c>
      <c r="J65" t="s">
        <v>135</v>
      </c>
      <c r="K65" t="s">
        <v>27</v>
      </c>
      <c r="L65">
        <v>4</v>
      </c>
      <c r="M65">
        <v>6000</v>
      </c>
      <c r="N65">
        <v>0</v>
      </c>
      <c r="O65">
        <v>24000</v>
      </c>
      <c r="P65">
        <v>5242.5</v>
      </c>
      <c r="Q65" t="s">
        <v>121</v>
      </c>
      <c r="R65" t="s">
        <v>56</v>
      </c>
      <c r="S65" t="s">
        <v>40</v>
      </c>
    </row>
    <row r="66" spans="1:19" x14ac:dyDescent="0.3">
      <c r="A66" t="s">
        <v>287</v>
      </c>
      <c r="B66" s="1">
        <v>45345</v>
      </c>
      <c r="C66" s="1">
        <v>45347</v>
      </c>
      <c r="D66" t="s">
        <v>288</v>
      </c>
      <c r="E66" t="s">
        <v>289</v>
      </c>
      <c r="F66" t="s">
        <v>34</v>
      </c>
      <c r="G66" t="s">
        <v>44</v>
      </c>
      <c r="H66" t="s">
        <v>155</v>
      </c>
      <c r="I66" t="s">
        <v>25</v>
      </c>
      <c r="J66" t="s">
        <v>26</v>
      </c>
      <c r="K66" t="s">
        <v>27</v>
      </c>
      <c r="L66">
        <v>1</v>
      </c>
      <c r="M66">
        <v>7000</v>
      </c>
      <c r="N66">
        <v>5</v>
      </c>
      <c r="O66">
        <v>6650</v>
      </c>
      <c r="P66">
        <v>1331.97</v>
      </c>
      <c r="Q66" t="s">
        <v>28</v>
      </c>
      <c r="R66" t="s">
        <v>49</v>
      </c>
      <c r="S66" t="s">
        <v>110</v>
      </c>
    </row>
    <row r="67" spans="1:19" x14ac:dyDescent="0.3">
      <c r="A67" t="s">
        <v>290</v>
      </c>
      <c r="B67" s="2">
        <v>45409</v>
      </c>
      <c r="C67" s="1">
        <v>45415</v>
      </c>
      <c r="D67" t="s">
        <v>291</v>
      </c>
      <c r="E67" t="s">
        <v>292</v>
      </c>
      <c r="F67" t="s">
        <v>55</v>
      </c>
      <c r="G67" t="s">
        <v>35</v>
      </c>
      <c r="H67" t="s">
        <v>187</v>
      </c>
      <c r="I67" t="s">
        <v>134</v>
      </c>
      <c r="J67" t="s">
        <v>135</v>
      </c>
      <c r="K67" t="s">
        <v>27</v>
      </c>
      <c r="L67">
        <v>1</v>
      </c>
      <c r="M67">
        <v>6000</v>
      </c>
      <c r="N67">
        <v>5</v>
      </c>
      <c r="O67">
        <v>5700</v>
      </c>
      <c r="Q67" t="s">
        <v>28</v>
      </c>
      <c r="R67" t="s">
        <v>49</v>
      </c>
      <c r="S67" t="s">
        <v>30</v>
      </c>
    </row>
    <row r="68" spans="1:19" x14ac:dyDescent="0.3">
      <c r="A68" t="s">
        <v>293</v>
      </c>
      <c r="B68" s="2">
        <v>45797</v>
      </c>
      <c r="C68" t="s">
        <v>294</v>
      </c>
      <c r="D68" t="s">
        <v>59</v>
      </c>
      <c r="E68" t="s">
        <v>60</v>
      </c>
      <c r="F68" t="s">
        <v>23</v>
      </c>
      <c r="G68" t="s">
        <v>61</v>
      </c>
      <c r="H68" t="s">
        <v>62</v>
      </c>
      <c r="I68" t="s">
        <v>114</v>
      </c>
      <c r="J68" t="s">
        <v>115</v>
      </c>
      <c r="K68" t="s">
        <v>65</v>
      </c>
      <c r="L68">
        <v>1</v>
      </c>
      <c r="M68">
        <v>55000</v>
      </c>
      <c r="N68">
        <v>0</v>
      </c>
      <c r="O68">
        <v>55000</v>
      </c>
      <c r="P68">
        <v>9862.42</v>
      </c>
      <c r="Q68" t="s">
        <v>66</v>
      </c>
      <c r="R68" t="s">
        <v>49</v>
      </c>
      <c r="S68" t="s">
        <v>40</v>
      </c>
    </row>
    <row r="69" spans="1:19" x14ac:dyDescent="0.3">
      <c r="A69" t="s">
        <v>295</v>
      </c>
      <c r="B69" s="2">
        <v>45883</v>
      </c>
      <c r="C69" t="s">
        <v>296</v>
      </c>
      <c r="D69" t="s">
        <v>297</v>
      </c>
      <c r="E69" t="s">
        <v>298</v>
      </c>
      <c r="F69" t="s">
        <v>23</v>
      </c>
      <c r="G69" t="s">
        <v>91</v>
      </c>
      <c r="H69" t="s">
        <v>177</v>
      </c>
      <c r="I69" t="s">
        <v>25</v>
      </c>
      <c r="J69" t="s">
        <v>26</v>
      </c>
      <c r="K69" t="s">
        <v>27</v>
      </c>
      <c r="L69">
        <v>2</v>
      </c>
      <c r="M69">
        <v>7000</v>
      </c>
      <c r="N69">
        <v>0</v>
      </c>
      <c r="O69">
        <v>14000</v>
      </c>
      <c r="P69">
        <v>2358.08</v>
      </c>
      <c r="Q69" t="s">
        <v>74</v>
      </c>
      <c r="R69" t="s">
        <v>56</v>
      </c>
      <c r="S69" t="s">
        <v>40</v>
      </c>
    </row>
    <row r="70" spans="1:19" x14ac:dyDescent="0.3">
      <c r="A70" t="s">
        <v>299</v>
      </c>
      <c r="B70" s="1">
        <v>45483</v>
      </c>
      <c r="C70" t="s">
        <v>300</v>
      </c>
      <c r="D70" t="s">
        <v>301</v>
      </c>
      <c r="E70" t="s">
        <v>302</v>
      </c>
      <c r="F70" t="s">
        <v>34</v>
      </c>
      <c r="G70" t="s">
        <v>44</v>
      </c>
      <c r="H70" t="s">
        <v>24</v>
      </c>
      <c r="I70" t="s">
        <v>37</v>
      </c>
      <c r="J70" t="s">
        <v>38</v>
      </c>
      <c r="K70" t="s">
        <v>27</v>
      </c>
      <c r="L70">
        <v>2</v>
      </c>
      <c r="M70">
        <v>9500</v>
      </c>
      <c r="N70">
        <v>5</v>
      </c>
      <c r="O70">
        <v>18050</v>
      </c>
      <c r="P70">
        <v>3057.45</v>
      </c>
      <c r="Q70" t="s">
        <v>66</v>
      </c>
      <c r="R70" t="s">
        <v>56</v>
      </c>
      <c r="S70" t="s">
        <v>30</v>
      </c>
    </row>
    <row r="71" spans="1:19" x14ac:dyDescent="0.3">
      <c r="A71" t="s">
        <v>303</v>
      </c>
      <c r="B71" s="2">
        <v>45366</v>
      </c>
      <c r="C71" s="1">
        <v>45369</v>
      </c>
      <c r="D71" t="s">
        <v>98</v>
      </c>
      <c r="E71" t="s">
        <v>304</v>
      </c>
      <c r="F71" t="s">
        <v>34</v>
      </c>
      <c r="G71" t="s">
        <v>91</v>
      </c>
      <c r="H71" t="s">
        <v>92</v>
      </c>
      <c r="I71" t="s">
        <v>71</v>
      </c>
      <c r="J71" t="s">
        <v>72</v>
      </c>
      <c r="K71" t="s">
        <v>73</v>
      </c>
      <c r="L71">
        <v>1</v>
      </c>
      <c r="M71">
        <v>3500</v>
      </c>
      <c r="N71">
        <v>10</v>
      </c>
      <c r="O71">
        <v>3150</v>
      </c>
      <c r="P71">
        <v>883.52</v>
      </c>
      <c r="Q71" t="s">
        <v>121</v>
      </c>
      <c r="R71" t="s">
        <v>56</v>
      </c>
      <c r="S71" t="s">
        <v>50</v>
      </c>
    </row>
    <row r="72" spans="1:19" x14ac:dyDescent="0.3">
      <c r="A72" t="s">
        <v>305</v>
      </c>
      <c r="B72" s="2">
        <v>45892</v>
      </c>
      <c r="C72" s="2">
        <v>45895</v>
      </c>
      <c r="D72" t="s">
        <v>159</v>
      </c>
      <c r="E72" t="s">
        <v>160</v>
      </c>
      <c r="F72" t="s">
        <v>34</v>
      </c>
      <c r="G72" t="s">
        <v>44</v>
      </c>
      <c r="H72" t="s">
        <v>161</v>
      </c>
      <c r="I72" t="s">
        <v>147</v>
      </c>
      <c r="J72" t="s">
        <v>148</v>
      </c>
      <c r="K72" t="s">
        <v>48</v>
      </c>
      <c r="L72">
        <v>4</v>
      </c>
      <c r="M72">
        <v>250</v>
      </c>
      <c r="N72">
        <v>0</v>
      </c>
      <c r="O72">
        <v>1000</v>
      </c>
      <c r="P72">
        <v>326.42</v>
      </c>
      <c r="Q72" t="s">
        <v>156</v>
      </c>
      <c r="R72" t="s">
        <v>49</v>
      </c>
      <c r="S72" t="s">
        <v>86</v>
      </c>
    </row>
    <row r="73" spans="1:19" x14ac:dyDescent="0.3">
      <c r="A73" t="s">
        <v>306</v>
      </c>
      <c r="B73" s="2">
        <v>45737</v>
      </c>
      <c r="D73" t="s">
        <v>217</v>
      </c>
      <c r="E73" t="s">
        <v>218</v>
      </c>
      <c r="F73" t="s">
        <v>23</v>
      </c>
      <c r="G73" t="s">
        <v>91</v>
      </c>
      <c r="I73" t="s">
        <v>93</v>
      </c>
      <c r="J73" t="s">
        <v>94</v>
      </c>
      <c r="K73" t="s">
        <v>95</v>
      </c>
      <c r="M73">
        <v>1800</v>
      </c>
      <c r="N73">
        <v>5</v>
      </c>
      <c r="O73">
        <v>3420</v>
      </c>
      <c r="P73">
        <v>861.84</v>
      </c>
      <c r="Q73" t="s">
        <v>74</v>
      </c>
      <c r="R73" t="s">
        <v>29</v>
      </c>
      <c r="S73" t="s">
        <v>86</v>
      </c>
    </row>
    <row r="74" spans="1:19" x14ac:dyDescent="0.3">
      <c r="A74" t="s">
        <v>307</v>
      </c>
      <c r="B74" s="1">
        <v>45338</v>
      </c>
      <c r="C74" s="2">
        <v>45339</v>
      </c>
      <c r="D74" t="s">
        <v>308</v>
      </c>
      <c r="E74" t="s">
        <v>309</v>
      </c>
      <c r="F74" t="s">
        <v>34</v>
      </c>
      <c r="G74" t="s">
        <v>91</v>
      </c>
      <c r="H74" t="s">
        <v>177</v>
      </c>
      <c r="I74" t="s">
        <v>134</v>
      </c>
      <c r="J74" t="s">
        <v>135</v>
      </c>
      <c r="K74" t="s">
        <v>27</v>
      </c>
      <c r="L74">
        <v>2</v>
      </c>
      <c r="M74">
        <v>6000</v>
      </c>
      <c r="N74">
        <v>0</v>
      </c>
      <c r="O74">
        <v>12000</v>
      </c>
      <c r="P74">
        <v>2869.92</v>
      </c>
      <c r="Q74" t="s">
        <v>74</v>
      </c>
      <c r="R74" t="s">
        <v>56</v>
      </c>
      <c r="S74" t="s">
        <v>40</v>
      </c>
    </row>
    <row r="75" spans="1:19" x14ac:dyDescent="0.3">
      <c r="A75" t="s">
        <v>310</v>
      </c>
      <c r="B75" s="2">
        <v>45847</v>
      </c>
      <c r="C75" s="1">
        <v>45854</v>
      </c>
      <c r="D75" t="s">
        <v>311</v>
      </c>
      <c r="E75" t="s">
        <v>312</v>
      </c>
      <c r="F75" t="s">
        <v>34</v>
      </c>
      <c r="G75" t="s">
        <v>61</v>
      </c>
      <c r="H75" t="s">
        <v>78</v>
      </c>
      <c r="I75" t="s">
        <v>63</v>
      </c>
      <c r="J75" t="s">
        <v>64</v>
      </c>
      <c r="K75" t="s">
        <v>65</v>
      </c>
      <c r="L75">
        <v>3</v>
      </c>
      <c r="M75">
        <v>25000</v>
      </c>
      <c r="N75">
        <v>0</v>
      </c>
      <c r="O75">
        <v>75000</v>
      </c>
      <c r="P75">
        <v>11946.04</v>
      </c>
      <c r="Q75" t="s">
        <v>66</v>
      </c>
      <c r="R75" t="s">
        <v>29</v>
      </c>
      <c r="S75" t="s">
        <v>50</v>
      </c>
    </row>
    <row r="76" spans="1:19" x14ac:dyDescent="0.3">
      <c r="A76" t="s">
        <v>313</v>
      </c>
      <c r="B76" s="1">
        <v>45657</v>
      </c>
      <c r="C76" s="2">
        <v>45665</v>
      </c>
      <c r="D76" t="s">
        <v>314</v>
      </c>
      <c r="E76" t="s">
        <v>315</v>
      </c>
      <c r="F76" t="s">
        <v>55</v>
      </c>
      <c r="G76" t="s">
        <v>44</v>
      </c>
      <c r="H76" t="s">
        <v>161</v>
      </c>
      <c r="I76" t="s">
        <v>37</v>
      </c>
      <c r="J76" t="s">
        <v>38</v>
      </c>
      <c r="K76" t="s">
        <v>27</v>
      </c>
      <c r="L76">
        <v>2</v>
      </c>
      <c r="M76">
        <v>9500</v>
      </c>
      <c r="N76">
        <v>0</v>
      </c>
      <c r="O76">
        <v>19000</v>
      </c>
      <c r="P76">
        <v>3878.43</v>
      </c>
      <c r="Q76" t="s">
        <v>28</v>
      </c>
      <c r="R76" t="s">
        <v>56</v>
      </c>
      <c r="S76" t="s">
        <v>30</v>
      </c>
    </row>
    <row r="77" spans="1:19" x14ac:dyDescent="0.3">
      <c r="A77" t="s">
        <v>316</v>
      </c>
      <c r="B77" s="1">
        <v>45301</v>
      </c>
      <c r="C77" t="s">
        <v>317</v>
      </c>
      <c r="D77" t="s">
        <v>318</v>
      </c>
      <c r="E77" t="s">
        <v>319</v>
      </c>
      <c r="F77" t="s">
        <v>55</v>
      </c>
      <c r="G77" t="s">
        <v>35</v>
      </c>
      <c r="H77" t="s">
        <v>36</v>
      </c>
      <c r="I77" t="s">
        <v>114</v>
      </c>
      <c r="J77" t="s">
        <v>115</v>
      </c>
      <c r="K77" t="s">
        <v>65</v>
      </c>
      <c r="L77">
        <v>2</v>
      </c>
      <c r="M77">
        <v>55000</v>
      </c>
      <c r="N77">
        <v>15</v>
      </c>
      <c r="O77">
        <v>93500</v>
      </c>
      <c r="P77">
        <v>14089.83</v>
      </c>
      <c r="Q77" t="s">
        <v>74</v>
      </c>
      <c r="R77" t="s">
        <v>29</v>
      </c>
      <c r="S77" t="s">
        <v>86</v>
      </c>
    </row>
    <row r="78" spans="1:19" x14ac:dyDescent="0.3">
      <c r="A78" t="s">
        <v>320</v>
      </c>
      <c r="B78" s="1">
        <v>45754</v>
      </c>
      <c r="C78" s="1">
        <v>45845</v>
      </c>
      <c r="D78" t="s">
        <v>321</v>
      </c>
      <c r="E78" t="s">
        <v>322</v>
      </c>
      <c r="F78" t="s">
        <v>34</v>
      </c>
      <c r="G78" t="s">
        <v>91</v>
      </c>
      <c r="I78" t="s">
        <v>79</v>
      </c>
      <c r="J78" t="s">
        <v>80</v>
      </c>
      <c r="K78" t="s">
        <v>65</v>
      </c>
      <c r="L78">
        <v>1</v>
      </c>
      <c r="M78">
        <v>3000</v>
      </c>
      <c r="N78">
        <v>5</v>
      </c>
      <c r="O78">
        <v>2850</v>
      </c>
      <c r="P78">
        <v>829.04</v>
      </c>
      <c r="Q78" t="s">
        <v>39</v>
      </c>
      <c r="R78" t="s">
        <v>49</v>
      </c>
      <c r="S78" t="s">
        <v>110</v>
      </c>
    </row>
    <row r="79" spans="1:19" x14ac:dyDescent="0.3">
      <c r="A79" t="s">
        <v>323</v>
      </c>
      <c r="B79" s="1">
        <v>45752</v>
      </c>
      <c r="C79" s="2">
        <v>45787</v>
      </c>
      <c r="D79" t="s">
        <v>324</v>
      </c>
      <c r="E79" t="s">
        <v>325</v>
      </c>
      <c r="F79" t="s">
        <v>55</v>
      </c>
      <c r="G79" t="s">
        <v>91</v>
      </c>
      <c r="H79" t="s">
        <v>109</v>
      </c>
      <c r="I79" t="s">
        <v>147</v>
      </c>
      <c r="J79" t="s">
        <v>148</v>
      </c>
      <c r="K79" t="s">
        <v>48</v>
      </c>
      <c r="L79">
        <v>4</v>
      </c>
      <c r="M79">
        <v>250</v>
      </c>
      <c r="N79">
        <v>0</v>
      </c>
      <c r="O79">
        <v>1000</v>
      </c>
      <c r="P79">
        <v>321.70999999999998</v>
      </c>
      <c r="R79" t="s">
        <v>29</v>
      </c>
      <c r="S79" t="s">
        <v>86</v>
      </c>
    </row>
    <row r="80" spans="1:19" x14ac:dyDescent="0.3">
      <c r="A80" t="s">
        <v>326</v>
      </c>
      <c r="B80" s="1">
        <v>45726</v>
      </c>
      <c r="C80" s="1">
        <v>45728</v>
      </c>
      <c r="D80" t="s">
        <v>285</v>
      </c>
      <c r="E80" t="s">
        <v>286</v>
      </c>
      <c r="F80" t="s">
        <v>23</v>
      </c>
      <c r="G80" t="s">
        <v>61</v>
      </c>
      <c r="H80" t="s">
        <v>78</v>
      </c>
      <c r="I80" t="s">
        <v>79</v>
      </c>
      <c r="J80" t="s">
        <v>80</v>
      </c>
      <c r="K80" t="s">
        <v>65</v>
      </c>
      <c r="L80">
        <v>3</v>
      </c>
      <c r="M80">
        <v>3000</v>
      </c>
      <c r="N80">
        <v>5</v>
      </c>
      <c r="O80">
        <v>8550</v>
      </c>
      <c r="P80">
        <v>1938.7</v>
      </c>
      <c r="Q80" t="s">
        <v>121</v>
      </c>
      <c r="R80" t="s">
        <v>29</v>
      </c>
      <c r="S80" t="s">
        <v>110</v>
      </c>
    </row>
    <row r="81" spans="1:19" x14ac:dyDescent="0.3">
      <c r="A81" t="s">
        <v>327</v>
      </c>
      <c r="B81" s="1">
        <v>45474</v>
      </c>
      <c r="C81" s="1">
        <v>45479</v>
      </c>
      <c r="D81" t="s">
        <v>328</v>
      </c>
      <c r="E81" t="s">
        <v>329</v>
      </c>
      <c r="F81" t="s">
        <v>23</v>
      </c>
      <c r="G81" t="s">
        <v>44</v>
      </c>
      <c r="H81" t="s">
        <v>330</v>
      </c>
      <c r="I81" t="s">
        <v>46</v>
      </c>
      <c r="J81" t="s">
        <v>47</v>
      </c>
      <c r="K81" t="s">
        <v>48</v>
      </c>
      <c r="L81">
        <v>2</v>
      </c>
      <c r="M81">
        <v>180</v>
      </c>
      <c r="N81">
        <v>0</v>
      </c>
      <c r="O81">
        <v>360</v>
      </c>
      <c r="P81">
        <v>127.56</v>
      </c>
      <c r="Q81" t="s">
        <v>121</v>
      </c>
      <c r="R81" t="s">
        <v>56</v>
      </c>
      <c r="S81" t="s">
        <v>50</v>
      </c>
    </row>
    <row r="82" spans="1:19" x14ac:dyDescent="0.3">
      <c r="A82" t="s">
        <v>331</v>
      </c>
      <c r="B82" s="1">
        <v>45961</v>
      </c>
      <c r="C82" s="1">
        <v>45966</v>
      </c>
      <c r="D82" t="s">
        <v>332</v>
      </c>
      <c r="E82" t="s">
        <v>333</v>
      </c>
      <c r="F82" t="s">
        <v>23</v>
      </c>
      <c r="G82" t="s">
        <v>91</v>
      </c>
      <c r="H82" t="s">
        <v>177</v>
      </c>
      <c r="I82" t="s">
        <v>134</v>
      </c>
      <c r="J82" t="s">
        <v>135</v>
      </c>
      <c r="K82" t="s">
        <v>27</v>
      </c>
      <c r="L82">
        <v>1</v>
      </c>
      <c r="M82">
        <v>6000</v>
      </c>
      <c r="N82">
        <v>5</v>
      </c>
      <c r="O82">
        <v>5700</v>
      </c>
      <c r="P82">
        <v>1078.04</v>
      </c>
      <c r="Q82" t="s">
        <v>156</v>
      </c>
      <c r="R82" t="s">
        <v>56</v>
      </c>
      <c r="S82" t="s">
        <v>110</v>
      </c>
    </row>
    <row r="83" spans="1:19" x14ac:dyDescent="0.3">
      <c r="A83" t="s">
        <v>334</v>
      </c>
      <c r="B83" s="2">
        <v>45551</v>
      </c>
      <c r="C83" t="s">
        <v>335</v>
      </c>
      <c r="D83" t="s">
        <v>336</v>
      </c>
      <c r="E83" t="s">
        <v>337</v>
      </c>
      <c r="F83" t="s">
        <v>34</v>
      </c>
      <c r="G83" t="s">
        <v>61</v>
      </c>
      <c r="H83" t="s">
        <v>211</v>
      </c>
      <c r="I83" t="s">
        <v>37</v>
      </c>
      <c r="J83" t="s">
        <v>38</v>
      </c>
      <c r="K83" t="s">
        <v>27</v>
      </c>
      <c r="L83">
        <v>3</v>
      </c>
      <c r="M83">
        <v>9500</v>
      </c>
      <c r="N83">
        <v>0</v>
      </c>
      <c r="O83">
        <v>28500</v>
      </c>
      <c r="P83">
        <v>5787.83</v>
      </c>
      <c r="Q83" t="s">
        <v>121</v>
      </c>
      <c r="R83" t="s">
        <v>56</v>
      </c>
      <c r="S83" t="s">
        <v>86</v>
      </c>
    </row>
    <row r="84" spans="1:19" x14ac:dyDescent="0.3">
      <c r="A84" t="s">
        <v>338</v>
      </c>
      <c r="B84" s="1">
        <v>45544</v>
      </c>
      <c r="C84" t="s">
        <v>339</v>
      </c>
      <c r="D84" t="s">
        <v>340</v>
      </c>
      <c r="E84" t="s">
        <v>341</v>
      </c>
      <c r="F84" t="s">
        <v>34</v>
      </c>
      <c r="G84" t="s">
        <v>91</v>
      </c>
      <c r="H84" t="s">
        <v>109</v>
      </c>
      <c r="I84" t="s">
        <v>79</v>
      </c>
      <c r="J84" t="s">
        <v>80</v>
      </c>
      <c r="K84" t="s">
        <v>65</v>
      </c>
      <c r="L84">
        <v>2</v>
      </c>
      <c r="M84">
        <v>3000</v>
      </c>
      <c r="N84">
        <v>5</v>
      </c>
      <c r="O84">
        <v>5700</v>
      </c>
      <c r="P84">
        <v>1771.4</v>
      </c>
      <c r="Q84" t="s">
        <v>121</v>
      </c>
      <c r="R84" t="s">
        <v>49</v>
      </c>
      <c r="S84" t="s">
        <v>30</v>
      </c>
    </row>
    <row r="85" spans="1:19" x14ac:dyDescent="0.3">
      <c r="A85" t="s">
        <v>342</v>
      </c>
      <c r="B85" s="2">
        <v>45905</v>
      </c>
      <c r="C85" s="1">
        <v>45907</v>
      </c>
      <c r="D85" t="s">
        <v>343</v>
      </c>
      <c r="E85" t="s">
        <v>344</v>
      </c>
      <c r="F85" t="s">
        <v>34</v>
      </c>
      <c r="G85" t="s">
        <v>44</v>
      </c>
      <c r="H85" t="s">
        <v>45</v>
      </c>
      <c r="I85" t="s">
        <v>134</v>
      </c>
      <c r="J85" t="s">
        <v>135</v>
      </c>
      <c r="K85" t="s">
        <v>27</v>
      </c>
      <c r="L85">
        <v>-1</v>
      </c>
      <c r="M85">
        <v>6000</v>
      </c>
      <c r="N85">
        <v>20</v>
      </c>
      <c r="O85">
        <v>4800</v>
      </c>
      <c r="P85">
        <v>973.75</v>
      </c>
      <c r="Q85" t="s">
        <v>156</v>
      </c>
      <c r="R85" t="s">
        <v>56</v>
      </c>
      <c r="S85" t="s">
        <v>110</v>
      </c>
    </row>
    <row r="86" spans="1:19" x14ac:dyDescent="0.3">
      <c r="A86" t="s">
        <v>345</v>
      </c>
      <c r="B86" s="2">
        <v>45877</v>
      </c>
      <c r="C86" s="1">
        <v>45885</v>
      </c>
      <c r="D86" t="s">
        <v>346</v>
      </c>
      <c r="E86" t="s">
        <v>347</v>
      </c>
      <c r="F86" t="s">
        <v>23</v>
      </c>
      <c r="G86" t="s">
        <v>44</v>
      </c>
      <c r="H86" t="s">
        <v>155</v>
      </c>
      <c r="I86" t="s">
        <v>114</v>
      </c>
      <c r="J86" t="s">
        <v>115</v>
      </c>
      <c r="K86" t="s">
        <v>65</v>
      </c>
      <c r="L86">
        <v>1</v>
      </c>
      <c r="M86">
        <v>55000</v>
      </c>
      <c r="N86">
        <v>0</v>
      </c>
      <c r="O86">
        <v>55000</v>
      </c>
      <c r="P86">
        <v>10655.35</v>
      </c>
      <c r="Q86" t="s">
        <v>74</v>
      </c>
      <c r="R86" t="s">
        <v>49</v>
      </c>
      <c r="S86" t="s">
        <v>40</v>
      </c>
    </row>
    <row r="87" spans="1:19" x14ac:dyDescent="0.3">
      <c r="A87" t="s">
        <v>348</v>
      </c>
      <c r="B87" s="1">
        <v>45867</v>
      </c>
      <c r="C87" s="1">
        <v>45696</v>
      </c>
      <c r="D87" t="s">
        <v>349</v>
      </c>
      <c r="E87" t="s">
        <v>350</v>
      </c>
      <c r="F87" t="s">
        <v>34</v>
      </c>
      <c r="G87" t="s">
        <v>91</v>
      </c>
      <c r="H87" t="s">
        <v>120</v>
      </c>
      <c r="I87" t="s">
        <v>25</v>
      </c>
      <c r="J87" t="s">
        <v>26</v>
      </c>
      <c r="K87" t="s">
        <v>27</v>
      </c>
      <c r="L87">
        <v>5</v>
      </c>
      <c r="M87">
        <v>7000</v>
      </c>
      <c r="N87">
        <v>15</v>
      </c>
      <c r="O87">
        <v>29750</v>
      </c>
      <c r="P87">
        <v>5178.6899999999996</v>
      </c>
      <c r="Q87" t="s">
        <v>74</v>
      </c>
      <c r="R87" t="s">
        <v>56</v>
      </c>
      <c r="S87" t="s">
        <v>40</v>
      </c>
    </row>
    <row r="88" spans="1:19" x14ac:dyDescent="0.3">
      <c r="A88" t="s">
        <v>351</v>
      </c>
      <c r="B88" s="1">
        <v>45385</v>
      </c>
      <c r="C88" s="1">
        <v>45390</v>
      </c>
      <c r="D88" t="s">
        <v>352</v>
      </c>
      <c r="E88" t="s">
        <v>353</v>
      </c>
      <c r="F88" t="s">
        <v>55</v>
      </c>
      <c r="G88" t="s">
        <v>35</v>
      </c>
      <c r="H88" t="s">
        <v>36</v>
      </c>
      <c r="I88" t="s">
        <v>71</v>
      </c>
      <c r="J88" t="s">
        <v>72</v>
      </c>
      <c r="K88" t="s">
        <v>73</v>
      </c>
      <c r="L88">
        <v>1</v>
      </c>
      <c r="M88">
        <v>3500</v>
      </c>
      <c r="N88">
        <v>5</v>
      </c>
      <c r="O88">
        <v>3325</v>
      </c>
      <c r="P88">
        <v>892.39</v>
      </c>
      <c r="Q88" t="s">
        <v>28</v>
      </c>
      <c r="R88" t="s">
        <v>56</v>
      </c>
      <c r="S88" t="s">
        <v>50</v>
      </c>
    </row>
    <row r="89" spans="1:19" x14ac:dyDescent="0.3">
      <c r="A89" t="s">
        <v>354</v>
      </c>
      <c r="B89" s="1">
        <v>45438</v>
      </c>
      <c r="C89" t="s">
        <v>355</v>
      </c>
      <c r="D89" t="s">
        <v>356</v>
      </c>
      <c r="E89" t="s">
        <v>357</v>
      </c>
      <c r="F89" t="s">
        <v>23</v>
      </c>
      <c r="G89" t="s">
        <v>91</v>
      </c>
      <c r="H89" t="s">
        <v>120</v>
      </c>
      <c r="I89" t="s">
        <v>114</v>
      </c>
      <c r="J89" t="s">
        <v>115</v>
      </c>
      <c r="K89" t="s">
        <v>65</v>
      </c>
      <c r="L89">
        <v>2</v>
      </c>
      <c r="M89">
        <v>55000</v>
      </c>
      <c r="N89">
        <v>20</v>
      </c>
      <c r="O89">
        <v>88000</v>
      </c>
      <c r="P89">
        <v>16123.68</v>
      </c>
      <c r="Q89" t="s">
        <v>28</v>
      </c>
      <c r="R89" t="s">
        <v>49</v>
      </c>
      <c r="S89" t="s">
        <v>86</v>
      </c>
    </row>
    <row r="90" spans="1:19" x14ac:dyDescent="0.3">
      <c r="A90" t="s">
        <v>358</v>
      </c>
      <c r="B90" s="1">
        <v>45731</v>
      </c>
      <c r="C90" s="1">
        <v>45737</v>
      </c>
      <c r="D90" t="s">
        <v>359</v>
      </c>
      <c r="E90" t="s">
        <v>360</v>
      </c>
      <c r="F90" t="s">
        <v>34</v>
      </c>
      <c r="G90" t="s">
        <v>61</v>
      </c>
      <c r="H90" t="s">
        <v>125</v>
      </c>
      <c r="I90" t="s">
        <v>79</v>
      </c>
      <c r="J90" t="s">
        <v>80</v>
      </c>
      <c r="K90" t="s">
        <v>65</v>
      </c>
      <c r="L90">
        <v>2</v>
      </c>
      <c r="M90">
        <v>3000</v>
      </c>
      <c r="N90">
        <v>5</v>
      </c>
      <c r="O90">
        <v>5700</v>
      </c>
      <c r="P90">
        <v>1811.28</v>
      </c>
      <c r="Q90" t="s">
        <v>66</v>
      </c>
      <c r="R90" t="s">
        <v>49</v>
      </c>
      <c r="S90" t="s">
        <v>50</v>
      </c>
    </row>
    <row r="91" spans="1:19" x14ac:dyDescent="0.3">
      <c r="A91" t="s">
        <v>361</v>
      </c>
      <c r="B91" s="1">
        <v>45651</v>
      </c>
      <c r="C91" s="1">
        <v>45689</v>
      </c>
      <c r="D91" t="s">
        <v>362</v>
      </c>
      <c r="E91" t="s">
        <v>363</v>
      </c>
      <c r="F91" t="s">
        <v>55</v>
      </c>
      <c r="G91" t="s">
        <v>35</v>
      </c>
      <c r="H91" t="s">
        <v>36</v>
      </c>
      <c r="I91" t="s">
        <v>147</v>
      </c>
      <c r="J91" t="s">
        <v>148</v>
      </c>
      <c r="K91" t="s">
        <v>364</v>
      </c>
      <c r="L91">
        <v>1</v>
      </c>
      <c r="M91">
        <v>250</v>
      </c>
      <c r="N91">
        <v>5</v>
      </c>
      <c r="O91">
        <v>237.5</v>
      </c>
      <c r="P91">
        <v>76.13</v>
      </c>
      <c r="Q91" t="s">
        <v>66</v>
      </c>
      <c r="R91" t="s">
        <v>49</v>
      </c>
      <c r="S91" t="s">
        <v>110</v>
      </c>
    </row>
    <row r="92" spans="1:19" x14ac:dyDescent="0.3">
      <c r="A92" t="s">
        <v>365</v>
      </c>
      <c r="B92" s="2">
        <v>45969</v>
      </c>
      <c r="C92" s="2">
        <v>45972</v>
      </c>
      <c r="D92" t="s">
        <v>223</v>
      </c>
      <c r="E92" t="s">
        <v>224</v>
      </c>
      <c r="F92" t="s">
        <v>34</v>
      </c>
      <c r="G92" t="s">
        <v>35</v>
      </c>
      <c r="H92" t="s">
        <v>85</v>
      </c>
      <c r="I92" t="s">
        <v>134</v>
      </c>
      <c r="J92" t="s">
        <v>135</v>
      </c>
      <c r="K92" t="s">
        <v>366</v>
      </c>
      <c r="L92">
        <v>2</v>
      </c>
      <c r="M92">
        <v>6000</v>
      </c>
      <c r="N92">
        <v>10</v>
      </c>
      <c r="O92">
        <v>10800</v>
      </c>
      <c r="P92">
        <v>2442.3200000000002</v>
      </c>
      <c r="Q92" t="s">
        <v>28</v>
      </c>
      <c r="R92" t="s">
        <v>29</v>
      </c>
      <c r="S92" t="s">
        <v>40</v>
      </c>
    </row>
    <row r="93" spans="1:19" x14ac:dyDescent="0.3">
      <c r="A93" t="s">
        <v>367</v>
      </c>
      <c r="B93" s="1">
        <v>45550</v>
      </c>
      <c r="C93" s="2">
        <v>45557</v>
      </c>
      <c r="D93" t="s">
        <v>241</v>
      </c>
      <c r="E93" t="s">
        <v>242</v>
      </c>
      <c r="F93" t="s">
        <v>55</v>
      </c>
      <c r="G93" t="s">
        <v>91</v>
      </c>
      <c r="H93" t="s">
        <v>120</v>
      </c>
      <c r="I93" t="s">
        <v>93</v>
      </c>
      <c r="J93" t="s">
        <v>94</v>
      </c>
      <c r="K93" t="s">
        <v>95</v>
      </c>
      <c r="L93">
        <v>3</v>
      </c>
      <c r="M93">
        <v>1800</v>
      </c>
      <c r="N93">
        <v>5</v>
      </c>
      <c r="O93">
        <v>5130</v>
      </c>
      <c r="P93">
        <v>1258.25</v>
      </c>
      <c r="Q93" t="s">
        <v>156</v>
      </c>
      <c r="R93" t="s">
        <v>56</v>
      </c>
      <c r="S93" t="s">
        <v>86</v>
      </c>
    </row>
    <row r="94" spans="1:19" x14ac:dyDescent="0.3">
      <c r="A94" t="s">
        <v>368</v>
      </c>
      <c r="B94" t="s">
        <v>268</v>
      </c>
      <c r="D94" t="s">
        <v>343</v>
      </c>
      <c r="E94" t="s">
        <v>369</v>
      </c>
      <c r="F94" t="s">
        <v>34</v>
      </c>
      <c r="G94" t="s">
        <v>44</v>
      </c>
      <c r="H94" t="s">
        <v>45</v>
      </c>
      <c r="I94" t="s">
        <v>93</v>
      </c>
      <c r="J94" t="s">
        <v>94</v>
      </c>
      <c r="K94" t="s">
        <v>95</v>
      </c>
      <c r="L94">
        <v>5</v>
      </c>
      <c r="M94">
        <v>1800</v>
      </c>
      <c r="N94">
        <v>0</v>
      </c>
      <c r="O94">
        <v>9000</v>
      </c>
      <c r="Q94" t="s">
        <v>28</v>
      </c>
      <c r="R94" t="s">
        <v>56</v>
      </c>
      <c r="S94" t="s">
        <v>40</v>
      </c>
    </row>
    <row r="95" spans="1:19" x14ac:dyDescent="0.3">
      <c r="A95" t="s">
        <v>370</v>
      </c>
      <c r="B95" s="1">
        <v>45329</v>
      </c>
      <c r="C95" t="s">
        <v>371</v>
      </c>
      <c r="D95" t="s">
        <v>346</v>
      </c>
      <c r="E95" t="s">
        <v>347</v>
      </c>
      <c r="F95" t="s">
        <v>23</v>
      </c>
      <c r="G95" t="s">
        <v>44</v>
      </c>
      <c r="H95" t="s">
        <v>155</v>
      </c>
      <c r="I95" t="s">
        <v>25</v>
      </c>
      <c r="J95" t="s">
        <v>26</v>
      </c>
      <c r="K95" t="s">
        <v>27</v>
      </c>
      <c r="L95">
        <v>2</v>
      </c>
      <c r="M95">
        <v>7000</v>
      </c>
      <c r="N95">
        <v>5</v>
      </c>
      <c r="O95">
        <v>13300</v>
      </c>
      <c r="P95">
        <v>2649.03</v>
      </c>
      <c r="Q95" t="s">
        <v>121</v>
      </c>
      <c r="R95" t="s">
        <v>56</v>
      </c>
      <c r="S95" t="s">
        <v>86</v>
      </c>
    </row>
    <row r="96" spans="1:19" x14ac:dyDescent="0.3">
      <c r="A96" t="s">
        <v>372</v>
      </c>
      <c r="B96" s="2">
        <v>45629</v>
      </c>
      <c r="C96" s="1">
        <v>45632</v>
      </c>
      <c r="D96" t="s">
        <v>373</v>
      </c>
      <c r="E96" t="s">
        <v>374</v>
      </c>
      <c r="F96" t="s">
        <v>55</v>
      </c>
      <c r="G96" t="s">
        <v>35</v>
      </c>
      <c r="H96" t="s">
        <v>85</v>
      </c>
      <c r="I96" t="s">
        <v>63</v>
      </c>
      <c r="J96" t="s">
        <v>64</v>
      </c>
      <c r="K96" t="s">
        <v>375</v>
      </c>
      <c r="L96">
        <v>1</v>
      </c>
      <c r="M96">
        <v>25000</v>
      </c>
      <c r="N96">
        <v>0</v>
      </c>
      <c r="O96">
        <v>25000</v>
      </c>
      <c r="P96">
        <v>3792.11</v>
      </c>
      <c r="Q96" t="s">
        <v>121</v>
      </c>
      <c r="R96" t="s">
        <v>49</v>
      </c>
      <c r="S96" t="s">
        <v>86</v>
      </c>
    </row>
    <row r="97" spans="1:19" x14ac:dyDescent="0.3">
      <c r="A97" t="s">
        <v>376</v>
      </c>
      <c r="B97" t="s">
        <v>377</v>
      </c>
      <c r="D97" t="s">
        <v>378</v>
      </c>
      <c r="E97" t="s">
        <v>379</v>
      </c>
      <c r="F97" t="s">
        <v>34</v>
      </c>
      <c r="G97" t="s">
        <v>44</v>
      </c>
      <c r="H97" t="s">
        <v>24</v>
      </c>
      <c r="I97" t="s">
        <v>103</v>
      </c>
      <c r="J97" t="s">
        <v>104</v>
      </c>
      <c r="K97" t="s">
        <v>65</v>
      </c>
      <c r="L97">
        <v>-2</v>
      </c>
      <c r="M97">
        <v>8000</v>
      </c>
      <c r="N97">
        <v>10</v>
      </c>
      <c r="O97">
        <v>14400</v>
      </c>
      <c r="P97">
        <v>3156.98</v>
      </c>
      <c r="Q97" t="s">
        <v>156</v>
      </c>
      <c r="R97" t="s">
        <v>56</v>
      </c>
      <c r="S97" t="s">
        <v>40</v>
      </c>
    </row>
    <row r="98" spans="1:19" x14ac:dyDescent="0.3">
      <c r="A98" t="s">
        <v>380</v>
      </c>
      <c r="B98" s="2">
        <v>45421</v>
      </c>
      <c r="C98" s="1">
        <v>45570</v>
      </c>
      <c r="D98" t="s">
        <v>381</v>
      </c>
      <c r="E98" t="s">
        <v>382</v>
      </c>
      <c r="F98" t="s">
        <v>55</v>
      </c>
      <c r="G98" t="s">
        <v>61</v>
      </c>
      <c r="H98" t="s">
        <v>78</v>
      </c>
      <c r="I98" t="s">
        <v>79</v>
      </c>
      <c r="J98" t="s">
        <v>80</v>
      </c>
      <c r="K98" t="s">
        <v>65</v>
      </c>
      <c r="L98">
        <v>4</v>
      </c>
      <c r="M98">
        <v>3000</v>
      </c>
      <c r="N98">
        <v>0</v>
      </c>
      <c r="O98">
        <v>12000</v>
      </c>
      <c r="P98">
        <v>3235.6</v>
      </c>
      <c r="Q98" t="s">
        <v>156</v>
      </c>
      <c r="R98" t="s">
        <v>56</v>
      </c>
      <c r="S98" t="s">
        <v>86</v>
      </c>
    </row>
    <row r="99" spans="1:19" x14ac:dyDescent="0.3">
      <c r="A99" t="s">
        <v>383</v>
      </c>
      <c r="B99" s="1">
        <v>45996</v>
      </c>
      <c r="C99" s="1">
        <v>46002</v>
      </c>
      <c r="D99" t="s">
        <v>384</v>
      </c>
      <c r="E99" t="s">
        <v>385</v>
      </c>
      <c r="F99" t="s">
        <v>55</v>
      </c>
      <c r="G99" t="s">
        <v>61</v>
      </c>
      <c r="H99" t="s">
        <v>125</v>
      </c>
      <c r="I99" t="s">
        <v>71</v>
      </c>
      <c r="J99" t="s">
        <v>72</v>
      </c>
      <c r="K99" t="s">
        <v>73</v>
      </c>
      <c r="L99">
        <v>5</v>
      </c>
      <c r="M99">
        <v>3500</v>
      </c>
      <c r="N99">
        <v>5</v>
      </c>
      <c r="O99">
        <v>16625</v>
      </c>
      <c r="P99">
        <v>3937.73</v>
      </c>
      <c r="Q99" t="s">
        <v>121</v>
      </c>
      <c r="R99" t="s">
        <v>56</v>
      </c>
      <c r="S99" t="s">
        <v>86</v>
      </c>
    </row>
    <row r="100" spans="1:19" x14ac:dyDescent="0.3">
      <c r="A100" t="s">
        <v>386</v>
      </c>
      <c r="B100" s="2">
        <v>45728</v>
      </c>
      <c r="C100" s="1">
        <v>45732</v>
      </c>
      <c r="D100" t="s">
        <v>281</v>
      </c>
      <c r="E100" t="s">
        <v>282</v>
      </c>
      <c r="F100" t="s">
        <v>34</v>
      </c>
      <c r="G100" t="s">
        <v>61</v>
      </c>
      <c r="H100" t="s">
        <v>62</v>
      </c>
      <c r="I100" t="s">
        <v>103</v>
      </c>
      <c r="J100" t="s">
        <v>104</v>
      </c>
      <c r="K100" t="s">
        <v>65</v>
      </c>
      <c r="L100">
        <v>4</v>
      </c>
      <c r="M100">
        <v>8000</v>
      </c>
      <c r="N100">
        <v>0</v>
      </c>
      <c r="O100">
        <v>32000</v>
      </c>
      <c r="P100">
        <v>8399.15</v>
      </c>
      <c r="Q100" t="s">
        <v>66</v>
      </c>
      <c r="R100" t="s">
        <v>56</v>
      </c>
      <c r="S100" t="s">
        <v>50</v>
      </c>
    </row>
    <row r="101" spans="1:19" x14ac:dyDescent="0.3">
      <c r="A101" t="s">
        <v>387</v>
      </c>
      <c r="B101" s="2">
        <v>45931</v>
      </c>
      <c r="C101" s="1">
        <v>45698</v>
      </c>
      <c r="D101" t="s">
        <v>388</v>
      </c>
      <c r="E101" t="s">
        <v>389</v>
      </c>
      <c r="F101" t="s">
        <v>23</v>
      </c>
      <c r="G101" t="s">
        <v>44</v>
      </c>
      <c r="H101" t="s">
        <v>161</v>
      </c>
      <c r="I101" t="s">
        <v>79</v>
      </c>
      <c r="J101" t="s">
        <v>80</v>
      </c>
      <c r="K101" t="s">
        <v>65</v>
      </c>
      <c r="L101">
        <v>2</v>
      </c>
      <c r="M101">
        <v>3000</v>
      </c>
      <c r="N101">
        <v>10</v>
      </c>
      <c r="O101">
        <v>5400</v>
      </c>
      <c r="P101">
        <v>1413.63</v>
      </c>
      <c r="Q101" t="s">
        <v>74</v>
      </c>
      <c r="R101" t="s">
        <v>56</v>
      </c>
      <c r="S101" t="s">
        <v>30</v>
      </c>
    </row>
    <row r="102" spans="1:19" x14ac:dyDescent="0.3">
      <c r="A102" t="s">
        <v>390</v>
      </c>
      <c r="B102" s="1">
        <v>45927</v>
      </c>
      <c r="C102" s="2">
        <v>45930</v>
      </c>
      <c r="D102" t="s">
        <v>272</v>
      </c>
      <c r="E102" t="s">
        <v>273</v>
      </c>
      <c r="F102" t="s">
        <v>23</v>
      </c>
      <c r="G102" t="s">
        <v>35</v>
      </c>
      <c r="H102" t="s">
        <v>258</v>
      </c>
      <c r="I102" t="s">
        <v>126</v>
      </c>
      <c r="J102" t="s">
        <v>127</v>
      </c>
      <c r="K102" t="s">
        <v>95</v>
      </c>
      <c r="L102">
        <v>-1</v>
      </c>
      <c r="M102">
        <v>600</v>
      </c>
      <c r="N102">
        <v>20</v>
      </c>
      <c r="O102">
        <v>480</v>
      </c>
      <c r="P102">
        <v>160.44</v>
      </c>
      <c r="Q102" t="s">
        <v>121</v>
      </c>
      <c r="R102" t="s">
        <v>29</v>
      </c>
      <c r="S102" t="s">
        <v>50</v>
      </c>
    </row>
    <row r="103" spans="1:19" x14ac:dyDescent="0.3">
      <c r="A103" t="s">
        <v>391</v>
      </c>
      <c r="B103" s="1">
        <v>45335</v>
      </c>
      <c r="C103" s="2">
        <v>45339</v>
      </c>
      <c r="D103" t="s">
        <v>392</v>
      </c>
      <c r="E103" t="s">
        <v>393</v>
      </c>
      <c r="F103" t="s">
        <v>55</v>
      </c>
      <c r="G103" t="s">
        <v>91</v>
      </c>
      <c r="H103" t="s">
        <v>92</v>
      </c>
      <c r="I103" t="s">
        <v>134</v>
      </c>
      <c r="J103" t="s">
        <v>135</v>
      </c>
      <c r="K103" t="s">
        <v>27</v>
      </c>
      <c r="L103">
        <v>4</v>
      </c>
      <c r="M103">
        <v>6000</v>
      </c>
      <c r="N103">
        <v>20</v>
      </c>
      <c r="O103">
        <v>19200</v>
      </c>
      <c r="P103">
        <v>3952.98</v>
      </c>
      <c r="Q103" t="s">
        <v>156</v>
      </c>
      <c r="R103" t="s">
        <v>56</v>
      </c>
      <c r="S103" t="s">
        <v>110</v>
      </c>
    </row>
    <row r="104" spans="1:19" x14ac:dyDescent="0.3">
      <c r="A104" t="s">
        <v>394</v>
      </c>
      <c r="B104" s="2">
        <v>45391</v>
      </c>
      <c r="C104" s="1">
        <v>45397</v>
      </c>
      <c r="D104" t="s">
        <v>395</v>
      </c>
      <c r="E104" t="s">
        <v>396</v>
      </c>
      <c r="F104" t="s">
        <v>55</v>
      </c>
      <c r="G104" t="s">
        <v>44</v>
      </c>
      <c r="H104" t="s">
        <v>161</v>
      </c>
      <c r="I104" t="s">
        <v>79</v>
      </c>
      <c r="J104" t="s">
        <v>80</v>
      </c>
      <c r="K104" t="s">
        <v>65</v>
      </c>
      <c r="L104">
        <v>1</v>
      </c>
      <c r="M104">
        <v>3000</v>
      </c>
      <c r="N104">
        <v>20</v>
      </c>
      <c r="O104">
        <v>2400</v>
      </c>
      <c r="P104">
        <v>788.19</v>
      </c>
      <c r="Q104" t="s">
        <v>121</v>
      </c>
      <c r="R104" t="s">
        <v>29</v>
      </c>
      <c r="S104" t="s">
        <v>40</v>
      </c>
    </row>
    <row r="105" spans="1:19" x14ac:dyDescent="0.3">
      <c r="A105" t="s">
        <v>397</v>
      </c>
      <c r="B105" s="2">
        <v>45578</v>
      </c>
      <c r="C105" s="2">
        <v>45584</v>
      </c>
      <c r="D105" t="s">
        <v>230</v>
      </c>
      <c r="E105" t="s">
        <v>231</v>
      </c>
      <c r="F105" t="s">
        <v>55</v>
      </c>
      <c r="G105" t="s">
        <v>44</v>
      </c>
      <c r="H105" t="s">
        <v>161</v>
      </c>
      <c r="I105" t="s">
        <v>103</v>
      </c>
      <c r="J105" t="s">
        <v>104</v>
      </c>
      <c r="K105" t="s">
        <v>65</v>
      </c>
      <c r="L105">
        <v>2</v>
      </c>
      <c r="M105">
        <v>8000</v>
      </c>
      <c r="N105">
        <v>0</v>
      </c>
      <c r="O105">
        <v>16000</v>
      </c>
      <c r="P105">
        <v>2962.3</v>
      </c>
      <c r="Q105" t="s">
        <v>74</v>
      </c>
      <c r="R105" t="s">
        <v>56</v>
      </c>
      <c r="S105" t="s">
        <v>110</v>
      </c>
    </row>
    <row r="106" spans="1:19" x14ac:dyDescent="0.3">
      <c r="A106" t="s">
        <v>398</v>
      </c>
      <c r="B106" s="1">
        <v>45379</v>
      </c>
      <c r="C106" s="1">
        <v>45387</v>
      </c>
      <c r="D106" t="s">
        <v>101</v>
      </c>
      <c r="E106" t="s">
        <v>102</v>
      </c>
      <c r="F106" t="s">
        <v>55</v>
      </c>
      <c r="G106" t="s">
        <v>35</v>
      </c>
      <c r="H106" t="s">
        <v>36</v>
      </c>
      <c r="I106" t="s">
        <v>25</v>
      </c>
      <c r="J106" t="s">
        <v>26</v>
      </c>
      <c r="K106" t="s">
        <v>27</v>
      </c>
      <c r="L106">
        <v>10</v>
      </c>
      <c r="M106">
        <v>7000</v>
      </c>
      <c r="N106">
        <v>10</v>
      </c>
      <c r="O106">
        <v>63000</v>
      </c>
      <c r="P106">
        <v>9950.7800000000007</v>
      </c>
      <c r="Q106" t="s">
        <v>66</v>
      </c>
      <c r="R106" t="s">
        <v>29</v>
      </c>
      <c r="S106" t="s">
        <v>110</v>
      </c>
    </row>
    <row r="107" spans="1:19" x14ac:dyDescent="0.3">
      <c r="A107" t="s">
        <v>399</v>
      </c>
      <c r="B107" s="1">
        <v>45845</v>
      </c>
      <c r="C107" s="1">
        <v>45848</v>
      </c>
      <c r="D107" t="s">
        <v>400</v>
      </c>
      <c r="E107" t="s">
        <v>401</v>
      </c>
      <c r="F107" t="s">
        <v>34</v>
      </c>
      <c r="G107" t="s">
        <v>44</v>
      </c>
      <c r="H107" t="s">
        <v>24</v>
      </c>
      <c r="I107" t="s">
        <v>79</v>
      </c>
      <c r="J107" t="s">
        <v>80</v>
      </c>
      <c r="K107" t="s">
        <v>105</v>
      </c>
      <c r="M107">
        <v>3000</v>
      </c>
      <c r="N107">
        <v>0</v>
      </c>
      <c r="O107">
        <v>6000</v>
      </c>
      <c r="P107">
        <v>1932.75</v>
      </c>
      <c r="Q107" t="s">
        <v>66</v>
      </c>
      <c r="R107" t="s">
        <v>29</v>
      </c>
      <c r="S107" t="s">
        <v>30</v>
      </c>
    </row>
    <row r="108" spans="1:19" x14ac:dyDescent="0.3">
      <c r="A108" t="s">
        <v>402</v>
      </c>
      <c r="B108" s="2">
        <v>45437</v>
      </c>
      <c r="C108" s="2">
        <v>45445</v>
      </c>
      <c r="D108" t="s">
        <v>403</v>
      </c>
      <c r="E108" t="s">
        <v>404</v>
      </c>
      <c r="F108" t="s">
        <v>55</v>
      </c>
      <c r="G108" t="s">
        <v>35</v>
      </c>
      <c r="H108" t="s">
        <v>36</v>
      </c>
      <c r="I108" t="s">
        <v>93</v>
      </c>
      <c r="J108" t="s">
        <v>94</v>
      </c>
      <c r="K108" t="s">
        <v>95</v>
      </c>
      <c r="L108">
        <v>2</v>
      </c>
      <c r="M108">
        <v>1800</v>
      </c>
      <c r="N108">
        <v>0</v>
      </c>
      <c r="O108">
        <v>3600</v>
      </c>
      <c r="P108">
        <v>1303.7</v>
      </c>
      <c r="Q108" t="s">
        <v>39</v>
      </c>
      <c r="R108" t="s">
        <v>49</v>
      </c>
      <c r="S108" t="s">
        <v>50</v>
      </c>
    </row>
    <row r="109" spans="1:19" x14ac:dyDescent="0.3">
      <c r="A109" t="s">
        <v>405</v>
      </c>
      <c r="B109" s="2">
        <v>46005</v>
      </c>
      <c r="C109" s="1">
        <v>46006</v>
      </c>
      <c r="D109" t="s">
        <v>406</v>
      </c>
      <c r="E109" t="s">
        <v>407</v>
      </c>
      <c r="F109" t="s">
        <v>55</v>
      </c>
      <c r="G109" t="s">
        <v>91</v>
      </c>
      <c r="H109" t="s">
        <v>120</v>
      </c>
      <c r="I109" t="s">
        <v>25</v>
      </c>
      <c r="J109" t="s">
        <v>26</v>
      </c>
      <c r="K109" t="s">
        <v>27</v>
      </c>
      <c r="L109">
        <v>4</v>
      </c>
      <c r="M109">
        <v>7000</v>
      </c>
      <c r="N109">
        <v>10</v>
      </c>
      <c r="O109">
        <v>25200</v>
      </c>
      <c r="P109">
        <v>5330.45</v>
      </c>
      <c r="Q109" t="s">
        <v>74</v>
      </c>
      <c r="R109" t="s">
        <v>56</v>
      </c>
      <c r="S109" t="s">
        <v>86</v>
      </c>
    </row>
    <row r="110" spans="1:19" x14ac:dyDescent="0.3">
      <c r="A110" t="s">
        <v>408</v>
      </c>
      <c r="B110" s="1">
        <v>45641</v>
      </c>
      <c r="C110" s="2">
        <v>45649</v>
      </c>
      <c r="D110" t="s">
        <v>409</v>
      </c>
      <c r="E110" t="s">
        <v>410</v>
      </c>
      <c r="F110" t="s">
        <v>23</v>
      </c>
      <c r="G110" t="s">
        <v>61</v>
      </c>
      <c r="H110" t="s">
        <v>125</v>
      </c>
      <c r="I110" t="s">
        <v>63</v>
      </c>
      <c r="J110" t="s">
        <v>64</v>
      </c>
      <c r="K110" t="s">
        <v>65</v>
      </c>
      <c r="L110">
        <v>4</v>
      </c>
      <c r="M110">
        <v>25000</v>
      </c>
      <c r="N110">
        <v>0</v>
      </c>
      <c r="O110">
        <v>100000</v>
      </c>
      <c r="P110">
        <v>13897.14</v>
      </c>
      <c r="Q110" t="s">
        <v>66</v>
      </c>
      <c r="R110" t="s">
        <v>29</v>
      </c>
      <c r="S110" t="s">
        <v>86</v>
      </c>
    </row>
    <row r="111" spans="1:19" x14ac:dyDescent="0.3">
      <c r="A111" t="s">
        <v>411</v>
      </c>
      <c r="B111" t="s">
        <v>412</v>
      </c>
      <c r="D111" t="s">
        <v>413</v>
      </c>
      <c r="E111" t="s">
        <v>414</v>
      </c>
      <c r="F111" t="s">
        <v>55</v>
      </c>
      <c r="G111" t="s">
        <v>91</v>
      </c>
      <c r="H111" t="s">
        <v>120</v>
      </c>
      <c r="I111" t="s">
        <v>71</v>
      </c>
      <c r="J111" t="s">
        <v>72</v>
      </c>
      <c r="K111" t="s">
        <v>73</v>
      </c>
      <c r="L111">
        <v>2</v>
      </c>
      <c r="M111">
        <v>3500</v>
      </c>
      <c r="N111">
        <v>10</v>
      </c>
      <c r="O111">
        <v>6300</v>
      </c>
      <c r="P111">
        <v>1649</v>
      </c>
      <c r="Q111" t="s">
        <v>156</v>
      </c>
      <c r="R111" t="s">
        <v>29</v>
      </c>
      <c r="S111" t="s">
        <v>110</v>
      </c>
    </row>
    <row r="112" spans="1:19" x14ac:dyDescent="0.3">
      <c r="A112" t="s">
        <v>415</v>
      </c>
      <c r="B112" s="1">
        <v>45691</v>
      </c>
      <c r="C112" s="2">
        <v>45697</v>
      </c>
      <c r="D112" t="s">
        <v>150</v>
      </c>
      <c r="E112" t="s">
        <v>151</v>
      </c>
      <c r="F112" t="s">
        <v>34</v>
      </c>
      <c r="G112" t="s">
        <v>35</v>
      </c>
      <c r="H112" t="s">
        <v>36</v>
      </c>
      <c r="I112" t="s">
        <v>126</v>
      </c>
      <c r="J112" t="s">
        <v>127</v>
      </c>
      <c r="K112" t="s">
        <v>95</v>
      </c>
      <c r="L112">
        <v>10</v>
      </c>
      <c r="M112">
        <v>600</v>
      </c>
      <c r="N112">
        <v>0</v>
      </c>
      <c r="O112">
        <v>6000</v>
      </c>
      <c r="P112">
        <v>1963.64</v>
      </c>
      <c r="Q112" t="s">
        <v>39</v>
      </c>
      <c r="R112" t="s">
        <v>29</v>
      </c>
      <c r="S112" t="s">
        <v>30</v>
      </c>
    </row>
    <row r="113" spans="1:19" x14ac:dyDescent="0.3">
      <c r="A113" t="s">
        <v>416</v>
      </c>
      <c r="B113" s="1">
        <v>46016</v>
      </c>
      <c r="C113" t="s">
        <v>417</v>
      </c>
      <c r="D113" t="s">
        <v>418</v>
      </c>
      <c r="E113" t="s">
        <v>419</v>
      </c>
      <c r="F113" t="s">
        <v>23</v>
      </c>
      <c r="G113" t="s">
        <v>91</v>
      </c>
      <c r="H113" t="s">
        <v>120</v>
      </c>
      <c r="I113" t="s">
        <v>126</v>
      </c>
      <c r="J113" t="s">
        <v>127</v>
      </c>
      <c r="K113" t="s">
        <v>95</v>
      </c>
      <c r="L113">
        <v>3</v>
      </c>
      <c r="M113">
        <v>600</v>
      </c>
      <c r="N113">
        <v>0</v>
      </c>
      <c r="O113">
        <v>1800</v>
      </c>
      <c r="P113">
        <v>548.71</v>
      </c>
      <c r="Q113" t="s">
        <v>39</v>
      </c>
      <c r="R113" t="s">
        <v>49</v>
      </c>
      <c r="S113" t="s">
        <v>40</v>
      </c>
    </row>
    <row r="114" spans="1:19" x14ac:dyDescent="0.3">
      <c r="A114" t="s">
        <v>420</v>
      </c>
      <c r="B114" s="1">
        <v>45836</v>
      </c>
      <c r="C114" s="1">
        <v>45840</v>
      </c>
      <c r="D114" t="s">
        <v>421</v>
      </c>
      <c r="E114" t="s">
        <v>422</v>
      </c>
      <c r="F114" t="s">
        <v>34</v>
      </c>
      <c r="G114" t="s">
        <v>61</v>
      </c>
      <c r="H114" t="s">
        <v>211</v>
      </c>
      <c r="I114" t="s">
        <v>126</v>
      </c>
      <c r="J114" t="s">
        <v>127</v>
      </c>
      <c r="K114" t="s">
        <v>95</v>
      </c>
      <c r="L114">
        <v>1</v>
      </c>
      <c r="M114">
        <v>600</v>
      </c>
      <c r="N114">
        <v>0</v>
      </c>
      <c r="O114">
        <v>600</v>
      </c>
      <c r="P114">
        <v>184.68</v>
      </c>
      <c r="Q114" t="s">
        <v>121</v>
      </c>
      <c r="R114" t="s">
        <v>56</v>
      </c>
      <c r="S114" t="s">
        <v>40</v>
      </c>
    </row>
    <row r="115" spans="1:19" x14ac:dyDescent="0.3">
      <c r="A115" t="s">
        <v>423</v>
      </c>
      <c r="B115" t="s">
        <v>424</v>
      </c>
      <c r="C115" s="1">
        <v>45719</v>
      </c>
      <c r="D115" t="s">
        <v>425</v>
      </c>
      <c r="E115" t="s">
        <v>426</v>
      </c>
      <c r="F115" t="s">
        <v>34</v>
      </c>
      <c r="G115" t="s">
        <v>61</v>
      </c>
      <c r="H115" t="s">
        <v>125</v>
      </c>
      <c r="I115" t="s">
        <v>147</v>
      </c>
      <c r="J115" t="s">
        <v>148</v>
      </c>
      <c r="K115" t="s">
        <v>48</v>
      </c>
      <c r="L115">
        <v>1</v>
      </c>
      <c r="M115">
        <v>250</v>
      </c>
      <c r="N115">
        <v>20</v>
      </c>
      <c r="O115">
        <v>200</v>
      </c>
      <c r="P115">
        <v>56.74</v>
      </c>
      <c r="Q115" t="s">
        <v>156</v>
      </c>
      <c r="R115" t="s">
        <v>49</v>
      </c>
      <c r="S115" t="s">
        <v>86</v>
      </c>
    </row>
    <row r="116" spans="1:19" x14ac:dyDescent="0.3">
      <c r="A116" t="s">
        <v>427</v>
      </c>
      <c r="B116" s="2">
        <v>45990</v>
      </c>
      <c r="C116" s="2">
        <v>45995</v>
      </c>
      <c r="D116" t="s">
        <v>428</v>
      </c>
      <c r="E116" t="s">
        <v>429</v>
      </c>
      <c r="F116" t="s">
        <v>34</v>
      </c>
      <c r="G116" t="s">
        <v>44</v>
      </c>
      <c r="H116" t="s">
        <v>45</v>
      </c>
      <c r="I116" t="s">
        <v>71</v>
      </c>
      <c r="J116" t="s">
        <v>72</v>
      </c>
      <c r="K116" t="s">
        <v>73</v>
      </c>
      <c r="L116">
        <v>10</v>
      </c>
      <c r="M116">
        <v>3500</v>
      </c>
      <c r="N116">
        <v>0</v>
      </c>
      <c r="O116">
        <v>35000</v>
      </c>
      <c r="P116">
        <v>10892.72</v>
      </c>
      <c r="Q116" t="s">
        <v>39</v>
      </c>
      <c r="R116" t="s">
        <v>56</v>
      </c>
      <c r="S116" t="s">
        <v>50</v>
      </c>
    </row>
    <row r="117" spans="1:19" x14ac:dyDescent="0.3">
      <c r="A117" t="s">
        <v>430</v>
      </c>
      <c r="B117" s="1">
        <v>45367</v>
      </c>
      <c r="C117" s="1">
        <v>45373</v>
      </c>
      <c r="D117" t="s">
        <v>431</v>
      </c>
      <c r="E117" t="s">
        <v>432</v>
      </c>
      <c r="F117" t="s">
        <v>23</v>
      </c>
      <c r="G117" t="s">
        <v>91</v>
      </c>
      <c r="H117" t="s">
        <v>120</v>
      </c>
      <c r="I117" t="s">
        <v>147</v>
      </c>
      <c r="J117" t="s">
        <v>148</v>
      </c>
      <c r="K117" t="s">
        <v>48</v>
      </c>
      <c r="L117">
        <v>3</v>
      </c>
      <c r="M117">
        <v>250</v>
      </c>
      <c r="N117">
        <v>0</v>
      </c>
      <c r="O117">
        <v>750</v>
      </c>
      <c r="P117">
        <v>245.39</v>
      </c>
      <c r="Q117" t="s">
        <v>74</v>
      </c>
      <c r="R117" t="s">
        <v>29</v>
      </c>
      <c r="S117" t="s">
        <v>86</v>
      </c>
    </row>
    <row r="118" spans="1:19" x14ac:dyDescent="0.3">
      <c r="A118" t="s">
        <v>433</v>
      </c>
      <c r="B118" s="1">
        <v>46000</v>
      </c>
      <c r="C118" s="1">
        <v>45914</v>
      </c>
      <c r="D118" t="s">
        <v>138</v>
      </c>
      <c r="E118" t="s">
        <v>139</v>
      </c>
      <c r="F118" t="s">
        <v>55</v>
      </c>
      <c r="G118" t="s">
        <v>35</v>
      </c>
      <c r="H118" t="s">
        <v>36</v>
      </c>
      <c r="I118" t="s">
        <v>147</v>
      </c>
      <c r="J118" t="s">
        <v>148</v>
      </c>
      <c r="K118" t="s">
        <v>48</v>
      </c>
      <c r="L118">
        <v>4</v>
      </c>
      <c r="M118">
        <v>250</v>
      </c>
      <c r="N118">
        <v>0</v>
      </c>
      <c r="O118">
        <v>1000</v>
      </c>
      <c r="P118">
        <v>382.95</v>
      </c>
      <c r="Q118" t="s">
        <v>28</v>
      </c>
      <c r="R118" t="s">
        <v>56</v>
      </c>
      <c r="S118" t="s">
        <v>50</v>
      </c>
    </row>
    <row r="119" spans="1:19" x14ac:dyDescent="0.3">
      <c r="A119" t="s">
        <v>434</v>
      </c>
      <c r="B119" s="1">
        <v>45967</v>
      </c>
      <c r="C119" s="2">
        <v>45824</v>
      </c>
      <c r="D119" t="s">
        <v>435</v>
      </c>
      <c r="E119" t="s">
        <v>436</v>
      </c>
      <c r="F119" t="s">
        <v>23</v>
      </c>
      <c r="G119" t="s">
        <v>44</v>
      </c>
      <c r="H119" t="s">
        <v>24</v>
      </c>
      <c r="I119" t="s">
        <v>25</v>
      </c>
      <c r="J119" t="s">
        <v>26</v>
      </c>
      <c r="K119" t="s">
        <v>27</v>
      </c>
      <c r="L119">
        <v>1</v>
      </c>
      <c r="M119">
        <v>7000</v>
      </c>
      <c r="N119">
        <v>20</v>
      </c>
      <c r="O119">
        <v>5600</v>
      </c>
      <c r="P119">
        <v>1130.01</v>
      </c>
      <c r="Q119" t="s">
        <v>66</v>
      </c>
      <c r="R119" t="s">
        <v>56</v>
      </c>
      <c r="S119" t="s">
        <v>50</v>
      </c>
    </row>
    <row r="120" spans="1:19" x14ac:dyDescent="0.3">
      <c r="A120" t="s">
        <v>437</v>
      </c>
      <c r="B120" s="1">
        <v>45759</v>
      </c>
      <c r="C120" s="2">
        <v>46000</v>
      </c>
      <c r="D120" t="s">
        <v>438</v>
      </c>
      <c r="E120" t="s">
        <v>439</v>
      </c>
      <c r="F120" t="s">
        <v>34</v>
      </c>
      <c r="G120" t="s">
        <v>35</v>
      </c>
      <c r="H120" t="s">
        <v>85</v>
      </c>
      <c r="I120" t="s">
        <v>114</v>
      </c>
      <c r="J120" t="s">
        <v>115</v>
      </c>
      <c r="K120" t="s">
        <v>65</v>
      </c>
      <c r="L120">
        <v>1</v>
      </c>
      <c r="M120">
        <v>55000</v>
      </c>
      <c r="N120">
        <v>0</v>
      </c>
      <c r="O120">
        <v>55000</v>
      </c>
      <c r="P120">
        <v>7494.97</v>
      </c>
      <c r="Q120" t="s">
        <v>66</v>
      </c>
      <c r="R120" t="s">
        <v>56</v>
      </c>
      <c r="S120" t="s">
        <v>110</v>
      </c>
    </row>
    <row r="121" spans="1:19" x14ac:dyDescent="0.3">
      <c r="A121" t="s">
        <v>440</v>
      </c>
      <c r="B121" s="1">
        <v>46017</v>
      </c>
      <c r="C121" s="2">
        <v>46019</v>
      </c>
      <c r="D121" t="s">
        <v>227</v>
      </c>
      <c r="E121" t="s">
        <v>228</v>
      </c>
      <c r="F121" t="s">
        <v>23</v>
      </c>
      <c r="G121" t="s">
        <v>61</v>
      </c>
      <c r="H121" t="s">
        <v>62</v>
      </c>
      <c r="I121" t="s">
        <v>147</v>
      </c>
      <c r="J121" t="s">
        <v>148</v>
      </c>
      <c r="K121" t="s">
        <v>48</v>
      </c>
      <c r="L121">
        <v>2</v>
      </c>
      <c r="M121">
        <v>250</v>
      </c>
      <c r="N121">
        <v>15</v>
      </c>
      <c r="O121">
        <v>425</v>
      </c>
      <c r="P121">
        <v>186.51</v>
      </c>
      <c r="Q121" t="s">
        <v>66</v>
      </c>
      <c r="R121" t="s">
        <v>441</v>
      </c>
      <c r="S121" t="s">
        <v>86</v>
      </c>
    </row>
    <row r="122" spans="1:19" x14ac:dyDescent="0.3">
      <c r="A122" t="s">
        <v>442</v>
      </c>
      <c r="B122" s="1">
        <v>45448</v>
      </c>
      <c r="C122" s="1">
        <v>45449</v>
      </c>
      <c r="D122" t="s">
        <v>406</v>
      </c>
      <c r="E122" t="s">
        <v>407</v>
      </c>
      <c r="F122" t="s">
        <v>55</v>
      </c>
      <c r="G122" t="s">
        <v>91</v>
      </c>
      <c r="H122" t="s">
        <v>120</v>
      </c>
      <c r="I122" t="s">
        <v>147</v>
      </c>
      <c r="J122" t="s">
        <v>148</v>
      </c>
      <c r="K122" t="s">
        <v>48</v>
      </c>
      <c r="L122">
        <v>1</v>
      </c>
      <c r="M122">
        <v>250</v>
      </c>
      <c r="N122">
        <v>20</v>
      </c>
      <c r="O122">
        <v>200</v>
      </c>
      <c r="Q122" t="s">
        <v>121</v>
      </c>
      <c r="R122" t="s">
        <v>49</v>
      </c>
      <c r="S122" t="s">
        <v>30</v>
      </c>
    </row>
    <row r="123" spans="1:19" x14ac:dyDescent="0.3">
      <c r="A123" t="s">
        <v>443</v>
      </c>
      <c r="B123" s="2">
        <v>45614</v>
      </c>
      <c r="C123" s="1">
        <v>45617</v>
      </c>
      <c r="D123" t="s">
        <v>444</v>
      </c>
      <c r="E123" t="s">
        <v>445</v>
      </c>
      <c r="F123" t="s">
        <v>55</v>
      </c>
      <c r="G123" t="s">
        <v>91</v>
      </c>
      <c r="H123" t="s">
        <v>92</v>
      </c>
      <c r="I123" t="s">
        <v>103</v>
      </c>
      <c r="J123" t="s">
        <v>104</v>
      </c>
      <c r="K123" t="s">
        <v>65</v>
      </c>
      <c r="L123">
        <v>4</v>
      </c>
      <c r="M123">
        <v>8000</v>
      </c>
      <c r="N123">
        <v>15</v>
      </c>
      <c r="O123">
        <v>27200</v>
      </c>
      <c r="P123">
        <v>6996.76</v>
      </c>
      <c r="Q123" t="s">
        <v>66</v>
      </c>
      <c r="R123" t="s">
        <v>29</v>
      </c>
      <c r="S123" t="s">
        <v>30</v>
      </c>
    </row>
    <row r="124" spans="1:19" x14ac:dyDescent="0.3">
      <c r="A124" t="s">
        <v>446</v>
      </c>
      <c r="B124" s="2">
        <v>45525</v>
      </c>
      <c r="C124" s="2">
        <v>45531</v>
      </c>
      <c r="D124" t="s">
        <v>214</v>
      </c>
      <c r="E124" t="s">
        <v>215</v>
      </c>
      <c r="F124" t="s">
        <v>55</v>
      </c>
      <c r="G124" t="s">
        <v>44</v>
      </c>
      <c r="H124" t="s">
        <v>330</v>
      </c>
      <c r="I124" t="s">
        <v>46</v>
      </c>
      <c r="J124" t="s">
        <v>47</v>
      </c>
      <c r="K124" t="s">
        <v>48</v>
      </c>
      <c r="L124">
        <v>10</v>
      </c>
      <c r="M124">
        <v>180</v>
      </c>
      <c r="N124">
        <v>0</v>
      </c>
      <c r="O124">
        <v>1800</v>
      </c>
      <c r="P124">
        <v>781.27</v>
      </c>
      <c r="Q124" t="s">
        <v>74</v>
      </c>
      <c r="R124" t="s">
        <v>29</v>
      </c>
      <c r="S124" t="s">
        <v>40</v>
      </c>
    </row>
    <row r="125" spans="1:19" x14ac:dyDescent="0.3">
      <c r="A125" t="s">
        <v>447</v>
      </c>
      <c r="B125" s="1">
        <v>45482</v>
      </c>
      <c r="C125" s="1">
        <v>45545</v>
      </c>
      <c r="D125" t="s">
        <v>132</v>
      </c>
      <c r="E125" t="s">
        <v>133</v>
      </c>
      <c r="F125" t="s">
        <v>23</v>
      </c>
      <c r="G125" t="s">
        <v>91</v>
      </c>
      <c r="H125" t="s">
        <v>120</v>
      </c>
      <c r="I125" t="s">
        <v>25</v>
      </c>
      <c r="J125" t="s">
        <v>26</v>
      </c>
      <c r="K125" t="s">
        <v>27</v>
      </c>
      <c r="L125">
        <v>3</v>
      </c>
      <c r="M125">
        <v>7000</v>
      </c>
      <c r="N125">
        <v>15</v>
      </c>
      <c r="O125">
        <v>17850</v>
      </c>
      <c r="P125">
        <v>4211.8999999999996</v>
      </c>
      <c r="Q125" t="s">
        <v>156</v>
      </c>
      <c r="R125" t="s">
        <v>49</v>
      </c>
      <c r="S125" t="s">
        <v>40</v>
      </c>
    </row>
    <row r="126" spans="1:19" x14ac:dyDescent="0.3">
      <c r="A126" t="s">
        <v>448</v>
      </c>
      <c r="B126" t="s">
        <v>449</v>
      </c>
      <c r="C126" s="2">
        <v>45889</v>
      </c>
      <c r="D126" t="s">
        <v>450</v>
      </c>
      <c r="E126" t="s">
        <v>451</v>
      </c>
      <c r="F126" t="s">
        <v>55</v>
      </c>
      <c r="G126" t="s">
        <v>61</v>
      </c>
      <c r="H126" t="s">
        <v>62</v>
      </c>
      <c r="I126" t="s">
        <v>79</v>
      </c>
      <c r="J126" t="s">
        <v>80</v>
      </c>
      <c r="K126" t="s">
        <v>65</v>
      </c>
      <c r="L126">
        <v>5</v>
      </c>
      <c r="M126">
        <v>3000</v>
      </c>
      <c r="N126">
        <v>10</v>
      </c>
      <c r="O126">
        <v>13500</v>
      </c>
      <c r="P126">
        <v>3181.84</v>
      </c>
      <c r="Q126" t="s">
        <v>121</v>
      </c>
      <c r="R126" t="s">
        <v>29</v>
      </c>
      <c r="S126" t="s">
        <v>30</v>
      </c>
    </row>
    <row r="127" spans="1:19" x14ac:dyDescent="0.3">
      <c r="A127" t="s">
        <v>452</v>
      </c>
      <c r="B127" s="2">
        <v>45782</v>
      </c>
      <c r="C127" s="2">
        <v>45785</v>
      </c>
      <c r="D127" t="s">
        <v>453</v>
      </c>
      <c r="E127" t="s">
        <v>454</v>
      </c>
      <c r="F127" t="s">
        <v>55</v>
      </c>
      <c r="G127" t="s">
        <v>35</v>
      </c>
      <c r="H127" t="s">
        <v>187</v>
      </c>
      <c r="I127" t="s">
        <v>126</v>
      </c>
      <c r="J127" t="s">
        <v>127</v>
      </c>
      <c r="K127" t="s">
        <v>95</v>
      </c>
      <c r="L127">
        <v>5</v>
      </c>
      <c r="M127">
        <v>600</v>
      </c>
      <c r="N127">
        <v>20</v>
      </c>
      <c r="O127">
        <v>2400</v>
      </c>
      <c r="P127">
        <v>651.37</v>
      </c>
      <c r="Q127" t="s">
        <v>28</v>
      </c>
      <c r="R127" t="s">
        <v>29</v>
      </c>
      <c r="S127" t="s">
        <v>30</v>
      </c>
    </row>
    <row r="128" spans="1:19" x14ac:dyDescent="0.3">
      <c r="A128" t="s">
        <v>455</v>
      </c>
      <c r="B128" s="1">
        <v>45332</v>
      </c>
      <c r="C128" t="s">
        <v>456</v>
      </c>
      <c r="D128" t="s">
        <v>457</v>
      </c>
      <c r="E128" t="s">
        <v>458</v>
      </c>
      <c r="F128" t="s">
        <v>55</v>
      </c>
      <c r="G128" t="s">
        <v>44</v>
      </c>
      <c r="H128" t="s">
        <v>24</v>
      </c>
      <c r="I128" t="s">
        <v>25</v>
      </c>
      <c r="J128" t="s">
        <v>26</v>
      </c>
      <c r="K128" t="s">
        <v>27</v>
      </c>
      <c r="L128">
        <v>2</v>
      </c>
      <c r="M128">
        <v>7000</v>
      </c>
      <c r="N128">
        <v>5</v>
      </c>
      <c r="O128">
        <v>13300</v>
      </c>
      <c r="P128">
        <v>2702.48</v>
      </c>
      <c r="Q128" t="s">
        <v>121</v>
      </c>
      <c r="R128" t="s">
        <v>56</v>
      </c>
      <c r="S128" t="s">
        <v>50</v>
      </c>
    </row>
    <row r="129" spans="1:19" x14ac:dyDescent="0.3">
      <c r="A129" t="s">
        <v>459</v>
      </c>
      <c r="B129" s="1">
        <v>45454</v>
      </c>
      <c r="C129" s="1">
        <v>45605</v>
      </c>
      <c r="D129" t="s">
        <v>460</v>
      </c>
      <c r="E129" t="s">
        <v>461</v>
      </c>
      <c r="F129" t="s">
        <v>34</v>
      </c>
      <c r="G129" t="s">
        <v>61</v>
      </c>
      <c r="H129" t="s">
        <v>62</v>
      </c>
      <c r="I129" t="s">
        <v>25</v>
      </c>
      <c r="J129" t="s">
        <v>26</v>
      </c>
      <c r="K129" t="s">
        <v>27</v>
      </c>
      <c r="L129">
        <v>1</v>
      </c>
      <c r="M129">
        <v>7000</v>
      </c>
      <c r="N129">
        <v>0</v>
      </c>
      <c r="O129">
        <v>7000</v>
      </c>
      <c r="Q129" t="s">
        <v>121</v>
      </c>
      <c r="R129" t="s">
        <v>29</v>
      </c>
      <c r="S129" t="s">
        <v>40</v>
      </c>
    </row>
    <row r="130" spans="1:19" x14ac:dyDescent="0.3">
      <c r="A130" t="s">
        <v>462</v>
      </c>
      <c r="B130" s="2">
        <v>45545</v>
      </c>
      <c r="C130" s="1">
        <v>45635</v>
      </c>
      <c r="D130" t="s">
        <v>463</v>
      </c>
      <c r="E130" t="s">
        <v>464</v>
      </c>
      <c r="F130" t="s">
        <v>34</v>
      </c>
      <c r="G130" t="s">
        <v>35</v>
      </c>
      <c r="H130" t="s">
        <v>85</v>
      </c>
      <c r="I130" t="s">
        <v>71</v>
      </c>
      <c r="J130" t="s">
        <v>72</v>
      </c>
      <c r="K130" t="s">
        <v>73</v>
      </c>
      <c r="L130">
        <v>3</v>
      </c>
      <c r="M130">
        <v>3500</v>
      </c>
      <c r="N130">
        <v>5</v>
      </c>
      <c r="O130">
        <v>9975</v>
      </c>
      <c r="P130">
        <v>2487.73</v>
      </c>
      <c r="Q130" t="s">
        <v>156</v>
      </c>
      <c r="R130" t="s">
        <v>56</v>
      </c>
      <c r="S130" t="s">
        <v>40</v>
      </c>
    </row>
    <row r="131" spans="1:19" x14ac:dyDescent="0.3">
      <c r="A131" t="s">
        <v>465</v>
      </c>
      <c r="B131" s="1">
        <v>45722</v>
      </c>
      <c r="C131" s="1">
        <v>45936</v>
      </c>
      <c r="D131" t="s">
        <v>466</v>
      </c>
      <c r="E131" t="s">
        <v>467</v>
      </c>
      <c r="F131" t="s">
        <v>34</v>
      </c>
      <c r="G131" t="s">
        <v>61</v>
      </c>
      <c r="H131" t="s">
        <v>78</v>
      </c>
      <c r="I131" t="s">
        <v>103</v>
      </c>
      <c r="J131" t="s">
        <v>104</v>
      </c>
      <c r="K131" t="s">
        <v>65</v>
      </c>
      <c r="L131">
        <v>4</v>
      </c>
      <c r="M131">
        <v>8000</v>
      </c>
      <c r="N131">
        <v>10</v>
      </c>
      <c r="O131">
        <v>28800</v>
      </c>
      <c r="P131">
        <v>7513.06</v>
      </c>
      <c r="Q131" t="s">
        <v>74</v>
      </c>
      <c r="R131" t="s">
        <v>29</v>
      </c>
      <c r="S131" t="s">
        <v>50</v>
      </c>
    </row>
    <row r="132" spans="1:19" x14ac:dyDescent="0.3">
      <c r="A132" t="s">
        <v>468</v>
      </c>
      <c r="B132" s="1">
        <v>45583</v>
      </c>
      <c r="C132" t="s">
        <v>469</v>
      </c>
      <c r="D132" t="s">
        <v>470</v>
      </c>
      <c r="E132" t="s">
        <v>471</v>
      </c>
      <c r="F132" t="s">
        <v>23</v>
      </c>
      <c r="G132" t="s">
        <v>61</v>
      </c>
      <c r="H132" t="s">
        <v>62</v>
      </c>
      <c r="I132" t="s">
        <v>79</v>
      </c>
      <c r="J132" t="s">
        <v>80</v>
      </c>
      <c r="K132" t="s">
        <v>65</v>
      </c>
      <c r="L132">
        <v>3</v>
      </c>
      <c r="M132">
        <v>3000</v>
      </c>
      <c r="N132">
        <v>5</v>
      </c>
      <c r="O132">
        <v>8550</v>
      </c>
      <c r="P132">
        <v>1831.23</v>
      </c>
      <c r="Q132" t="s">
        <v>121</v>
      </c>
      <c r="R132" t="s">
        <v>29</v>
      </c>
      <c r="S132" t="s">
        <v>30</v>
      </c>
    </row>
    <row r="133" spans="1:19" x14ac:dyDescent="0.3">
      <c r="A133" t="s">
        <v>472</v>
      </c>
      <c r="B133" s="1">
        <v>45665</v>
      </c>
      <c r="C133" s="1">
        <v>45901</v>
      </c>
      <c r="D133" t="s">
        <v>473</v>
      </c>
      <c r="E133" t="s">
        <v>474</v>
      </c>
      <c r="F133" t="s">
        <v>34</v>
      </c>
      <c r="G133" t="s">
        <v>61</v>
      </c>
      <c r="H133" t="s">
        <v>62</v>
      </c>
      <c r="I133" t="s">
        <v>79</v>
      </c>
      <c r="J133" t="s">
        <v>80</v>
      </c>
      <c r="K133" t="s">
        <v>65</v>
      </c>
      <c r="L133">
        <v>1</v>
      </c>
      <c r="M133">
        <v>3000</v>
      </c>
      <c r="N133">
        <v>20</v>
      </c>
      <c r="O133">
        <v>2400</v>
      </c>
      <c r="P133">
        <v>713.12</v>
      </c>
      <c r="Q133" t="s">
        <v>39</v>
      </c>
      <c r="R133" t="s">
        <v>29</v>
      </c>
      <c r="S133" t="s">
        <v>50</v>
      </c>
    </row>
    <row r="134" spans="1:19" x14ac:dyDescent="0.3">
      <c r="A134" t="s">
        <v>475</v>
      </c>
      <c r="B134" s="2">
        <v>45402</v>
      </c>
      <c r="C134" s="2">
        <v>45408</v>
      </c>
      <c r="D134" t="s">
        <v>324</v>
      </c>
      <c r="E134" t="s">
        <v>325</v>
      </c>
      <c r="F134" t="s">
        <v>55</v>
      </c>
      <c r="G134" t="s">
        <v>91</v>
      </c>
      <c r="H134" t="s">
        <v>109</v>
      </c>
      <c r="I134" t="s">
        <v>93</v>
      </c>
      <c r="J134" t="s">
        <v>94</v>
      </c>
      <c r="K134" t="s">
        <v>95</v>
      </c>
      <c r="L134">
        <v>2</v>
      </c>
      <c r="M134">
        <v>1800</v>
      </c>
      <c r="N134">
        <v>5</v>
      </c>
      <c r="O134">
        <v>3420</v>
      </c>
      <c r="P134">
        <v>933.53</v>
      </c>
      <c r="Q134" t="s">
        <v>74</v>
      </c>
      <c r="R134" t="s">
        <v>56</v>
      </c>
      <c r="S134" t="s">
        <v>86</v>
      </c>
    </row>
    <row r="135" spans="1:19" x14ac:dyDescent="0.3">
      <c r="A135" t="s">
        <v>476</v>
      </c>
      <c r="B135" s="1">
        <v>45405</v>
      </c>
      <c r="C135" s="1">
        <v>45408</v>
      </c>
      <c r="D135" t="s">
        <v>477</v>
      </c>
      <c r="E135" t="s">
        <v>478</v>
      </c>
      <c r="F135" t="s">
        <v>34</v>
      </c>
      <c r="G135" t="s">
        <v>44</v>
      </c>
      <c r="H135" t="s">
        <v>161</v>
      </c>
      <c r="I135" t="s">
        <v>63</v>
      </c>
      <c r="J135" t="s">
        <v>64</v>
      </c>
      <c r="K135" t="s">
        <v>65</v>
      </c>
      <c r="L135">
        <v>1</v>
      </c>
      <c r="M135">
        <v>25000</v>
      </c>
      <c r="N135">
        <v>10</v>
      </c>
      <c r="O135">
        <v>22500</v>
      </c>
      <c r="P135">
        <v>3325.81</v>
      </c>
      <c r="Q135" t="s">
        <v>39</v>
      </c>
      <c r="R135" t="s">
        <v>56</v>
      </c>
      <c r="S135" t="s">
        <v>30</v>
      </c>
    </row>
    <row r="136" spans="1:19" x14ac:dyDescent="0.3">
      <c r="A136" t="s">
        <v>479</v>
      </c>
      <c r="B136" s="1">
        <v>45765</v>
      </c>
      <c r="C136" t="s">
        <v>480</v>
      </c>
      <c r="D136" t="s">
        <v>42</v>
      </c>
      <c r="E136" t="s">
        <v>43</v>
      </c>
      <c r="F136" t="s">
        <v>23</v>
      </c>
      <c r="G136" t="s">
        <v>44</v>
      </c>
      <c r="H136" t="s">
        <v>45</v>
      </c>
      <c r="I136" t="s">
        <v>134</v>
      </c>
      <c r="J136" t="s">
        <v>135</v>
      </c>
      <c r="K136" t="s">
        <v>27</v>
      </c>
      <c r="L136">
        <v>1</v>
      </c>
      <c r="M136">
        <v>6000</v>
      </c>
      <c r="N136">
        <v>5</v>
      </c>
      <c r="O136">
        <v>5700</v>
      </c>
      <c r="P136">
        <v>1302.2</v>
      </c>
      <c r="Q136" t="s">
        <v>156</v>
      </c>
      <c r="R136" t="s">
        <v>56</v>
      </c>
      <c r="S136" t="s">
        <v>30</v>
      </c>
    </row>
    <row r="137" spans="1:19" x14ac:dyDescent="0.3">
      <c r="A137" t="s">
        <v>481</v>
      </c>
      <c r="B137" s="1">
        <v>45867</v>
      </c>
      <c r="C137" s="1">
        <v>45868</v>
      </c>
      <c r="D137" t="s">
        <v>318</v>
      </c>
      <c r="E137" t="s">
        <v>319</v>
      </c>
      <c r="F137" t="s">
        <v>55</v>
      </c>
      <c r="G137" t="s">
        <v>35</v>
      </c>
      <c r="H137" t="s">
        <v>36</v>
      </c>
      <c r="I137" t="s">
        <v>63</v>
      </c>
      <c r="J137" t="s">
        <v>64</v>
      </c>
      <c r="K137" t="s">
        <v>65</v>
      </c>
      <c r="L137">
        <v>1</v>
      </c>
      <c r="M137">
        <v>25000</v>
      </c>
      <c r="N137">
        <v>20</v>
      </c>
      <c r="O137">
        <v>20000</v>
      </c>
      <c r="P137">
        <v>2274.6799999999998</v>
      </c>
      <c r="Q137" t="s">
        <v>74</v>
      </c>
      <c r="R137" t="s">
        <v>49</v>
      </c>
      <c r="S137" t="s">
        <v>30</v>
      </c>
    </row>
    <row r="138" spans="1:19" x14ac:dyDescent="0.3">
      <c r="A138" t="s">
        <v>482</v>
      </c>
      <c r="B138" s="1">
        <v>45749</v>
      </c>
      <c r="C138" s="1">
        <v>45753</v>
      </c>
      <c r="D138" t="s">
        <v>483</v>
      </c>
      <c r="E138" t="s">
        <v>484</v>
      </c>
      <c r="F138" t="s">
        <v>55</v>
      </c>
      <c r="G138" t="s">
        <v>61</v>
      </c>
      <c r="H138" t="s">
        <v>62</v>
      </c>
      <c r="I138" t="s">
        <v>46</v>
      </c>
      <c r="J138" t="s">
        <v>47</v>
      </c>
      <c r="K138" t="s">
        <v>48</v>
      </c>
      <c r="L138">
        <v>4</v>
      </c>
      <c r="M138">
        <v>180</v>
      </c>
      <c r="N138">
        <v>0</v>
      </c>
      <c r="O138">
        <v>720</v>
      </c>
      <c r="P138">
        <v>231.87</v>
      </c>
      <c r="Q138" t="s">
        <v>156</v>
      </c>
      <c r="R138" t="s">
        <v>29</v>
      </c>
      <c r="S138" t="s">
        <v>86</v>
      </c>
    </row>
    <row r="139" spans="1:19" x14ac:dyDescent="0.3">
      <c r="A139" t="s">
        <v>485</v>
      </c>
      <c r="B139" s="1">
        <v>45366</v>
      </c>
      <c r="C139" s="1">
        <v>45367</v>
      </c>
      <c r="D139" t="s">
        <v>343</v>
      </c>
      <c r="E139" t="s">
        <v>369</v>
      </c>
      <c r="F139" t="s">
        <v>34</v>
      </c>
      <c r="G139" t="s">
        <v>44</v>
      </c>
      <c r="H139" t="s">
        <v>45</v>
      </c>
      <c r="I139" t="s">
        <v>93</v>
      </c>
      <c r="J139" t="s">
        <v>94</v>
      </c>
      <c r="K139" t="s">
        <v>95</v>
      </c>
      <c r="L139">
        <v>1</v>
      </c>
      <c r="M139">
        <v>1800</v>
      </c>
      <c r="N139">
        <v>0</v>
      </c>
      <c r="O139">
        <v>1800</v>
      </c>
      <c r="P139">
        <v>617.5</v>
      </c>
      <c r="Q139" t="s">
        <v>66</v>
      </c>
      <c r="R139" t="s">
        <v>49</v>
      </c>
      <c r="S139" t="s">
        <v>86</v>
      </c>
    </row>
    <row r="140" spans="1:19" x14ac:dyDescent="0.3">
      <c r="A140" t="s">
        <v>486</v>
      </c>
      <c r="B140" s="1">
        <v>45849</v>
      </c>
      <c r="C140" t="s">
        <v>487</v>
      </c>
      <c r="D140" t="s">
        <v>488</v>
      </c>
      <c r="E140" t="s">
        <v>489</v>
      </c>
      <c r="F140" t="s">
        <v>34</v>
      </c>
      <c r="G140" t="s">
        <v>35</v>
      </c>
      <c r="H140" t="s">
        <v>36</v>
      </c>
      <c r="I140" t="s">
        <v>114</v>
      </c>
      <c r="J140" t="s">
        <v>115</v>
      </c>
      <c r="K140" t="s">
        <v>65</v>
      </c>
      <c r="M140">
        <v>55000</v>
      </c>
      <c r="N140">
        <v>0</v>
      </c>
      <c r="O140">
        <v>55000</v>
      </c>
      <c r="P140">
        <v>10146.85</v>
      </c>
      <c r="Q140" t="s">
        <v>28</v>
      </c>
      <c r="R140" t="s">
        <v>29</v>
      </c>
      <c r="S140" t="s">
        <v>50</v>
      </c>
    </row>
    <row r="141" spans="1:19" x14ac:dyDescent="0.3">
      <c r="A141" t="s">
        <v>490</v>
      </c>
      <c r="B141" s="2">
        <v>45625</v>
      </c>
      <c r="C141" s="2">
        <v>45626</v>
      </c>
      <c r="D141" t="s">
        <v>491</v>
      </c>
      <c r="E141" t="s">
        <v>492</v>
      </c>
      <c r="F141" t="s">
        <v>34</v>
      </c>
      <c r="G141" t="s">
        <v>44</v>
      </c>
      <c r="I141" t="s">
        <v>114</v>
      </c>
      <c r="J141" t="s">
        <v>115</v>
      </c>
      <c r="K141" t="s">
        <v>65</v>
      </c>
      <c r="L141">
        <v>3</v>
      </c>
      <c r="M141">
        <v>55000</v>
      </c>
      <c r="N141">
        <v>10</v>
      </c>
      <c r="O141">
        <v>148500</v>
      </c>
      <c r="P141">
        <v>27406.87</v>
      </c>
      <c r="Q141" t="s">
        <v>28</v>
      </c>
      <c r="R141" t="s">
        <v>29</v>
      </c>
      <c r="S141" t="s">
        <v>50</v>
      </c>
    </row>
    <row r="142" spans="1:19" x14ac:dyDescent="0.3">
      <c r="A142" t="s">
        <v>493</v>
      </c>
      <c r="B142" s="1">
        <v>46013</v>
      </c>
      <c r="C142" s="1">
        <v>46021</v>
      </c>
      <c r="D142" t="s">
        <v>494</v>
      </c>
      <c r="E142" t="s">
        <v>495</v>
      </c>
      <c r="F142" t="s">
        <v>34</v>
      </c>
      <c r="G142" t="s">
        <v>35</v>
      </c>
      <c r="H142" t="s">
        <v>258</v>
      </c>
      <c r="I142" t="s">
        <v>79</v>
      </c>
      <c r="J142" t="s">
        <v>80</v>
      </c>
      <c r="K142" t="s">
        <v>105</v>
      </c>
      <c r="L142">
        <v>2</v>
      </c>
      <c r="M142">
        <v>3000</v>
      </c>
      <c r="N142">
        <v>15</v>
      </c>
      <c r="O142">
        <v>5100</v>
      </c>
      <c r="P142">
        <v>1201.1400000000001</v>
      </c>
      <c r="Q142" t="s">
        <v>66</v>
      </c>
      <c r="R142" t="s">
        <v>56</v>
      </c>
      <c r="S142" t="s">
        <v>50</v>
      </c>
    </row>
    <row r="143" spans="1:19" x14ac:dyDescent="0.3">
      <c r="A143" t="s">
        <v>496</v>
      </c>
      <c r="B143" t="s">
        <v>497</v>
      </c>
      <c r="C143" s="1">
        <v>45500</v>
      </c>
      <c r="D143" t="s">
        <v>498</v>
      </c>
      <c r="E143" t="s">
        <v>499</v>
      </c>
      <c r="F143" t="s">
        <v>55</v>
      </c>
      <c r="G143" t="s">
        <v>91</v>
      </c>
      <c r="I143" t="s">
        <v>71</v>
      </c>
      <c r="J143" t="s">
        <v>72</v>
      </c>
      <c r="K143" t="s">
        <v>73</v>
      </c>
      <c r="L143">
        <v>1</v>
      </c>
      <c r="M143">
        <v>3500</v>
      </c>
      <c r="N143">
        <v>0</v>
      </c>
      <c r="O143">
        <v>3500</v>
      </c>
      <c r="P143">
        <v>1174.99</v>
      </c>
      <c r="Q143" t="s">
        <v>121</v>
      </c>
      <c r="R143" t="s">
        <v>29</v>
      </c>
      <c r="S143" t="s">
        <v>50</v>
      </c>
    </row>
    <row r="144" spans="1:19" x14ac:dyDescent="0.3">
      <c r="A144" t="s">
        <v>500</v>
      </c>
      <c r="B144" s="1">
        <v>45837</v>
      </c>
      <c r="C144" s="2">
        <v>45845</v>
      </c>
      <c r="D144" t="s">
        <v>123</v>
      </c>
      <c r="E144" t="s">
        <v>124</v>
      </c>
      <c r="F144" t="s">
        <v>34</v>
      </c>
      <c r="G144" t="s">
        <v>61</v>
      </c>
      <c r="H144" t="s">
        <v>125</v>
      </c>
      <c r="I144" t="s">
        <v>71</v>
      </c>
      <c r="J144" t="s">
        <v>72</v>
      </c>
      <c r="K144" t="s">
        <v>73</v>
      </c>
      <c r="L144">
        <v>1</v>
      </c>
      <c r="M144">
        <v>3500</v>
      </c>
      <c r="N144">
        <v>15</v>
      </c>
      <c r="O144">
        <v>2975</v>
      </c>
      <c r="P144">
        <v>935.1</v>
      </c>
      <c r="Q144" t="s">
        <v>74</v>
      </c>
      <c r="R144" t="s">
        <v>29</v>
      </c>
      <c r="S144" t="s">
        <v>40</v>
      </c>
    </row>
    <row r="145" spans="1:19" x14ac:dyDescent="0.3">
      <c r="A145" t="s">
        <v>501</v>
      </c>
      <c r="B145" s="1">
        <v>45385</v>
      </c>
      <c r="C145" s="2">
        <v>45392</v>
      </c>
      <c r="D145" t="s">
        <v>473</v>
      </c>
      <c r="E145" t="s">
        <v>502</v>
      </c>
      <c r="F145" t="s">
        <v>34</v>
      </c>
      <c r="G145" t="s">
        <v>61</v>
      </c>
      <c r="H145" t="s">
        <v>62</v>
      </c>
      <c r="I145" t="s">
        <v>46</v>
      </c>
      <c r="J145" t="s">
        <v>47</v>
      </c>
      <c r="K145" t="s">
        <v>48</v>
      </c>
      <c r="L145">
        <v>3</v>
      </c>
      <c r="M145">
        <v>180</v>
      </c>
      <c r="N145">
        <v>0</v>
      </c>
      <c r="O145">
        <v>540</v>
      </c>
      <c r="P145">
        <v>258.73</v>
      </c>
      <c r="Q145" t="s">
        <v>39</v>
      </c>
      <c r="R145" t="s">
        <v>56</v>
      </c>
      <c r="S145" t="s">
        <v>50</v>
      </c>
    </row>
    <row r="146" spans="1:19" x14ac:dyDescent="0.3">
      <c r="A146" t="s">
        <v>503</v>
      </c>
      <c r="B146" s="1">
        <v>45934</v>
      </c>
      <c r="C146" s="1">
        <v>45936</v>
      </c>
      <c r="D146" t="s">
        <v>214</v>
      </c>
      <c r="E146" t="s">
        <v>504</v>
      </c>
      <c r="F146" t="s">
        <v>55</v>
      </c>
      <c r="G146" t="s">
        <v>44</v>
      </c>
      <c r="H146" t="s">
        <v>330</v>
      </c>
      <c r="I146" t="s">
        <v>79</v>
      </c>
      <c r="J146" t="s">
        <v>80</v>
      </c>
      <c r="K146" t="s">
        <v>65</v>
      </c>
      <c r="L146">
        <v>3</v>
      </c>
      <c r="M146">
        <v>3000</v>
      </c>
      <c r="N146">
        <v>0</v>
      </c>
      <c r="O146">
        <v>9000</v>
      </c>
      <c r="P146">
        <v>2924.23</v>
      </c>
      <c r="Q146" t="s">
        <v>39</v>
      </c>
      <c r="R146" t="s">
        <v>56</v>
      </c>
      <c r="S146" t="s">
        <v>110</v>
      </c>
    </row>
    <row r="147" spans="1:19" x14ac:dyDescent="0.3">
      <c r="A147" t="s">
        <v>505</v>
      </c>
      <c r="B147" t="s">
        <v>506</v>
      </c>
      <c r="C147" t="s">
        <v>507</v>
      </c>
      <c r="D147" t="s">
        <v>400</v>
      </c>
      <c r="E147" t="s">
        <v>401</v>
      </c>
      <c r="F147" t="s">
        <v>34</v>
      </c>
      <c r="G147" t="s">
        <v>44</v>
      </c>
      <c r="H147" t="s">
        <v>24</v>
      </c>
      <c r="I147" t="s">
        <v>147</v>
      </c>
      <c r="J147" t="s">
        <v>148</v>
      </c>
      <c r="K147" t="s">
        <v>48</v>
      </c>
      <c r="L147">
        <v>1</v>
      </c>
      <c r="M147">
        <v>250</v>
      </c>
      <c r="N147">
        <v>5</v>
      </c>
      <c r="O147">
        <v>237.5</v>
      </c>
      <c r="P147">
        <v>103.13</v>
      </c>
      <c r="Q147" t="s">
        <v>28</v>
      </c>
      <c r="R147" t="s">
        <v>56</v>
      </c>
      <c r="S147" t="s">
        <v>30</v>
      </c>
    </row>
    <row r="148" spans="1:19" x14ac:dyDescent="0.3">
      <c r="A148" t="s">
        <v>508</v>
      </c>
      <c r="B148" s="2">
        <v>45353</v>
      </c>
      <c r="C148" s="1">
        <v>45361</v>
      </c>
      <c r="D148" t="s">
        <v>509</v>
      </c>
      <c r="E148" t="s">
        <v>510</v>
      </c>
      <c r="F148" t="s">
        <v>23</v>
      </c>
      <c r="G148" t="s">
        <v>91</v>
      </c>
      <c r="H148" t="s">
        <v>120</v>
      </c>
      <c r="I148" t="s">
        <v>37</v>
      </c>
      <c r="J148" t="s">
        <v>38</v>
      </c>
      <c r="K148" t="s">
        <v>27</v>
      </c>
      <c r="L148">
        <v>2</v>
      </c>
      <c r="M148">
        <v>9500</v>
      </c>
      <c r="N148">
        <v>15</v>
      </c>
      <c r="O148">
        <v>16150</v>
      </c>
      <c r="P148">
        <v>3467.6</v>
      </c>
      <c r="Q148" t="s">
        <v>156</v>
      </c>
      <c r="R148" t="s">
        <v>49</v>
      </c>
      <c r="S148" t="s">
        <v>86</v>
      </c>
    </row>
    <row r="149" spans="1:19" x14ac:dyDescent="0.3">
      <c r="A149" t="s">
        <v>511</v>
      </c>
      <c r="B149" t="s">
        <v>512</v>
      </c>
      <c r="C149" t="s">
        <v>513</v>
      </c>
      <c r="D149" t="s">
        <v>514</v>
      </c>
      <c r="E149" t="s">
        <v>515</v>
      </c>
      <c r="F149" t="s">
        <v>23</v>
      </c>
      <c r="G149" t="s">
        <v>44</v>
      </c>
      <c r="H149" t="s">
        <v>45</v>
      </c>
      <c r="I149" t="s">
        <v>25</v>
      </c>
      <c r="J149" t="s">
        <v>26</v>
      </c>
      <c r="K149" t="s">
        <v>27</v>
      </c>
      <c r="L149">
        <v>3</v>
      </c>
      <c r="M149">
        <v>7000</v>
      </c>
      <c r="N149">
        <v>5</v>
      </c>
      <c r="O149">
        <v>19950</v>
      </c>
      <c r="P149">
        <v>3778.16</v>
      </c>
      <c r="Q149" t="s">
        <v>28</v>
      </c>
      <c r="R149" t="s">
        <v>56</v>
      </c>
      <c r="S149" t="s">
        <v>30</v>
      </c>
    </row>
    <row r="150" spans="1:19" x14ac:dyDescent="0.3">
      <c r="A150" t="s">
        <v>516</v>
      </c>
      <c r="B150" s="2">
        <v>45378</v>
      </c>
      <c r="C150" s="2">
        <v>45381</v>
      </c>
      <c r="D150" t="s">
        <v>517</v>
      </c>
      <c r="E150" t="s">
        <v>518</v>
      </c>
      <c r="F150" t="s">
        <v>34</v>
      </c>
      <c r="G150" t="s">
        <v>61</v>
      </c>
      <c r="H150" t="s">
        <v>125</v>
      </c>
      <c r="I150" t="s">
        <v>147</v>
      </c>
      <c r="J150" t="s">
        <v>148</v>
      </c>
      <c r="K150" t="s">
        <v>48</v>
      </c>
      <c r="L150">
        <v>4</v>
      </c>
      <c r="M150">
        <v>250</v>
      </c>
      <c r="N150">
        <v>5</v>
      </c>
      <c r="O150">
        <v>950</v>
      </c>
      <c r="P150">
        <v>377.77</v>
      </c>
      <c r="Q150" t="s">
        <v>66</v>
      </c>
      <c r="R150" t="s">
        <v>29</v>
      </c>
      <c r="S150" t="s">
        <v>86</v>
      </c>
    </row>
    <row r="151" spans="1:19" x14ac:dyDescent="0.3">
      <c r="A151" t="s">
        <v>519</v>
      </c>
      <c r="B151" s="2">
        <v>45746</v>
      </c>
      <c r="C151" s="1">
        <v>45750</v>
      </c>
      <c r="D151" t="s">
        <v>520</v>
      </c>
      <c r="E151" t="s">
        <v>521</v>
      </c>
      <c r="F151" t="s">
        <v>23</v>
      </c>
      <c r="G151" t="s">
        <v>91</v>
      </c>
      <c r="H151" t="s">
        <v>109</v>
      </c>
      <c r="I151" t="s">
        <v>71</v>
      </c>
      <c r="J151" t="s">
        <v>72</v>
      </c>
      <c r="K151" t="s">
        <v>73</v>
      </c>
      <c r="L151">
        <v>2</v>
      </c>
      <c r="M151">
        <v>3500</v>
      </c>
      <c r="N151">
        <v>0</v>
      </c>
      <c r="O151">
        <v>7000</v>
      </c>
      <c r="P151">
        <v>2074.6</v>
      </c>
      <c r="Q151" t="s">
        <v>74</v>
      </c>
      <c r="R151" t="s">
        <v>29</v>
      </c>
      <c r="S151" t="s">
        <v>110</v>
      </c>
    </row>
    <row r="152" spans="1:19" x14ac:dyDescent="0.3">
      <c r="A152" t="s">
        <v>522</v>
      </c>
      <c r="B152" s="1">
        <v>45621</v>
      </c>
      <c r="C152" t="s">
        <v>523</v>
      </c>
      <c r="D152" t="s">
        <v>524</v>
      </c>
      <c r="E152" t="s">
        <v>525</v>
      </c>
      <c r="F152" t="s">
        <v>34</v>
      </c>
      <c r="G152" t="s">
        <v>35</v>
      </c>
      <c r="H152" t="s">
        <v>187</v>
      </c>
      <c r="I152" t="s">
        <v>71</v>
      </c>
      <c r="J152" t="s">
        <v>72</v>
      </c>
      <c r="K152" t="s">
        <v>73</v>
      </c>
      <c r="L152">
        <v>3</v>
      </c>
      <c r="M152">
        <v>3500</v>
      </c>
      <c r="N152">
        <v>20</v>
      </c>
      <c r="O152">
        <v>8400</v>
      </c>
      <c r="P152">
        <v>2244.6799999999998</v>
      </c>
      <c r="Q152" t="s">
        <v>66</v>
      </c>
      <c r="R152" t="s">
        <v>29</v>
      </c>
      <c r="S152" t="s">
        <v>86</v>
      </c>
    </row>
    <row r="153" spans="1:19" x14ac:dyDescent="0.3">
      <c r="A153" t="s">
        <v>526</v>
      </c>
      <c r="B153" s="1">
        <v>45604</v>
      </c>
      <c r="C153" s="1">
        <v>45606</v>
      </c>
      <c r="D153" t="s">
        <v>527</v>
      </c>
      <c r="E153" t="s">
        <v>528</v>
      </c>
      <c r="F153" t="s">
        <v>23</v>
      </c>
      <c r="G153" t="s">
        <v>44</v>
      </c>
      <c r="H153" t="s">
        <v>161</v>
      </c>
      <c r="I153" t="s">
        <v>71</v>
      </c>
      <c r="J153" t="s">
        <v>72</v>
      </c>
      <c r="K153" t="s">
        <v>73</v>
      </c>
      <c r="L153">
        <v>3</v>
      </c>
      <c r="M153">
        <v>3500</v>
      </c>
      <c r="N153">
        <v>0</v>
      </c>
      <c r="O153">
        <v>10500</v>
      </c>
      <c r="P153">
        <v>2775.51</v>
      </c>
      <c r="Q153" t="s">
        <v>121</v>
      </c>
      <c r="R153" t="s">
        <v>29</v>
      </c>
      <c r="S153" t="s">
        <v>110</v>
      </c>
    </row>
    <row r="154" spans="1:19" x14ac:dyDescent="0.3">
      <c r="A154" t="s">
        <v>529</v>
      </c>
      <c r="B154" s="1">
        <v>45521</v>
      </c>
      <c r="C154" t="s">
        <v>530</v>
      </c>
      <c r="D154" t="s">
        <v>531</v>
      </c>
      <c r="E154" t="s">
        <v>532</v>
      </c>
      <c r="F154" t="s">
        <v>23</v>
      </c>
      <c r="G154" t="s">
        <v>44</v>
      </c>
      <c r="H154" t="s">
        <v>161</v>
      </c>
      <c r="I154" t="s">
        <v>37</v>
      </c>
      <c r="J154" t="s">
        <v>38</v>
      </c>
      <c r="K154" t="s">
        <v>27</v>
      </c>
      <c r="L154">
        <v>2</v>
      </c>
      <c r="M154">
        <v>9500</v>
      </c>
      <c r="N154">
        <v>0</v>
      </c>
      <c r="O154">
        <v>19000</v>
      </c>
      <c r="P154">
        <v>3997</v>
      </c>
      <c r="Q154" t="s">
        <v>74</v>
      </c>
      <c r="R154" t="s">
        <v>49</v>
      </c>
      <c r="S154" t="s">
        <v>50</v>
      </c>
    </row>
    <row r="155" spans="1:19" x14ac:dyDescent="0.3">
      <c r="A155" t="s">
        <v>533</v>
      </c>
      <c r="B155" s="2">
        <v>45828</v>
      </c>
      <c r="C155" s="1">
        <v>45834</v>
      </c>
      <c r="D155" t="s">
        <v>534</v>
      </c>
      <c r="E155" t="s">
        <v>535</v>
      </c>
      <c r="F155" t="s">
        <v>34</v>
      </c>
      <c r="G155" t="s">
        <v>61</v>
      </c>
      <c r="H155" t="s">
        <v>78</v>
      </c>
      <c r="I155" t="s">
        <v>71</v>
      </c>
      <c r="J155" t="s">
        <v>72</v>
      </c>
      <c r="K155" t="s">
        <v>73</v>
      </c>
      <c r="L155">
        <v>2</v>
      </c>
      <c r="M155">
        <v>3500</v>
      </c>
      <c r="N155">
        <v>0</v>
      </c>
      <c r="O155">
        <v>7000</v>
      </c>
      <c r="P155">
        <v>1636.58</v>
      </c>
      <c r="Q155" t="s">
        <v>66</v>
      </c>
      <c r="R155" t="s">
        <v>29</v>
      </c>
      <c r="S155" t="s">
        <v>40</v>
      </c>
    </row>
    <row r="156" spans="1:19" x14ac:dyDescent="0.3">
      <c r="A156" t="s">
        <v>536</v>
      </c>
      <c r="B156" s="2">
        <v>45712</v>
      </c>
      <c r="C156" s="1">
        <v>45716</v>
      </c>
      <c r="D156" t="s">
        <v>196</v>
      </c>
      <c r="E156" t="s">
        <v>197</v>
      </c>
      <c r="F156" t="s">
        <v>34</v>
      </c>
      <c r="G156" t="s">
        <v>91</v>
      </c>
      <c r="H156" t="s">
        <v>120</v>
      </c>
      <c r="I156" t="s">
        <v>114</v>
      </c>
      <c r="J156" t="s">
        <v>115</v>
      </c>
      <c r="K156" t="s">
        <v>65</v>
      </c>
      <c r="L156">
        <v>1</v>
      </c>
      <c r="M156">
        <v>55000</v>
      </c>
      <c r="N156">
        <v>5</v>
      </c>
      <c r="O156">
        <v>52250</v>
      </c>
      <c r="P156">
        <v>9677.52</v>
      </c>
      <c r="Q156" t="s">
        <v>28</v>
      </c>
      <c r="R156" t="s">
        <v>29</v>
      </c>
      <c r="S156" t="s">
        <v>30</v>
      </c>
    </row>
    <row r="157" spans="1:19" x14ac:dyDescent="0.3">
      <c r="A157" t="s">
        <v>537</v>
      </c>
      <c r="B157" t="s">
        <v>538</v>
      </c>
      <c r="C157" s="2">
        <v>45863</v>
      </c>
      <c r="D157" t="s">
        <v>539</v>
      </c>
      <c r="E157" t="s">
        <v>540</v>
      </c>
      <c r="F157" t="s">
        <v>34</v>
      </c>
      <c r="G157" t="s">
        <v>61</v>
      </c>
      <c r="H157" t="s">
        <v>211</v>
      </c>
      <c r="I157" t="s">
        <v>37</v>
      </c>
      <c r="J157" t="s">
        <v>38</v>
      </c>
      <c r="K157" t="s">
        <v>27</v>
      </c>
      <c r="L157">
        <v>3</v>
      </c>
      <c r="M157">
        <v>9500</v>
      </c>
      <c r="N157">
        <v>5</v>
      </c>
      <c r="O157">
        <v>27075</v>
      </c>
      <c r="P157">
        <v>4776.78</v>
      </c>
      <c r="Q157" t="s">
        <v>121</v>
      </c>
      <c r="R157" t="s">
        <v>56</v>
      </c>
      <c r="S157" t="s">
        <v>50</v>
      </c>
    </row>
    <row r="158" spans="1:19" x14ac:dyDescent="0.3">
      <c r="A158" t="s">
        <v>541</v>
      </c>
      <c r="B158" s="1">
        <v>45397</v>
      </c>
      <c r="C158" s="2">
        <v>45405</v>
      </c>
      <c r="D158" t="s">
        <v>233</v>
      </c>
      <c r="E158" t="s">
        <v>234</v>
      </c>
      <c r="F158" t="s">
        <v>23</v>
      </c>
      <c r="G158" t="s">
        <v>61</v>
      </c>
      <c r="H158" t="s">
        <v>211</v>
      </c>
      <c r="I158" t="s">
        <v>93</v>
      </c>
      <c r="J158" t="s">
        <v>94</v>
      </c>
      <c r="K158" t="s">
        <v>95</v>
      </c>
      <c r="L158">
        <v>1</v>
      </c>
      <c r="M158">
        <v>1800</v>
      </c>
      <c r="N158">
        <v>0</v>
      </c>
      <c r="O158">
        <v>1800</v>
      </c>
      <c r="P158">
        <v>689.3</v>
      </c>
      <c r="Q158" t="s">
        <v>66</v>
      </c>
      <c r="R158" t="s">
        <v>49</v>
      </c>
      <c r="S158" t="s">
        <v>50</v>
      </c>
    </row>
    <row r="159" spans="1:19" x14ac:dyDescent="0.3">
      <c r="A159" t="s">
        <v>542</v>
      </c>
      <c r="B159" s="2">
        <v>45550</v>
      </c>
      <c r="C159" s="1">
        <v>45555</v>
      </c>
      <c r="D159" t="s">
        <v>400</v>
      </c>
      <c r="E159" t="s">
        <v>401</v>
      </c>
      <c r="F159" t="s">
        <v>34</v>
      </c>
      <c r="G159" t="s">
        <v>44</v>
      </c>
      <c r="H159" t="s">
        <v>24</v>
      </c>
      <c r="I159" t="s">
        <v>103</v>
      </c>
      <c r="J159" t="s">
        <v>104</v>
      </c>
      <c r="K159" t="s">
        <v>65</v>
      </c>
      <c r="L159">
        <v>2</v>
      </c>
      <c r="M159">
        <v>8000</v>
      </c>
      <c r="N159">
        <v>0</v>
      </c>
      <c r="O159">
        <v>16000</v>
      </c>
      <c r="P159">
        <v>3940.38</v>
      </c>
      <c r="Q159" t="s">
        <v>28</v>
      </c>
      <c r="R159" t="s">
        <v>49</v>
      </c>
      <c r="S159" t="s">
        <v>110</v>
      </c>
    </row>
    <row r="160" spans="1:19" x14ac:dyDescent="0.3">
      <c r="A160" t="s">
        <v>543</v>
      </c>
      <c r="B160" s="2">
        <v>45635</v>
      </c>
      <c r="C160" s="1">
        <v>45577</v>
      </c>
      <c r="D160" t="s">
        <v>123</v>
      </c>
      <c r="E160" t="s">
        <v>124</v>
      </c>
      <c r="F160" t="s">
        <v>34</v>
      </c>
      <c r="G160" t="s">
        <v>61</v>
      </c>
      <c r="H160" t="s">
        <v>125</v>
      </c>
      <c r="I160" t="s">
        <v>46</v>
      </c>
      <c r="J160" t="s">
        <v>47</v>
      </c>
      <c r="K160" t="s">
        <v>48</v>
      </c>
      <c r="L160">
        <v>10</v>
      </c>
      <c r="M160">
        <v>180</v>
      </c>
      <c r="N160">
        <v>20</v>
      </c>
      <c r="O160">
        <v>1440</v>
      </c>
      <c r="P160">
        <v>551</v>
      </c>
      <c r="Q160" t="s">
        <v>28</v>
      </c>
      <c r="R160" t="s">
        <v>56</v>
      </c>
      <c r="S160" t="s">
        <v>110</v>
      </c>
    </row>
    <row r="161" spans="1:19" x14ac:dyDescent="0.3">
      <c r="A161" t="s">
        <v>544</v>
      </c>
      <c r="B161" t="s">
        <v>545</v>
      </c>
      <c r="C161" s="1">
        <v>45379</v>
      </c>
      <c r="D161" t="s">
        <v>546</v>
      </c>
      <c r="E161" t="s">
        <v>547</v>
      </c>
      <c r="F161" t="s">
        <v>34</v>
      </c>
      <c r="G161" t="s">
        <v>91</v>
      </c>
      <c r="H161" t="s">
        <v>92</v>
      </c>
      <c r="I161" t="s">
        <v>63</v>
      </c>
      <c r="J161" t="s">
        <v>64</v>
      </c>
      <c r="K161" t="s">
        <v>65</v>
      </c>
      <c r="L161">
        <v>1</v>
      </c>
      <c r="M161">
        <v>25000</v>
      </c>
      <c r="N161">
        <v>0</v>
      </c>
      <c r="O161">
        <v>25000</v>
      </c>
      <c r="P161">
        <v>2723.52</v>
      </c>
      <c r="Q161" t="s">
        <v>39</v>
      </c>
      <c r="R161" t="s">
        <v>56</v>
      </c>
      <c r="S161" t="s">
        <v>40</v>
      </c>
    </row>
    <row r="162" spans="1:19" x14ac:dyDescent="0.3">
      <c r="A162" t="s">
        <v>548</v>
      </c>
      <c r="B162" s="1">
        <v>45961</v>
      </c>
      <c r="C162" s="1">
        <v>45962</v>
      </c>
      <c r="D162" t="s">
        <v>395</v>
      </c>
      <c r="E162" t="s">
        <v>396</v>
      </c>
      <c r="F162" t="s">
        <v>55</v>
      </c>
      <c r="G162" t="s">
        <v>44</v>
      </c>
      <c r="H162" t="s">
        <v>161</v>
      </c>
      <c r="I162" t="s">
        <v>147</v>
      </c>
      <c r="J162" t="s">
        <v>148</v>
      </c>
      <c r="K162" t="s">
        <v>48</v>
      </c>
      <c r="L162">
        <v>2</v>
      </c>
      <c r="M162">
        <v>250</v>
      </c>
      <c r="N162">
        <v>0</v>
      </c>
      <c r="O162">
        <v>500</v>
      </c>
      <c r="P162">
        <v>184.57</v>
      </c>
      <c r="Q162" t="s">
        <v>66</v>
      </c>
      <c r="R162" t="s">
        <v>56</v>
      </c>
      <c r="S162" t="s">
        <v>40</v>
      </c>
    </row>
    <row r="163" spans="1:19" x14ac:dyDescent="0.3">
      <c r="A163" t="s">
        <v>549</v>
      </c>
      <c r="B163" s="1">
        <v>45603</v>
      </c>
      <c r="C163" s="1">
        <v>45492</v>
      </c>
      <c r="D163" t="s">
        <v>550</v>
      </c>
      <c r="E163" t="s">
        <v>551</v>
      </c>
      <c r="F163" t="s">
        <v>55</v>
      </c>
      <c r="G163" t="s">
        <v>91</v>
      </c>
      <c r="H163" t="s">
        <v>109</v>
      </c>
      <c r="I163" t="s">
        <v>37</v>
      </c>
      <c r="J163" t="s">
        <v>38</v>
      </c>
      <c r="K163" t="s">
        <v>27</v>
      </c>
      <c r="L163">
        <v>2</v>
      </c>
      <c r="M163">
        <v>9500</v>
      </c>
      <c r="N163">
        <v>15</v>
      </c>
      <c r="O163">
        <v>16150</v>
      </c>
      <c r="P163">
        <v>2800.65</v>
      </c>
      <c r="Q163" t="s">
        <v>28</v>
      </c>
      <c r="R163" t="s">
        <v>56</v>
      </c>
      <c r="S163" t="s">
        <v>86</v>
      </c>
    </row>
    <row r="164" spans="1:19" x14ac:dyDescent="0.3">
      <c r="A164" t="s">
        <v>552</v>
      </c>
      <c r="B164" s="1">
        <v>45571</v>
      </c>
      <c r="C164" s="1">
        <v>45575</v>
      </c>
      <c r="D164" t="s">
        <v>392</v>
      </c>
      <c r="E164" t="s">
        <v>393</v>
      </c>
      <c r="F164" t="s">
        <v>55</v>
      </c>
      <c r="G164" t="s">
        <v>91</v>
      </c>
      <c r="H164" t="s">
        <v>92</v>
      </c>
      <c r="I164" t="s">
        <v>147</v>
      </c>
      <c r="J164" t="s">
        <v>148</v>
      </c>
      <c r="K164" t="s">
        <v>48</v>
      </c>
      <c r="L164">
        <v>4</v>
      </c>
      <c r="M164">
        <v>250</v>
      </c>
      <c r="N164">
        <v>5</v>
      </c>
      <c r="O164">
        <v>950</v>
      </c>
      <c r="P164">
        <v>417.88</v>
      </c>
      <c r="Q164" t="s">
        <v>39</v>
      </c>
      <c r="R164" t="s">
        <v>56</v>
      </c>
      <c r="S164" t="s">
        <v>110</v>
      </c>
    </row>
    <row r="165" spans="1:19" x14ac:dyDescent="0.3">
      <c r="A165" t="s">
        <v>553</v>
      </c>
      <c r="B165" s="1">
        <v>45680</v>
      </c>
      <c r="C165" s="1">
        <v>45681</v>
      </c>
      <c r="D165" t="s">
        <v>554</v>
      </c>
      <c r="E165" t="s">
        <v>555</v>
      </c>
      <c r="F165" t="s">
        <v>55</v>
      </c>
      <c r="G165" t="s">
        <v>61</v>
      </c>
      <c r="H165" t="s">
        <v>62</v>
      </c>
      <c r="I165" t="s">
        <v>134</v>
      </c>
      <c r="J165" t="s">
        <v>135</v>
      </c>
      <c r="K165" t="s">
        <v>27</v>
      </c>
      <c r="L165">
        <v>1</v>
      </c>
      <c r="M165">
        <v>6000</v>
      </c>
      <c r="N165">
        <v>5</v>
      </c>
      <c r="O165">
        <v>5700</v>
      </c>
      <c r="P165">
        <v>988.31</v>
      </c>
      <c r="Q165" t="s">
        <v>156</v>
      </c>
      <c r="R165" t="s">
        <v>29</v>
      </c>
      <c r="S165" t="s">
        <v>86</v>
      </c>
    </row>
    <row r="166" spans="1:19" x14ac:dyDescent="0.3">
      <c r="A166" t="s">
        <v>556</v>
      </c>
      <c r="B166" s="1">
        <v>45309</v>
      </c>
      <c r="C166" s="1">
        <v>45312</v>
      </c>
      <c r="D166" t="s">
        <v>557</v>
      </c>
      <c r="E166" t="s">
        <v>558</v>
      </c>
      <c r="F166" t="s">
        <v>23</v>
      </c>
      <c r="G166" t="s">
        <v>61</v>
      </c>
      <c r="H166" t="s">
        <v>62</v>
      </c>
      <c r="I166" t="s">
        <v>79</v>
      </c>
      <c r="J166" t="s">
        <v>80</v>
      </c>
      <c r="K166" t="s">
        <v>65</v>
      </c>
      <c r="L166">
        <v>2</v>
      </c>
      <c r="M166">
        <v>3000</v>
      </c>
      <c r="N166">
        <v>0</v>
      </c>
      <c r="O166">
        <v>6000</v>
      </c>
      <c r="P166">
        <v>1757.56</v>
      </c>
      <c r="Q166" t="s">
        <v>28</v>
      </c>
      <c r="R166" t="s">
        <v>56</v>
      </c>
      <c r="S166" t="s">
        <v>40</v>
      </c>
    </row>
    <row r="167" spans="1:19" x14ac:dyDescent="0.3">
      <c r="A167" t="s">
        <v>559</v>
      </c>
      <c r="B167" s="1">
        <v>45857</v>
      </c>
      <c r="C167" t="s">
        <v>560</v>
      </c>
      <c r="D167" t="s">
        <v>561</v>
      </c>
      <c r="E167" t="s">
        <v>562</v>
      </c>
      <c r="F167" t="s">
        <v>23</v>
      </c>
      <c r="G167" t="s">
        <v>44</v>
      </c>
      <c r="H167" t="s">
        <v>155</v>
      </c>
      <c r="I167" t="s">
        <v>134</v>
      </c>
      <c r="J167" t="s">
        <v>135</v>
      </c>
      <c r="K167" t="s">
        <v>27</v>
      </c>
      <c r="L167">
        <v>3</v>
      </c>
      <c r="M167">
        <v>6000</v>
      </c>
      <c r="N167">
        <v>5</v>
      </c>
      <c r="O167">
        <v>17100</v>
      </c>
      <c r="P167">
        <v>3166.19</v>
      </c>
      <c r="Q167" t="s">
        <v>74</v>
      </c>
      <c r="R167" t="s">
        <v>49</v>
      </c>
      <c r="S167" t="s">
        <v>40</v>
      </c>
    </row>
    <row r="168" spans="1:19" x14ac:dyDescent="0.3">
      <c r="A168" t="s">
        <v>563</v>
      </c>
      <c r="B168" s="1">
        <v>45726</v>
      </c>
      <c r="C168" s="2">
        <v>45936</v>
      </c>
      <c r="D168" t="s">
        <v>200</v>
      </c>
      <c r="E168" t="s">
        <v>201</v>
      </c>
      <c r="F168" t="s">
        <v>23</v>
      </c>
      <c r="G168" t="s">
        <v>35</v>
      </c>
      <c r="H168" t="s">
        <v>187</v>
      </c>
      <c r="I168" t="s">
        <v>93</v>
      </c>
      <c r="J168" t="s">
        <v>94</v>
      </c>
      <c r="K168" t="s">
        <v>95</v>
      </c>
      <c r="L168">
        <v>1</v>
      </c>
      <c r="M168">
        <v>1800</v>
      </c>
      <c r="N168">
        <v>5</v>
      </c>
      <c r="O168">
        <v>1710</v>
      </c>
      <c r="P168">
        <v>454.32</v>
      </c>
      <c r="Q168" t="s">
        <v>156</v>
      </c>
      <c r="R168" t="s">
        <v>56</v>
      </c>
      <c r="S168" t="s">
        <v>110</v>
      </c>
    </row>
    <row r="169" spans="1:19" x14ac:dyDescent="0.3">
      <c r="A169" t="s">
        <v>564</v>
      </c>
      <c r="B169" t="s">
        <v>565</v>
      </c>
      <c r="C169" s="2">
        <v>45432</v>
      </c>
      <c r="D169" t="s">
        <v>534</v>
      </c>
      <c r="E169" t="s">
        <v>535</v>
      </c>
      <c r="F169" t="s">
        <v>34</v>
      </c>
      <c r="G169" t="s">
        <v>61</v>
      </c>
      <c r="H169" t="s">
        <v>78</v>
      </c>
      <c r="I169" t="s">
        <v>134</v>
      </c>
      <c r="J169" t="s">
        <v>135</v>
      </c>
      <c r="K169" t="s">
        <v>27</v>
      </c>
      <c r="L169">
        <v>1</v>
      </c>
      <c r="M169">
        <v>6000</v>
      </c>
      <c r="N169">
        <v>15</v>
      </c>
      <c r="O169">
        <v>5100</v>
      </c>
      <c r="P169">
        <v>1270.53</v>
      </c>
      <c r="Q169" t="s">
        <v>121</v>
      </c>
      <c r="R169" t="s">
        <v>29</v>
      </c>
      <c r="S169" t="s">
        <v>110</v>
      </c>
    </row>
    <row r="170" spans="1:19" x14ac:dyDescent="0.3">
      <c r="A170" t="s">
        <v>566</v>
      </c>
      <c r="B170" s="1">
        <v>46020</v>
      </c>
      <c r="C170" s="2">
        <v>46024</v>
      </c>
      <c r="D170" t="s">
        <v>206</v>
      </c>
      <c r="E170" t="s">
        <v>207</v>
      </c>
      <c r="F170" t="s">
        <v>55</v>
      </c>
      <c r="G170" t="s">
        <v>44</v>
      </c>
      <c r="H170" t="s">
        <v>24</v>
      </c>
      <c r="I170" t="s">
        <v>25</v>
      </c>
      <c r="J170" t="s">
        <v>26</v>
      </c>
      <c r="K170" t="s">
        <v>27</v>
      </c>
      <c r="L170">
        <v>4</v>
      </c>
      <c r="M170">
        <v>7000</v>
      </c>
      <c r="N170">
        <v>0</v>
      </c>
      <c r="O170">
        <v>28000</v>
      </c>
      <c r="P170">
        <v>5479.31</v>
      </c>
      <c r="Q170" t="s">
        <v>156</v>
      </c>
      <c r="R170" t="s">
        <v>567</v>
      </c>
      <c r="S170" t="s">
        <v>110</v>
      </c>
    </row>
    <row r="171" spans="1:19" x14ac:dyDescent="0.3">
      <c r="A171" t="s">
        <v>568</v>
      </c>
      <c r="B171" t="s">
        <v>317</v>
      </c>
      <c r="C171" t="s">
        <v>569</v>
      </c>
      <c r="D171" t="s">
        <v>570</v>
      </c>
      <c r="E171" t="s">
        <v>571</v>
      </c>
      <c r="F171" t="s">
        <v>34</v>
      </c>
      <c r="G171" t="s">
        <v>44</v>
      </c>
      <c r="H171" t="s">
        <v>161</v>
      </c>
      <c r="I171" t="s">
        <v>147</v>
      </c>
      <c r="J171" t="s">
        <v>148</v>
      </c>
      <c r="K171" t="s">
        <v>48</v>
      </c>
      <c r="L171">
        <v>1</v>
      </c>
      <c r="M171">
        <v>250</v>
      </c>
      <c r="N171">
        <v>5</v>
      </c>
      <c r="O171">
        <v>237.5</v>
      </c>
      <c r="P171">
        <v>76.510000000000005</v>
      </c>
      <c r="Q171" t="s">
        <v>156</v>
      </c>
      <c r="R171" t="s">
        <v>29</v>
      </c>
      <c r="S171" t="s">
        <v>50</v>
      </c>
    </row>
    <row r="172" spans="1:19" x14ac:dyDescent="0.3">
      <c r="A172" t="s">
        <v>572</v>
      </c>
      <c r="B172" t="s">
        <v>573</v>
      </c>
      <c r="C172" t="s">
        <v>574</v>
      </c>
      <c r="D172" t="s">
        <v>575</v>
      </c>
      <c r="E172" t="s">
        <v>576</v>
      </c>
      <c r="F172" t="s">
        <v>34</v>
      </c>
      <c r="G172" t="s">
        <v>91</v>
      </c>
      <c r="H172" t="s">
        <v>120</v>
      </c>
      <c r="I172" t="s">
        <v>103</v>
      </c>
      <c r="J172" t="s">
        <v>104</v>
      </c>
      <c r="K172" t="s">
        <v>65</v>
      </c>
      <c r="L172">
        <v>10</v>
      </c>
      <c r="M172">
        <v>8000</v>
      </c>
      <c r="N172">
        <v>0</v>
      </c>
      <c r="O172">
        <v>80000</v>
      </c>
      <c r="P172">
        <v>18930.14</v>
      </c>
      <c r="Q172" t="s">
        <v>66</v>
      </c>
      <c r="R172" t="s">
        <v>56</v>
      </c>
      <c r="S172" t="s">
        <v>30</v>
      </c>
    </row>
    <row r="173" spans="1:19" x14ac:dyDescent="0.3">
      <c r="A173" t="s">
        <v>577</v>
      </c>
      <c r="B173" s="2">
        <v>45297</v>
      </c>
      <c r="C173" s="2">
        <v>45300</v>
      </c>
      <c r="D173" t="s">
        <v>578</v>
      </c>
      <c r="E173" t="s">
        <v>579</v>
      </c>
      <c r="F173" t="s">
        <v>23</v>
      </c>
      <c r="G173" t="s">
        <v>91</v>
      </c>
      <c r="H173" t="s">
        <v>177</v>
      </c>
      <c r="I173" t="s">
        <v>93</v>
      </c>
      <c r="J173" t="s">
        <v>94</v>
      </c>
      <c r="K173" t="s">
        <v>95</v>
      </c>
      <c r="L173">
        <v>5</v>
      </c>
      <c r="M173">
        <v>1800</v>
      </c>
      <c r="N173">
        <v>0</v>
      </c>
      <c r="O173">
        <v>9000</v>
      </c>
      <c r="P173">
        <v>2527.46</v>
      </c>
      <c r="Q173" t="s">
        <v>39</v>
      </c>
      <c r="R173" t="s">
        <v>56</v>
      </c>
      <c r="S173" t="s">
        <v>40</v>
      </c>
    </row>
    <row r="174" spans="1:19" x14ac:dyDescent="0.3">
      <c r="A174" t="s">
        <v>580</v>
      </c>
      <c r="B174" s="1">
        <v>45832</v>
      </c>
      <c r="C174" t="s">
        <v>581</v>
      </c>
      <c r="D174" t="s">
        <v>582</v>
      </c>
      <c r="E174" t="s">
        <v>583</v>
      </c>
      <c r="F174" t="s">
        <v>34</v>
      </c>
      <c r="G174" t="s">
        <v>61</v>
      </c>
      <c r="H174" t="s">
        <v>78</v>
      </c>
      <c r="I174" t="s">
        <v>114</v>
      </c>
      <c r="J174" t="s">
        <v>115</v>
      </c>
      <c r="K174" t="s">
        <v>65</v>
      </c>
      <c r="L174">
        <v>1</v>
      </c>
      <c r="M174">
        <v>55000</v>
      </c>
      <c r="N174">
        <v>5</v>
      </c>
      <c r="O174">
        <v>52250</v>
      </c>
      <c r="P174">
        <v>8682.81</v>
      </c>
      <c r="Q174" t="s">
        <v>28</v>
      </c>
      <c r="R174" t="s">
        <v>56</v>
      </c>
      <c r="S174" t="s">
        <v>30</v>
      </c>
    </row>
    <row r="175" spans="1:19" x14ac:dyDescent="0.3">
      <c r="A175" t="s">
        <v>584</v>
      </c>
      <c r="B175" s="2">
        <v>45906</v>
      </c>
      <c r="C175" s="1">
        <v>45908</v>
      </c>
      <c r="D175" t="s">
        <v>123</v>
      </c>
      <c r="E175" t="s">
        <v>124</v>
      </c>
      <c r="F175" t="s">
        <v>34</v>
      </c>
      <c r="G175" t="s">
        <v>61</v>
      </c>
      <c r="H175" t="s">
        <v>125</v>
      </c>
      <c r="I175" t="s">
        <v>93</v>
      </c>
      <c r="J175" t="s">
        <v>94</v>
      </c>
      <c r="K175" t="s">
        <v>95</v>
      </c>
      <c r="L175">
        <v>1</v>
      </c>
      <c r="M175">
        <v>1800</v>
      </c>
      <c r="N175">
        <v>20</v>
      </c>
      <c r="O175">
        <v>1440</v>
      </c>
      <c r="P175">
        <v>459.94</v>
      </c>
      <c r="Q175" t="s">
        <v>66</v>
      </c>
      <c r="R175" t="s">
        <v>49</v>
      </c>
      <c r="S175" t="s">
        <v>50</v>
      </c>
    </row>
    <row r="176" spans="1:19" x14ac:dyDescent="0.3">
      <c r="A176" t="s">
        <v>585</v>
      </c>
      <c r="B176" s="1">
        <v>45718</v>
      </c>
      <c r="C176" s="1">
        <v>45725</v>
      </c>
      <c r="D176" t="s">
        <v>217</v>
      </c>
      <c r="E176" t="s">
        <v>218</v>
      </c>
      <c r="F176" t="s">
        <v>23</v>
      </c>
      <c r="G176" t="s">
        <v>91</v>
      </c>
      <c r="H176" t="s">
        <v>109</v>
      </c>
      <c r="I176" t="s">
        <v>134</v>
      </c>
      <c r="J176" t="s">
        <v>135</v>
      </c>
      <c r="K176" t="s">
        <v>27</v>
      </c>
      <c r="L176">
        <v>1</v>
      </c>
      <c r="M176">
        <v>6000</v>
      </c>
      <c r="N176">
        <v>0</v>
      </c>
      <c r="O176">
        <v>6000</v>
      </c>
      <c r="P176">
        <v>1505.68</v>
      </c>
      <c r="Q176" t="s">
        <v>28</v>
      </c>
      <c r="R176" t="s">
        <v>56</v>
      </c>
      <c r="S176" t="s">
        <v>86</v>
      </c>
    </row>
    <row r="177" spans="1:19" x14ac:dyDescent="0.3">
      <c r="A177" t="s">
        <v>586</v>
      </c>
      <c r="B177" s="1">
        <v>45862</v>
      </c>
      <c r="C177" s="1">
        <v>45868</v>
      </c>
      <c r="D177" t="s">
        <v>269</v>
      </c>
      <c r="E177" t="s">
        <v>270</v>
      </c>
      <c r="F177" t="s">
        <v>23</v>
      </c>
      <c r="G177" t="s">
        <v>35</v>
      </c>
      <c r="H177" t="s">
        <v>36</v>
      </c>
      <c r="I177" t="s">
        <v>71</v>
      </c>
      <c r="J177" t="s">
        <v>72</v>
      </c>
      <c r="K177" t="s">
        <v>73</v>
      </c>
      <c r="L177">
        <v>1</v>
      </c>
      <c r="M177">
        <v>3500</v>
      </c>
      <c r="N177">
        <v>0</v>
      </c>
      <c r="O177">
        <v>3500</v>
      </c>
      <c r="P177">
        <v>837.33</v>
      </c>
      <c r="Q177" t="s">
        <v>39</v>
      </c>
      <c r="R177" t="s">
        <v>56</v>
      </c>
      <c r="S177" t="s">
        <v>40</v>
      </c>
    </row>
    <row r="178" spans="1:19" x14ac:dyDescent="0.3">
      <c r="A178" t="s">
        <v>587</v>
      </c>
      <c r="B178" s="2">
        <v>45698</v>
      </c>
      <c r="C178" s="2">
        <v>45701</v>
      </c>
      <c r="D178" t="s">
        <v>588</v>
      </c>
      <c r="E178" t="s">
        <v>589</v>
      </c>
      <c r="F178" t="s">
        <v>23</v>
      </c>
      <c r="G178" t="s">
        <v>61</v>
      </c>
      <c r="H178" t="s">
        <v>62</v>
      </c>
      <c r="I178" t="s">
        <v>103</v>
      </c>
      <c r="J178" t="s">
        <v>104</v>
      </c>
      <c r="K178" t="s">
        <v>65</v>
      </c>
      <c r="L178">
        <v>2</v>
      </c>
      <c r="M178">
        <v>8000</v>
      </c>
      <c r="N178">
        <v>0</v>
      </c>
      <c r="O178">
        <v>16000</v>
      </c>
      <c r="P178">
        <v>4140.8999999999996</v>
      </c>
      <c r="Q178" t="s">
        <v>28</v>
      </c>
      <c r="R178" t="s">
        <v>29</v>
      </c>
      <c r="S178" t="s">
        <v>50</v>
      </c>
    </row>
    <row r="179" spans="1:19" x14ac:dyDescent="0.3">
      <c r="A179" t="s">
        <v>590</v>
      </c>
      <c r="B179" t="s">
        <v>591</v>
      </c>
      <c r="C179" t="s">
        <v>141</v>
      </c>
      <c r="D179" t="s">
        <v>592</v>
      </c>
      <c r="E179" t="s">
        <v>593</v>
      </c>
      <c r="F179" t="s">
        <v>55</v>
      </c>
      <c r="G179" t="s">
        <v>35</v>
      </c>
      <c r="H179" t="s">
        <v>258</v>
      </c>
      <c r="I179" t="s">
        <v>37</v>
      </c>
      <c r="J179" t="s">
        <v>38</v>
      </c>
      <c r="K179" t="s">
        <v>27</v>
      </c>
      <c r="L179">
        <v>1</v>
      </c>
      <c r="M179">
        <v>9500</v>
      </c>
      <c r="N179">
        <v>0</v>
      </c>
      <c r="O179">
        <v>9500</v>
      </c>
      <c r="P179">
        <v>1651.09</v>
      </c>
      <c r="Q179" t="s">
        <v>121</v>
      </c>
      <c r="R179" t="s">
        <v>56</v>
      </c>
      <c r="S179" t="s">
        <v>40</v>
      </c>
    </row>
    <row r="180" spans="1:19" x14ac:dyDescent="0.3">
      <c r="A180" t="s">
        <v>594</v>
      </c>
      <c r="B180" s="1">
        <v>45703</v>
      </c>
      <c r="C180" s="2">
        <v>45705</v>
      </c>
      <c r="D180" t="s">
        <v>129</v>
      </c>
      <c r="E180" t="s">
        <v>130</v>
      </c>
      <c r="F180" t="s">
        <v>34</v>
      </c>
      <c r="G180" t="s">
        <v>61</v>
      </c>
      <c r="H180" t="s">
        <v>78</v>
      </c>
      <c r="I180" t="s">
        <v>25</v>
      </c>
      <c r="J180" t="s">
        <v>26</v>
      </c>
      <c r="K180" t="s">
        <v>27</v>
      </c>
      <c r="L180">
        <v>1</v>
      </c>
      <c r="M180">
        <v>7000</v>
      </c>
      <c r="N180">
        <v>0</v>
      </c>
      <c r="O180">
        <v>7000</v>
      </c>
      <c r="P180">
        <v>1685.15</v>
      </c>
      <c r="Q180" t="s">
        <v>74</v>
      </c>
      <c r="R180" t="s">
        <v>49</v>
      </c>
      <c r="S180" t="s">
        <v>86</v>
      </c>
    </row>
    <row r="181" spans="1:19" x14ac:dyDescent="0.3">
      <c r="A181" t="s">
        <v>595</v>
      </c>
      <c r="B181" s="2">
        <v>45838</v>
      </c>
      <c r="C181" s="2">
        <v>45845</v>
      </c>
      <c r="D181" t="s">
        <v>596</v>
      </c>
      <c r="E181" t="s">
        <v>597</v>
      </c>
      <c r="F181" t="s">
        <v>34</v>
      </c>
      <c r="G181" t="s">
        <v>91</v>
      </c>
      <c r="H181" t="s">
        <v>120</v>
      </c>
      <c r="I181" t="s">
        <v>147</v>
      </c>
      <c r="J181" t="s">
        <v>148</v>
      </c>
      <c r="K181" t="s">
        <v>48</v>
      </c>
      <c r="L181">
        <v>1</v>
      </c>
      <c r="M181">
        <v>250</v>
      </c>
      <c r="N181">
        <v>0</v>
      </c>
      <c r="O181">
        <v>250</v>
      </c>
      <c r="P181">
        <v>82.66</v>
      </c>
      <c r="Q181" t="s">
        <v>28</v>
      </c>
      <c r="R181" t="s">
        <v>56</v>
      </c>
      <c r="S181" t="s">
        <v>50</v>
      </c>
    </row>
    <row r="182" spans="1:19" x14ac:dyDescent="0.3">
      <c r="A182" t="s">
        <v>598</v>
      </c>
      <c r="B182" s="2">
        <v>45907</v>
      </c>
      <c r="C182" s="1">
        <v>45878</v>
      </c>
      <c r="D182" t="s">
        <v>599</v>
      </c>
      <c r="E182" t="s">
        <v>600</v>
      </c>
      <c r="F182" t="s">
        <v>23</v>
      </c>
      <c r="G182" t="s">
        <v>44</v>
      </c>
      <c r="H182" t="s">
        <v>161</v>
      </c>
      <c r="I182" t="s">
        <v>134</v>
      </c>
      <c r="J182" t="s">
        <v>135</v>
      </c>
      <c r="K182" t="s">
        <v>27</v>
      </c>
      <c r="L182">
        <v>1</v>
      </c>
      <c r="M182">
        <v>6000</v>
      </c>
      <c r="N182">
        <v>0</v>
      </c>
      <c r="O182">
        <v>6000</v>
      </c>
      <c r="P182">
        <v>1491.35</v>
      </c>
      <c r="Q182" t="s">
        <v>66</v>
      </c>
      <c r="R182" t="s">
        <v>49</v>
      </c>
      <c r="S182" t="s">
        <v>110</v>
      </c>
    </row>
    <row r="183" spans="1:19" x14ac:dyDescent="0.3">
      <c r="A183" t="s">
        <v>601</v>
      </c>
      <c r="B183" s="2">
        <v>45334</v>
      </c>
      <c r="C183" s="1">
        <v>45337</v>
      </c>
      <c r="D183" t="s">
        <v>602</v>
      </c>
      <c r="E183" t="s">
        <v>603</v>
      </c>
      <c r="F183" t="s">
        <v>34</v>
      </c>
      <c r="G183" t="s">
        <v>61</v>
      </c>
      <c r="H183" t="s">
        <v>125</v>
      </c>
      <c r="I183" t="s">
        <v>79</v>
      </c>
      <c r="J183" t="s">
        <v>80</v>
      </c>
      <c r="K183" t="s">
        <v>65</v>
      </c>
      <c r="L183">
        <v>1</v>
      </c>
      <c r="M183">
        <v>3000</v>
      </c>
      <c r="N183">
        <v>15</v>
      </c>
      <c r="O183">
        <v>2550</v>
      </c>
      <c r="P183">
        <v>545.27</v>
      </c>
      <c r="Q183" t="s">
        <v>156</v>
      </c>
      <c r="R183" t="s">
        <v>49</v>
      </c>
      <c r="S183" t="s">
        <v>40</v>
      </c>
    </row>
    <row r="184" spans="1:19" x14ac:dyDescent="0.3">
      <c r="A184" t="s">
        <v>604</v>
      </c>
      <c r="B184" s="2">
        <v>45876</v>
      </c>
      <c r="C184" t="s">
        <v>605</v>
      </c>
      <c r="D184" t="s">
        <v>606</v>
      </c>
      <c r="E184" t="s">
        <v>607</v>
      </c>
      <c r="F184" t="s">
        <v>23</v>
      </c>
      <c r="G184" t="s">
        <v>35</v>
      </c>
      <c r="H184" t="s">
        <v>36</v>
      </c>
      <c r="I184" t="s">
        <v>63</v>
      </c>
      <c r="J184" t="s">
        <v>64</v>
      </c>
      <c r="K184" t="s">
        <v>65</v>
      </c>
      <c r="L184">
        <v>1</v>
      </c>
      <c r="M184">
        <v>25000</v>
      </c>
      <c r="N184">
        <v>20</v>
      </c>
      <c r="O184">
        <v>500000</v>
      </c>
      <c r="P184">
        <v>2290.94</v>
      </c>
      <c r="Q184" t="s">
        <v>39</v>
      </c>
      <c r="R184" t="s">
        <v>49</v>
      </c>
      <c r="S184" t="s">
        <v>110</v>
      </c>
    </row>
    <row r="185" spans="1:19" x14ac:dyDescent="0.3">
      <c r="A185" t="s">
        <v>608</v>
      </c>
      <c r="B185" s="1">
        <v>45965</v>
      </c>
      <c r="C185" s="1">
        <v>45969</v>
      </c>
      <c r="D185" t="s">
        <v>609</v>
      </c>
      <c r="E185" t="s">
        <v>610</v>
      </c>
      <c r="F185" t="s">
        <v>23</v>
      </c>
      <c r="G185" t="s">
        <v>44</v>
      </c>
      <c r="H185" t="s">
        <v>155</v>
      </c>
      <c r="I185" t="s">
        <v>147</v>
      </c>
      <c r="J185" t="s">
        <v>148</v>
      </c>
      <c r="K185" t="s">
        <v>611</v>
      </c>
      <c r="L185">
        <v>1</v>
      </c>
      <c r="M185">
        <v>250</v>
      </c>
      <c r="N185">
        <v>0</v>
      </c>
      <c r="O185">
        <v>250</v>
      </c>
      <c r="Q185" t="s">
        <v>28</v>
      </c>
      <c r="R185" t="s">
        <v>56</v>
      </c>
      <c r="S185" t="s">
        <v>110</v>
      </c>
    </row>
    <row r="186" spans="1:19" x14ac:dyDescent="0.3">
      <c r="A186" t="s">
        <v>612</v>
      </c>
      <c r="B186" s="1">
        <v>45626</v>
      </c>
      <c r="C186" s="1">
        <v>45629</v>
      </c>
      <c r="D186" t="s">
        <v>613</v>
      </c>
      <c r="E186" t="s">
        <v>614</v>
      </c>
      <c r="F186" t="s">
        <v>55</v>
      </c>
      <c r="G186" t="s">
        <v>61</v>
      </c>
      <c r="H186" t="s">
        <v>211</v>
      </c>
      <c r="I186" t="s">
        <v>79</v>
      </c>
      <c r="J186" t="s">
        <v>80</v>
      </c>
      <c r="K186" t="s">
        <v>65</v>
      </c>
      <c r="L186">
        <v>2</v>
      </c>
      <c r="M186">
        <v>3000</v>
      </c>
      <c r="N186">
        <v>0</v>
      </c>
      <c r="O186">
        <v>6000</v>
      </c>
      <c r="P186">
        <v>1972.51</v>
      </c>
      <c r="Q186" t="s">
        <v>39</v>
      </c>
      <c r="R186" t="s">
        <v>49</v>
      </c>
      <c r="S186" t="s">
        <v>30</v>
      </c>
    </row>
    <row r="187" spans="1:19" x14ac:dyDescent="0.3">
      <c r="A187" t="s">
        <v>615</v>
      </c>
      <c r="B187" t="s">
        <v>616</v>
      </c>
      <c r="C187" s="1">
        <v>45985</v>
      </c>
      <c r="D187" t="s">
        <v>617</v>
      </c>
      <c r="E187" t="s">
        <v>618</v>
      </c>
      <c r="F187" t="s">
        <v>23</v>
      </c>
      <c r="G187" t="s">
        <v>91</v>
      </c>
      <c r="H187" t="s">
        <v>120</v>
      </c>
      <c r="I187" t="s">
        <v>93</v>
      </c>
      <c r="J187" t="s">
        <v>94</v>
      </c>
      <c r="K187" t="s">
        <v>95</v>
      </c>
      <c r="L187">
        <v>10</v>
      </c>
      <c r="M187">
        <v>1800</v>
      </c>
      <c r="N187">
        <v>0</v>
      </c>
      <c r="O187">
        <v>18000</v>
      </c>
      <c r="P187">
        <v>4564.79</v>
      </c>
      <c r="Q187" t="s">
        <v>121</v>
      </c>
      <c r="R187" t="s">
        <v>49</v>
      </c>
      <c r="S187" t="s">
        <v>110</v>
      </c>
    </row>
    <row r="188" spans="1:19" x14ac:dyDescent="0.3">
      <c r="A188" t="s">
        <v>619</v>
      </c>
      <c r="B188" s="2">
        <v>45954</v>
      </c>
      <c r="C188" t="s">
        <v>620</v>
      </c>
      <c r="D188" t="s">
        <v>621</v>
      </c>
      <c r="E188" t="s">
        <v>622</v>
      </c>
      <c r="F188" t="s">
        <v>55</v>
      </c>
      <c r="G188" t="s">
        <v>91</v>
      </c>
      <c r="H188" t="s">
        <v>109</v>
      </c>
      <c r="I188" t="s">
        <v>114</v>
      </c>
      <c r="J188" t="s">
        <v>115</v>
      </c>
      <c r="K188" t="s">
        <v>65</v>
      </c>
      <c r="L188">
        <v>2</v>
      </c>
      <c r="M188">
        <v>55000</v>
      </c>
      <c r="N188">
        <v>0</v>
      </c>
      <c r="O188">
        <v>110000</v>
      </c>
      <c r="P188">
        <v>21746.240000000002</v>
      </c>
      <c r="Q188" t="s">
        <v>74</v>
      </c>
      <c r="R188" t="s">
        <v>56</v>
      </c>
      <c r="S188" t="s">
        <v>86</v>
      </c>
    </row>
    <row r="189" spans="1:19" x14ac:dyDescent="0.3">
      <c r="A189" t="s">
        <v>623</v>
      </c>
      <c r="B189" t="s">
        <v>624</v>
      </c>
      <c r="C189" t="s">
        <v>507</v>
      </c>
      <c r="D189" t="s">
        <v>625</v>
      </c>
      <c r="E189" t="s">
        <v>626</v>
      </c>
      <c r="F189" t="s">
        <v>34</v>
      </c>
      <c r="G189" t="s">
        <v>61</v>
      </c>
      <c r="H189" t="s">
        <v>211</v>
      </c>
      <c r="I189" t="s">
        <v>114</v>
      </c>
      <c r="J189" t="s">
        <v>115</v>
      </c>
      <c r="K189" t="s">
        <v>65</v>
      </c>
      <c r="L189">
        <v>2</v>
      </c>
      <c r="M189">
        <v>55000</v>
      </c>
      <c r="N189">
        <v>0</v>
      </c>
      <c r="O189">
        <v>110000</v>
      </c>
      <c r="P189">
        <v>20028.16</v>
      </c>
      <c r="Q189" t="s">
        <v>74</v>
      </c>
      <c r="R189" t="s">
        <v>29</v>
      </c>
      <c r="S189" t="s">
        <v>86</v>
      </c>
    </row>
    <row r="190" spans="1:19" x14ac:dyDescent="0.3">
      <c r="A190" t="s">
        <v>627</v>
      </c>
      <c r="B190" s="2">
        <v>45527</v>
      </c>
      <c r="C190" s="2">
        <v>45531</v>
      </c>
      <c r="D190" t="s">
        <v>628</v>
      </c>
      <c r="E190" t="s">
        <v>629</v>
      </c>
      <c r="F190" t="s">
        <v>55</v>
      </c>
      <c r="G190" t="s">
        <v>91</v>
      </c>
      <c r="H190" t="s">
        <v>120</v>
      </c>
      <c r="I190" t="s">
        <v>25</v>
      </c>
      <c r="J190" t="s">
        <v>26</v>
      </c>
      <c r="K190" t="s">
        <v>27</v>
      </c>
      <c r="L190">
        <v>2</v>
      </c>
      <c r="M190">
        <v>7000</v>
      </c>
      <c r="N190">
        <v>0</v>
      </c>
      <c r="O190">
        <v>14000</v>
      </c>
      <c r="P190">
        <v>2425.81</v>
      </c>
      <c r="R190" t="s">
        <v>49</v>
      </c>
      <c r="S190" t="s">
        <v>50</v>
      </c>
    </row>
    <row r="191" spans="1:19" x14ac:dyDescent="0.3">
      <c r="A191" t="s">
        <v>630</v>
      </c>
      <c r="B191" s="1">
        <v>45395</v>
      </c>
      <c r="C191" s="2">
        <v>45397</v>
      </c>
      <c r="D191" t="s">
        <v>153</v>
      </c>
      <c r="E191" t="s">
        <v>154</v>
      </c>
      <c r="F191" t="s">
        <v>23</v>
      </c>
      <c r="G191" t="s">
        <v>44</v>
      </c>
      <c r="H191" t="s">
        <v>155</v>
      </c>
      <c r="I191" t="s">
        <v>25</v>
      </c>
      <c r="J191" t="s">
        <v>26</v>
      </c>
      <c r="K191" t="s">
        <v>27</v>
      </c>
      <c r="L191">
        <v>1</v>
      </c>
      <c r="M191">
        <v>7000</v>
      </c>
      <c r="N191">
        <v>15</v>
      </c>
      <c r="O191">
        <v>5950</v>
      </c>
      <c r="P191">
        <v>988.16</v>
      </c>
      <c r="Q191" t="s">
        <v>74</v>
      </c>
      <c r="R191" t="s">
        <v>29</v>
      </c>
      <c r="S191" t="s">
        <v>110</v>
      </c>
    </row>
    <row r="192" spans="1:19" x14ac:dyDescent="0.3">
      <c r="A192" t="s">
        <v>631</v>
      </c>
      <c r="B192" s="2">
        <v>45682</v>
      </c>
      <c r="C192" s="2">
        <v>45685</v>
      </c>
      <c r="D192" t="s">
        <v>421</v>
      </c>
      <c r="E192" t="s">
        <v>422</v>
      </c>
      <c r="F192" t="s">
        <v>34</v>
      </c>
      <c r="G192" t="s">
        <v>61</v>
      </c>
      <c r="H192" t="s">
        <v>211</v>
      </c>
      <c r="I192" t="s">
        <v>126</v>
      </c>
      <c r="J192" t="s">
        <v>127</v>
      </c>
      <c r="K192" t="s">
        <v>95</v>
      </c>
      <c r="L192">
        <v>2</v>
      </c>
      <c r="M192">
        <v>600</v>
      </c>
      <c r="N192">
        <v>5</v>
      </c>
      <c r="O192">
        <v>1140</v>
      </c>
      <c r="P192">
        <v>312.61</v>
      </c>
      <c r="Q192" t="s">
        <v>121</v>
      </c>
      <c r="R192" t="s">
        <v>29</v>
      </c>
      <c r="S192" t="s">
        <v>110</v>
      </c>
    </row>
    <row r="193" spans="1:19" x14ac:dyDescent="0.3">
      <c r="A193" t="s">
        <v>632</v>
      </c>
      <c r="B193" s="1">
        <v>45842</v>
      </c>
      <c r="C193" s="1">
        <v>45846</v>
      </c>
      <c r="D193" t="s">
        <v>132</v>
      </c>
      <c r="E193" t="s">
        <v>133</v>
      </c>
      <c r="F193" t="s">
        <v>23</v>
      </c>
      <c r="G193" t="s">
        <v>91</v>
      </c>
      <c r="H193" t="s">
        <v>120</v>
      </c>
      <c r="I193" t="s">
        <v>79</v>
      </c>
      <c r="J193" t="s">
        <v>80</v>
      </c>
      <c r="K193" t="s">
        <v>65</v>
      </c>
      <c r="L193">
        <v>1</v>
      </c>
      <c r="M193">
        <v>3000</v>
      </c>
      <c r="N193">
        <v>15</v>
      </c>
      <c r="O193">
        <v>2550</v>
      </c>
      <c r="P193">
        <v>565.70000000000005</v>
      </c>
      <c r="Q193" t="s">
        <v>39</v>
      </c>
      <c r="R193" t="s">
        <v>56</v>
      </c>
      <c r="S193" t="s">
        <v>30</v>
      </c>
    </row>
    <row r="194" spans="1:19" x14ac:dyDescent="0.3">
      <c r="A194" t="s">
        <v>633</v>
      </c>
      <c r="B194" s="2">
        <v>45943</v>
      </c>
      <c r="C194" s="1">
        <v>45946</v>
      </c>
      <c r="D194" t="s">
        <v>634</v>
      </c>
      <c r="E194" t="s">
        <v>635</v>
      </c>
      <c r="F194" t="s">
        <v>23</v>
      </c>
      <c r="G194" t="s">
        <v>91</v>
      </c>
      <c r="H194" t="s">
        <v>177</v>
      </c>
      <c r="I194" t="s">
        <v>79</v>
      </c>
      <c r="J194" t="s">
        <v>80</v>
      </c>
      <c r="K194" t="s">
        <v>65</v>
      </c>
      <c r="L194">
        <v>1</v>
      </c>
      <c r="M194">
        <v>3000</v>
      </c>
      <c r="N194">
        <v>15</v>
      </c>
      <c r="O194">
        <v>2550</v>
      </c>
      <c r="P194">
        <v>736.68</v>
      </c>
      <c r="Q194" t="s">
        <v>39</v>
      </c>
      <c r="R194" t="s">
        <v>56</v>
      </c>
      <c r="S194" t="s">
        <v>40</v>
      </c>
    </row>
    <row r="195" spans="1:19" x14ac:dyDescent="0.3">
      <c r="A195" t="s">
        <v>636</v>
      </c>
      <c r="B195" s="1">
        <v>45505</v>
      </c>
      <c r="C195" s="1">
        <v>45305</v>
      </c>
      <c r="D195" t="s">
        <v>21</v>
      </c>
      <c r="E195" t="s">
        <v>22</v>
      </c>
      <c r="F195" t="s">
        <v>23</v>
      </c>
      <c r="G195" t="s">
        <v>44</v>
      </c>
      <c r="H195" t="s">
        <v>24</v>
      </c>
      <c r="I195" t="s">
        <v>71</v>
      </c>
      <c r="J195" t="s">
        <v>72</v>
      </c>
      <c r="K195" t="s">
        <v>73</v>
      </c>
      <c r="L195">
        <v>3</v>
      </c>
      <c r="M195">
        <v>3500</v>
      </c>
      <c r="N195">
        <v>15</v>
      </c>
      <c r="O195">
        <v>8925</v>
      </c>
      <c r="P195">
        <v>2609.61</v>
      </c>
      <c r="Q195" t="s">
        <v>121</v>
      </c>
      <c r="R195" t="s">
        <v>56</v>
      </c>
      <c r="S195" t="s">
        <v>40</v>
      </c>
    </row>
    <row r="196" spans="1:19" x14ac:dyDescent="0.3">
      <c r="A196" t="s">
        <v>637</v>
      </c>
      <c r="B196" s="1">
        <v>45415</v>
      </c>
      <c r="C196" s="1">
        <v>45538</v>
      </c>
      <c r="D196" t="s">
        <v>356</v>
      </c>
      <c r="E196" t="s">
        <v>357</v>
      </c>
      <c r="F196" t="s">
        <v>23</v>
      </c>
      <c r="G196" t="s">
        <v>91</v>
      </c>
      <c r="H196" t="s">
        <v>120</v>
      </c>
      <c r="I196" t="s">
        <v>79</v>
      </c>
      <c r="J196" t="s">
        <v>80</v>
      </c>
      <c r="K196" t="s">
        <v>65</v>
      </c>
      <c r="L196">
        <v>3</v>
      </c>
      <c r="M196">
        <v>3000</v>
      </c>
      <c r="N196">
        <v>5</v>
      </c>
      <c r="O196">
        <v>8550</v>
      </c>
      <c r="P196">
        <v>1833.45</v>
      </c>
      <c r="Q196" t="s">
        <v>66</v>
      </c>
      <c r="R196" t="s">
        <v>29</v>
      </c>
      <c r="S196" t="s">
        <v>86</v>
      </c>
    </row>
    <row r="197" spans="1:19" x14ac:dyDescent="0.3">
      <c r="A197" t="s">
        <v>638</v>
      </c>
      <c r="B197" s="2">
        <v>45891</v>
      </c>
      <c r="C197" s="1">
        <v>45898</v>
      </c>
      <c r="D197" t="s">
        <v>639</v>
      </c>
      <c r="E197" t="s">
        <v>640</v>
      </c>
      <c r="F197" t="s">
        <v>55</v>
      </c>
      <c r="G197" t="s">
        <v>35</v>
      </c>
      <c r="H197" t="s">
        <v>36</v>
      </c>
      <c r="I197" t="s">
        <v>79</v>
      </c>
      <c r="J197" t="s">
        <v>80</v>
      </c>
      <c r="K197" t="s">
        <v>65</v>
      </c>
      <c r="L197">
        <v>5</v>
      </c>
      <c r="M197">
        <v>3000</v>
      </c>
      <c r="N197">
        <v>15</v>
      </c>
      <c r="O197">
        <v>12750</v>
      </c>
      <c r="P197">
        <v>3513.5</v>
      </c>
      <c r="Q197" t="s">
        <v>28</v>
      </c>
      <c r="R197" t="s">
        <v>49</v>
      </c>
      <c r="S197" t="s">
        <v>30</v>
      </c>
    </row>
    <row r="198" spans="1:19" x14ac:dyDescent="0.3">
      <c r="A198" t="s">
        <v>641</v>
      </c>
      <c r="B198" t="s">
        <v>642</v>
      </c>
      <c r="C198" s="1">
        <v>45505</v>
      </c>
      <c r="D198" t="s">
        <v>643</v>
      </c>
      <c r="E198" t="s">
        <v>644</v>
      </c>
      <c r="F198" t="s">
        <v>34</v>
      </c>
      <c r="G198" t="s">
        <v>61</v>
      </c>
      <c r="H198" t="s">
        <v>78</v>
      </c>
      <c r="I198" t="s">
        <v>37</v>
      </c>
      <c r="J198" t="s">
        <v>38</v>
      </c>
      <c r="K198" t="s">
        <v>27</v>
      </c>
      <c r="L198">
        <v>1</v>
      </c>
      <c r="M198">
        <v>9500</v>
      </c>
      <c r="N198">
        <v>0</v>
      </c>
      <c r="O198">
        <v>9500</v>
      </c>
      <c r="P198">
        <v>1734.53</v>
      </c>
      <c r="Q198" t="s">
        <v>156</v>
      </c>
      <c r="R198" t="s">
        <v>29</v>
      </c>
      <c r="S198" t="s">
        <v>110</v>
      </c>
    </row>
    <row r="199" spans="1:19" x14ac:dyDescent="0.3">
      <c r="A199" t="s">
        <v>645</v>
      </c>
      <c r="B199" s="1">
        <v>45405</v>
      </c>
      <c r="C199" s="1">
        <v>45406</v>
      </c>
      <c r="D199" t="s">
        <v>494</v>
      </c>
      <c r="E199" t="s">
        <v>646</v>
      </c>
      <c r="F199" t="s">
        <v>34</v>
      </c>
      <c r="G199" t="s">
        <v>35</v>
      </c>
      <c r="H199" t="s">
        <v>258</v>
      </c>
      <c r="I199" t="s">
        <v>63</v>
      </c>
      <c r="J199" t="s">
        <v>64</v>
      </c>
      <c r="K199" t="s">
        <v>65</v>
      </c>
      <c r="L199">
        <v>4</v>
      </c>
      <c r="M199">
        <v>25000</v>
      </c>
      <c r="N199">
        <v>5</v>
      </c>
      <c r="O199">
        <v>95000</v>
      </c>
      <c r="P199">
        <v>13376.41</v>
      </c>
      <c r="Q199" t="s">
        <v>156</v>
      </c>
      <c r="R199" t="s">
        <v>56</v>
      </c>
      <c r="S199" t="s">
        <v>40</v>
      </c>
    </row>
    <row r="200" spans="1:19" x14ac:dyDescent="0.3">
      <c r="A200" t="s">
        <v>647</v>
      </c>
      <c r="B200" t="s">
        <v>506</v>
      </c>
      <c r="C200" s="1">
        <v>45437</v>
      </c>
      <c r="D200" t="s">
        <v>546</v>
      </c>
      <c r="E200" t="s">
        <v>547</v>
      </c>
      <c r="F200" t="s">
        <v>34</v>
      </c>
      <c r="G200" t="s">
        <v>91</v>
      </c>
      <c r="H200" t="s">
        <v>92</v>
      </c>
      <c r="I200" t="s">
        <v>103</v>
      </c>
      <c r="J200" t="s">
        <v>104</v>
      </c>
      <c r="K200" t="s">
        <v>65</v>
      </c>
      <c r="L200">
        <v>2</v>
      </c>
      <c r="M200">
        <v>8000</v>
      </c>
      <c r="N200">
        <v>0</v>
      </c>
      <c r="O200">
        <v>16000</v>
      </c>
      <c r="P200">
        <v>3250.54</v>
      </c>
      <c r="Q200" t="s">
        <v>28</v>
      </c>
      <c r="R200" t="s">
        <v>49</v>
      </c>
      <c r="S200" t="s">
        <v>40</v>
      </c>
    </row>
    <row r="201" spans="1:19" x14ac:dyDescent="0.3">
      <c r="A201" t="s">
        <v>648</v>
      </c>
      <c r="B201" s="1">
        <v>45571</v>
      </c>
      <c r="C201" t="s">
        <v>649</v>
      </c>
      <c r="D201" t="s">
        <v>527</v>
      </c>
      <c r="E201" t="s">
        <v>528</v>
      </c>
      <c r="F201" t="s">
        <v>23</v>
      </c>
      <c r="G201" t="s">
        <v>44</v>
      </c>
      <c r="I201" t="s">
        <v>93</v>
      </c>
      <c r="J201" t="s">
        <v>94</v>
      </c>
      <c r="K201" t="s">
        <v>95</v>
      </c>
      <c r="L201">
        <v>1</v>
      </c>
      <c r="M201">
        <v>1800</v>
      </c>
      <c r="N201">
        <v>0</v>
      </c>
      <c r="O201">
        <v>1800</v>
      </c>
      <c r="P201">
        <v>476.6</v>
      </c>
      <c r="Q201" t="s">
        <v>66</v>
      </c>
      <c r="R201" t="s">
        <v>29</v>
      </c>
      <c r="S201" t="s">
        <v>40</v>
      </c>
    </row>
    <row r="202" spans="1:19" x14ac:dyDescent="0.3">
      <c r="A202" t="s">
        <v>650</v>
      </c>
      <c r="B202" s="1">
        <v>45510</v>
      </c>
      <c r="C202" s="1">
        <v>45457</v>
      </c>
      <c r="D202" t="s">
        <v>209</v>
      </c>
      <c r="E202" t="s">
        <v>210</v>
      </c>
      <c r="F202" t="s">
        <v>34</v>
      </c>
      <c r="G202" t="s">
        <v>61</v>
      </c>
      <c r="H202" t="s">
        <v>211</v>
      </c>
      <c r="I202" t="s">
        <v>147</v>
      </c>
      <c r="J202" t="s">
        <v>148</v>
      </c>
      <c r="K202" t="s">
        <v>48</v>
      </c>
      <c r="L202">
        <v>4</v>
      </c>
      <c r="M202">
        <v>250</v>
      </c>
      <c r="N202">
        <v>0</v>
      </c>
      <c r="O202">
        <v>1000</v>
      </c>
      <c r="P202">
        <v>417.87</v>
      </c>
      <c r="Q202" t="s">
        <v>39</v>
      </c>
      <c r="R202" t="s">
        <v>49</v>
      </c>
      <c r="S202" t="s">
        <v>30</v>
      </c>
    </row>
    <row r="203" spans="1:19" x14ac:dyDescent="0.3">
      <c r="A203" t="s">
        <v>651</v>
      </c>
      <c r="B203" s="1">
        <v>45728</v>
      </c>
      <c r="C203" s="2">
        <v>45729</v>
      </c>
      <c r="D203" t="s">
        <v>206</v>
      </c>
      <c r="E203" t="s">
        <v>207</v>
      </c>
      <c r="F203" t="s">
        <v>55</v>
      </c>
      <c r="G203" t="s">
        <v>44</v>
      </c>
      <c r="H203" t="s">
        <v>24</v>
      </c>
      <c r="I203" t="s">
        <v>79</v>
      </c>
      <c r="J203" t="s">
        <v>80</v>
      </c>
      <c r="K203" t="s">
        <v>65</v>
      </c>
      <c r="L203">
        <v>1</v>
      </c>
      <c r="M203">
        <v>3000</v>
      </c>
      <c r="N203">
        <v>0</v>
      </c>
      <c r="O203">
        <v>3000</v>
      </c>
      <c r="P203">
        <v>662.74</v>
      </c>
      <c r="Q203" t="s">
        <v>28</v>
      </c>
      <c r="R203" t="s">
        <v>49</v>
      </c>
      <c r="S203" t="s">
        <v>40</v>
      </c>
    </row>
    <row r="204" spans="1:19" x14ac:dyDescent="0.3">
      <c r="A204" t="s">
        <v>652</v>
      </c>
      <c r="B204" s="1">
        <v>45499</v>
      </c>
      <c r="D204" t="s">
        <v>653</v>
      </c>
      <c r="E204" t="s">
        <v>654</v>
      </c>
      <c r="F204" t="s">
        <v>23</v>
      </c>
      <c r="G204" t="s">
        <v>44</v>
      </c>
      <c r="H204" t="s">
        <v>330</v>
      </c>
      <c r="I204" t="s">
        <v>93</v>
      </c>
      <c r="J204" t="s">
        <v>94</v>
      </c>
      <c r="K204" t="s">
        <v>95</v>
      </c>
      <c r="L204">
        <v>2</v>
      </c>
      <c r="M204">
        <v>1800</v>
      </c>
      <c r="N204">
        <v>15</v>
      </c>
      <c r="O204">
        <v>3060</v>
      </c>
      <c r="P204">
        <v>946.32</v>
      </c>
      <c r="Q204" t="s">
        <v>66</v>
      </c>
      <c r="R204" t="s">
        <v>29</v>
      </c>
      <c r="S204" t="s">
        <v>30</v>
      </c>
    </row>
    <row r="205" spans="1:19" x14ac:dyDescent="0.3">
      <c r="A205" t="s">
        <v>655</v>
      </c>
      <c r="B205" s="1">
        <v>45886</v>
      </c>
      <c r="D205" t="s">
        <v>438</v>
      </c>
      <c r="E205" t="s">
        <v>439</v>
      </c>
      <c r="F205" t="s">
        <v>34</v>
      </c>
      <c r="G205" t="s">
        <v>35</v>
      </c>
      <c r="H205" t="s">
        <v>85</v>
      </c>
      <c r="I205" t="s">
        <v>63</v>
      </c>
      <c r="J205" t="s">
        <v>64</v>
      </c>
      <c r="K205" t="s">
        <v>65</v>
      </c>
      <c r="L205">
        <v>2</v>
      </c>
      <c r="M205">
        <v>25000</v>
      </c>
      <c r="N205">
        <v>0</v>
      </c>
      <c r="O205">
        <v>50000</v>
      </c>
      <c r="P205">
        <v>6531.45</v>
      </c>
      <c r="R205" t="s">
        <v>56</v>
      </c>
      <c r="S205" t="s">
        <v>50</v>
      </c>
    </row>
    <row r="206" spans="1:19" x14ac:dyDescent="0.3">
      <c r="A206" t="s">
        <v>656</v>
      </c>
      <c r="B206" s="1">
        <v>45593</v>
      </c>
      <c r="C206" s="2">
        <v>45598</v>
      </c>
      <c r="D206" t="s">
        <v>657</v>
      </c>
      <c r="E206" t="s">
        <v>658</v>
      </c>
      <c r="F206" t="s">
        <v>34</v>
      </c>
      <c r="G206" t="s">
        <v>91</v>
      </c>
      <c r="H206" t="s">
        <v>120</v>
      </c>
      <c r="I206" t="s">
        <v>134</v>
      </c>
      <c r="J206" t="s">
        <v>135</v>
      </c>
      <c r="K206" t="s">
        <v>27</v>
      </c>
      <c r="L206">
        <v>10</v>
      </c>
      <c r="M206">
        <v>6000</v>
      </c>
      <c r="N206">
        <v>0</v>
      </c>
      <c r="O206">
        <v>60000</v>
      </c>
      <c r="P206">
        <v>12563.48</v>
      </c>
      <c r="Q206" t="s">
        <v>66</v>
      </c>
      <c r="R206" t="s">
        <v>29</v>
      </c>
      <c r="S206" t="s">
        <v>30</v>
      </c>
    </row>
    <row r="207" spans="1:19" x14ac:dyDescent="0.3">
      <c r="A207" t="s">
        <v>659</v>
      </c>
      <c r="B207" s="2">
        <v>45937</v>
      </c>
      <c r="C207" s="2">
        <v>45941</v>
      </c>
      <c r="D207" t="s">
        <v>660</v>
      </c>
      <c r="E207" t="s">
        <v>661</v>
      </c>
      <c r="F207" t="s">
        <v>23</v>
      </c>
      <c r="G207" t="s">
        <v>44</v>
      </c>
      <c r="H207" t="s">
        <v>330</v>
      </c>
      <c r="I207" t="s">
        <v>147</v>
      </c>
      <c r="J207" t="s">
        <v>148</v>
      </c>
      <c r="K207" t="s">
        <v>48</v>
      </c>
      <c r="L207">
        <v>1</v>
      </c>
      <c r="M207">
        <v>250</v>
      </c>
      <c r="N207">
        <v>5</v>
      </c>
      <c r="O207">
        <v>237.5</v>
      </c>
      <c r="P207">
        <v>77.73</v>
      </c>
      <c r="Q207" t="s">
        <v>66</v>
      </c>
      <c r="R207" t="s">
        <v>49</v>
      </c>
      <c r="S207" t="s">
        <v>30</v>
      </c>
    </row>
    <row r="208" spans="1:19" x14ac:dyDescent="0.3">
      <c r="A208" t="s">
        <v>662</v>
      </c>
      <c r="B208" t="s">
        <v>663</v>
      </c>
      <c r="C208" s="1">
        <v>45672</v>
      </c>
      <c r="D208" t="s">
        <v>336</v>
      </c>
      <c r="E208" t="s">
        <v>337</v>
      </c>
      <c r="F208" t="s">
        <v>34</v>
      </c>
      <c r="G208" t="s">
        <v>61</v>
      </c>
      <c r="H208" t="s">
        <v>211</v>
      </c>
      <c r="I208" t="s">
        <v>79</v>
      </c>
      <c r="J208" t="s">
        <v>80</v>
      </c>
      <c r="K208" t="s">
        <v>65</v>
      </c>
      <c r="L208">
        <v>4</v>
      </c>
      <c r="M208">
        <v>3000</v>
      </c>
      <c r="N208">
        <v>0</v>
      </c>
      <c r="O208">
        <v>12000</v>
      </c>
      <c r="P208">
        <v>2788.68</v>
      </c>
      <c r="Q208" t="s">
        <v>74</v>
      </c>
      <c r="R208" t="s">
        <v>49</v>
      </c>
      <c r="S208" t="s">
        <v>30</v>
      </c>
    </row>
    <row r="209" spans="1:19" x14ac:dyDescent="0.3">
      <c r="A209" t="s">
        <v>664</v>
      </c>
      <c r="B209" s="1">
        <v>45781</v>
      </c>
      <c r="C209" s="1">
        <v>45788</v>
      </c>
      <c r="D209" t="s">
        <v>388</v>
      </c>
      <c r="E209" t="s">
        <v>389</v>
      </c>
      <c r="F209" t="s">
        <v>23</v>
      </c>
      <c r="G209" t="s">
        <v>44</v>
      </c>
      <c r="H209" t="s">
        <v>161</v>
      </c>
      <c r="I209" t="s">
        <v>79</v>
      </c>
      <c r="J209" t="s">
        <v>80</v>
      </c>
      <c r="K209" t="s">
        <v>65</v>
      </c>
      <c r="L209">
        <v>3</v>
      </c>
      <c r="M209">
        <v>3000</v>
      </c>
      <c r="N209">
        <v>0</v>
      </c>
      <c r="O209">
        <v>9000</v>
      </c>
      <c r="P209">
        <v>1897.03</v>
      </c>
      <c r="Q209" t="s">
        <v>39</v>
      </c>
      <c r="R209" t="s">
        <v>49</v>
      </c>
      <c r="S209" t="s">
        <v>30</v>
      </c>
    </row>
    <row r="210" spans="1:19" x14ac:dyDescent="0.3">
      <c r="A210" t="s">
        <v>665</v>
      </c>
      <c r="B210" s="1">
        <v>45899</v>
      </c>
      <c r="C210" s="1">
        <v>45907</v>
      </c>
      <c r="D210" t="s">
        <v>76</v>
      </c>
      <c r="E210" t="s">
        <v>666</v>
      </c>
      <c r="F210" t="s">
        <v>23</v>
      </c>
      <c r="G210" t="s">
        <v>61</v>
      </c>
      <c r="H210" t="s">
        <v>78</v>
      </c>
      <c r="I210" t="s">
        <v>147</v>
      </c>
      <c r="J210" t="s">
        <v>148</v>
      </c>
      <c r="K210" t="s">
        <v>48</v>
      </c>
      <c r="L210">
        <v>1</v>
      </c>
      <c r="M210">
        <v>250</v>
      </c>
      <c r="N210">
        <v>0</v>
      </c>
      <c r="O210">
        <v>250</v>
      </c>
      <c r="P210">
        <v>86.13</v>
      </c>
      <c r="Q210" t="s">
        <v>39</v>
      </c>
      <c r="R210" t="s">
        <v>56</v>
      </c>
      <c r="S210" t="s">
        <v>40</v>
      </c>
    </row>
    <row r="211" spans="1:19" x14ac:dyDescent="0.3">
      <c r="A211" t="s">
        <v>667</v>
      </c>
      <c r="B211" s="2">
        <v>45622</v>
      </c>
      <c r="C211" s="1">
        <v>45624</v>
      </c>
      <c r="D211" t="s">
        <v>388</v>
      </c>
      <c r="E211" t="s">
        <v>389</v>
      </c>
      <c r="F211" t="s">
        <v>23</v>
      </c>
      <c r="G211" t="s">
        <v>44</v>
      </c>
      <c r="H211" t="s">
        <v>161</v>
      </c>
      <c r="I211" t="s">
        <v>63</v>
      </c>
      <c r="J211" t="s">
        <v>64</v>
      </c>
      <c r="K211" t="s">
        <v>65</v>
      </c>
      <c r="L211">
        <v>3</v>
      </c>
      <c r="M211">
        <v>25000</v>
      </c>
      <c r="N211">
        <v>15</v>
      </c>
      <c r="O211">
        <v>63750</v>
      </c>
      <c r="P211">
        <v>8934.59</v>
      </c>
      <c r="Q211" t="s">
        <v>156</v>
      </c>
      <c r="R211" t="s">
        <v>29</v>
      </c>
      <c r="S211" t="s">
        <v>30</v>
      </c>
    </row>
    <row r="212" spans="1:19" x14ac:dyDescent="0.3">
      <c r="A212" t="s">
        <v>668</v>
      </c>
      <c r="B212" s="2">
        <v>45913</v>
      </c>
      <c r="C212" t="s">
        <v>669</v>
      </c>
      <c r="D212" t="s">
        <v>670</v>
      </c>
      <c r="E212" t="s">
        <v>671</v>
      </c>
      <c r="F212" t="s">
        <v>23</v>
      </c>
      <c r="G212" t="s">
        <v>91</v>
      </c>
      <c r="H212" t="s">
        <v>177</v>
      </c>
      <c r="I212" t="s">
        <v>103</v>
      </c>
      <c r="J212" t="s">
        <v>104</v>
      </c>
      <c r="K212" t="s">
        <v>65</v>
      </c>
      <c r="L212">
        <v>2</v>
      </c>
      <c r="M212">
        <v>8000</v>
      </c>
      <c r="N212">
        <v>0</v>
      </c>
      <c r="O212">
        <v>16000</v>
      </c>
      <c r="P212">
        <v>2917.6</v>
      </c>
      <c r="Q212" t="s">
        <v>74</v>
      </c>
      <c r="R212" t="s">
        <v>49</v>
      </c>
      <c r="S212" t="s">
        <v>110</v>
      </c>
    </row>
    <row r="213" spans="1:19" x14ac:dyDescent="0.3">
      <c r="A213" t="s">
        <v>672</v>
      </c>
      <c r="B213" s="1">
        <v>45683</v>
      </c>
      <c r="C213" s="1">
        <v>45718</v>
      </c>
      <c r="D213" t="s">
        <v>53</v>
      </c>
      <c r="E213" t="s">
        <v>54</v>
      </c>
      <c r="F213" t="s">
        <v>55</v>
      </c>
      <c r="G213" t="s">
        <v>44</v>
      </c>
      <c r="H213" t="s">
        <v>24</v>
      </c>
      <c r="I213" t="s">
        <v>93</v>
      </c>
      <c r="J213" t="s">
        <v>94</v>
      </c>
      <c r="K213" t="s">
        <v>95</v>
      </c>
      <c r="L213">
        <v>1</v>
      </c>
      <c r="M213">
        <v>1800</v>
      </c>
      <c r="N213">
        <v>15</v>
      </c>
      <c r="O213">
        <v>1530</v>
      </c>
      <c r="P213">
        <v>402.81</v>
      </c>
      <c r="Q213" t="s">
        <v>156</v>
      </c>
      <c r="R213" t="s">
        <v>56</v>
      </c>
      <c r="S213" t="s">
        <v>110</v>
      </c>
    </row>
    <row r="214" spans="1:19" x14ac:dyDescent="0.3">
      <c r="A214" t="s">
        <v>673</v>
      </c>
      <c r="B214" s="1">
        <v>45656</v>
      </c>
      <c r="C214" s="1">
        <v>45658</v>
      </c>
      <c r="D214" t="s">
        <v>674</v>
      </c>
      <c r="E214" t="s">
        <v>675</v>
      </c>
      <c r="F214" t="s">
        <v>55</v>
      </c>
      <c r="G214" t="s">
        <v>91</v>
      </c>
      <c r="H214" t="s">
        <v>109</v>
      </c>
      <c r="I214" t="s">
        <v>71</v>
      </c>
      <c r="J214" t="s">
        <v>72</v>
      </c>
      <c r="K214" t="s">
        <v>73</v>
      </c>
      <c r="L214">
        <v>3</v>
      </c>
      <c r="M214">
        <v>3500</v>
      </c>
      <c r="N214">
        <v>0</v>
      </c>
      <c r="O214">
        <v>10500</v>
      </c>
      <c r="P214">
        <v>2797.29</v>
      </c>
      <c r="Q214" t="s">
        <v>39</v>
      </c>
      <c r="R214" t="s">
        <v>29</v>
      </c>
      <c r="S214" t="s">
        <v>86</v>
      </c>
    </row>
    <row r="215" spans="1:19" x14ac:dyDescent="0.3">
      <c r="A215" t="s">
        <v>676</v>
      </c>
      <c r="B215" t="s">
        <v>677</v>
      </c>
      <c r="C215" s="2">
        <v>45778</v>
      </c>
      <c r="D215" t="s">
        <v>561</v>
      </c>
      <c r="E215" t="s">
        <v>562</v>
      </c>
      <c r="F215" t="s">
        <v>23</v>
      </c>
      <c r="G215" t="s">
        <v>44</v>
      </c>
      <c r="H215" t="s">
        <v>155</v>
      </c>
      <c r="I215" t="s">
        <v>63</v>
      </c>
      <c r="J215" t="s">
        <v>64</v>
      </c>
      <c r="K215" t="s">
        <v>65</v>
      </c>
      <c r="L215">
        <v>1</v>
      </c>
      <c r="M215">
        <v>25000</v>
      </c>
      <c r="N215">
        <v>10</v>
      </c>
      <c r="O215">
        <v>22500</v>
      </c>
      <c r="P215">
        <v>2961.65</v>
      </c>
      <c r="Q215" t="s">
        <v>66</v>
      </c>
      <c r="R215" t="s">
        <v>49</v>
      </c>
      <c r="S215" t="s">
        <v>30</v>
      </c>
    </row>
    <row r="216" spans="1:19" x14ac:dyDescent="0.3">
      <c r="A216" t="s">
        <v>678</v>
      </c>
      <c r="B216" s="1">
        <v>46005</v>
      </c>
      <c r="C216" t="s">
        <v>679</v>
      </c>
      <c r="D216" t="s">
        <v>409</v>
      </c>
      <c r="E216" t="s">
        <v>410</v>
      </c>
      <c r="F216" t="s">
        <v>23</v>
      </c>
      <c r="G216" t="s">
        <v>61</v>
      </c>
      <c r="H216" t="s">
        <v>125</v>
      </c>
      <c r="I216" t="s">
        <v>93</v>
      </c>
      <c r="J216" t="s">
        <v>94</v>
      </c>
      <c r="K216" t="s">
        <v>680</v>
      </c>
      <c r="L216">
        <v>2</v>
      </c>
      <c r="M216">
        <v>1800</v>
      </c>
      <c r="N216">
        <v>0</v>
      </c>
      <c r="O216">
        <v>3600</v>
      </c>
      <c r="P216">
        <v>1122.48</v>
      </c>
      <c r="Q216" t="s">
        <v>66</v>
      </c>
      <c r="R216" t="s">
        <v>49</v>
      </c>
      <c r="S216" t="s">
        <v>40</v>
      </c>
    </row>
    <row r="217" spans="1:19" x14ac:dyDescent="0.3">
      <c r="A217" t="s">
        <v>681</v>
      </c>
      <c r="B217" s="1">
        <v>45315</v>
      </c>
      <c r="C217" s="1">
        <v>45319</v>
      </c>
      <c r="D217" t="s">
        <v>682</v>
      </c>
      <c r="E217" t="s">
        <v>683</v>
      </c>
      <c r="F217" t="s">
        <v>55</v>
      </c>
      <c r="G217" t="s">
        <v>61</v>
      </c>
      <c r="H217" t="s">
        <v>125</v>
      </c>
      <c r="I217" t="s">
        <v>147</v>
      </c>
      <c r="J217" t="s">
        <v>148</v>
      </c>
      <c r="K217" t="s">
        <v>48</v>
      </c>
      <c r="L217">
        <v>1</v>
      </c>
      <c r="M217">
        <v>250</v>
      </c>
      <c r="N217">
        <v>5</v>
      </c>
      <c r="O217">
        <v>237.5</v>
      </c>
      <c r="P217">
        <v>85.71</v>
      </c>
      <c r="Q217" t="s">
        <v>121</v>
      </c>
      <c r="R217" t="s">
        <v>49</v>
      </c>
      <c r="S217" t="s">
        <v>110</v>
      </c>
    </row>
    <row r="218" spans="1:19" x14ac:dyDescent="0.3">
      <c r="A218" t="s">
        <v>684</v>
      </c>
      <c r="B218" t="s">
        <v>685</v>
      </c>
      <c r="C218" s="1">
        <v>45658</v>
      </c>
      <c r="D218" t="s">
        <v>435</v>
      </c>
      <c r="E218" t="s">
        <v>436</v>
      </c>
      <c r="F218" t="s">
        <v>23</v>
      </c>
      <c r="G218" t="s">
        <v>44</v>
      </c>
      <c r="H218" t="s">
        <v>24</v>
      </c>
      <c r="I218" t="s">
        <v>134</v>
      </c>
      <c r="J218" t="s">
        <v>135</v>
      </c>
      <c r="K218" t="s">
        <v>27</v>
      </c>
      <c r="L218">
        <v>1</v>
      </c>
      <c r="M218">
        <v>6000</v>
      </c>
      <c r="N218">
        <v>20</v>
      </c>
      <c r="O218">
        <v>4800</v>
      </c>
      <c r="P218">
        <v>927.75</v>
      </c>
      <c r="Q218" t="s">
        <v>66</v>
      </c>
      <c r="R218" t="s">
        <v>49</v>
      </c>
      <c r="S218" t="s">
        <v>110</v>
      </c>
    </row>
    <row r="219" spans="1:19" x14ac:dyDescent="0.3">
      <c r="A219" t="s">
        <v>686</v>
      </c>
      <c r="B219" s="1">
        <v>45426</v>
      </c>
      <c r="C219" s="1">
        <v>45431</v>
      </c>
      <c r="D219" t="s">
        <v>570</v>
      </c>
      <c r="E219" t="s">
        <v>571</v>
      </c>
      <c r="F219" t="s">
        <v>34</v>
      </c>
      <c r="G219" t="s">
        <v>44</v>
      </c>
      <c r="H219" t="s">
        <v>161</v>
      </c>
      <c r="I219" t="s">
        <v>63</v>
      </c>
      <c r="J219" t="s">
        <v>64</v>
      </c>
      <c r="K219" t="s">
        <v>65</v>
      </c>
      <c r="L219">
        <v>10</v>
      </c>
      <c r="M219">
        <v>25000</v>
      </c>
      <c r="N219">
        <v>0</v>
      </c>
      <c r="O219">
        <v>250000</v>
      </c>
      <c r="P219">
        <v>35588.400000000001</v>
      </c>
      <c r="Q219" t="s">
        <v>66</v>
      </c>
      <c r="R219" t="s">
        <v>49</v>
      </c>
      <c r="S219" t="s">
        <v>30</v>
      </c>
    </row>
    <row r="220" spans="1:19" x14ac:dyDescent="0.3">
      <c r="A220" t="s">
        <v>687</v>
      </c>
      <c r="B220" t="s">
        <v>688</v>
      </c>
      <c r="C220" s="1">
        <v>45746</v>
      </c>
      <c r="D220" t="s">
        <v>689</v>
      </c>
      <c r="E220" t="s">
        <v>690</v>
      </c>
      <c r="F220" t="s">
        <v>55</v>
      </c>
      <c r="G220" t="s">
        <v>61</v>
      </c>
      <c r="H220" t="s">
        <v>62</v>
      </c>
      <c r="I220" t="s">
        <v>79</v>
      </c>
      <c r="J220" t="s">
        <v>80</v>
      </c>
      <c r="K220" t="s">
        <v>65</v>
      </c>
      <c r="L220">
        <v>1</v>
      </c>
      <c r="M220">
        <v>3000</v>
      </c>
      <c r="N220">
        <v>0</v>
      </c>
      <c r="O220">
        <v>3000</v>
      </c>
      <c r="P220">
        <v>680.73</v>
      </c>
      <c r="Q220" t="s">
        <v>74</v>
      </c>
      <c r="R220" t="s">
        <v>56</v>
      </c>
      <c r="S220" t="s">
        <v>40</v>
      </c>
    </row>
    <row r="221" spans="1:19" x14ac:dyDescent="0.3">
      <c r="A221" t="s">
        <v>691</v>
      </c>
      <c r="B221" s="2">
        <v>45935</v>
      </c>
      <c r="C221" s="1">
        <v>45818</v>
      </c>
      <c r="D221" t="s">
        <v>692</v>
      </c>
      <c r="E221" t="s">
        <v>693</v>
      </c>
      <c r="F221" t="s">
        <v>55</v>
      </c>
      <c r="G221" t="s">
        <v>91</v>
      </c>
      <c r="H221" t="s">
        <v>120</v>
      </c>
      <c r="I221" t="s">
        <v>71</v>
      </c>
      <c r="J221" t="s">
        <v>72</v>
      </c>
      <c r="K221" t="s">
        <v>694</v>
      </c>
      <c r="L221">
        <v>3</v>
      </c>
      <c r="M221">
        <v>3500</v>
      </c>
      <c r="N221">
        <v>20</v>
      </c>
      <c r="O221">
        <v>336000</v>
      </c>
      <c r="P221">
        <v>1951.87</v>
      </c>
      <c r="Q221" t="s">
        <v>66</v>
      </c>
      <c r="R221" t="s">
        <v>29</v>
      </c>
      <c r="S221" t="s">
        <v>110</v>
      </c>
    </row>
    <row r="222" spans="1:19" x14ac:dyDescent="0.3">
      <c r="A222" t="s">
        <v>695</v>
      </c>
      <c r="B222" s="1">
        <v>45903</v>
      </c>
      <c r="C222" s="1">
        <v>45878</v>
      </c>
      <c r="D222" t="s">
        <v>613</v>
      </c>
      <c r="E222" t="s">
        <v>614</v>
      </c>
      <c r="F222" t="s">
        <v>55</v>
      </c>
      <c r="G222" t="s">
        <v>61</v>
      </c>
      <c r="H222" t="s">
        <v>211</v>
      </c>
      <c r="I222" t="s">
        <v>71</v>
      </c>
      <c r="J222" t="s">
        <v>72</v>
      </c>
      <c r="K222" t="s">
        <v>73</v>
      </c>
      <c r="L222">
        <v>1</v>
      </c>
      <c r="M222">
        <v>3500</v>
      </c>
      <c r="N222">
        <v>5</v>
      </c>
      <c r="O222">
        <v>3325</v>
      </c>
      <c r="P222">
        <v>904.36</v>
      </c>
      <c r="Q222" t="s">
        <v>28</v>
      </c>
      <c r="R222" t="s">
        <v>56</v>
      </c>
      <c r="S222" t="s">
        <v>40</v>
      </c>
    </row>
    <row r="223" spans="1:19" x14ac:dyDescent="0.3">
      <c r="A223" t="s">
        <v>696</v>
      </c>
      <c r="B223" s="1">
        <v>45760</v>
      </c>
      <c r="C223" t="s">
        <v>697</v>
      </c>
      <c r="D223" t="s">
        <v>182</v>
      </c>
      <c r="E223" t="s">
        <v>183</v>
      </c>
      <c r="F223" t="s">
        <v>55</v>
      </c>
      <c r="G223" t="s">
        <v>44</v>
      </c>
      <c r="H223" t="s">
        <v>45</v>
      </c>
      <c r="I223" t="s">
        <v>93</v>
      </c>
      <c r="J223" t="s">
        <v>94</v>
      </c>
      <c r="K223" t="s">
        <v>95</v>
      </c>
      <c r="L223">
        <v>1</v>
      </c>
      <c r="M223">
        <v>1800</v>
      </c>
      <c r="N223">
        <v>20</v>
      </c>
      <c r="O223">
        <v>1440</v>
      </c>
      <c r="P223">
        <v>497.08</v>
      </c>
      <c r="Q223" t="s">
        <v>28</v>
      </c>
      <c r="R223" t="s">
        <v>49</v>
      </c>
      <c r="S223" t="s">
        <v>50</v>
      </c>
    </row>
    <row r="224" spans="1:19" x14ac:dyDescent="0.3">
      <c r="A224" t="s">
        <v>698</v>
      </c>
      <c r="B224" s="1">
        <v>45947</v>
      </c>
      <c r="C224" s="2">
        <v>45952</v>
      </c>
      <c r="D224" t="s">
        <v>699</v>
      </c>
      <c r="E224" t="s">
        <v>700</v>
      </c>
      <c r="F224" t="s">
        <v>23</v>
      </c>
      <c r="G224" t="s">
        <v>35</v>
      </c>
      <c r="H224" t="s">
        <v>36</v>
      </c>
      <c r="I224" t="s">
        <v>71</v>
      </c>
      <c r="J224" t="s">
        <v>72</v>
      </c>
      <c r="K224" t="s">
        <v>73</v>
      </c>
      <c r="L224">
        <v>2</v>
      </c>
      <c r="M224">
        <v>3500</v>
      </c>
      <c r="N224">
        <v>5</v>
      </c>
      <c r="O224">
        <v>6650</v>
      </c>
      <c r="P224">
        <v>1955.03</v>
      </c>
      <c r="Q224" t="s">
        <v>39</v>
      </c>
      <c r="R224" t="s">
        <v>49</v>
      </c>
      <c r="S224" t="s">
        <v>86</v>
      </c>
    </row>
    <row r="225" spans="1:19" x14ac:dyDescent="0.3">
      <c r="A225" t="s">
        <v>701</v>
      </c>
      <c r="B225" s="1">
        <v>45365</v>
      </c>
      <c r="C225" s="1">
        <v>45369</v>
      </c>
      <c r="D225" t="s">
        <v>674</v>
      </c>
      <c r="E225" t="s">
        <v>675</v>
      </c>
      <c r="F225" t="s">
        <v>55</v>
      </c>
      <c r="G225" t="s">
        <v>91</v>
      </c>
      <c r="H225" t="s">
        <v>109</v>
      </c>
      <c r="I225" t="s">
        <v>134</v>
      </c>
      <c r="J225" t="s">
        <v>135</v>
      </c>
      <c r="K225" t="s">
        <v>27</v>
      </c>
      <c r="L225">
        <v>2</v>
      </c>
      <c r="M225">
        <v>6000</v>
      </c>
      <c r="N225">
        <v>0</v>
      </c>
      <c r="O225">
        <v>12000</v>
      </c>
      <c r="P225">
        <v>2341.2800000000002</v>
      </c>
      <c r="Q225" t="s">
        <v>156</v>
      </c>
      <c r="R225" t="s">
        <v>56</v>
      </c>
      <c r="S225" t="s">
        <v>30</v>
      </c>
    </row>
    <row r="226" spans="1:19" x14ac:dyDescent="0.3">
      <c r="A226" t="s">
        <v>702</v>
      </c>
      <c r="B226" t="s">
        <v>703</v>
      </c>
      <c r="C226" t="s">
        <v>704</v>
      </c>
      <c r="D226" t="s">
        <v>617</v>
      </c>
      <c r="E226" t="s">
        <v>618</v>
      </c>
      <c r="F226" t="s">
        <v>23</v>
      </c>
      <c r="G226" t="s">
        <v>91</v>
      </c>
      <c r="H226" t="s">
        <v>120</v>
      </c>
      <c r="I226" t="s">
        <v>93</v>
      </c>
      <c r="J226" t="s">
        <v>94</v>
      </c>
      <c r="K226" t="s">
        <v>95</v>
      </c>
      <c r="L226">
        <v>1</v>
      </c>
      <c r="M226">
        <v>1800</v>
      </c>
      <c r="N226">
        <v>0</v>
      </c>
      <c r="O226">
        <v>1800</v>
      </c>
      <c r="P226">
        <v>444.76</v>
      </c>
      <c r="Q226" t="s">
        <v>66</v>
      </c>
      <c r="R226" t="s">
        <v>49</v>
      </c>
      <c r="S226" t="s">
        <v>86</v>
      </c>
    </row>
    <row r="227" spans="1:19" x14ac:dyDescent="0.3">
      <c r="A227" t="s">
        <v>705</v>
      </c>
      <c r="B227" s="1">
        <v>45669</v>
      </c>
      <c r="C227" s="2">
        <v>45673</v>
      </c>
      <c r="D227" t="s">
        <v>227</v>
      </c>
      <c r="E227" t="s">
        <v>228</v>
      </c>
      <c r="F227" t="s">
        <v>23</v>
      </c>
      <c r="G227" t="s">
        <v>61</v>
      </c>
      <c r="I227" t="s">
        <v>126</v>
      </c>
      <c r="J227" t="s">
        <v>127</v>
      </c>
      <c r="K227" t="s">
        <v>95</v>
      </c>
      <c r="L227">
        <v>1</v>
      </c>
      <c r="M227">
        <v>600</v>
      </c>
      <c r="N227">
        <v>0</v>
      </c>
      <c r="O227">
        <v>600</v>
      </c>
      <c r="P227">
        <v>162.91999999999999</v>
      </c>
      <c r="Q227" t="s">
        <v>66</v>
      </c>
      <c r="R227" t="s">
        <v>56</v>
      </c>
      <c r="S227" t="s">
        <v>110</v>
      </c>
    </row>
    <row r="228" spans="1:19" x14ac:dyDescent="0.3">
      <c r="A228" t="s">
        <v>706</v>
      </c>
      <c r="B228" s="1">
        <v>45666</v>
      </c>
      <c r="C228" s="1">
        <v>45725</v>
      </c>
      <c r="D228" t="s">
        <v>550</v>
      </c>
      <c r="E228" t="s">
        <v>551</v>
      </c>
      <c r="F228" t="s">
        <v>55</v>
      </c>
      <c r="G228" t="s">
        <v>91</v>
      </c>
      <c r="H228" t="s">
        <v>109</v>
      </c>
      <c r="I228" t="s">
        <v>25</v>
      </c>
      <c r="J228" t="s">
        <v>26</v>
      </c>
      <c r="K228" t="s">
        <v>27</v>
      </c>
      <c r="L228">
        <v>2</v>
      </c>
      <c r="M228">
        <v>7000</v>
      </c>
      <c r="N228">
        <v>20</v>
      </c>
      <c r="O228">
        <v>11200</v>
      </c>
      <c r="P228">
        <v>2363.42</v>
      </c>
      <c r="Q228" t="s">
        <v>121</v>
      </c>
      <c r="R228" t="s">
        <v>56</v>
      </c>
      <c r="S228" t="s">
        <v>30</v>
      </c>
    </row>
    <row r="229" spans="1:19" x14ac:dyDescent="0.3">
      <c r="A229" t="s">
        <v>707</v>
      </c>
      <c r="B229" s="1">
        <v>45868</v>
      </c>
      <c r="C229" s="1">
        <v>45873</v>
      </c>
      <c r="D229" t="s">
        <v>291</v>
      </c>
      <c r="E229" t="s">
        <v>292</v>
      </c>
      <c r="F229" t="s">
        <v>55</v>
      </c>
      <c r="G229" t="s">
        <v>35</v>
      </c>
      <c r="H229" t="s">
        <v>187</v>
      </c>
      <c r="I229" t="s">
        <v>63</v>
      </c>
      <c r="J229" t="s">
        <v>64</v>
      </c>
      <c r="K229" t="s">
        <v>65</v>
      </c>
      <c r="L229">
        <v>3</v>
      </c>
      <c r="M229">
        <v>25000</v>
      </c>
      <c r="N229">
        <v>20</v>
      </c>
      <c r="O229">
        <v>60000</v>
      </c>
      <c r="P229">
        <v>8847.0300000000007</v>
      </c>
      <c r="Q229" t="s">
        <v>39</v>
      </c>
      <c r="R229" t="s">
        <v>29</v>
      </c>
      <c r="S229" t="s">
        <v>110</v>
      </c>
    </row>
    <row r="230" spans="1:19" x14ac:dyDescent="0.3">
      <c r="A230" t="s">
        <v>708</v>
      </c>
      <c r="B230" s="2">
        <v>45485</v>
      </c>
      <c r="C230" s="1">
        <v>45487</v>
      </c>
      <c r="D230" t="s">
        <v>89</v>
      </c>
      <c r="E230" t="s">
        <v>90</v>
      </c>
      <c r="F230" t="s">
        <v>23</v>
      </c>
      <c r="G230" t="s">
        <v>91</v>
      </c>
      <c r="H230" t="s">
        <v>92</v>
      </c>
      <c r="I230" t="s">
        <v>103</v>
      </c>
      <c r="J230" t="s">
        <v>104</v>
      </c>
      <c r="K230" t="s">
        <v>65</v>
      </c>
      <c r="L230">
        <v>3</v>
      </c>
      <c r="M230">
        <v>8000</v>
      </c>
      <c r="N230">
        <v>5</v>
      </c>
      <c r="O230">
        <v>22800</v>
      </c>
      <c r="P230">
        <v>5081.51</v>
      </c>
      <c r="Q230" t="s">
        <v>121</v>
      </c>
      <c r="R230" t="s">
        <v>49</v>
      </c>
      <c r="S230" t="s">
        <v>40</v>
      </c>
    </row>
    <row r="231" spans="1:19" x14ac:dyDescent="0.3">
      <c r="A231" t="s">
        <v>709</v>
      </c>
      <c r="B231" s="1">
        <v>45410</v>
      </c>
      <c r="C231" s="1">
        <v>45356</v>
      </c>
      <c r="D231" t="s">
        <v>520</v>
      </c>
      <c r="E231" t="s">
        <v>710</v>
      </c>
      <c r="F231" t="s">
        <v>23</v>
      </c>
      <c r="G231" t="s">
        <v>91</v>
      </c>
      <c r="H231" t="s">
        <v>109</v>
      </c>
      <c r="I231" t="s">
        <v>63</v>
      </c>
      <c r="J231" t="s">
        <v>64</v>
      </c>
      <c r="K231" t="s">
        <v>375</v>
      </c>
      <c r="L231">
        <v>4</v>
      </c>
      <c r="M231">
        <v>25000</v>
      </c>
      <c r="N231">
        <v>15</v>
      </c>
      <c r="O231">
        <v>85000</v>
      </c>
      <c r="P231">
        <v>9647.5400000000009</v>
      </c>
      <c r="Q231" t="s">
        <v>74</v>
      </c>
      <c r="R231" t="s">
        <v>49</v>
      </c>
      <c r="S231" t="s">
        <v>50</v>
      </c>
    </row>
    <row r="232" spans="1:19" x14ac:dyDescent="0.3">
      <c r="A232" t="s">
        <v>711</v>
      </c>
      <c r="B232" s="1">
        <v>45527</v>
      </c>
      <c r="C232" s="1">
        <v>45529</v>
      </c>
      <c r="D232" t="s">
        <v>261</v>
      </c>
      <c r="E232" t="s">
        <v>262</v>
      </c>
      <c r="F232" t="s">
        <v>23</v>
      </c>
      <c r="G232" t="s">
        <v>35</v>
      </c>
      <c r="H232" t="s">
        <v>85</v>
      </c>
      <c r="I232" t="s">
        <v>46</v>
      </c>
      <c r="J232" t="s">
        <v>47</v>
      </c>
      <c r="K232" t="s">
        <v>48</v>
      </c>
      <c r="L232">
        <v>1</v>
      </c>
      <c r="M232">
        <v>180</v>
      </c>
      <c r="N232">
        <v>5</v>
      </c>
      <c r="O232">
        <v>171</v>
      </c>
      <c r="P232">
        <v>62.37</v>
      </c>
      <c r="Q232" t="s">
        <v>28</v>
      </c>
      <c r="R232" t="s">
        <v>29</v>
      </c>
      <c r="S232" t="s">
        <v>30</v>
      </c>
    </row>
    <row r="233" spans="1:19" x14ac:dyDescent="0.3">
      <c r="A233" t="s">
        <v>712</v>
      </c>
      <c r="B233" t="s">
        <v>449</v>
      </c>
      <c r="C233" s="1">
        <v>45890</v>
      </c>
      <c r="D233" t="s">
        <v>713</v>
      </c>
      <c r="E233" t="s">
        <v>714</v>
      </c>
      <c r="F233" t="s">
        <v>34</v>
      </c>
      <c r="G233" t="s">
        <v>35</v>
      </c>
      <c r="H233" t="s">
        <v>258</v>
      </c>
      <c r="I233" t="s">
        <v>25</v>
      </c>
      <c r="J233" t="s">
        <v>26</v>
      </c>
      <c r="K233" t="s">
        <v>27</v>
      </c>
      <c r="L233">
        <v>2</v>
      </c>
      <c r="M233">
        <v>7000</v>
      </c>
      <c r="N233">
        <v>15</v>
      </c>
      <c r="O233">
        <v>11900</v>
      </c>
      <c r="P233">
        <v>2043.51</v>
      </c>
      <c r="Q233" t="s">
        <v>66</v>
      </c>
      <c r="R233" t="s">
        <v>49</v>
      </c>
      <c r="S233" t="s">
        <v>30</v>
      </c>
    </row>
    <row r="234" spans="1:19" x14ac:dyDescent="0.3">
      <c r="A234" t="s">
        <v>715</v>
      </c>
      <c r="B234" s="1">
        <v>45960</v>
      </c>
      <c r="C234" s="2">
        <v>45964</v>
      </c>
      <c r="D234" t="s">
        <v>716</v>
      </c>
      <c r="E234" t="s">
        <v>717</v>
      </c>
      <c r="F234" t="s">
        <v>23</v>
      </c>
      <c r="G234" t="s">
        <v>35</v>
      </c>
      <c r="H234" t="s">
        <v>85</v>
      </c>
      <c r="I234" t="s">
        <v>25</v>
      </c>
      <c r="J234" t="s">
        <v>26</v>
      </c>
      <c r="K234" t="s">
        <v>27</v>
      </c>
      <c r="L234">
        <v>3</v>
      </c>
      <c r="M234">
        <v>7000</v>
      </c>
      <c r="N234">
        <v>0</v>
      </c>
      <c r="O234">
        <v>21000</v>
      </c>
      <c r="P234">
        <v>4601.09</v>
      </c>
      <c r="Q234" t="s">
        <v>66</v>
      </c>
      <c r="R234" t="s">
        <v>29</v>
      </c>
      <c r="S234" t="s">
        <v>50</v>
      </c>
    </row>
    <row r="235" spans="1:19" x14ac:dyDescent="0.3">
      <c r="A235" t="s">
        <v>718</v>
      </c>
      <c r="B235" t="s">
        <v>719</v>
      </c>
      <c r="C235" s="1">
        <v>45653</v>
      </c>
      <c r="D235" t="s">
        <v>308</v>
      </c>
      <c r="E235" t="s">
        <v>309</v>
      </c>
      <c r="F235" t="s">
        <v>34</v>
      </c>
      <c r="G235" t="s">
        <v>91</v>
      </c>
      <c r="H235" t="s">
        <v>177</v>
      </c>
      <c r="I235" t="s">
        <v>46</v>
      </c>
      <c r="J235" t="s">
        <v>47</v>
      </c>
      <c r="K235" t="s">
        <v>48</v>
      </c>
      <c r="L235">
        <v>2</v>
      </c>
      <c r="M235">
        <v>180</v>
      </c>
      <c r="N235">
        <v>15</v>
      </c>
      <c r="O235">
        <v>306</v>
      </c>
      <c r="P235">
        <v>101.84</v>
      </c>
      <c r="Q235" t="s">
        <v>121</v>
      </c>
      <c r="R235" t="s">
        <v>29</v>
      </c>
      <c r="S235" t="s">
        <v>50</v>
      </c>
    </row>
    <row r="236" spans="1:19" x14ac:dyDescent="0.3">
      <c r="A236" t="s">
        <v>720</v>
      </c>
      <c r="B236" s="2">
        <v>45309</v>
      </c>
      <c r="C236" s="2">
        <v>45312</v>
      </c>
      <c r="D236" t="s">
        <v>721</v>
      </c>
      <c r="E236" t="s">
        <v>722</v>
      </c>
      <c r="F236" t="s">
        <v>34</v>
      </c>
      <c r="G236" t="s">
        <v>35</v>
      </c>
      <c r="H236" t="s">
        <v>258</v>
      </c>
      <c r="I236" t="s">
        <v>103</v>
      </c>
      <c r="J236" t="s">
        <v>104</v>
      </c>
      <c r="K236" t="s">
        <v>65</v>
      </c>
      <c r="L236">
        <v>2</v>
      </c>
      <c r="M236">
        <v>8000</v>
      </c>
      <c r="N236">
        <v>20</v>
      </c>
      <c r="O236">
        <v>12800</v>
      </c>
      <c r="P236">
        <v>2757.48</v>
      </c>
      <c r="Q236" t="s">
        <v>66</v>
      </c>
      <c r="R236" t="s">
        <v>49</v>
      </c>
      <c r="S236" t="s">
        <v>110</v>
      </c>
    </row>
    <row r="237" spans="1:19" x14ac:dyDescent="0.3">
      <c r="A237" t="s">
        <v>723</v>
      </c>
      <c r="B237" s="2">
        <v>45512</v>
      </c>
      <c r="C237" s="1">
        <v>45520</v>
      </c>
      <c r="D237" t="s">
        <v>291</v>
      </c>
      <c r="E237" t="s">
        <v>292</v>
      </c>
      <c r="F237" t="s">
        <v>55</v>
      </c>
      <c r="G237" t="s">
        <v>35</v>
      </c>
      <c r="H237" t="s">
        <v>187</v>
      </c>
      <c r="I237" t="s">
        <v>71</v>
      </c>
      <c r="J237" t="s">
        <v>72</v>
      </c>
      <c r="K237" t="s">
        <v>73</v>
      </c>
      <c r="L237">
        <v>-2</v>
      </c>
      <c r="M237">
        <v>3500</v>
      </c>
      <c r="N237">
        <v>0</v>
      </c>
      <c r="O237">
        <v>7000</v>
      </c>
      <c r="P237">
        <v>1938.78</v>
      </c>
      <c r="Q237" t="s">
        <v>28</v>
      </c>
      <c r="R237" t="s">
        <v>49</v>
      </c>
      <c r="S237" t="s">
        <v>86</v>
      </c>
    </row>
    <row r="238" spans="1:19" x14ac:dyDescent="0.3">
      <c r="A238" t="s">
        <v>724</v>
      </c>
      <c r="B238" s="2">
        <v>45419</v>
      </c>
      <c r="C238" s="1">
        <v>45570</v>
      </c>
      <c r="D238" t="s">
        <v>220</v>
      </c>
      <c r="E238" t="s">
        <v>221</v>
      </c>
      <c r="F238" t="s">
        <v>34</v>
      </c>
      <c r="G238" t="s">
        <v>44</v>
      </c>
      <c r="H238" t="s">
        <v>161</v>
      </c>
      <c r="I238" t="s">
        <v>46</v>
      </c>
      <c r="J238" t="s">
        <v>47</v>
      </c>
      <c r="K238" t="s">
        <v>48</v>
      </c>
      <c r="M238">
        <v>180</v>
      </c>
      <c r="N238">
        <v>10</v>
      </c>
      <c r="O238">
        <v>486</v>
      </c>
      <c r="P238">
        <v>219.65</v>
      </c>
      <c r="Q238" t="s">
        <v>121</v>
      </c>
      <c r="R238" t="s">
        <v>56</v>
      </c>
      <c r="S238" t="s">
        <v>50</v>
      </c>
    </row>
    <row r="239" spans="1:19" x14ac:dyDescent="0.3">
      <c r="A239" t="s">
        <v>725</v>
      </c>
      <c r="B239" s="1">
        <v>45382</v>
      </c>
      <c r="C239" s="2">
        <v>45388</v>
      </c>
      <c r="D239" t="s">
        <v>726</v>
      </c>
      <c r="E239" t="s">
        <v>727</v>
      </c>
      <c r="F239" t="s">
        <v>34</v>
      </c>
      <c r="G239" t="s">
        <v>35</v>
      </c>
      <c r="H239" t="s">
        <v>258</v>
      </c>
      <c r="I239" t="s">
        <v>126</v>
      </c>
      <c r="J239" t="s">
        <v>127</v>
      </c>
      <c r="K239" t="s">
        <v>95</v>
      </c>
      <c r="L239">
        <v>4</v>
      </c>
      <c r="M239">
        <v>600</v>
      </c>
      <c r="N239">
        <v>15</v>
      </c>
      <c r="O239">
        <v>2040</v>
      </c>
      <c r="P239">
        <v>740.81</v>
      </c>
      <c r="Q239" t="s">
        <v>28</v>
      </c>
      <c r="R239" t="s">
        <v>29</v>
      </c>
      <c r="S239" t="s">
        <v>110</v>
      </c>
    </row>
    <row r="240" spans="1:19" x14ac:dyDescent="0.3">
      <c r="A240" t="s">
        <v>728</v>
      </c>
      <c r="B240" s="1">
        <v>45799</v>
      </c>
      <c r="C240" s="1">
        <v>45804</v>
      </c>
      <c r="D240" t="s">
        <v>247</v>
      </c>
      <c r="E240" t="s">
        <v>248</v>
      </c>
      <c r="F240" t="s">
        <v>34</v>
      </c>
      <c r="G240" t="s">
        <v>61</v>
      </c>
      <c r="H240" t="s">
        <v>78</v>
      </c>
      <c r="I240" t="s">
        <v>134</v>
      </c>
      <c r="J240" t="s">
        <v>135</v>
      </c>
      <c r="K240" t="s">
        <v>27</v>
      </c>
      <c r="L240">
        <v>1</v>
      </c>
      <c r="M240">
        <v>6000</v>
      </c>
      <c r="N240">
        <v>15</v>
      </c>
      <c r="O240">
        <v>5100</v>
      </c>
      <c r="P240">
        <v>1327.86</v>
      </c>
      <c r="Q240" t="s">
        <v>66</v>
      </c>
      <c r="R240" t="s">
        <v>29</v>
      </c>
      <c r="S240" t="s">
        <v>110</v>
      </c>
    </row>
    <row r="241" spans="1:19" x14ac:dyDescent="0.3">
      <c r="A241" t="s">
        <v>729</v>
      </c>
      <c r="B241" t="s">
        <v>730</v>
      </c>
      <c r="C241" s="1">
        <v>45455</v>
      </c>
      <c r="D241" t="s">
        <v>731</v>
      </c>
      <c r="E241" t="s">
        <v>732</v>
      </c>
      <c r="F241" t="s">
        <v>34</v>
      </c>
      <c r="G241" t="s">
        <v>44</v>
      </c>
      <c r="H241" t="s">
        <v>155</v>
      </c>
      <c r="I241" t="s">
        <v>63</v>
      </c>
      <c r="J241" t="s">
        <v>64</v>
      </c>
      <c r="K241" t="s">
        <v>65</v>
      </c>
      <c r="L241">
        <v>3</v>
      </c>
      <c r="M241">
        <v>25000</v>
      </c>
      <c r="N241">
        <v>10</v>
      </c>
      <c r="O241">
        <v>67500</v>
      </c>
      <c r="P241">
        <v>10882.06</v>
      </c>
      <c r="Q241" t="s">
        <v>121</v>
      </c>
      <c r="R241" t="s">
        <v>56</v>
      </c>
      <c r="S241" t="s">
        <v>110</v>
      </c>
    </row>
    <row r="242" spans="1:19" x14ac:dyDescent="0.3">
      <c r="A242" t="s">
        <v>733</v>
      </c>
      <c r="B242" s="1">
        <v>45821</v>
      </c>
      <c r="C242" s="2">
        <v>45826</v>
      </c>
      <c r="D242" t="s">
        <v>457</v>
      </c>
      <c r="E242" t="s">
        <v>458</v>
      </c>
      <c r="F242" t="s">
        <v>55</v>
      </c>
      <c r="G242" t="s">
        <v>44</v>
      </c>
      <c r="H242" t="s">
        <v>24</v>
      </c>
      <c r="I242" t="s">
        <v>126</v>
      </c>
      <c r="J242" t="s">
        <v>127</v>
      </c>
      <c r="K242" t="s">
        <v>95</v>
      </c>
      <c r="L242">
        <v>2</v>
      </c>
      <c r="M242">
        <v>600</v>
      </c>
      <c r="N242">
        <v>0</v>
      </c>
      <c r="O242">
        <v>1200</v>
      </c>
      <c r="P242">
        <v>462.44</v>
      </c>
      <c r="Q242" t="s">
        <v>74</v>
      </c>
      <c r="R242" t="s">
        <v>56</v>
      </c>
      <c r="S242" t="s">
        <v>40</v>
      </c>
    </row>
    <row r="243" spans="1:19" x14ac:dyDescent="0.3">
      <c r="A243" t="s">
        <v>734</v>
      </c>
      <c r="B243" s="1">
        <v>45678</v>
      </c>
      <c r="C243" s="1">
        <v>45686</v>
      </c>
      <c r="D243" t="s">
        <v>735</v>
      </c>
      <c r="E243" t="s">
        <v>736</v>
      </c>
      <c r="F243" t="s">
        <v>23</v>
      </c>
      <c r="G243" t="s">
        <v>44</v>
      </c>
      <c r="H243" t="s">
        <v>24</v>
      </c>
      <c r="I243" t="s">
        <v>37</v>
      </c>
      <c r="J243" t="s">
        <v>38</v>
      </c>
      <c r="K243" t="s">
        <v>27</v>
      </c>
      <c r="L243">
        <v>2</v>
      </c>
      <c r="M243">
        <v>9500</v>
      </c>
      <c r="N243">
        <v>0</v>
      </c>
      <c r="O243">
        <v>19000</v>
      </c>
      <c r="P243">
        <v>3530.26</v>
      </c>
      <c r="Q243" t="s">
        <v>66</v>
      </c>
      <c r="R243" t="s">
        <v>56</v>
      </c>
      <c r="S243" t="s">
        <v>50</v>
      </c>
    </row>
    <row r="244" spans="1:19" x14ac:dyDescent="0.3">
      <c r="A244" t="s">
        <v>737</v>
      </c>
      <c r="B244" s="1">
        <v>45550</v>
      </c>
      <c r="C244" s="1">
        <v>45553</v>
      </c>
      <c r="D244" t="s">
        <v>301</v>
      </c>
      <c r="E244" t="s">
        <v>302</v>
      </c>
      <c r="F244" t="s">
        <v>34</v>
      </c>
      <c r="G244" t="s">
        <v>44</v>
      </c>
      <c r="H244" t="s">
        <v>24</v>
      </c>
      <c r="I244" t="s">
        <v>25</v>
      </c>
      <c r="J244" t="s">
        <v>26</v>
      </c>
      <c r="K244" t="s">
        <v>27</v>
      </c>
      <c r="L244">
        <v>3</v>
      </c>
      <c r="M244">
        <v>7000</v>
      </c>
      <c r="N244">
        <v>15</v>
      </c>
      <c r="O244">
        <v>17850</v>
      </c>
      <c r="P244">
        <v>4263.8</v>
      </c>
      <c r="Q244" t="s">
        <v>74</v>
      </c>
      <c r="R244" t="s">
        <v>29</v>
      </c>
      <c r="S244" t="s">
        <v>40</v>
      </c>
    </row>
    <row r="245" spans="1:19" x14ac:dyDescent="0.3">
      <c r="A245" t="s">
        <v>738</v>
      </c>
      <c r="B245" s="1">
        <v>45411</v>
      </c>
      <c r="C245" s="1">
        <v>45416</v>
      </c>
      <c r="D245" t="s">
        <v>657</v>
      </c>
      <c r="E245" t="s">
        <v>658</v>
      </c>
      <c r="F245" t="s">
        <v>34</v>
      </c>
      <c r="G245" t="s">
        <v>91</v>
      </c>
      <c r="H245" t="s">
        <v>120</v>
      </c>
      <c r="I245" t="s">
        <v>25</v>
      </c>
      <c r="J245" t="s">
        <v>26</v>
      </c>
      <c r="K245" t="s">
        <v>27</v>
      </c>
      <c r="L245">
        <v>1</v>
      </c>
      <c r="M245">
        <v>7000</v>
      </c>
      <c r="N245">
        <v>0</v>
      </c>
      <c r="O245">
        <v>7000</v>
      </c>
      <c r="P245">
        <v>1385.51</v>
      </c>
      <c r="Q245" t="s">
        <v>156</v>
      </c>
      <c r="R245" t="s">
        <v>49</v>
      </c>
      <c r="S245" t="s">
        <v>30</v>
      </c>
    </row>
    <row r="246" spans="1:19" x14ac:dyDescent="0.3">
      <c r="A246" t="s">
        <v>739</v>
      </c>
      <c r="B246" s="1">
        <v>45474</v>
      </c>
      <c r="C246" s="1">
        <v>45303</v>
      </c>
      <c r="D246" t="s">
        <v>740</v>
      </c>
      <c r="E246" t="s">
        <v>741</v>
      </c>
      <c r="F246" t="s">
        <v>55</v>
      </c>
      <c r="G246" t="s">
        <v>35</v>
      </c>
      <c r="H246" t="s">
        <v>85</v>
      </c>
      <c r="I246" t="s">
        <v>79</v>
      </c>
      <c r="J246" t="s">
        <v>80</v>
      </c>
      <c r="K246" t="s">
        <v>65</v>
      </c>
      <c r="L246">
        <v>4</v>
      </c>
      <c r="M246">
        <v>3000</v>
      </c>
      <c r="N246">
        <v>0</v>
      </c>
      <c r="O246">
        <v>12000</v>
      </c>
      <c r="Q246" t="s">
        <v>74</v>
      </c>
      <c r="R246" t="s">
        <v>56</v>
      </c>
      <c r="S246" t="s">
        <v>50</v>
      </c>
    </row>
    <row r="247" spans="1:19" x14ac:dyDescent="0.3">
      <c r="A247" t="s">
        <v>742</v>
      </c>
      <c r="B247" s="2">
        <v>45618</v>
      </c>
      <c r="C247" s="1">
        <v>45619</v>
      </c>
      <c r="D247" t="s">
        <v>346</v>
      </c>
      <c r="E247" t="s">
        <v>347</v>
      </c>
      <c r="F247" t="s">
        <v>23</v>
      </c>
      <c r="G247" t="s">
        <v>44</v>
      </c>
      <c r="H247" t="s">
        <v>155</v>
      </c>
      <c r="I247" t="s">
        <v>25</v>
      </c>
      <c r="J247" t="s">
        <v>26</v>
      </c>
      <c r="K247" t="s">
        <v>27</v>
      </c>
      <c r="L247">
        <v>-2</v>
      </c>
      <c r="M247">
        <v>7000</v>
      </c>
      <c r="N247">
        <v>0</v>
      </c>
      <c r="O247">
        <v>14000</v>
      </c>
      <c r="P247">
        <v>2882.43</v>
      </c>
      <c r="Q247" t="s">
        <v>28</v>
      </c>
      <c r="R247" t="s">
        <v>49</v>
      </c>
      <c r="S247" t="s">
        <v>30</v>
      </c>
    </row>
    <row r="248" spans="1:19" x14ac:dyDescent="0.3">
      <c r="A248" t="s">
        <v>743</v>
      </c>
      <c r="B248" s="1">
        <v>45300</v>
      </c>
      <c r="C248" s="1">
        <v>45302</v>
      </c>
      <c r="D248" t="s">
        <v>435</v>
      </c>
      <c r="E248" t="s">
        <v>744</v>
      </c>
      <c r="F248" t="s">
        <v>23</v>
      </c>
      <c r="G248" t="s">
        <v>44</v>
      </c>
      <c r="H248" t="s">
        <v>24</v>
      </c>
      <c r="I248" t="s">
        <v>71</v>
      </c>
      <c r="J248" t="s">
        <v>72</v>
      </c>
      <c r="K248" t="s">
        <v>73</v>
      </c>
      <c r="L248">
        <v>1</v>
      </c>
      <c r="M248">
        <v>3500</v>
      </c>
      <c r="N248">
        <v>0</v>
      </c>
      <c r="O248">
        <v>3500</v>
      </c>
      <c r="P248">
        <v>953.98</v>
      </c>
      <c r="R248" t="s">
        <v>49</v>
      </c>
      <c r="S248" t="s">
        <v>40</v>
      </c>
    </row>
    <row r="249" spans="1:19" x14ac:dyDescent="0.3">
      <c r="A249" t="s">
        <v>745</v>
      </c>
      <c r="B249" t="s">
        <v>746</v>
      </c>
      <c r="C249" s="1">
        <v>45597</v>
      </c>
      <c r="D249" t="s">
        <v>42</v>
      </c>
      <c r="E249" t="s">
        <v>43</v>
      </c>
      <c r="F249" t="s">
        <v>23</v>
      </c>
      <c r="G249" t="s">
        <v>44</v>
      </c>
      <c r="H249" t="s">
        <v>45</v>
      </c>
      <c r="I249" t="s">
        <v>114</v>
      </c>
      <c r="J249" t="s">
        <v>115</v>
      </c>
      <c r="K249" t="s">
        <v>65</v>
      </c>
      <c r="L249">
        <v>2</v>
      </c>
      <c r="M249">
        <v>55000</v>
      </c>
      <c r="N249">
        <v>10</v>
      </c>
      <c r="O249">
        <v>99000</v>
      </c>
      <c r="P249">
        <v>17833.990000000002</v>
      </c>
      <c r="Q249" t="s">
        <v>39</v>
      </c>
      <c r="R249" t="s">
        <v>56</v>
      </c>
      <c r="S249" t="s">
        <v>50</v>
      </c>
    </row>
    <row r="250" spans="1:19" x14ac:dyDescent="0.3">
      <c r="A250" t="s">
        <v>747</v>
      </c>
      <c r="B250" s="1">
        <v>45311</v>
      </c>
      <c r="C250" s="1">
        <v>45319</v>
      </c>
      <c r="D250" t="s">
        <v>748</v>
      </c>
      <c r="E250" t="s">
        <v>749</v>
      </c>
      <c r="F250" t="s">
        <v>55</v>
      </c>
      <c r="G250" t="s">
        <v>91</v>
      </c>
      <c r="H250" t="s">
        <v>92</v>
      </c>
      <c r="I250" t="s">
        <v>37</v>
      </c>
      <c r="J250" t="s">
        <v>38</v>
      </c>
      <c r="K250" t="s">
        <v>27</v>
      </c>
      <c r="L250">
        <v>2</v>
      </c>
      <c r="M250">
        <v>9500</v>
      </c>
      <c r="N250">
        <v>0</v>
      </c>
      <c r="O250">
        <v>19000</v>
      </c>
      <c r="P250">
        <v>3793.71</v>
      </c>
      <c r="Q250" t="s">
        <v>156</v>
      </c>
      <c r="R250" t="s">
        <v>56</v>
      </c>
      <c r="S250" t="s">
        <v>30</v>
      </c>
    </row>
    <row r="251" spans="1:19" x14ac:dyDescent="0.3">
      <c r="A251" t="s">
        <v>750</v>
      </c>
      <c r="B251" s="2">
        <v>45920</v>
      </c>
      <c r="C251" s="2">
        <v>45923</v>
      </c>
      <c r="D251" t="s">
        <v>751</v>
      </c>
      <c r="E251" t="s">
        <v>752</v>
      </c>
      <c r="F251" t="s">
        <v>23</v>
      </c>
      <c r="G251" t="s">
        <v>35</v>
      </c>
      <c r="H251" t="s">
        <v>85</v>
      </c>
      <c r="I251" t="s">
        <v>71</v>
      </c>
      <c r="J251" t="s">
        <v>72</v>
      </c>
      <c r="K251" t="s">
        <v>73</v>
      </c>
      <c r="L251">
        <v>3</v>
      </c>
      <c r="M251">
        <v>3500</v>
      </c>
      <c r="N251">
        <v>0</v>
      </c>
      <c r="O251">
        <v>10500</v>
      </c>
      <c r="P251">
        <v>3246.47</v>
      </c>
      <c r="Q251" t="s">
        <v>28</v>
      </c>
      <c r="R251" t="s">
        <v>49</v>
      </c>
      <c r="S251" t="s">
        <v>110</v>
      </c>
    </row>
    <row r="252" spans="1:19" x14ac:dyDescent="0.3">
      <c r="A252" t="s">
        <v>753</v>
      </c>
      <c r="B252" s="2">
        <v>45367</v>
      </c>
      <c r="C252" t="s">
        <v>754</v>
      </c>
      <c r="D252" t="s">
        <v>755</v>
      </c>
      <c r="E252" t="s">
        <v>756</v>
      </c>
      <c r="F252" t="s">
        <v>34</v>
      </c>
      <c r="G252" t="s">
        <v>44</v>
      </c>
      <c r="H252" t="s">
        <v>161</v>
      </c>
      <c r="I252" t="s">
        <v>79</v>
      </c>
      <c r="J252" t="s">
        <v>80</v>
      </c>
      <c r="K252" t="s">
        <v>65</v>
      </c>
      <c r="L252">
        <v>1</v>
      </c>
      <c r="M252">
        <v>3000</v>
      </c>
      <c r="N252">
        <v>0</v>
      </c>
      <c r="O252">
        <v>3000</v>
      </c>
      <c r="P252">
        <v>877.58</v>
      </c>
      <c r="Q252" t="s">
        <v>156</v>
      </c>
      <c r="R252" t="s">
        <v>49</v>
      </c>
      <c r="S252" t="s">
        <v>30</v>
      </c>
    </row>
    <row r="253" spans="1:19" x14ac:dyDescent="0.3">
      <c r="A253" t="s">
        <v>757</v>
      </c>
      <c r="B253" s="1">
        <v>45422</v>
      </c>
      <c r="C253" s="2">
        <v>45428</v>
      </c>
      <c r="D253" t="s">
        <v>592</v>
      </c>
      <c r="E253" t="s">
        <v>593</v>
      </c>
      <c r="F253" t="s">
        <v>55</v>
      </c>
      <c r="G253" t="s">
        <v>35</v>
      </c>
      <c r="H253" t="s">
        <v>258</v>
      </c>
      <c r="I253" t="s">
        <v>114</v>
      </c>
      <c r="J253" t="s">
        <v>115</v>
      </c>
      <c r="K253" t="s">
        <v>65</v>
      </c>
      <c r="L253">
        <v>1</v>
      </c>
      <c r="M253">
        <v>55000</v>
      </c>
      <c r="N253">
        <v>5</v>
      </c>
      <c r="O253">
        <v>52250</v>
      </c>
      <c r="P253">
        <v>8513.8799999999992</v>
      </c>
      <c r="Q253" t="s">
        <v>74</v>
      </c>
      <c r="R253" t="s">
        <v>56</v>
      </c>
      <c r="S253" t="s">
        <v>40</v>
      </c>
    </row>
    <row r="254" spans="1:19" x14ac:dyDescent="0.3">
      <c r="A254" t="s">
        <v>758</v>
      </c>
      <c r="B254" t="s">
        <v>759</v>
      </c>
      <c r="C254" s="1">
        <v>45687</v>
      </c>
      <c r="D254" t="s">
        <v>613</v>
      </c>
      <c r="E254" t="s">
        <v>614</v>
      </c>
      <c r="F254" t="s">
        <v>55</v>
      </c>
      <c r="G254" t="s">
        <v>61</v>
      </c>
      <c r="H254" t="s">
        <v>211</v>
      </c>
      <c r="I254" t="s">
        <v>147</v>
      </c>
      <c r="J254" t="s">
        <v>148</v>
      </c>
      <c r="K254" t="s">
        <v>48</v>
      </c>
      <c r="L254">
        <v>2</v>
      </c>
      <c r="M254">
        <v>250</v>
      </c>
      <c r="N254">
        <v>5</v>
      </c>
      <c r="O254">
        <v>475</v>
      </c>
      <c r="P254">
        <v>199.88</v>
      </c>
      <c r="Q254" t="s">
        <v>74</v>
      </c>
      <c r="R254" t="s">
        <v>56</v>
      </c>
      <c r="S254" t="s">
        <v>86</v>
      </c>
    </row>
    <row r="255" spans="1:19" x14ac:dyDescent="0.3">
      <c r="A255" t="s">
        <v>760</v>
      </c>
      <c r="B255" s="1">
        <v>45601</v>
      </c>
      <c r="C255" s="1">
        <v>45631</v>
      </c>
      <c r="D255" t="s">
        <v>761</v>
      </c>
      <c r="E255" t="s">
        <v>762</v>
      </c>
      <c r="F255" t="s">
        <v>23</v>
      </c>
      <c r="G255" t="s">
        <v>44</v>
      </c>
      <c r="H255" t="s">
        <v>330</v>
      </c>
      <c r="I255" t="s">
        <v>37</v>
      </c>
      <c r="J255" t="s">
        <v>38</v>
      </c>
      <c r="K255" t="s">
        <v>27</v>
      </c>
      <c r="L255">
        <v>2</v>
      </c>
      <c r="M255">
        <v>9500</v>
      </c>
      <c r="N255">
        <v>5</v>
      </c>
      <c r="O255">
        <v>18050</v>
      </c>
      <c r="P255">
        <v>3518.02</v>
      </c>
      <c r="Q255" t="s">
        <v>28</v>
      </c>
      <c r="R255" t="s">
        <v>56</v>
      </c>
      <c r="S255" t="s">
        <v>30</v>
      </c>
    </row>
    <row r="256" spans="1:19" x14ac:dyDescent="0.3">
      <c r="A256" t="s">
        <v>763</v>
      </c>
      <c r="B256" s="1">
        <v>45984</v>
      </c>
      <c r="C256" s="1">
        <v>45992</v>
      </c>
      <c r="D256" t="s">
        <v>764</v>
      </c>
      <c r="E256" t="s">
        <v>765</v>
      </c>
      <c r="F256" t="s">
        <v>34</v>
      </c>
      <c r="G256" t="s">
        <v>91</v>
      </c>
      <c r="H256" t="s">
        <v>120</v>
      </c>
      <c r="I256" t="s">
        <v>37</v>
      </c>
      <c r="J256" t="s">
        <v>38</v>
      </c>
      <c r="K256" t="s">
        <v>27</v>
      </c>
      <c r="L256">
        <v>10</v>
      </c>
      <c r="M256">
        <v>9500</v>
      </c>
      <c r="N256">
        <v>10</v>
      </c>
      <c r="O256">
        <v>85500</v>
      </c>
      <c r="P256">
        <v>13918.91</v>
      </c>
      <c r="Q256" t="s">
        <v>121</v>
      </c>
      <c r="R256" t="s">
        <v>56</v>
      </c>
      <c r="S256" t="s">
        <v>50</v>
      </c>
    </row>
    <row r="257" spans="1:19" x14ac:dyDescent="0.3">
      <c r="A257" t="s">
        <v>766</v>
      </c>
      <c r="B257" s="2">
        <v>45343</v>
      </c>
      <c r="C257" s="1">
        <v>45350</v>
      </c>
      <c r="D257" t="s">
        <v>767</v>
      </c>
      <c r="E257" t="s">
        <v>768</v>
      </c>
      <c r="F257" t="s">
        <v>23</v>
      </c>
      <c r="G257" t="s">
        <v>35</v>
      </c>
      <c r="H257" t="s">
        <v>258</v>
      </c>
      <c r="I257" t="s">
        <v>147</v>
      </c>
      <c r="J257" t="s">
        <v>148</v>
      </c>
      <c r="K257" t="s">
        <v>48</v>
      </c>
      <c r="L257">
        <v>1</v>
      </c>
      <c r="M257">
        <v>250</v>
      </c>
      <c r="N257">
        <v>10</v>
      </c>
      <c r="O257">
        <v>225</v>
      </c>
      <c r="P257">
        <v>78.59</v>
      </c>
      <c r="Q257" t="s">
        <v>28</v>
      </c>
      <c r="R257" t="s">
        <v>29</v>
      </c>
      <c r="S257" t="s">
        <v>30</v>
      </c>
    </row>
    <row r="258" spans="1:19" x14ac:dyDescent="0.3">
      <c r="A258" t="s">
        <v>769</v>
      </c>
      <c r="B258" s="1">
        <v>45963</v>
      </c>
      <c r="C258" s="1">
        <v>45971</v>
      </c>
      <c r="D258" t="s">
        <v>770</v>
      </c>
      <c r="E258" t="s">
        <v>771</v>
      </c>
      <c r="F258" t="s">
        <v>34</v>
      </c>
      <c r="G258" t="s">
        <v>44</v>
      </c>
      <c r="H258" t="s">
        <v>161</v>
      </c>
      <c r="I258" t="s">
        <v>79</v>
      </c>
      <c r="J258" t="s">
        <v>80</v>
      </c>
      <c r="K258" t="s">
        <v>65</v>
      </c>
      <c r="L258">
        <v>3</v>
      </c>
      <c r="M258">
        <v>3000</v>
      </c>
      <c r="N258">
        <v>20</v>
      </c>
      <c r="O258">
        <v>7200</v>
      </c>
      <c r="P258">
        <v>2080.27</v>
      </c>
      <c r="Q258" t="s">
        <v>74</v>
      </c>
      <c r="R258" t="s">
        <v>56</v>
      </c>
      <c r="S258" t="s">
        <v>40</v>
      </c>
    </row>
    <row r="259" spans="1:19" x14ac:dyDescent="0.3">
      <c r="A259" t="s">
        <v>772</v>
      </c>
      <c r="B259" s="2">
        <v>45935</v>
      </c>
      <c r="C259" s="1">
        <v>45971</v>
      </c>
      <c r="D259" t="s">
        <v>356</v>
      </c>
      <c r="E259" t="s">
        <v>357</v>
      </c>
      <c r="F259" t="s">
        <v>23</v>
      </c>
      <c r="G259" t="s">
        <v>91</v>
      </c>
      <c r="H259" t="s">
        <v>120</v>
      </c>
      <c r="I259" t="s">
        <v>63</v>
      </c>
      <c r="J259" t="s">
        <v>64</v>
      </c>
      <c r="K259" t="s">
        <v>65</v>
      </c>
      <c r="L259">
        <v>2</v>
      </c>
      <c r="M259">
        <v>25000</v>
      </c>
      <c r="N259">
        <v>5</v>
      </c>
      <c r="O259">
        <v>47500</v>
      </c>
      <c r="P259">
        <v>5476.62</v>
      </c>
      <c r="Q259" t="s">
        <v>156</v>
      </c>
      <c r="R259" t="s">
        <v>49</v>
      </c>
      <c r="S259" t="s">
        <v>40</v>
      </c>
    </row>
    <row r="260" spans="1:19" x14ac:dyDescent="0.3">
      <c r="A260" t="s">
        <v>773</v>
      </c>
      <c r="B260" s="1">
        <v>45809</v>
      </c>
      <c r="C260" s="2">
        <v>45667</v>
      </c>
      <c r="D260" t="s">
        <v>774</v>
      </c>
      <c r="E260" t="s">
        <v>775</v>
      </c>
      <c r="F260" t="s">
        <v>55</v>
      </c>
      <c r="G260" t="s">
        <v>61</v>
      </c>
      <c r="H260" t="s">
        <v>211</v>
      </c>
      <c r="I260" t="s">
        <v>63</v>
      </c>
      <c r="J260" t="s">
        <v>64</v>
      </c>
      <c r="K260" t="s">
        <v>65</v>
      </c>
      <c r="L260">
        <v>2</v>
      </c>
      <c r="M260">
        <v>25000</v>
      </c>
      <c r="N260">
        <v>20</v>
      </c>
      <c r="O260">
        <v>40000</v>
      </c>
      <c r="P260">
        <v>5005.13</v>
      </c>
      <c r="Q260" t="s">
        <v>74</v>
      </c>
      <c r="R260" t="s">
        <v>29</v>
      </c>
      <c r="S260" t="s">
        <v>40</v>
      </c>
    </row>
    <row r="261" spans="1:19" x14ac:dyDescent="0.3">
      <c r="A261" t="s">
        <v>776</v>
      </c>
      <c r="B261" t="s">
        <v>777</v>
      </c>
      <c r="C261" t="s">
        <v>778</v>
      </c>
      <c r="D261" t="s">
        <v>779</v>
      </c>
      <c r="E261" t="s">
        <v>780</v>
      </c>
      <c r="F261" t="s">
        <v>23</v>
      </c>
      <c r="G261" t="s">
        <v>35</v>
      </c>
      <c r="H261" t="s">
        <v>258</v>
      </c>
      <c r="I261" t="s">
        <v>71</v>
      </c>
      <c r="J261" t="s">
        <v>72</v>
      </c>
      <c r="K261" t="s">
        <v>73</v>
      </c>
      <c r="L261">
        <v>1</v>
      </c>
      <c r="M261">
        <v>3500</v>
      </c>
      <c r="N261">
        <v>0</v>
      </c>
      <c r="O261">
        <v>3500</v>
      </c>
      <c r="P261">
        <v>944.27</v>
      </c>
      <c r="Q261" t="s">
        <v>74</v>
      </c>
      <c r="R261" t="s">
        <v>56</v>
      </c>
      <c r="S261" t="s">
        <v>40</v>
      </c>
    </row>
    <row r="262" spans="1:19" x14ac:dyDescent="0.3">
      <c r="A262" t="s">
        <v>781</v>
      </c>
      <c r="B262" s="1">
        <v>45947</v>
      </c>
      <c r="C262" t="s">
        <v>782</v>
      </c>
      <c r="D262" t="s">
        <v>200</v>
      </c>
      <c r="E262" t="s">
        <v>201</v>
      </c>
      <c r="F262" t="s">
        <v>23</v>
      </c>
      <c r="G262" t="s">
        <v>35</v>
      </c>
      <c r="H262" t="s">
        <v>187</v>
      </c>
      <c r="I262" t="s">
        <v>46</v>
      </c>
      <c r="J262" t="s">
        <v>47</v>
      </c>
      <c r="K262" t="s">
        <v>48</v>
      </c>
      <c r="L262">
        <v>1</v>
      </c>
      <c r="M262">
        <v>180</v>
      </c>
      <c r="N262">
        <v>0</v>
      </c>
      <c r="O262">
        <v>180</v>
      </c>
      <c r="P262">
        <v>72.31</v>
      </c>
      <c r="Q262" t="s">
        <v>66</v>
      </c>
      <c r="R262" t="s">
        <v>49</v>
      </c>
      <c r="S262" t="s">
        <v>110</v>
      </c>
    </row>
    <row r="263" spans="1:19" x14ac:dyDescent="0.3">
      <c r="A263" t="s">
        <v>783</v>
      </c>
      <c r="B263" s="1">
        <v>45504</v>
      </c>
      <c r="C263" s="1">
        <v>45359</v>
      </c>
      <c r="D263" t="s">
        <v>784</v>
      </c>
      <c r="E263" t="s">
        <v>785</v>
      </c>
      <c r="F263" t="s">
        <v>23</v>
      </c>
      <c r="G263" t="s">
        <v>91</v>
      </c>
      <c r="H263" t="s">
        <v>92</v>
      </c>
      <c r="I263" t="s">
        <v>134</v>
      </c>
      <c r="J263" t="s">
        <v>135</v>
      </c>
      <c r="K263" t="s">
        <v>366</v>
      </c>
      <c r="L263">
        <v>2</v>
      </c>
      <c r="M263">
        <v>6000</v>
      </c>
      <c r="N263">
        <v>0</v>
      </c>
      <c r="O263">
        <v>12000</v>
      </c>
      <c r="P263">
        <v>2489.23</v>
      </c>
      <c r="Q263" t="s">
        <v>66</v>
      </c>
      <c r="R263" t="s">
        <v>56</v>
      </c>
      <c r="S263" t="s">
        <v>40</v>
      </c>
    </row>
    <row r="264" spans="1:19" x14ac:dyDescent="0.3">
      <c r="A264" t="s">
        <v>786</v>
      </c>
      <c r="B264" s="2">
        <v>45365</v>
      </c>
      <c r="C264" s="2">
        <v>45372</v>
      </c>
      <c r="D264" t="s">
        <v>787</v>
      </c>
      <c r="E264" t="s">
        <v>788</v>
      </c>
      <c r="F264" t="s">
        <v>34</v>
      </c>
      <c r="G264" t="s">
        <v>35</v>
      </c>
      <c r="H264" t="s">
        <v>36</v>
      </c>
      <c r="I264" t="s">
        <v>126</v>
      </c>
      <c r="J264" t="s">
        <v>127</v>
      </c>
      <c r="K264" t="s">
        <v>95</v>
      </c>
      <c r="L264">
        <v>1</v>
      </c>
      <c r="M264">
        <v>600</v>
      </c>
      <c r="N264">
        <v>5</v>
      </c>
      <c r="O264">
        <v>570</v>
      </c>
      <c r="P264">
        <v>234.02</v>
      </c>
      <c r="Q264" t="s">
        <v>74</v>
      </c>
      <c r="R264" t="s">
        <v>56</v>
      </c>
      <c r="S264" t="s">
        <v>30</v>
      </c>
    </row>
    <row r="265" spans="1:19" x14ac:dyDescent="0.3">
      <c r="A265" t="s">
        <v>789</v>
      </c>
      <c r="B265" s="1">
        <v>45383</v>
      </c>
      <c r="C265" s="2">
        <v>45388</v>
      </c>
      <c r="D265" t="s">
        <v>790</v>
      </c>
      <c r="E265" t="s">
        <v>791</v>
      </c>
      <c r="F265" t="s">
        <v>23</v>
      </c>
      <c r="G265" t="s">
        <v>61</v>
      </c>
      <c r="H265" t="s">
        <v>125</v>
      </c>
      <c r="I265" t="s">
        <v>46</v>
      </c>
      <c r="J265" t="s">
        <v>47</v>
      </c>
      <c r="K265" t="s">
        <v>48</v>
      </c>
      <c r="L265">
        <v>4</v>
      </c>
      <c r="M265">
        <v>180</v>
      </c>
      <c r="N265">
        <v>5</v>
      </c>
      <c r="O265">
        <v>684</v>
      </c>
      <c r="P265">
        <v>235.04</v>
      </c>
      <c r="Q265" t="s">
        <v>121</v>
      </c>
      <c r="R265" t="s">
        <v>29</v>
      </c>
      <c r="S265" t="s">
        <v>86</v>
      </c>
    </row>
    <row r="266" spans="1:19" x14ac:dyDescent="0.3">
      <c r="A266" t="s">
        <v>792</v>
      </c>
      <c r="B266" s="1">
        <v>45707</v>
      </c>
      <c r="C266" s="2">
        <v>45715</v>
      </c>
      <c r="D266" t="s">
        <v>793</v>
      </c>
      <c r="E266" t="s">
        <v>794</v>
      </c>
      <c r="F266" t="s">
        <v>23</v>
      </c>
      <c r="G266" t="s">
        <v>91</v>
      </c>
      <c r="H266" t="s">
        <v>92</v>
      </c>
      <c r="I266" t="s">
        <v>134</v>
      </c>
      <c r="J266" t="s">
        <v>135</v>
      </c>
      <c r="K266" t="s">
        <v>27</v>
      </c>
      <c r="L266">
        <v>4</v>
      </c>
      <c r="M266">
        <v>6000</v>
      </c>
      <c r="N266">
        <v>20</v>
      </c>
      <c r="O266">
        <v>19200</v>
      </c>
      <c r="P266">
        <v>4433.46</v>
      </c>
      <c r="Q266" t="s">
        <v>156</v>
      </c>
      <c r="R266" t="s">
        <v>56</v>
      </c>
      <c r="S266" t="s">
        <v>50</v>
      </c>
    </row>
    <row r="267" spans="1:19" x14ac:dyDescent="0.3">
      <c r="A267" t="s">
        <v>795</v>
      </c>
      <c r="B267" s="1">
        <v>45312</v>
      </c>
      <c r="C267" t="s">
        <v>796</v>
      </c>
      <c r="D267" t="s">
        <v>460</v>
      </c>
      <c r="E267" t="s">
        <v>461</v>
      </c>
      <c r="F267" t="s">
        <v>34</v>
      </c>
      <c r="G267" t="s">
        <v>61</v>
      </c>
      <c r="H267" t="s">
        <v>62</v>
      </c>
      <c r="I267" t="s">
        <v>25</v>
      </c>
      <c r="J267" t="s">
        <v>26</v>
      </c>
      <c r="K267" t="s">
        <v>27</v>
      </c>
      <c r="L267">
        <v>4</v>
      </c>
      <c r="M267">
        <v>7000</v>
      </c>
      <c r="N267">
        <v>0</v>
      </c>
      <c r="O267">
        <v>28000</v>
      </c>
      <c r="P267">
        <v>6731.67</v>
      </c>
      <c r="Q267" t="s">
        <v>156</v>
      </c>
      <c r="R267" t="s">
        <v>49</v>
      </c>
      <c r="S267" t="s">
        <v>86</v>
      </c>
    </row>
    <row r="268" spans="1:19" x14ac:dyDescent="0.3">
      <c r="A268" t="s">
        <v>797</v>
      </c>
      <c r="B268" s="2">
        <v>46007</v>
      </c>
      <c r="C268" s="2">
        <v>46008</v>
      </c>
      <c r="D268" t="s">
        <v>798</v>
      </c>
      <c r="E268" t="s">
        <v>799</v>
      </c>
      <c r="F268" t="s">
        <v>23</v>
      </c>
      <c r="G268" t="s">
        <v>44</v>
      </c>
      <c r="H268" t="s">
        <v>330</v>
      </c>
      <c r="I268" t="s">
        <v>46</v>
      </c>
      <c r="J268" t="s">
        <v>47</v>
      </c>
      <c r="K268" t="s">
        <v>48</v>
      </c>
      <c r="L268">
        <v>1</v>
      </c>
      <c r="M268">
        <v>180</v>
      </c>
      <c r="N268">
        <v>0</v>
      </c>
      <c r="O268">
        <v>180</v>
      </c>
      <c r="P268">
        <v>68.36</v>
      </c>
      <c r="Q268" t="s">
        <v>121</v>
      </c>
      <c r="R268" t="s">
        <v>29</v>
      </c>
      <c r="S268" t="s">
        <v>110</v>
      </c>
    </row>
    <row r="269" spans="1:19" x14ac:dyDescent="0.3">
      <c r="A269" t="s">
        <v>800</v>
      </c>
      <c r="B269" s="2">
        <v>45351</v>
      </c>
      <c r="C269" s="1">
        <v>45354</v>
      </c>
      <c r="D269" t="s">
        <v>308</v>
      </c>
      <c r="E269" t="s">
        <v>309</v>
      </c>
      <c r="F269" t="s">
        <v>34</v>
      </c>
      <c r="G269" t="s">
        <v>91</v>
      </c>
      <c r="H269" t="s">
        <v>177</v>
      </c>
      <c r="I269" t="s">
        <v>126</v>
      </c>
      <c r="J269" t="s">
        <v>127</v>
      </c>
      <c r="K269" t="s">
        <v>95</v>
      </c>
      <c r="L269">
        <v>1</v>
      </c>
      <c r="M269">
        <v>600</v>
      </c>
      <c r="N269">
        <v>0</v>
      </c>
      <c r="O269">
        <v>600</v>
      </c>
      <c r="P269">
        <v>178.7</v>
      </c>
      <c r="R269" t="s">
        <v>29</v>
      </c>
      <c r="S269" t="s">
        <v>30</v>
      </c>
    </row>
    <row r="270" spans="1:19" x14ac:dyDescent="0.3">
      <c r="A270" t="s">
        <v>801</v>
      </c>
      <c r="B270" s="1">
        <v>45874</v>
      </c>
      <c r="C270" s="2">
        <v>45791</v>
      </c>
      <c r="D270" t="s">
        <v>802</v>
      </c>
      <c r="E270" t="s">
        <v>803</v>
      </c>
      <c r="F270" t="s">
        <v>55</v>
      </c>
      <c r="G270" t="s">
        <v>35</v>
      </c>
      <c r="I270" t="s">
        <v>71</v>
      </c>
      <c r="J270" t="s">
        <v>72</v>
      </c>
      <c r="K270" t="s">
        <v>73</v>
      </c>
      <c r="L270">
        <v>1</v>
      </c>
      <c r="M270">
        <v>3500</v>
      </c>
      <c r="N270">
        <v>10</v>
      </c>
      <c r="O270">
        <v>3150</v>
      </c>
      <c r="P270">
        <v>1082.6099999999999</v>
      </c>
      <c r="Q270" t="s">
        <v>74</v>
      </c>
      <c r="R270" t="s">
        <v>56</v>
      </c>
      <c r="S270" t="s">
        <v>110</v>
      </c>
    </row>
    <row r="271" spans="1:19" x14ac:dyDescent="0.3">
      <c r="A271" t="s">
        <v>804</v>
      </c>
      <c r="B271" s="1">
        <v>45401</v>
      </c>
      <c r="C271" s="1">
        <v>45409</v>
      </c>
      <c r="D271" t="s">
        <v>805</v>
      </c>
      <c r="E271" t="s">
        <v>806</v>
      </c>
      <c r="F271" t="s">
        <v>34</v>
      </c>
      <c r="G271" t="s">
        <v>61</v>
      </c>
      <c r="H271" t="s">
        <v>78</v>
      </c>
      <c r="I271" t="s">
        <v>126</v>
      </c>
      <c r="J271" t="s">
        <v>127</v>
      </c>
      <c r="K271" t="s">
        <v>95</v>
      </c>
      <c r="L271">
        <v>1</v>
      </c>
      <c r="M271">
        <v>600</v>
      </c>
      <c r="N271">
        <v>0</v>
      </c>
      <c r="O271">
        <v>600</v>
      </c>
      <c r="P271">
        <v>234.56</v>
      </c>
      <c r="Q271" t="s">
        <v>156</v>
      </c>
      <c r="R271" t="s">
        <v>49</v>
      </c>
      <c r="S271" t="s">
        <v>86</v>
      </c>
    </row>
    <row r="272" spans="1:19" x14ac:dyDescent="0.3">
      <c r="A272" t="s">
        <v>807</v>
      </c>
      <c r="B272" s="1">
        <v>45839</v>
      </c>
      <c r="C272" s="1">
        <v>45845</v>
      </c>
      <c r="D272" t="s">
        <v>808</v>
      </c>
      <c r="E272" t="s">
        <v>809</v>
      </c>
      <c r="F272" t="s">
        <v>55</v>
      </c>
      <c r="G272" t="s">
        <v>35</v>
      </c>
      <c r="H272" t="s">
        <v>258</v>
      </c>
      <c r="I272" t="s">
        <v>25</v>
      </c>
      <c r="J272" t="s">
        <v>26</v>
      </c>
      <c r="K272" t="s">
        <v>27</v>
      </c>
      <c r="L272">
        <v>1</v>
      </c>
      <c r="M272">
        <v>7000</v>
      </c>
      <c r="N272">
        <v>20</v>
      </c>
      <c r="O272">
        <v>5600</v>
      </c>
      <c r="P272">
        <v>921.66</v>
      </c>
      <c r="Q272" t="s">
        <v>39</v>
      </c>
      <c r="R272" t="s">
        <v>56</v>
      </c>
      <c r="S272" t="s">
        <v>50</v>
      </c>
    </row>
    <row r="273" spans="1:19" x14ac:dyDescent="0.3">
      <c r="A273" t="s">
        <v>810</v>
      </c>
      <c r="B273" s="1">
        <v>45428</v>
      </c>
      <c r="C273" t="s">
        <v>811</v>
      </c>
      <c r="D273" t="s">
        <v>153</v>
      </c>
      <c r="E273" t="s">
        <v>154</v>
      </c>
      <c r="F273" t="s">
        <v>23</v>
      </c>
      <c r="G273" t="s">
        <v>44</v>
      </c>
      <c r="H273" t="s">
        <v>155</v>
      </c>
      <c r="I273" t="s">
        <v>114</v>
      </c>
      <c r="J273" t="s">
        <v>115</v>
      </c>
      <c r="K273" t="s">
        <v>65</v>
      </c>
      <c r="L273">
        <v>1</v>
      </c>
      <c r="M273">
        <v>55000</v>
      </c>
      <c r="N273">
        <v>20</v>
      </c>
      <c r="O273">
        <v>44000</v>
      </c>
      <c r="P273">
        <v>6705.92</v>
      </c>
      <c r="Q273" t="s">
        <v>156</v>
      </c>
      <c r="R273" t="s">
        <v>56</v>
      </c>
      <c r="S273" t="s">
        <v>86</v>
      </c>
    </row>
    <row r="274" spans="1:19" x14ac:dyDescent="0.3">
      <c r="A274" t="s">
        <v>812</v>
      </c>
      <c r="B274" s="2">
        <v>45323</v>
      </c>
      <c r="C274" s="1">
        <v>45330</v>
      </c>
      <c r="D274" t="s">
        <v>813</v>
      </c>
      <c r="E274" t="s">
        <v>814</v>
      </c>
      <c r="F274" t="s">
        <v>34</v>
      </c>
      <c r="G274" t="s">
        <v>35</v>
      </c>
      <c r="H274" t="s">
        <v>187</v>
      </c>
      <c r="I274" t="s">
        <v>126</v>
      </c>
      <c r="J274" t="s">
        <v>127</v>
      </c>
      <c r="K274" t="s">
        <v>95</v>
      </c>
      <c r="L274">
        <v>2</v>
      </c>
      <c r="M274">
        <v>600</v>
      </c>
      <c r="N274">
        <v>10</v>
      </c>
      <c r="O274">
        <v>1080</v>
      </c>
      <c r="P274">
        <v>323.37</v>
      </c>
      <c r="Q274" t="s">
        <v>39</v>
      </c>
      <c r="R274" t="s">
        <v>49</v>
      </c>
      <c r="S274" t="s">
        <v>50</v>
      </c>
    </row>
    <row r="275" spans="1:19" x14ac:dyDescent="0.3">
      <c r="A275" t="s">
        <v>815</v>
      </c>
      <c r="B275" t="s">
        <v>816</v>
      </c>
      <c r="C275" s="2">
        <v>45744</v>
      </c>
      <c r="D275" t="s">
        <v>356</v>
      </c>
      <c r="E275" t="s">
        <v>357</v>
      </c>
      <c r="F275" t="s">
        <v>23</v>
      </c>
      <c r="G275" t="s">
        <v>91</v>
      </c>
      <c r="H275" t="s">
        <v>120</v>
      </c>
      <c r="I275" t="s">
        <v>71</v>
      </c>
      <c r="J275" t="s">
        <v>72</v>
      </c>
      <c r="K275" t="s">
        <v>73</v>
      </c>
      <c r="L275">
        <v>10</v>
      </c>
      <c r="M275">
        <v>3500</v>
      </c>
      <c r="N275">
        <v>15</v>
      </c>
      <c r="O275">
        <v>29750</v>
      </c>
      <c r="P275">
        <v>8449.09</v>
      </c>
      <c r="Q275" t="s">
        <v>28</v>
      </c>
      <c r="R275" t="s">
        <v>56</v>
      </c>
      <c r="S275" t="s">
        <v>50</v>
      </c>
    </row>
    <row r="276" spans="1:19" x14ac:dyDescent="0.3">
      <c r="A276" t="s">
        <v>817</v>
      </c>
      <c r="B276" t="s">
        <v>818</v>
      </c>
      <c r="C276" s="1">
        <v>45694</v>
      </c>
      <c r="D276" t="s">
        <v>819</v>
      </c>
      <c r="E276" t="s">
        <v>820</v>
      </c>
      <c r="F276" t="s">
        <v>34</v>
      </c>
      <c r="G276" t="s">
        <v>61</v>
      </c>
      <c r="H276" t="s">
        <v>62</v>
      </c>
      <c r="I276" t="s">
        <v>134</v>
      </c>
      <c r="J276" t="s">
        <v>135</v>
      </c>
      <c r="K276" t="s">
        <v>27</v>
      </c>
      <c r="L276">
        <v>1</v>
      </c>
      <c r="M276">
        <v>6000</v>
      </c>
      <c r="N276">
        <v>0</v>
      </c>
      <c r="O276">
        <v>6000</v>
      </c>
      <c r="P276">
        <v>1086.93</v>
      </c>
      <c r="Q276" t="s">
        <v>28</v>
      </c>
      <c r="R276" t="s">
        <v>56</v>
      </c>
      <c r="S276" t="s">
        <v>30</v>
      </c>
    </row>
    <row r="277" spans="1:19" x14ac:dyDescent="0.3">
      <c r="A277" t="s">
        <v>821</v>
      </c>
      <c r="B277" s="1">
        <v>45380</v>
      </c>
      <c r="C277" s="2">
        <v>45387</v>
      </c>
      <c r="D277" t="s">
        <v>822</v>
      </c>
      <c r="E277" t="s">
        <v>823</v>
      </c>
      <c r="F277" t="s">
        <v>34</v>
      </c>
      <c r="G277" t="s">
        <v>35</v>
      </c>
      <c r="H277" t="s">
        <v>187</v>
      </c>
      <c r="I277" t="s">
        <v>103</v>
      </c>
      <c r="J277" t="s">
        <v>104</v>
      </c>
      <c r="K277" t="s">
        <v>65</v>
      </c>
      <c r="L277">
        <v>1</v>
      </c>
      <c r="M277">
        <v>8000</v>
      </c>
      <c r="N277">
        <v>5</v>
      </c>
      <c r="O277">
        <v>7600</v>
      </c>
      <c r="P277">
        <v>1442.61</v>
      </c>
      <c r="Q277" t="s">
        <v>66</v>
      </c>
      <c r="R277" t="s">
        <v>29</v>
      </c>
      <c r="S277" t="s">
        <v>50</v>
      </c>
    </row>
    <row r="278" spans="1:19" x14ac:dyDescent="0.3">
      <c r="A278" t="s">
        <v>824</v>
      </c>
      <c r="B278" t="s">
        <v>825</v>
      </c>
      <c r="C278" s="1">
        <v>45353</v>
      </c>
      <c r="D278" t="s">
        <v>352</v>
      </c>
      <c r="E278" t="s">
        <v>353</v>
      </c>
      <c r="F278" t="s">
        <v>55</v>
      </c>
      <c r="G278" t="s">
        <v>35</v>
      </c>
      <c r="H278" t="s">
        <v>36</v>
      </c>
      <c r="I278" t="s">
        <v>114</v>
      </c>
      <c r="J278" t="s">
        <v>115</v>
      </c>
      <c r="K278" t="s">
        <v>65</v>
      </c>
      <c r="L278">
        <v>3</v>
      </c>
      <c r="M278">
        <v>55000</v>
      </c>
      <c r="N278">
        <v>0</v>
      </c>
      <c r="O278">
        <v>165000</v>
      </c>
      <c r="P278">
        <v>23308.29</v>
      </c>
      <c r="R278" t="s">
        <v>56</v>
      </c>
      <c r="S278" t="s">
        <v>86</v>
      </c>
    </row>
    <row r="279" spans="1:19" x14ac:dyDescent="0.3">
      <c r="A279" t="s">
        <v>826</v>
      </c>
      <c r="B279" s="1">
        <v>45809</v>
      </c>
      <c r="C279" s="2">
        <v>45810</v>
      </c>
      <c r="D279" t="s">
        <v>827</v>
      </c>
      <c r="E279" t="s">
        <v>828</v>
      </c>
      <c r="F279" t="s">
        <v>34</v>
      </c>
      <c r="G279" t="s">
        <v>44</v>
      </c>
      <c r="H279" t="s">
        <v>155</v>
      </c>
      <c r="I279" t="s">
        <v>63</v>
      </c>
      <c r="J279" t="s">
        <v>64</v>
      </c>
      <c r="K279" t="s">
        <v>65</v>
      </c>
      <c r="L279">
        <v>1</v>
      </c>
      <c r="M279">
        <v>25000</v>
      </c>
      <c r="N279">
        <v>20</v>
      </c>
      <c r="O279">
        <v>20000</v>
      </c>
      <c r="P279">
        <v>2573.2199999999998</v>
      </c>
      <c r="Q279" t="s">
        <v>28</v>
      </c>
      <c r="R279" t="s">
        <v>56</v>
      </c>
      <c r="S279" t="s">
        <v>50</v>
      </c>
    </row>
    <row r="280" spans="1:19" x14ac:dyDescent="0.3">
      <c r="A280" t="s">
        <v>829</v>
      </c>
      <c r="B280" s="1">
        <v>45502</v>
      </c>
      <c r="C280" s="1">
        <v>45510</v>
      </c>
      <c r="D280" t="s">
        <v>830</v>
      </c>
      <c r="E280" t="s">
        <v>831</v>
      </c>
      <c r="F280" t="s">
        <v>23</v>
      </c>
      <c r="G280" t="s">
        <v>61</v>
      </c>
      <c r="H280" t="s">
        <v>125</v>
      </c>
      <c r="I280" t="s">
        <v>79</v>
      </c>
      <c r="J280" t="s">
        <v>80</v>
      </c>
      <c r="K280" t="s">
        <v>65</v>
      </c>
      <c r="L280">
        <v>5</v>
      </c>
      <c r="M280">
        <v>3000</v>
      </c>
      <c r="N280">
        <v>5</v>
      </c>
      <c r="O280">
        <v>14250</v>
      </c>
      <c r="P280">
        <v>3733.74</v>
      </c>
      <c r="Q280" t="s">
        <v>28</v>
      </c>
      <c r="R280" t="s">
        <v>56</v>
      </c>
      <c r="S280" t="s">
        <v>110</v>
      </c>
    </row>
    <row r="281" spans="1:19" x14ac:dyDescent="0.3">
      <c r="A281" t="s">
        <v>832</v>
      </c>
      <c r="B281" t="s">
        <v>833</v>
      </c>
      <c r="C281" t="s">
        <v>834</v>
      </c>
      <c r="D281" t="s">
        <v>340</v>
      </c>
      <c r="E281" t="s">
        <v>341</v>
      </c>
      <c r="F281" t="s">
        <v>34</v>
      </c>
      <c r="G281" t="s">
        <v>91</v>
      </c>
      <c r="H281" t="s">
        <v>109</v>
      </c>
      <c r="I281" t="s">
        <v>147</v>
      </c>
      <c r="J281" t="s">
        <v>148</v>
      </c>
      <c r="K281" t="s">
        <v>48</v>
      </c>
      <c r="L281">
        <v>3</v>
      </c>
      <c r="M281">
        <v>250</v>
      </c>
      <c r="N281">
        <v>0</v>
      </c>
      <c r="O281">
        <v>750</v>
      </c>
      <c r="P281">
        <v>221.95</v>
      </c>
      <c r="Q281" t="s">
        <v>66</v>
      </c>
      <c r="R281" t="s">
        <v>29</v>
      </c>
      <c r="S281" t="s">
        <v>50</v>
      </c>
    </row>
    <row r="282" spans="1:19" x14ac:dyDescent="0.3">
      <c r="A282" t="s">
        <v>835</v>
      </c>
      <c r="B282" s="1">
        <v>45493</v>
      </c>
      <c r="C282" s="1">
        <v>45494</v>
      </c>
      <c r="D282" t="s">
        <v>575</v>
      </c>
      <c r="E282" t="s">
        <v>836</v>
      </c>
      <c r="F282" t="s">
        <v>34</v>
      </c>
      <c r="G282" t="s">
        <v>91</v>
      </c>
      <c r="H282" t="s">
        <v>120</v>
      </c>
      <c r="I282" t="s">
        <v>114</v>
      </c>
      <c r="J282" t="s">
        <v>115</v>
      </c>
      <c r="K282" t="s">
        <v>105</v>
      </c>
      <c r="L282">
        <v>1</v>
      </c>
      <c r="M282">
        <v>55000</v>
      </c>
      <c r="N282">
        <v>20</v>
      </c>
      <c r="O282">
        <v>44000</v>
      </c>
      <c r="P282">
        <v>7634.21</v>
      </c>
      <c r="R282" t="s">
        <v>29</v>
      </c>
      <c r="S282" t="s">
        <v>110</v>
      </c>
    </row>
    <row r="283" spans="1:19" x14ac:dyDescent="0.3">
      <c r="A283" t="s">
        <v>837</v>
      </c>
      <c r="B283" s="1">
        <v>45806</v>
      </c>
      <c r="C283" s="2">
        <v>45811</v>
      </c>
      <c r="D283" t="s">
        <v>838</v>
      </c>
      <c r="E283" t="s">
        <v>839</v>
      </c>
      <c r="F283" t="s">
        <v>23</v>
      </c>
      <c r="G283" t="s">
        <v>35</v>
      </c>
      <c r="H283" t="s">
        <v>258</v>
      </c>
      <c r="I283" t="s">
        <v>147</v>
      </c>
      <c r="J283" t="s">
        <v>148</v>
      </c>
      <c r="K283" t="s">
        <v>48</v>
      </c>
      <c r="L283">
        <v>4</v>
      </c>
      <c r="M283">
        <v>250</v>
      </c>
      <c r="N283">
        <v>15</v>
      </c>
      <c r="O283">
        <v>850</v>
      </c>
      <c r="P283">
        <v>284.18</v>
      </c>
      <c r="Q283" t="s">
        <v>74</v>
      </c>
      <c r="R283" t="s">
        <v>49</v>
      </c>
      <c r="S283" t="s">
        <v>50</v>
      </c>
    </row>
    <row r="284" spans="1:19" x14ac:dyDescent="0.3">
      <c r="A284" t="s">
        <v>840</v>
      </c>
      <c r="B284" s="1">
        <v>45538</v>
      </c>
      <c r="C284" s="1">
        <v>45482</v>
      </c>
      <c r="D284" t="s">
        <v>83</v>
      </c>
      <c r="E284" t="s">
        <v>84</v>
      </c>
      <c r="F284" t="s">
        <v>34</v>
      </c>
      <c r="G284" t="s">
        <v>35</v>
      </c>
      <c r="H284" t="s">
        <v>85</v>
      </c>
      <c r="I284" t="s">
        <v>37</v>
      </c>
      <c r="J284" t="s">
        <v>38</v>
      </c>
      <c r="K284" t="s">
        <v>27</v>
      </c>
      <c r="L284">
        <v>1</v>
      </c>
      <c r="M284">
        <v>9500</v>
      </c>
      <c r="N284">
        <v>0</v>
      </c>
      <c r="O284">
        <v>9500</v>
      </c>
      <c r="P284">
        <v>1368.27</v>
      </c>
      <c r="Q284" t="s">
        <v>39</v>
      </c>
      <c r="R284" t="s">
        <v>56</v>
      </c>
      <c r="S284" t="s">
        <v>30</v>
      </c>
    </row>
    <row r="285" spans="1:19" x14ac:dyDescent="0.3">
      <c r="A285" t="s">
        <v>841</v>
      </c>
      <c r="B285" s="2">
        <v>46012</v>
      </c>
      <c r="C285" s="1">
        <v>46020</v>
      </c>
      <c r="D285" t="s">
        <v>842</v>
      </c>
      <c r="E285" t="s">
        <v>843</v>
      </c>
      <c r="F285" t="s">
        <v>23</v>
      </c>
      <c r="G285" t="s">
        <v>91</v>
      </c>
      <c r="H285" t="s">
        <v>120</v>
      </c>
      <c r="I285" t="s">
        <v>126</v>
      </c>
      <c r="J285" t="s">
        <v>127</v>
      </c>
      <c r="K285" t="s">
        <v>95</v>
      </c>
      <c r="L285">
        <v>1</v>
      </c>
      <c r="M285">
        <v>600</v>
      </c>
      <c r="N285">
        <v>5</v>
      </c>
      <c r="O285">
        <v>570</v>
      </c>
      <c r="P285">
        <v>170.07</v>
      </c>
      <c r="Q285" t="s">
        <v>74</v>
      </c>
      <c r="R285" t="s">
        <v>56</v>
      </c>
      <c r="S285" t="s">
        <v>40</v>
      </c>
    </row>
    <row r="286" spans="1:19" x14ac:dyDescent="0.3">
      <c r="A286" t="s">
        <v>844</v>
      </c>
      <c r="B286" s="1">
        <v>45998</v>
      </c>
      <c r="C286" s="1">
        <v>45881</v>
      </c>
      <c r="D286" t="s">
        <v>751</v>
      </c>
      <c r="E286" t="s">
        <v>752</v>
      </c>
      <c r="F286" t="s">
        <v>23</v>
      </c>
      <c r="G286" t="s">
        <v>35</v>
      </c>
      <c r="H286" t="s">
        <v>85</v>
      </c>
      <c r="I286" t="s">
        <v>114</v>
      </c>
      <c r="J286" t="s">
        <v>115</v>
      </c>
      <c r="K286" t="s">
        <v>65</v>
      </c>
      <c r="L286">
        <v>2</v>
      </c>
      <c r="M286">
        <v>55000</v>
      </c>
      <c r="N286">
        <v>0</v>
      </c>
      <c r="O286">
        <v>110000</v>
      </c>
      <c r="P286">
        <v>15691.93</v>
      </c>
      <c r="Q286" t="s">
        <v>121</v>
      </c>
      <c r="R286" t="s">
        <v>49</v>
      </c>
      <c r="S286" t="s">
        <v>30</v>
      </c>
    </row>
    <row r="287" spans="1:19" x14ac:dyDescent="0.3">
      <c r="A287" t="s">
        <v>845</v>
      </c>
      <c r="B287" t="s">
        <v>846</v>
      </c>
      <c r="C287" s="1">
        <v>45493</v>
      </c>
      <c r="D287" t="s">
        <v>847</v>
      </c>
      <c r="E287" t="s">
        <v>848</v>
      </c>
      <c r="F287" t="s">
        <v>23</v>
      </c>
      <c r="G287" t="s">
        <v>44</v>
      </c>
      <c r="I287" t="s">
        <v>46</v>
      </c>
      <c r="J287" t="s">
        <v>47</v>
      </c>
      <c r="K287" t="s">
        <v>48</v>
      </c>
      <c r="L287">
        <v>3</v>
      </c>
      <c r="M287">
        <v>180</v>
      </c>
      <c r="N287">
        <v>10</v>
      </c>
      <c r="O287">
        <v>486</v>
      </c>
      <c r="P287">
        <v>211.89</v>
      </c>
      <c r="Q287" t="s">
        <v>66</v>
      </c>
      <c r="R287" t="s">
        <v>56</v>
      </c>
      <c r="S287" t="s">
        <v>50</v>
      </c>
    </row>
    <row r="288" spans="1:19" x14ac:dyDescent="0.3">
      <c r="A288" t="s">
        <v>849</v>
      </c>
      <c r="B288" s="2">
        <v>45691</v>
      </c>
      <c r="C288" s="1">
        <v>45698</v>
      </c>
      <c r="D288" t="s">
        <v>634</v>
      </c>
      <c r="E288" t="s">
        <v>635</v>
      </c>
      <c r="F288" t="s">
        <v>23</v>
      </c>
      <c r="G288" t="s">
        <v>91</v>
      </c>
      <c r="H288" t="s">
        <v>177</v>
      </c>
      <c r="I288" t="s">
        <v>126</v>
      </c>
      <c r="J288" t="s">
        <v>127</v>
      </c>
      <c r="K288" t="s">
        <v>850</v>
      </c>
      <c r="L288">
        <v>2</v>
      </c>
      <c r="M288">
        <v>600</v>
      </c>
      <c r="N288">
        <v>0</v>
      </c>
      <c r="O288">
        <v>1200</v>
      </c>
      <c r="P288">
        <v>332.67</v>
      </c>
      <c r="Q288" t="s">
        <v>74</v>
      </c>
      <c r="R288" t="s">
        <v>49</v>
      </c>
      <c r="S288" t="s">
        <v>86</v>
      </c>
    </row>
    <row r="289" spans="1:19" x14ac:dyDescent="0.3">
      <c r="A289" t="s">
        <v>851</v>
      </c>
      <c r="B289" t="s">
        <v>852</v>
      </c>
      <c r="C289" s="2">
        <v>45808</v>
      </c>
      <c r="D289" t="s">
        <v>853</v>
      </c>
      <c r="E289" t="s">
        <v>854</v>
      </c>
      <c r="F289" t="s">
        <v>55</v>
      </c>
      <c r="G289" t="s">
        <v>61</v>
      </c>
      <c r="H289" t="s">
        <v>125</v>
      </c>
      <c r="I289" t="s">
        <v>46</v>
      </c>
      <c r="J289" t="s">
        <v>47</v>
      </c>
      <c r="K289" t="s">
        <v>48</v>
      </c>
      <c r="L289">
        <v>3</v>
      </c>
      <c r="M289">
        <v>180</v>
      </c>
      <c r="N289">
        <v>0</v>
      </c>
      <c r="O289">
        <v>540</v>
      </c>
      <c r="P289">
        <v>185.1</v>
      </c>
      <c r="Q289" t="s">
        <v>74</v>
      </c>
      <c r="R289" t="s">
        <v>29</v>
      </c>
      <c r="S289" t="s">
        <v>86</v>
      </c>
    </row>
    <row r="290" spans="1:19" x14ac:dyDescent="0.3">
      <c r="A290" t="s">
        <v>855</v>
      </c>
      <c r="B290" s="1">
        <v>45752</v>
      </c>
      <c r="C290" s="1">
        <v>45996</v>
      </c>
      <c r="D290" t="s">
        <v>856</v>
      </c>
      <c r="E290" t="s">
        <v>857</v>
      </c>
      <c r="F290" t="s">
        <v>55</v>
      </c>
      <c r="G290" t="s">
        <v>35</v>
      </c>
      <c r="H290" t="s">
        <v>36</v>
      </c>
      <c r="I290" t="s">
        <v>126</v>
      </c>
      <c r="J290" t="s">
        <v>127</v>
      </c>
      <c r="K290" t="s">
        <v>95</v>
      </c>
      <c r="L290">
        <v>2</v>
      </c>
      <c r="M290">
        <v>600</v>
      </c>
      <c r="N290">
        <v>0</v>
      </c>
      <c r="O290">
        <v>1200</v>
      </c>
      <c r="P290">
        <v>493.7</v>
      </c>
      <c r="Q290" t="s">
        <v>39</v>
      </c>
      <c r="R290" t="s">
        <v>49</v>
      </c>
      <c r="S290" t="s">
        <v>40</v>
      </c>
    </row>
    <row r="291" spans="1:19" x14ac:dyDescent="0.3">
      <c r="A291" t="s">
        <v>858</v>
      </c>
      <c r="B291" s="1">
        <v>45349</v>
      </c>
      <c r="C291" t="s">
        <v>859</v>
      </c>
      <c r="D291" t="s">
        <v>790</v>
      </c>
      <c r="E291" t="s">
        <v>791</v>
      </c>
      <c r="F291" t="s">
        <v>23</v>
      </c>
      <c r="G291" t="s">
        <v>61</v>
      </c>
      <c r="H291" t="s">
        <v>125</v>
      </c>
      <c r="I291" t="s">
        <v>103</v>
      </c>
      <c r="J291" t="s">
        <v>104</v>
      </c>
      <c r="K291" t="s">
        <v>65</v>
      </c>
      <c r="L291">
        <v>2</v>
      </c>
      <c r="M291">
        <v>8000</v>
      </c>
      <c r="N291">
        <v>0</v>
      </c>
      <c r="O291">
        <v>16000</v>
      </c>
      <c r="P291">
        <v>3803.98</v>
      </c>
      <c r="Q291" t="s">
        <v>66</v>
      </c>
      <c r="R291" t="s">
        <v>29</v>
      </c>
      <c r="S291" t="s">
        <v>86</v>
      </c>
    </row>
    <row r="292" spans="1:19" x14ac:dyDescent="0.3">
      <c r="A292" t="s">
        <v>860</v>
      </c>
      <c r="B292" s="1">
        <v>45332</v>
      </c>
      <c r="D292" t="s">
        <v>861</v>
      </c>
      <c r="E292" t="s">
        <v>862</v>
      </c>
      <c r="F292" t="s">
        <v>55</v>
      </c>
      <c r="G292" t="s">
        <v>44</v>
      </c>
      <c r="H292" t="s">
        <v>24</v>
      </c>
      <c r="I292" t="s">
        <v>79</v>
      </c>
      <c r="J292" t="s">
        <v>80</v>
      </c>
      <c r="K292" t="s">
        <v>65</v>
      </c>
      <c r="L292">
        <v>4</v>
      </c>
      <c r="M292">
        <v>3000</v>
      </c>
      <c r="N292">
        <v>0</v>
      </c>
      <c r="O292">
        <v>12000</v>
      </c>
      <c r="P292">
        <v>3674.3</v>
      </c>
      <c r="Q292" t="s">
        <v>28</v>
      </c>
      <c r="R292" t="s">
        <v>56</v>
      </c>
      <c r="S292" t="s">
        <v>86</v>
      </c>
    </row>
    <row r="293" spans="1:19" x14ac:dyDescent="0.3">
      <c r="A293" t="s">
        <v>863</v>
      </c>
      <c r="B293" s="1">
        <v>45885</v>
      </c>
      <c r="C293" s="2">
        <v>45886</v>
      </c>
      <c r="D293" t="s">
        <v>864</v>
      </c>
      <c r="E293" t="s">
        <v>865</v>
      </c>
      <c r="F293" t="s">
        <v>34</v>
      </c>
      <c r="G293" t="s">
        <v>44</v>
      </c>
      <c r="H293" t="s">
        <v>155</v>
      </c>
      <c r="I293" t="s">
        <v>147</v>
      </c>
      <c r="J293" t="s">
        <v>148</v>
      </c>
      <c r="K293" t="s">
        <v>48</v>
      </c>
      <c r="L293">
        <v>1</v>
      </c>
      <c r="M293">
        <v>250</v>
      </c>
      <c r="N293">
        <v>10</v>
      </c>
      <c r="O293">
        <v>225</v>
      </c>
      <c r="P293">
        <v>88.82</v>
      </c>
      <c r="Q293" t="s">
        <v>156</v>
      </c>
      <c r="R293" t="s">
        <v>49</v>
      </c>
      <c r="S293" t="s">
        <v>110</v>
      </c>
    </row>
    <row r="294" spans="1:19" x14ac:dyDescent="0.3">
      <c r="A294" t="s">
        <v>866</v>
      </c>
      <c r="B294" s="1">
        <v>45639</v>
      </c>
      <c r="C294" t="s">
        <v>867</v>
      </c>
      <c r="D294" t="s">
        <v>265</v>
      </c>
      <c r="E294" t="s">
        <v>266</v>
      </c>
      <c r="F294" t="s">
        <v>55</v>
      </c>
      <c r="G294" t="s">
        <v>44</v>
      </c>
      <c r="H294" t="s">
        <v>45</v>
      </c>
      <c r="I294" t="s">
        <v>126</v>
      </c>
      <c r="J294" t="s">
        <v>127</v>
      </c>
      <c r="K294" t="s">
        <v>95</v>
      </c>
      <c r="L294">
        <v>2</v>
      </c>
      <c r="M294">
        <v>600</v>
      </c>
      <c r="N294">
        <v>0</v>
      </c>
      <c r="O294">
        <v>1200</v>
      </c>
      <c r="P294">
        <v>464.5</v>
      </c>
      <c r="Q294" t="s">
        <v>156</v>
      </c>
      <c r="R294" t="s">
        <v>56</v>
      </c>
      <c r="S294" t="s">
        <v>110</v>
      </c>
    </row>
    <row r="295" spans="1:19" x14ac:dyDescent="0.3">
      <c r="A295" t="s">
        <v>868</v>
      </c>
      <c r="B295" t="s">
        <v>869</v>
      </c>
      <c r="C295" s="2">
        <v>45628</v>
      </c>
      <c r="D295" t="s">
        <v>203</v>
      </c>
      <c r="E295" t="s">
        <v>204</v>
      </c>
      <c r="F295" t="s">
        <v>23</v>
      </c>
      <c r="G295" t="s">
        <v>44</v>
      </c>
      <c r="H295" t="s">
        <v>45</v>
      </c>
      <c r="I295" t="s">
        <v>79</v>
      </c>
      <c r="J295" t="s">
        <v>80</v>
      </c>
      <c r="K295" t="s">
        <v>65</v>
      </c>
      <c r="L295">
        <v>2</v>
      </c>
      <c r="M295">
        <v>3000</v>
      </c>
      <c r="N295">
        <v>20</v>
      </c>
      <c r="O295">
        <v>4800</v>
      </c>
      <c r="P295">
        <v>1039.18</v>
      </c>
      <c r="Q295" t="s">
        <v>28</v>
      </c>
      <c r="R295" t="s">
        <v>567</v>
      </c>
      <c r="S295" t="s">
        <v>50</v>
      </c>
    </row>
    <row r="296" spans="1:19" x14ac:dyDescent="0.3">
      <c r="A296" t="s">
        <v>870</v>
      </c>
      <c r="B296" s="2">
        <v>45941</v>
      </c>
      <c r="C296" s="2">
        <v>45945</v>
      </c>
      <c r="D296" t="s">
        <v>871</v>
      </c>
      <c r="E296" t="s">
        <v>872</v>
      </c>
      <c r="F296" t="s">
        <v>34</v>
      </c>
      <c r="G296" t="s">
        <v>61</v>
      </c>
      <c r="H296" t="s">
        <v>78</v>
      </c>
      <c r="I296" t="s">
        <v>37</v>
      </c>
      <c r="J296" t="s">
        <v>38</v>
      </c>
      <c r="K296" t="s">
        <v>27</v>
      </c>
      <c r="L296">
        <v>2</v>
      </c>
      <c r="M296">
        <v>9500</v>
      </c>
      <c r="N296">
        <v>5</v>
      </c>
      <c r="O296">
        <v>18050</v>
      </c>
      <c r="P296">
        <v>2647.41</v>
      </c>
      <c r="Q296" t="s">
        <v>66</v>
      </c>
      <c r="R296" t="s">
        <v>56</v>
      </c>
      <c r="S296" t="s">
        <v>40</v>
      </c>
    </row>
    <row r="297" spans="1:19" x14ac:dyDescent="0.3">
      <c r="A297" t="s">
        <v>873</v>
      </c>
      <c r="B297" s="1">
        <v>45810</v>
      </c>
      <c r="C297" s="1">
        <v>45695</v>
      </c>
      <c r="D297" t="s">
        <v>220</v>
      </c>
      <c r="E297" t="s">
        <v>221</v>
      </c>
      <c r="F297" t="s">
        <v>34</v>
      </c>
      <c r="G297" t="s">
        <v>44</v>
      </c>
      <c r="H297" t="s">
        <v>161</v>
      </c>
      <c r="I297" t="s">
        <v>46</v>
      </c>
      <c r="J297" t="s">
        <v>47</v>
      </c>
      <c r="K297" t="s">
        <v>48</v>
      </c>
      <c r="L297">
        <v>2</v>
      </c>
      <c r="M297">
        <v>180</v>
      </c>
      <c r="N297">
        <v>15</v>
      </c>
      <c r="O297">
        <v>306</v>
      </c>
      <c r="P297">
        <v>150.30000000000001</v>
      </c>
      <c r="Q297" t="s">
        <v>66</v>
      </c>
      <c r="R297" t="s">
        <v>49</v>
      </c>
      <c r="S297" t="s">
        <v>30</v>
      </c>
    </row>
    <row r="298" spans="1:19" x14ac:dyDescent="0.3">
      <c r="A298" t="s">
        <v>874</v>
      </c>
      <c r="B298" s="1">
        <v>45508</v>
      </c>
      <c r="C298" s="1">
        <v>45634</v>
      </c>
      <c r="D298" t="s">
        <v>713</v>
      </c>
      <c r="E298" t="s">
        <v>875</v>
      </c>
      <c r="F298" t="s">
        <v>34</v>
      </c>
      <c r="G298" t="s">
        <v>35</v>
      </c>
      <c r="H298" t="s">
        <v>258</v>
      </c>
      <c r="I298" t="s">
        <v>114</v>
      </c>
      <c r="J298" t="s">
        <v>115</v>
      </c>
      <c r="K298" t="s">
        <v>65</v>
      </c>
      <c r="L298">
        <v>5</v>
      </c>
      <c r="M298">
        <v>55000</v>
      </c>
      <c r="N298">
        <v>15</v>
      </c>
      <c r="O298">
        <v>5843750</v>
      </c>
      <c r="P298">
        <v>31426.93</v>
      </c>
      <c r="Q298" t="s">
        <v>121</v>
      </c>
      <c r="R298" t="s">
        <v>56</v>
      </c>
      <c r="S298" t="s">
        <v>40</v>
      </c>
    </row>
    <row r="299" spans="1:19" x14ac:dyDescent="0.3">
      <c r="A299" t="s">
        <v>876</v>
      </c>
      <c r="B299" s="1">
        <v>45691</v>
      </c>
      <c r="C299" s="1">
        <v>45698</v>
      </c>
      <c r="D299" t="s">
        <v>244</v>
      </c>
      <c r="E299" t="s">
        <v>245</v>
      </c>
      <c r="F299" t="s">
        <v>23</v>
      </c>
      <c r="G299" t="s">
        <v>61</v>
      </c>
      <c r="H299" t="s">
        <v>62</v>
      </c>
      <c r="I299" t="s">
        <v>126</v>
      </c>
      <c r="J299" t="s">
        <v>127</v>
      </c>
      <c r="K299" t="s">
        <v>95</v>
      </c>
      <c r="L299">
        <v>-1</v>
      </c>
      <c r="M299">
        <v>600</v>
      </c>
      <c r="N299">
        <v>15</v>
      </c>
      <c r="O299">
        <v>510</v>
      </c>
      <c r="P299">
        <v>161.22999999999999</v>
      </c>
      <c r="Q299" t="s">
        <v>39</v>
      </c>
      <c r="R299" t="s">
        <v>29</v>
      </c>
      <c r="S299" t="s">
        <v>40</v>
      </c>
    </row>
    <row r="300" spans="1:19" x14ac:dyDescent="0.3">
      <c r="A300" t="s">
        <v>877</v>
      </c>
      <c r="B300" s="1">
        <v>45520</v>
      </c>
      <c r="C300" s="1">
        <v>45526</v>
      </c>
      <c r="D300" t="s">
        <v>444</v>
      </c>
      <c r="E300" t="s">
        <v>445</v>
      </c>
      <c r="F300" t="s">
        <v>55</v>
      </c>
      <c r="G300" t="s">
        <v>91</v>
      </c>
      <c r="H300" t="s">
        <v>92</v>
      </c>
      <c r="I300" t="s">
        <v>37</v>
      </c>
      <c r="J300" t="s">
        <v>38</v>
      </c>
      <c r="K300" t="s">
        <v>27</v>
      </c>
      <c r="L300">
        <v>3</v>
      </c>
      <c r="M300">
        <v>9500</v>
      </c>
      <c r="N300">
        <v>0</v>
      </c>
      <c r="O300">
        <v>28500</v>
      </c>
      <c r="P300">
        <v>4948.68</v>
      </c>
      <c r="Q300" t="s">
        <v>74</v>
      </c>
      <c r="R300" t="s">
        <v>49</v>
      </c>
      <c r="S300" t="s">
        <v>40</v>
      </c>
    </row>
    <row r="301" spans="1:19" x14ac:dyDescent="0.3">
      <c r="A301" t="s">
        <v>878</v>
      </c>
      <c r="B301" t="s">
        <v>879</v>
      </c>
      <c r="C301" t="s">
        <v>880</v>
      </c>
      <c r="D301" t="s">
        <v>301</v>
      </c>
      <c r="E301" t="s">
        <v>302</v>
      </c>
      <c r="F301" t="s">
        <v>34</v>
      </c>
      <c r="G301" t="s">
        <v>44</v>
      </c>
      <c r="H301" t="s">
        <v>24</v>
      </c>
      <c r="I301" t="s">
        <v>93</v>
      </c>
      <c r="J301" t="s">
        <v>94</v>
      </c>
      <c r="K301" t="s">
        <v>95</v>
      </c>
      <c r="L301">
        <v>10</v>
      </c>
      <c r="M301">
        <v>1800</v>
      </c>
      <c r="N301">
        <v>15</v>
      </c>
      <c r="O301">
        <v>15300</v>
      </c>
      <c r="P301">
        <v>4955.2299999999996</v>
      </c>
      <c r="Q301" t="s">
        <v>156</v>
      </c>
      <c r="R301" t="s">
        <v>49</v>
      </c>
      <c r="S301" t="s">
        <v>40</v>
      </c>
    </row>
    <row r="302" spans="1:19" x14ac:dyDescent="0.3">
      <c r="A302" t="s">
        <v>881</v>
      </c>
      <c r="B302" s="1">
        <v>45445</v>
      </c>
      <c r="C302" s="2">
        <v>45447</v>
      </c>
      <c r="D302" t="s">
        <v>882</v>
      </c>
      <c r="E302" t="s">
        <v>883</v>
      </c>
      <c r="F302" t="s">
        <v>55</v>
      </c>
      <c r="G302" t="s">
        <v>44</v>
      </c>
      <c r="H302" t="s">
        <v>24</v>
      </c>
      <c r="I302" t="s">
        <v>103</v>
      </c>
      <c r="J302" t="s">
        <v>104</v>
      </c>
      <c r="K302" t="s">
        <v>65</v>
      </c>
      <c r="L302">
        <v>1</v>
      </c>
      <c r="M302">
        <v>8000</v>
      </c>
      <c r="N302">
        <v>20</v>
      </c>
      <c r="O302">
        <v>6400</v>
      </c>
      <c r="P302">
        <v>1586.41</v>
      </c>
      <c r="Q302" t="s">
        <v>156</v>
      </c>
      <c r="R302" t="s">
        <v>29</v>
      </c>
      <c r="S302" t="s">
        <v>110</v>
      </c>
    </row>
    <row r="303" spans="1:19" x14ac:dyDescent="0.3">
      <c r="A303" t="s">
        <v>884</v>
      </c>
      <c r="B303" s="1">
        <v>45774</v>
      </c>
      <c r="C303" s="2">
        <v>45780</v>
      </c>
      <c r="D303" t="s">
        <v>138</v>
      </c>
      <c r="E303" t="s">
        <v>139</v>
      </c>
      <c r="F303" t="s">
        <v>55</v>
      </c>
      <c r="G303" t="s">
        <v>35</v>
      </c>
      <c r="H303" t="s">
        <v>36</v>
      </c>
      <c r="I303" t="s">
        <v>25</v>
      </c>
      <c r="J303" t="s">
        <v>26</v>
      </c>
      <c r="K303" t="s">
        <v>27</v>
      </c>
      <c r="L303">
        <v>1</v>
      </c>
      <c r="M303">
        <v>7000</v>
      </c>
      <c r="N303">
        <v>15</v>
      </c>
      <c r="O303">
        <v>5950</v>
      </c>
      <c r="P303">
        <v>1366.29</v>
      </c>
      <c r="Q303" t="s">
        <v>39</v>
      </c>
      <c r="R303" t="s">
        <v>49</v>
      </c>
      <c r="S303" t="s">
        <v>40</v>
      </c>
    </row>
    <row r="304" spans="1:19" x14ac:dyDescent="0.3">
      <c r="A304" t="s">
        <v>885</v>
      </c>
      <c r="B304" s="2">
        <v>45758</v>
      </c>
      <c r="C304" s="2">
        <v>45765</v>
      </c>
      <c r="D304" t="s">
        <v>886</v>
      </c>
      <c r="E304" t="s">
        <v>887</v>
      </c>
      <c r="F304" t="s">
        <v>55</v>
      </c>
      <c r="G304" t="s">
        <v>91</v>
      </c>
      <c r="H304" t="s">
        <v>177</v>
      </c>
      <c r="I304" t="s">
        <v>25</v>
      </c>
      <c r="J304" t="s">
        <v>26</v>
      </c>
      <c r="K304" t="s">
        <v>27</v>
      </c>
      <c r="L304">
        <v>3</v>
      </c>
      <c r="M304">
        <v>7000</v>
      </c>
      <c r="N304">
        <v>10</v>
      </c>
      <c r="O304">
        <v>18900</v>
      </c>
      <c r="P304">
        <v>3782.31</v>
      </c>
      <c r="Q304" t="s">
        <v>156</v>
      </c>
      <c r="R304" t="s">
        <v>29</v>
      </c>
      <c r="S304" t="s">
        <v>110</v>
      </c>
    </row>
    <row r="305" spans="1:19" x14ac:dyDescent="0.3">
      <c r="A305" t="s">
        <v>888</v>
      </c>
      <c r="B305" s="1">
        <v>45724</v>
      </c>
      <c r="C305" s="2">
        <v>45730</v>
      </c>
      <c r="D305" t="s">
        <v>101</v>
      </c>
      <c r="E305" t="s">
        <v>102</v>
      </c>
      <c r="F305" t="s">
        <v>55</v>
      </c>
      <c r="G305" t="s">
        <v>35</v>
      </c>
      <c r="H305" t="s">
        <v>36</v>
      </c>
      <c r="I305" t="s">
        <v>25</v>
      </c>
      <c r="J305" t="s">
        <v>26</v>
      </c>
      <c r="K305" t="s">
        <v>27</v>
      </c>
      <c r="L305">
        <v>10</v>
      </c>
      <c r="M305">
        <v>7000</v>
      </c>
      <c r="N305">
        <v>0</v>
      </c>
      <c r="O305">
        <v>70000</v>
      </c>
      <c r="P305">
        <v>15289.03</v>
      </c>
      <c r="Q305" t="s">
        <v>74</v>
      </c>
      <c r="R305" t="s">
        <v>56</v>
      </c>
      <c r="S305" t="s">
        <v>40</v>
      </c>
    </row>
    <row r="306" spans="1:19" x14ac:dyDescent="0.3">
      <c r="A306" t="s">
        <v>889</v>
      </c>
      <c r="B306" s="1">
        <v>45705</v>
      </c>
      <c r="C306" s="1">
        <v>45709</v>
      </c>
      <c r="D306" t="s">
        <v>890</v>
      </c>
      <c r="E306" t="s">
        <v>891</v>
      </c>
      <c r="F306" t="s">
        <v>34</v>
      </c>
      <c r="G306" t="s">
        <v>35</v>
      </c>
      <c r="H306" t="s">
        <v>36</v>
      </c>
      <c r="I306" t="s">
        <v>71</v>
      </c>
      <c r="J306" t="s">
        <v>72</v>
      </c>
      <c r="K306" t="s">
        <v>73</v>
      </c>
      <c r="M306">
        <v>3500</v>
      </c>
      <c r="N306">
        <v>10</v>
      </c>
      <c r="O306">
        <v>3150</v>
      </c>
      <c r="P306">
        <v>748.03</v>
      </c>
      <c r="Q306" t="s">
        <v>74</v>
      </c>
      <c r="R306" t="s">
        <v>29</v>
      </c>
      <c r="S306" t="s">
        <v>110</v>
      </c>
    </row>
    <row r="307" spans="1:19" x14ac:dyDescent="0.3">
      <c r="A307" t="s">
        <v>892</v>
      </c>
      <c r="B307" s="1">
        <v>45559</v>
      </c>
      <c r="C307" t="s">
        <v>893</v>
      </c>
      <c r="D307" t="s">
        <v>477</v>
      </c>
      <c r="E307" t="s">
        <v>478</v>
      </c>
      <c r="F307" t="s">
        <v>34</v>
      </c>
      <c r="G307" t="s">
        <v>44</v>
      </c>
      <c r="H307" t="s">
        <v>161</v>
      </c>
      <c r="I307" t="s">
        <v>134</v>
      </c>
      <c r="J307" t="s">
        <v>135</v>
      </c>
      <c r="K307" t="s">
        <v>27</v>
      </c>
      <c r="L307">
        <v>3</v>
      </c>
      <c r="M307">
        <v>6000</v>
      </c>
      <c r="N307">
        <v>0</v>
      </c>
      <c r="O307">
        <v>18000</v>
      </c>
      <c r="P307">
        <v>4412.32</v>
      </c>
      <c r="Q307" t="s">
        <v>28</v>
      </c>
      <c r="R307" t="s">
        <v>49</v>
      </c>
      <c r="S307" t="s">
        <v>110</v>
      </c>
    </row>
    <row r="308" spans="1:19" x14ac:dyDescent="0.3">
      <c r="A308" t="s">
        <v>894</v>
      </c>
      <c r="B308" s="2">
        <v>45910</v>
      </c>
      <c r="C308" t="s">
        <v>895</v>
      </c>
      <c r="D308" t="s">
        <v>896</v>
      </c>
      <c r="E308" t="s">
        <v>897</v>
      </c>
      <c r="F308" t="s">
        <v>55</v>
      </c>
      <c r="G308" t="s">
        <v>35</v>
      </c>
      <c r="H308" t="s">
        <v>258</v>
      </c>
      <c r="I308" t="s">
        <v>93</v>
      </c>
      <c r="J308" t="s">
        <v>94</v>
      </c>
      <c r="K308" t="s">
        <v>95</v>
      </c>
      <c r="L308">
        <v>2</v>
      </c>
      <c r="M308">
        <v>1800</v>
      </c>
      <c r="N308">
        <v>0</v>
      </c>
      <c r="O308">
        <v>3600</v>
      </c>
      <c r="P308">
        <v>1349.64</v>
      </c>
      <c r="Q308" t="s">
        <v>121</v>
      </c>
      <c r="R308" t="s">
        <v>29</v>
      </c>
      <c r="S308" t="s">
        <v>86</v>
      </c>
    </row>
    <row r="309" spans="1:19" x14ac:dyDescent="0.3">
      <c r="A309" t="s">
        <v>898</v>
      </c>
      <c r="B309" s="1">
        <v>45393</v>
      </c>
      <c r="C309" s="2">
        <v>45398</v>
      </c>
      <c r="D309" t="s">
        <v>520</v>
      </c>
      <c r="E309" t="s">
        <v>710</v>
      </c>
      <c r="F309" t="s">
        <v>23</v>
      </c>
      <c r="G309" t="s">
        <v>91</v>
      </c>
      <c r="H309" t="s">
        <v>109</v>
      </c>
      <c r="I309" t="s">
        <v>126</v>
      </c>
      <c r="J309" t="s">
        <v>127</v>
      </c>
      <c r="K309" t="s">
        <v>95</v>
      </c>
      <c r="L309">
        <v>4</v>
      </c>
      <c r="M309">
        <v>600</v>
      </c>
      <c r="N309">
        <v>10</v>
      </c>
      <c r="O309">
        <v>2160</v>
      </c>
      <c r="P309">
        <v>708.55</v>
      </c>
      <c r="Q309" t="s">
        <v>66</v>
      </c>
      <c r="R309" t="s">
        <v>56</v>
      </c>
      <c r="S309" t="s">
        <v>110</v>
      </c>
    </row>
    <row r="310" spans="1:19" x14ac:dyDescent="0.3">
      <c r="A310" t="s">
        <v>899</v>
      </c>
      <c r="B310" t="s">
        <v>900</v>
      </c>
      <c r="C310" s="1">
        <v>45724</v>
      </c>
      <c r="D310" t="s">
        <v>713</v>
      </c>
      <c r="E310" t="s">
        <v>714</v>
      </c>
      <c r="F310" t="s">
        <v>34</v>
      </c>
      <c r="G310" t="s">
        <v>35</v>
      </c>
      <c r="H310" t="s">
        <v>258</v>
      </c>
      <c r="I310" t="s">
        <v>71</v>
      </c>
      <c r="J310" t="s">
        <v>72</v>
      </c>
      <c r="K310" t="s">
        <v>73</v>
      </c>
      <c r="L310">
        <v>1</v>
      </c>
      <c r="M310">
        <v>3500</v>
      </c>
      <c r="N310">
        <v>15</v>
      </c>
      <c r="O310">
        <v>2975</v>
      </c>
      <c r="P310">
        <v>846.58</v>
      </c>
      <c r="Q310" t="s">
        <v>39</v>
      </c>
      <c r="R310" t="s">
        <v>29</v>
      </c>
      <c r="S310" t="s">
        <v>110</v>
      </c>
    </row>
    <row r="311" spans="1:19" x14ac:dyDescent="0.3">
      <c r="A311" t="s">
        <v>901</v>
      </c>
      <c r="B311" t="s">
        <v>902</v>
      </c>
      <c r="C311" s="1">
        <v>45567</v>
      </c>
      <c r="D311" t="s">
        <v>643</v>
      </c>
      <c r="E311" t="s">
        <v>644</v>
      </c>
      <c r="F311" t="s">
        <v>34</v>
      </c>
      <c r="G311" t="s">
        <v>61</v>
      </c>
      <c r="H311" t="s">
        <v>78</v>
      </c>
      <c r="I311" t="s">
        <v>46</v>
      </c>
      <c r="J311" t="s">
        <v>47</v>
      </c>
      <c r="K311" t="s">
        <v>48</v>
      </c>
      <c r="L311">
        <v>1</v>
      </c>
      <c r="M311">
        <v>180</v>
      </c>
      <c r="N311">
        <v>0</v>
      </c>
      <c r="O311">
        <v>180</v>
      </c>
      <c r="P311">
        <v>60.45</v>
      </c>
      <c r="Q311" t="s">
        <v>39</v>
      </c>
      <c r="R311" t="s">
        <v>29</v>
      </c>
      <c r="S311" t="s">
        <v>40</v>
      </c>
    </row>
    <row r="312" spans="1:19" x14ac:dyDescent="0.3">
      <c r="A312" t="s">
        <v>903</v>
      </c>
      <c r="B312" s="2">
        <v>45850</v>
      </c>
      <c r="C312" s="2">
        <v>45852</v>
      </c>
      <c r="D312" t="s">
        <v>904</v>
      </c>
      <c r="E312" t="s">
        <v>905</v>
      </c>
      <c r="F312" t="s">
        <v>23</v>
      </c>
      <c r="G312" t="s">
        <v>91</v>
      </c>
      <c r="H312" t="s">
        <v>92</v>
      </c>
      <c r="I312" t="s">
        <v>79</v>
      </c>
      <c r="J312" t="s">
        <v>80</v>
      </c>
      <c r="K312" t="s">
        <v>65</v>
      </c>
      <c r="L312">
        <v>3</v>
      </c>
      <c r="M312">
        <v>3000</v>
      </c>
      <c r="N312">
        <v>0</v>
      </c>
      <c r="O312">
        <v>9000</v>
      </c>
      <c r="P312">
        <v>2629.89</v>
      </c>
      <c r="Q312" t="s">
        <v>74</v>
      </c>
      <c r="R312" t="s">
        <v>56</v>
      </c>
      <c r="S312" t="s">
        <v>50</v>
      </c>
    </row>
    <row r="313" spans="1:19" x14ac:dyDescent="0.3">
      <c r="A313" t="s">
        <v>906</v>
      </c>
      <c r="B313" s="1">
        <v>45961</v>
      </c>
      <c r="C313" s="2">
        <v>45968</v>
      </c>
      <c r="D313" t="s">
        <v>653</v>
      </c>
      <c r="E313" t="s">
        <v>654</v>
      </c>
      <c r="F313" t="s">
        <v>23</v>
      </c>
      <c r="G313" t="s">
        <v>44</v>
      </c>
      <c r="H313" t="s">
        <v>330</v>
      </c>
      <c r="I313" t="s">
        <v>103</v>
      </c>
      <c r="J313" t="s">
        <v>104</v>
      </c>
      <c r="K313" t="s">
        <v>65</v>
      </c>
      <c r="M313">
        <v>8000</v>
      </c>
      <c r="N313">
        <v>15</v>
      </c>
      <c r="O313">
        <v>6800</v>
      </c>
      <c r="P313">
        <v>1196.95</v>
      </c>
      <c r="Q313" t="s">
        <v>28</v>
      </c>
      <c r="R313" t="s">
        <v>49</v>
      </c>
      <c r="S313" t="s">
        <v>50</v>
      </c>
    </row>
    <row r="314" spans="1:19" x14ac:dyDescent="0.3">
      <c r="A314" t="s">
        <v>907</v>
      </c>
      <c r="B314" s="1">
        <v>45723</v>
      </c>
      <c r="C314" s="2">
        <v>45727</v>
      </c>
      <c r="D314" t="s">
        <v>457</v>
      </c>
      <c r="E314" t="s">
        <v>458</v>
      </c>
      <c r="F314" t="s">
        <v>55</v>
      </c>
      <c r="G314" t="s">
        <v>44</v>
      </c>
      <c r="H314" t="s">
        <v>24</v>
      </c>
      <c r="I314" t="s">
        <v>134</v>
      </c>
      <c r="J314" t="s">
        <v>135</v>
      </c>
      <c r="K314" t="s">
        <v>27</v>
      </c>
      <c r="L314">
        <v>3</v>
      </c>
      <c r="M314">
        <v>6000</v>
      </c>
      <c r="N314">
        <v>0</v>
      </c>
      <c r="O314">
        <v>18000</v>
      </c>
      <c r="P314">
        <v>3301.02</v>
      </c>
      <c r="R314" t="s">
        <v>56</v>
      </c>
      <c r="S314" t="s">
        <v>110</v>
      </c>
    </row>
    <row r="315" spans="1:19" x14ac:dyDescent="0.3">
      <c r="A315" t="s">
        <v>908</v>
      </c>
      <c r="B315" s="2">
        <v>45563</v>
      </c>
      <c r="C315" s="1">
        <v>45571</v>
      </c>
      <c r="D315" t="s">
        <v>716</v>
      </c>
      <c r="E315" t="s">
        <v>717</v>
      </c>
      <c r="F315" t="s">
        <v>23</v>
      </c>
      <c r="G315" t="s">
        <v>35</v>
      </c>
      <c r="H315" t="s">
        <v>85</v>
      </c>
      <c r="I315" t="s">
        <v>134</v>
      </c>
      <c r="J315" t="s">
        <v>135</v>
      </c>
      <c r="K315" t="s">
        <v>27</v>
      </c>
      <c r="L315">
        <v>1</v>
      </c>
      <c r="M315">
        <v>6000</v>
      </c>
      <c r="N315">
        <v>0</v>
      </c>
      <c r="O315">
        <v>6000</v>
      </c>
      <c r="Q315" t="s">
        <v>121</v>
      </c>
      <c r="R315" t="s">
        <v>49</v>
      </c>
      <c r="S315" t="s">
        <v>86</v>
      </c>
    </row>
    <row r="316" spans="1:19" x14ac:dyDescent="0.3">
      <c r="A316" t="s">
        <v>909</v>
      </c>
      <c r="B316" s="1">
        <v>45405</v>
      </c>
      <c r="C316" s="2">
        <v>45406</v>
      </c>
      <c r="D316" t="s">
        <v>910</v>
      </c>
      <c r="E316" t="s">
        <v>911</v>
      </c>
      <c r="F316" t="s">
        <v>34</v>
      </c>
      <c r="G316" t="s">
        <v>35</v>
      </c>
      <c r="H316" t="s">
        <v>36</v>
      </c>
      <c r="I316" t="s">
        <v>134</v>
      </c>
      <c r="J316" t="s">
        <v>135</v>
      </c>
      <c r="K316" t="s">
        <v>27</v>
      </c>
      <c r="L316">
        <v>3</v>
      </c>
      <c r="M316">
        <v>6000</v>
      </c>
      <c r="N316">
        <v>0</v>
      </c>
      <c r="O316">
        <v>18000</v>
      </c>
      <c r="P316">
        <v>3544.39</v>
      </c>
      <c r="Q316" t="s">
        <v>121</v>
      </c>
      <c r="R316" t="s">
        <v>49</v>
      </c>
      <c r="S316" t="s">
        <v>40</v>
      </c>
    </row>
    <row r="317" spans="1:19" x14ac:dyDescent="0.3">
      <c r="A317" t="s">
        <v>912</v>
      </c>
      <c r="B317" s="1">
        <v>45911</v>
      </c>
      <c r="C317" s="2">
        <v>45918</v>
      </c>
      <c r="D317" t="s">
        <v>904</v>
      </c>
      <c r="E317" t="s">
        <v>905</v>
      </c>
      <c r="F317" t="s">
        <v>23</v>
      </c>
      <c r="G317" t="s">
        <v>91</v>
      </c>
      <c r="H317" t="s">
        <v>92</v>
      </c>
      <c r="I317" t="s">
        <v>79</v>
      </c>
      <c r="J317" t="s">
        <v>80</v>
      </c>
      <c r="K317" t="s">
        <v>65</v>
      </c>
      <c r="L317">
        <v>2</v>
      </c>
      <c r="M317">
        <v>3000</v>
      </c>
      <c r="N317">
        <v>15</v>
      </c>
      <c r="O317">
        <v>5100</v>
      </c>
      <c r="P317">
        <v>1083.92</v>
      </c>
      <c r="Q317" t="s">
        <v>66</v>
      </c>
      <c r="R317" t="s">
        <v>56</v>
      </c>
      <c r="S317" t="s">
        <v>110</v>
      </c>
    </row>
    <row r="318" spans="1:19" x14ac:dyDescent="0.3">
      <c r="A318" t="s">
        <v>913</v>
      </c>
      <c r="B318" s="2">
        <v>45751</v>
      </c>
      <c r="C318" s="1">
        <v>45755</v>
      </c>
      <c r="D318" t="s">
        <v>767</v>
      </c>
      <c r="E318" t="s">
        <v>914</v>
      </c>
      <c r="F318" t="s">
        <v>23</v>
      </c>
      <c r="G318" t="s">
        <v>35</v>
      </c>
      <c r="H318" t="s">
        <v>258</v>
      </c>
      <c r="I318" t="s">
        <v>93</v>
      </c>
      <c r="J318" t="s">
        <v>94</v>
      </c>
      <c r="K318" t="s">
        <v>95</v>
      </c>
      <c r="L318">
        <v>10</v>
      </c>
      <c r="M318">
        <v>1800</v>
      </c>
      <c r="N318">
        <v>15</v>
      </c>
      <c r="O318">
        <v>15300</v>
      </c>
      <c r="P318">
        <v>5740.96</v>
      </c>
      <c r="Q318" t="s">
        <v>121</v>
      </c>
      <c r="R318" t="s">
        <v>29</v>
      </c>
      <c r="S318" t="s">
        <v>110</v>
      </c>
    </row>
    <row r="319" spans="1:19" x14ac:dyDescent="0.3">
      <c r="A319" t="s">
        <v>915</v>
      </c>
      <c r="B319" t="s">
        <v>916</v>
      </c>
      <c r="C319" s="1">
        <v>45994</v>
      </c>
      <c r="D319" t="s">
        <v>288</v>
      </c>
      <c r="E319" t="s">
        <v>289</v>
      </c>
      <c r="F319" t="s">
        <v>34</v>
      </c>
      <c r="G319" t="s">
        <v>44</v>
      </c>
      <c r="H319" t="s">
        <v>155</v>
      </c>
      <c r="I319" t="s">
        <v>126</v>
      </c>
      <c r="J319" t="s">
        <v>127</v>
      </c>
      <c r="K319" t="s">
        <v>95</v>
      </c>
      <c r="L319">
        <v>2</v>
      </c>
      <c r="M319">
        <v>600</v>
      </c>
      <c r="N319">
        <v>0</v>
      </c>
      <c r="O319">
        <v>1200</v>
      </c>
      <c r="P319">
        <v>490.95</v>
      </c>
      <c r="Q319" t="s">
        <v>39</v>
      </c>
      <c r="R319" t="s">
        <v>49</v>
      </c>
      <c r="S319" t="s">
        <v>30</v>
      </c>
    </row>
    <row r="320" spans="1:19" x14ac:dyDescent="0.3">
      <c r="A320" t="s">
        <v>917</v>
      </c>
      <c r="B320" s="2">
        <v>45953</v>
      </c>
      <c r="C320" t="s">
        <v>918</v>
      </c>
      <c r="D320" t="s">
        <v>919</v>
      </c>
      <c r="E320" t="s">
        <v>920</v>
      </c>
      <c r="F320" t="s">
        <v>23</v>
      </c>
      <c r="G320" t="s">
        <v>35</v>
      </c>
      <c r="H320" t="s">
        <v>36</v>
      </c>
      <c r="I320" t="s">
        <v>103</v>
      </c>
      <c r="J320" t="s">
        <v>104</v>
      </c>
      <c r="K320" t="s">
        <v>65</v>
      </c>
      <c r="L320">
        <v>2</v>
      </c>
      <c r="M320">
        <v>8000</v>
      </c>
      <c r="N320">
        <v>5</v>
      </c>
      <c r="O320">
        <v>15200</v>
      </c>
      <c r="P320">
        <v>3288.07</v>
      </c>
      <c r="Q320" t="s">
        <v>28</v>
      </c>
      <c r="R320" t="s">
        <v>49</v>
      </c>
      <c r="S320" t="s">
        <v>50</v>
      </c>
    </row>
    <row r="321" spans="1:19" x14ac:dyDescent="0.3">
      <c r="A321" t="s">
        <v>921</v>
      </c>
      <c r="B321" s="1">
        <v>45413</v>
      </c>
      <c r="C321" s="1">
        <v>45419</v>
      </c>
      <c r="D321" t="s">
        <v>42</v>
      </c>
      <c r="E321" t="s">
        <v>43</v>
      </c>
      <c r="F321" t="s">
        <v>23</v>
      </c>
      <c r="G321" t="s">
        <v>44</v>
      </c>
      <c r="H321" t="s">
        <v>45</v>
      </c>
      <c r="I321" t="s">
        <v>37</v>
      </c>
      <c r="J321" t="s">
        <v>38</v>
      </c>
      <c r="K321" t="s">
        <v>27</v>
      </c>
      <c r="L321">
        <v>2</v>
      </c>
      <c r="M321">
        <v>9500</v>
      </c>
      <c r="N321">
        <v>5</v>
      </c>
      <c r="O321">
        <v>18050</v>
      </c>
      <c r="P321">
        <v>2686.33</v>
      </c>
      <c r="Q321" t="s">
        <v>39</v>
      </c>
      <c r="R321" t="s">
        <v>49</v>
      </c>
      <c r="S321" t="s">
        <v>86</v>
      </c>
    </row>
    <row r="322" spans="1:19" x14ac:dyDescent="0.3">
      <c r="A322" t="s">
        <v>922</v>
      </c>
      <c r="B322" s="1">
        <v>45722</v>
      </c>
      <c r="C322" s="2">
        <v>45730</v>
      </c>
      <c r="D322" t="s">
        <v>582</v>
      </c>
      <c r="E322" t="s">
        <v>583</v>
      </c>
      <c r="F322" t="s">
        <v>34</v>
      </c>
      <c r="G322" t="s">
        <v>61</v>
      </c>
      <c r="H322" t="s">
        <v>78</v>
      </c>
      <c r="I322" t="s">
        <v>93</v>
      </c>
      <c r="J322" t="s">
        <v>94</v>
      </c>
      <c r="K322" t="s">
        <v>95</v>
      </c>
      <c r="L322">
        <v>2</v>
      </c>
      <c r="M322">
        <v>1800</v>
      </c>
      <c r="N322">
        <v>0</v>
      </c>
      <c r="O322">
        <v>3600</v>
      </c>
      <c r="P322">
        <v>1154.8900000000001</v>
      </c>
      <c r="Q322" t="s">
        <v>39</v>
      </c>
      <c r="R322" t="s">
        <v>29</v>
      </c>
      <c r="S322" t="s">
        <v>110</v>
      </c>
    </row>
    <row r="323" spans="1:19" x14ac:dyDescent="0.3">
      <c r="A323" t="s">
        <v>923</v>
      </c>
      <c r="B323" s="2">
        <v>45310</v>
      </c>
      <c r="C323" s="2">
        <v>45312</v>
      </c>
      <c r="D323" t="s">
        <v>924</v>
      </c>
      <c r="E323" t="s">
        <v>925</v>
      </c>
      <c r="F323" t="s">
        <v>34</v>
      </c>
      <c r="G323" t="s">
        <v>35</v>
      </c>
      <c r="H323" t="s">
        <v>258</v>
      </c>
      <c r="I323" t="s">
        <v>37</v>
      </c>
      <c r="J323" t="s">
        <v>38</v>
      </c>
      <c r="K323" t="s">
        <v>27</v>
      </c>
      <c r="L323">
        <v>2</v>
      </c>
      <c r="M323">
        <v>9500</v>
      </c>
      <c r="N323">
        <v>15</v>
      </c>
      <c r="O323">
        <v>16150</v>
      </c>
      <c r="P323">
        <v>3507.89</v>
      </c>
      <c r="Q323" t="s">
        <v>28</v>
      </c>
      <c r="R323" t="s">
        <v>49</v>
      </c>
      <c r="S323" t="s">
        <v>30</v>
      </c>
    </row>
    <row r="324" spans="1:19" x14ac:dyDescent="0.3">
      <c r="A324" t="s">
        <v>926</v>
      </c>
      <c r="B324" s="2">
        <v>46006</v>
      </c>
      <c r="C324" s="1">
        <v>46007</v>
      </c>
      <c r="D324" t="s">
        <v>674</v>
      </c>
      <c r="E324" t="s">
        <v>675</v>
      </c>
      <c r="F324" t="s">
        <v>55</v>
      </c>
      <c r="G324" t="s">
        <v>91</v>
      </c>
      <c r="H324" t="s">
        <v>109</v>
      </c>
      <c r="I324" t="s">
        <v>134</v>
      </c>
      <c r="J324" t="s">
        <v>135</v>
      </c>
      <c r="K324" t="s">
        <v>27</v>
      </c>
      <c r="L324">
        <v>2</v>
      </c>
      <c r="M324">
        <v>6000</v>
      </c>
      <c r="N324">
        <v>20</v>
      </c>
      <c r="O324">
        <v>9600</v>
      </c>
      <c r="P324">
        <v>2004.33</v>
      </c>
      <c r="Q324" t="s">
        <v>74</v>
      </c>
      <c r="R324" t="s">
        <v>49</v>
      </c>
      <c r="S324" t="s">
        <v>86</v>
      </c>
    </row>
    <row r="325" spans="1:19" x14ac:dyDescent="0.3">
      <c r="A325" t="s">
        <v>927</v>
      </c>
      <c r="B325" s="2">
        <v>45992</v>
      </c>
      <c r="C325" s="1">
        <v>45912</v>
      </c>
      <c r="D325" t="s">
        <v>890</v>
      </c>
      <c r="E325" t="s">
        <v>891</v>
      </c>
      <c r="F325" t="s">
        <v>34</v>
      </c>
      <c r="G325" t="s">
        <v>35</v>
      </c>
      <c r="H325" t="s">
        <v>36</v>
      </c>
      <c r="I325" t="s">
        <v>114</v>
      </c>
      <c r="J325" t="s">
        <v>115</v>
      </c>
      <c r="K325" t="s">
        <v>65</v>
      </c>
      <c r="L325">
        <v>4</v>
      </c>
      <c r="M325">
        <v>55000</v>
      </c>
      <c r="N325">
        <v>20</v>
      </c>
      <c r="O325">
        <v>176000</v>
      </c>
      <c r="P325">
        <v>22533.8</v>
      </c>
      <c r="Q325" t="s">
        <v>66</v>
      </c>
      <c r="R325" t="s">
        <v>56</v>
      </c>
      <c r="S325" t="s">
        <v>50</v>
      </c>
    </row>
    <row r="326" spans="1:19" x14ac:dyDescent="0.3">
      <c r="A326" t="s">
        <v>928</v>
      </c>
      <c r="B326" t="s">
        <v>929</v>
      </c>
      <c r="D326" t="s">
        <v>288</v>
      </c>
      <c r="E326" t="s">
        <v>289</v>
      </c>
      <c r="F326" t="s">
        <v>34</v>
      </c>
      <c r="G326" t="s">
        <v>44</v>
      </c>
      <c r="H326" t="s">
        <v>155</v>
      </c>
      <c r="I326" t="s">
        <v>103</v>
      </c>
      <c r="J326" t="s">
        <v>104</v>
      </c>
      <c r="K326" t="s">
        <v>65</v>
      </c>
      <c r="M326">
        <v>8000</v>
      </c>
      <c r="N326">
        <v>0</v>
      </c>
      <c r="O326">
        <v>24000</v>
      </c>
      <c r="P326">
        <v>6234.08</v>
      </c>
      <c r="Q326" t="s">
        <v>121</v>
      </c>
      <c r="R326" t="s">
        <v>29</v>
      </c>
      <c r="S326" t="s">
        <v>86</v>
      </c>
    </row>
    <row r="327" spans="1:19" x14ac:dyDescent="0.3">
      <c r="A327" t="s">
        <v>930</v>
      </c>
      <c r="B327" s="1">
        <v>45412</v>
      </c>
      <c r="C327" s="1">
        <v>45413</v>
      </c>
      <c r="D327" t="s">
        <v>609</v>
      </c>
      <c r="E327" t="s">
        <v>610</v>
      </c>
      <c r="F327" t="s">
        <v>23</v>
      </c>
      <c r="G327" t="s">
        <v>44</v>
      </c>
      <c r="H327" t="s">
        <v>155</v>
      </c>
      <c r="I327" t="s">
        <v>126</v>
      </c>
      <c r="J327" t="s">
        <v>127</v>
      </c>
      <c r="K327" t="s">
        <v>95</v>
      </c>
      <c r="M327">
        <v>600</v>
      </c>
      <c r="N327">
        <v>5</v>
      </c>
      <c r="O327">
        <v>1140</v>
      </c>
      <c r="P327">
        <v>471.73</v>
      </c>
      <c r="Q327" t="s">
        <v>156</v>
      </c>
      <c r="R327" t="s">
        <v>49</v>
      </c>
      <c r="S327" t="s">
        <v>50</v>
      </c>
    </row>
    <row r="328" spans="1:19" x14ac:dyDescent="0.3">
      <c r="A328" t="s">
        <v>931</v>
      </c>
      <c r="B328" s="1">
        <v>45444</v>
      </c>
      <c r="C328" s="1">
        <v>45357</v>
      </c>
      <c r="D328" t="s">
        <v>101</v>
      </c>
      <c r="E328" t="s">
        <v>102</v>
      </c>
      <c r="F328" t="s">
        <v>55</v>
      </c>
      <c r="G328" t="s">
        <v>35</v>
      </c>
      <c r="H328" t="s">
        <v>36</v>
      </c>
      <c r="I328" t="s">
        <v>147</v>
      </c>
      <c r="J328" t="s">
        <v>148</v>
      </c>
      <c r="K328" t="s">
        <v>48</v>
      </c>
      <c r="L328">
        <v>3</v>
      </c>
      <c r="M328">
        <v>250</v>
      </c>
      <c r="N328">
        <v>0</v>
      </c>
      <c r="O328">
        <v>750</v>
      </c>
      <c r="P328">
        <v>219.53</v>
      </c>
      <c r="Q328" t="s">
        <v>121</v>
      </c>
      <c r="R328" t="s">
        <v>29</v>
      </c>
      <c r="S328" t="s">
        <v>30</v>
      </c>
    </row>
    <row r="329" spans="1:19" x14ac:dyDescent="0.3">
      <c r="A329" t="s">
        <v>932</v>
      </c>
      <c r="B329" t="s">
        <v>933</v>
      </c>
      <c r="C329" s="1">
        <v>45323</v>
      </c>
      <c r="D329" t="s">
        <v>924</v>
      </c>
      <c r="E329" t="s">
        <v>925</v>
      </c>
      <c r="F329" t="s">
        <v>34</v>
      </c>
      <c r="G329" t="s">
        <v>35</v>
      </c>
      <c r="H329" t="s">
        <v>258</v>
      </c>
      <c r="I329" t="s">
        <v>71</v>
      </c>
      <c r="J329" t="s">
        <v>72</v>
      </c>
      <c r="K329" t="s">
        <v>73</v>
      </c>
      <c r="L329">
        <v>4</v>
      </c>
      <c r="M329">
        <v>3500</v>
      </c>
      <c r="N329">
        <v>15</v>
      </c>
      <c r="O329">
        <v>11900</v>
      </c>
      <c r="P329">
        <v>3999.66</v>
      </c>
      <c r="Q329" t="s">
        <v>39</v>
      </c>
      <c r="R329" t="s">
        <v>56</v>
      </c>
      <c r="S329" t="s">
        <v>40</v>
      </c>
    </row>
    <row r="330" spans="1:19" x14ac:dyDescent="0.3">
      <c r="A330" t="s">
        <v>934</v>
      </c>
      <c r="B330" s="1">
        <v>45330</v>
      </c>
      <c r="C330" s="1">
        <v>45511</v>
      </c>
      <c r="D330" t="s">
        <v>713</v>
      </c>
      <c r="E330" t="s">
        <v>714</v>
      </c>
      <c r="F330" t="s">
        <v>34</v>
      </c>
      <c r="G330" t="s">
        <v>35</v>
      </c>
      <c r="H330" t="s">
        <v>258</v>
      </c>
      <c r="I330" t="s">
        <v>103</v>
      </c>
      <c r="J330" t="s">
        <v>104</v>
      </c>
      <c r="K330" t="s">
        <v>65</v>
      </c>
      <c r="L330">
        <v>2</v>
      </c>
      <c r="M330">
        <v>8000</v>
      </c>
      <c r="N330">
        <v>0</v>
      </c>
      <c r="O330">
        <v>16000</v>
      </c>
      <c r="P330">
        <v>3374.06</v>
      </c>
      <c r="Q330" t="s">
        <v>74</v>
      </c>
      <c r="R330" t="s">
        <v>56</v>
      </c>
      <c r="S330" t="s">
        <v>50</v>
      </c>
    </row>
    <row r="331" spans="1:19" x14ac:dyDescent="0.3">
      <c r="A331" t="s">
        <v>935</v>
      </c>
      <c r="B331" s="2">
        <v>45356</v>
      </c>
      <c r="C331" s="1">
        <v>45364</v>
      </c>
      <c r="D331" t="s">
        <v>936</v>
      </c>
      <c r="E331" t="s">
        <v>937</v>
      </c>
      <c r="F331" t="s">
        <v>23</v>
      </c>
      <c r="G331" t="s">
        <v>44</v>
      </c>
      <c r="H331" t="s">
        <v>161</v>
      </c>
      <c r="I331" t="s">
        <v>79</v>
      </c>
      <c r="J331" t="s">
        <v>80</v>
      </c>
      <c r="K331" t="s">
        <v>65</v>
      </c>
      <c r="L331">
        <v>1</v>
      </c>
      <c r="M331">
        <v>3000</v>
      </c>
      <c r="N331">
        <v>0</v>
      </c>
      <c r="O331">
        <v>120000</v>
      </c>
      <c r="P331">
        <v>781.6</v>
      </c>
      <c r="Q331" t="s">
        <v>66</v>
      </c>
      <c r="R331" t="s">
        <v>49</v>
      </c>
      <c r="S331" t="s">
        <v>110</v>
      </c>
    </row>
    <row r="332" spans="1:19" x14ac:dyDescent="0.3">
      <c r="A332" t="s">
        <v>938</v>
      </c>
      <c r="B332" s="1">
        <v>45395</v>
      </c>
      <c r="C332" s="1">
        <v>45399</v>
      </c>
      <c r="D332" t="s">
        <v>939</v>
      </c>
      <c r="E332" t="s">
        <v>940</v>
      </c>
      <c r="F332" t="s">
        <v>55</v>
      </c>
      <c r="G332" t="s">
        <v>61</v>
      </c>
      <c r="H332" t="s">
        <v>78</v>
      </c>
      <c r="I332" t="s">
        <v>63</v>
      </c>
      <c r="J332" t="s">
        <v>64</v>
      </c>
      <c r="K332" t="s">
        <v>65</v>
      </c>
      <c r="L332">
        <v>3</v>
      </c>
      <c r="M332">
        <v>25000</v>
      </c>
      <c r="N332">
        <v>10</v>
      </c>
      <c r="O332">
        <v>67500</v>
      </c>
      <c r="P332">
        <v>8648.09</v>
      </c>
      <c r="Q332" t="s">
        <v>39</v>
      </c>
      <c r="R332" t="s">
        <v>56</v>
      </c>
      <c r="S332" t="s">
        <v>50</v>
      </c>
    </row>
    <row r="333" spans="1:19" x14ac:dyDescent="0.3">
      <c r="A333" t="s">
        <v>941</v>
      </c>
      <c r="B333" s="2">
        <v>45623</v>
      </c>
      <c r="C333" s="1">
        <v>45626</v>
      </c>
      <c r="D333" t="s">
        <v>942</v>
      </c>
      <c r="E333" t="s">
        <v>943</v>
      </c>
      <c r="F333" t="s">
        <v>23</v>
      </c>
      <c r="G333" t="s">
        <v>44</v>
      </c>
      <c r="H333" t="s">
        <v>155</v>
      </c>
      <c r="I333" t="s">
        <v>37</v>
      </c>
      <c r="J333" t="s">
        <v>38</v>
      </c>
      <c r="K333" t="s">
        <v>27</v>
      </c>
      <c r="L333">
        <v>1</v>
      </c>
      <c r="M333">
        <v>9500</v>
      </c>
      <c r="N333">
        <v>20</v>
      </c>
      <c r="O333">
        <v>7600</v>
      </c>
      <c r="P333">
        <v>1428</v>
      </c>
      <c r="Q333" t="s">
        <v>66</v>
      </c>
      <c r="R333" t="s">
        <v>56</v>
      </c>
      <c r="S333" t="s">
        <v>50</v>
      </c>
    </row>
    <row r="334" spans="1:19" x14ac:dyDescent="0.3">
      <c r="A334" t="s">
        <v>944</v>
      </c>
      <c r="B334" s="2">
        <v>45555</v>
      </c>
      <c r="C334" s="1">
        <v>45556</v>
      </c>
      <c r="D334" t="s">
        <v>942</v>
      </c>
      <c r="E334" t="s">
        <v>943</v>
      </c>
      <c r="F334" t="s">
        <v>23</v>
      </c>
      <c r="G334" t="s">
        <v>44</v>
      </c>
      <c r="H334" t="s">
        <v>155</v>
      </c>
      <c r="I334" t="s">
        <v>134</v>
      </c>
      <c r="J334" t="s">
        <v>135</v>
      </c>
      <c r="K334" t="s">
        <v>27</v>
      </c>
      <c r="L334">
        <v>1</v>
      </c>
      <c r="M334">
        <v>6000</v>
      </c>
      <c r="N334">
        <v>15</v>
      </c>
      <c r="O334">
        <v>5100</v>
      </c>
      <c r="Q334" t="s">
        <v>39</v>
      </c>
      <c r="R334" t="s">
        <v>56</v>
      </c>
      <c r="S334" t="s">
        <v>86</v>
      </c>
    </row>
    <row r="335" spans="1:19" x14ac:dyDescent="0.3">
      <c r="A335" t="s">
        <v>945</v>
      </c>
      <c r="B335" s="1">
        <v>45944</v>
      </c>
      <c r="C335" t="s">
        <v>268</v>
      </c>
      <c r="D335" t="s">
        <v>129</v>
      </c>
      <c r="E335" t="s">
        <v>130</v>
      </c>
      <c r="F335" t="s">
        <v>34</v>
      </c>
      <c r="G335" t="s">
        <v>61</v>
      </c>
      <c r="H335" t="s">
        <v>78</v>
      </c>
      <c r="I335" t="s">
        <v>103</v>
      </c>
      <c r="J335" t="s">
        <v>104</v>
      </c>
      <c r="K335" t="s">
        <v>65</v>
      </c>
      <c r="L335">
        <v>5</v>
      </c>
      <c r="M335">
        <v>8000</v>
      </c>
      <c r="N335">
        <v>20</v>
      </c>
      <c r="O335">
        <v>32000</v>
      </c>
      <c r="P335">
        <v>8281.1299999999992</v>
      </c>
      <c r="Q335" t="s">
        <v>121</v>
      </c>
      <c r="R335" t="s">
        <v>29</v>
      </c>
      <c r="S335" t="s">
        <v>110</v>
      </c>
    </row>
    <row r="336" spans="1:19" x14ac:dyDescent="0.3">
      <c r="A336" t="s">
        <v>946</v>
      </c>
      <c r="B336" s="2">
        <v>45766</v>
      </c>
      <c r="C336" s="1">
        <v>45774</v>
      </c>
      <c r="D336" t="s">
        <v>947</v>
      </c>
      <c r="E336" t="s">
        <v>948</v>
      </c>
      <c r="F336" t="s">
        <v>55</v>
      </c>
      <c r="G336" t="s">
        <v>35</v>
      </c>
      <c r="H336" t="s">
        <v>36</v>
      </c>
      <c r="I336" t="s">
        <v>134</v>
      </c>
      <c r="J336" t="s">
        <v>135</v>
      </c>
      <c r="K336" t="s">
        <v>27</v>
      </c>
      <c r="L336">
        <v>1</v>
      </c>
      <c r="M336">
        <v>6000</v>
      </c>
      <c r="N336">
        <v>0</v>
      </c>
      <c r="O336">
        <v>6000</v>
      </c>
      <c r="P336">
        <v>1224.08</v>
      </c>
      <c r="Q336" t="s">
        <v>66</v>
      </c>
      <c r="R336" t="s">
        <v>49</v>
      </c>
      <c r="S336" t="s">
        <v>50</v>
      </c>
    </row>
    <row r="337" spans="1:19" x14ac:dyDescent="0.3">
      <c r="A337" t="s">
        <v>949</v>
      </c>
      <c r="B337" s="1">
        <v>45326</v>
      </c>
      <c r="C337" s="2">
        <v>45392</v>
      </c>
      <c r="D337" t="s">
        <v>83</v>
      </c>
      <c r="E337" t="s">
        <v>84</v>
      </c>
      <c r="F337" t="s">
        <v>34</v>
      </c>
      <c r="G337" t="s">
        <v>35</v>
      </c>
      <c r="H337" t="s">
        <v>85</v>
      </c>
      <c r="I337" t="s">
        <v>114</v>
      </c>
      <c r="J337" t="s">
        <v>115</v>
      </c>
      <c r="K337" t="s">
        <v>65</v>
      </c>
      <c r="L337">
        <v>1</v>
      </c>
      <c r="M337">
        <v>55000</v>
      </c>
      <c r="N337">
        <v>10</v>
      </c>
      <c r="O337">
        <v>49500</v>
      </c>
      <c r="Q337" t="s">
        <v>66</v>
      </c>
      <c r="R337" t="s">
        <v>49</v>
      </c>
      <c r="S337" t="s">
        <v>40</v>
      </c>
    </row>
    <row r="338" spans="1:19" x14ac:dyDescent="0.3">
      <c r="A338" t="s">
        <v>950</v>
      </c>
      <c r="B338" s="2">
        <v>45809</v>
      </c>
      <c r="C338" s="1">
        <v>45811</v>
      </c>
      <c r="D338" t="s">
        <v>425</v>
      </c>
      <c r="E338" t="s">
        <v>426</v>
      </c>
      <c r="F338" t="s">
        <v>34</v>
      </c>
      <c r="G338" t="s">
        <v>61</v>
      </c>
      <c r="H338" t="s">
        <v>125</v>
      </c>
      <c r="I338" t="s">
        <v>63</v>
      </c>
      <c r="J338" t="s">
        <v>64</v>
      </c>
      <c r="K338" t="s">
        <v>65</v>
      </c>
      <c r="L338">
        <v>1</v>
      </c>
      <c r="M338">
        <v>25000</v>
      </c>
      <c r="N338">
        <v>10</v>
      </c>
      <c r="O338">
        <v>22500</v>
      </c>
      <c r="P338">
        <v>3087.5</v>
      </c>
      <c r="Q338" t="s">
        <v>74</v>
      </c>
      <c r="R338" t="s">
        <v>29</v>
      </c>
      <c r="S338" t="s">
        <v>50</v>
      </c>
    </row>
    <row r="339" spans="1:19" x14ac:dyDescent="0.3">
      <c r="A339" t="s">
        <v>951</v>
      </c>
      <c r="B339" s="1">
        <v>45980</v>
      </c>
      <c r="C339" s="2">
        <v>45985</v>
      </c>
      <c r="D339" t="s">
        <v>308</v>
      </c>
      <c r="E339" t="s">
        <v>309</v>
      </c>
      <c r="F339" t="s">
        <v>34</v>
      </c>
      <c r="G339" t="s">
        <v>91</v>
      </c>
      <c r="H339" t="s">
        <v>177</v>
      </c>
      <c r="I339" t="s">
        <v>134</v>
      </c>
      <c r="J339" t="s">
        <v>135</v>
      </c>
      <c r="K339" t="s">
        <v>27</v>
      </c>
      <c r="L339">
        <v>5</v>
      </c>
      <c r="M339">
        <v>6000</v>
      </c>
      <c r="N339">
        <v>15</v>
      </c>
      <c r="O339">
        <v>25500</v>
      </c>
      <c r="P339">
        <v>4993.58</v>
      </c>
      <c r="R339" t="s">
        <v>29</v>
      </c>
      <c r="S339" t="s">
        <v>86</v>
      </c>
    </row>
    <row r="340" spans="1:19" x14ac:dyDescent="0.3">
      <c r="A340" t="s">
        <v>952</v>
      </c>
      <c r="B340" s="2">
        <v>45879</v>
      </c>
      <c r="C340" s="1">
        <v>45887</v>
      </c>
      <c r="D340" t="s">
        <v>166</v>
      </c>
      <c r="E340" t="s">
        <v>167</v>
      </c>
      <c r="F340" t="s">
        <v>23</v>
      </c>
      <c r="G340" t="s">
        <v>44</v>
      </c>
      <c r="H340" t="s">
        <v>161</v>
      </c>
      <c r="I340" t="s">
        <v>25</v>
      </c>
      <c r="J340" t="s">
        <v>26</v>
      </c>
      <c r="K340" t="s">
        <v>27</v>
      </c>
      <c r="L340">
        <v>3</v>
      </c>
      <c r="M340">
        <v>7000</v>
      </c>
      <c r="N340">
        <v>20</v>
      </c>
      <c r="O340">
        <v>16800</v>
      </c>
      <c r="P340">
        <v>3422.84</v>
      </c>
      <c r="Q340" t="s">
        <v>74</v>
      </c>
      <c r="R340" t="s">
        <v>56</v>
      </c>
      <c r="S340" t="s">
        <v>86</v>
      </c>
    </row>
    <row r="341" spans="1:19" x14ac:dyDescent="0.3">
      <c r="A341" t="s">
        <v>953</v>
      </c>
      <c r="B341" t="s">
        <v>954</v>
      </c>
      <c r="C341" s="1">
        <v>45568</v>
      </c>
      <c r="D341" t="s">
        <v>192</v>
      </c>
      <c r="E341" t="s">
        <v>193</v>
      </c>
      <c r="F341" t="s">
        <v>55</v>
      </c>
      <c r="G341" t="s">
        <v>35</v>
      </c>
      <c r="H341" t="s">
        <v>36</v>
      </c>
      <c r="I341" t="s">
        <v>25</v>
      </c>
      <c r="J341" t="s">
        <v>26</v>
      </c>
      <c r="K341" t="s">
        <v>27</v>
      </c>
      <c r="L341">
        <v>2</v>
      </c>
      <c r="M341">
        <v>7000</v>
      </c>
      <c r="N341">
        <v>5</v>
      </c>
      <c r="O341">
        <v>13300</v>
      </c>
      <c r="P341">
        <v>2049.04</v>
      </c>
      <c r="R341" t="s">
        <v>29</v>
      </c>
      <c r="S341" t="s">
        <v>86</v>
      </c>
    </row>
    <row r="342" spans="1:19" x14ac:dyDescent="0.3">
      <c r="A342" t="s">
        <v>955</v>
      </c>
      <c r="B342" s="1">
        <v>45525</v>
      </c>
      <c r="C342" s="2">
        <v>45527</v>
      </c>
      <c r="D342" t="s">
        <v>956</v>
      </c>
      <c r="E342" t="s">
        <v>957</v>
      </c>
      <c r="F342" t="s">
        <v>55</v>
      </c>
      <c r="G342" t="s">
        <v>44</v>
      </c>
      <c r="H342" t="s">
        <v>24</v>
      </c>
      <c r="I342" t="s">
        <v>46</v>
      </c>
      <c r="J342" t="s">
        <v>47</v>
      </c>
      <c r="K342" t="s">
        <v>48</v>
      </c>
      <c r="L342">
        <v>2</v>
      </c>
      <c r="M342">
        <v>180</v>
      </c>
      <c r="N342">
        <v>20</v>
      </c>
      <c r="O342">
        <v>288</v>
      </c>
      <c r="P342">
        <v>141.76</v>
      </c>
      <c r="Q342" t="s">
        <v>28</v>
      </c>
      <c r="R342" t="s">
        <v>29</v>
      </c>
      <c r="S342" t="s">
        <v>40</v>
      </c>
    </row>
    <row r="343" spans="1:19" x14ac:dyDescent="0.3">
      <c r="A343" t="s">
        <v>958</v>
      </c>
      <c r="B343" s="1">
        <v>45514</v>
      </c>
      <c r="C343" s="1">
        <v>45517</v>
      </c>
      <c r="D343" t="s">
        <v>959</v>
      </c>
      <c r="E343" t="s">
        <v>960</v>
      </c>
      <c r="F343" t="s">
        <v>34</v>
      </c>
      <c r="G343" t="s">
        <v>35</v>
      </c>
      <c r="H343" t="s">
        <v>187</v>
      </c>
      <c r="I343" t="s">
        <v>147</v>
      </c>
      <c r="J343" t="s">
        <v>148</v>
      </c>
      <c r="K343" t="s">
        <v>48</v>
      </c>
      <c r="L343">
        <v>5</v>
      </c>
      <c r="M343">
        <v>250</v>
      </c>
      <c r="N343">
        <v>15</v>
      </c>
      <c r="O343">
        <v>1062.5</v>
      </c>
      <c r="P343">
        <v>396.53</v>
      </c>
      <c r="Q343" t="s">
        <v>66</v>
      </c>
      <c r="R343" t="s">
        <v>49</v>
      </c>
      <c r="S343" t="s">
        <v>50</v>
      </c>
    </row>
    <row r="344" spans="1:19" x14ac:dyDescent="0.3">
      <c r="A344" t="s">
        <v>961</v>
      </c>
      <c r="B344" s="2">
        <v>45530</v>
      </c>
      <c r="C344" s="1">
        <v>45538</v>
      </c>
      <c r="D344" t="s">
        <v>588</v>
      </c>
      <c r="E344" t="s">
        <v>962</v>
      </c>
      <c r="F344" t="s">
        <v>23</v>
      </c>
      <c r="G344" t="s">
        <v>61</v>
      </c>
      <c r="H344" t="s">
        <v>62</v>
      </c>
      <c r="I344" t="s">
        <v>126</v>
      </c>
      <c r="J344" t="s">
        <v>127</v>
      </c>
      <c r="K344" t="s">
        <v>95</v>
      </c>
      <c r="L344">
        <v>1</v>
      </c>
      <c r="M344">
        <v>600</v>
      </c>
      <c r="N344">
        <v>5</v>
      </c>
      <c r="O344">
        <v>570</v>
      </c>
      <c r="R344" t="s">
        <v>56</v>
      </c>
      <c r="S344" t="s">
        <v>50</v>
      </c>
    </row>
    <row r="345" spans="1:19" x14ac:dyDescent="0.3">
      <c r="A345" t="s">
        <v>963</v>
      </c>
      <c r="B345" s="2">
        <v>45325</v>
      </c>
      <c r="C345" s="1">
        <v>45506</v>
      </c>
      <c r="D345" t="s">
        <v>466</v>
      </c>
      <c r="E345" t="s">
        <v>467</v>
      </c>
      <c r="F345" t="s">
        <v>34</v>
      </c>
      <c r="G345" t="s">
        <v>61</v>
      </c>
      <c r="H345" t="s">
        <v>78</v>
      </c>
      <c r="I345" t="s">
        <v>103</v>
      </c>
      <c r="J345" t="s">
        <v>104</v>
      </c>
      <c r="K345" t="s">
        <v>65</v>
      </c>
      <c r="L345">
        <v>2</v>
      </c>
      <c r="M345">
        <v>8000</v>
      </c>
      <c r="N345">
        <v>0</v>
      </c>
      <c r="O345">
        <v>16000</v>
      </c>
      <c r="P345">
        <v>3927.41</v>
      </c>
      <c r="Q345" t="s">
        <v>74</v>
      </c>
      <c r="R345" t="s">
        <v>49</v>
      </c>
      <c r="S345" t="s">
        <v>40</v>
      </c>
    </row>
    <row r="346" spans="1:19" x14ac:dyDescent="0.3">
      <c r="A346" t="s">
        <v>964</v>
      </c>
      <c r="B346" s="1">
        <v>45980</v>
      </c>
      <c r="C346" s="1">
        <v>45988</v>
      </c>
      <c r="D346" t="s">
        <v>965</v>
      </c>
      <c r="E346" t="s">
        <v>966</v>
      </c>
      <c r="F346" t="s">
        <v>34</v>
      </c>
      <c r="G346" t="s">
        <v>44</v>
      </c>
      <c r="H346" t="s">
        <v>45</v>
      </c>
      <c r="I346" t="s">
        <v>93</v>
      </c>
      <c r="J346" t="s">
        <v>94</v>
      </c>
      <c r="K346" t="s">
        <v>95</v>
      </c>
      <c r="L346">
        <v>1</v>
      </c>
      <c r="M346">
        <v>1800</v>
      </c>
      <c r="N346">
        <v>15</v>
      </c>
      <c r="O346">
        <v>1530</v>
      </c>
      <c r="P346">
        <v>384.33</v>
      </c>
      <c r="Q346" t="s">
        <v>121</v>
      </c>
      <c r="R346" t="s">
        <v>56</v>
      </c>
      <c r="S346" t="s">
        <v>50</v>
      </c>
    </row>
    <row r="347" spans="1:19" x14ac:dyDescent="0.3">
      <c r="A347" t="s">
        <v>967</v>
      </c>
      <c r="B347" s="1">
        <v>45908</v>
      </c>
      <c r="C347" s="1">
        <v>45883</v>
      </c>
      <c r="D347" t="s">
        <v>699</v>
      </c>
      <c r="E347" t="s">
        <v>700</v>
      </c>
      <c r="F347" t="s">
        <v>23</v>
      </c>
      <c r="G347" t="s">
        <v>35</v>
      </c>
      <c r="H347" t="s">
        <v>36</v>
      </c>
      <c r="I347" t="s">
        <v>93</v>
      </c>
      <c r="J347" t="s">
        <v>94</v>
      </c>
      <c r="K347" t="s">
        <v>95</v>
      </c>
      <c r="L347">
        <v>4</v>
      </c>
      <c r="M347">
        <v>1800</v>
      </c>
      <c r="N347">
        <v>20</v>
      </c>
      <c r="O347">
        <v>5760</v>
      </c>
      <c r="P347">
        <v>2040.61</v>
      </c>
      <c r="Q347" t="s">
        <v>39</v>
      </c>
      <c r="R347" t="s">
        <v>56</v>
      </c>
      <c r="S347" t="s">
        <v>40</v>
      </c>
    </row>
    <row r="348" spans="1:19" x14ac:dyDescent="0.3">
      <c r="A348" t="s">
        <v>968</v>
      </c>
      <c r="B348" s="1">
        <v>45602</v>
      </c>
      <c r="C348" s="1">
        <v>45610</v>
      </c>
      <c r="D348" t="s">
        <v>861</v>
      </c>
      <c r="E348" t="s">
        <v>862</v>
      </c>
      <c r="F348" t="s">
        <v>55</v>
      </c>
      <c r="G348" t="s">
        <v>44</v>
      </c>
      <c r="H348" t="s">
        <v>24</v>
      </c>
      <c r="I348" t="s">
        <v>25</v>
      </c>
      <c r="J348" t="s">
        <v>26</v>
      </c>
      <c r="K348" t="s">
        <v>27</v>
      </c>
      <c r="L348">
        <v>2</v>
      </c>
      <c r="M348">
        <v>7000</v>
      </c>
      <c r="N348">
        <v>10</v>
      </c>
      <c r="O348">
        <v>12600</v>
      </c>
      <c r="P348">
        <v>2365.15</v>
      </c>
      <c r="Q348" t="s">
        <v>121</v>
      </c>
      <c r="R348" t="s">
        <v>49</v>
      </c>
      <c r="S348" t="s">
        <v>50</v>
      </c>
    </row>
    <row r="349" spans="1:19" x14ac:dyDescent="0.3">
      <c r="A349" t="s">
        <v>969</v>
      </c>
      <c r="B349" s="1">
        <v>45951</v>
      </c>
      <c r="C349" s="2">
        <v>45955</v>
      </c>
      <c r="D349" t="s">
        <v>182</v>
      </c>
      <c r="E349" t="s">
        <v>183</v>
      </c>
      <c r="F349" t="s">
        <v>55</v>
      </c>
      <c r="G349" t="s">
        <v>44</v>
      </c>
      <c r="H349" t="s">
        <v>45</v>
      </c>
      <c r="I349" t="s">
        <v>63</v>
      </c>
      <c r="J349" t="s">
        <v>64</v>
      </c>
      <c r="K349" t="s">
        <v>65</v>
      </c>
      <c r="L349">
        <v>3</v>
      </c>
      <c r="M349">
        <v>25000</v>
      </c>
      <c r="N349">
        <v>15</v>
      </c>
      <c r="O349">
        <v>63750</v>
      </c>
      <c r="P349">
        <v>8941.59</v>
      </c>
      <c r="Q349" t="s">
        <v>28</v>
      </c>
      <c r="R349" t="s">
        <v>56</v>
      </c>
      <c r="S349" t="s">
        <v>86</v>
      </c>
    </row>
    <row r="350" spans="1:19" x14ac:dyDescent="0.3">
      <c r="A350" t="s">
        <v>970</v>
      </c>
      <c r="B350" s="1">
        <v>45294</v>
      </c>
      <c r="C350" s="2">
        <v>45355</v>
      </c>
      <c r="D350" t="s">
        <v>189</v>
      </c>
      <c r="E350" t="s">
        <v>971</v>
      </c>
      <c r="F350" t="s">
        <v>23</v>
      </c>
      <c r="G350" t="s">
        <v>91</v>
      </c>
      <c r="H350" t="s">
        <v>120</v>
      </c>
      <c r="I350" t="s">
        <v>134</v>
      </c>
      <c r="J350" t="s">
        <v>135</v>
      </c>
      <c r="K350" t="s">
        <v>27</v>
      </c>
      <c r="L350">
        <v>10</v>
      </c>
      <c r="M350">
        <v>6000</v>
      </c>
      <c r="N350">
        <v>20</v>
      </c>
      <c r="O350">
        <v>48000</v>
      </c>
      <c r="P350">
        <v>11086.37</v>
      </c>
      <c r="Q350" t="s">
        <v>121</v>
      </c>
      <c r="R350" t="s">
        <v>29</v>
      </c>
      <c r="S350" t="s">
        <v>110</v>
      </c>
    </row>
    <row r="351" spans="1:19" x14ac:dyDescent="0.3">
      <c r="A351" t="s">
        <v>972</v>
      </c>
      <c r="B351" t="s">
        <v>260</v>
      </c>
      <c r="C351" s="1">
        <v>45313</v>
      </c>
      <c r="D351" t="s">
        <v>973</v>
      </c>
      <c r="E351" t="s">
        <v>974</v>
      </c>
      <c r="F351" t="s">
        <v>34</v>
      </c>
      <c r="G351" t="s">
        <v>91</v>
      </c>
      <c r="H351" t="s">
        <v>177</v>
      </c>
      <c r="I351" t="s">
        <v>114</v>
      </c>
      <c r="J351" t="s">
        <v>115</v>
      </c>
      <c r="K351" t="s">
        <v>65</v>
      </c>
      <c r="L351">
        <v>3</v>
      </c>
      <c r="M351">
        <v>55000</v>
      </c>
      <c r="N351">
        <v>0</v>
      </c>
      <c r="O351">
        <v>165000</v>
      </c>
      <c r="P351">
        <v>30712.560000000001</v>
      </c>
      <c r="R351" t="s">
        <v>29</v>
      </c>
      <c r="S351" t="s">
        <v>40</v>
      </c>
    </row>
    <row r="352" spans="1:19" x14ac:dyDescent="0.3">
      <c r="A352" t="s">
        <v>975</v>
      </c>
      <c r="B352" s="2">
        <v>45544</v>
      </c>
      <c r="C352" s="1">
        <v>45551</v>
      </c>
      <c r="D352" t="s">
        <v>483</v>
      </c>
      <c r="E352" t="s">
        <v>484</v>
      </c>
      <c r="F352" t="s">
        <v>55</v>
      </c>
      <c r="G352" t="s">
        <v>61</v>
      </c>
      <c r="H352" t="s">
        <v>62</v>
      </c>
      <c r="I352" t="s">
        <v>37</v>
      </c>
      <c r="J352" t="s">
        <v>38</v>
      </c>
      <c r="K352" t="s">
        <v>27</v>
      </c>
      <c r="L352">
        <v>3</v>
      </c>
      <c r="M352">
        <v>9500</v>
      </c>
      <c r="N352">
        <v>15</v>
      </c>
      <c r="O352">
        <v>24225</v>
      </c>
      <c r="P352">
        <v>4825.26</v>
      </c>
      <c r="Q352" t="s">
        <v>74</v>
      </c>
      <c r="R352" t="s">
        <v>49</v>
      </c>
      <c r="S352" t="s">
        <v>50</v>
      </c>
    </row>
    <row r="353" spans="1:19" x14ac:dyDescent="0.3">
      <c r="A353" t="s">
        <v>976</v>
      </c>
      <c r="B353" s="1">
        <v>45585</v>
      </c>
      <c r="C353" s="1">
        <v>45590</v>
      </c>
      <c r="D353" t="s">
        <v>223</v>
      </c>
      <c r="E353" t="s">
        <v>224</v>
      </c>
      <c r="F353" t="s">
        <v>34</v>
      </c>
      <c r="G353" t="s">
        <v>35</v>
      </c>
      <c r="H353" t="s">
        <v>85</v>
      </c>
      <c r="I353" t="s">
        <v>93</v>
      </c>
      <c r="J353" t="s">
        <v>94</v>
      </c>
      <c r="K353" t="s">
        <v>95</v>
      </c>
      <c r="L353">
        <v>1</v>
      </c>
      <c r="M353">
        <v>1800</v>
      </c>
      <c r="N353">
        <v>5</v>
      </c>
      <c r="O353">
        <v>1710</v>
      </c>
      <c r="Q353" t="s">
        <v>156</v>
      </c>
      <c r="R353" t="s">
        <v>29</v>
      </c>
      <c r="S353" t="s">
        <v>86</v>
      </c>
    </row>
    <row r="354" spans="1:19" x14ac:dyDescent="0.3">
      <c r="A354" t="s">
        <v>977</v>
      </c>
      <c r="B354" t="s">
        <v>978</v>
      </c>
      <c r="C354" s="1">
        <v>46014</v>
      </c>
      <c r="D354" t="s">
        <v>32</v>
      </c>
      <c r="E354" t="s">
        <v>33</v>
      </c>
      <c r="F354" t="s">
        <v>34</v>
      </c>
      <c r="G354" t="s">
        <v>35</v>
      </c>
      <c r="H354" t="s">
        <v>36</v>
      </c>
      <c r="I354" t="s">
        <v>93</v>
      </c>
      <c r="J354" t="s">
        <v>94</v>
      </c>
      <c r="K354" t="s">
        <v>95</v>
      </c>
      <c r="L354">
        <v>10</v>
      </c>
      <c r="M354">
        <v>1800</v>
      </c>
      <c r="N354">
        <v>0</v>
      </c>
      <c r="O354">
        <v>18000</v>
      </c>
      <c r="P354">
        <v>6512.97</v>
      </c>
      <c r="Q354" t="s">
        <v>39</v>
      </c>
      <c r="R354" t="s">
        <v>49</v>
      </c>
      <c r="S354" t="s">
        <v>30</v>
      </c>
    </row>
    <row r="355" spans="1:19" x14ac:dyDescent="0.3">
      <c r="A355" t="s">
        <v>979</v>
      </c>
      <c r="B355" s="2">
        <v>45669</v>
      </c>
      <c r="C355" s="1">
        <v>45674</v>
      </c>
      <c r="D355" t="s">
        <v>209</v>
      </c>
      <c r="E355" t="s">
        <v>210</v>
      </c>
      <c r="F355" t="s">
        <v>34</v>
      </c>
      <c r="G355" t="s">
        <v>61</v>
      </c>
      <c r="H355" t="s">
        <v>211</v>
      </c>
      <c r="I355" t="s">
        <v>46</v>
      </c>
      <c r="J355" t="s">
        <v>47</v>
      </c>
      <c r="K355" t="s">
        <v>48</v>
      </c>
      <c r="L355">
        <v>10</v>
      </c>
      <c r="M355">
        <v>180</v>
      </c>
      <c r="N355">
        <v>10</v>
      </c>
      <c r="O355">
        <v>1620</v>
      </c>
      <c r="P355">
        <v>716.62</v>
      </c>
      <c r="Q355" t="s">
        <v>74</v>
      </c>
      <c r="R355" t="s">
        <v>56</v>
      </c>
      <c r="S355" t="s">
        <v>50</v>
      </c>
    </row>
    <row r="356" spans="1:19" x14ac:dyDescent="0.3">
      <c r="A356" t="s">
        <v>980</v>
      </c>
      <c r="B356" s="2">
        <v>45987</v>
      </c>
      <c r="C356" s="1">
        <v>45995</v>
      </c>
      <c r="D356" t="s">
        <v>981</v>
      </c>
      <c r="E356" t="s">
        <v>982</v>
      </c>
      <c r="F356" t="s">
        <v>23</v>
      </c>
      <c r="G356" t="s">
        <v>91</v>
      </c>
      <c r="I356" t="s">
        <v>46</v>
      </c>
      <c r="J356" t="s">
        <v>47</v>
      </c>
      <c r="K356" t="s">
        <v>48</v>
      </c>
      <c r="L356">
        <v>1</v>
      </c>
      <c r="M356">
        <v>180</v>
      </c>
      <c r="N356">
        <v>20</v>
      </c>
      <c r="O356">
        <v>144</v>
      </c>
      <c r="P356">
        <v>61.11</v>
      </c>
      <c r="Q356" t="s">
        <v>66</v>
      </c>
      <c r="R356" t="s">
        <v>29</v>
      </c>
      <c r="S356" t="s">
        <v>86</v>
      </c>
    </row>
    <row r="357" spans="1:19" x14ac:dyDescent="0.3">
      <c r="A357" t="s">
        <v>983</v>
      </c>
      <c r="B357" s="1">
        <v>45930</v>
      </c>
      <c r="C357" s="1">
        <v>45936</v>
      </c>
      <c r="D357" t="s">
        <v>919</v>
      </c>
      <c r="E357" t="s">
        <v>920</v>
      </c>
      <c r="F357" t="s">
        <v>23</v>
      </c>
      <c r="G357" t="s">
        <v>35</v>
      </c>
      <c r="H357" t="s">
        <v>36</v>
      </c>
      <c r="I357" t="s">
        <v>114</v>
      </c>
      <c r="J357" t="s">
        <v>115</v>
      </c>
      <c r="K357" t="s">
        <v>65</v>
      </c>
      <c r="L357">
        <v>4</v>
      </c>
      <c r="M357">
        <v>55000</v>
      </c>
      <c r="N357">
        <v>0</v>
      </c>
      <c r="O357">
        <v>220000</v>
      </c>
      <c r="P357">
        <v>27855.24</v>
      </c>
      <c r="Q357" t="s">
        <v>28</v>
      </c>
      <c r="R357" t="s">
        <v>29</v>
      </c>
      <c r="S357" t="s">
        <v>110</v>
      </c>
    </row>
    <row r="358" spans="1:19" x14ac:dyDescent="0.3">
      <c r="A358" t="s">
        <v>984</v>
      </c>
      <c r="B358" s="1">
        <v>45723</v>
      </c>
      <c r="C358" t="s">
        <v>985</v>
      </c>
      <c r="D358" t="s">
        <v>76</v>
      </c>
      <c r="E358" t="s">
        <v>666</v>
      </c>
      <c r="F358" t="s">
        <v>23</v>
      </c>
      <c r="G358" t="s">
        <v>61</v>
      </c>
      <c r="H358" t="s">
        <v>78</v>
      </c>
      <c r="I358" t="s">
        <v>134</v>
      </c>
      <c r="J358" t="s">
        <v>135</v>
      </c>
      <c r="K358" t="s">
        <v>27</v>
      </c>
      <c r="L358">
        <v>4</v>
      </c>
      <c r="M358">
        <v>6000</v>
      </c>
      <c r="N358">
        <v>5</v>
      </c>
      <c r="O358">
        <v>22800</v>
      </c>
      <c r="P358">
        <v>5435.77</v>
      </c>
      <c r="Q358" t="s">
        <v>28</v>
      </c>
      <c r="R358" t="s">
        <v>49</v>
      </c>
      <c r="S358" t="s">
        <v>110</v>
      </c>
    </row>
    <row r="359" spans="1:19" x14ac:dyDescent="0.3">
      <c r="A359" t="s">
        <v>986</v>
      </c>
      <c r="B359" s="1">
        <v>45586</v>
      </c>
      <c r="C359" s="1">
        <v>45589</v>
      </c>
      <c r="D359" t="s">
        <v>787</v>
      </c>
      <c r="E359" t="s">
        <v>788</v>
      </c>
      <c r="F359" t="s">
        <v>34</v>
      </c>
      <c r="G359" t="s">
        <v>35</v>
      </c>
      <c r="I359" t="s">
        <v>147</v>
      </c>
      <c r="J359" t="s">
        <v>148</v>
      </c>
      <c r="K359" t="s">
        <v>48</v>
      </c>
      <c r="L359">
        <v>-2</v>
      </c>
      <c r="M359">
        <v>250</v>
      </c>
      <c r="N359">
        <v>20</v>
      </c>
      <c r="O359">
        <v>400</v>
      </c>
      <c r="P359">
        <v>115.92</v>
      </c>
      <c r="Q359" t="s">
        <v>39</v>
      </c>
      <c r="R359" t="s">
        <v>29</v>
      </c>
      <c r="S359" t="s">
        <v>86</v>
      </c>
    </row>
    <row r="360" spans="1:19" x14ac:dyDescent="0.3">
      <c r="A360" t="s">
        <v>987</v>
      </c>
      <c r="B360" s="2">
        <v>45485</v>
      </c>
      <c r="C360" s="2">
        <v>45490</v>
      </c>
      <c r="D360" t="s">
        <v>524</v>
      </c>
      <c r="E360" t="s">
        <v>525</v>
      </c>
      <c r="F360" t="s">
        <v>34</v>
      </c>
      <c r="G360" t="s">
        <v>35</v>
      </c>
      <c r="H360" t="s">
        <v>187</v>
      </c>
      <c r="I360" t="s">
        <v>46</v>
      </c>
      <c r="J360" t="s">
        <v>47</v>
      </c>
      <c r="K360" t="s">
        <v>48</v>
      </c>
      <c r="L360">
        <v>4</v>
      </c>
      <c r="M360">
        <v>180</v>
      </c>
      <c r="N360">
        <v>0</v>
      </c>
      <c r="O360">
        <v>720</v>
      </c>
      <c r="P360">
        <v>334.34</v>
      </c>
      <c r="Q360" t="s">
        <v>156</v>
      </c>
      <c r="R360" t="s">
        <v>49</v>
      </c>
      <c r="S360" t="s">
        <v>40</v>
      </c>
    </row>
    <row r="361" spans="1:19" x14ac:dyDescent="0.3">
      <c r="A361" t="s">
        <v>988</v>
      </c>
      <c r="B361" t="s">
        <v>989</v>
      </c>
      <c r="C361" s="1">
        <v>46014</v>
      </c>
      <c r="D361" t="s">
        <v>990</v>
      </c>
      <c r="E361" t="s">
        <v>991</v>
      </c>
      <c r="F361" t="s">
        <v>23</v>
      </c>
      <c r="G361" t="s">
        <v>61</v>
      </c>
      <c r="H361" t="s">
        <v>62</v>
      </c>
      <c r="I361" t="s">
        <v>46</v>
      </c>
      <c r="J361" t="s">
        <v>47</v>
      </c>
      <c r="K361" t="s">
        <v>48</v>
      </c>
      <c r="L361">
        <v>1</v>
      </c>
      <c r="M361">
        <v>180</v>
      </c>
      <c r="N361">
        <v>0</v>
      </c>
      <c r="O361">
        <v>180</v>
      </c>
      <c r="P361">
        <v>87.47</v>
      </c>
      <c r="Q361" t="s">
        <v>39</v>
      </c>
      <c r="R361" t="s">
        <v>29</v>
      </c>
      <c r="S361" t="s">
        <v>50</v>
      </c>
    </row>
    <row r="362" spans="1:19" x14ac:dyDescent="0.3">
      <c r="A362" t="s">
        <v>992</v>
      </c>
      <c r="B362" s="1">
        <v>45786</v>
      </c>
      <c r="C362" s="1">
        <v>45794</v>
      </c>
      <c r="D362" t="s">
        <v>256</v>
      </c>
      <c r="E362" t="s">
        <v>257</v>
      </c>
      <c r="F362" t="s">
        <v>55</v>
      </c>
      <c r="G362" t="s">
        <v>35</v>
      </c>
      <c r="H362" t="s">
        <v>258</v>
      </c>
      <c r="I362" t="s">
        <v>126</v>
      </c>
      <c r="J362" t="s">
        <v>127</v>
      </c>
      <c r="K362" t="s">
        <v>95</v>
      </c>
      <c r="L362">
        <v>1</v>
      </c>
      <c r="M362">
        <v>600</v>
      </c>
      <c r="N362">
        <v>0</v>
      </c>
      <c r="O362">
        <v>600</v>
      </c>
      <c r="P362">
        <v>173.86</v>
      </c>
      <c r="Q362" t="s">
        <v>66</v>
      </c>
      <c r="R362" t="s">
        <v>49</v>
      </c>
      <c r="S362" t="s">
        <v>30</v>
      </c>
    </row>
    <row r="363" spans="1:19" x14ac:dyDescent="0.3">
      <c r="A363" t="s">
        <v>993</v>
      </c>
      <c r="B363" s="1">
        <v>45973</v>
      </c>
      <c r="C363" s="1">
        <v>45977</v>
      </c>
      <c r="D363" t="s">
        <v>838</v>
      </c>
      <c r="E363" t="s">
        <v>839</v>
      </c>
      <c r="F363" t="s">
        <v>23</v>
      </c>
      <c r="G363" t="s">
        <v>35</v>
      </c>
      <c r="I363" t="s">
        <v>37</v>
      </c>
      <c r="J363" t="s">
        <v>38</v>
      </c>
      <c r="K363" t="s">
        <v>27</v>
      </c>
      <c r="L363">
        <v>3</v>
      </c>
      <c r="M363">
        <v>9500</v>
      </c>
      <c r="N363">
        <v>0</v>
      </c>
      <c r="O363">
        <v>28500</v>
      </c>
      <c r="P363">
        <v>4550.8999999999996</v>
      </c>
      <c r="Q363" t="s">
        <v>39</v>
      </c>
      <c r="R363" t="s">
        <v>29</v>
      </c>
      <c r="S363" t="s">
        <v>40</v>
      </c>
    </row>
    <row r="364" spans="1:19" x14ac:dyDescent="0.3">
      <c r="A364" t="s">
        <v>994</v>
      </c>
      <c r="B364" s="2">
        <v>45955</v>
      </c>
      <c r="C364" s="1">
        <v>45958</v>
      </c>
      <c r="D364" t="s">
        <v>886</v>
      </c>
      <c r="E364" t="s">
        <v>887</v>
      </c>
      <c r="F364" t="s">
        <v>55</v>
      </c>
      <c r="G364" t="s">
        <v>91</v>
      </c>
      <c r="H364" t="s">
        <v>177</v>
      </c>
      <c r="I364" t="s">
        <v>126</v>
      </c>
      <c r="J364" t="s">
        <v>127</v>
      </c>
      <c r="K364" t="s">
        <v>95</v>
      </c>
      <c r="L364">
        <v>5</v>
      </c>
      <c r="M364">
        <v>600</v>
      </c>
      <c r="N364">
        <v>10</v>
      </c>
      <c r="O364">
        <v>2700</v>
      </c>
      <c r="P364">
        <v>1077.2</v>
      </c>
      <c r="Q364" t="s">
        <v>66</v>
      </c>
      <c r="R364" t="s">
        <v>29</v>
      </c>
      <c r="S364" t="s">
        <v>86</v>
      </c>
    </row>
    <row r="365" spans="1:19" x14ac:dyDescent="0.3">
      <c r="A365" t="s">
        <v>995</v>
      </c>
      <c r="B365" s="1">
        <v>45826</v>
      </c>
      <c r="C365" s="2">
        <v>45833</v>
      </c>
      <c r="D365" t="s">
        <v>185</v>
      </c>
      <c r="E365" t="s">
        <v>186</v>
      </c>
      <c r="F365" t="s">
        <v>55</v>
      </c>
      <c r="G365" t="s">
        <v>35</v>
      </c>
      <c r="H365" t="s">
        <v>187</v>
      </c>
      <c r="I365" t="s">
        <v>126</v>
      </c>
      <c r="J365" t="s">
        <v>127</v>
      </c>
      <c r="K365" t="s">
        <v>95</v>
      </c>
      <c r="L365">
        <v>2</v>
      </c>
      <c r="M365">
        <v>600</v>
      </c>
      <c r="N365">
        <v>20</v>
      </c>
      <c r="O365">
        <v>960</v>
      </c>
      <c r="P365">
        <v>382.7</v>
      </c>
      <c r="Q365" t="s">
        <v>66</v>
      </c>
      <c r="R365" t="s">
        <v>49</v>
      </c>
      <c r="S365" t="s">
        <v>86</v>
      </c>
    </row>
    <row r="366" spans="1:19" x14ac:dyDescent="0.3">
      <c r="A366" t="s">
        <v>996</v>
      </c>
      <c r="B366" s="1">
        <v>45496</v>
      </c>
      <c r="C366" t="s">
        <v>997</v>
      </c>
      <c r="D366" t="s">
        <v>163</v>
      </c>
      <c r="E366" t="s">
        <v>164</v>
      </c>
      <c r="F366" t="s">
        <v>55</v>
      </c>
      <c r="G366" t="s">
        <v>44</v>
      </c>
      <c r="H366" t="s">
        <v>45</v>
      </c>
      <c r="I366" t="s">
        <v>93</v>
      </c>
      <c r="J366" t="s">
        <v>94</v>
      </c>
      <c r="K366" t="s">
        <v>95</v>
      </c>
      <c r="L366">
        <v>2</v>
      </c>
      <c r="M366">
        <v>1800</v>
      </c>
      <c r="N366">
        <v>5</v>
      </c>
      <c r="O366">
        <v>3420</v>
      </c>
      <c r="P366">
        <v>955.31</v>
      </c>
      <c r="Q366" t="s">
        <v>39</v>
      </c>
      <c r="R366" t="s">
        <v>56</v>
      </c>
      <c r="S366" t="s">
        <v>110</v>
      </c>
    </row>
    <row r="367" spans="1:19" x14ac:dyDescent="0.3">
      <c r="A367" t="s">
        <v>998</v>
      </c>
      <c r="B367" t="s">
        <v>999</v>
      </c>
      <c r="C367" t="s">
        <v>1000</v>
      </c>
      <c r="D367" t="s">
        <v>561</v>
      </c>
      <c r="E367" t="s">
        <v>562</v>
      </c>
      <c r="F367" t="s">
        <v>23</v>
      </c>
      <c r="G367" t="s">
        <v>44</v>
      </c>
      <c r="H367" t="s">
        <v>155</v>
      </c>
      <c r="I367" t="s">
        <v>37</v>
      </c>
      <c r="J367" t="s">
        <v>38</v>
      </c>
      <c r="K367" t="s">
        <v>27</v>
      </c>
      <c r="L367">
        <v>2</v>
      </c>
      <c r="M367">
        <v>9500</v>
      </c>
      <c r="N367">
        <v>0</v>
      </c>
      <c r="O367">
        <v>19000</v>
      </c>
      <c r="P367">
        <v>2800.55</v>
      </c>
      <c r="Q367" t="s">
        <v>66</v>
      </c>
      <c r="R367" t="s">
        <v>49</v>
      </c>
      <c r="S367" t="s">
        <v>30</v>
      </c>
    </row>
    <row r="368" spans="1:19" x14ac:dyDescent="0.3">
      <c r="A368" t="s">
        <v>1001</v>
      </c>
      <c r="B368" s="2">
        <v>45346</v>
      </c>
      <c r="C368" s="1">
        <v>45352</v>
      </c>
      <c r="D368" t="s">
        <v>328</v>
      </c>
      <c r="E368" t="s">
        <v>329</v>
      </c>
      <c r="F368" t="s">
        <v>23</v>
      </c>
      <c r="G368" t="s">
        <v>44</v>
      </c>
      <c r="H368" t="s">
        <v>330</v>
      </c>
      <c r="I368" t="s">
        <v>147</v>
      </c>
      <c r="J368" t="s">
        <v>148</v>
      </c>
      <c r="K368" t="s">
        <v>48</v>
      </c>
      <c r="L368">
        <v>4</v>
      </c>
      <c r="M368">
        <v>250</v>
      </c>
      <c r="N368">
        <v>0</v>
      </c>
      <c r="O368">
        <v>1000</v>
      </c>
      <c r="P368">
        <v>395.36</v>
      </c>
      <c r="Q368" t="s">
        <v>74</v>
      </c>
      <c r="R368" t="s">
        <v>29</v>
      </c>
      <c r="S368" t="s">
        <v>86</v>
      </c>
    </row>
    <row r="369" spans="1:19" x14ac:dyDescent="0.3">
      <c r="A369" t="s">
        <v>1002</v>
      </c>
      <c r="B369" s="2">
        <v>45727</v>
      </c>
      <c r="C369" s="2">
        <v>45729</v>
      </c>
      <c r="D369" t="s">
        <v>1003</v>
      </c>
      <c r="E369" t="s">
        <v>1004</v>
      </c>
      <c r="F369" t="s">
        <v>23</v>
      </c>
      <c r="G369" t="s">
        <v>61</v>
      </c>
      <c r="H369" t="s">
        <v>62</v>
      </c>
      <c r="I369" t="s">
        <v>25</v>
      </c>
      <c r="J369" t="s">
        <v>26</v>
      </c>
      <c r="K369" t="s">
        <v>27</v>
      </c>
      <c r="L369">
        <v>4</v>
      </c>
      <c r="M369">
        <v>7000</v>
      </c>
      <c r="N369">
        <v>0</v>
      </c>
      <c r="O369">
        <v>28000</v>
      </c>
      <c r="P369">
        <v>4931.16</v>
      </c>
      <c r="Q369" t="s">
        <v>121</v>
      </c>
      <c r="R369" t="s">
        <v>49</v>
      </c>
      <c r="S369" t="s">
        <v>57</v>
      </c>
    </row>
    <row r="370" spans="1:19" x14ac:dyDescent="0.3">
      <c r="A370" t="s">
        <v>1005</v>
      </c>
      <c r="B370" s="1">
        <v>45952</v>
      </c>
      <c r="C370" t="s">
        <v>1006</v>
      </c>
      <c r="D370" t="s">
        <v>498</v>
      </c>
      <c r="E370" t="s">
        <v>499</v>
      </c>
      <c r="F370" t="s">
        <v>55</v>
      </c>
      <c r="G370" t="s">
        <v>91</v>
      </c>
      <c r="H370" t="s">
        <v>120</v>
      </c>
      <c r="I370" t="s">
        <v>134</v>
      </c>
      <c r="J370" t="s">
        <v>135</v>
      </c>
      <c r="K370" t="s">
        <v>27</v>
      </c>
      <c r="L370">
        <v>2</v>
      </c>
      <c r="M370">
        <v>6000</v>
      </c>
      <c r="N370">
        <v>20</v>
      </c>
      <c r="O370">
        <v>9600</v>
      </c>
      <c r="Q370" t="s">
        <v>121</v>
      </c>
      <c r="R370" t="s">
        <v>29</v>
      </c>
      <c r="S370" t="s">
        <v>40</v>
      </c>
    </row>
    <row r="371" spans="1:19" x14ac:dyDescent="0.3">
      <c r="A371" t="s">
        <v>1007</v>
      </c>
      <c r="B371" s="1">
        <v>45394</v>
      </c>
      <c r="C371" s="1">
        <v>45637</v>
      </c>
      <c r="D371" t="s">
        <v>755</v>
      </c>
      <c r="E371" t="s">
        <v>756</v>
      </c>
      <c r="F371" t="s">
        <v>34</v>
      </c>
      <c r="G371" t="s">
        <v>44</v>
      </c>
      <c r="I371" t="s">
        <v>114</v>
      </c>
      <c r="J371" t="s">
        <v>115</v>
      </c>
      <c r="K371" t="s">
        <v>65</v>
      </c>
      <c r="L371">
        <v>5</v>
      </c>
      <c r="M371">
        <v>55000</v>
      </c>
      <c r="N371">
        <v>15</v>
      </c>
      <c r="O371">
        <v>233750</v>
      </c>
      <c r="Q371" t="s">
        <v>156</v>
      </c>
      <c r="R371" t="s">
        <v>56</v>
      </c>
      <c r="S371" t="s">
        <v>110</v>
      </c>
    </row>
    <row r="372" spans="1:19" x14ac:dyDescent="0.3">
      <c r="A372" t="s">
        <v>1008</v>
      </c>
      <c r="B372" s="1">
        <v>45979</v>
      </c>
      <c r="C372" s="1">
        <v>45985</v>
      </c>
      <c r="D372" t="s">
        <v>1009</v>
      </c>
      <c r="E372" t="s">
        <v>1010</v>
      </c>
      <c r="F372" t="s">
        <v>23</v>
      </c>
      <c r="G372" t="s">
        <v>61</v>
      </c>
      <c r="H372" t="s">
        <v>62</v>
      </c>
      <c r="I372" t="s">
        <v>71</v>
      </c>
      <c r="J372" t="s">
        <v>72</v>
      </c>
      <c r="K372" t="s">
        <v>73</v>
      </c>
      <c r="L372">
        <v>2</v>
      </c>
      <c r="M372">
        <v>3500</v>
      </c>
      <c r="N372">
        <v>0</v>
      </c>
      <c r="O372">
        <v>7000</v>
      </c>
      <c r="P372">
        <v>2140.5</v>
      </c>
      <c r="Q372" t="s">
        <v>156</v>
      </c>
      <c r="R372" t="s">
        <v>29</v>
      </c>
      <c r="S372" t="s">
        <v>40</v>
      </c>
    </row>
    <row r="373" spans="1:19" x14ac:dyDescent="0.3">
      <c r="A373" t="s">
        <v>1011</v>
      </c>
      <c r="B373" s="1">
        <v>45563</v>
      </c>
      <c r="C373" s="1">
        <v>45565</v>
      </c>
      <c r="D373" t="s">
        <v>428</v>
      </c>
      <c r="E373" t="s">
        <v>429</v>
      </c>
      <c r="F373" t="s">
        <v>34</v>
      </c>
      <c r="G373" t="s">
        <v>44</v>
      </c>
      <c r="H373" t="s">
        <v>45</v>
      </c>
      <c r="I373" t="s">
        <v>37</v>
      </c>
      <c r="J373" t="s">
        <v>38</v>
      </c>
      <c r="K373" t="s">
        <v>27</v>
      </c>
      <c r="L373">
        <v>5</v>
      </c>
      <c r="M373">
        <v>9500</v>
      </c>
      <c r="N373">
        <v>0</v>
      </c>
      <c r="O373">
        <v>47500</v>
      </c>
      <c r="P373">
        <v>7827.1</v>
      </c>
      <c r="Q373" t="s">
        <v>156</v>
      </c>
      <c r="R373" t="s">
        <v>56</v>
      </c>
      <c r="S373" t="s">
        <v>50</v>
      </c>
    </row>
    <row r="374" spans="1:19" x14ac:dyDescent="0.3">
      <c r="A374" t="s">
        <v>1012</v>
      </c>
      <c r="B374" s="2">
        <v>45974</v>
      </c>
      <c r="C374" t="s">
        <v>1013</v>
      </c>
      <c r="D374" t="s">
        <v>798</v>
      </c>
      <c r="E374" t="s">
        <v>799</v>
      </c>
      <c r="F374" t="s">
        <v>23</v>
      </c>
      <c r="G374" t="s">
        <v>44</v>
      </c>
      <c r="H374" t="s">
        <v>330</v>
      </c>
      <c r="I374" t="s">
        <v>114</v>
      </c>
      <c r="J374" t="s">
        <v>115</v>
      </c>
      <c r="K374" t="s">
        <v>65</v>
      </c>
      <c r="L374">
        <v>1</v>
      </c>
      <c r="M374">
        <v>55000</v>
      </c>
      <c r="N374">
        <v>20</v>
      </c>
      <c r="O374">
        <v>44000</v>
      </c>
      <c r="P374">
        <v>6898.77</v>
      </c>
      <c r="Q374" t="s">
        <v>74</v>
      </c>
      <c r="R374" t="s">
        <v>29</v>
      </c>
      <c r="S374" t="s">
        <v>110</v>
      </c>
    </row>
    <row r="375" spans="1:19" x14ac:dyDescent="0.3">
      <c r="A375" t="s">
        <v>1014</v>
      </c>
      <c r="B375" s="2">
        <v>45846</v>
      </c>
      <c r="C375" s="2">
        <v>45847</v>
      </c>
      <c r="D375" t="s">
        <v>1015</v>
      </c>
      <c r="E375" t="s">
        <v>1016</v>
      </c>
      <c r="F375" t="s">
        <v>23</v>
      </c>
      <c r="G375" t="s">
        <v>44</v>
      </c>
      <c r="H375" t="s">
        <v>45</v>
      </c>
      <c r="I375" t="s">
        <v>103</v>
      </c>
      <c r="J375" t="s">
        <v>104</v>
      </c>
      <c r="K375" t="s">
        <v>65</v>
      </c>
      <c r="L375">
        <v>1</v>
      </c>
      <c r="M375">
        <v>8000</v>
      </c>
      <c r="N375">
        <v>20</v>
      </c>
      <c r="O375">
        <v>6400</v>
      </c>
      <c r="P375">
        <v>1563.81</v>
      </c>
      <c r="Q375" t="s">
        <v>74</v>
      </c>
      <c r="R375" t="s">
        <v>29</v>
      </c>
      <c r="S375" t="s">
        <v>30</v>
      </c>
    </row>
    <row r="376" spans="1:19" x14ac:dyDescent="0.3">
      <c r="A376" t="s">
        <v>1017</v>
      </c>
      <c r="B376" t="s">
        <v>1018</v>
      </c>
      <c r="C376" s="1">
        <v>45411</v>
      </c>
      <c r="D376" t="s">
        <v>1019</v>
      </c>
      <c r="E376" t="s">
        <v>1020</v>
      </c>
      <c r="F376" t="s">
        <v>55</v>
      </c>
      <c r="G376" t="s">
        <v>35</v>
      </c>
      <c r="H376" t="s">
        <v>187</v>
      </c>
      <c r="I376" t="s">
        <v>79</v>
      </c>
      <c r="J376" t="s">
        <v>80</v>
      </c>
      <c r="K376" t="s">
        <v>65</v>
      </c>
      <c r="L376">
        <v>4</v>
      </c>
      <c r="M376">
        <v>3000</v>
      </c>
      <c r="N376">
        <v>5</v>
      </c>
      <c r="O376">
        <v>11400</v>
      </c>
      <c r="P376">
        <v>2966.13</v>
      </c>
      <c r="Q376" t="s">
        <v>121</v>
      </c>
      <c r="R376" t="s">
        <v>49</v>
      </c>
      <c r="S376" t="s">
        <v>40</v>
      </c>
    </row>
    <row r="377" spans="1:19" x14ac:dyDescent="0.3">
      <c r="A377" t="s">
        <v>1021</v>
      </c>
      <c r="B377" s="1">
        <v>45292</v>
      </c>
      <c r="C377" s="1">
        <v>45297</v>
      </c>
      <c r="D377" t="s">
        <v>599</v>
      </c>
      <c r="E377" t="s">
        <v>600</v>
      </c>
      <c r="F377" t="s">
        <v>23</v>
      </c>
      <c r="G377" t="s">
        <v>44</v>
      </c>
      <c r="H377" t="s">
        <v>161</v>
      </c>
      <c r="I377" t="s">
        <v>126</v>
      </c>
      <c r="J377" t="s">
        <v>127</v>
      </c>
      <c r="K377" t="s">
        <v>95</v>
      </c>
      <c r="L377">
        <v>1</v>
      </c>
      <c r="M377">
        <v>600</v>
      </c>
      <c r="N377">
        <v>0</v>
      </c>
      <c r="O377">
        <v>600</v>
      </c>
      <c r="P377">
        <v>191.54</v>
      </c>
      <c r="Q377" t="s">
        <v>39</v>
      </c>
      <c r="R377" t="s">
        <v>56</v>
      </c>
      <c r="S377" t="s">
        <v>40</v>
      </c>
    </row>
    <row r="378" spans="1:19" x14ac:dyDescent="0.3">
      <c r="A378" t="s">
        <v>1022</v>
      </c>
      <c r="B378" s="1">
        <v>45843</v>
      </c>
      <c r="C378" s="1">
        <v>45815</v>
      </c>
      <c r="D378" t="s">
        <v>473</v>
      </c>
      <c r="E378" t="s">
        <v>474</v>
      </c>
      <c r="F378" t="s">
        <v>34</v>
      </c>
      <c r="G378" t="s">
        <v>61</v>
      </c>
      <c r="H378" t="s">
        <v>62</v>
      </c>
      <c r="I378" t="s">
        <v>147</v>
      </c>
      <c r="J378" t="s">
        <v>148</v>
      </c>
      <c r="K378" t="s">
        <v>48</v>
      </c>
      <c r="L378">
        <v>2</v>
      </c>
      <c r="M378">
        <v>250</v>
      </c>
      <c r="N378">
        <v>0</v>
      </c>
      <c r="O378">
        <v>500</v>
      </c>
      <c r="P378">
        <v>203</v>
      </c>
      <c r="Q378" t="s">
        <v>156</v>
      </c>
      <c r="R378" t="s">
        <v>29</v>
      </c>
      <c r="S378" t="s">
        <v>110</v>
      </c>
    </row>
    <row r="379" spans="1:19" x14ac:dyDescent="0.3">
      <c r="A379" t="s">
        <v>1023</v>
      </c>
      <c r="B379" s="2">
        <v>45855</v>
      </c>
      <c r="C379" t="s">
        <v>1024</v>
      </c>
      <c r="D379" t="s">
        <v>575</v>
      </c>
      <c r="E379" t="s">
        <v>836</v>
      </c>
      <c r="F379" t="s">
        <v>34</v>
      </c>
      <c r="G379" t="s">
        <v>91</v>
      </c>
      <c r="H379" t="s">
        <v>120</v>
      </c>
      <c r="I379" t="s">
        <v>46</v>
      </c>
      <c r="J379" t="s">
        <v>47</v>
      </c>
      <c r="K379" t="s">
        <v>48</v>
      </c>
      <c r="L379">
        <v>1</v>
      </c>
      <c r="M379">
        <v>180</v>
      </c>
      <c r="N379">
        <v>10</v>
      </c>
      <c r="O379">
        <v>162</v>
      </c>
      <c r="P379">
        <v>54.2</v>
      </c>
      <c r="Q379" t="s">
        <v>28</v>
      </c>
      <c r="R379" t="s">
        <v>56</v>
      </c>
      <c r="S379" t="s">
        <v>50</v>
      </c>
    </row>
    <row r="380" spans="1:19" x14ac:dyDescent="0.3">
      <c r="A380" t="s">
        <v>1025</v>
      </c>
      <c r="B380" s="2">
        <v>45402</v>
      </c>
      <c r="C380" s="1">
        <v>45406</v>
      </c>
      <c r="D380" t="s">
        <v>288</v>
      </c>
      <c r="E380" t="s">
        <v>289</v>
      </c>
      <c r="F380" t="s">
        <v>34</v>
      </c>
      <c r="G380" t="s">
        <v>44</v>
      </c>
      <c r="H380" t="s">
        <v>155</v>
      </c>
      <c r="I380" t="s">
        <v>103</v>
      </c>
      <c r="J380" t="s">
        <v>104</v>
      </c>
      <c r="K380" t="s">
        <v>65</v>
      </c>
      <c r="L380">
        <v>1</v>
      </c>
      <c r="M380">
        <v>8000</v>
      </c>
      <c r="N380">
        <v>20</v>
      </c>
      <c r="O380">
        <v>6400</v>
      </c>
      <c r="P380">
        <v>1636.53</v>
      </c>
      <c r="Q380" t="s">
        <v>74</v>
      </c>
      <c r="R380" t="s">
        <v>29</v>
      </c>
      <c r="S380" t="s">
        <v>30</v>
      </c>
    </row>
    <row r="381" spans="1:19" x14ac:dyDescent="0.3">
      <c r="A381" t="s">
        <v>1026</v>
      </c>
      <c r="B381" s="1">
        <v>45375</v>
      </c>
      <c r="C381" t="s">
        <v>1027</v>
      </c>
      <c r="D381" t="s">
        <v>1028</v>
      </c>
      <c r="E381" t="s">
        <v>1029</v>
      </c>
      <c r="F381" t="s">
        <v>34</v>
      </c>
      <c r="G381" t="s">
        <v>91</v>
      </c>
      <c r="H381" t="s">
        <v>120</v>
      </c>
      <c r="I381" t="s">
        <v>147</v>
      </c>
      <c r="J381" t="s">
        <v>148</v>
      </c>
      <c r="K381" t="s">
        <v>48</v>
      </c>
      <c r="L381">
        <v>4</v>
      </c>
      <c r="M381">
        <v>250</v>
      </c>
      <c r="N381">
        <v>0</v>
      </c>
      <c r="O381">
        <v>1000</v>
      </c>
      <c r="Q381" t="s">
        <v>156</v>
      </c>
      <c r="R381" t="s">
        <v>56</v>
      </c>
      <c r="S381" t="s">
        <v>50</v>
      </c>
    </row>
    <row r="382" spans="1:19" x14ac:dyDescent="0.3">
      <c r="A382" t="s">
        <v>1030</v>
      </c>
      <c r="B382" s="1">
        <v>45707</v>
      </c>
      <c r="C382" s="1">
        <v>45714</v>
      </c>
      <c r="D382" t="s">
        <v>1031</v>
      </c>
      <c r="E382" t="s">
        <v>1032</v>
      </c>
      <c r="F382" t="s">
        <v>23</v>
      </c>
      <c r="G382" t="s">
        <v>61</v>
      </c>
      <c r="H382" t="s">
        <v>211</v>
      </c>
      <c r="I382" t="s">
        <v>126</v>
      </c>
      <c r="J382" t="s">
        <v>127</v>
      </c>
      <c r="K382" t="s">
        <v>95</v>
      </c>
      <c r="L382">
        <v>1</v>
      </c>
      <c r="M382">
        <v>600</v>
      </c>
      <c r="N382">
        <v>5</v>
      </c>
      <c r="O382">
        <v>570</v>
      </c>
      <c r="P382">
        <v>207.02</v>
      </c>
      <c r="Q382" t="s">
        <v>121</v>
      </c>
      <c r="R382" t="s">
        <v>49</v>
      </c>
      <c r="S382" t="s">
        <v>30</v>
      </c>
    </row>
    <row r="383" spans="1:19" x14ac:dyDescent="0.3">
      <c r="A383" t="s">
        <v>1033</v>
      </c>
      <c r="B383" s="1">
        <v>45430</v>
      </c>
      <c r="C383" s="1">
        <v>45437</v>
      </c>
      <c r="D383" t="s">
        <v>973</v>
      </c>
      <c r="E383" t="s">
        <v>974</v>
      </c>
      <c r="F383" t="s">
        <v>34</v>
      </c>
      <c r="G383" t="s">
        <v>91</v>
      </c>
      <c r="H383" t="s">
        <v>177</v>
      </c>
      <c r="I383" t="s">
        <v>46</v>
      </c>
      <c r="J383" t="s">
        <v>47</v>
      </c>
      <c r="K383" t="s">
        <v>48</v>
      </c>
      <c r="L383">
        <v>1</v>
      </c>
      <c r="M383">
        <v>180</v>
      </c>
      <c r="N383">
        <v>0</v>
      </c>
      <c r="O383">
        <v>180</v>
      </c>
      <c r="P383">
        <v>78.42</v>
      </c>
      <c r="Q383" t="s">
        <v>39</v>
      </c>
      <c r="R383" t="s">
        <v>56</v>
      </c>
      <c r="S383" t="s">
        <v>50</v>
      </c>
    </row>
    <row r="384" spans="1:19" x14ac:dyDescent="0.3">
      <c r="A384" t="s">
        <v>1034</v>
      </c>
      <c r="B384" s="1">
        <v>45485</v>
      </c>
      <c r="C384" s="1">
        <v>45491</v>
      </c>
      <c r="D384" t="s">
        <v>514</v>
      </c>
      <c r="E384" t="s">
        <v>515</v>
      </c>
      <c r="F384" t="s">
        <v>23</v>
      </c>
      <c r="G384" t="s">
        <v>44</v>
      </c>
      <c r="I384" t="s">
        <v>134</v>
      </c>
      <c r="J384" t="s">
        <v>135</v>
      </c>
      <c r="K384" t="s">
        <v>27</v>
      </c>
      <c r="L384">
        <v>4</v>
      </c>
      <c r="M384">
        <v>6000</v>
      </c>
      <c r="N384">
        <v>20</v>
      </c>
      <c r="O384">
        <v>19200</v>
      </c>
      <c r="P384">
        <v>4704.6499999999996</v>
      </c>
      <c r="Q384" t="s">
        <v>121</v>
      </c>
      <c r="R384" t="s">
        <v>29</v>
      </c>
      <c r="S384" t="s">
        <v>30</v>
      </c>
    </row>
    <row r="385" spans="1:19" x14ac:dyDescent="0.3">
      <c r="A385" t="s">
        <v>1035</v>
      </c>
      <c r="B385" s="1">
        <v>45377</v>
      </c>
      <c r="C385" s="1">
        <v>45326</v>
      </c>
      <c r="D385" t="s">
        <v>1036</v>
      </c>
      <c r="E385" t="s">
        <v>1037</v>
      </c>
      <c r="F385" t="s">
        <v>23</v>
      </c>
      <c r="G385" t="s">
        <v>61</v>
      </c>
      <c r="H385" t="s">
        <v>211</v>
      </c>
      <c r="I385" t="s">
        <v>114</v>
      </c>
      <c r="J385" t="s">
        <v>115</v>
      </c>
      <c r="K385" t="s">
        <v>65</v>
      </c>
      <c r="L385">
        <v>1</v>
      </c>
      <c r="M385">
        <v>55000</v>
      </c>
      <c r="N385">
        <v>0</v>
      </c>
      <c r="O385">
        <v>55000</v>
      </c>
      <c r="P385">
        <v>10364</v>
      </c>
      <c r="Q385" t="s">
        <v>74</v>
      </c>
      <c r="R385" t="s">
        <v>56</v>
      </c>
      <c r="S385" t="s">
        <v>86</v>
      </c>
    </row>
    <row r="386" spans="1:19" x14ac:dyDescent="0.3">
      <c r="A386" t="s">
        <v>1038</v>
      </c>
      <c r="B386" s="2">
        <v>46016</v>
      </c>
      <c r="C386" t="s">
        <v>1039</v>
      </c>
      <c r="D386" t="s">
        <v>470</v>
      </c>
      <c r="E386" t="s">
        <v>471</v>
      </c>
      <c r="F386" t="s">
        <v>23</v>
      </c>
      <c r="G386" t="s">
        <v>61</v>
      </c>
      <c r="H386" t="s">
        <v>62</v>
      </c>
      <c r="I386" t="s">
        <v>134</v>
      </c>
      <c r="J386" t="s">
        <v>135</v>
      </c>
      <c r="K386" t="s">
        <v>27</v>
      </c>
      <c r="M386">
        <v>6000</v>
      </c>
      <c r="N386">
        <v>15</v>
      </c>
      <c r="O386">
        <v>25500</v>
      </c>
      <c r="P386">
        <v>4924.37</v>
      </c>
      <c r="Q386" t="s">
        <v>28</v>
      </c>
      <c r="R386" t="s">
        <v>49</v>
      </c>
      <c r="S386" t="s">
        <v>110</v>
      </c>
    </row>
    <row r="387" spans="1:19" x14ac:dyDescent="0.3">
      <c r="A387" t="s">
        <v>1040</v>
      </c>
      <c r="B387" s="1">
        <v>45642</v>
      </c>
      <c r="C387" s="2">
        <v>45647</v>
      </c>
      <c r="D387" t="s">
        <v>491</v>
      </c>
      <c r="E387" t="s">
        <v>492</v>
      </c>
      <c r="F387" t="s">
        <v>34</v>
      </c>
      <c r="G387" t="s">
        <v>44</v>
      </c>
      <c r="H387" t="s">
        <v>330</v>
      </c>
      <c r="I387" t="s">
        <v>25</v>
      </c>
      <c r="J387" t="s">
        <v>26</v>
      </c>
      <c r="K387" t="s">
        <v>27</v>
      </c>
      <c r="M387">
        <v>7000</v>
      </c>
      <c r="N387">
        <v>20</v>
      </c>
      <c r="O387">
        <v>11200</v>
      </c>
      <c r="P387">
        <v>2168.69</v>
      </c>
      <c r="Q387" t="s">
        <v>39</v>
      </c>
      <c r="R387" t="s">
        <v>49</v>
      </c>
      <c r="S387" t="s">
        <v>40</v>
      </c>
    </row>
    <row r="388" spans="1:19" x14ac:dyDescent="0.3">
      <c r="A388" t="s">
        <v>1041</v>
      </c>
      <c r="B388" t="s">
        <v>1042</v>
      </c>
      <c r="C388" s="2">
        <v>45646</v>
      </c>
      <c r="D388" t="s">
        <v>291</v>
      </c>
      <c r="E388" t="s">
        <v>292</v>
      </c>
      <c r="F388" t="s">
        <v>55</v>
      </c>
      <c r="G388" t="s">
        <v>35</v>
      </c>
      <c r="H388" t="s">
        <v>187</v>
      </c>
      <c r="I388" t="s">
        <v>37</v>
      </c>
      <c r="J388" t="s">
        <v>38</v>
      </c>
      <c r="K388" t="s">
        <v>27</v>
      </c>
      <c r="L388">
        <v>4</v>
      </c>
      <c r="M388">
        <v>9500</v>
      </c>
      <c r="N388">
        <v>15</v>
      </c>
      <c r="O388">
        <v>32300</v>
      </c>
      <c r="P388">
        <v>6668.97</v>
      </c>
      <c r="Q388" t="s">
        <v>74</v>
      </c>
      <c r="R388" t="s">
        <v>29</v>
      </c>
      <c r="S388" t="s">
        <v>30</v>
      </c>
    </row>
    <row r="389" spans="1:19" x14ac:dyDescent="0.3">
      <c r="A389" t="s">
        <v>1043</v>
      </c>
      <c r="B389" s="2">
        <v>45359</v>
      </c>
      <c r="C389" t="s">
        <v>1044</v>
      </c>
      <c r="D389" t="s">
        <v>531</v>
      </c>
      <c r="E389" t="s">
        <v>532</v>
      </c>
      <c r="F389" t="s">
        <v>23</v>
      </c>
      <c r="G389" t="s">
        <v>44</v>
      </c>
      <c r="H389" t="s">
        <v>161</v>
      </c>
      <c r="I389" t="s">
        <v>126</v>
      </c>
      <c r="J389" t="s">
        <v>127</v>
      </c>
      <c r="K389" t="s">
        <v>95</v>
      </c>
      <c r="L389">
        <v>1</v>
      </c>
      <c r="M389">
        <v>600</v>
      </c>
      <c r="N389">
        <v>15</v>
      </c>
      <c r="O389">
        <v>510</v>
      </c>
      <c r="P389">
        <v>195.63</v>
      </c>
      <c r="Q389" t="s">
        <v>66</v>
      </c>
      <c r="R389" t="s">
        <v>29</v>
      </c>
      <c r="S389" t="s">
        <v>40</v>
      </c>
    </row>
    <row r="390" spans="1:19" x14ac:dyDescent="0.3">
      <c r="A390" t="s">
        <v>1045</v>
      </c>
      <c r="B390" s="1">
        <v>45707</v>
      </c>
      <c r="C390" s="1">
        <v>45712</v>
      </c>
      <c r="D390" t="s">
        <v>570</v>
      </c>
      <c r="E390" t="s">
        <v>571</v>
      </c>
      <c r="F390" t="s">
        <v>34</v>
      </c>
      <c r="G390" t="s">
        <v>44</v>
      </c>
      <c r="H390" t="s">
        <v>161</v>
      </c>
      <c r="I390" t="s">
        <v>46</v>
      </c>
      <c r="J390" t="s">
        <v>47</v>
      </c>
      <c r="K390" t="s">
        <v>48</v>
      </c>
      <c r="L390">
        <v>2</v>
      </c>
      <c r="M390">
        <v>180</v>
      </c>
      <c r="N390">
        <v>10</v>
      </c>
      <c r="O390">
        <v>324</v>
      </c>
      <c r="P390">
        <v>139.25</v>
      </c>
      <c r="Q390" t="s">
        <v>66</v>
      </c>
      <c r="R390" t="s">
        <v>29</v>
      </c>
      <c r="S390" t="s">
        <v>30</v>
      </c>
    </row>
    <row r="391" spans="1:19" x14ac:dyDescent="0.3">
      <c r="A391" t="s">
        <v>1046</v>
      </c>
      <c r="B391" s="1">
        <v>45383</v>
      </c>
      <c r="C391" s="2">
        <v>45390</v>
      </c>
      <c r="D391" t="s">
        <v>421</v>
      </c>
      <c r="E391" t="s">
        <v>422</v>
      </c>
      <c r="F391" t="s">
        <v>34</v>
      </c>
      <c r="G391" t="s">
        <v>61</v>
      </c>
      <c r="H391" t="s">
        <v>211</v>
      </c>
      <c r="I391" t="s">
        <v>37</v>
      </c>
      <c r="J391" t="s">
        <v>38</v>
      </c>
      <c r="K391" t="s">
        <v>27</v>
      </c>
      <c r="L391">
        <v>1</v>
      </c>
      <c r="M391">
        <v>9500</v>
      </c>
      <c r="N391">
        <v>5</v>
      </c>
      <c r="O391">
        <v>9025</v>
      </c>
      <c r="P391">
        <v>1677.93</v>
      </c>
      <c r="Q391" t="s">
        <v>28</v>
      </c>
      <c r="R391" t="s">
        <v>49</v>
      </c>
      <c r="S391" t="s">
        <v>30</v>
      </c>
    </row>
    <row r="392" spans="1:19" x14ac:dyDescent="0.3">
      <c r="A392" t="s">
        <v>1047</v>
      </c>
      <c r="B392" s="1">
        <v>45451</v>
      </c>
      <c r="C392" s="1">
        <v>45455</v>
      </c>
      <c r="D392" t="s">
        <v>1048</v>
      </c>
      <c r="E392" t="s">
        <v>1049</v>
      </c>
      <c r="F392" t="s">
        <v>34</v>
      </c>
      <c r="G392" t="s">
        <v>61</v>
      </c>
      <c r="H392" t="s">
        <v>125</v>
      </c>
      <c r="I392" t="s">
        <v>63</v>
      </c>
      <c r="J392" t="s">
        <v>64</v>
      </c>
      <c r="K392" t="s">
        <v>65</v>
      </c>
      <c r="L392">
        <v>4</v>
      </c>
      <c r="M392">
        <v>25000</v>
      </c>
      <c r="N392">
        <v>20</v>
      </c>
      <c r="O392">
        <v>80000</v>
      </c>
      <c r="P392">
        <v>12898.09</v>
      </c>
      <c r="Q392" t="s">
        <v>66</v>
      </c>
      <c r="R392" t="s">
        <v>49</v>
      </c>
      <c r="S392" t="s">
        <v>50</v>
      </c>
    </row>
    <row r="393" spans="1:19" x14ac:dyDescent="0.3">
      <c r="A393" t="s">
        <v>1050</v>
      </c>
      <c r="B393" s="2">
        <v>45968</v>
      </c>
      <c r="C393" s="2">
        <v>45970</v>
      </c>
      <c r="D393" t="s">
        <v>196</v>
      </c>
      <c r="E393" t="s">
        <v>197</v>
      </c>
      <c r="F393" t="s">
        <v>34</v>
      </c>
      <c r="G393" t="s">
        <v>91</v>
      </c>
      <c r="H393" t="s">
        <v>120</v>
      </c>
      <c r="I393" t="s">
        <v>134</v>
      </c>
      <c r="J393" t="s">
        <v>135</v>
      </c>
      <c r="K393" t="s">
        <v>27</v>
      </c>
      <c r="L393">
        <v>4</v>
      </c>
      <c r="M393">
        <v>6000</v>
      </c>
      <c r="N393">
        <v>15</v>
      </c>
      <c r="O393">
        <v>20400</v>
      </c>
      <c r="P393">
        <v>4132.6499999999996</v>
      </c>
      <c r="Q393" t="s">
        <v>66</v>
      </c>
      <c r="R393" t="s">
        <v>49</v>
      </c>
      <c r="S393" t="s">
        <v>30</v>
      </c>
    </row>
    <row r="394" spans="1:19" x14ac:dyDescent="0.3">
      <c r="A394" t="s">
        <v>1051</v>
      </c>
      <c r="B394" s="2">
        <v>45949</v>
      </c>
      <c r="C394" s="1">
        <v>45950</v>
      </c>
      <c r="D394" t="s">
        <v>890</v>
      </c>
      <c r="E394" t="s">
        <v>891</v>
      </c>
      <c r="F394" t="s">
        <v>34</v>
      </c>
      <c r="G394" t="s">
        <v>35</v>
      </c>
      <c r="H394" t="s">
        <v>36</v>
      </c>
      <c r="I394" t="s">
        <v>93</v>
      </c>
      <c r="J394" t="s">
        <v>94</v>
      </c>
      <c r="K394" t="s">
        <v>95</v>
      </c>
      <c r="L394">
        <v>3</v>
      </c>
      <c r="M394">
        <v>1800</v>
      </c>
      <c r="N394">
        <v>10</v>
      </c>
      <c r="O394">
        <v>4860</v>
      </c>
      <c r="P394">
        <v>1450.3</v>
      </c>
      <c r="Q394" t="s">
        <v>74</v>
      </c>
      <c r="R394" t="s">
        <v>49</v>
      </c>
      <c r="S394" t="s">
        <v>30</v>
      </c>
    </row>
    <row r="395" spans="1:19" x14ac:dyDescent="0.3">
      <c r="A395" t="s">
        <v>1052</v>
      </c>
      <c r="B395" s="2">
        <v>45987</v>
      </c>
      <c r="C395" s="1">
        <v>45700</v>
      </c>
      <c r="D395" t="s">
        <v>163</v>
      </c>
      <c r="E395" t="s">
        <v>164</v>
      </c>
      <c r="F395" t="s">
        <v>55</v>
      </c>
      <c r="G395" t="s">
        <v>44</v>
      </c>
      <c r="H395" t="s">
        <v>45</v>
      </c>
      <c r="I395" t="s">
        <v>93</v>
      </c>
      <c r="J395" t="s">
        <v>94</v>
      </c>
      <c r="K395" t="s">
        <v>95</v>
      </c>
      <c r="L395">
        <v>5</v>
      </c>
      <c r="M395">
        <v>1800</v>
      </c>
      <c r="N395">
        <v>5</v>
      </c>
      <c r="O395">
        <v>8550</v>
      </c>
      <c r="P395">
        <v>2953.95</v>
      </c>
      <c r="Q395" t="s">
        <v>66</v>
      </c>
      <c r="R395" t="s">
        <v>56</v>
      </c>
      <c r="S395" t="s">
        <v>86</v>
      </c>
    </row>
    <row r="396" spans="1:19" x14ac:dyDescent="0.3">
      <c r="A396" t="s">
        <v>1053</v>
      </c>
      <c r="B396" t="s">
        <v>1054</v>
      </c>
      <c r="C396" s="1">
        <v>45932</v>
      </c>
      <c r="D396" t="s">
        <v>1055</v>
      </c>
      <c r="E396" t="s">
        <v>1056</v>
      </c>
      <c r="F396" t="s">
        <v>55</v>
      </c>
      <c r="G396" t="s">
        <v>61</v>
      </c>
      <c r="H396" t="s">
        <v>62</v>
      </c>
      <c r="I396" t="s">
        <v>71</v>
      </c>
      <c r="J396" t="s">
        <v>72</v>
      </c>
      <c r="K396" t="s">
        <v>73</v>
      </c>
      <c r="L396">
        <v>1</v>
      </c>
      <c r="M396">
        <v>3500</v>
      </c>
      <c r="N396">
        <v>0</v>
      </c>
      <c r="O396">
        <v>3500</v>
      </c>
      <c r="P396">
        <v>925.18</v>
      </c>
      <c r="Q396" t="s">
        <v>156</v>
      </c>
      <c r="R396" t="s">
        <v>29</v>
      </c>
      <c r="S396" t="s">
        <v>50</v>
      </c>
    </row>
    <row r="397" spans="1:19" x14ac:dyDescent="0.3">
      <c r="A397" t="s">
        <v>1057</v>
      </c>
      <c r="B397" s="1">
        <v>45358</v>
      </c>
      <c r="C397" s="1">
        <v>45483</v>
      </c>
      <c r="D397" t="s">
        <v>1058</v>
      </c>
      <c r="E397" t="s">
        <v>1059</v>
      </c>
      <c r="F397" t="s">
        <v>55</v>
      </c>
      <c r="G397" t="s">
        <v>91</v>
      </c>
      <c r="H397" t="s">
        <v>92</v>
      </c>
      <c r="I397" t="s">
        <v>134</v>
      </c>
      <c r="J397" t="s">
        <v>135</v>
      </c>
      <c r="K397" t="s">
        <v>27</v>
      </c>
      <c r="L397">
        <v>3</v>
      </c>
      <c r="M397">
        <v>6000</v>
      </c>
      <c r="N397">
        <v>20</v>
      </c>
      <c r="O397">
        <v>14400</v>
      </c>
      <c r="P397">
        <v>3306.04</v>
      </c>
      <c r="R397" t="s">
        <v>49</v>
      </c>
      <c r="S397" t="s">
        <v>30</v>
      </c>
    </row>
    <row r="398" spans="1:19" x14ac:dyDescent="0.3">
      <c r="A398" t="s">
        <v>1060</v>
      </c>
      <c r="B398" s="1">
        <v>45690</v>
      </c>
      <c r="D398" t="s">
        <v>847</v>
      </c>
      <c r="E398" t="s">
        <v>848</v>
      </c>
      <c r="F398" t="s">
        <v>23</v>
      </c>
      <c r="G398" t="s">
        <v>44</v>
      </c>
      <c r="H398" t="s">
        <v>161</v>
      </c>
      <c r="I398" t="s">
        <v>37</v>
      </c>
      <c r="J398" t="s">
        <v>38</v>
      </c>
      <c r="K398" t="s">
        <v>27</v>
      </c>
      <c r="L398">
        <v>1</v>
      </c>
      <c r="M398">
        <v>9500</v>
      </c>
      <c r="N398">
        <v>20</v>
      </c>
      <c r="O398">
        <v>7600</v>
      </c>
      <c r="P398">
        <v>1514.71</v>
      </c>
      <c r="Q398" t="s">
        <v>28</v>
      </c>
      <c r="R398" t="s">
        <v>56</v>
      </c>
      <c r="S398" t="s">
        <v>50</v>
      </c>
    </row>
    <row r="399" spans="1:19" x14ac:dyDescent="0.3">
      <c r="A399" t="s">
        <v>1061</v>
      </c>
      <c r="B399" s="1">
        <v>45486</v>
      </c>
      <c r="C399" t="s">
        <v>1062</v>
      </c>
      <c r="D399" t="s">
        <v>625</v>
      </c>
      <c r="E399" t="s">
        <v>626</v>
      </c>
      <c r="F399" t="s">
        <v>34</v>
      </c>
      <c r="G399" t="s">
        <v>61</v>
      </c>
      <c r="I399" t="s">
        <v>79</v>
      </c>
      <c r="J399" t="s">
        <v>80</v>
      </c>
      <c r="K399" t="s">
        <v>65</v>
      </c>
      <c r="L399">
        <v>1</v>
      </c>
      <c r="M399">
        <v>3000</v>
      </c>
      <c r="N399">
        <v>5</v>
      </c>
      <c r="O399">
        <v>2850</v>
      </c>
      <c r="P399">
        <v>835.97</v>
      </c>
      <c r="Q399" t="s">
        <v>39</v>
      </c>
      <c r="R399" t="s">
        <v>49</v>
      </c>
      <c r="S399" t="s">
        <v>50</v>
      </c>
    </row>
    <row r="400" spans="1:19" x14ac:dyDescent="0.3">
      <c r="A400" t="s">
        <v>1063</v>
      </c>
      <c r="B400" t="s">
        <v>1064</v>
      </c>
      <c r="C400" s="1">
        <v>45449</v>
      </c>
      <c r="D400" t="s">
        <v>534</v>
      </c>
      <c r="E400" t="s">
        <v>535</v>
      </c>
      <c r="F400" t="s">
        <v>34</v>
      </c>
      <c r="G400" t="s">
        <v>61</v>
      </c>
      <c r="H400" t="s">
        <v>78</v>
      </c>
      <c r="I400" t="s">
        <v>93</v>
      </c>
      <c r="J400" t="s">
        <v>94</v>
      </c>
      <c r="K400" t="s">
        <v>95</v>
      </c>
      <c r="M400">
        <v>1800</v>
      </c>
      <c r="N400">
        <v>20</v>
      </c>
      <c r="O400">
        <v>5760</v>
      </c>
      <c r="P400">
        <v>1643.19</v>
      </c>
      <c r="Q400" t="s">
        <v>156</v>
      </c>
      <c r="R400" t="s">
        <v>567</v>
      </c>
      <c r="S400" t="s">
        <v>110</v>
      </c>
    </row>
    <row r="401" spans="1:19" x14ac:dyDescent="0.3">
      <c r="A401" t="s">
        <v>1065</v>
      </c>
      <c r="B401" t="s">
        <v>1066</v>
      </c>
      <c r="C401" s="1">
        <v>45801</v>
      </c>
      <c r="D401" t="s">
        <v>1067</v>
      </c>
      <c r="E401" t="s">
        <v>1068</v>
      </c>
      <c r="F401" t="s">
        <v>23</v>
      </c>
      <c r="G401" t="s">
        <v>35</v>
      </c>
      <c r="H401" t="s">
        <v>85</v>
      </c>
      <c r="I401" t="s">
        <v>37</v>
      </c>
      <c r="J401" t="s">
        <v>38</v>
      </c>
      <c r="K401" t="s">
        <v>27</v>
      </c>
      <c r="L401">
        <v>-2</v>
      </c>
      <c r="M401">
        <v>9500</v>
      </c>
      <c r="N401">
        <v>0</v>
      </c>
      <c r="O401">
        <v>19000</v>
      </c>
      <c r="P401">
        <v>2797.61</v>
      </c>
      <c r="Q401" t="s">
        <v>39</v>
      </c>
      <c r="R401" t="s">
        <v>56</v>
      </c>
      <c r="S401" t="s">
        <v>86</v>
      </c>
    </row>
    <row r="402" spans="1:19" x14ac:dyDescent="0.3">
      <c r="A402" t="s">
        <v>1069</v>
      </c>
      <c r="B402" s="2">
        <v>45412</v>
      </c>
      <c r="C402" s="1">
        <v>45419</v>
      </c>
      <c r="D402" t="s">
        <v>373</v>
      </c>
      <c r="E402" t="s">
        <v>374</v>
      </c>
      <c r="F402" t="s">
        <v>55</v>
      </c>
      <c r="G402" t="s">
        <v>35</v>
      </c>
      <c r="H402" t="s">
        <v>85</v>
      </c>
      <c r="I402" t="s">
        <v>126</v>
      </c>
      <c r="J402" t="s">
        <v>127</v>
      </c>
      <c r="K402" t="s">
        <v>95</v>
      </c>
      <c r="L402">
        <v>10</v>
      </c>
      <c r="M402">
        <v>600</v>
      </c>
      <c r="N402">
        <v>15</v>
      </c>
      <c r="O402">
        <v>5100</v>
      </c>
      <c r="P402">
        <v>1795.57</v>
      </c>
      <c r="Q402" t="s">
        <v>74</v>
      </c>
      <c r="R402" t="s">
        <v>29</v>
      </c>
      <c r="S402" t="s">
        <v>40</v>
      </c>
    </row>
    <row r="403" spans="1:19" x14ac:dyDescent="0.3">
      <c r="A403" t="s">
        <v>1070</v>
      </c>
      <c r="B403" t="s">
        <v>1071</v>
      </c>
      <c r="C403" s="1">
        <v>45865</v>
      </c>
      <c r="D403" t="s">
        <v>1072</v>
      </c>
      <c r="E403" t="s">
        <v>1073</v>
      </c>
      <c r="F403" t="s">
        <v>23</v>
      </c>
      <c r="G403" t="s">
        <v>44</v>
      </c>
      <c r="H403" t="s">
        <v>161</v>
      </c>
      <c r="I403" t="s">
        <v>134</v>
      </c>
      <c r="J403" t="s">
        <v>135</v>
      </c>
      <c r="K403" t="s">
        <v>27</v>
      </c>
      <c r="L403">
        <v>5</v>
      </c>
      <c r="M403">
        <v>6000</v>
      </c>
      <c r="N403">
        <v>5</v>
      </c>
      <c r="O403">
        <v>28500</v>
      </c>
      <c r="P403">
        <v>6954.81</v>
      </c>
      <c r="Q403" t="s">
        <v>74</v>
      </c>
      <c r="R403" t="s">
        <v>49</v>
      </c>
      <c r="S403" t="s">
        <v>86</v>
      </c>
    </row>
    <row r="404" spans="1:19" x14ac:dyDescent="0.3">
      <c r="A404" t="s">
        <v>1074</v>
      </c>
      <c r="B404" s="1">
        <v>45427</v>
      </c>
      <c r="C404" s="2">
        <v>45428</v>
      </c>
      <c r="D404" t="s">
        <v>1075</v>
      </c>
      <c r="E404" t="s">
        <v>1076</v>
      </c>
      <c r="F404" t="s">
        <v>55</v>
      </c>
      <c r="G404" t="s">
        <v>61</v>
      </c>
      <c r="H404" t="s">
        <v>125</v>
      </c>
      <c r="I404" t="s">
        <v>79</v>
      </c>
      <c r="J404" t="s">
        <v>80</v>
      </c>
      <c r="K404" t="s">
        <v>65</v>
      </c>
      <c r="L404">
        <v>1</v>
      </c>
      <c r="M404">
        <v>3000</v>
      </c>
      <c r="N404">
        <v>5</v>
      </c>
      <c r="O404">
        <v>2850</v>
      </c>
      <c r="P404">
        <v>793.93</v>
      </c>
      <c r="Q404" t="s">
        <v>39</v>
      </c>
      <c r="R404" t="s">
        <v>49</v>
      </c>
      <c r="S404" t="s">
        <v>110</v>
      </c>
    </row>
    <row r="405" spans="1:19" x14ac:dyDescent="0.3">
      <c r="A405" t="s">
        <v>1077</v>
      </c>
      <c r="B405" s="1">
        <v>45507</v>
      </c>
      <c r="D405" t="s">
        <v>1019</v>
      </c>
      <c r="E405" t="s">
        <v>1020</v>
      </c>
      <c r="F405" t="s">
        <v>55</v>
      </c>
      <c r="G405" t="s">
        <v>35</v>
      </c>
      <c r="H405" t="s">
        <v>187</v>
      </c>
      <c r="I405" t="s">
        <v>134</v>
      </c>
      <c r="J405" t="s">
        <v>135</v>
      </c>
      <c r="K405" t="s">
        <v>27</v>
      </c>
      <c r="L405">
        <v>2</v>
      </c>
      <c r="M405">
        <v>6000</v>
      </c>
      <c r="N405">
        <v>20</v>
      </c>
      <c r="O405">
        <v>9600</v>
      </c>
      <c r="P405">
        <v>1906.15</v>
      </c>
      <c r="R405" t="s">
        <v>49</v>
      </c>
      <c r="S405" t="s">
        <v>30</v>
      </c>
    </row>
    <row r="406" spans="1:19" x14ac:dyDescent="0.3">
      <c r="A406" t="s">
        <v>1078</v>
      </c>
      <c r="B406" t="s">
        <v>605</v>
      </c>
      <c r="C406" s="2">
        <v>45891</v>
      </c>
      <c r="D406" t="s">
        <v>1079</v>
      </c>
      <c r="E406" t="s">
        <v>1080</v>
      </c>
      <c r="F406" t="s">
        <v>23</v>
      </c>
      <c r="G406" t="s">
        <v>44</v>
      </c>
      <c r="H406" t="s">
        <v>155</v>
      </c>
      <c r="I406" t="s">
        <v>37</v>
      </c>
      <c r="J406" t="s">
        <v>38</v>
      </c>
      <c r="K406" t="s">
        <v>27</v>
      </c>
      <c r="L406">
        <v>3</v>
      </c>
      <c r="M406">
        <v>9500</v>
      </c>
      <c r="N406">
        <v>0</v>
      </c>
      <c r="O406">
        <v>28500</v>
      </c>
      <c r="Q406" t="s">
        <v>39</v>
      </c>
      <c r="R406" t="s">
        <v>49</v>
      </c>
      <c r="S406" t="s">
        <v>30</v>
      </c>
    </row>
    <row r="407" spans="1:19" x14ac:dyDescent="0.3">
      <c r="A407" t="s">
        <v>1081</v>
      </c>
      <c r="B407" s="2">
        <v>45813</v>
      </c>
      <c r="C407" t="s">
        <v>1082</v>
      </c>
      <c r="D407" t="s">
        <v>755</v>
      </c>
      <c r="E407" t="s">
        <v>756</v>
      </c>
      <c r="F407" t="s">
        <v>34</v>
      </c>
      <c r="G407" t="s">
        <v>44</v>
      </c>
      <c r="H407" t="s">
        <v>161</v>
      </c>
      <c r="I407" t="s">
        <v>126</v>
      </c>
      <c r="J407" t="s">
        <v>127</v>
      </c>
      <c r="K407" t="s">
        <v>95</v>
      </c>
      <c r="L407">
        <v>1</v>
      </c>
      <c r="M407">
        <v>600</v>
      </c>
      <c r="N407">
        <v>5</v>
      </c>
      <c r="O407">
        <v>570</v>
      </c>
      <c r="P407">
        <v>193.33</v>
      </c>
      <c r="Q407" t="s">
        <v>121</v>
      </c>
      <c r="R407" t="s">
        <v>29</v>
      </c>
      <c r="S407" t="s">
        <v>50</v>
      </c>
    </row>
    <row r="408" spans="1:19" x14ac:dyDescent="0.3">
      <c r="A408" t="s">
        <v>1083</v>
      </c>
      <c r="B408" s="1">
        <v>45802</v>
      </c>
      <c r="C408" s="2">
        <v>45807</v>
      </c>
      <c r="D408" t="s">
        <v>531</v>
      </c>
      <c r="E408" t="s">
        <v>532</v>
      </c>
      <c r="F408" t="s">
        <v>23</v>
      </c>
      <c r="G408" t="s">
        <v>44</v>
      </c>
      <c r="H408" t="s">
        <v>161</v>
      </c>
      <c r="I408" t="s">
        <v>93</v>
      </c>
      <c r="J408" t="s">
        <v>94</v>
      </c>
      <c r="K408" t="s">
        <v>95</v>
      </c>
      <c r="L408">
        <v>4</v>
      </c>
      <c r="M408">
        <v>1800</v>
      </c>
      <c r="N408">
        <v>0</v>
      </c>
      <c r="O408">
        <v>7200</v>
      </c>
      <c r="P408">
        <v>2481.83</v>
      </c>
      <c r="Q408" t="s">
        <v>28</v>
      </c>
      <c r="R408" t="s">
        <v>56</v>
      </c>
      <c r="S408" t="s">
        <v>40</v>
      </c>
    </row>
    <row r="409" spans="1:19" x14ac:dyDescent="0.3">
      <c r="A409" t="s">
        <v>1084</v>
      </c>
      <c r="B409" s="2">
        <v>45584</v>
      </c>
      <c r="C409" t="s">
        <v>1085</v>
      </c>
      <c r="D409" t="s">
        <v>956</v>
      </c>
      <c r="E409" t="s">
        <v>1086</v>
      </c>
      <c r="F409" t="s">
        <v>55</v>
      </c>
      <c r="G409" t="s">
        <v>44</v>
      </c>
      <c r="H409" t="s">
        <v>24</v>
      </c>
      <c r="I409" t="s">
        <v>93</v>
      </c>
      <c r="J409" t="s">
        <v>94</v>
      </c>
      <c r="K409" t="s">
        <v>95</v>
      </c>
      <c r="L409">
        <v>10</v>
      </c>
      <c r="M409">
        <v>1800</v>
      </c>
      <c r="N409">
        <v>0</v>
      </c>
      <c r="O409">
        <v>18000</v>
      </c>
      <c r="P409">
        <v>4719.05</v>
      </c>
      <c r="Q409" t="s">
        <v>28</v>
      </c>
      <c r="R409" t="s">
        <v>29</v>
      </c>
      <c r="S409" t="s">
        <v>30</v>
      </c>
    </row>
    <row r="410" spans="1:19" x14ac:dyDescent="0.3">
      <c r="A410" t="s">
        <v>1087</v>
      </c>
      <c r="B410" t="s">
        <v>1088</v>
      </c>
      <c r="C410" s="1">
        <v>45537</v>
      </c>
      <c r="D410" t="s">
        <v>790</v>
      </c>
      <c r="E410" t="s">
        <v>791</v>
      </c>
      <c r="F410" t="s">
        <v>23</v>
      </c>
      <c r="G410" t="s">
        <v>61</v>
      </c>
      <c r="H410" t="s">
        <v>125</v>
      </c>
      <c r="I410" t="s">
        <v>147</v>
      </c>
      <c r="J410" t="s">
        <v>148</v>
      </c>
      <c r="K410" t="s">
        <v>48</v>
      </c>
      <c r="M410">
        <v>250</v>
      </c>
      <c r="N410">
        <v>5</v>
      </c>
      <c r="O410">
        <v>712.5</v>
      </c>
      <c r="P410">
        <v>241.52</v>
      </c>
      <c r="Q410" t="s">
        <v>66</v>
      </c>
      <c r="R410" t="s">
        <v>49</v>
      </c>
      <c r="S410" t="s">
        <v>50</v>
      </c>
    </row>
    <row r="411" spans="1:19" x14ac:dyDescent="0.3">
      <c r="A411" t="s">
        <v>1089</v>
      </c>
      <c r="B411" s="1">
        <v>45297</v>
      </c>
      <c r="C411" s="1">
        <v>45452</v>
      </c>
      <c r="D411" t="s">
        <v>1090</v>
      </c>
      <c r="E411" t="s">
        <v>1091</v>
      </c>
      <c r="F411" t="s">
        <v>23</v>
      </c>
      <c r="G411" t="s">
        <v>61</v>
      </c>
      <c r="H411" t="s">
        <v>78</v>
      </c>
      <c r="I411" t="s">
        <v>126</v>
      </c>
      <c r="J411" t="s">
        <v>127</v>
      </c>
      <c r="K411" t="s">
        <v>95</v>
      </c>
      <c r="L411">
        <v>2</v>
      </c>
      <c r="M411">
        <v>600</v>
      </c>
      <c r="N411">
        <v>0</v>
      </c>
      <c r="O411">
        <v>1200</v>
      </c>
      <c r="P411">
        <v>390.33</v>
      </c>
      <c r="Q411" t="s">
        <v>121</v>
      </c>
      <c r="R411" t="s">
        <v>29</v>
      </c>
      <c r="S411" t="s">
        <v>110</v>
      </c>
    </row>
    <row r="412" spans="1:19" x14ac:dyDescent="0.3">
      <c r="A412" t="s">
        <v>1092</v>
      </c>
      <c r="B412" s="1">
        <v>45925</v>
      </c>
      <c r="C412" s="1">
        <v>45932</v>
      </c>
      <c r="D412" t="s">
        <v>689</v>
      </c>
      <c r="E412" t="s">
        <v>690</v>
      </c>
      <c r="F412" t="s">
        <v>55</v>
      </c>
      <c r="G412" t="s">
        <v>61</v>
      </c>
      <c r="H412" t="s">
        <v>62</v>
      </c>
      <c r="I412" t="s">
        <v>79</v>
      </c>
      <c r="J412" t="s">
        <v>80</v>
      </c>
      <c r="K412" t="s">
        <v>65</v>
      </c>
      <c r="L412">
        <v>2</v>
      </c>
      <c r="M412">
        <v>3000</v>
      </c>
      <c r="N412">
        <v>15</v>
      </c>
      <c r="O412">
        <v>5100</v>
      </c>
      <c r="Q412" t="s">
        <v>74</v>
      </c>
      <c r="R412" t="s">
        <v>56</v>
      </c>
      <c r="S412" t="s">
        <v>50</v>
      </c>
    </row>
    <row r="413" spans="1:19" x14ac:dyDescent="0.3">
      <c r="A413" t="s">
        <v>1093</v>
      </c>
      <c r="B413" t="s">
        <v>679</v>
      </c>
      <c r="C413" s="1">
        <v>46010</v>
      </c>
      <c r="D413" t="s">
        <v>362</v>
      </c>
      <c r="E413" t="s">
        <v>363</v>
      </c>
      <c r="F413" t="s">
        <v>55</v>
      </c>
      <c r="G413" t="s">
        <v>35</v>
      </c>
      <c r="H413" t="s">
        <v>36</v>
      </c>
      <c r="I413" t="s">
        <v>25</v>
      </c>
      <c r="J413" t="s">
        <v>26</v>
      </c>
      <c r="K413" t="s">
        <v>27</v>
      </c>
      <c r="L413">
        <v>1</v>
      </c>
      <c r="M413">
        <v>7000</v>
      </c>
      <c r="N413">
        <v>0</v>
      </c>
      <c r="O413">
        <v>7000</v>
      </c>
      <c r="P413">
        <v>1171.72</v>
      </c>
      <c r="Q413" t="s">
        <v>121</v>
      </c>
      <c r="R413" t="s">
        <v>29</v>
      </c>
      <c r="S413" t="s">
        <v>110</v>
      </c>
    </row>
    <row r="414" spans="1:19" x14ac:dyDescent="0.3">
      <c r="A414" t="s">
        <v>1094</v>
      </c>
      <c r="B414" s="1">
        <v>45438</v>
      </c>
      <c r="C414" t="s">
        <v>1064</v>
      </c>
      <c r="D414" t="s">
        <v>233</v>
      </c>
      <c r="E414" t="s">
        <v>234</v>
      </c>
      <c r="F414" t="s">
        <v>23</v>
      </c>
      <c r="G414" t="s">
        <v>61</v>
      </c>
      <c r="H414" t="s">
        <v>211</v>
      </c>
      <c r="I414" t="s">
        <v>25</v>
      </c>
      <c r="J414" t="s">
        <v>26</v>
      </c>
      <c r="K414" t="s">
        <v>27</v>
      </c>
      <c r="L414">
        <v>10</v>
      </c>
      <c r="M414">
        <v>7000</v>
      </c>
      <c r="N414">
        <v>10</v>
      </c>
      <c r="O414">
        <v>63000</v>
      </c>
      <c r="Q414" t="s">
        <v>74</v>
      </c>
      <c r="R414" t="s">
        <v>29</v>
      </c>
      <c r="S414" t="s">
        <v>40</v>
      </c>
    </row>
    <row r="415" spans="1:19" x14ac:dyDescent="0.3">
      <c r="A415" t="s">
        <v>1095</v>
      </c>
      <c r="B415" t="s">
        <v>1096</v>
      </c>
      <c r="C415" s="1">
        <v>45477</v>
      </c>
      <c r="D415" t="s">
        <v>192</v>
      </c>
      <c r="E415" t="s">
        <v>193</v>
      </c>
      <c r="F415" t="s">
        <v>55</v>
      </c>
      <c r="G415" t="s">
        <v>35</v>
      </c>
      <c r="H415" t="s">
        <v>36</v>
      </c>
      <c r="I415" t="s">
        <v>46</v>
      </c>
      <c r="J415" t="s">
        <v>47</v>
      </c>
      <c r="K415" t="s">
        <v>48</v>
      </c>
      <c r="L415">
        <v>1</v>
      </c>
      <c r="M415">
        <v>180</v>
      </c>
      <c r="N415">
        <v>15</v>
      </c>
      <c r="O415">
        <v>153</v>
      </c>
      <c r="P415">
        <v>57.8</v>
      </c>
      <c r="Q415" t="s">
        <v>28</v>
      </c>
      <c r="R415" t="s">
        <v>56</v>
      </c>
      <c r="S415" t="s">
        <v>30</v>
      </c>
    </row>
    <row r="416" spans="1:19" x14ac:dyDescent="0.3">
      <c r="A416" t="s">
        <v>1097</v>
      </c>
      <c r="B416" s="1">
        <v>45314</v>
      </c>
      <c r="C416" t="s">
        <v>569</v>
      </c>
      <c r="D416" t="s">
        <v>362</v>
      </c>
      <c r="E416" t="s">
        <v>363</v>
      </c>
      <c r="F416" t="s">
        <v>55</v>
      </c>
      <c r="G416" t="s">
        <v>35</v>
      </c>
      <c r="H416" t="s">
        <v>36</v>
      </c>
      <c r="I416" t="s">
        <v>71</v>
      </c>
      <c r="J416" t="s">
        <v>72</v>
      </c>
      <c r="K416" t="s">
        <v>73</v>
      </c>
      <c r="L416">
        <v>1</v>
      </c>
      <c r="M416">
        <v>3500</v>
      </c>
      <c r="N416">
        <v>0</v>
      </c>
      <c r="O416">
        <v>3500</v>
      </c>
      <c r="P416">
        <v>945.07</v>
      </c>
      <c r="Q416" t="s">
        <v>28</v>
      </c>
      <c r="R416" t="s">
        <v>49</v>
      </c>
      <c r="S416" t="s">
        <v>30</v>
      </c>
    </row>
    <row r="417" spans="1:19" x14ac:dyDescent="0.3">
      <c r="A417" t="s">
        <v>1098</v>
      </c>
      <c r="B417" t="s">
        <v>1099</v>
      </c>
      <c r="C417" s="1">
        <v>45864</v>
      </c>
      <c r="D417" t="s">
        <v>1100</v>
      </c>
      <c r="E417" t="s">
        <v>1101</v>
      </c>
      <c r="F417" t="s">
        <v>23</v>
      </c>
      <c r="G417" t="s">
        <v>44</v>
      </c>
      <c r="H417" t="s">
        <v>161</v>
      </c>
      <c r="I417" t="s">
        <v>79</v>
      </c>
      <c r="J417" t="s">
        <v>80</v>
      </c>
      <c r="K417" t="s">
        <v>65</v>
      </c>
      <c r="L417">
        <v>1</v>
      </c>
      <c r="M417">
        <v>3000</v>
      </c>
      <c r="N417">
        <v>5</v>
      </c>
      <c r="O417">
        <v>2850</v>
      </c>
      <c r="P417">
        <v>824.47</v>
      </c>
      <c r="Q417" t="s">
        <v>156</v>
      </c>
      <c r="R417" t="s">
        <v>49</v>
      </c>
      <c r="S417" t="s">
        <v>86</v>
      </c>
    </row>
    <row r="418" spans="1:19" x14ac:dyDescent="0.3">
      <c r="A418" t="s">
        <v>1102</v>
      </c>
      <c r="B418" s="1">
        <v>45787</v>
      </c>
      <c r="C418" s="1">
        <v>45794</v>
      </c>
      <c r="D418" t="s">
        <v>272</v>
      </c>
      <c r="E418" t="s">
        <v>273</v>
      </c>
      <c r="F418" t="s">
        <v>23</v>
      </c>
      <c r="G418" t="s">
        <v>35</v>
      </c>
      <c r="H418" t="s">
        <v>258</v>
      </c>
      <c r="I418" t="s">
        <v>147</v>
      </c>
      <c r="J418" t="s">
        <v>148</v>
      </c>
      <c r="K418" t="s">
        <v>48</v>
      </c>
      <c r="L418">
        <v>4</v>
      </c>
      <c r="M418">
        <v>250</v>
      </c>
      <c r="N418">
        <v>0</v>
      </c>
      <c r="O418">
        <v>1000</v>
      </c>
      <c r="P418">
        <v>380.59</v>
      </c>
      <c r="Q418" t="s">
        <v>28</v>
      </c>
      <c r="R418" t="s">
        <v>29</v>
      </c>
      <c r="S418" t="s">
        <v>30</v>
      </c>
    </row>
    <row r="419" spans="1:19" x14ac:dyDescent="0.3">
      <c r="A419" t="s">
        <v>1103</v>
      </c>
      <c r="B419" s="1">
        <v>45322</v>
      </c>
      <c r="C419" s="2">
        <v>45325</v>
      </c>
      <c r="D419" t="s">
        <v>599</v>
      </c>
      <c r="E419" t="s">
        <v>600</v>
      </c>
      <c r="F419" t="s">
        <v>23</v>
      </c>
      <c r="G419" t="s">
        <v>44</v>
      </c>
      <c r="H419" t="s">
        <v>161</v>
      </c>
      <c r="I419" t="s">
        <v>134</v>
      </c>
      <c r="J419" t="s">
        <v>135</v>
      </c>
      <c r="K419" t="s">
        <v>27</v>
      </c>
      <c r="L419">
        <v>1</v>
      </c>
      <c r="M419">
        <v>6000</v>
      </c>
      <c r="N419">
        <v>20</v>
      </c>
      <c r="O419">
        <v>4800</v>
      </c>
      <c r="P419">
        <v>955.09</v>
      </c>
      <c r="Q419" t="s">
        <v>74</v>
      </c>
      <c r="R419" t="s">
        <v>29</v>
      </c>
      <c r="S419" t="s">
        <v>86</v>
      </c>
    </row>
    <row r="420" spans="1:19" x14ac:dyDescent="0.3">
      <c r="A420" t="s">
        <v>1104</v>
      </c>
      <c r="B420" s="1">
        <v>45675</v>
      </c>
      <c r="C420" s="2">
        <v>45678</v>
      </c>
      <c r="D420" t="s">
        <v>919</v>
      </c>
      <c r="E420" t="s">
        <v>920</v>
      </c>
      <c r="F420" t="s">
        <v>23</v>
      </c>
      <c r="G420" t="s">
        <v>35</v>
      </c>
      <c r="H420" t="s">
        <v>36</v>
      </c>
      <c r="I420" t="s">
        <v>37</v>
      </c>
      <c r="J420" t="s">
        <v>38</v>
      </c>
      <c r="K420" t="s">
        <v>27</v>
      </c>
      <c r="L420">
        <v>2</v>
      </c>
      <c r="M420">
        <v>9500</v>
      </c>
      <c r="N420">
        <v>0</v>
      </c>
      <c r="O420">
        <v>19000</v>
      </c>
      <c r="P420">
        <v>3467.37</v>
      </c>
      <c r="Q420" t="s">
        <v>121</v>
      </c>
      <c r="R420" t="s">
        <v>29</v>
      </c>
      <c r="S420" t="s">
        <v>86</v>
      </c>
    </row>
    <row r="421" spans="1:19" x14ac:dyDescent="0.3">
      <c r="A421" t="s">
        <v>1105</v>
      </c>
      <c r="B421" t="s">
        <v>1106</v>
      </c>
      <c r="C421" s="1">
        <v>45745</v>
      </c>
      <c r="D421" t="s">
        <v>1107</v>
      </c>
      <c r="E421" t="s">
        <v>1108</v>
      </c>
      <c r="F421" t="s">
        <v>55</v>
      </c>
      <c r="G421" t="s">
        <v>91</v>
      </c>
      <c r="H421" t="s">
        <v>109</v>
      </c>
      <c r="I421" t="s">
        <v>126</v>
      </c>
      <c r="J421" t="s">
        <v>127</v>
      </c>
      <c r="K421" t="s">
        <v>95</v>
      </c>
      <c r="L421">
        <v>1</v>
      </c>
      <c r="M421">
        <v>600</v>
      </c>
      <c r="N421">
        <v>5</v>
      </c>
      <c r="O421">
        <v>570</v>
      </c>
      <c r="P421">
        <v>157.63</v>
      </c>
      <c r="Q421" t="s">
        <v>39</v>
      </c>
      <c r="R421" t="s">
        <v>56</v>
      </c>
      <c r="S421" t="s">
        <v>110</v>
      </c>
    </row>
    <row r="422" spans="1:19" x14ac:dyDescent="0.3">
      <c r="A422" t="s">
        <v>1109</v>
      </c>
      <c r="B422" s="2">
        <v>45577</v>
      </c>
      <c r="C422" s="2">
        <v>45584</v>
      </c>
      <c r="D422" t="s">
        <v>297</v>
      </c>
      <c r="E422" t="s">
        <v>1110</v>
      </c>
      <c r="F422" t="s">
        <v>23</v>
      </c>
      <c r="G422" t="s">
        <v>91</v>
      </c>
      <c r="H422" t="s">
        <v>177</v>
      </c>
      <c r="I422" t="s">
        <v>71</v>
      </c>
      <c r="J422" t="s">
        <v>72</v>
      </c>
      <c r="K422" t="s">
        <v>73</v>
      </c>
      <c r="L422">
        <v>1</v>
      </c>
      <c r="M422">
        <v>3500</v>
      </c>
      <c r="N422">
        <v>0</v>
      </c>
      <c r="O422">
        <v>3500</v>
      </c>
      <c r="P422">
        <v>865.48</v>
      </c>
      <c r="Q422" t="s">
        <v>74</v>
      </c>
      <c r="R422" t="s">
        <v>49</v>
      </c>
      <c r="S422" t="s">
        <v>30</v>
      </c>
    </row>
    <row r="423" spans="1:19" x14ac:dyDescent="0.3">
      <c r="A423" t="s">
        <v>1111</v>
      </c>
      <c r="B423" t="s">
        <v>1112</v>
      </c>
      <c r="C423" t="s">
        <v>1113</v>
      </c>
      <c r="D423" t="s">
        <v>308</v>
      </c>
      <c r="E423" t="s">
        <v>309</v>
      </c>
      <c r="F423" t="s">
        <v>34</v>
      </c>
      <c r="G423" t="s">
        <v>91</v>
      </c>
      <c r="H423" t="s">
        <v>177</v>
      </c>
      <c r="I423" t="s">
        <v>63</v>
      </c>
      <c r="J423" t="s">
        <v>64</v>
      </c>
      <c r="K423" t="s">
        <v>65</v>
      </c>
      <c r="L423">
        <v>1</v>
      </c>
      <c r="M423">
        <v>25000</v>
      </c>
      <c r="N423">
        <v>0</v>
      </c>
      <c r="O423">
        <v>25000</v>
      </c>
      <c r="P423">
        <v>3765.19</v>
      </c>
      <c r="Q423" t="s">
        <v>66</v>
      </c>
      <c r="R423" t="s">
        <v>29</v>
      </c>
      <c r="S423" t="s">
        <v>110</v>
      </c>
    </row>
    <row r="424" spans="1:19" x14ac:dyDescent="0.3">
      <c r="A424" t="s">
        <v>1114</v>
      </c>
      <c r="B424" s="1">
        <v>45631</v>
      </c>
      <c r="C424" s="1">
        <v>45635</v>
      </c>
      <c r="D424" t="s">
        <v>1115</v>
      </c>
      <c r="E424" t="s">
        <v>1116</v>
      </c>
      <c r="F424" t="s">
        <v>23</v>
      </c>
      <c r="G424" t="s">
        <v>44</v>
      </c>
      <c r="I424" t="s">
        <v>71</v>
      </c>
      <c r="J424" t="s">
        <v>72</v>
      </c>
      <c r="K424" t="s">
        <v>73</v>
      </c>
      <c r="L424">
        <v>1</v>
      </c>
      <c r="M424">
        <v>3500</v>
      </c>
      <c r="N424">
        <v>0</v>
      </c>
      <c r="O424">
        <v>3500</v>
      </c>
      <c r="P424">
        <v>1190.17</v>
      </c>
      <c r="Q424" t="s">
        <v>156</v>
      </c>
      <c r="R424" t="s">
        <v>56</v>
      </c>
      <c r="S424" t="s">
        <v>50</v>
      </c>
    </row>
    <row r="425" spans="1:19" x14ac:dyDescent="0.3">
      <c r="A425" t="s">
        <v>1117</v>
      </c>
      <c r="B425" t="s">
        <v>1118</v>
      </c>
      <c r="C425" t="s">
        <v>1119</v>
      </c>
      <c r="D425" t="s">
        <v>59</v>
      </c>
      <c r="E425" t="s">
        <v>60</v>
      </c>
      <c r="F425" t="s">
        <v>23</v>
      </c>
      <c r="G425" t="s">
        <v>61</v>
      </c>
      <c r="H425" t="s">
        <v>62</v>
      </c>
      <c r="I425" t="s">
        <v>126</v>
      </c>
      <c r="J425" t="s">
        <v>127</v>
      </c>
      <c r="K425" t="s">
        <v>95</v>
      </c>
      <c r="L425">
        <v>2</v>
      </c>
      <c r="M425">
        <v>600</v>
      </c>
      <c r="N425">
        <v>0</v>
      </c>
      <c r="O425">
        <v>1200</v>
      </c>
      <c r="P425">
        <v>328.94</v>
      </c>
      <c r="Q425" t="s">
        <v>28</v>
      </c>
      <c r="R425" t="s">
        <v>56</v>
      </c>
      <c r="S425" t="s">
        <v>86</v>
      </c>
    </row>
    <row r="426" spans="1:19" x14ac:dyDescent="0.3">
      <c r="A426" t="s">
        <v>1120</v>
      </c>
      <c r="B426" s="2">
        <v>45308</v>
      </c>
      <c r="C426" t="s">
        <v>1121</v>
      </c>
      <c r="D426" t="s">
        <v>639</v>
      </c>
      <c r="E426" t="s">
        <v>640</v>
      </c>
      <c r="F426" t="s">
        <v>55</v>
      </c>
      <c r="G426" t="s">
        <v>35</v>
      </c>
      <c r="H426" t="s">
        <v>36</v>
      </c>
      <c r="I426" t="s">
        <v>147</v>
      </c>
      <c r="J426" t="s">
        <v>148</v>
      </c>
      <c r="K426" t="s">
        <v>48</v>
      </c>
      <c r="L426">
        <v>1</v>
      </c>
      <c r="M426">
        <v>250</v>
      </c>
      <c r="N426">
        <v>20</v>
      </c>
      <c r="O426">
        <v>200</v>
      </c>
      <c r="P426">
        <v>69.44</v>
      </c>
      <c r="Q426" t="s">
        <v>74</v>
      </c>
      <c r="R426" t="s">
        <v>49</v>
      </c>
      <c r="S426" t="s">
        <v>110</v>
      </c>
    </row>
    <row r="427" spans="1:19" x14ac:dyDescent="0.3">
      <c r="A427" t="s">
        <v>1122</v>
      </c>
      <c r="B427" t="s">
        <v>1123</v>
      </c>
      <c r="C427" s="1">
        <v>45376</v>
      </c>
      <c r="D427" t="s">
        <v>1031</v>
      </c>
      <c r="E427" t="s">
        <v>1032</v>
      </c>
      <c r="F427" t="s">
        <v>23</v>
      </c>
      <c r="G427" t="s">
        <v>61</v>
      </c>
      <c r="H427" t="s">
        <v>211</v>
      </c>
      <c r="I427" t="s">
        <v>126</v>
      </c>
      <c r="J427" t="s">
        <v>127</v>
      </c>
      <c r="K427" t="s">
        <v>95</v>
      </c>
      <c r="L427">
        <v>1</v>
      </c>
      <c r="M427">
        <v>600</v>
      </c>
      <c r="N427">
        <v>0</v>
      </c>
      <c r="O427">
        <v>600</v>
      </c>
      <c r="P427">
        <v>245.77</v>
      </c>
      <c r="Q427" t="s">
        <v>39</v>
      </c>
      <c r="R427" t="s">
        <v>29</v>
      </c>
      <c r="S427" t="s">
        <v>86</v>
      </c>
    </row>
    <row r="428" spans="1:19" x14ac:dyDescent="0.3">
      <c r="A428" t="s">
        <v>1124</v>
      </c>
      <c r="B428" s="1">
        <v>46014</v>
      </c>
      <c r="C428" t="s">
        <v>417</v>
      </c>
      <c r="D428" t="s">
        <v>1125</v>
      </c>
      <c r="E428" t="s">
        <v>1126</v>
      </c>
      <c r="F428" t="s">
        <v>55</v>
      </c>
      <c r="G428" t="s">
        <v>61</v>
      </c>
      <c r="H428" t="s">
        <v>125</v>
      </c>
      <c r="I428" t="s">
        <v>46</v>
      </c>
      <c r="J428" t="s">
        <v>47</v>
      </c>
      <c r="K428" t="s">
        <v>48</v>
      </c>
      <c r="L428">
        <v>4</v>
      </c>
      <c r="M428">
        <v>180</v>
      </c>
      <c r="N428">
        <v>5</v>
      </c>
      <c r="O428">
        <v>684</v>
      </c>
      <c r="P428">
        <v>245.47</v>
      </c>
      <c r="Q428" t="s">
        <v>28</v>
      </c>
      <c r="R428" t="s">
        <v>29</v>
      </c>
      <c r="S428" t="s">
        <v>40</v>
      </c>
    </row>
    <row r="429" spans="1:19" x14ac:dyDescent="0.3">
      <c r="A429" t="s">
        <v>1127</v>
      </c>
      <c r="B429" s="2">
        <v>45831</v>
      </c>
      <c r="C429" s="1">
        <v>45838</v>
      </c>
      <c r="D429" t="s">
        <v>206</v>
      </c>
      <c r="E429" t="s">
        <v>207</v>
      </c>
      <c r="F429" t="s">
        <v>55</v>
      </c>
      <c r="G429" t="s">
        <v>44</v>
      </c>
      <c r="H429" t="s">
        <v>24</v>
      </c>
      <c r="I429" t="s">
        <v>93</v>
      </c>
      <c r="J429" t="s">
        <v>94</v>
      </c>
      <c r="K429" t="s">
        <v>95</v>
      </c>
      <c r="L429">
        <v>1</v>
      </c>
      <c r="M429">
        <v>1800</v>
      </c>
      <c r="N429">
        <v>0</v>
      </c>
      <c r="O429">
        <v>1800</v>
      </c>
      <c r="P429">
        <v>508.37</v>
      </c>
      <c r="Q429" t="s">
        <v>66</v>
      </c>
      <c r="R429" t="s">
        <v>49</v>
      </c>
      <c r="S429" t="s">
        <v>30</v>
      </c>
    </row>
    <row r="430" spans="1:19" x14ac:dyDescent="0.3">
      <c r="A430" t="s">
        <v>1128</v>
      </c>
      <c r="B430" s="1">
        <v>45630</v>
      </c>
      <c r="C430" s="1">
        <v>45632</v>
      </c>
      <c r="D430" t="s">
        <v>827</v>
      </c>
      <c r="E430" t="s">
        <v>828</v>
      </c>
      <c r="F430" t="s">
        <v>34</v>
      </c>
      <c r="G430" t="s">
        <v>44</v>
      </c>
      <c r="H430" t="s">
        <v>155</v>
      </c>
      <c r="I430" t="s">
        <v>147</v>
      </c>
      <c r="J430" t="s">
        <v>148</v>
      </c>
      <c r="K430" t="s">
        <v>48</v>
      </c>
      <c r="L430">
        <v>3</v>
      </c>
      <c r="M430">
        <v>250</v>
      </c>
      <c r="N430">
        <v>0</v>
      </c>
      <c r="O430">
        <v>750</v>
      </c>
      <c r="P430">
        <v>222.01</v>
      </c>
      <c r="Q430" t="s">
        <v>121</v>
      </c>
      <c r="R430" t="s">
        <v>49</v>
      </c>
      <c r="S430" t="s">
        <v>30</v>
      </c>
    </row>
    <row r="431" spans="1:19" x14ac:dyDescent="0.3">
      <c r="A431" t="s">
        <v>1129</v>
      </c>
      <c r="B431" s="1">
        <v>45919</v>
      </c>
      <c r="C431" t="s">
        <v>669</v>
      </c>
      <c r="D431" t="s">
        <v>291</v>
      </c>
      <c r="E431" t="s">
        <v>292</v>
      </c>
      <c r="F431" t="s">
        <v>55</v>
      </c>
      <c r="G431" t="s">
        <v>35</v>
      </c>
      <c r="H431" t="s">
        <v>187</v>
      </c>
      <c r="I431" t="s">
        <v>79</v>
      </c>
      <c r="J431" t="s">
        <v>80</v>
      </c>
      <c r="K431" t="s">
        <v>65</v>
      </c>
      <c r="L431">
        <v>1</v>
      </c>
      <c r="M431">
        <v>3000</v>
      </c>
      <c r="N431">
        <v>5</v>
      </c>
      <c r="O431">
        <v>2850</v>
      </c>
      <c r="P431">
        <v>817.69</v>
      </c>
      <c r="Q431" t="s">
        <v>66</v>
      </c>
      <c r="R431" t="s">
        <v>56</v>
      </c>
      <c r="S431" t="s">
        <v>86</v>
      </c>
    </row>
    <row r="432" spans="1:19" x14ac:dyDescent="0.3">
      <c r="A432" t="s">
        <v>1130</v>
      </c>
      <c r="B432" s="2">
        <v>45915</v>
      </c>
      <c r="D432" t="s">
        <v>498</v>
      </c>
      <c r="E432" t="s">
        <v>499</v>
      </c>
      <c r="F432" t="s">
        <v>55</v>
      </c>
      <c r="G432" t="s">
        <v>91</v>
      </c>
      <c r="H432" t="s">
        <v>120</v>
      </c>
      <c r="I432" t="s">
        <v>63</v>
      </c>
      <c r="J432" t="s">
        <v>64</v>
      </c>
      <c r="K432" t="s">
        <v>65</v>
      </c>
      <c r="L432">
        <v>10</v>
      </c>
      <c r="M432">
        <v>25000</v>
      </c>
      <c r="N432">
        <v>0</v>
      </c>
      <c r="O432">
        <v>250000</v>
      </c>
      <c r="P432">
        <v>32217.29</v>
      </c>
      <c r="Q432" t="s">
        <v>156</v>
      </c>
      <c r="R432" t="s">
        <v>29</v>
      </c>
      <c r="S432" t="s">
        <v>86</v>
      </c>
    </row>
    <row r="433" spans="1:19" x14ac:dyDescent="0.3">
      <c r="A433" t="s">
        <v>1131</v>
      </c>
      <c r="B433" s="1">
        <v>45500</v>
      </c>
      <c r="C433" s="2">
        <v>45508</v>
      </c>
      <c r="D433" t="s">
        <v>1132</v>
      </c>
      <c r="E433" t="s">
        <v>1133</v>
      </c>
      <c r="F433" t="s">
        <v>34</v>
      </c>
      <c r="G433" t="s">
        <v>91</v>
      </c>
      <c r="H433" t="s">
        <v>177</v>
      </c>
      <c r="I433" t="s">
        <v>114</v>
      </c>
      <c r="J433" t="s">
        <v>115</v>
      </c>
      <c r="K433" t="s">
        <v>65</v>
      </c>
      <c r="L433">
        <v>2</v>
      </c>
      <c r="M433">
        <v>55000</v>
      </c>
      <c r="N433">
        <v>0</v>
      </c>
      <c r="O433">
        <v>110000</v>
      </c>
      <c r="P433">
        <v>19684.490000000002</v>
      </c>
      <c r="Q433" t="s">
        <v>74</v>
      </c>
      <c r="R433" t="s">
        <v>29</v>
      </c>
      <c r="S433" t="s">
        <v>30</v>
      </c>
    </row>
    <row r="434" spans="1:19" x14ac:dyDescent="0.3">
      <c r="A434" t="s">
        <v>1134</v>
      </c>
      <c r="B434" s="2">
        <v>45682</v>
      </c>
      <c r="C434" s="1">
        <v>45689</v>
      </c>
      <c r="D434" t="s">
        <v>1135</v>
      </c>
      <c r="E434" t="s">
        <v>1136</v>
      </c>
      <c r="F434" t="s">
        <v>55</v>
      </c>
      <c r="G434" t="s">
        <v>61</v>
      </c>
      <c r="I434" t="s">
        <v>134</v>
      </c>
      <c r="J434" t="s">
        <v>135</v>
      </c>
      <c r="K434" t="s">
        <v>27</v>
      </c>
      <c r="L434">
        <v>3</v>
      </c>
      <c r="M434">
        <v>6000</v>
      </c>
      <c r="N434">
        <v>20</v>
      </c>
      <c r="O434">
        <v>14400</v>
      </c>
      <c r="P434">
        <v>3195.97</v>
      </c>
      <c r="Q434" t="s">
        <v>121</v>
      </c>
      <c r="R434" t="s">
        <v>29</v>
      </c>
      <c r="S434" t="s">
        <v>110</v>
      </c>
    </row>
    <row r="435" spans="1:19" x14ac:dyDescent="0.3">
      <c r="A435" t="s">
        <v>1137</v>
      </c>
      <c r="B435" t="s">
        <v>1138</v>
      </c>
      <c r="C435" t="s">
        <v>1139</v>
      </c>
      <c r="D435" t="s">
        <v>233</v>
      </c>
      <c r="E435" t="s">
        <v>234</v>
      </c>
      <c r="F435" t="s">
        <v>23</v>
      </c>
      <c r="G435" t="s">
        <v>61</v>
      </c>
      <c r="H435" t="s">
        <v>211</v>
      </c>
      <c r="I435" t="s">
        <v>25</v>
      </c>
      <c r="J435" t="s">
        <v>26</v>
      </c>
      <c r="K435" t="s">
        <v>27</v>
      </c>
      <c r="L435">
        <v>4</v>
      </c>
      <c r="M435">
        <v>7000</v>
      </c>
      <c r="N435">
        <v>20</v>
      </c>
      <c r="O435">
        <v>22400</v>
      </c>
      <c r="P435">
        <v>4224.1899999999996</v>
      </c>
      <c r="Q435" t="s">
        <v>74</v>
      </c>
      <c r="R435" t="s">
        <v>49</v>
      </c>
      <c r="S435" t="s">
        <v>110</v>
      </c>
    </row>
    <row r="436" spans="1:19" x14ac:dyDescent="0.3">
      <c r="A436" t="s">
        <v>1140</v>
      </c>
      <c r="B436" t="s">
        <v>1141</v>
      </c>
      <c r="C436" s="2">
        <v>45603</v>
      </c>
      <c r="D436" t="s">
        <v>1048</v>
      </c>
      <c r="E436" t="s">
        <v>1049</v>
      </c>
      <c r="F436" t="s">
        <v>34</v>
      </c>
      <c r="G436" t="s">
        <v>61</v>
      </c>
      <c r="H436" t="s">
        <v>125</v>
      </c>
      <c r="I436" t="s">
        <v>147</v>
      </c>
      <c r="J436" t="s">
        <v>148</v>
      </c>
      <c r="K436" t="s">
        <v>48</v>
      </c>
      <c r="L436">
        <v>4</v>
      </c>
      <c r="M436">
        <v>250</v>
      </c>
      <c r="N436">
        <v>20</v>
      </c>
      <c r="O436">
        <v>800</v>
      </c>
      <c r="P436">
        <v>317.23</v>
      </c>
      <c r="Q436" t="s">
        <v>74</v>
      </c>
      <c r="R436" t="s">
        <v>56</v>
      </c>
      <c r="S436" t="s">
        <v>50</v>
      </c>
    </row>
    <row r="437" spans="1:19" x14ac:dyDescent="0.3">
      <c r="A437" t="s">
        <v>1142</v>
      </c>
      <c r="B437" t="s">
        <v>1143</v>
      </c>
      <c r="C437" s="1">
        <v>45559</v>
      </c>
      <c r="D437" t="s">
        <v>189</v>
      </c>
      <c r="E437" t="s">
        <v>190</v>
      </c>
      <c r="F437" t="s">
        <v>23</v>
      </c>
      <c r="G437" t="s">
        <v>91</v>
      </c>
      <c r="H437" t="s">
        <v>120</v>
      </c>
      <c r="I437" t="s">
        <v>114</v>
      </c>
      <c r="J437" t="s">
        <v>115</v>
      </c>
      <c r="K437" t="s">
        <v>65</v>
      </c>
      <c r="L437">
        <v>3</v>
      </c>
      <c r="M437">
        <v>55000</v>
      </c>
      <c r="N437">
        <v>0</v>
      </c>
      <c r="O437">
        <v>165000</v>
      </c>
      <c r="P437">
        <v>28615.01</v>
      </c>
      <c r="Q437" t="s">
        <v>156</v>
      </c>
      <c r="R437" t="s">
        <v>29</v>
      </c>
      <c r="S437" t="s">
        <v>30</v>
      </c>
    </row>
    <row r="438" spans="1:19" x14ac:dyDescent="0.3">
      <c r="A438" t="s">
        <v>1144</v>
      </c>
      <c r="B438" t="s">
        <v>1145</v>
      </c>
      <c r="C438" t="s">
        <v>1146</v>
      </c>
      <c r="D438" t="s">
        <v>444</v>
      </c>
      <c r="E438" t="s">
        <v>445</v>
      </c>
      <c r="F438" t="s">
        <v>55</v>
      </c>
      <c r="G438" t="s">
        <v>91</v>
      </c>
      <c r="H438" t="s">
        <v>92</v>
      </c>
      <c r="I438" t="s">
        <v>37</v>
      </c>
      <c r="J438" t="s">
        <v>38</v>
      </c>
      <c r="K438" t="s">
        <v>27</v>
      </c>
      <c r="L438">
        <v>1</v>
      </c>
      <c r="M438">
        <v>9500</v>
      </c>
      <c r="N438">
        <v>15</v>
      </c>
      <c r="O438">
        <v>8075</v>
      </c>
      <c r="P438">
        <v>1204.1600000000001</v>
      </c>
      <c r="Q438" t="s">
        <v>74</v>
      </c>
      <c r="R438" t="s">
        <v>49</v>
      </c>
      <c r="S438" t="s">
        <v>50</v>
      </c>
    </row>
    <row r="439" spans="1:19" x14ac:dyDescent="0.3">
      <c r="A439" t="s">
        <v>1147</v>
      </c>
      <c r="B439" s="1">
        <v>46010</v>
      </c>
      <c r="C439" t="s">
        <v>1148</v>
      </c>
      <c r="D439" t="s">
        <v>520</v>
      </c>
      <c r="E439" t="s">
        <v>521</v>
      </c>
      <c r="F439" t="s">
        <v>23</v>
      </c>
      <c r="G439" t="s">
        <v>91</v>
      </c>
      <c r="H439" t="s">
        <v>109</v>
      </c>
      <c r="I439" t="s">
        <v>134</v>
      </c>
      <c r="J439" t="s">
        <v>135</v>
      </c>
      <c r="K439" t="s">
        <v>27</v>
      </c>
      <c r="L439">
        <v>2</v>
      </c>
      <c r="M439">
        <v>6000</v>
      </c>
      <c r="N439">
        <v>10</v>
      </c>
      <c r="O439">
        <v>10800</v>
      </c>
      <c r="P439">
        <v>2453.12</v>
      </c>
      <c r="Q439" t="s">
        <v>66</v>
      </c>
      <c r="R439" t="s">
        <v>49</v>
      </c>
      <c r="S439" t="s">
        <v>86</v>
      </c>
    </row>
    <row r="440" spans="1:19" x14ac:dyDescent="0.3">
      <c r="A440" t="s">
        <v>1149</v>
      </c>
      <c r="B440" s="2">
        <v>45678</v>
      </c>
      <c r="C440" s="2">
        <v>45682</v>
      </c>
      <c r="D440" t="s">
        <v>378</v>
      </c>
      <c r="E440" t="s">
        <v>379</v>
      </c>
      <c r="F440" t="s">
        <v>34</v>
      </c>
      <c r="G440" t="s">
        <v>44</v>
      </c>
      <c r="H440" t="s">
        <v>24</v>
      </c>
      <c r="I440" t="s">
        <v>71</v>
      </c>
      <c r="J440" t="s">
        <v>72</v>
      </c>
      <c r="K440" t="s">
        <v>73</v>
      </c>
      <c r="L440">
        <v>2</v>
      </c>
      <c r="M440">
        <v>3500</v>
      </c>
      <c r="N440">
        <v>0</v>
      </c>
      <c r="O440">
        <v>7000</v>
      </c>
      <c r="P440">
        <v>1662.28</v>
      </c>
      <c r="Q440" t="s">
        <v>74</v>
      </c>
      <c r="R440" t="s">
        <v>49</v>
      </c>
      <c r="S440" t="s">
        <v>86</v>
      </c>
    </row>
    <row r="441" spans="1:19" x14ac:dyDescent="0.3">
      <c r="A441" t="s">
        <v>1150</v>
      </c>
      <c r="B441" s="1">
        <v>45648</v>
      </c>
      <c r="C441" s="1">
        <v>45652</v>
      </c>
      <c r="D441" t="s">
        <v>42</v>
      </c>
      <c r="E441" t="s">
        <v>43</v>
      </c>
      <c r="F441" t="s">
        <v>23</v>
      </c>
      <c r="G441" t="s">
        <v>44</v>
      </c>
      <c r="I441" t="s">
        <v>93</v>
      </c>
      <c r="J441" t="s">
        <v>94</v>
      </c>
      <c r="K441" t="s">
        <v>95</v>
      </c>
      <c r="L441">
        <v>4</v>
      </c>
      <c r="M441">
        <v>1800</v>
      </c>
      <c r="N441">
        <v>0</v>
      </c>
      <c r="O441">
        <v>7200</v>
      </c>
      <c r="P441">
        <v>2375.21</v>
      </c>
      <c r="Q441" t="s">
        <v>28</v>
      </c>
      <c r="R441" t="s">
        <v>49</v>
      </c>
      <c r="S441" t="s">
        <v>40</v>
      </c>
    </row>
    <row r="442" spans="1:19" x14ac:dyDescent="0.3">
      <c r="A442" t="s">
        <v>1151</v>
      </c>
      <c r="B442" s="2">
        <v>45952</v>
      </c>
      <c r="C442" t="s">
        <v>1006</v>
      </c>
      <c r="D442" t="s">
        <v>1152</v>
      </c>
      <c r="E442" t="s">
        <v>1153</v>
      </c>
      <c r="F442" t="s">
        <v>55</v>
      </c>
      <c r="G442" t="s">
        <v>61</v>
      </c>
      <c r="H442" t="s">
        <v>211</v>
      </c>
      <c r="I442" t="s">
        <v>46</v>
      </c>
      <c r="J442" t="s">
        <v>47</v>
      </c>
      <c r="K442" t="s">
        <v>48</v>
      </c>
      <c r="L442">
        <v>4</v>
      </c>
      <c r="M442">
        <v>180</v>
      </c>
      <c r="N442">
        <v>5</v>
      </c>
      <c r="O442">
        <v>684</v>
      </c>
      <c r="P442">
        <v>305.73</v>
      </c>
      <c r="Q442" t="s">
        <v>156</v>
      </c>
      <c r="R442" t="s">
        <v>49</v>
      </c>
      <c r="S442" t="s">
        <v>110</v>
      </c>
    </row>
    <row r="443" spans="1:19" x14ac:dyDescent="0.3">
      <c r="A443" t="s">
        <v>1154</v>
      </c>
      <c r="B443" s="2">
        <v>45406</v>
      </c>
      <c r="C443" s="1">
        <v>45296</v>
      </c>
      <c r="D443" t="s">
        <v>247</v>
      </c>
      <c r="E443" t="s">
        <v>248</v>
      </c>
      <c r="F443" t="s">
        <v>34</v>
      </c>
      <c r="G443" t="s">
        <v>61</v>
      </c>
      <c r="H443" t="s">
        <v>78</v>
      </c>
      <c r="I443" t="s">
        <v>93</v>
      </c>
      <c r="J443" t="s">
        <v>94</v>
      </c>
      <c r="K443" t="s">
        <v>95</v>
      </c>
      <c r="L443">
        <v>1</v>
      </c>
      <c r="M443">
        <v>1800</v>
      </c>
      <c r="N443">
        <v>0</v>
      </c>
      <c r="O443">
        <v>1800</v>
      </c>
      <c r="P443">
        <v>574.88</v>
      </c>
      <c r="Q443" t="s">
        <v>121</v>
      </c>
      <c r="R443" t="s">
        <v>29</v>
      </c>
      <c r="S443" t="s">
        <v>86</v>
      </c>
    </row>
    <row r="444" spans="1:19" x14ac:dyDescent="0.3">
      <c r="A444" t="s">
        <v>1155</v>
      </c>
      <c r="B444" s="2">
        <v>45718</v>
      </c>
      <c r="C444" s="2">
        <v>45719</v>
      </c>
      <c r="D444" t="s">
        <v>613</v>
      </c>
      <c r="E444" t="s">
        <v>614</v>
      </c>
      <c r="F444" t="s">
        <v>55</v>
      </c>
      <c r="G444" t="s">
        <v>61</v>
      </c>
      <c r="H444" t="s">
        <v>211</v>
      </c>
      <c r="I444" t="s">
        <v>37</v>
      </c>
      <c r="J444" t="s">
        <v>38</v>
      </c>
      <c r="K444" t="s">
        <v>27</v>
      </c>
      <c r="L444">
        <v>1</v>
      </c>
      <c r="M444">
        <v>9500</v>
      </c>
      <c r="N444">
        <v>5</v>
      </c>
      <c r="O444">
        <v>9025</v>
      </c>
      <c r="P444">
        <v>1311.91</v>
      </c>
      <c r="Q444" t="s">
        <v>74</v>
      </c>
      <c r="R444" t="s">
        <v>56</v>
      </c>
      <c r="S444" t="s">
        <v>50</v>
      </c>
    </row>
    <row r="445" spans="1:19" x14ac:dyDescent="0.3">
      <c r="A445" t="s">
        <v>1156</v>
      </c>
      <c r="B445" s="1">
        <v>45415</v>
      </c>
      <c r="C445" s="1">
        <v>45420</v>
      </c>
      <c r="D445" t="s">
        <v>281</v>
      </c>
      <c r="E445" t="s">
        <v>282</v>
      </c>
      <c r="F445" t="s">
        <v>34</v>
      </c>
      <c r="G445" t="s">
        <v>61</v>
      </c>
      <c r="H445" t="s">
        <v>62</v>
      </c>
      <c r="I445" t="s">
        <v>126</v>
      </c>
      <c r="J445" t="s">
        <v>127</v>
      </c>
      <c r="K445" t="s">
        <v>95</v>
      </c>
      <c r="L445">
        <v>4</v>
      </c>
      <c r="M445">
        <v>600</v>
      </c>
      <c r="N445">
        <v>5</v>
      </c>
      <c r="O445">
        <v>2280</v>
      </c>
      <c r="P445">
        <v>815.45</v>
      </c>
      <c r="Q445" t="s">
        <v>66</v>
      </c>
      <c r="R445" t="s">
        <v>49</v>
      </c>
      <c r="S445" t="s">
        <v>30</v>
      </c>
    </row>
    <row r="446" spans="1:19" x14ac:dyDescent="0.3">
      <c r="A446" t="s">
        <v>1157</v>
      </c>
      <c r="B446" s="1">
        <v>45898</v>
      </c>
      <c r="C446" s="1">
        <v>45666</v>
      </c>
      <c r="D446" t="s">
        <v>150</v>
      </c>
      <c r="E446" t="s">
        <v>151</v>
      </c>
      <c r="F446" t="s">
        <v>34</v>
      </c>
      <c r="G446" t="s">
        <v>35</v>
      </c>
      <c r="I446" t="s">
        <v>93</v>
      </c>
      <c r="J446" t="s">
        <v>94</v>
      </c>
      <c r="K446" t="s">
        <v>95</v>
      </c>
      <c r="L446">
        <v>1</v>
      </c>
      <c r="M446">
        <v>1800</v>
      </c>
      <c r="N446">
        <v>15</v>
      </c>
      <c r="O446">
        <v>1530</v>
      </c>
      <c r="P446">
        <v>484.66</v>
      </c>
      <c r="Q446" t="s">
        <v>66</v>
      </c>
      <c r="R446" t="s">
        <v>29</v>
      </c>
      <c r="S446" t="s">
        <v>110</v>
      </c>
    </row>
    <row r="447" spans="1:19" x14ac:dyDescent="0.3">
      <c r="A447" t="s">
        <v>1158</v>
      </c>
      <c r="B447" s="2">
        <v>45514</v>
      </c>
      <c r="C447" s="1">
        <v>45634</v>
      </c>
      <c r="D447" t="s">
        <v>606</v>
      </c>
      <c r="E447" t="s">
        <v>1159</v>
      </c>
      <c r="F447" t="s">
        <v>23</v>
      </c>
      <c r="G447" t="s">
        <v>35</v>
      </c>
      <c r="H447" t="s">
        <v>36</v>
      </c>
      <c r="I447" t="s">
        <v>46</v>
      </c>
      <c r="J447" t="s">
        <v>47</v>
      </c>
      <c r="K447" t="s">
        <v>48</v>
      </c>
      <c r="L447">
        <v>1</v>
      </c>
      <c r="M447">
        <v>180</v>
      </c>
      <c r="N447">
        <v>0</v>
      </c>
      <c r="O447">
        <v>180</v>
      </c>
      <c r="P447">
        <v>79.91</v>
      </c>
      <c r="Q447" t="s">
        <v>39</v>
      </c>
      <c r="R447" t="s">
        <v>56</v>
      </c>
      <c r="S447" t="s">
        <v>30</v>
      </c>
    </row>
    <row r="448" spans="1:19" x14ac:dyDescent="0.3">
      <c r="A448" t="s">
        <v>1160</v>
      </c>
      <c r="B448" s="1">
        <v>45306</v>
      </c>
      <c r="C448" s="2">
        <v>45311</v>
      </c>
      <c r="D448" t="s">
        <v>592</v>
      </c>
      <c r="E448" t="s">
        <v>593</v>
      </c>
      <c r="F448" t="s">
        <v>55</v>
      </c>
      <c r="G448" t="s">
        <v>35</v>
      </c>
      <c r="H448" t="s">
        <v>258</v>
      </c>
      <c r="I448" t="s">
        <v>93</v>
      </c>
      <c r="J448" t="s">
        <v>94</v>
      </c>
      <c r="K448" t="s">
        <v>95</v>
      </c>
      <c r="L448">
        <v>5</v>
      </c>
      <c r="M448">
        <v>1800</v>
      </c>
      <c r="N448">
        <v>0</v>
      </c>
      <c r="O448">
        <v>9000</v>
      </c>
      <c r="P448">
        <v>3287.95</v>
      </c>
      <c r="Q448" t="s">
        <v>121</v>
      </c>
      <c r="R448" t="s">
        <v>49</v>
      </c>
      <c r="S448" t="s">
        <v>30</v>
      </c>
    </row>
    <row r="449" spans="1:19" x14ac:dyDescent="0.3">
      <c r="A449" t="s">
        <v>1161</v>
      </c>
      <c r="B449" s="1">
        <v>45298</v>
      </c>
      <c r="C449" s="1">
        <v>45305</v>
      </c>
      <c r="D449" t="s">
        <v>453</v>
      </c>
      <c r="E449" t="s">
        <v>454</v>
      </c>
      <c r="F449" t="s">
        <v>55</v>
      </c>
      <c r="G449" t="s">
        <v>35</v>
      </c>
      <c r="H449" t="s">
        <v>187</v>
      </c>
      <c r="I449" t="s">
        <v>37</v>
      </c>
      <c r="J449" t="s">
        <v>38</v>
      </c>
      <c r="K449" t="s">
        <v>27</v>
      </c>
      <c r="L449">
        <v>1</v>
      </c>
      <c r="M449">
        <v>9500</v>
      </c>
      <c r="N449">
        <v>0</v>
      </c>
      <c r="O449">
        <v>9500</v>
      </c>
      <c r="P449">
        <v>1760.4</v>
      </c>
      <c r="Q449" t="s">
        <v>66</v>
      </c>
      <c r="R449" t="s">
        <v>29</v>
      </c>
      <c r="S449" t="s">
        <v>86</v>
      </c>
    </row>
    <row r="450" spans="1:19" x14ac:dyDescent="0.3">
      <c r="A450" t="s">
        <v>1162</v>
      </c>
      <c r="B450" s="1">
        <v>45989</v>
      </c>
      <c r="C450" s="1">
        <v>45995</v>
      </c>
      <c r="D450" t="s">
        <v>625</v>
      </c>
      <c r="E450" t="s">
        <v>626</v>
      </c>
      <c r="F450" t="s">
        <v>34</v>
      </c>
      <c r="G450" t="s">
        <v>61</v>
      </c>
      <c r="H450" t="s">
        <v>211</v>
      </c>
      <c r="I450" t="s">
        <v>46</v>
      </c>
      <c r="J450" t="s">
        <v>47</v>
      </c>
      <c r="K450" t="s">
        <v>48</v>
      </c>
      <c r="L450">
        <v>4</v>
      </c>
      <c r="M450">
        <v>180</v>
      </c>
      <c r="N450">
        <v>10</v>
      </c>
      <c r="O450">
        <v>648</v>
      </c>
      <c r="P450">
        <v>210.3</v>
      </c>
      <c r="Q450" t="s">
        <v>39</v>
      </c>
      <c r="R450" t="s">
        <v>29</v>
      </c>
      <c r="S450" t="s">
        <v>86</v>
      </c>
    </row>
    <row r="451" spans="1:19" x14ac:dyDescent="0.3">
      <c r="A451" t="s">
        <v>1163</v>
      </c>
      <c r="B451" s="2">
        <v>45307</v>
      </c>
      <c r="C451" s="2">
        <v>45309</v>
      </c>
      <c r="D451" t="s">
        <v>403</v>
      </c>
      <c r="E451" t="s">
        <v>404</v>
      </c>
      <c r="F451" t="s">
        <v>55</v>
      </c>
      <c r="G451" t="s">
        <v>35</v>
      </c>
      <c r="H451" t="s">
        <v>36</v>
      </c>
      <c r="I451" t="s">
        <v>114</v>
      </c>
      <c r="J451" t="s">
        <v>115</v>
      </c>
      <c r="K451" t="s">
        <v>65</v>
      </c>
      <c r="L451">
        <v>4</v>
      </c>
      <c r="M451">
        <v>55000</v>
      </c>
      <c r="N451">
        <v>0</v>
      </c>
      <c r="O451">
        <v>220000</v>
      </c>
      <c r="P451">
        <v>40591.93</v>
      </c>
      <c r="Q451" t="s">
        <v>66</v>
      </c>
      <c r="R451" t="s">
        <v>29</v>
      </c>
      <c r="S451" t="s">
        <v>30</v>
      </c>
    </row>
    <row r="452" spans="1:19" x14ac:dyDescent="0.3">
      <c r="A452" t="s">
        <v>1164</v>
      </c>
      <c r="B452" t="s">
        <v>1139</v>
      </c>
      <c r="D452" t="s">
        <v>973</v>
      </c>
      <c r="E452" t="s">
        <v>974</v>
      </c>
      <c r="F452" t="s">
        <v>34</v>
      </c>
      <c r="G452" t="s">
        <v>91</v>
      </c>
      <c r="H452" t="s">
        <v>177</v>
      </c>
      <c r="I452" t="s">
        <v>147</v>
      </c>
      <c r="J452" t="s">
        <v>148</v>
      </c>
      <c r="K452" t="s">
        <v>48</v>
      </c>
      <c r="L452">
        <v>5</v>
      </c>
      <c r="M452">
        <v>250</v>
      </c>
      <c r="N452">
        <v>0</v>
      </c>
      <c r="O452">
        <v>1250</v>
      </c>
      <c r="P452">
        <v>466.49</v>
      </c>
      <c r="Q452" t="s">
        <v>74</v>
      </c>
      <c r="R452" t="s">
        <v>56</v>
      </c>
      <c r="S452" t="s">
        <v>110</v>
      </c>
    </row>
    <row r="453" spans="1:19" x14ac:dyDescent="0.3">
      <c r="A453" t="s">
        <v>1165</v>
      </c>
      <c r="B453" s="1">
        <v>45412</v>
      </c>
      <c r="C453" s="1">
        <v>45413</v>
      </c>
      <c r="D453" t="s">
        <v>578</v>
      </c>
      <c r="E453" t="s">
        <v>579</v>
      </c>
      <c r="F453" t="s">
        <v>23</v>
      </c>
      <c r="G453" t="s">
        <v>91</v>
      </c>
      <c r="I453" t="s">
        <v>126</v>
      </c>
      <c r="J453" t="s">
        <v>127</v>
      </c>
      <c r="K453" t="s">
        <v>95</v>
      </c>
      <c r="L453">
        <v>5</v>
      </c>
      <c r="M453">
        <v>600</v>
      </c>
      <c r="N453">
        <v>0</v>
      </c>
      <c r="O453">
        <v>3000</v>
      </c>
      <c r="P453">
        <v>1018.17</v>
      </c>
      <c r="Q453" t="s">
        <v>121</v>
      </c>
      <c r="R453" t="s">
        <v>56</v>
      </c>
      <c r="S453" t="s">
        <v>110</v>
      </c>
    </row>
    <row r="454" spans="1:19" x14ac:dyDescent="0.3">
      <c r="A454" t="s">
        <v>1166</v>
      </c>
      <c r="B454" s="1">
        <v>45835</v>
      </c>
      <c r="C454" s="1">
        <v>45838</v>
      </c>
      <c r="D454" t="s">
        <v>1031</v>
      </c>
      <c r="E454" t="s">
        <v>1032</v>
      </c>
      <c r="F454" t="s">
        <v>23</v>
      </c>
      <c r="G454" t="s">
        <v>61</v>
      </c>
      <c r="H454" t="s">
        <v>211</v>
      </c>
      <c r="I454" t="s">
        <v>71</v>
      </c>
      <c r="J454" t="s">
        <v>72</v>
      </c>
      <c r="K454" t="s">
        <v>73</v>
      </c>
      <c r="L454">
        <v>1</v>
      </c>
      <c r="M454">
        <v>3500</v>
      </c>
      <c r="N454">
        <v>5</v>
      </c>
      <c r="O454">
        <v>3325</v>
      </c>
      <c r="P454">
        <v>937.87</v>
      </c>
      <c r="Q454" t="s">
        <v>74</v>
      </c>
      <c r="R454" t="s">
        <v>49</v>
      </c>
      <c r="S454" t="s">
        <v>110</v>
      </c>
    </row>
    <row r="455" spans="1:19" x14ac:dyDescent="0.3">
      <c r="A455" t="s">
        <v>1167</v>
      </c>
      <c r="B455" s="1">
        <v>45574</v>
      </c>
      <c r="C455" s="1">
        <v>45576</v>
      </c>
      <c r="D455" t="s">
        <v>1168</v>
      </c>
      <c r="E455" t="s">
        <v>1169</v>
      </c>
      <c r="F455" t="s">
        <v>23</v>
      </c>
      <c r="G455" t="s">
        <v>91</v>
      </c>
      <c r="H455" t="s">
        <v>177</v>
      </c>
      <c r="I455" t="s">
        <v>134</v>
      </c>
      <c r="J455" t="s">
        <v>135</v>
      </c>
      <c r="K455" t="s">
        <v>27</v>
      </c>
      <c r="L455">
        <v>1</v>
      </c>
      <c r="M455">
        <v>6000</v>
      </c>
      <c r="N455">
        <v>20</v>
      </c>
      <c r="O455">
        <v>4800</v>
      </c>
      <c r="P455">
        <v>1186.19</v>
      </c>
      <c r="Q455" t="s">
        <v>156</v>
      </c>
      <c r="R455" t="s">
        <v>29</v>
      </c>
      <c r="S455" t="s">
        <v>40</v>
      </c>
    </row>
    <row r="456" spans="1:19" x14ac:dyDescent="0.3">
      <c r="A456" t="s">
        <v>1170</v>
      </c>
      <c r="B456" s="1">
        <v>45980</v>
      </c>
      <c r="C456" s="1">
        <v>45986</v>
      </c>
      <c r="D456" t="s">
        <v>1171</v>
      </c>
      <c r="E456" t="s">
        <v>1172</v>
      </c>
      <c r="F456" t="s">
        <v>34</v>
      </c>
      <c r="G456" t="s">
        <v>35</v>
      </c>
      <c r="H456" t="s">
        <v>85</v>
      </c>
      <c r="I456" t="s">
        <v>37</v>
      </c>
      <c r="J456" t="s">
        <v>38</v>
      </c>
      <c r="K456" t="s">
        <v>27</v>
      </c>
      <c r="L456">
        <v>1</v>
      </c>
      <c r="M456">
        <v>9500</v>
      </c>
      <c r="N456">
        <v>15</v>
      </c>
      <c r="O456">
        <v>8075</v>
      </c>
      <c r="P456">
        <v>1239.81</v>
      </c>
      <c r="Q456" t="s">
        <v>39</v>
      </c>
      <c r="R456" t="s">
        <v>29</v>
      </c>
      <c r="S456" t="s">
        <v>30</v>
      </c>
    </row>
    <row r="457" spans="1:19" x14ac:dyDescent="0.3">
      <c r="A457" t="s">
        <v>1173</v>
      </c>
      <c r="B457" s="2">
        <v>45948</v>
      </c>
      <c r="C457" t="s">
        <v>782</v>
      </c>
      <c r="D457" t="s">
        <v>159</v>
      </c>
      <c r="E457" t="s">
        <v>160</v>
      </c>
      <c r="F457" t="s">
        <v>34</v>
      </c>
      <c r="G457" t="s">
        <v>44</v>
      </c>
      <c r="H457" t="s">
        <v>161</v>
      </c>
      <c r="I457" t="s">
        <v>79</v>
      </c>
      <c r="J457" t="s">
        <v>80</v>
      </c>
      <c r="K457" t="s">
        <v>65</v>
      </c>
      <c r="M457">
        <v>3000</v>
      </c>
      <c r="N457">
        <v>10</v>
      </c>
      <c r="O457">
        <v>2700</v>
      </c>
      <c r="P457">
        <v>749.51</v>
      </c>
      <c r="Q457" t="s">
        <v>28</v>
      </c>
      <c r="R457" t="s">
        <v>49</v>
      </c>
      <c r="S457" t="s">
        <v>50</v>
      </c>
    </row>
    <row r="458" spans="1:19" x14ac:dyDescent="0.3">
      <c r="A458" t="s">
        <v>1174</v>
      </c>
      <c r="B458" s="1">
        <v>45418</v>
      </c>
      <c r="C458" t="s">
        <v>1175</v>
      </c>
      <c r="D458" t="s">
        <v>1009</v>
      </c>
      <c r="E458" t="s">
        <v>1010</v>
      </c>
      <c r="F458" t="s">
        <v>23</v>
      </c>
      <c r="G458" t="s">
        <v>61</v>
      </c>
      <c r="H458" t="s">
        <v>62</v>
      </c>
      <c r="I458" t="s">
        <v>134</v>
      </c>
      <c r="J458" t="s">
        <v>135</v>
      </c>
      <c r="K458" t="s">
        <v>27</v>
      </c>
      <c r="L458">
        <v>1</v>
      </c>
      <c r="M458">
        <v>6000</v>
      </c>
      <c r="N458">
        <v>0</v>
      </c>
      <c r="O458">
        <v>6000</v>
      </c>
      <c r="P458">
        <v>1284.08</v>
      </c>
      <c r="Q458" t="s">
        <v>74</v>
      </c>
      <c r="R458" t="s">
        <v>29</v>
      </c>
      <c r="S458" t="s">
        <v>50</v>
      </c>
    </row>
    <row r="459" spans="1:19" x14ac:dyDescent="0.3">
      <c r="A459" t="s">
        <v>1176</v>
      </c>
      <c r="B459" s="1">
        <v>45660</v>
      </c>
      <c r="C459" s="2">
        <v>45664</v>
      </c>
      <c r="D459" t="s">
        <v>716</v>
      </c>
      <c r="E459" t="s">
        <v>717</v>
      </c>
      <c r="F459" t="s">
        <v>23</v>
      </c>
      <c r="G459" t="s">
        <v>35</v>
      </c>
      <c r="H459" t="s">
        <v>85</v>
      </c>
      <c r="I459" t="s">
        <v>126</v>
      </c>
      <c r="J459" t="s">
        <v>127</v>
      </c>
      <c r="K459" t="s">
        <v>95</v>
      </c>
      <c r="L459">
        <v>1</v>
      </c>
      <c r="M459">
        <v>600</v>
      </c>
      <c r="N459">
        <v>5</v>
      </c>
      <c r="O459">
        <v>570</v>
      </c>
      <c r="P459">
        <v>156.25</v>
      </c>
      <c r="Q459" t="s">
        <v>39</v>
      </c>
      <c r="R459" t="s">
        <v>49</v>
      </c>
      <c r="S459" t="s">
        <v>86</v>
      </c>
    </row>
    <row r="460" spans="1:19" x14ac:dyDescent="0.3">
      <c r="A460" t="s">
        <v>1177</v>
      </c>
      <c r="B460" s="1">
        <v>45387</v>
      </c>
      <c r="D460" t="s">
        <v>192</v>
      </c>
      <c r="E460" t="s">
        <v>193</v>
      </c>
      <c r="F460" t="s">
        <v>55</v>
      </c>
      <c r="G460" t="s">
        <v>35</v>
      </c>
      <c r="H460" t="s">
        <v>36</v>
      </c>
      <c r="I460" t="s">
        <v>103</v>
      </c>
      <c r="J460" t="s">
        <v>104</v>
      </c>
      <c r="K460" t="s">
        <v>65</v>
      </c>
      <c r="L460">
        <v>1</v>
      </c>
      <c r="M460">
        <v>8000</v>
      </c>
      <c r="N460">
        <v>0</v>
      </c>
      <c r="O460">
        <v>8000</v>
      </c>
      <c r="P460">
        <v>1889.42</v>
      </c>
      <c r="Q460" t="s">
        <v>74</v>
      </c>
      <c r="R460" t="s">
        <v>56</v>
      </c>
      <c r="S460" t="s">
        <v>40</v>
      </c>
    </row>
    <row r="461" spans="1:19" x14ac:dyDescent="0.3">
      <c r="A461" t="s">
        <v>1178</v>
      </c>
      <c r="B461" t="s">
        <v>1179</v>
      </c>
      <c r="C461" s="2">
        <v>45624</v>
      </c>
      <c r="D461" t="s">
        <v>118</v>
      </c>
      <c r="E461" t="s">
        <v>119</v>
      </c>
      <c r="F461" t="s">
        <v>34</v>
      </c>
      <c r="G461" t="s">
        <v>91</v>
      </c>
      <c r="H461" t="s">
        <v>120</v>
      </c>
      <c r="I461" t="s">
        <v>79</v>
      </c>
      <c r="J461" t="s">
        <v>80</v>
      </c>
      <c r="K461" t="s">
        <v>65</v>
      </c>
      <c r="M461">
        <v>3000</v>
      </c>
      <c r="N461">
        <v>20</v>
      </c>
      <c r="O461">
        <v>7200</v>
      </c>
      <c r="P461">
        <v>1551.39</v>
      </c>
      <c r="Q461" t="s">
        <v>74</v>
      </c>
      <c r="R461" t="s">
        <v>29</v>
      </c>
      <c r="S461" t="s">
        <v>86</v>
      </c>
    </row>
    <row r="462" spans="1:19" x14ac:dyDescent="0.3">
      <c r="A462" t="s">
        <v>1180</v>
      </c>
      <c r="B462" s="1">
        <v>45458</v>
      </c>
      <c r="C462" t="s">
        <v>1181</v>
      </c>
      <c r="D462" t="s">
        <v>256</v>
      </c>
      <c r="E462" t="s">
        <v>257</v>
      </c>
      <c r="F462" t="s">
        <v>55</v>
      </c>
      <c r="G462" t="s">
        <v>35</v>
      </c>
      <c r="H462" t="s">
        <v>258</v>
      </c>
      <c r="I462" t="s">
        <v>63</v>
      </c>
      <c r="J462" t="s">
        <v>64</v>
      </c>
      <c r="K462" t="s">
        <v>65</v>
      </c>
      <c r="L462">
        <v>1</v>
      </c>
      <c r="M462">
        <v>25000</v>
      </c>
      <c r="N462">
        <v>0</v>
      </c>
      <c r="O462">
        <v>25000</v>
      </c>
      <c r="P462">
        <v>3408.13</v>
      </c>
      <c r="Q462" t="s">
        <v>28</v>
      </c>
      <c r="R462" t="s">
        <v>56</v>
      </c>
      <c r="S462" t="s">
        <v>110</v>
      </c>
    </row>
    <row r="463" spans="1:19" x14ac:dyDescent="0.3">
      <c r="A463" t="s">
        <v>1182</v>
      </c>
      <c r="B463" s="1">
        <v>45691</v>
      </c>
      <c r="C463" s="1">
        <v>45933</v>
      </c>
      <c r="D463" t="s">
        <v>1079</v>
      </c>
      <c r="E463" t="s">
        <v>1080</v>
      </c>
      <c r="F463" t="s">
        <v>23</v>
      </c>
      <c r="G463" t="s">
        <v>44</v>
      </c>
      <c r="H463" t="s">
        <v>155</v>
      </c>
      <c r="I463" t="s">
        <v>63</v>
      </c>
      <c r="J463" t="s">
        <v>64</v>
      </c>
      <c r="K463" t="s">
        <v>65</v>
      </c>
      <c r="L463">
        <v>5</v>
      </c>
      <c r="M463">
        <v>25000</v>
      </c>
      <c r="N463">
        <v>5</v>
      </c>
      <c r="O463">
        <v>118750</v>
      </c>
      <c r="P463">
        <v>18184.89</v>
      </c>
      <c r="Q463" t="s">
        <v>121</v>
      </c>
      <c r="R463" t="s">
        <v>56</v>
      </c>
      <c r="S463" t="s">
        <v>30</v>
      </c>
    </row>
    <row r="464" spans="1:19" x14ac:dyDescent="0.3">
      <c r="A464" t="s">
        <v>1183</v>
      </c>
      <c r="B464" s="1">
        <v>45909</v>
      </c>
      <c r="C464" s="1">
        <v>45917</v>
      </c>
      <c r="D464" t="s">
        <v>1184</v>
      </c>
      <c r="E464" t="s">
        <v>1185</v>
      </c>
      <c r="F464" t="s">
        <v>55</v>
      </c>
      <c r="G464" t="s">
        <v>91</v>
      </c>
      <c r="H464" t="s">
        <v>109</v>
      </c>
      <c r="I464" t="s">
        <v>63</v>
      </c>
      <c r="J464" t="s">
        <v>64</v>
      </c>
      <c r="K464" t="s">
        <v>375</v>
      </c>
      <c r="L464">
        <v>5</v>
      </c>
      <c r="M464">
        <v>25000</v>
      </c>
      <c r="N464">
        <v>20</v>
      </c>
      <c r="O464">
        <v>100000</v>
      </c>
      <c r="P464">
        <v>12675.3</v>
      </c>
      <c r="Q464" t="s">
        <v>156</v>
      </c>
      <c r="R464" t="s">
        <v>49</v>
      </c>
      <c r="S464" t="s">
        <v>30</v>
      </c>
    </row>
    <row r="465" spans="1:19" x14ac:dyDescent="0.3">
      <c r="A465" t="s">
        <v>1186</v>
      </c>
      <c r="B465" s="1">
        <v>45605</v>
      </c>
      <c r="C465" t="s">
        <v>1187</v>
      </c>
      <c r="D465" t="s">
        <v>1188</v>
      </c>
      <c r="E465" t="s">
        <v>1189</v>
      </c>
      <c r="F465" t="s">
        <v>55</v>
      </c>
      <c r="G465" t="s">
        <v>61</v>
      </c>
      <c r="H465" t="s">
        <v>125</v>
      </c>
      <c r="I465" t="s">
        <v>71</v>
      </c>
      <c r="J465" t="s">
        <v>72</v>
      </c>
      <c r="K465" t="s">
        <v>73</v>
      </c>
      <c r="L465">
        <v>3</v>
      </c>
      <c r="M465">
        <v>3500</v>
      </c>
      <c r="N465">
        <v>0</v>
      </c>
      <c r="O465">
        <v>10500</v>
      </c>
      <c r="P465">
        <v>3106.13</v>
      </c>
      <c r="Q465" t="s">
        <v>66</v>
      </c>
      <c r="R465" t="s">
        <v>56</v>
      </c>
      <c r="S465" t="s">
        <v>50</v>
      </c>
    </row>
    <row r="466" spans="1:19" x14ac:dyDescent="0.3">
      <c r="A466" t="s">
        <v>1190</v>
      </c>
      <c r="B466" s="1">
        <v>45354</v>
      </c>
      <c r="C466" s="1">
        <v>45362</v>
      </c>
      <c r="D466" t="s">
        <v>1191</v>
      </c>
      <c r="E466" t="s">
        <v>1192</v>
      </c>
      <c r="F466" t="s">
        <v>23</v>
      </c>
      <c r="G466" t="s">
        <v>61</v>
      </c>
      <c r="H466" t="s">
        <v>211</v>
      </c>
      <c r="I466" t="s">
        <v>25</v>
      </c>
      <c r="J466" t="s">
        <v>26</v>
      </c>
      <c r="K466" t="s">
        <v>27</v>
      </c>
      <c r="L466">
        <v>1</v>
      </c>
      <c r="M466">
        <v>7000</v>
      </c>
      <c r="N466">
        <v>0</v>
      </c>
      <c r="O466">
        <v>7000</v>
      </c>
      <c r="P466">
        <v>1438.78</v>
      </c>
      <c r="Q466" t="s">
        <v>28</v>
      </c>
      <c r="R466" t="s">
        <v>29</v>
      </c>
      <c r="S466" t="s">
        <v>40</v>
      </c>
    </row>
    <row r="467" spans="1:19" x14ac:dyDescent="0.3">
      <c r="A467" t="s">
        <v>1193</v>
      </c>
      <c r="B467" s="2">
        <v>45906</v>
      </c>
      <c r="C467" s="1">
        <v>45910</v>
      </c>
      <c r="D467" t="s">
        <v>53</v>
      </c>
      <c r="E467" t="s">
        <v>54</v>
      </c>
      <c r="F467" t="s">
        <v>55</v>
      </c>
      <c r="G467" t="s">
        <v>44</v>
      </c>
      <c r="H467" t="s">
        <v>24</v>
      </c>
      <c r="I467" t="s">
        <v>93</v>
      </c>
      <c r="J467" t="s">
        <v>94</v>
      </c>
      <c r="K467" t="s">
        <v>95</v>
      </c>
      <c r="L467">
        <v>1</v>
      </c>
      <c r="M467">
        <v>1800</v>
      </c>
      <c r="N467">
        <v>10</v>
      </c>
      <c r="O467">
        <v>1620</v>
      </c>
      <c r="P467">
        <v>459.98</v>
      </c>
      <c r="Q467" t="s">
        <v>66</v>
      </c>
      <c r="R467" t="s">
        <v>29</v>
      </c>
      <c r="S467" t="s">
        <v>50</v>
      </c>
    </row>
    <row r="468" spans="1:19" x14ac:dyDescent="0.3">
      <c r="A468" t="s">
        <v>1194</v>
      </c>
      <c r="B468" s="1">
        <v>45512</v>
      </c>
      <c r="C468" s="1">
        <v>45518</v>
      </c>
      <c r="D468" t="s">
        <v>657</v>
      </c>
      <c r="E468" t="s">
        <v>658</v>
      </c>
      <c r="F468" t="s">
        <v>34</v>
      </c>
      <c r="G468" t="s">
        <v>91</v>
      </c>
      <c r="H468" t="s">
        <v>120</v>
      </c>
      <c r="I468" t="s">
        <v>25</v>
      </c>
      <c r="J468" t="s">
        <v>26</v>
      </c>
      <c r="K468" t="s">
        <v>27</v>
      </c>
      <c r="L468">
        <v>5</v>
      </c>
      <c r="M468">
        <v>7000</v>
      </c>
      <c r="N468">
        <v>10</v>
      </c>
      <c r="O468">
        <v>31500</v>
      </c>
      <c r="P468">
        <v>6381.34</v>
      </c>
      <c r="Q468" t="s">
        <v>74</v>
      </c>
      <c r="R468" t="s">
        <v>29</v>
      </c>
      <c r="S468" t="s">
        <v>40</v>
      </c>
    </row>
    <row r="469" spans="1:19" x14ac:dyDescent="0.3">
      <c r="A469" t="s">
        <v>1195</v>
      </c>
      <c r="B469" s="2">
        <v>45886</v>
      </c>
      <c r="C469" s="2">
        <v>45888</v>
      </c>
      <c r="D469" t="s">
        <v>871</v>
      </c>
      <c r="E469" t="s">
        <v>872</v>
      </c>
      <c r="F469" t="s">
        <v>34</v>
      </c>
      <c r="G469" t="s">
        <v>61</v>
      </c>
      <c r="H469" t="s">
        <v>78</v>
      </c>
      <c r="I469" t="s">
        <v>147</v>
      </c>
      <c r="J469" t="s">
        <v>148</v>
      </c>
      <c r="K469" t="s">
        <v>48</v>
      </c>
      <c r="L469">
        <v>1</v>
      </c>
      <c r="M469">
        <v>250</v>
      </c>
      <c r="N469">
        <v>15</v>
      </c>
      <c r="O469">
        <v>212.5</v>
      </c>
      <c r="P469">
        <v>78.28</v>
      </c>
      <c r="Q469" t="s">
        <v>121</v>
      </c>
      <c r="R469" t="s">
        <v>49</v>
      </c>
      <c r="S469" t="s">
        <v>40</v>
      </c>
    </row>
    <row r="470" spans="1:19" x14ac:dyDescent="0.3">
      <c r="A470" t="s">
        <v>1196</v>
      </c>
      <c r="B470" t="s">
        <v>1113</v>
      </c>
      <c r="C470" t="s">
        <v>1197</v>
      </c>
      <c r="D470" t="s">
        <v>324</v>
      </c>
      <c r="E470" t="s">
        <v>325</v>
      </c>
      <c r="F470" t="s">
        <v>55</v>
      </c>
      <c r="G470" t="s">
        <v>91</v>
      </c>
      <c r="H470" t="s">
        <v>109</v>
      </c>
      <c r="I470" t="s">
        <v>25</v>
      </c>
      <c r="J470" t="s">
        <v>26</v>
      </c>
      <c r="K470" t="s">
        <v>27</v>
      </c>
      <c r="L470">
        <v>5</v>
      </c>
      <c r="M470">
        <v>7000</v>
      </c>
      <c r="N470">
        <v>20</v>
      </c>
      <c r="O470">
        <v>28000</v>
      </c>
      <c r="P470">
        <v>5009.97</v>
      </c>
      <c r="Q470" t="s">
        <v>121</v>
      </c>
      <c r="R470" t="s">
        <v>29</v>
      </c>
      <c r="S470" t="s">
        <v>110</v>
      </c>
    </row>
    <row r="471" spans="1:19" x14ac:dyDescent="0.3">
      <c r="A471" t="s">
        <v>1198</v>
      </c>
      <c r="B471" s="1">
        <v>45396</v>
      </c>
      <c r="C471" s="1">
        <v>45398</v>
      </c>
      <c r="D471" t="s">
        <v>1132</v>
      </c>
      <c r="E471" t="s">
        <v>1133</v>
      </c>
      <c r="F471" t="s">
        <v>34</v>
      </c>
      <c r="G471" t="s">
        <v>91</v>
      </c>
      <c r="H471" t="s">
        <v>177</v>
      </c>
      <c r="I471" t="s">
        <v>126</v>
      </c>
      <c r="J471" t="s">
        <v>127</v>
      </c>
      <c r="K471" t="s">
        <v>95</v>
      </c>
      <c r="L471">
        <v>1</v>
      </c>
      <c r="M471">
        <v>600</v>
      </c>
      <c r="N471">
        <v>0</v>
      </c>
      <c r="O471">
        <v>600</v>
      </c>
      <c r="Q471" t="s">
        <v>121</v>
      </c>
      <c r="R471" t="s">
        <v>49</v>
      </c>
      <c r="S471" t="s">
        <v>50</v>
      </c>
    </row>
    <row r="472" spans="1:19" x14ac:dyDescent="0.3">
      <c r="A472" t="s">
        <v>1199</v>
      </c>
      <c r="B472" s="1">
        <v>45774</v>
      </c>
      <c r="C472" s="1">
        <v>45777</v>
      </c>
      <c r="D472" t="s">
        <v>272</v>
      </c>
      <c r="E472" t="s">
        <v>273</v>
      </c>
      <c r="F472" t="s">
        <v>23</v>
      </c>
      <c r="G472" t="s">
        <v>35</v>
      </c>
      <c r="H472" t="s">
        <v>258</v>
      </c>
      <c r="I472" t="s">
        <v>114</v>
      </c>
      <c r="J472" t="s">
        <v>115</v>
      </c>
      <c r="K472" t="s">
        <v>65</v>
      </c>
      <c r="L472">
        <v>10</v>
      </c>
      <c r="M472">
        <v>55000</v>
      </c>
      <c r="N472">
        <v>15</v>
      </c>
      <c r="O472">
        <v>467500</v>
      </c>
      <c r="P472">
        <v>74202.820000000007</v>
      </c>
      <c r="Q472" t="s">
        <v>28</v>
      </c>
      <c r="R472" t="s">
        <v>56</v>
      </c>
      <c r="S472" t="s">
        <v>40</v>
      </c>
    </row>
    <row r="473" spans="1:19" x14ac:dyDescent="0.3">
      <c r="A473" t="s">
        <v>1200</v>
      </c>
      <c r="B473" s="1">
        <v>45365</v>
      </c>
      <c r="C473" s="2">
        <v>45372</v>
      </c>
      <c r="D473" t="s">
        <v>716</v>
      </c>
      <c r="E473" t="s">
        <v>717</v>
      </c>
      <c r="F473" t="s">
        <v>23</v>
      </c>
      <c r="G473" t="s">
        <v>35</v>
      </c>
      <c r="H473" t="s">
        <v>85</v>
      </c>
      <c r="I473" t="s">
        <v>93</v>
      </c>
      <c r="J473" t="s">
        <v>94</v>
      </c>
      <c r="K473" t="s">
        <v>95</v>
      </c>
      <c r="L473">
        <v>1</v>
      </c>
      <c r="M473">
        <v>1800</v>
      </c>
      <c r="N473">
        <v>5</v>
      </c>
      <c r="O473">
        <v>1710</v>
      </c>
      <c r="P473">
        <v>613.61</v>
      </c>
      <c r="Q473" t="s">
        <v>66</v>
      </c>
      <c r="R473" t="s">
        <v>29</v>
      </c>
      <c r="S473" t="s">
        <v>50</v>
      </c>
    </row>
    <row r="474" spans="1:19" x14ac:dyDescent="0.3">
      <c r="A474" t="s">
        <v>1201</v>
      </c>
      <c r="B474" s="2">
        <v>45567</v>
      </c>
      <c r="D474" t="s">
        <v>1202</v>
      </c>
      <c r="E474" t="s">
        <v>1203</v>
      </c>
      <c r="F474" t="s">
        <v>34</v>
      </c>
      <c r="G474" t="s">
        <v>44</v>
      </c>
      <c r="H474" t="s">
        <v>24</v>
      </c>
      <c r="I474" t="s">
        <v>147</v>
      </c>
      <c r="J474" t="s">
        <v>148</v>
      </c>
      <c r="K474" t="s">
        <v>48</v>
      </c>
      <c r="L474">
        <v>1</v>
      </c>
      <c r="M474">
        <v>250</v>
      </c>
      <c r="N474">
        <v>10</v>
      </c>
      <c r="O474">
        <v>225</v>
      </c>
      <c r="P474">
        <v>78.760000000000005</v>
      </c>
      <c r="Q474" t="s">
        <v>66</v>
      </c>
      <c r="R474" t="s">
        <v>29</v>
      </c>
      <c r="S474" t="s">
        <v>86</v>
      </c>
    </row>
    <row r="475" spans="1:19" x14ac:dyDescent="0.3">
      <c r="A475" t="s">
        <v>1204</v>
      </c>
      <c r="B475" s="1">
        <v>45812</v>
      </c>
      <c r="C475" s="1">
        <v>45820</v>
      </c>
      <c r="D475" t="s">
        <v>1205</v>
      </c>
      <c r="E475" t="s">
        <v>1206</v>
      </c>
      <c r="F475" t="s">
        <v>34</v>
      </c>
      <c r="G475" t="s">
        <v>44</v>
      </c>
      <c r="H475" t="s">
        <v>45</v>
      </c>
      <c r="I475" t="s">
        <v>134</v>
      </c>
      <c r="J475" t="s">
        <v>135</v>
      </c>
      <c r="K475" t="s">
        <v>27</v>
      </c>
      <c r="L475">
        <v>10</v>
      </c>
      <c r="M475">
        <v>6000</v>
      </c>
      <c r="N475">
        <v>0</v>
      </c>
      <c r="O475">
        <v>60000</v>
      </c>
      <c r="P475">
        <v>15286.3</v>
      </c>
      <c r="Q475" t="s">
        <v>39</v>
      </c>
      <c r="R475" t="s">
        <v>56</v>
      </c>
      <c r="S475" t="s">
        <v>86</v>
      </c>
    </row>
    <row r="476" spans="1:19" x14ac:dyDescent="0.3">
      <c r="A476" t="s">
        <v>1207</v>
      </c>
      <c r="B476" s="1">
        <v>45899</v>
      </c>
      <c r="C476" s="2">
        <v>45903</v>
      </c>
      <c r="D476" t="s">
        <v>959</v>
      </c>
      <c r="E476" t="s">
        <v>960</v>
      </c>
      <c r="F476" t="s">
        <v>34</v>
      </c>
      <c r="G476" t="s">
        <v>35</v>
      </c>
      <c r="H476" t="s">
        <v>187</v>
      </c>
      <c r="I476" t="s">
        <v>103</v>
      </c>
      <c r="J476" t="s">
        <v>104</v>
      </c>
      <c r="K476" t="s">
        <v>65</v>
      </c>
      <c r="L476">
        <v>1</v>
      </c>
      <c r="M476">
        <v>8000</v>
      </c>
      <c r="N476">
        <v>15</v>
      </c>
      <c r="O476">
        <v>6800</v>
      </c>
      <c r="P476">
        <v>1324.63</v>
      </c>
      <c r="Q476" t="s">
        <v>121</v>
      </c>
      <c r="R476" t="s">
        <v>49</v>
      </c>
      <c r="S476" t="s">
        <v>110</v>
      </c>
    </row>
    <row r="477" spans="1:19" x14ac:dyDescent="0.3">
      <c r="A477" t="s">
        <v>1208</v>
      </c>
      <c r="B477" s="1">
        <v>45939</v>
      </c>
      <c r="C477" s="1">
        <v>45940</v>
      </c>
      <c r="D477" t="s">
        <v>1209</v>
      </c>
      <c r="E477" t="s">
        <v>1210</v>
      </c>
      <c r="F477" t="s">
        <v>23</v>
      </c>
      <c r="G477" t="s">
        <v>91</v>
      </c>
      <c r="H477" t="s">
        <v>92</v>
      </c>
      <c r="I477" t="s">
        <v>63</v>
      </c>
      <c r="J477" t="s">
        <v>64</v>
      </c>
      <c r="K477" t="s">
        <v>65</v>
      </c>
      <c r="L477">
        <v>5</v>
      </c>
      <c r="M477">
        <v>25000</v>
      </c>
      <c r="N477">
        <v>0</v>
      </c>
      <c r="O477">
        <v>125000</v>
      </c>
      <c r="P477">
        <v>16200.07</v>
      </c>
      <c r="Q477" t="s">
        <v>28</v>
      </c>
      <c r="R477" t="s">
        <v>29</v>
      </c>
      <c r="S477" t="s">
        <v>50</v>
      </c>
    </row>
    <row r="478" spans="1:19" x14ac:dyDescent="0.3">
      <c r="A478" t="s">
        <v>1211</v>
      </c>
      <c r="B478" s="1">
        <v>45723</v>
      </c>
      <c r="C478" s="1">
        <v>45724</v>
      </c>
      <c r="D478" t="s">
        <v>352</v>
      </c>
      <c r="E478" t="s">
        <v>353</v>
      </c>
      <c r="F478" t="s">
        <v>55</v>
      </c>
      <c r="G478" t="s">
        <v>35</v>
      </c>
      <c r="H478" t="s">
        <v>36</v>
      </c>
      <c r="I478" t="s">
        <v>126</v>
      </c>
      <c r="J478" t="s">
        <v>127</v>
      </c>
      <c r="K478" t="s">
        <v>95</v>
      </c>
      <c r="L478">
        <v>4</v>
      </c>
      <c r="M478">
        <v>600</v>
      </c>
      <c r="N478">
        <v>0</v>
      </c>
      <c r="O478">
        <v>2400</v>
      </c>
      <c r="P478">
        <v>768.33</v>
      </c>
      <c r="Q478" t="s">
        <v>156</v>
      </c>
      <c r="R478" t="s">
        <v>56</v>
      </c>
      <c r="S478" t="s">
        <v>40</v>
      </c>
    </row>
    <row r="479" spans="1:19" x14ac:dyDescent="0.3">
      <c r="A479" t="s">
        <v>1212</v>
      </c>
      <c r="B479" s="1">
        <v>45377</v>
      </c>
      <c r="C479" t="s">
        <v>1027</v>
      </c>
      <c r="D479" t="s">
        <v>613</v>
      </c>
      <c r="E479" t="s">
        <v>614</v>
      </c>
      <c r="F479" t="s">
        <v>55</v>
      </c>
      <c r="G479" t="s">
        <v>61</v>
      </c>
      <c r="H479" t="s">
        <v>211</v>
      </c>
      <c r="I479" t="s">
        <v>46</v>
      </c>
      <c r="J479" t="s">
        <v>47</v>
      </c>
      <c r="K479" t="s">
        <v>48</v>
      </c>
      <c r="L479">
        <v>4</v>
      </c>
      <c r="M479">
        <v>180</v>
      </c>
      <c r="N479">
        <v>0</v>
      </c>
      <c r="O479">
        <v>720</v>
      </c>
      <c r="P479">
        <v>275.10000000000002</v>
      </c>
      <c r="Q479" t="s">
        <v>74</v>
      </c>
      <c r="R479" t="s">
        <v>29</v>
      </c>
      <c r="S479" t="s">
        <v>50</v>
      </c>
    </row>
    <row r="480" spans="1:19" x14ac:dyDescent="0.3">
      <c r="A480" t="s">
        <v>1213</v>
      </c>
      <c r="B480" s="1">
        <v>45660</v>
      </c>
      <c r="C480" s="1">
        <v>45725</v>
      </c>
      <c r="D480" t="s">
        <v>1100</v>
      </c>
      <c r="E480" t="s">
        <v>1214</v>
      </c>
      <c r="F480" t="s">
        <v>23</v>
      </c>
      <c r="G480" t="s">
        <v>44</v>
      </c>
      <c r="H480" t="s">
        <v>161</v>
      </c>
      <c r="I480" t="s">
        <v>147</v>
      </c>
      <c r="J480" t="s">
        <v>148</v>
      </c>
      <c r="K480" t="s">
        <v>48</v>
      </c>
      <c r="L480">
        <v>3</v>
      </c>
      <c r="M480">
        <v>250</v>
      </c>
      <c r="N480">
        <v>0</v>
      </c>
      <c r="O480">
        <v>750</v>
      </c>
      <c r="P480">
        <v>239.44</v>
      </c>
      <c r="Q480" t="s">
        <v>74</v>
      </c>
      <c r="R480" t="s">
        <v>49</v>
      </c>
      <c r="S480" t="s">
        <v>40</v>
      </c>
    </row>
    <row r="481" spans="1:19" x14ac:dyDescent="0.3">
      <c r="A481" t="s">
        <v>1215</v>
      </c>
      <c r="B481" s="1">
        <v>45923</v>
      </c>
      <c r="C481" s="1">
        <v>45930</v>
      </c>
      <c r="D481" t="s">
        <v>59</v>
      </c>
      <c r="E481" t="s">
        <v>60</v>
      </c>
      <c r="F481" t="s">
        <v>23</v>
      </c>
      <c r="G481" t="s">
        <v>61</v>
      </c>
      <c r="H481" t="s">
        <v>62</v>
      </c>
      <c r="I481" t="s">
        <v>114</v>
      </c>
      <c r="J481" t="s">
        <v>115</v>
      </c>
      <c r="K481" t="s">
        <v>65</v>
      </c>
      <c r="L481">
        <v>3</v>
      </c>
      <c r="M481">
        <v>55000</v>
      </c>
      <c r="N481">
        <v>0</v>
      </c>
      <c r="O481">
        <v>165000</v>
      </c>
      <c r="P481">
        <v>24459.119999999999</v>
      </c>
      <c r="Q481" t="s">
        <v>121</v>
      </c>
      <c r="R481" t="s">
        <v>56</v>
      </c>
      <c r="S481" t="s">
        <v>86</v>
      </c>
    </row>
    <row r="482" spans="1:19" x14ac:dyDescent="0.3">
      <c r="A482" t="s">
        <v>1216</v>
      </c>
      <c r="B482" s="1">
        <v>45910</v>
      </c>
      <c r="D482" t="s">
        <v>570</v>
      </c>
      <c r="E482" t="s">
        <v>571</v>
      </c>
      <c r="F482" t="s">
        <v>34</v>
      </c>
      <c r="G482" t="s">
        <v>44</v>
      </c>
      <c r="H482" t="s">
        <v>161</v>
      </c>
      <c r="I482" t="s">
        <v>147</v>
      </c>
      <c r="J482" t="s">
        <v>148</v>
      </c>
      <c r="K482" t="s">
        <v>48</v>
      </c>
      <c r="L482">
        <v>4</v>
      </c>
      <c r="M482">
        <v>250</v>
      </c>
      <c r="N482">
        <v>20</v>
      </c>
      <c r="O482">
        <v>800</v>
      </c>
      <c r="P482">
        <v>298.52999999999997</v>
      </c>
      <c r="Q482" t="s">
        <v>121</v>
      </c>
      <c r="R482" t="s">
        <v>56</v>
      </c>
      <c r="S482" t="s">
        <v>50</v>
      </c>
    </row>
    <row r="483" spans="1:19" x14ac:dyDescent="0.3">
      <c r="A483" t="s">
        <v>1217</v>
      </c>
      <c r="B483" s="1">
        <v>45751</v>
      </c>
      <c r="C483" s="1">
        <v>45759</v>
      </c>
      <c r="D483" t="s">
        <v>1218</v>
      </c>
      <c r="E483" t="s">
        <v>1219</v>
      </c>
      <c r="F483" t="s">
        <v>34</v>
      </c>
      <c r="G483" t="s">
        <v>61</v>
      </c>
      <c r="H483" t="s">
        <v>62</v>
      </c>
      <c r="I483" t="s">
        <v>25</v>
      </c>
      <c r="J483" t="s">
        <v>26</v>
      </c>
      <c r="K483" t="s">
        <v>27</v>
      </c>
      <c r="L483">
        <v>10</v>
      </c>
      <c r="M483">
        <v>7000</v>
      </c>
      <c r="N483">
        <v>0</v>
      </c>
      <c r="O483">
        <v>70000</v>
      </c>
      <c r="P483">
        <v>11029.21</v>
      </c>
      <c r="Q483" t="s">
        <v>156</v>
      </c>
      <c r="R483" t="s">
        <v>29</v>
      </c>
      <c r="S483" t="s">
        <v>110</v>
      </c>
    </row>
    <row r="484" spans="1:19" x14ac:dyDescent="0.3">
      <c r="A484" t="s">
        <v>1220</v>
      </c>
      <c r="B484" s="1">
        <v>45417</v>
      </c>
      <c r="C484" s="2">
        <v>45425</v>
      </c>
      <c r="D484" t="s">
        <v>1221</v>
      </c>
      <c r="E484" t="s">
        <v>1222</v>
      </c>
      <c r="F484" t="s">
        <v>55</v>
      </c>
      <c r="G484" t="s">
        <v>35</v>
      </c>
      <c r="H484" t="s">
        <v>36</v>
      </c>
      <c r="I484" t="s">
        <v>134</v>
      </c>
      <c r="J484" t="s">
        <v>135</v>
      </c>
      <c r="K484" t="s">
        <v>27</v>
      </c>
      <c r="L484">
        <v>2</v>
      </c>
      <c r="M484">
        <v>6000</v>
      </c>
      <c r="N484">
        <v>15</v>
      </c>
      <c r="O484">
        <v>10200</v>
      </c>
      <c r="P484">
        <v>2167</v>
      </c>
      <c r="Q484" t="s">
        <v>121</v>
      </c>
      <c r="R484" t="s">
        <v>29</v>
      </c>
      <c r="S484" t="s">
        <v>30</v>
      </c>
    </row>
    <row r="485" spans="1:19" x14ac:dyDescent="0.3">
      <c r="A485" t="s">
        <v>1223</v>
      </c>
      <c r="B485" s="1">
        <v>45910</v>
      </c>
      <c r="C485" s="2">
        <v>45944</v>
      </c>
      <c r="D485" t="s">
        <v>628</v>
      </c>
      <c r="E485" t="s">
        <v>629</v>
      </c>
      <c r="F485" t="s">
        <v>55</v>
      </c>
      <c r="G485" t="s">
        <v>91</v>
      </c>
      <c r="H485" t="s">
        <v>120</v>
      </c>
      <c r="I485" t="s">
        <v>46</v>
      </c>
      <c r="J485" t="s">
        <v>47</v>
      </c>
      <c r="K485" t="s">
        <v>48</v>
      </c>
      <c r="L485">
        <v>4</v>
      </c>
      <c r="M485">
        <v>180</v>
      </c>
      <c r="N485">
        <v>10</v>
      </c>
      <c r="O485">
        <v>648</v>
      </c>
      <c r="P485">
        <v>231.26</v>
      </c>
      <c r="Q485" t="s">
        <v>121</v>
      </c>
      <c r="R485" t="s">
        <v>29</v>
      </c>
      <c r="S485" t="s">
        <v>86</v>
      </c>
    </row>
    <row r="486" spans="1:19" x14ac:dyDescent="0.3">
      <c r="A486" t="s">
        <v>1224</v>
      </c>
      <c r="B486" s="1">
        <v>45738</v>
      </c>
      <c r="C486" t="s">
        <v>1225</v>
      </c>
      <c r="D486" t="s">
        <v>83</v>
      </c>
      <c r="E486" t="s">
        <v>1226</v>
      </c>
      <c r="F486" t="s">
        <v>34</v>
      </c>
      <c r="G486" t="s">
        <v>35</v>
      </c>
      <c r="H486" t="s">
        <v>85</v>
      </c>
      <c r="I486" t="s">
        <v>147</v>
      </c>
      <c r="J486" t="s">
        <v>148</v>
      </c>
      <c r="K486" t="s">
        <v>48</v>
      </c>
      <c r="L486">
        <v>2</v>
      </c>
      <c r="M486">
        <v>250</v>
      </c>
      <c r="N486">
        <v>15</v>
      </c>
      <c r="O486">
        <v>425</v>
      </c>
      <c r="P486">
        <v>172.1</v>
      </c>
      <c r="Q486" t="s">
        <v>39</v>
      </c>
      <c r="R486" t="s">
        <v>29</v>
      </c>
      <c r="S486" t="s">
        <v>86</v>
      </c>
    </row>
    <row r="487" spans="1:19" x14ac:dyDescent="0.3">
      <c r="A487" t="s">
        <v>1227</v>
      </c>
      <c r="B487" s="1">
        <v>45923</v>
      </c>
      <c r="C487" s="2">
        <v>45929</v>
      </c>
      <c r="D487" t="s">
        <v>192</v>
      </c>
      <c r="E487" t="s">
        <v>193</v>
      </c>
      <c r="F487" t="s">
        <v>55</v>
      </c>
      <c r="G487" t="s">
        <v>35</v>
      </c>
      <c r="H487" t="s">
        <v>36</v>
      </c>
      <c r="I487" t="s">
        <v>37</v>
      </c>
      <c r="J487" t="s">
        <v>38</v>
      </c>
      <c r="K487" t="s">
        <v>27</v>
      </c>
      <c r="L487">
        <v>3</v>
      </c>
      <c r="M487">
        <v>9500</v>
      </c>
      <c r="N487">
        <v>15</v>
      </c>
      <c r="O487">
        <v>969000</v>
      </c>
      <c r="P487">
        <v>4523.62</v>
      </c>
      <c r="Q487" t="s">
        <v>74</v>
      </c>
      <c r="R487" t="s">
        <v>49</v>
      </c>
      <c r="S487" t="s">
        <v>50</v>
      </c>
    </row>
    <row r="488" spans="1:19" x14ac:dyDescent="0.3">
      <c r="A488" t="s">
        <v>1228</v>
      </c>
      <c r="B488" s="1">
        <v>45577</v>
      </c>
      <c r="C488" s="1">
        <v>45584</v>
      </c>
      <c r="D488" t="s">
        <v>470</v>
      </c>
      <c r="E488" t="s">
        <v>471</v>
      </c>
      <c r="F488" t="s">
        <v>23</v>
      </c>
      <c r="G488" t="s">
        <v>61</v>
      </c>
      <c r="H488" t="s">
        <v>62</v>
      </c>
      <c r="I488" t="s">
        <v>103</v>
      </c>
      <c r="J488" t="s">
        <v>104</v>
      </c>
      <c r="K488" t="s">
        <v>65</v>
      </c>
      <c r="L488">
        <v>10</v>
      </c>
      <c r="M488">
        <v>8000</v>
      </c>
      <c r="N488">
        <v>5</v>
      </c>
      <c r="O488">
        <v>76000</v>
      </c>
      <c r="P488">
        <v>15553.37</v>
      </c>
      <c r="Q488" t="s">
        <v>28</v>
      </c>
      <c r="R488" t="s">
        <v>49</v>
      </c>
      <c r="S488" t="s">
        <v>110</v>
      </c>
    </row>
    <row r="489" spans="1:19" x14ac:dyDescent="0.3">
      <c r="A489" t="s">
        <v>1229</v>
      </c>
      <c r="B489" s="2">
        <v>45836</v>
      </c>
      <c r="C489" s="1">
        <v>45842</v>
      </c>
      <c r="D489" t="s">
        <v>942</v>
      </c>
      <c r="E489" t="s">
        <v>943</v>
      </c>
      <c r="F489" t="s">
        <v>23</v>
      </c>
      <c r="G489" t="s">
        <v>44</v>
      </c>
      <c r="H489" t="s">
        <v>155</v>
      </c>
      <c r="I489" t="s">
        <v>134</v>
      </c>
      <c r="J489" t="s">
        <v>135</v>
      </c>
      <c r="K489" t="s">
        <v>27</v>
      </c>
      <c r="L489">
        <v>1</v>
      </c>
      <c r="M489">
        <v>6000</v>
      </c>
      <c r="N489">
        <v>0</v>
      </c>
      <c r="O489">
        <v>6000</v>
      </c>
      <c r="P489">
        <v>1150.57</v>
      </c>
      <c r="Q489" t="s">
        <v>121</v>
      </c>
      <c r="R489" t="s">
        <v>49</v>
      </c>
      <c r="S489" t="s">
        <v>50</v>
      </c>
    </row>
    <row r="490" spans="1:19" x14ac:dyDescent="0.3">
      <c r="A490" t="s">
        <v>1230</v>
      </c>
      <c r="B490" t="s">
        <v>1231</v>
      </c>
      <c r="C490" t="s">
        <v>916</v>
      </c>
      <c r="D490" t="s">
        <v>261</v>
      </c>
      <c r="E490" t="s">
        <v>262</v>
      </c>
      <c r="F490" t="s">
        <v>23</v>
      </c>
      <c r="G490" t="s">
        <v>35</v>
      </c>
      <c r="H490" t="s">
        <v>85</v>
      </c>
      <c r="I490" t="s">
        <v>103</v>
      </c>
      <c r="J490" t="s">
        <v>104</v>
      </c>
      <c r="K490" t="s">
        <v>65</v>
      </c>
      <c r="L490">
        <v>3</v>
      </c>
      <c r="M490">
        <v>8000</v>
      </c>
      <c r="N490">
        <v>0</v>
      </c>
      <c r="O490">
        <v>24000</v>
      </c>
      <c r="P490">
        <v>4624.99</v>
      </c>
      <c r="Q490" t="s">
        <v>39</v>
      </c>
      <c r="R490" t="s">
        <v>49</v>
      </c>
      <c r="S490" t="s">
        <v>110</v>
      </c>
    </row>
    <row r="491" spans="1:19" x14ac:dyDescent="0.3">
      <c r="A491" t="s">
        <v>1232</v>
      </c>
      <c r="B491" s="1">
        <v>45360</v>
      </c>
      <c r="C491" s="1">
        <v>45367</v>
      </c>
      <c r="D491" t="s">
        <v>965</v>
      </c>
      <c r="E491" t="s">
        <v>966</v>
      </c>
      <c r="F491" t="s">
        <v>34</v>
      </c>
      <c r="G491" t="s">
        <v>44</v>
      </c>
      <c r="H491" t="s">
        <v>45</v>
      </c>
      <c r="I491" t="s">
        <v>114</v>
      </c>
      <c r="J491" t="s">
        <v>115</v>
      </c>
      <c r="K491" t="s">
        <v>65</v>
      </c>
      <c r="L491">
        <v>3</v>
      </c>
      <c r="M491">
        <v>55000</v>
      </c>
      <c r="N491">
        <v>0</v>
      </c>
      <c r="O491">
        <v>165000</v>
      </c>
      <c r="P491">
        <v>22751.9</v>
      </c>
      <c r="Q491" t="s">
        <v>156</v>
      </c>
      <c r="R491" t="s">
        <v>29</v>
      </c>
      <c r="S491" t="s">
        <v>86</v>
      </c>
    </row>
    <row r="492" spans="1:19" x14ac:dyDescent="0.3">
      <c r="A492" t="s">
        <v>1233</v>
      </c>
      <c r="B492" s="1">
        <v>45334</v>
      </c>
      <c r="C492" s="1">
        <v>45394</v>
      </c>
      <c r="D492" t="s">
        <v>185</v>
      </c>
      <c r="E492" t="s">
        <v>186</v>
      </c>
      <c r="F492" t="s">
        <v>55</v>
      </c>
      <c r="G492" t="s">
        <v>35</v>
      </c>
      <c r="H492" t="s">
        <v>187</v>
      </c>
      <c r="I492" t="s">
        <v>46</v>
      </c>
      <c r="J492" t="s">
        <v>47</v>
      </c>
      <c r="K492" t="s">
        <v>48</v>
      </c>
      <c r="L492">
        <v>1</v>
      </c>
      <c r="M492">
        <v>180</v>
      </c>
      <c r="N492">
        <v>0</v>
      </c>
      <c r="O492">
        <v>180</v>
      </c>
      <c r="P492">
        <v>75.98</v>
      </c>
      <c r="Q492" t="s">
        <v>39</v>
      </c>
      <c r="R492" t="s">
        <v>29</v>
      </c>
      <c r="S492" t="s">
        <v>40</v>
      </c>
    </row>
    <row r="493" spans="1:19" x14ac:dyDescent="0.3">
      <c r="A493" t="s">
        <v>1234</v>
      </c>
      <c r="B493" t="s">
        <v>1235</v>
      </c>
      <c r="C493" s="1">
        <v>45541</v>
      </c>
      <c r="D493" t="s">
        <v>798</v>
      </c>
      <c r="E493" t="s">
        <v>799</v>
      </c>
      <c r="F493" t="s">
        <v>23</v>
      </c>
      <c r="G493" t="s">
        <v>44</v>
      </c>
      <c r="H493" t="s">
        <v>330</v>
      </c>
      <c r="I493" t="s">
        <v>63</v>
      </c>
      <c r="J493" t="s">
        <v>64</v>
      </c>
      <c r="K493" t="s">
        <v>65</v>
      </c>
      <c r="L493">
        <v>1</v>
      </c>
      <c r="M493">
        <v>25000</v>
      </c>
      <c r="N493">
        <v>10</v>
      </c>
      <c r="O493">
        <v>22500</v>
      </c>
      <c r="P493">
        <v>2863.84</v>
      </c>
      <c r="R493" t="s">
        <v>56</v>
      </c>
      <c r="S493" t="s">
        <v>30</v>
      </c>
    </row>
    <row r="494" spans="1:19" x14ac:dyDescent="0.3">
      <c r="A494" t="s">
        <v>1236</v>
      </c>
      <c r="B494" t="s">
        <v>294</v>
      </c>
      <c r="C494" s="1">
        <v>45802</v>
      </c>
      <c r="D494" t="s">
        <v>660</v>
      </c>
      <c r="E494" t="s">
        <v>661</v>
      </c>
      <c r="F494" t="s">
        <v>23</v>
      </c>
      <c r="G494" t="s">
        <v>44</v>
      </c>
      <c r="H494" t="s">
        <v>330</v>
      </c>
      <c r="I494" t="s">
        <v>79</v>
      </c>
      <c r="J494" t="s">
        <v>80</v>
      </c>
      <c r="K494" t="s">
        <v>65</v>
      </c>
      <c r="L494">
        <v>1</v>
      </c>
      <c r="M494">
        <v>3000</v>
      </c>
      <c r="N494">
        <v>0</v>
      </c>
      <c r="O494">
        <v>3000</v>
      </c>
      <c r="P494">
        <v>858.52</v>
      </c>
      <c r="Q494" t="s">
        <v>39</v>
      </c>
      <c r="R494" t="s">
        <v>56</v>
      </c>
      <c r="S494" t="s">
        <v>50</v>
      </c>
    </row>
    <row r="495" spans="1:19" x14ac:dyDescent="0.3">
      <c r="A495" t="s">
        <v>1237</v>
      </c>
      <c r="B495" s="2">
        <v>45318</v>
      </c>
      <c r="D495" t="s">
        <v>617</v>
      </c>
      <c r="E495" t="s">
        <v>618</v>
      </c>
      <c r="F495" t="s">
        <v>23</v>
      </c>
      <c r="G495" t="s">
        <v>91</v>
      </c>
      <c r="H495" t="s">
        <v>120</v>
      </c>
      <c r="I495" t="s">
        <v>71</v>
      </c>
      <c r="J495" t="s">
        <v>72</v>
      </c>
      <c r="K495" t="s">
        <v>73</v>
      </c>
      <c r="L495">
        <v>3</v>
      </c>
      <c r="M495">
        <v>3500</v>
      </c>
      <c r="N495">
        <v>5</v>
      </c>
      <c r="O495">
        <v>9975</v>
      </c>
      <c r="P495">
        <v>2708.97</v>
      </c>
      <c r="Q495" t="s">
        <v>156</v>
      </c>
      <c r="R495" t="s">
        <v>56</v>
      </c>
      <c r="S495" t="s">
        <v>86</v>
      </c>
    </row>
    <row r="496" spans="1:19" x14ac:dyDescent="0.3">
      <c r="A496" t="s">
        <v>1238</v>
      </c>
      <c r="B496" s="1">
        <v>45475</v>
      </c>
      <c r="C496" s="1">
        <v>45480</v>
      </c>
      <c r="D496" t="s">
        <v>431</v>
      </c>
      <c r="E496" t="s">
        <v>432</v>
      </c>
      <c r="F496" t="s">
        <v>23</v>
      </c>
      <c r="G496" t="s">
        <v>91</v>
      </c>
      <c r="H496" t="s">
        <v>120</v>
      </c>
      <c r="I496" t="s">
        <v>79</v>
      </c>
      <c r="J496" t="s">
        <v>80</v>
      </c>
      <c r="K496" t="s">
        <v>65</v>
      </c>
      <c r="L496">
        <v>3</v>
      </c>
      <c r="M496">
        <v>3000</v>
      </c>
      <c r="N496">
        <v>0</v>
      </c>
      <c r="O496">
        <v>9000</v>
      </c>
      <c r="P496">
        <v>2343.15</v>
      </c>
      <c r="Q496" t="s">
        <v>156</v>
      </c>
      <c r="R496" t="s">
        <v>49</v>
      </c>
      <c r="S496" t="s">
        <v>110</v>
      </c>
    </row>
    <row r="497" spans="1:19" x14ac:dyDescent="0.3">
      <c r="A497" t="s">
        <v>1239</v>
      </c>
      <c r="B497" t="s">
        <v>649</v>
      </c>
      <c r="C497" s="1">
        <v>45462</v>
      </c>
      <c r="D497" t="s">
        <v>910</v>
      </c>
      <c r="E497" t="s">
        <v>911</v>
      </c>
      <c r="F497" t="s">
        <v>34</v>
      </c>
      <c r="G497" t="s">
        <v>35</v>
      </c>
      <c r="H497" t="s">
        <v>36</v>
      </c>
      <c r="I497" t="s">
        <v>134</v>
      </c>
      <c r="J497" t="s">
        <v>135</v>
      </c>
      <c r="K497" t="s">
        <v>27</v>
      </c>
      <c r="L497">
        <v>4</v>
      </c>
      <c r="M497">
        <v>6000</v>
      </c>
      <c r="N497">
        <v>20</v>
      </c>
      <c r="O497">
        <v>19200</v>
      </c>
      <c r="P497">
        <v>4340.12</v>
      </c>
      <c r="Q497" t="s">
        <v>66</v>
      </c>
      <c r="R497" t="s">
        <v>56</v>
      </c>
      <c r="S497" t="s">
        <v>30</v>
      </c>
    </row>
    <row r="498" spans="1:19" x14ac:dyDescent="0.3">
      <c r="A498" t="s">
        <v>1240</v>
      </c>
      <c r="B498" t="s">
        <v>816</v>
      </c>
      <c r="C498" s="2">
        <v>45743</v>
      </c>
      <c r="D498" t="s">
        <v>973</v>
      </c>
      <c r="E498" t="s">
        <v>974</v>
      </c>
      <c r="F498" t="s">
        <v>34</v>
      </c>
      <c r="G498" t="s">
        <v>91</v>
      </c>
      <c r="H498" t="s">
        <v>177</v>
      </c>
      <c r="I498" t="s">
        <v>71</v>
      </c>
      <c r="J498" t="s">
        <v>72</v>
      </c>
      <c r="K498" t="s">
        <v>73</v>
      </c>
      <c r="L498">
        <v>2</v>
      </c>
      <c r="M498">
        <v>3500</v>
      </c>
      <c r="N498">
        <v>5</v>
      </c>
      <c r="O498">
        <v>6650</v>
      </c>
      <c r="P498">
        <v>2300.83</v>
      </c>
      <c r="Q498" t="s">
        <v>28</v>
      </c>
      <c r="R498" t="s">
        <v>29</v>
      </c>
      <c r="S498" t="s">
        <v>110</v>
      </c>
    </row>
    <row r="499" spans="1:19" x14ac:dyDescent="0.3">
      <c r="A499" t="s">
        <v>1241</v>
      </c>
      <c r="B499" s="1">
        <v>45865</v>
      </c>
      <c r="C499" s="1">
        <v>45866</v>
      </c>
      <c r="D499" t="s">
        <v>406</v>
      </c>
      <c r="E499" t="s">
        <v>407</v>
      </c>
      <c r="F499" t="s">
        <v>55</v>
      </c>
      <c r="G499" t="s">
        <v>91</v>
      </c>
      <c r="H499" t="s">
        <v>120</v>
      </c>
      <c r="I499" t="s">
        <v>147</v>
      </c>
      <c r="J499" t="s">
        <v>148</v>
      </c>
      <c r="K499" t="s">
        <v>48</v>
      </c>
      <c r="L499">
        <v>10</v>
      </c>
      <c r="M499">
        <v>250</v>
      </c>
      <c r="N499">
        <v>5</v>
      </c>
      <c r="O499">
        <v>2375</v>
      </c>
      <c r="P499">
        <v>910.83</v>
      </c>
      <c r="Q499" t="s">
        <v>121</v>
      </c>
      <c r="R499" t="s">
        <v>29</v>
      </c>
      <c r="S499" t="s">
        <v>110</v>
      </c>
    </row>
    <row r="500" spans="1:19" x14ac:dyDescent="0.3">
      <c r="A500" t="s">
        <v>1242</v>
      </c>
      <c r="B500" s="1">
        <v>45629</v>
      </c>
      <c r="C500" s="1">
        <v>45366</v>
      </c>
      <c r="D500" t="s">
        <v>220</v>
      </c>
      <c r="E500" t="s">
        <v>221</v>
      </c>
      <c r="F500" t="s">
        <v>34</v>
      </c>
      <c r="G500" t="s">
        <v>44</v>
      </c>
      <c r="H500" t="s">
        <v>161</v>
      </c>
      <c r="I500" t="s">
        <v>147</v>
      </c>
      <c r="J500" t="s">
        <v>148</v>
      </c>
      <c r="K500" t="s">
        <v>48</v>
      </c>
      <c r="L500">
        <v>2</v>
      </c>
      <c r="M500">
        <v>250</v>
      </c>
      <c r="N500">
        <v>0</v>
      </c>
      <c r="O500">
        <v>500</v>
      </c>
      <c r="P500">
        <v>188.82</v>
      </c>
      <c r="Q500" t="s">
        <v>156</v>
      </c>
      <c r="R500" t="s">
        <v>49</v>
      </c>
      <c r="S500" t="s">
        <v>86</v>
      </c>
    </row>
    <row r="501" spans="1:19" x14ac:dyDescent="0.3">
      <c r="A501" t="s">
        <v>1243</v>
      </c>
      <c r="B501" t="s">
        <v>1096</v>
      </c>
      <c r="C501" s="1">
        <v>45476</v>
      </c>
      <c r="D501" t="s">
        <v>483</v>
      </c>
      <c r="E501" t="s">
        <v>484</v>
      </c>
      <c r="F501" t="s">
        <v>55</v>
      </c>
      <c r="G501" t="s">
        <v>61</v>
      </c>
      <c r="H501" t="s">
        <v>62</v>
      </c>
      <c r="I501" t="s">
        <v>25</v>
      </c>
      <c r="J501" t="s">
        <v>26</v>
      </c>
      <c r="K501" t="s">
        <v>27</v>
      </c>
      <c r="L501">
        <v>2</v>
      </c>
      <c r="M501">
        <v>7000</v>
      </c>
      <c r="N501">
        <v>0</v>
      </c>
      <c r="O501">
        <v>14000</v>
      </c>
      <c r="P501">
        <v>2844.23</v>
      </c>
      <c r="Q501" t="s">
        <v>74</v>
      </c>
      <c r="R501" t="s">
        <v>29</v>
      </c>
      <c r="S501" t="s">
        <v>40</v>
      </c>
    </row>
    <row r="502" spans="1:19" x14ac:dyDescent="0.3">
      <c r="A502" t="s">
        <v>1244</v>
      </c>
      <c r="B502" s="1">
        <v>45413</v>
      </c>
      <c r="C502" s="1">
        <v>45421</v>
      </c>
      <c r="D502" t="s">
        <v>761</v>
      </c>
      <c r="E502" t="s">
        <v>762</v>
      </c>
      <c r="F502" t="s">
        <v>23</v>
      </c>
      <c r="G502" t="s">
        <v>44</v>
      </c>
      <c r="H502" t="s">
        <v>330</v>
      </c>
      <c r="I502" t="s">
        <v>79</v>
      </c>
      <c r="J502" t="s">
        <v>80</v>
      </c>
      <c r="K502" t="s">
        <v>65</v>
      </c>
      <c r="L502">
        <v>1</v>
      </c>
      <c r="M502">
        <v>3000</v>
      </c>
      <c r="N502">
        <v>0</v>
      </c>
      <c r="O502">
        <v>3000</v>
      </c>
      <c r="P502">
        <v>695.18</v>
      </c>
      <c r="Q502" t="s">
        <v>28</v>
      </c>
      <c r="R502" t="s">
        <v>49</v>
      </c>
      <c r="S502" t="s">
        <v>30</v>
      </c>
    </row>
    <row r="503" spans="1:19" x14ac:dyDescent="0.3">
      <c r="A503" t="s">
        <v>1245</v>
      </c>
      <c r="B503" t="s">
        <v>1246</v>
      </c>
      <c r="C503" s="2">
        <v>45558</v>
      </c>
      <c r="D503" t="s">
        <v>1019</v>
      </c>
      <c r="E503" t="s">
        <v>1020</v>
      </c>
      <c r="F503" t="s">
        <v>55</v>
      </c>
      <c r="G503" t="s">
        <v>35</v>
      </c>
      <c r="H503" t="s">
        <v>187</v>
      </c>
      <c r="I503" t="s">
        <v>25</v>
      </c>
      <c r="J503" t="s">
        <v>26</v>
      </c>
      <c r="K503" t="s">
        <v>27</v>
      </c>
      <c r="L503">
        <v>1</v>
      </c>
      <c r="M503">
        <v>7000</v>
      </c>
      <c r="N503">
        <v>0</v>
      </c>
      <c r="O503">
        <v>7000</v>
      </c>
      <c r="P503">
        <v>1449.95</v>
      </c>
      <c r="Q503" t="s">
        <v>156</v>
      </c>
      <c r="R503" t="s">
        <v>49</v>
      </c>
      <c r="S503" t="s">
        <v>110</v>
      </c>
    </row>
    <row r="504" spans="1:19" x14ac:dyDescent="0.3">
      <c r="A504" t="s">
        <v>1247</v>
      </c>
      <c r="B504" s="1">
        <v>45984</v>
      </c>
      <c r="C504" s="1">
        <v>45990</v>
      </c>
      <c r="D504" t="s">
        <v>657</v>
      </c>
      <c r="E504" t="s">
        <v>658</v>
      </c>
      <c r="F504" t="s">
        <v>34</v>
      </c>
      <c r="G504" t="s">
        <v>91</v>
      </c>
      <c r="H504" t="s">
        <v>120</v>
      </c>
      <c r="I504" t="s">
        <v>103</v>
      </c>
      <c r="J504" t="s">
        <v>104</v>
      </c>
      <c r="K504" t="s">
        <v>65</v>
      </c>
      <c r="L504">
        <v>10</v>
      </c>
      <c r="M504">
        <v>8000</v>
      </c>
      <c r="N504">
        <v>20</v>
      </c>
      <c r="O504">
        <v>64000</v>
      </c>
      <c r="P504">
        <v>16349.36</v>
      </c>
      <c r="Q504" t="s">
        <v>66</v>
      </c>
      <c r="R504" t="s">
        <v>49</v>
      </c>
      <c r="S504" t="s">
        <v>86</v>
      </c>
    </row>
    <row r="505" spans="1:19" x14ac:dyDescent="0.3">
      <c r="A505" t="s">
        <v>1248</v>
      </c>
      <c r="B505" s="1">
        <v>45367</v>
      </c>
      <c r="C505" s="2">
        <v>45373</v>
      </c>
      <c r="D505" t="s">
        <v>947</v>
      </c>
      <c r="E505" t="s">
        <v>948</v>
      </c>
      <c r="F505" t="s">
        <v>55</v>
      </c>
      <c r="G505" t="s">
        <v>35</v>
      </c>
      <c r="H505" t="s">
        <v>36</v>
      </c>
      <c r="I505" t="s">
        <v>79</v>
      </c>
      <c r="J505" t="s">
        <v>80</v>
      </c>
      <c r="K505" t="s">
        <v>65</v>
      </c>
      <c r="L505">
        <v>1</v>
      </c>
      <c r="M505">
        <v>3000</v>
      </c>
      <c r="N505">
        <v>0</v>
      </c>
      <c r="O505">
        <v>3000</v>
      </c>
      <c r="P505">
        <v>767.81</v>
      </c>
      <c r="Q505" t="s">
        <v>66</v>
      </c>
      <c r="R505" t="s">
        <v>49</v>
      </c>
      <c r="S505" t="s">
        <v>110</v>
      </c>
    </row>
    <row r="506" spans="1:19" x14ac:dyDescent="0.3">
      <c r="A506" t="s">
        <v>1249</v>
      </c>
      <c r="B506" s="2">
        <v>45445</v>
      </c>
      <c r="C506" s="1">
        <v>45447</v>
      </c>
      <c r="D506" t="s">
        <v>1250</v>
      </c>
      <c r="E506" t="s">
        <v>1251</v>
      </c>
      <c r="F506" t="s">
        <v>55</v>
      </c>
      <c r="G506" t="s">
        <v>35</v>
      </c>
      <c r="H506" t="s">
        <v>258</v>
      </c>
      <c r="I506" t="s">
        <v>126</v>
      </c>
      <c r="J506" t="s">
        <v>127</v>
      </c>
      <c r="K506" t="s">
        <v>95</v>
      </c>
      <c r="L506">
        <v>1</v>
      </c>
      <c r="M506">
        <v>600</v>
      </c>
      <c r="N506">
        <v>15</v>
      </c>
      <c r="O506">
        <v>510</v>
      </c>
      <c r="P506">
        <v>141.74</v>
      </c>
      <c r="Q506" t="s">
        <v>121</v>
      </c>
      <c r="R506" t="s">
        <v>56</v>
      </c>
      <c r="S506" t="s">
        <v>40</v>
      </c>
    </row>
    <row r="507" spans="1:19" x14ac:dyDescent="0.3">
      <c r="A507" t="s">
        <v>1252</v>
      </c>
      <c r="B507" s="1">
        <v>45421</v>
      </c>
      <c r="C507" s="1">
        <v>45423</v>
      </c>
      <c r="D507" t="s">
        <v>981</v>
      </c>
      <c r="E507" t="s">
        <v>982</v>
      </c>
      <c r="F507" t="s">
        <v>23</v>
      </c>
      <c r="G507" t="s">
        <v>91</v>
      </c>
      <c r="H507" t="s">
        <v>177</v>
      </c>
      <c r="I507" t="s">
        <v>126</v>
      </c>
      <c r="J507" t="s">
        <v>127</v>
      </c>
      <c r="K507" t="s">
        <v>95</v>
      </c>
      <c r="L507">
        <v>2</v>
      </c>
      <c r="M507">
        <v>600</v>
      </c>
      <c r="N507">
        <v>10</v>
      </c>
      <c r="O507">
        <v>1080</v>
      </c>
      <c r="P507">
        <v>384.26</v>
      </c>
      <c r="Q507" t="s">
        <v>28</v>
      </c>
      <c r="R507" t="s">
        <v>29</v>
      </c>
      <c r="S507" t="s">
        <v>40</v>
      </c>
    </row>
    <row r="508" spans="1:19" x14ac:dyDescent="0.3">
      <c r="A508" t="s">
        <v>1253</v>
      </c>
      <c r="B508" t="s">
        <v>1254</v>
      </c>
      <c r="C508" s="2">
        <v>45531</v>
      </c>
      <c r="D508" t="s">
        <v>261</v>
      </c>
      <c r="E508" t="s">
        <v>262</v>
      </c>
      <c r="F508" t="s">
        <v>23</v>
      </c>
      <c r="G508" t="s">
        <v>35</v>
      </c>
      <c r="H508" t="s">
        <v>85</v>
      </c>
      <c r="I508" t="s">
        <v>93</v>
      </c>
      <c r="J508" t="s">
        <v>94</v>
      </c>
      <c r="K508" t="s">
        <v>95</v>
      </c>
      <c r="L508">
        <v>2</v>
      </c>
      <c r="M508">
        <v>1800</v>
      </c>
      <c r="N508">
        <v>20</v>
      </c>
      <c r="O508">
        <v>2880</v>
      </c>
      <c r="P508">
        <v>861.68</v>
      </c>
      <c r="Q508" t="s">
        <v>39</v>
      </c>
      <c r="R508" t="s">
        <v>56</v>
      </c>
      <c r="S508" t="s">
        <v>30</v>
      </c>
    </row>
    <row r="509" spans="1:19" x14ac:dyDescent="0.3">
      <c r="A509" t="s">
        <v>1255</v>
      </c>
      <c r="B509" s="1">
        <v>45840</v>
      </c>
      <c r="C509" s="1">
        <v>45696</v>
      </c>
      <c r="D509" t="s">
        <v>470</v>
      </c>
      <c r="E509" t="s">
        <v>471</v>
      </c>
      <c r="F509" t="s">
        <v>23</v>
      </c>
      <c r="G509" t="s">
        <v>61</v>
      </c>
      <c r="H509" t="s">
        <v>62</v>
      </c>
      <c r="I509" t="s">
        <v>93</v>
      </c>
      <c r="J509" t="s">
        <v>94</v>
      </c>
      <c r="K509" t="s">
        <v>850</v>
      </c>
      <c r="L509">
        <v>2</v>
      </c>
      <c r="M509">
        <v>1800</v>
      </c>
      <c r="N509">
        <v>0</v>
      </c>
      <c r="O509">
        <v>3600</v>
      </c>
      <c r="P509">
        <v>1128.1099999999999</v>
      </c>
      <c r="Q509" t="s">
        <v>121</v>
      </c>
      <c r="R509" t="s">
        <v>56</v>
      </c>
      <c r="S509" t="s">
        <v>50</v>
      </c>
    </row>
    <row r="510" spans="1:19" x14ac:dyDescent="0.3">
      <c r="A510" t="s">
        <v>1256</v>
      </c>
      <c r="B510" s="1">
        <v>45978</v>
      </c>
      <c r="C510" s="1">
        <v>45980</v>
      </c>
      <c r="D510" t="s">
        <v>904</v>
      </c>
      <c r="E510" t="s">
        <v>905</v>
      </c>
      <c r="F510" t="s">
        <v>23</v>
      </c>
      <c r="G510" t="s">
        <v>91</v>
      </c>
      <c r="H510" t="s">
        <v>92</v>
      </c>
      <c r="I510" t="s">
        <v>79</v>
      </c>
      <c r="J510" t="s">
        <v>80</v>
      </c>
      <c r="K510" t="s">
        <v>65</v>
      </c>
      <c r="L510">
        <v>5</v>
      </c>
      <c r="M510">
        <v>3000</v>
      </c>
      <c r="N510">
        <v>15</v>
      </c>
      <c r="O510">
        <v>12750</v>
      </c>
      <c r="P510">
        <v>4073.55</v>
      </c>
      <c r="Q510" t="s">
        <v>156</v>
      </c>
      <c r="R510" t="s">
        <v>56</v>
      </c>
      <c r="S510" t="s">
        <v>30</v>
      </c>
    </row>
    <row r="511" spans="1:19" x14ac:dyDescent="0.3">
      <c r="A511" t="s">
        <v>1257</v>
      </c>
      <c r="B511" s="2">
        <v>45771</v>
      </c>
      <c r="C511" s="1">
        <v>45776</v>
      </c>
      <c r="D511" t="s">
        <v>129</v>
      </c>
      <c r="E511" t="s">
        <v>130</v>
      </c>
      <c r="F511" t="s">
        <v>34</v>
      </c>
      <c r="G511" t="s">
        <v>61</v>
      </c>
      <c r="H511" t="s">
        <v>78</v>
      </c>
      <c r="I511" t="s">
        <v>37</v>
      </c>
      <c r="J511" t="s">
        <v>38</v>
      </c>
      <c r="K511" t="s">
        <v>27</v>
      </c>
      <c r="L511">
        <v>1</v>
      </c>
      <c r="M511">
        <v>9500</v>
      </c>
      <c r="N511">
        <v>0</v>
      </c>
      <c r="O511">
        <v>9500</v>
      </c>
      <c r="P511">
        <v>1583.09</v>
      </c>
      <c r="Q511" t="s">
        <v>74</v>
      </c>
      <c r="R511" t="s">
        <v>56</v>
      </c>
      <c r="S511" t="s">
        <v>86</v>
      </c>
    </row>
    <row r="512" spans="1:19" x14ac:dyDescent="0.3">
      <c r="A512" t="s">
        <v>1258</v>
      </c>
      <c r="B512" s="2">
        <v>45343</v>
      </c>
      <c r="C512" s="1">
        <v>45346</v>
      </c>
      <c r="D512" t="s">
        <v>318</v>
      </c>
      <c r="E512" t="s">
        <v>319</v>
      </c>
      <c r="F512" t="s">
        <v>55</v>
      </c>
      <c r="G512" t="s">
        <v>35</v>
      </c>
      <c r="H512" t="s">
        <v>36</v>
      </c>
      <c r="I512" t="s">
        <v>71</v>
      </c>
      <c r="J512" t="s">
        <v>72</v>
      </c>
      <c r="K512" t="s">
        <v>73</v>
      </c>
      <c r="L512">
        <v>1</v>
      </c>
      <c r="M512">
        <v>3500</v>
      </c>
      <c r="N512">
        <v>0</v>
      </c>
      <c r="O512">
        <v>3500</v>
      </c>
      <c r="P512">
        <v>935.09</v>
      </c>
      <c r="Q512" t="s">
        <v>74</v>
      </c>
      <c r="R512" t="s">
        <v>56</v>
      </c>
      <c r="S512" t="s">
        <v>40</v>
      </c>
    </row>
    <row r="513" spans="1:19" x14ac:dyDescent="0.3">
      <c r="A513" t="s">
        <v>1259</v>
      </c>
      <c r="B513" s="1">
        <v>45726</v>
      </c>
      <c r="C513" t="s">
        <v>1260</v>
      </c>
      <c r="D513" t="s">
        <v>853</v>
      </c>
      <c r="E513" t="s">
        <v>854</v>
      </c>
      <c r="F513" t="s">
        <v>55</v>
      </c>
      <c r="G513" t="s">
        <v>61</v>
      </c>
      <c r="H513" t="s">
        <v>125</v>
      </c>
      <c r="I513" t="s">
        <v>126</v>
      </c>
      <c r="J513" t="s">
        <v>127</v>
      </c>
      <c r="K513" t="s">
        <v>95</v>
      </c>
      <c r="L513">
        <v>2</v>
      </c>
      <c r="M513">
        <v>600</v>
      </c>
      <c r="N513">
        <v>5</v>
      </c>
      <c r="O513">
        <v>1140</v>
      </c>
      <c r="P513">
        <v>375.01</v>
      </c>
      <c r="Q513" t="s">
        <v>39</v>
      </c>
      <c r="R513" t="s">
        <v>29</v>
      </c>
      <c r="S513" t="s">
        <v>110</v>
      </c>
    </row>
    <row r="514" spans="1:19" x14ac:dyDescent="0.3">
      <c r="A514" t="s">
        <v>1261</v>
      </c>
      <c r="B514" s="1">
        <v>45940</v>
      </c>
      <c r="C514" s="1">
        <v>45943</v>
      </c>
      <c r="D514" t="s">
        <v>1262</v>
      </c>
      <c r="E514" t="s">
        <v>1263</v>
      </c>
      <c r="F514" t="s">
        <v>23</v>
      </c>
      <c r="G514" t="s">
        <v>91</v>
      </c>
      <c r="H514" t="s">
        <v>120</v>
      </c>
      <c r="I514" t="s">
        <v>37</v>
      </c>
      <c r="J514" t="s">
        <v>38</v>
      </c>
      <c r="K514" t="s">
        <v>27</v>
      </c>
      <c r="L514">
        <v>4</v>
      </c>
      <c r="M514">
        <v>9500</v>
      </c>
      <c r="N514">
        <v>0</v>
      </c>
      <c r="O514">
        <v>38000</v>
      </c>
      <c r="P514">
        <v>6228.22</v>
      </c>
      <c r="Q514" t="s">
        <v>156</v>
      </c>
      <c r="R514" t="s">
        <v>56</v>
      </c>
      <c r="S514" t="s">
        <v>40</v>
      </c>
    </row>
    <row r="515" spans="1:19" x14ac:dyDescent="0.3">
      <c r="A515" t="s">
        <v>1264</v>
      </c>
      <c r="B515" s="1">
        <v>45401</v>
      </c>
      <c r="C515" t="s">
        <v>141</v>
      </c>
      <c r="D515" t="s">
        <v>1265</v>
      </c>
      <c r="E515" t="s">
        <v>1266</v>
      </c>
      <c r="F515" t="s">
        <v>23</v>
      </c>
      <c r="G515" t="s">
        <v>35</v>
      </c>
      <c r="H515" t="s">
        <v>36</v>
      </c>
      <c r="I515" t="s">
        <v>79</v>
      </c>
      <c r="J515" t="s">
        <v>80</v>
      </c>
      <c r="K515" t="s">
        <v>65</v>
      </c>
      <c r="L515">
        <v>1</v>
      </c>
      <c r="M515">
        <v>3000</v>
      </c>
      <c r="N515">
        <v>0</v>
      </c>
      <c r="O515">
        <v>3000</v>
      </c>
      <c r="P515">
        <v>873.29</v>
      </c>
      <c r="R515" t="s">
        <v>29</v>
      </c>
      <c r="S515" t="s">
        <v>40</v>
      </c>
    </row>
    <row r="516" spans="1:19" x14ac:dyDescent="0.3">
      <c r="A516" t="s">
        <v>1267</v>
      </c>
      <c r="B516" s="1">
        <v>45423</v>
      </c>
      <c r="C516" s="1">
        <v>45425</v>
      </c>
      <c r="D516" t="s">
        <v>220</v>
      </c>
      <c r="E516" t="s">
        <v>221</v>
      </c>
      <c r="F516" t="s">
        <v>34</v>
      </c>
      <c r="G516" t="s">
        <v>44</v>
      </c>
      <c r="H516" t="s">
        <v>161</v>
      </c>
      <c r="I516" t="s">
        <v>46</v>
      </c>
      <c r="J516" t="s">
        <v>47</v>
      </c>
      <c r="K516" t="s">
        <v>48</v>
      </c>
      <c r="L516">
        <v>1</v>
      </c>
      <c r="M516">
        <v>180</v>
      </c>
      <c r="N516">
        <v>10</v>
      </c>
      <c r="O516">
        <v>162</v>
      </c>
      <c r="P516">
        <v>77.58</v>
      </c>
      <c r="Q516" t="s">
        <v>156</v>
      </c>
      <c r="R516" t="s">
        <v>49</v>
      </c>
      <c r="S516" t="s">
        <v>110</v>
      </c>
    </row>
    <row r="517" spans="1:19" x14ac:dyDescent="0.3">
      <c r="A517" t="s">
        <v>1268</v>
      </c>
      <c r="B517" s="2">
        <v>45822</v>
      </c>
      <c r="C517" s="2">
        <v>45826</v>
      </c>
      <c r="D517" t="s">
        <v>596</v>
      </c>
      <c r="E517" t="s">
        <v>597</v>
      </c>
      <c r="F517" t="s">
        <v>34</v>
      </c>
      <c r="G517" t="s">
        <v>91</v>
      </c>
      <c r="H517" t="s">
        <v>120</v>
      </c>
      <c r="I517" t="s">
        <v>63</v>
      </c>
      <c r="J517" t="s">
        <v>64</v>
      </c>
      <c r="K517" t="s">
        <v>65</v>
      </c>
      <c r="L517">
        <v>1</v>
      </c>
      <c r="M517">
        <v>25000</v>
      </c>
      <c r="N517">
        <v>0</v>
      </c>
      <c r="O517">
        <v>25000</v>
      </c>
      <c r="Q517" t="s">
        <v>74</v>
      </c>
      <c r="R517" t="s">
        <v>56</v>
      </c>
      <c r="S517" t="s">
        <v>110</v>
      </c>
    </row>
    <row r="518" spans="1:19" x14ac:dyDescent="0.3">
      <c r="A518" t="s">
        <v>1269</v>
      </c>
      <c r="B518" s="2">
        <v>45761</v>
      </c>
      <c r="C518" s="1">
        <v>45763</v>
      </c>
      <c r="D518" t="s">
        <v>332</v>
      </c>
      <c r="E518" t="s">
        <v>333</v>
      </c>
      <c r="F518" t="s">
        <v>23</v>
      </c>
      <c r="G518" t="s">
        <v>91</v>
      </c>
      <c r="H518" t="s">
        <v>177</v>
      </c>
      <c r="I518" t="s">
        <v>79</v>
      </c>
      <c r="J518" t="s">
        <v>80</v>
      </c>
      <c r="K518" t="s">
        <v>65</v>
      </c>
      <c r="L518">
        <v>5</v>
      </c>
      <c r="M518">
        <v>3000</v>
      </c>
      <c r="N518">
        <v>5</v>
      </c>
      <c r="O518">
        <v>14250</v>
      </c>
      <c r="P518">
        <v>4470.46</v>
      </c>
      <c r="Q518" t="s">
        <v>156</v>
      </c>
      <c r="R518" t="s">
        <v>49</v>
      </c>
      <c r="S518" t="s">
        <v>110</v>
      </c>
    </row>
    <row r="519" spans="1:19" x14ac:dyDescent="0.3">
      <c r="A519" t="s">
        <v>1270</v>
      </c>
      <c r="B519" s="1">
        <v>45390</v>
      </c>
      <c r="C519" s="1">
        <v>45573</v>
      </c>
      <c r="D519" t="s">
        <v>343</v>
      </c>
      <c r="E519" t="s">
        <v>369</v>
      </c>
      <c r="F519" t="s">
        <v>34</v>
      </c>
      <c r="G519" t="s">
        <v>44</v>
      </c>
      <c r="H519" t="s">
        <v>45</v>
      </c>
      <c r="I519" t="s">
        <v>134</v>
      </c>
      <c r="J519" t="s">
        <v>135</v>
      </c>
      <c r="K519" t="s">
        <v>27</v>
      </c>
      <c r="L519">
        <v>2</v>
      </c>
      <c r="M519">
        <v>6000</v>
      </c>
      <c r="N519">
        <v>0</v>
      </c>
      <c r="O519">
        <v>12000</v>
      </c>
      <c r="P519">
        <v>2970.25</v>
      </c>
      <c r="Q519" t="s">
        <v>39</v>
      </c>
      <c r="R519" t="s">
        <v>56</v>
      </c>
      <c r="S519" t="s">
        <v>50</v>
      </c>
    </row>
    <row r="520" spans="1:19" x14ac:dyDescent="0.3">
      <c r="A520" t="s">
        <v>1271</v>
      </c>
      <c r="B520" t="s">
        <v>1272</v>
      </c>
      <c r="C520" s="1">
        <v>45374</v>
      </c>
      <c r="D520" t="s">
        <v>689</v>
      </c>
      <c r="E520" t="s">
        <v>690</v>
      </c>
      <c r="F520" t="s">
        <v>55</v>
      </c>
      <c r="G520" t="s">
        <v>61</v>
      </c>
      <c r="I520" t="s">
        <v>103</v>
      </c>
      <c r="J520" t="s">
        <v>104</v>
      </c>
      <c r="K520" t="s">
        <v>65</v>
      </c>
      <c r="L520">
        <v>2</v>
      </c>
      <c r="M520">
        <v>8000</v>
      </c>
      <c r="N520">
        <v>20</v>
      </c>
      <c r="O520">
        <v>12800</v>
      </c>
      <c r="P520">
        <v>2973.48</v>
      </c>
      <c r="Q520" t="s">
        <v>28</v>
      </c>
      <c r="R520" t="s">
        <v>49</v>
      </c>
      <c r="S520" t="s">
        <v>110</v>
      </c>
    </row>
    <row r="521" spans="1:19" x14ac:dyDescent="0.3">
      <c r="A521" t="s">
        <v>1273</v>
      </c>
      <c r="B521" t="s">
        <v>253</v>
      </c>
      <c r="C521" s="1">
        <v>45757</v>
      </c>
      <c r="D521" t="s">
        <v>588</v>
      </c>
      <c r="E521" t="s">
        <v>589</v>
      </c>
      <c r="F521" t="s">
        <v>23</v>
      </c>
      <c r="G521" t="s">
        <v>61</v>
      </c>
      <c r="H521" t="s">
        <v>62</v>
      </c>
      <c r="I521" t="s">
        <v>37</v>
      </c>
      <c r="J521" t="s">
        <v>38</v>
      </c>
      <c r="K521" t="s">
        <v>27</v>
      </c>
      <c r="L521">
        <v>1</v>
      </c>
      <c r="M521">
        <v>9500</v>
      </c>
      <c r="N521">
        <v>5</v>
      </c>
      <c r="O521">
        <v>9025</v>
      </c>
      <c r="P521">
        <v>1715.9</v>
      </c>
      <c r="R521" t="s">
        <v>49</v>
      </c>
      <c r="S521" t="s">
        <v>40</v>
      </c>
    </row>
    <row r="522" spans="1:19" x14ac:dyDescent="0.3">
      <c r="A522" t="s">
        <v>1274</v>
      </c>
      <c r="B522" s="1">
        <v>45377</v>
      </c>
      <c r="C522" s="2">
        <v>45384</v>
      </c>
      <c r="D522" t="s">
        <v>609</v>
      </c>
      <c r="E522" t="s">
        <v>610</v>
      </c>
      <c r="F522" t="s">
        <v>23</v>
      </c>
      <c r="G522" t="s">
        <v>44</v>
      </c>
      <c r="H522" t="s">
        <v>155</v>
      </c>
      <c r="I522" t="s">
        <v>46</v>
      </c>
      <c r="J522" t="s">
        <v>47</v>
      </c>
      <c r="K522" t="s">
        <v>48</v>
      </c>
      <c r="L522">
        <v>1</v>
      </c>
      <c r="M522">
        <v>180</v>
      </c>
      <c r="N522">
        <v>10</v>
      </c>
      <c r="O522">
        <v>162</v>
      </c>
      <c r="P522">
        <v>55.56</v>
      </c>
      <c r="Q522" t="s">
        <v>74</v>
      </c>
      <c r="R522" t="s">
        <v>29</v>
      </c>
      <c r="S522" t="s">
        <v>50</v>
      </c>
    </row>
    <row r="523" spans="1:19" x14ac:dyDescent="0.3">
      <c r="A523" t="s">
        <v>1275</v>
      </c>
      <c r="B523" s="1">
        <v>45982</v>
      </c>
      <c r="C523" s="1">
        <v>45988</v>
      </c>
      <c r="D523" t="s">
        <v>1202</v>
      </c>
      <c r="E523" t="s">
        <v>1203</v>
      </c>
      <c r="F523" t="s">
        <v>34</v>
      </c>
      <c r="G523" t="s">
        <v>44</v>
      </c>
      <c r="H523" t="s">
        <v>24</v>
      </c>
      <c r="I523" t="s">
        <v>93</v>
      </c>
      <c r="J523" t="s">
        <v>94</v>
      </c>
      <c r="K523" t="s">
        <v>95</v>
      </c>
      <c r="L523">
        <v>2</v>
      </c>
      <c r="M523">
        <v>1800</v>
      </c>
      <c r="N523">
        <v>15</v>
      </c>
      <c r="O523">
        <v>3060</v>
      </c>
      <c r="P523">
        <v>1034.76</v>
      </c>
      <c r="Q523" t="s">
        <v>156</v>
      </c>
      <c r="R523" t="s">
        <v>56</v>
      </c>
      <c r="S523" t="s">
        <v>50</v>
      </c>
    </row>
    <row r="524" spans="1:19" x14ac:dyDescent="0.3">
      <c r="A524" t="s">
        <v>1276</v>
      </c>
      <c r="B524" s="1">
        <v>45654</v>
      </c>
      <c r="C524" s="1">
        <v>45657</v>
      </c>
      <c r="D524" t="s">
        <v>297</v>
      </c>
      <c r="E524" t="s">
        <v>1110</v>
      </c>
      <c r="F524" t="s">
        <v>23</v>
      </c>
      <c r="G524" t="s">
        <v>91</v>
      </c>
      <c r="H524" t="s">
        <v>177</v>
      </c>
      <c r="I524" t="s">
        <v>79</v>
      </c>
      <c r="J524" t="s">
        <v>80</v>
      </c>
      <c r="K524" t="s">
        <v>65</v>
      </c>
      <c r="L524">
        <v>1</v>
      </c>
      <c r="M524">
        <v>3000</v>
      </c>
      <c r="N524">
        <v>0</v>
      </c>
      <c r="O524">
        <v>3000</v>
      </c>
      <c r="P524">
        <v>790.56</v>
      </c>
      <c r="Q524" t="s">
        <v>66</v>
      </c>
      <c r="R524" t="s">
        <v>56</v>
      </c>
      <c r="S524" t="s">
        <v>40</v>
      </c>
    </row>
    <row r="525" spans="1:19" x14ac:dyDescent="0.3">
      <c r="A525" t="s">
        <v>1277</v>
      </c>
      <c r="B525" s="1">
        <v>45795</v>
      </c>
      <c r="C525" t="s">
        <v>1278</v>
      </c>
      <c r="D525" t="s">
        <v>318</v>
      </c>
      <c r="E525" t="s">
        <v>319</v>
      </c>
      <c r="F525" t="s">
        <v>55</v>
      </c>
      <c r="G525" t="s">
        <v>35</v>
      </c>
      <c r="H525" t="s">
        <v>36</v>
      </c>
      <c r="I525" t="s">
        <v>79</v>
      </c>
      <c r="J525" t="s">
        <v>80</v>
      </c>
      <c r="K525" t="s">
        <v>65</v>
      </c>
      <c r="L525">
        <v>5</v>
      </c>
      <c r="M525">
        <v>3000</v>
      </c>
      <c r="N525">
        <v>15</v>
      </c>
      <c r="O525">
        <v>12750</v>
      </c>
      <c r="P525">
        <v>3051.97</v>
      </c>
      <c r="Q525" t="s">
        <v>74</v>
      </c>
      <c r="R525" t="s">
        <v>49</v>
      </c>
      <c r="S525" t="s">
        <v>86</v>
      </c>
    </row>
    <row r="526" spans="1:19" x14ac:dyDescent="0.3">
      <c r="A526" t="s">
        <v>1279</v>
      </c>
      <c r="B526" s="1">
        <v>45805</v>
      </c>
      <c r="C526" s="1">
        <v>45807</v>
      </c>
      <c r="D526" t="s">
        <v>956</v>
      </c>
      <c r="E526" t="s">
        <v>1086</v>
      </c>
      <c r="F526" t="s">
        <v>55</v>
      </c>
      <c r="G526" t="s">
        <v>44</v>
      </c>
      <c r="H526" t="s">
        <v>24</v>
      </c>
      <c r="I526" t="s">
        <v>25</v>
      </c>
      <c r="J526" t="s">
        <v>26</v>
      </c>
      <c r="K526" t="s">
        <v>27</v>
      </c>
      <c r="L526">
        <v>1</v>
      </c>
      <c r="M526">
        <v>7000</v>
      </c>
      <c r="N526">
        <v>20</v>
      </c>
      <c r="O526">
        <v>5600</v>
      </c>
      <c r="P526">
        <v>1123.78</v>
      </c>
      <c r="Q526" t="s">
        <v>156</v>
      </c>
      <c r="R526" t="s">
        <v>49</v>
      </c>
      <c r="S526" t="s">
        <v>40</v>
      </c>
    </row>
    <row r="527" spans="1:19" x14ac:dyDescent="0.3">
      <c r="A527" t="s">
        <v>1280</v>
      </c>
      <c r="B527" s="2">
        <v>45367</v>
      </c>
      <c r="C527" s="1">
        <v>45374</v>
      </c>
      <c r="D527" t="s">
        <v>1072</v>
      </c>
      <c r="E527" t="s">
        <v>1073</v>
      </c>
      <c r="F527" t="s">
        <v>23</v>
      </c>
      <c r="G527" t="s">
        <v>44</v>
      </c>
      <c r="H527" t="s">
        <v>161</v>
      </c>
      <c r="I527" t="s">
        <v>46</v>
      </c>
      <c r="J527" t="s">
        <v>47</v>
      </c>
      <c r="K527" t="s">
        <v>611</v>
      </c>
      <c r="L527">
        <v>1</v>
      </c>
      <c r="M527">
        <v>180</v>
      </c>
      <c r="N527">
        <v>20</v>
      </c>
      <c r="O527">
        <v>144</v>
      </c>
      <c r="P527">
        <v>68.97</v>
      </c>
      <c r="Q527" t="s">
        <v>74</v>
      </c>
      <c r="R527" t="s">
        <v>56</v>
      </c>
      <c r="S527" t="s">
        <v>40</v>
      </c>
    </row>
    <row r="528" spans="1:19" x14ac:dyDescent="0.3">
      <c r="A528" t="s">
        <v>1281</v>
      </c>
      <c r="B528" s="1">
        <v>45659</v>
      </c>
      <c r="C528" s="1">
        <v>45690</v>
      </c>
      <c r="D528" t="s">
        <v>939</v>
      </c>
      <c r="E528" t="s">
        <v>940</v>
      </c>
      <c r="F528" t="s">
        <v>55</v>
      </c>
      <c r="G528" t="s">
        <v>61</v>
      </c>
      <c r="H528" t="s">
        <v>78</v>
      </c>
      <c r="I528" t="s">
        <v>37</v>
      </c>
      <c r="J528" t="s">
        <v>38</v>
      </c>
      <c r="K528" t="s">
        <v>27</v>
      </c>
      <c r="L528">
        <v>2</v>
      </c>
      <c r="M528">
        <v>9500</v>
      </c>
      <c r="N528">
        <v>5</v>
      </c>
      <c r="O528">
        <v>18050</v>
      </c>
      <c r="P528">
        <v>3799.96</v>
      </c>
      <c r="Q528" t="s">
        <v>156</v>
      </c>
      <c r="R528" t="s">
        <v>49</v>
      </c>
      <c r="S528" t="s">
        <v>86</v>
      </c>
    </row>
    <row r="529" spans="1:19" x14ac:dyDescent="0.3">
      <c r="A529" t="s">
        <v>1282</v>
      </c>
      <c r="B529" s="2">
        <v>45877</v>
      </c>
      <c r="C529" s="1">
        <v>45879</v>
      </c>
      <c r="D529" t="s">
        <v>470</v>
      </c>
      <c r="E529" t="s">
        <v>1283</v>
      </c>
      <c r="F529" t="s">
        <v>23</v>
      </c>
      <c r="G529" t="s">
        <v>61</v>
      </c>
      <c r="H529" t="s">
        <v>62</v>
      </c>
      <c r="I529" t="s">
        <v>134</v>
      </c>
      <c r="J529" t="s">
        <v>135</v>
      </c>
      <c r="K529" t="s">
        <v>27</v>
      </c>
      <c r="L529">
        <v>1</v>
      </c>
      <c r="M529">
        <v>6000</v>
      </c>
      <c r="N529">
        <v>20</v>
      </c>
      <c r="O529">
        <v>4800</v>
      </c>
      <c r="P529">
        <v>978.79</v>
      </c>
      <c r="Q529" t="s">
        <v>121</v>
      </c>
      <c r="R529" t="s">
        <v>29</v>
      </c>
      <c r="S529" t="s">
        <v>110</v>
      </c>
    </row>
    <row r="530" spans="1:19" x14ac:dyDescent="0.3">
      <c r="A530" t="s">
        <v>1284</v>
      </c>
      <c r="B530" s="1">
        <v>45880</v>
      </c>
      <c r="C530" s="1">
        <v>46002</v>
      </c>
      <c r="D530" t="s">
        <v>582</v>
      </c>
      <c r="E530" t="s">
        <v>583</v>
      </c>
      <c r="F530" t="s">
        <v>34</v>
      </c>
      <c r="G530" t="s">
        <v>61</v>
      </c>
      <c r="H530" t="s">
        <v>78</v>
      </c>
      <c r="I530" t="s">
        <v>114</v>
      </c>
      <c r="J530" t="s">
        <v>115</v>
      </c>
      <c r="K530" t="s">
        <v>65</v>
      </c>
      <c r="L530">
        <v>2</v>
      </c>
      <c r="M530">
        <v>55000</v>
      </c>
      <c r="N530">
        <v>0</v>
      </c>
      <c r="O530">
        <v>110000</v>
      </c>
      <c r="P530">
        <v>14793.58</v>
      </c>
      <c r="Q530" t="s">
        <v>74</v>
      </c>
      <c r="R530" t="s">
        <v>56</v>
      </c>
      <c r="S530" t="s">
        <v>110</v>
      </c>
    </row>
    <row r="531" spans="1:19" x14ac:dyDescent="0.3">
      <c r="A531" t="s">
        <v>1285</v>
      </c>
      <c r="B531" s="1">
        <v>45763</v>
      </c>
      <c r="C531" s="1">
        <v>45766</v>
      </c>
      <c r="D531" t="s">
        <v>308</v>
      </c>
      <c r="E531" t="s">
        <v>309</v>
      </c>
      <c r="F531" t="s">
        <v>34</v>
      </c>
      <c r="G531" t="s">
        <v>91</v>
      </c>
      <c r="H531" t="s">
        <v>177</v>
      </c>
      <c r="I531" t="s">
        <v>63</v>
      </c>
      <c r="J531" t="s">
        <v>64</v>
      </c>
      <c r="K531" t="s">
        <v>65</v>
      </c>
      <c r="L531">
        <v>2</v>
      </c>
      <c r="M531">
        <v>25000</v>
      </c>
      <c r="N531">
        <v>0</v>
      </c>
      <c r="O531">
        <v>50000</v>
      </c>
      <c r="P531">
        <v>7368.2</v>
      </c>
      <c r="Q531" t="s">
        <v>28</v>
      </c>
      <c r="R531" t="s">
        <v>49</v>
      </c>
      <c r="S531" t="s">
        <v>30</v>
      </c>
    </row>
    <row r="532" spans="1:19" x14ac:dyDescent="0.3">
      <c r="A532" t="s">
        <v>1286</v>
      </c>
      <c r="B532" t="s">
        <v>538</v>
      </c>
      <c r="C532" s="1">
        <v>45858</v>
      </c>
      <c r="D532" t="s">
        <v>118</v>
      </c>
      <c r="E532" t="s">
        <v>119</v>
      </c>
      <c r="F532" t="s">
        <v>34</v>
      </c>
      <c r="G532" t="s">
        <v>91</v>
      </c>
      <c r="H532" t="s">
        <v>120</v>
      </c>
      <c r="I532" t="s">
        <v>25</v>
      </c>
      <c r="J532" t="s">
        <v>26</v>
      </c>
      <c r="K532" t="s">
        <v>27</v>
      </c>
      <c r="L532">
        <v>3</v>
      </c>
      <c r="M532">
        <v>7000</v>
      </c>
      <c r="N532">
        <v>0</v>
      </c>
      <c r="O532">
        <v>21000</v>
      </c>
      <c r="P532">
        <v>4888.5600000000004</v>
      </c>
      <c r="Q532" t="s">
        <v>74</v>
      </c>
      <c r="R532" t="s">
        <v>49</v>
      </c>
      <c r="S532" t="s">
        <v>86</v>
      </c>
    </row>
    <row r="533" spans="1:19" x14ac:dyDescent="0.3">
      <c r="A533" t="s">
        <v>1287</v>
      </c>
      <c r="B533" s="2">
        <v>45341</v>
      </c>
      <c r="C533" s="1">
        <v>45348</v>
      </c>
      <c r="D533" t="s">
        <v>592</v>
      </c>
      <c r="E533" t="s">
        <v>593</v>
      </c>
      <c r="F533" t="s">
        <v>55</v>
      </c>
      <c r="G533" t="s">
        <v>35</v>
      </c>
      <c r="H533" t="s">
        <v>258</v>
      </c>
      <c r="I533" t="s">
        <v>63</v>
      </c>
      <c r="J533" t="s">
        <v>64</v>
      </c>
      <c r="K533" t="s">
        <v>375</v>
      </c>
      <c r="L533">
        <v>5</v>
      </c>
      <c r="M533">
        <v>25000</v>
      </c>
      <c r="N533">
        <v>0</v>
      </c>
      <c r="O533">
        <v>125000</v>
      </c>
      <c r="P533">
        <v>15102.95</v>
      </c>
      <c r="Q533" t="s">
        <v>74</v>
      </c>
      <c r="R533" t="s">
        <v>56</v>
      </c>
      <c r="S533" t="s">
        <v>50</v>
      </c>
    </row>
    <row r="534" spans="1:19" x14ac:dyDescent="0.3">
      <c r="A534" t="s">
        <v>1288</v>
      </c>
      <c r="B534" t="s">
        <v>569</v>
      </c>
      <c r="C534" t="s">
        <v>1289</v>
      </c>
      <c r="D534" t="s">
        <v>185</v>
      </c>
      <c r="E534" t="s">
        <v>186</v>
      </c>
      <c r="F534" t="s">
        <v>55</v>
      </c>
      <c r="G534" t="s">
        <v>35</v>
      </c>
      <c r="H534" t="s">
        <v>187</v>
      </c>
      <c r="I534" t="s">
        <v>134</v>
      </c>
      <c r="J534" t="s">
        <v>135</v>
      </c>
      <c r="K534" t="s">
        <v>27</v>
      </c>
      <c r="L534">
        <v>3</v>
      </c>
      <c r="M534">
        <v>6000</v>
      </c>
      <c r="N534">
        <v>0</v>
      </c>
      <c r="O534">
        <v>18000</v>
      </c>
      <c r="Q534" t="s">
        <v>121</v>
      </c>
      <c r="R534" t="s">
        <v>49</v>
      </c>
      <c r="S534" t="s">
        <v>194</v>
      </c>
    </row>
    <row r="535" spans="1:19" x14ac:dyDescent="0.3">
      <c r="A535" t="s">
        <v>1290</v>
      </c>
      <c r="B535" s="2">
        <v>45959</v>
      </c>
      <c r="C535" s="1">
        <v>45966</v>
      </c>
      <c r="D535" t="s">
        <v>138</v>
      </c>
      <c r="E535" t="s">
        <v>139</v>
      </c>
      <c r="F535" t="s">
        <v>55</v>
      </c>
      <c r="G535" t="s">
        <v>35</v>
      </c>
      <c r="H535" t="s">
        <v>36</v>
      </c>
      <c r="I535" t="s">
        <v>134</v>
      </c>
      <c r="J535" t="s">
        <v>135</v>
      </c>
      <c r="K535" t="s">
        <v>27</v>
      </c>
      <c r="L535">
        <v>10</v>
      </c>
      <c r="M535">
        <v>6000</v>
      </c>
      <c r="N535">
        <v>0</v>
      </c>
      <c r="O535">
        <v>60000</v>
      </c>
      <c r="P535">
        <v>13826.49</v>
      </c>
      <c r="Q535" t="s">
        <v>28</v>
      </c>
      <c r="R535" t="s">
        <v>29</v>
      </c>
      <c r="S535" t="s">
        <v>110</v>
      </c>
    </row>
    <row r="536" spans="1:19" x14ac:dyDescent="0.3">
      <c r="A536" t="s">
        <v>1291</v>
      </c>
      <c r="B536" s="2">
        <v>45816</v>
      </c>
      <c r="C536" s="1">
        <v>45821</v>
      </c>
      <c r="D536" t="s">
        <v>861</v>
      </c>
      <c r="E536" t="s">
        <v>862</v>
      </c>
      <c r="F536" t="s">
        <v>55</v>
      </c>
      <c r="G536" t="s">
        <v>44</v>
      </c>
      <c r="H536" t="s">
        <v>24</v>
      </c>
      <c r="I536" t="s">
        <v>134</v>
      </c>
      <c r="J536" t="s">
        <v>135</v>
      </c>
      <c r="K536" t="s">
        <v>27</v>
      </c>
      <c r="L536">
        <v>10</v>
      </c>
      <c r="M536">
        <v>6000</v>
      </c>
      <c r="N536">
        <v>0</v>
      </c>
      <c r="O536">
        <v>60000</v>
      </c>
      <c r="P536">
        <v>12025.57</v>
      </c>
      <c r="Q536" t="s">
        <v>28</v>
      </c>
      <c r="R536" t="s">
        <v>49</v>
      </c>
      <c r="S536" t="s">
        <v>86</v>
      </c>
    </row>
    <row r="537" spans="1:19" x14ac:dyDescent="0.3">
      <c r="A537" t="s">
        <v>1292</v>
      </c>
      <c r="B537" s="1">
        <v>45815</v>
      </c>
      <c r="C537" s="2">
        <v>45816</v>
      </c>
      <c r="D537" t="s">
        <v>1293</v>
      </c>
      <c r="E537" t="s">
        <v>1294</v>
      </c>
      <c r="F537" t="s">
        <v>34</v>
      </c>
      <c r="G537" t="s">
        <v>61</v>
      </c>
      <c r="H537" t="s">
        <v>211</v>
      </c>
      <c r="I537" t="s">
        <v>103</v>
      </c>
      <c r="J537" t="s">
        <v>104</v>
      </c>
      <c r="K537" t="s">
        <v>65</v>
      </c>
      <c r="L537">
        <v>3</v>
      </c>
      <c r="M537">
        <v>8000</v>
      </c>
      <c r="N537">
        <v>20</v>
      </c>
      <c r="O537">
        <v>19200</v>
      </c>
      <c r="P537">
        <v>4696.57</v>
      </c>
      <c r="Q537" t="s">
        <v>28</v>
      </c>
      <c r="R537" t="s">
        <v>49</v>
      </c>
      <c r="S537" t="s">
        <v>30</v>
      </c>
    </row>
    <row r="538" spans="1:19" x14ac:dyDescent="0.3">
      <c r="A538" t="s">
        <v>1295</v>
      </c>
      <c r="B538" s="1">
        <v>45983</v>
      </c>
      <c r="C538" s="1">
        <v>45984</v>
      </c>
      <c r="D538" t="s">
        <v>847</v>
      </c>
      <c r="E538" t="s">
        <v>848</v>
      </c>
      <c r="F538" t="s">
        <v>23</v>
      </c>
      <c r="G538" t="s">
        <v>44</v>
      </c>
      <c r="H538" t="s">
        <v>161</v>
      </c>
      <c r="I538" t="s">
        <v>63</v>
      </c>
      <c r="J538" t="s">
        <v>64</v>
      </c>
      <c r="K538" t="s">
        <v>65</v>
      </c>
      <c r="L538">
        <v>1</v>
      </c>
      <c r="M538">
        <v>25000</v>
      </c>
      <c r="N538">
        <v>15</v>
      </c>
      <c r="O538">
        <v>21250</v>
      </c>
      <c r="P538">
        <v>3000.54</v>
      </c>
      <c r="Q538" t="s">
        <v>121</v>
      </c>
      <c r="R538" t="s">
        <v>29</v>
      </c>
      <c r="S538" t="s">
        <v>86</v>
      </c>
    </row>
    <row r="539" spans="1:19" x14ac:dyDescent="0.3">
      <c r="A539" t="s">
        <v>1296</v>
      </c>
      <c r="B539" s="1">
        <v>45854</v>
      </c>
      <c r="C539" t="s">
        <v>1297</v>
      </c>
      <c r="D539" t="s">
        <v>520</v>
      </c>
      <c r="E539" t="s">
        <v>521</v>
      </c>
      <c r="F539" t="s">
        <v>23</v>
      </c>
      <c r="G539" t="s">
        <v>91</v>
      </c>
      <c r="I539" t="s">
        <v>71</v>
      </c>
      <c r="J539" t="s">
        <v>72</v>
      </c>
      <c r="K539" t="s">
        <v>73</v>
      </c>
      <c r="L539">
        <v>5</v>
      </c>
      <c r="M539">
        <v>3500</v>
      </c>
      <c r="N539">
        <v>20</v>
      </c>
      <c r="O539">
        <v>14000</v>
      </c>
      <c r="P539">
        <v>4099.2299999999996</v>
      </c>
      <c r="Q539" t="s">
        <v>121</v>
      </c>
      <c r="R539" t="s">
        <v>56</v>
      </c>
      <c r="S539" t="s">
        <v>40</v>
      </c>
    </row>
    <row r="540" spans="1:19" x14ac:dyDescent="0.3">
      <c r="A540" t="s">
        <v>1298</v>
      </c>
      <c r="B540" s="2">
        <v>45773</v>
      </c>
      <c r="C540" s="1">
        <v>45693</v>
      </c>
      <c r="D540" t="s">
        <v>189</v>
      </c>
      <c r="E540" t="s">
        <v>190</v>
      </c>
      <c r="F540" t="s">
        <v>23</v>
      </c>
      <c r="G540" t="s">
        <v>91</v>
      </c>
      <c r="H540" t="s">
        <v>120</v>
      </c>
      <c r="I540" t="s">
        <v>25</v>
      </c>
      <c r="J540" t="s">
        <v>26</v>
      </c>
      <c r="K540" t="s">
        <v>27</v>
      </c>
      <c r="L540">
        <v>10</v>
      </c>
      <c r="M540">
        <v>7000</v>
      </c>
      <c r="N540">
        <v>10</v>
      </c>
      <c r="O540">
        <v>63000</v>
      </c>
      <c r="P540">
        <v>10605.42</v>
      </c>
      <c r="Q540" t="s">
        <v>156</v>
      </c>
      <c r="R540" t="s">
        <v>49</v>
      </c>
      <c r="S540" t="s">
        <v>86</v>
      </c>
    </row>
    <row r="541" spans="1:19" x14ac:dyDescent="0.3">
      <c r="A541" t="s">
        <v>1299</v>
      </c>
      <c r="B541" t="s">
        <v>1300</v>
      </c>
      <c r="C541" s="1">
        <v>45535</v>
      </c>
      <c r="D541" t="s">
        <v>1301</v>
      </c>
      <c r="E541" t="s">
        <v>1302</v>
      </c>
      <c r="F541" t="s">
        <v>23</v>
      </c>
      <c r="G541" t="s">
        <v>91</v>
      </c>
      <c r="H541" t="s">
        <v>120</v>
      </c>
      <c r="I541" t="s">
        <v>79</v>
      </c>
      <c r="J541" t="s">
        <v>80</v>
      </c>
      <c r="K541" t="s">
        <v>65</v>
      </c>
      <c r="L541">
        <v>1</v>
      </c>
      <c r="M541">
        <v>3000</v>
      </c>
      <c r="N541">
        <v>0</v>
      </c>
      <c r="O541">
        <v>3000</v>
      </c>
      <c r="P541">
        <v>846.95</v>
      </c>
      <c r="Q541" t="s">
        <v>66</v>
      </c>
      <c r="R541" t="s">
        <v>29</v>
      </c>
      <c r="S541" t="s">
        <v>110</v>
      </c>
    </row>
    <row r="542" spans="1:19" x14ac:dyDescent="0.3">
      <c r="A542" t="s">
        <v>1303</v>
      </c>
      <c r="B542" s="1">
        <v>45805</v>
      </c>
      <c r="D542" t="s">
        <v>241</v>
      </c>
      <c r="E542" t="s">
        <v>242</v>
      </c>
      <c r="F542" t="s">
        <v>55</v>
      </c>
      <c r="G542" t="s">
        <v>91</v>
      </c>
      <c r="H542" t="s">
        <v>120</v>
      </c>
      <c r="I542" t="s">
        <v>71</v>
      </c>
      <c r="J542" t="s">
        <v>72</v>
      </c>
      <c r="K542" t="s">
        <v>73</v>
      </c>
      <c r="L542">
        <v>1</v>
      </c>
      <c r="M542">
        <v>3500</v>
      </c>
      <c r="N542">
        <v>0</v>
      </c>
      <c r="O542">
        <v>3500</v>
      </c>
      <c r="Q542" t="s">
        <v>74</v>
      </c>
      <c r="R542" t="s">
        <v>49</v>
      </c>
      <c r="S542" t="s">
        <v>30</v>
      </c>
    </row>
    <row r="543" spans="1:19" x14ac:dyDescent="0.3">
      <c r="A543" t="s">
        <v>1304</v>
      </c>
      <c r="B543" t="s">
        <v>1305</v>
      </c>
      <c r="C543" s="1">
        <v>45782</v>
      </c>
      <c r="D543" t="s">
        <v>321</v>
      </c>
      <c r="E543" t="s">
        <v>322</v>
      </c>
      <c r="F543" t="s">
        <v>34</v>
      </c>
      <c r="G543" t="s">
        <v>91</v>
      </c>
      <c r="H543" t="s">
        <v>109</v>
      </c>
      <c r="I543" t="s">
        <v>126</v>
      </c>
      <c r="J543" t="s">
        <v>127</v>
      </c>
      <c r="K543" t="s">
        <v>95</v>
      </c>
      <c r="L543">
        <v>3</v>
      </c>
      <c r="M543">
        <v>600</v>
      </c>
      <c r="N543">
        <v>0</v>
      </c>
      <c r="O543">
        <v>1800</v>
      </c>
      <c r="P543">
        <v>485.02</v>
      </c>
      <c r="Q543" t="s">
        <v>39</v>
      </c>
      <c r="R543" t="s">
        <v>56</v>
      </c>
      <c r="S543" t="s">
        <v>50</v>
      </c>
    </row>
    <row r="544" spans="1:19" x14ac:dyDescent="0.3">
      <c r="A544" t="s">
        <v>1306</v>
      </c>
      <c r="B544" s="2">
        <v>45918</v>
      </c>
      <c r="C544" t="s">
        <v>1307</v>
      </c>
      <c r="D544" t="s">
        <v>670</v>
      </c>
      <c r="E544" t="s">
        <v>1308</v>
      </c>
      <c r="F544" t="s">
        <v>23</v>
      </c>
      <c r="G544" t="s">
        <v>91</v>
      </c>
      <c r="H544" t="s">
        <v>177</v>
      </c>
      <c r="I544" t="s">
        <v>126</v>
      </c>
      <c r="J544" t="s">
        <v>127</v>
      </c>
      <c r="K544" t="s">
        <v>95</v>
      </c>
      <c r="L544">
        <v>5</v>
      </c>
      <c r="M544">
        <v>600</v>
      </c>
      <c r="N544">
        <v>10</v>
      </c>
      <c r="O544">
        <v>2700</v>
      </c>
      <c r="P544">
        <v>1116.3399999999999</v>
      </c>
      <c r="Q544" t="s">
        <v>66</v>
      </c>
      <c r="R544" t="s">
        <v>49</v>
      </c>
      <c r="S544" t="s">
        <v>40</v>
      </c>
    </row>
    <row r="545" spans="1:19" x14ac:dyDescent="0.3">
      <c r="A545" t="s">
        <v>1309</v>
      </c>
      <c r="B545" s="1">
        <v>45418</v>
      </c>
      <c r="C545" s="1">
        <v>45426</v>
      </c>
      <c r="D545" t="s">
        <v>609</v>
      </c>
      <c r="E545" t="s">
        <v>610</v>
      </c>
      <c r="F545" t="s">
        <v>23</v>
      </c>
      <c r="G545" t="s">
        <v>44</v>
      </c>
      <c r="H545" t="s">
        <v>155</v>
      </c>
      <c r="I545" t="s">
        <v>126</v>
      </c>
      <c r="J545" t="s">
        <v>127</v>
      </c>
      <c r="K545" t="s">
        <v>850</v>
      </c>
      <c r="L545">
        <v>3</v>
      </c>
      <c r="M545">
        <v>600</v>
      </c>
      <c r="N545">
        <v>0</v>
      </c>
      <c r="O545">
        <v>1800</v>
      </c>
      <c r="P545">
        <v>580.71</v>
      </c>
      <c r="Q545" t="s">
        <v>121</v>
      </c>
      <c r="R545" t="s">
        <v>49</v>
      </c>
      <c r="S545" t="s">
        <v>40</v>
      </c>
    </row>
    <row r="546" spans="1:19" x14ac:dyDescent="0.3">
      <c r="A546" t="s">
        <v>1310</v>
      </c>
      <c r="B546" s="2">
        <v>45682</v>
      </c>
      <c r="C546" s="1">
        <v>45689</v>
      </c>
      <c r="D546" t="s">
        <v>265</v>
      </c>
      <c r="E546" t="s">
        <v>266</v>
      </c>
      <c r="F546" t="s">
        <v>55</v>
      </c>
      <c r="G546" t="s">
        <v>44</v>
      </c>
      <c r="H546" t="s">
        <v>45</v>
      </c>
      <c r="I546" t="s">
        <v>134</v>
      </c>
      <c r="J546" t="s">
        <v>135</v>
      </c>
      <c r="K546" t="s">
        <v>27</v>
      </c>
      <c r="L546">
        <v>1</v>
      </c>
      <c r="M546">
        <v>6000</v>
      </c>
      <c r="N546">
        <v>15</v>
      </c>
      <c r="O546">
        <v>5100</v>
      </c>
      <c r="P546">
        <v>1193.9100000000001</v>
      </c>
      <c r="Q546" t="s">
        <v>156</v>
      </c>
      <c r="R546" t="s">
        <v>49</v>
      </c>
      <c r="S546" t="s">
        <v>40</v>
      </c>
    </row>
    <row r="547" spans="1:19" x14ac:dyDescent="0.3">
      <c r="A547" t="s">
        <v>1311</v>
      </c>
      <c r="B547" s="1">
        <v>45969</v>
      </c>
      <c r="C547" s="1">
        <v>45973</v>
      </c>
      <c r="D547" t="s">
        <v>813</v>
      </c>
      <c r="E547" t="s">
        <v>814</v>
      </c>
      <c r="F547" t="s">
        <v>34</v>
      </c>
      <c r="G547" t="s">
        <v>35</v>
      </c>
      <c r="H547" t="s">
        <v>187</v>
      </c>
      <c r="I547" t="s">
        <v>103</v>
      </c>
      <c r="J547" t="s">
        <v>104</v>
      </c>
      <c r="K547" t="s">
        <v>65</v>
      </c>
      <c r="L547">
        <v>2</v>
      </c>
      <c r="M547">
        <v>8000</v>
      </c>
      <c r="N547">
        <v>15</v>
      </c>
      <c r="O547">
        <v>13600</v>
      </c>
      <c r="P547">
        <v>2794.34</v>
      </c>
      <c r="Q547" t="s">
        <v>39</v>
      </c>
      <c r="R547" t="s">
        <v>56</v>
      </c>
      <c r="S547" t="s">
        <v>30</v>
      </c>
    </row>
    <row r="548" spans="1:19" x14ac:dyDescent="0.3">
      <c r="A548" t="s">
        <v>1312</v>
      </c>
      <c r="B548" s="2">
        <v>45653</v>
      </c>
      <c r="C548" t="s">
        <v>1313</v>
      </c>
      <c r="D548" t="s">
        <v>1171</v>
      </c>
      <c r="E548" t="s">
        <v>1172</v>
      </c>
      <c r="F548" t="s">
        <v>34</v>
      </c>
      <c r="G548" t="s">
        <v>35</v>
      </c>
      <c r="H548" t="s">
        <v>85</v>
      </c>
      <c r="I548" t="s">
        <v>126</v>
      </c>
      <c r="J548" t="s">
        <v>127</v>
      </c>
      <c r="K548" t="s">
        <v>95</v>
      </c>
      <c r="L548">
        <v>1</v>
      </c>
      <c r="M548">
        <v>600</v>
      </c>
      <c r="N548">
        <v>0</v>
      </c>
      <c r="O548">
        <v>600</v>
      </c>
      <c r="P548">
        <v>191.5</v>
      </c>
      <c r="Q548" t="s">
        <v>39</v>
      </c>
      <c r="R548" t="s">
        <v>49</v>
      </c>
      <c r="S548" t="s">
        <v>86</v>
      </c>
    </row>
    <row r="549" spans="1:19" x14ac:dyDescent="0.3">
      <c r="A549" t="s">
        <v>1314</v>
      </c>
      <c r="B549" s="1">
        <v>45808</v>
      </c>
      <c r="C549" s="2">
        <v>45816</v>
      </c>
      <c r="D549" t="s">
        <v>1315</v>
      </c>
      <c r="E549" t="s">
        <v>1316</v>
      </c>
      <c r="F549" t="s">
        <v>34</v>
      </c>
      <c r="G549" t="s">
        <v>91</v>
      </c>
      <c r="H549" t="s">
        <v>92</v>
      </c>
      <c r="I549" t="s">
        <v>79</v>
      </c>
      <c r="J549" t="s">
        <v>80</v>
      </c>
      <c r="K549" t="s">
        <v>65</v>
      </c>
      <c r="M549">
        <v>3000</v>
      </c>
      <c r="N549">
        <v>20</v>
      </c>
      <c r="O549">
        <v>4800</v>
      </c>
      <c r="P549">
        <v>1267.1600000000001</v>
      </c>
      <c r="Q549" t="s">
        <v>121</v>
      </c>
      <c r="R549" t="s">
        <v>56</v>
      </c>
      <c r="S549" t="s">
        <v>110</v>
      </c>
    </row>
    <row r="550" spans="1:19" x14ac:dyDescent="0.3">
      <c r="A550" t="s">
        <v>1317</v>
      </c>
      <c r="B550" s="1">
        <v>45944</v>
      </c>
      <c r="C550" s="1">
        <v>45947</v>
      </c>
      <c r="D550" t="s">
        <v>561</v>
      </c>
      <c r="E550" t="s">
        <v>1318</v>
      </c>
      <c r="F550" t="s">
        <v>23</v>
      </c>
      <c r="G550" t="s">
        <v>44</v>
      </c>
      <c r="H550" t="s">
        <v>155</v>
      </c>
      <c r="I550" t="s">
        <v>37</v>
      </c>
      <c r="J550" t="s">
        <v>38</v>
      </c>
      <c r="K550" t="s">
        <v>27</v>
      </c>
      <c r="L550">
        <v>2</v>
      </c>
      <c r="M550">
        <v>9500</v>
      </c>
      <c r="N550">
        <v>15</v>
      </c>
      <c r="O550">
        <v>16150</v>
      </c>
      <c r="P550">
        <v>2265.0100000000002</v>
      </c>
      <c r="Q550" t="s">
        <v>39</v>
      </c>
      <c r="R550" t="s">
        <v>56</v>
      </c>
      <c r="S550" t="s">
        <v>40</v>
      </c>
    </row>
    <row r="551" spans="1:19" x14ac:dyDescent="0.3">
      <c r="A551" t="s">
        <v>1319</v>
      </c>
      <c r="B551" s="2">
        <v>45786</v>
      </c>
      <c r="D551" t="s">
        <v>657</v>
      </c>
      <c r="E551" t="s">
        <v>658</v>
      </c>
      <c r="F551" t="s">
        <v>34</v>
      </c>
      <c r="G551" t="s">
        <v>91</v>
      </c>
      <c r="H551" t="s">
        <v>120</v>
      </c>
      <c r="I551" t="s">
        <v>103</v>
      </c>
      <c r="J551" t="s">
        <v>104</v>
      </c>
      <c r="K551" t="s">
        <v>65</v>
      </c>
      <c r="L551">
        <v>1</v>
      </c>
      <c r="M551">
        <v>8000</v>
      </c>
      <c r="N551">
        <v>0</v>
      </c>
      <c r="O551">
        <v>8000</v>
      </c>
      <c r="P551">
        <v>1664.02</v>
      </c>
      <c r="Q551" t="s">
        <v>28</v>
      </c>
      <c r="R551" t="s">
        <v>56</v>
      </c>
      <c r="S551" t="s">
        <v>30</v>
      </c>
    </row>
    <row r="552" spans="1:19" x14ac:dyDescent="0.3">
      <c r="A552" t="s">
        <v>1320</v>
      </c>
      <c r="B552" s="2">
        <v>45484</v>
      </c>
      <c r="C552" s="1">
        <v>45491</v>
      </c>
      <c r="D552" t="s">
        <v>247</v>
      </c>
      <c r="E552" t="s">
        <v>248</v>
      </c>
      <c r="F552" t="s">
        <v>34</v>
      </c>
      <c r="G552" t="s">
        <v>61</v>
      </c>
      <c r="H552" t="s">
        <v>78</v>
      </c>
      <c r="I552" t="s">
        <v>103</v>
      </c>
      <c r="J552" t="s">
        <v>104</v>
      </c>
      <c r="K552" t="s">
        <v>65</v>
      </c>
      <c r="L552">
        <v>2</v>
      </c>
      <c r="M552">
        <v>8000</v>
      </c>
      <c r="N552">
        <v>10</v>
      </c>
      <c r="O552">
        <v>14400</v>
      </c>
      <c r="P552">
        <v>3635.11</v>
      </c>
      <c r="Q552" t="s">
        <v>121</v>
      </c>
      <c r="R552" t="s">
        <v>49</v>
      </c>
      <c r="S552" t="s">
        <v>50</v>
      </c>
    </row>
    <row r="553" spans="1:19" x14ac:dyDescent="0.3">
      <c r="A553" t="s">
        <v>1321</v>
      </c>
      <c r="B553" t="s">
        <v>1322</v>
      </c>
      <c r="C553" s="1">
        <v>45451</v>
      </c>
      <c r="D553" t="s">
        <v>301</v>
      </c>
      <c r="E553" t="s">
        <v>302</v>
      </c>
      <c r="F553" t="s">
        <v>34</v>
      </c>
      <c r="G553" t="s">
        <v>44</v>
      </c>
      <c r="H553" t="s">
        <v>24</v>
      </c>
      <c r="I553" t="s">
        <v>25</v>
      </c>
      <c r="J553" t="s">
        <v>26</v>
      </c>
      <c r="K553" t="s">
        <v>27</v>
      </c>
      <c r="L553">
        <v>1</v>
      </c>
      <c r="M553">
        <v>7000</v>
      </c>
      <c r="N553">
        <v>15</v>
      </c>
      <c r="O553">
        <v>5950</v>
      </c>
      <c r="P553">
        <v>1190.8699999999999</v>
      </c>
      <c r="Q553" t="s">
        <v>66</v>
      </c>
      <c r="R553" t="s">
        <v>49</v>
      </c>
      <c r="S553" t="s">
        <v>40</v>
      </c>
    </row>
    <row r="554" spans="1:19" x14ac:dyDescent="0.3">
      <c r="A554" t="s">
        <v>1323</v>
      </c>
      <c r="B554" s="1">
        <v>45915</v>
      </c>
      <c r="C554" t="s">
        <v>669</v>
      </c>
      <c r="D554" t="s">
        <v>418</v>
      </c>
      <c r="E554" t="s">
        <v>419</v>
      </c>
      <c r="F554" t="s">
        <v>23</v>
      </c>
      <c r="G554" t="s">
        <v>91</v>
      </c>
      <c r="H554" t="s">
        <v>120</v>
      </c>
      <c r="I554" t="s">
        <v>126</v>
      </c>
      <c r="J554" t="s">
        <v>127</v>
      </c>
      <c r="K554" t="s">
        <v>95</v>
      </c>
      <c r="M554">
        <v>600</v>
      </c>
      <c r="N554">
        <v>5</v>
      </c>
      <c r="O554">
        <v>1140</v>
      </c>
      <c r="P554">
        <v>334.97</v>
      </c>
      <c r="Q554" t="s">
        <v>28</v>
      </c>
      <c r="R554" t="s">
        <v>56</v>
      </c>
      <c r="S554" t="s">
        <v>110</v>
      </c>
    </row>
    <row r="555" spans="1:19" x14ac:dyDescent="0.3">
      <c r="A555" t="s">
        <v>1324</v>
      </c>
      <c r="B555" s="1">
        <v>45805</v>
      </c>
      <c r="C555" s="2">
        <v>45806</v>
      </c>
      <c r="D555" t="s">
        <v>457</v>
      </c>
      <c r="E555" t="s">
        <v>458</v>
      </c>
      <c r="F555" t="s">
        <v>55</v>
      </c>
      <c r="G555" t="s">
        <v>44</v>
      </c>
      <c r="H555" t="s">
        <v>24</v>
      </c>
      <c r="I555" t="s">
        <v>147</v>
      </c>
      <c r="J555" t="s">
        <v>148</v>
      </c>
      <c r="K555" t="s">
        <v>48</v>
      </c>
      <c r="L555">
        <v>2</v>
      </c>
      <c r="M555">
        <v>250</v>
      </c>
      <c r="N555">
        <v>5</v>
      </c>
      <c r="O555">
        <v>475</v>
      </c>
      <c r="P555">
        <v>160.65</v>
      </c>
      <c r="Q555" t="s">
        <v>156</v>
      </c>
      <c r="R555" t="s">
        <v>29</v>
      </c>
      <c r="S555" t="s">
        <v>40</v>
      </c>
    </row>
    <row r="556" spans="1:19" x14ac:dyDescent="0.3">
      <c r="A556" t="s">
        <v>1325</v>
      </c>
      <c r="B556" s="1">
        <v>45355</v>
      </c>
      <c r="C556" s="1">
        <v>45446</v>
      </c>
      <c r="D556" t="s">
        <v>699</v>
      </c>
      <c r="E556" t="s">
        <v>700</v>
      </c>
      <c r="F556" t="s">
        <v>23</v>
      </c>
      <c r="G556" t="s">
        <v>35</v>
      </c>
      <c r="H556" t="s">
        <v>36</v>
      </c>
      <c r="I556" t="s">
        <v>63</v>
      </c>
      <c r="J556" t="s">
        <v>64</v>
      </c>
      <c r="K556" t="s">
        <v>65</v>
      </c>
      <c r="L556">
        <v>2</v>
      </c>
      <c r="M556">
        <v>25000</v>
      </c>
      <c r="N556">
        <v>0</v>
      </c>
      <c r="O556">
        <v>50000</v>
      </c>
      <c r="P556">
        <v>5362.25</v>
      </c>
      <c r="Q556" t="s">
        <v>28</v>
      </c>
      <c r="R556" t="s">
        <v>49</v>
      </c>
      <c r="S556" t="s">
        <v>40</v>
      </c>
    </row>
    <row r="557" spans="1:19" x14ac:dyDescent="0.3">
      <c r="A557" t="s">
        <v>1326</v>
      </c>
      <c r="B557" t="s">
        <v>1327</v>
      </c>
      <c r="C557" t="s">
        <v>1328</v>
      </c>
      <c r="D557" t="s">
        <v>285</v>
      </c>
      <c r="E557" t="s">
        <v>286</v>
      </c>
      <c r="F557" t="s">
        <v>23</v>
      </c>
      <c r="G557" t="s">
        <v>61</v>
      </c>
      <c r="H557" t="s">
        <v>78</v>
      </c>
      <c r="I557" t="s">
        <v>46</v>
      </c>
      <c r="J557" t="s">
        <v>47</v>
      </c>
      <c r="K557" t="s">
        <v>48</v>
      </c>
      <c r="L557">
        <v>2</v>
      </c>
      <c r="M557">
        <v>180</v>
      </c>
      <c r="N557">
        <v>15</v>
      </c>
      <c r="O557">
        <v>306</v>
      </c>
      <c r="P557">
        <v>127.69</v>
      </c>
      <c r="Q557" t="s">
        <v>121</v>
      </c>
      <c r="R557" t="s">
        <v>49</v>
      </c>
      <c r="S557" t="s">
        <v>30</v>
      </c>
    </row>
    <row r="558" spans="1:19" x14ac:dyDescent="0.3">
      <c r="A558" t="s">
        <v>1329</v>
      </c>
      <c r="B558" t="s">
        <v>1330</v>
      </c>
      <c r="C558" t="s">
        <v>1331</v>
      </c>
      <c r="D558" t="s">
        <v>1100</v>
      </c>
      <c r="E558" t="s">
        <v>1101</v>
      </c>
      <c r="F558" t="s">
        <v>23</v>
      </c>
      <c r="G558" t="s">
        <v>44</v>
      </c>
      <c r="H558" t="s">
        <v>161</v>
      </c>
      <c r="I558" t="s">
        <v>79</v>
      </c>
      <c r="J558" t="s">
        <v>80</v>
      </c>
      <c r="K558" t="s">
        <v>65</v>
      </c>
      <c r="L558">
        <v>5</v>
      </c>
      <c r="M558">
        <v>3000</v>
      </c>
      <c r="N558">
        <v>20</v>
      </c>
      <c r="O558">
        <v>12000</v>
      </c>
      <c r="P558">
        <v>3770.23</v>
      </c>
      <c r="Q558" t="s">
        <v>66</v>
      </c>
      <c r="R558" t="s">
        <v>29</v>
      </c>
      <c r="S558" t="s">
        <v>86</v>
      </c>
    </row>
    <row r="559" spans="1:19" x14ac:dyDescent="0.3">
      <c r="A559" t="s">
        <v>1332</v>
      </c>
      <c r="B559" s="1">
        <v>45912</v>
      </c>
      <c r="C559" s="1">
        <v>45915</v>
      </c>
      <c r="D559" t="s">
        <v>674</v>
      </c>
      <c r="E559" t="s">
        <v>675</v>
      </c>
      <c r="F559" t="s">
        <v>55</v>
      </c>
      <c r="G559" t="s">
        <v>91</v>
      </c>
      <c r="H559" t="s">
        <v>109</v>
      </c>
      <c r="I559" t="s">
        <v>147</v>
      </c>
      <c r="J559" t="s">
        <v>148</v>
      </c>
      <c r="K559" t="s">
        <v>48</v>
      </c>
      <c r="L559">
        <v>4</v>
      </c>
      <c r="M559">
        <v>250</v>
      </c>
      <c r="N559">
        <v>0</v>
      </c>
      <c r="O559">
        <v>1000</v>
      </c>
      <c r="P559">
        <v>399.78</v>
      </c>
      <c r="Q559" t="s">
        <v>28</v>
      </c>
      <c r="R559" t="s">
        <v>56</v>
      </c>
      <c r="S559" t="s">
        <v>40</v>
      </c>
    </row>
    <row r="560" spans="1:19" x14ac:dyDescent="0.3">
      <c r="A560" t="s">
        <v>1333</v>
      </c>
      <c r="B560" s="1">
        <v>45875</v>
      </c>
      <c r="C560" s="1">
        <v>45879</v>
      </c>
      <c r="D560" t="s">
        <v>498</v>
      </c>
      <c r="E560" t="s">
        <v>499</v>
      </c>
      <c r="F560" t="s">
        <v>55</v>
      </c>
      <c r="G560" t="s">
        <v>91</v>
      </c>
      <c r="H560" t="s">
        <v>120</v>
      </c>
      <c r="I560" t="s">
        <v>147</v>
      </c>
      <c r="J560" t="s">
        <v>148</v>
      </c>
      <c r="K560" t="s">
        <v>48</v>
      </c>
      <c r="L560">
        <v>5</v>
      </c>
      <c r="M560">
        <v>250</v>
      </c>
      <c r="N560">
        <v>0</v>
      </c>
      <c r="O560">
        <v>1250</v>
      </c>
      <c r="P560">
        <v>518</v>
      </c>
      <c r="Q560" t="s">
        <v>156</v>
      </c>
      <c r="R560" t="s">
        <v>29</v>
      </c>
      <c r="S560" t="s">
        <v>110</v>
      </c>
    </row>
    <row r="561" spans="1:19" x14ac:dyDescent="0.3">
      <c r="A561" t="s">
        <v>1334</v>
      </c>
      <c r="B561" s="2">
        <v>45308</v>
      </c>
      <c r="C561" s="1">
        <v>45311</v>
      </c>
      <c r="D561" t="s">
        <v>524</v>
      </c>
      <c r="E561" t="s">
        <v>525</v>
      </c>
      <c r="F561" t="s">
        <v>34</v>
      </c>
      <c r="G561" t="s">
        <v>35</v>
      </c>
      <c r="H561" t="s">
        <v>187</v>
      </c>
      <c r="I561" t="s">
        <v>46</v>
      </c>
      <c r="J561" t="s">
        <v>47</v>
      </c>
      <c r="K561" t="s">
        <v>48</v>
      </c>
      <c r="L561">
        <v>1</v>
      </c>
      <c r="M561">
        <v>180</v>
      </c>
      <c r="N561">
        <v>15</v>
      </c>
      <c r="O561">
        <v>153</v>
      </c>
      <c r="P561">
        <v>60.94</v>
      </c>
      <c r="Q561" t="s">
        <v>28</v>
      </c>
      <c r="R561" t="s">
        <v>29</v>
      </c>
      <c r="S561" t="s">
        <v>86</v>
      </c>
    </row>
    <row r="562" spans="1:19" x14ac:dyDescent="0.3">
      <c r="A562" t="s">
        <v>1335</v>
      </c>
      <c r="B562" s="1">
        <v>45605</v>
      </c>
      <c r="C562" s="1">
        <v>45553</v>
      </c>
      <c r="D562" t="s">
        <v>166</v>
      </c>
      <c r="E562" t="s">
        <v>167</v>
      </c>
      <c r="F562" t="s">
        <v>23</v>
      </c>
      <c r="G562" t="s">
        <v>44</v>
      </c>
      <c r="H562" t="s">
        <v>161</v>
      </c>
      <c r="I562" t="s">
        <v>37</v>
      </c>
      <c r="J562" t="s">
        <v>38</v>
      </c>
      <c r="K562" t="s">
        <v>27</v>
      </c>
      <c r="L562">
        <v>4</v>
      </c>
      <c r="M562">
        <v>9500</v>
      </c>
      <c r="N562">
        <v>15</v>
      </c>
      <c r="O562">
        <v>32300</v>
      </c>
      <c r="P562">
        <v>5520.05</v>
      </c>
      <c r="Q562" t="s">
        <v>66</v>
      </c>
      <c r="R562" t="s">
        <v>49</v>
      </c>
      <c r="S562" t="s">
        <v>110</v>
      </c>
    </row>
    <row r="563" spans="1:19" x14ac:dyDescent="0.3">
      <c r="A563" t="s">
        <v>1336</v>
      </c>
      <c r="B563" s="1">
        <v>45396</v>
      </c>
      <c r="C563" s="2">
        <v>45401</v>
      </c>
      <c r="D563" t="s">
        <v>343</v>
      </c>
      <c r="E563" t="s">
        <v>369</v>
      </c>
      <c r="F563" t="s">
        <v>34</v>
      </c>
      <c r="G563" t="s">
        <v>44</v>
      </c>
      <c r="H563" t="s">
        <v>45</v>
      </c>
      <c r="I563" t="s">
        <v>134</v>
      </c>
      <c r="J563" t="s">
        <v>135</v>
      </c>
      <c r="K563" t="s">
        <v>27</v>
      </c>
      <c r="L563">
        <v>3</v>
      </c>
      <c r="M563">
        <v>6000</v>
      </c>
      <c r="N563">
        <v>15</v>
      </c>
      <c r="O563">
        <v>15300</v>
      </c>
      <c r="P563">
        <v>3673.98</v>
      </c>
      <c r="Q563" t="s">
        <v>66</v>
      </c>
      <c r="R563" t="s">
        <v>49</v>
      </c>
      <c r="S563" t="s">
        <v>110</v>
      </c>
    </row>
    <row r="564" spans="1:19" x14ac:dyDescent="0.3">
      <c r="A564" t="s">
        <v>1337</v>
      </c>
      <c r="B564" s="2">
        <v>45373</v>
      </c>
      <c r="D564" t="s">
        <v>643</v>
      </c>
      <c r="E564" t="s">
        <v>644</v>
      </c>
      <c r="F564" t="s">
        <v>34</v>
      </c>
      <c r="G564" t="s">
        <v>61</v>
      </c>
      <c r="H564" t="s">
        <v>78</v>
      </c>
      <c r="I564" t="s">
        <v>114</v>
      </c>
      <c r="J564" t="s">
        <v>115</v>
      </c>
      <c r="K564" t="s">
        <v>65</v>
      </c>
      <c r="L564">
        <v>1</v>
      </c>
      <c r="M564">
        <v>55000</v>
      </c>
      <c r="N564">
        <v>15</v>
      </c>
      <c r="O564">
        <v>46750</v>
      </c>
      <c r="P564">
        <v>7672.24</v>
      </c>
      <c r="Q564" t="s">
        <v>121</v>
      </c>
      <c r="R564" t="s">
        <v>56</v>
      </c>
      <c r="S564" t="s">
        <v>30</v>
      </c>
    </row>
    <row r="565" spans="1:19" x14ac:dyDescent="0.3">
      <c r="A565" t="s">
        <v>1338</v>
      </c>
      <c r="B565" s="1">
        <v>45665</v>
      </c>
      <c r="C565" s="1">
        <v>45670</v>
      </c>
      <c r="D565" t="s">
        <v>1028</v>
      </c>
      <c r="E565" t="s">
        <v>1029</v>
      </c>
      <c r="F565" t="s">
        <v>34</v>
      </c>
      <c r="G565" t="s">
        <v>91</v>
      </c>
      <c r="H565" t="s">
        <v>120</v>
      </c>
      <c r="I565" t="s">
        <v>25</v>
      </c>
      <c r="J565" t="s">
        <v>26</v>
      </c>
      <c r="K565" t="s">
        <v>27</v>
      </c>
      <c r="L565">
        <v>2</v>
      </c>
      <c r="M565">
        <v>7000</v>
      </c>
      <c r="N565">
        <v>0</v>
      </c>
      <c r="O565">
        <v>14000</v>
      </c>
      <c r="P565">
        <v>2816.88</v>
      </c>
      <c r="Q565" t="s">
        <v>66</v>
      </c>
      <c r="R565" t="s">
        <v>49</v>
      </c>
      <c r="S565" t="s">
        <v>30</v>
      </c>
    </row>
    <row r="566" spans="1:19" x14ac:dyDescent="0.3">
      <c r="A566" t="s">
        <v>1339</v>
      </c>
      <c r="B566" s="1">
        <v>45907</v>
      </c>
      <c r="C566" s="1">
        <v>45911</v>
      </c>
      <c r="D566" t="s">
        <v>947</v>
      </c>
      <c r="E566" t="s">
        <v>948</v>
      </c>
      <c r="F566" t="s">
        <v>55</v>
      </c>
      <c r="G566" t="s">
        <v>35</v>
      </c>
      <c r="H566" t="s">
        <v>36</v>
      </c>
      <c r="I566" t="s">
        <v>126</v>
      </c>
      <c r="J566" t="s">
        <v>127</v>
      </c>
      <c r="K566" t="s">
        <v>95</v>
      </c>
      <c r="L566">
        <v>1</v>
      </c>
      <c r="M566">
        <v>600</v>
      </c>
      <c r="N566">
        <v>0</v>
      </c>
      <c r="O566">
        <v>600</v>
      </c>
      <c r="P566">
        <v>169.96</v>
      </c>
      <c r="Q566" t="s">
        <v>66</v>
      </c>
      <c r="R566" t="s">
        <v>29</v>
      </c>
      <c r="S566" t="s">
        <v>50</v>
      </c>
    </row>
    <row r="567" spans="1:19" x14ac:dyDescent="0.3">
      <c r="A567" t="s">
        <v>1340</v>
      </c>
      <c r="B567" s="1">
        <v>45996</v>
      </c>
      <c r="C567" s="1">
        <v>45792</v>
      </c>
      <c r="D567" t="s">
        <v>466</v>
      </c>
      <c r="E567" t="s">
        <v>467</v>
      </c>
      <c r="F567" t="s">
        <v>34</v>
      </c>
      <c r="G567" t="s">
        <v>61</v>
      </c>
      <c r="H567" t="s">
        <v>78</v>
      </c>
      <c r="I567" t="s">
        <v>63</v>
      </c>
      <c r="J567" t="s">
        <v>64</v>
      </c>
      <c r="K567" t="s">
        <v>65</v>
      </c>
      <c r="L567">
        <v>2</v>
      </c>
      <c r="M567">
        <v>25000</v>
      </c>
      <c r="N567">
        <v>20</v>
      </c>
      <c r="O567">
        <v>40000</v>
      </c>
      <c r="P567">
        <v>5440.1</v>
      </c>
      <c r="Q567" t="s">
        <v>156</v>
      </c>
      <c r="R567" t="s">
        <v>49</v>
      </c>
      <c r="S567" t="s">
        <v>30</v>
      </c>
    </row>
    <row r="568" spans="1:19" x14ac:dyDescent="0.3">
      <c r="A568" t="s">
        <v>1341</v>
      </c>
      <c r="B568" s="1">
        <v>45676</v>
      </c>
      <c r="C568" t="s">
        <v>240</v>
      </c>
      <c r="D568" t="s">
        <v>388</v>
      </c>
      <c r="E568" t="s">
        <v>389</v>
      </c>
      <c r="F568" t="s">
        <v>23</v>
      </c>
      <c r="G568" t="s">
        <v>44</v>
      </c>
      <c r="H568" t="s">
        <v>161</v>
      </c>
      <c r="I568" t="s">
        <v>37</v>
      </c>
      <c r="J568" t="s">
        <v>38</v>
      </c>
      <c r="K568" t="s">
        <v>27</v>
      </c>
      <c r="L568">
        <v>2</v>
      </c>
      <c r="M568">
        <v>9500</v>
      </c>
      <c r="N568">
        <v>20</v>
      </c>
      <c r="O568">
        <v>15200</v>
      </c>
      <c r="P568">
        <v>2329.8200000000002</v>
      </c>
      <c r="Q568" t="s">
        <v>121</v>
      </c>
      <c r="R568" t="s">
        <v>56</v>
      </c>
      <c r="S568" t="s">
        <v>86</v>
      </c>
    </row>
    <row r="569" spans="1:19" x14ac:dyDescent="0.3">
      <c r="A569" t="s">
        <v>1342</v>
      </c>
      <c r="B569" s="1">
        <v>45932</v>
      </c>
      <c r="C569" s="1">
        <v>45937</v>
      </c>
      <c r="D569" t="s">
        <v>1343</v>
      </c>
      <c r="E569" t="s">
        <v>1344</v>
      </c>
      <c r="F569" t="s">
        <v>34</v>
      </c>
      <c r="G569" t="s">
        <v>91</v>
      </c>
      <c r="H569" t="s">
        <v>177</v>
      </c>
      <c r="I569" t="s">
        <v>71</v>
      </c>
      <c r="J569" t="s">
        <v>72</v>
      </c>
      <c r="K569" t="s">
        <v>73</v>
      </c>
      <c r="L569">
        <v>2</v>
      </c>
      <c r="M569">
        <v>3500</v>
      </c>
      <c r="N569">
        <v>5</v>
      </c>
      <c r="O569">
        <v>6650</v>
      </c>
      <c r="P569">
        <v>1580.65</v>
      </c>
      <c r="Q569" t="s">
        <v>66</v>
      </c>
      <c r="R569" t="s">
        <v>49</v>
      </c>
      <c r="S569" t="s">
        <v>110</v>
      </c>
    </row>
    <row r="570" spans="1:19" x14ac:dyDescent="0.3">
      <c r="A570" t="s">
        <v>1345</v>
      </c>
      <c r="B570" s="1">
        <v>45853</v>
      </c>
      <c r="D570" t="s">
        <v>1346</v>
      </c>
      <c r="E570" t="s">
        <v>1347</v>
      </c>
      <c r="F570" t="s">
        <v>55</v>
      </c>
      <c r="G570" t="s">
        <v>44</v>
      </c>
      <c r="H570" t="s">
        <v>155</v>
      </c>
      <c r="I570" t="s">
        <v>25</v>
      </c>
      <c r="J570" t="s">
        <v>26</v>
      </c>
      <c r="K570" t="s">
        <v>27</v>
      </c>
      <c r="L570">
        <v>2</v>
      </c>
      <c r="M570">
        <v>7000</v>
      </c>
      <c r="N570">
        <v>15</v>
      </c>
      <c r="O570">
        <v>11900</v>
      </c>
      <c r="P570">
        <v>2397.34</v>
      </c>
      <c r="Q570" t="s">
        <v>156</v>
      </c>
      <c r="R570" t="s">
        <v>56</v>
      </c>
      <c r="S570" t="s">
        <v>40</v>
      </c>
    </row>
    <row r="571" spans="1:19" x14ac:dyDescent="0.3">
      <c r="A571" t="s">
        <v>1348</v>
      </c>
      <c r="B571" s="1">
        <v>45428</v>
      </c>
      <c r="C571" s="2">
        <v>45433</v>
      </c>
      <c r="D571" t="s">
        <v>1343</v>
      </c>
      <c r="E571" t="s">
        <v>1344</v>
      </c>
      <c r="F571" t="s">
        <v>34</v>
      </c>
      <c r="G571" t="s">
        <v>91</v>
      </c>
      <c r="H571" t="s">
        <v>177</v>
      </c>
      <c r="I571" t="s">
        <v>126</v>
      </c>
      <c r="J571" t="s">
        <v>127</v>
      </c>
      <c r="K571" t="s">
        <v>95</v>
      </c>
      <c r="L571">
        <v>3</v>
      </c>
      <c r="M571">
        <v>600</v>
      </c>
      <c r="N571">
        <v>15</v>
      </c>
      <c r="O571">
        <v>1530</v>
      </c>
      <c r="P571">
        <v>540.95000000000005</v>
      </c>
      <c r="Q571" t="s">
        <v>28</v>
      </c>
      <c r="R571" t="s">
        <v>29</v>
      </c>
      <c r="S571" t="s">
        <v>50</v>
      </c>
    </row>
    <row r="572" spans="1:19" x14ac:dyDescent="0.3">
      <c r="A572" t="s">
        <v>1349</v>
      </c>
      <c r="B572" s="2">
        <v>45837</v>
      </c>
      <c r="C572" s="2">
        <v>45845</v>
      </c>
      <c r="D572" t="s">
        <v>237</v>
      </c>
      <c r="E572" t="s">
        <v>238</v>
      </c>
      <c r="F572" t="s">
        <v>55</v>
      </c>
      <c r="G572" t="s">
        <v>44</v>
      </c>
      <c r="H572" t="s">
        <v>155</v>
      </c>
      <c r="I572" t="s">
        <v>46</v>
      </c>
      <c r="J572" t="s">
        <v>47</v>
      </c>
      <c r="K572" t="s">
        <v>48</v>
      </c>
      <c r="L572">
        <v>1</v>
      </c>
      <c r="M572">
        <v>180</v>
      </c>
      <c r="N572">
        <v>20</v>
      </c>
      <c r="O572">
        <v>144</v>
      </c>
      <c r="P572">
        <v>55.83</v>
      </c>
      <c r="Q572" t="s">
        <v>74</v>
      </c>
      <c r="R572" t="s">
        <v>49</v>
      </c>
      <c r="S572" t="s">
        <v>50</v>
      </c>
    </row>
    <row r="573" spans="1:19" x14ac:dyDescent="0.3">
      <c r="A573" t="s">
        <v>1350</v>
      </c>
      <c r="B573" s="1">
        <v>45324</v>
      </c>
      <c r="C573" s="2">
        <v>45332</v>
      </c>
      <c r="D573" t="s">
        <v>340</v>
      </c>
      <c r="E573" t="s">
        <v>341</v>
      </c>
      <c r="F573" t="s">
        <v>34</v>
      </c>
      <c r="G573" t="s">
        <v>91</v>
      </c>
      <c r="H573" t="s">
        <v>109</v>
      </c>
      <c r="I573" t="s">
        <v>134</v>
      </c>
      <c r="J573" t="s">
        <v>135</v>
      </c>
      <c r="K573" t="s">
        <v>27</v>
      </c>
      <c r="L573">
        <v>5</v>
      </c>
      <c r="M573">
        <v>6000</v>
      </c>
      <c r="N573">
        <v>20</v>
      </c>
      <c r="O573">
        <v>24000</v>
      </c>
      <c r="P573">
        <v>5871.23</v>
      </c>
      <c r="R573" t="s">
        <v>56</v>
      </c>
      <c r="S573" t="s">
        <v>110</v>
      </c>
    </row>
    <row r="574" spans="1:19" x14ac:dyDescent="0.3">
      <c r="A574" t="s">
        <v>1351</v>
      </c>
      <c r="B574" t="s">
        <v>1352</v>
      </c>
      <c r="C574" s="1">
        <v>45870</v>
      </c>
      <c r="D574" t="s">
        <v>406</v>
      </c>
      <c r="E574" t="s">
        <v>407</v>
      </c>
      <c r="F574" t="s">
        <v>55</v>
      </c>
      <c r="G574" t="s">
        <v>91</v>
      </c>
      <c r="H574" t="s">
        <v>120</v>
      </c>
      <c r="I574" t="s">
        <v>114</v>
      </c>
      <c r="J574" t="s">
        <v>115</v>
      </c>
      <c r="K574" t="s">
        <v>65</v>
      </c>
      <c r="L574">
        <v>2</v>
      </c>
      <c r="M574">
        <v>55000</v>
      </c>
      <c r="N574">
        <v>5</v>
      </c>
      <c r="O574">
        <v>104500</v>
      </c>
      <c r="P574">
        <v>17360.03</v>
      </c>
      <c r="Q574" t="s">
        <v>28</v>
      </c>
      <c r="R574" t="s">
        <v>29</v>
      </c>
      <c r="S574" t="s">
        <v>110</v>
      </c>
    </row>
    <row r="575" spans="1:19" x14ac:dyDescent="0.3">
      <c r="A575" t="s">
        <v>1353</v>
      </c>
      <c r="B575" t="s">
        <v>1354</v>
      </c>
      <c r="C575" s="1">
        <v>45956</v>
      </c>
      <c r="D575" t="s">
        <v>308</v>
      </c>
      <c r="E575" t="s">
        <v>309</v>
      </c>
      <c r="F575" t="s">
        <v>34</v>
      </c>
      <c r="G575" t="s">
        <v>91</v>
      </c>
      <c r="H575" t="s">
        <v>177</v>
      </c>
      <c r="I575" t="s">
        <v>126</v>
      </c>
      <c r="J575" t="s">
        <v>127</v>
      </c>
      <c r="K575" t="s">
        <v>95</v>
      </c>
      <c r="L575">
        <v>1</v>
      </c>
      <c r="M575">
        <v>600</v>
      </c>
      <c r="N575">
        <v>0</v>
      </c>
      <c r="O575">
        <v>600</v>
      </c>
      <c r="P575">
        <v>232.86</v>
      </c>
      <c r="Q575" t="s">
        <v>121</v>
      </c>
      <c r="R575" t="s">
        <v>49</v>
      </c>
      <c r="S575" t="s">
        <v>86</v>
      </c>
    </row>
    <row r="576" spans="1:19" x14ac:dyDescent="0.3">
      <c r="A576" t="s">
        <v>1355</v>
      </c>
      <c r="B576" s="1">
        <v>45763</v>
      </c>
      <c r="C576" s="1">
        <v>45770</v>
      </c>
      <c r="D576" t="s">
        <v>1356</v>
      </c>
      <c r="E576" t="s">
        <v>1357</v>
      </c>
      <c r="F576" t="s">
        <v>55</v>
      </c>
      <c r="G576" t="s">
        <v>44</v>
      </c>
      <c r="H576" t="s">
        <v>24</v>
      </c>
      <c r="I576" t="s">
        <v>25</v>
      </c>
      <c r="J576" t="s">
        <v>26</v>
      </c>
      <c r="K576" t="s">
        <v>27</v>
      </c>
      <c r="M576">
        <v>7000</v>
      </c>
      <c r="N576">
        <v>5</v>
      </c>
      <c r="O576">
        <v>13300</v>
      </c>
      <c r="P576">
        <v>2841.18</v>
      </c>
      <c r="Q576" t="s">
        <v>39</v>
      </c>
      <c r="R576" t="s">
        <v>56</v>
      </c>
      <c r="S576" t="s">
        <v>30</v>
      </c>
    </row>
    <row r="577" spans="1:19" x14ac:dyDescent="0.3">
      <c r="A577" t="s">
        <v>1358</v>
      </c>
      <c r="B577" s="1">
        <v>45652</v>
      </c>
      <c r="C577" s="1">
        <v>45689</v>
      </c>
      <c r="D577" t="s">
        <v>546</v>
      </c>
      <c r="E577" t="s">
        <v>547</v>
      </c>
      <c r="F577" t="s">
        <v>34</v>
      </c>
      <c r="G577" t="s">
        <v>91</v>
      </c>
      <c r="H577" t="s">
        <v>92</v>
      </c>
      <c r="I577" t="s">
        <v>46</v>
      </c>
      <c r="J577" t="s">
        <v>47</v>
      </c>
      <c r="K577" t="s">
        <v>48</v>
      </c>
      <c r="L577">
        <v>1</v>
      </c>
      <c r="M577">
        <v>180</v>
      </c>
      <c r="N577">
        <v>10</v>
      </c>
      <c r="O577">
        <v>162</v>
      </c>
      <c r="P577">
        <v>69.14</v>
      </c>
      <c r="Q577" t="s">
        <v>28</v>
      </c>
      <c r="R577" t="s">
        <v>49</v>
      </c>
      <c r="S577" t="s">
        <v>30</v>
      </c>
    </row>
    <row r="578" spans="1:19" x14ac:dyDescent="0.3">
      <c r="A578" t="s">
        <v>1359</v>
      </c>
      <c r="B578" s="2">
        <v>45304</v>
      </c>
      <c r="C578" s="2">
        <v>45307</v>
      </c>
      <c r="D578" t="s">
        <v>721</v>
      </c>
      <c r="E578" t="s">
        <v>722</v>
      </c>
      <c r="F578" t="s">
        <v>34</v>
      </c>
      <c r="G578" t="s">
        <v>35</v>
      </c>
      <c r="H578" t="s">
        <v>258</v>
      </c>
      <c r="I578" t="s">
        <v>114</v>
      </c>
      <c r="J578" t="s">
        <v>115</v>
      </c>
      <c r="K578" t="s">
        <v>65</v>
      </c>
      <c r="L578">
        <v>1</v>
      </c>
      <c r="M578">
        <v>55000</v>
      </c>
      <c r="N578">
        <v>5</v>
      </c>
      <c r="O578">
        <v>52250</v>
      </c>
      <c r="P578">
        <v>7952.78</v>
      </c>
      <c r="Q578" t="s">
        <v>121</v>
      </c>
      <c r="R578" t="s">
        <v>29</v>
      </c>
      <c r="S578" t="s">
        <v>40</v>
      </c>
    </row>
    <row r="579" spans="1:19" x14ac:dyDescent="0.3">
      <c r="A579" t="s">
        <v>1360</v>
      </c>
      <c r="B579" t="s">
        <v>1361</v>
      </c>
      <c r="C579" s="1">
        <v>45966</v>
      </c>
      <c r="D579" t="s">
        <v>1218</v>
      </c>
      <c r="E579" t="s">
        <v>1219</v>
      </c>
      <c r="F579" t="s">
        <v>34</v>
      </c>
      <c r="G579" t="s">
        <v>61</v>
      </c>
      <c r="H579" t="s">
        <v>62</v>
      </c>
      <c r="I579" t="s">
        <v>25</v>
      </c>
      <c r="J579" t="s">
        <v>26</v>
      </c>
      <c r="K579" t="s">
        <v>27</v>
      </c>
      <c r="L579">
        <v>2</v>
      </c>
      <c r="M579">
        <v>7000</v>
      </c>
      <c r="N579">
        <v>20</v>
      </c>
      <c r="O579">
        <v>11200</v>
      </c>
      <c r="P579">
        <v>2641.9</v>
      </c>
      <c r="Q579" t="s">
        <v>156</v>
      </c>
      <c r="R579" t="s">
        <v>49</v>
      </c>
      <c r="S579" t="s">
        <v>50</v>
      </c>
    </row>
    <row r="580" spans="1:19" x14ac:dyDescent="0.3">
      <c r="A580" t="s">
        <v>1362</v>
      </c>
      <c r="B580" s="1">
        <v>45855</v>
      </c>
      <c r="C580" s="2">
        <v>45858</v>
      </c>
      <c r="D580" t="s">
        <v>1301</v>
      </c>
      <c r="E580" t="s">
        <v>1363</v>
      </c>
      <c r="F580" t="s">
        <v>23</v>
      </c>
      <c r="G580" t="s">
        <v>91</v>
      </c>
      <c r="H580" t="s">
        <v>120</v>
      </c>
      <c r="I580" t="s">
        <v>63</v>
      </c>
      <c r="J580" t="s">
        <v>64</v>
      </c>
      <c r="K580" t="s">
        <v>65</v>
      </c>
      <c r="L580">
        <v>1</v>
      </c>
      <c r="M580">
        <v>25000</v>
      </c>
      <c r="N580">
        <v>5</v>
      </c>
      <c r="O580">
        <v>23750</v>
      </c>
      <c r="P580">
        <v>3419.67</v>
      </c>
      <c r="Q580" t="s">
        <v>28</v>
      </c>
      <c r="R580" t="s">
        <v>49</v>
      </c>
      <c r="S580" t="s">
        <v>86</v>
      </c>
    </row>
    <row r="581" spans="1:19" x14ac:dyDescent="0.3">
      <c r="A581" t="s">
        <v>1364</v>
      </c>
      <c r="B581" s="1">
        <v>45330</v>
      </c>
      <c r="C581" s="1">
        <v>45338</v>
      </c>
      <c r="D581" t="s">
        <v>990</v>
      </c>
      <c r="E581" t="s">
        <v>991</v>
      </c>
      <c r="F581" t="s">
        <v>23</v>
      </c>
      <c r="G581" t="s">
        <v>61</v>
      </c>
      <c r="H581" t="s">
        <v>62</v>
      </c>
      <c r="I581" t="s">
        <v>114</v>
      </c>
      <c r="J581" t="s">
        <v>115</v>
      </c>
      <c r="K581" t="s">
        <v>65</v>
      </c>
      <c r="L581">
        <v>2</v>
      </c>
      <c r="M581">
        <v>55000</v>
      </c>
      <c r="N581">
        <v>15</v>
      </c>
      <c r="O581">
        <v>93500</v>
      </c>
      <c r="P581">
        <v>14262.27</v>
      </c>
      <c r="Q581" t="s">
        <v>156</v>
      </c>
      <c r="R581" t="s">
        <v>29</v>
      </c>
      <c r="S581" t="s">
        <v>50</v>
      </c>
    </row>
    <row r="582" spans="1:19" x14ac:dyDescent="0.3">
      <c r="A582" t="s">
        <v>1365</v>
      </c>
      <c r="B582" s="1">
        <v>45344</v>
      </c>
      <c r="C582" s="1">
        <v>45346</v>
      </c>
      <c r="D582" t="s">
        <v>959</v>
      </c>
      <c r="E582" t="s">
        <v>960</v>
      </c>
      <c r="F582" t="s">
        <v>34</v>
      </c>
      <c r="G582" t="s">
        <v>35</v>
      </c>
      <c r="H582" t="s">
        <v>187</v>
      </c>
      <c r="I582" t="s">
        <v>25</v>
      </c>
      <c r="J582" t="s">
        <v>26</v>
      </c>
      <c r="K582" t="s">
        <v>27</v>
      </c>
      <c r="L582">
        <v>10</v>
      </c>
      <c r="M582">
        <v>7000</v>
      </c>
      <c r="N582">
        <v>15</v>
      </c>
      <c r="O582">
        <v>2380000</v>
      </c>
      <c r="Q582" t="s">
        <v>28</v>
      </c>
      <c r="R582" t="s">
        <v>49</v>
      </c>
      <c r="S582" t="s">
        <v>30</v>
      </c>
    </row>
    <row r="583" spans="1:19" x14ac:dyDescent="0.3">
      <c r="A583" t="s">
        <v>1366</v>
      </c>
      <c r="B583" s="1">
        <v>45404</v>
      </c>
      <c r="C583" s="1">
        <v>45407</v>
      </c>
      <c r="D583" t="s">
        <v>793</v>
      </c>
      <c r="E583" t="s">
        <v>794</v>
      </c>
      <c r="F583" t="s">
        <v>23</v>
      </c>
      <c r="G583" t="s">
        <v>91</v>
      </c>
      <c r="H583" t="s">
        <v>92</v>
      </c>
      <c r="I583" t="s">
        <v>25</v>
      </c>
      <c r="J583" t="s">
        <v>26</v>
      </c>
      <c r="K583" t="s">
        <v>27</v>
      </c>
      <c r="L583">
        <v>10</v>
      </c>
      <c r="M583">
        <v>7000</v>
      </c>
      <c r="N583">
        <v>5</v>
      </c>
      <c r="O583">
        <v>66500</v>
      </c>
      <c r="P583">
        <v>15667.17</v>
      </c>
      <c r="Q583" t="s">
        <v>28</v>
      </c>
      <c r="R583" t="s">
        <v>56</v>
      </c>
      <c r="S583" t="s">
        <v>50</v>
      </c>
    </row>
    <row r="584" spans="1:19" x14ac:dyDescent="0.3">
      <c r="A584" t="s">
        <v>1367</v>
      </c>
      <c r="B584" s="2">
        <v>45837</v>
      </c>
      <c r="C584" s="1">
        <v>45842</v>
      </c>
      <c r="D584" t="s">
        <v>731</v>
      </c>
      <c r="E584" t="s">
        <v>732</v>
      </c>
      <c r="F584" t="s">
        <v>34</v>
      </c>
      <c r="G584" t="s">
        <v>44</v>
      </c>
      <c r="H584" t="s">
        <v>155</v>
      </c>
      <c r="I584" t="s">
        <v>37</v>
      </c>
      <c r="J584" t="s">
        <v>38</v>
      </c>
      <c r="K584" t="s">
        <v>27</v>
      </c>
      <c r="L584">
        <v>2</v>
      </c>
      <c r="M584">
        <v>9500</v>
      </c>
      <c r="N584">
        <v>15</v>
      </c>
      <c r="O584">
        <v>16150</v>
      </c>
      <c r="P584">
        <v>2342.31</v>
      </c>
      <c r="Q584" t="s">
        <v>74</v>
      </c>
      <c r="R584" t="s">
        <v>49</v>
      </c>
      <c r="S584" t="s">
        <v>40</v>
      </c>
    </row>
    <row r="585" spans="1:19" x14ac:dyDescent="0.3">
      <c r="A585" t="s">
        <v>1368</v>
      </c>
      <c r="B585" s="1">
        <v>45690</v>
      </c>
      <c r="C585" s="1">
        <v>45932</v>
      </c>
      <c r="D585" t="s">
        <v>1369</v>
      </c>
      <c r="E585" t="s">
        <v>1370</v>
      </c>
      <c r="F585" t="s">
        <v>55</v>
      </c>
      <c r="G585" t="s">
        <v>44</v>
      </c>
      <c r="H585" t="s">
        <v>155</v>
      </c>
      <c r="I585" t="s">
        <v>147</v>
      </c>
      <c r="J585" t="s">
        <v>148</v>
      </c>
      <c r="K585" t="s">
        <v>48</v>
      </c>
      <c r="L585">
        <v>1</v>
      </c>
      <c r="M585">
        <v>250</v>
      </c>
      <c r="N585">
        <v>10</v>
      </c>
      <c r="O585">
        <v>225</v>
      </c>
      <c r="P585">
        <v>86.16</v>
      </c>
      <c r="Q585" t="s">
        <v>39</v>
      </c>
      <c r="R585" t="s">
        <v>49</v>
      </c>
      <c r="S585" t="s">
        <v>86</v>
      </c>
    </row>
    <row r="586" spans="1:19" x14ac:dyDescent="0.3">
      <c r="A586" t="s">
        <v>1371</v>
      </c>
      <c r="B586" t="s">
        <v>1372</v>
      </c>
      <c r="C586" s="2">
        <v>45527</v>
      </c>
      <c r="D586" t="s">
        <v>1015</v>
      </c>
      <c r="E586" t="s">
        <v>1016</v>
      </c>
      <c r="F586" t="s">
        <v>23</v>
      </c>
      <c r="G586" t="s">
        <v>44</v>
      </c>
      <c r="H586" t="s">
        <v>45</v>
      </c>
      <c r="I586" t="s">
        <v>71</v>
      </c>
      <c r="J586" t="s">
        <v>72</v>
      </c>
      <c r="K586" t="s">
        <v>73</v>
      </c>
      <c r="L586">
        <v>10</v>
      </c>
      <c r="M586">
        <v>3500</v>
      </c>
      <c r="N586">
        <v>5</v>
      </c>
      <c r="O586">
        <v>33250</v>
      </c>
      <c r="P586">
        <v>11524.29</v>
      </c>
      <c r="Q586" t="s">
        <v>121</v>
      </c>
      <c r="R586" t="s">
        <v>29</v>
      </c>
      <c r="S586" t="s">
        <v>110</v>
      </c>
    </row>
    <row r="587" spans="1:19" x14ac:dyDescent="0.3">
      <c r="A587" t="s">
        <v>1373</v>
      </c>
      <c r="B587" s="2">
        <v>45305</v>
      </c>
      <c r="C587" s="1">
        <v>45308</v>
      </c>
      <c r="D587" t="s">
        <v>509</v>
      </c>
      <c r="E587" t="s">
        <v>510</v>
      </c>
      <c r="F587" t="s">
        <v>23</v>
      </c>
      <c r="G587" t="s">
        <v>91</v>
      </c>
      <c r="H587" t="s">
        <v>120</v>
      </c>
      <c r="I587" t="s">
        <v>79</v>
      </c>
      <c r="J587" t="s">
        <v>80</v>
      </c>
      <c r="K587" t="s">
        <v>65</v>
      </c>
      <c r="L587">
        <v>3</v>
      </c>
      <c r="M587">
        <v>3000</v>
      </c>
      <c r="N587">
        <v>5</v>
      </c>
      <c r="O587">
        <v>8550</v>
      </c>
      <c r="P587">
        <v>2138.2399999999998</v>
      </c>
      <c r="Q587" t="s">
        <v>74</v>
      </c>
      <c r="R587" t="s">
        <v>29</v>
      </c>
      <c r="S587" t="s">
        <v>50</v>
      </c>
    </row>
    <row r="588" spans="1:19" x14ac:dyDescent="0.3">
      <c r="A588" t="s">
        <v>1374</v>
      </c>
      <c r="B588" s="1">
        <v>45937</v>
      </c>
      <c r="C588" s="1">
        <v>45939</v>
      </c>
      <c r="D588" t="s">
        <v>150</v>
      </c>
      <c r="E588" t="s">
        <v>151</v>
      </c>
      <c r="F588" t="s">
        <v>34</v>
      </c>
      <c r="G588" t="s">
        <v>35</v>
      </c>
      <c r="H588" t="s">
        <v>36</v>
      </c>
      <c r="I588" t="s">
        <v>103</v>
      </c>
      <c r="J588" t="s">
        <v>104</v>
      </c>
      <c r="K588" t="s">
        <v>65</v>
      </c>
      <c r="L588">
        <v>4</v>
      </c>
      <c r="M588">
        <v>8000</v>
      </c>
      <c r="N588">
        <v>15</v>
      </c>
      <c r="O588">
        <v>27200</v>
      </c>
      <c r="P588">
        <v>4894.8599999999997</v>
      </c>
      <c r="Q588" t="s">
        <v>156</v>
      </c>
      <c r="R588" t="s">
        <v>29</v>
      </c>
      <c r="S588" t="s">
        <v>50</v>
      </c>
    </row>
    <row r="589" spans="1:19" x14ac:dyDescent="0.3">
      <c r="A589" t="s">
        <v>1375</v>
      </c>
      <c r="B589" s="1">
        <v>45621</v>
      </c>
      <c r="C589" s="2">
        <v>45623</v>
      </c>
      <c r="D589" t="s">
        <v>1376</v>
      </c>
      <c r="E589" t="s">
        <v>1377</v>
      </c>
      <c r="F589" t="s">
        <v>34</v>
      </c>
      <c r="G589" t="s">
        <v>61</v>
      </c>
      <c r="H589" t="s">
        <v>125</v>
      </c>
      <c r="I589" t="s">
        <v>103</v>
      </c>
      <c r="J589" t="s">
        <v>104</v>
      </c>
      <c r="K589" t="s">
        <v>65</v>
      </c>
      <c r="L589">
        <v>5</v>
      </c>
      <c r="M589">
        <v>8000</v>
      </c>
      <c r="N589">
        <v>0</v>
      </c>
      <c r="O589">
        <v>40000</v>
      </c>
      <c r="Q589" t="s">
        <v>39</v>
      </c>
      <c r="R589" t="s">
        <v>49</v>
      </c>
      <c r="S589" t="s">
        <v>86</v>
      </c>
    </row>
    <row r="590" spans="1:19" x14ac:dyDescent="0.3">
      <c r="A590" t="s">
        <v>1378</v>
      </c>
      <c r="B590" s="1">
        <v>45849</v>
      </c>
      <c r="C590" s="1">
        <v>45973</v>
      </c>
      <c r="D590" t="s">
        <v>1075</v>
      </c>
      <c r="E590" t="s">
        <v>1076</v>
      </c>
      <c r="F590" t="s">
        <v>55</v>
      </c>
      <c r="G590" t="s">
        <v>61</v>
      </c>
      <c r="H590" t="s">
        <v>125</v>
      </c>
      <c r="I590" t="s">
        <v>114</v>
      </c>
      <c r="J590" t="s">
        <v>115</v>
      </c>
      <c r="K590" t="s">
        <v>65</v>
      </c>
      <c r="L590">
        <v>1</v>
      </c>
      <c r="M590">
        <v>55000</v>
      </c>
      <c r="N590">
        <v>10</v>
      </c>
      <c r="O590">
        <v>49500</v>
      </c>
      <c r="P590">
        <v>6443.03</v>
      </c>
      <c r="Q590" t="s">
        <v>28</v>
      </c>
      <c r="R590" t="s">
        <v>49</v>
      </c>
      <c r="S590" t="s">
        <v>40</v>
      </c>
    </row>
    <row r="591" spans="1:19" x14ac:dyDescent="0.3">
      <c r="A591" t="s">
        <v>1379</v>
      </c>
      <c r="B591" s="1">
        <v>45805</v>
      </c>
      <c r="C591" s="2">
        <v>45810</v>
      </c>
      <c r="D591" t="s">
        <v>1380</v>
      </c>
      <c r="E591" t="s">
        <v>1381</v>
      </c>
      <c r="F591" t="s">
        <v>55</v>
      </c>
      <c r="G591" t="s">
        <v>61</v>
      </c>
      <c r="H591" t="s">
        <v>78</v>
      </c>
      <c r="I591" t="s">
        <v>63</v>
      </c>
      <c r="J591" t="s">
        <v>64</v>
      </c>
      <c r="K591" t="s">
        <v>65</v>
      </c>
      <c r="L591">
        <v>1</v>
      </c>
      <c r="M591">
        <v>25000</v>
      </c>
      <c r="N591">
        <v>5</v>
      </c>
      <c r="O591">
        <v>23750</v>
      </c>
      <c r="P591">
        <v>2554.0100000000002</v>
      </c>
      <c r="Q591" t="s">
        <v>74</v>
      </c>
      <c r="R591" t="s">
        <v>29</v>
      </c>
      <c r="S591" t="s">
        <v>50</v>
      </c>
    </row>
    <row r="592" spans="1:19" x14ac:dyDescent="0.3">
      <c r="A592" t="s">
        <v>1382</v>
      </c>
      <c r="B592" s="1">
        <v>45349</v>
      </c>
      <c r="C592" s="2">
        <v>45351</v>
      </c>
      <c r="D592" t="s">
        <v>247</v>
      </c>
      <c r="E592" t="s">
        <v>248</v>
      </c>
      <c r="F592" t="s">
        <v>34</v>
      </c>
      <c r="G592" t="s">
        <v>61</v>
      </c>
      <c r="H592" t="s">
        <v>78</v>
      </c>
      <c r="I592" t="s">
        <v>37</v>
      </c>
      <c r="J592" t="s">
        <v>38</v>
      </c>
      <c r="K592" t="s">
        <v>27</v>
      </c>
      <c r="L592">
        <v>1</v>
      </c>
      <c r="M592">
        <v>9500</v>
      </c>
      <c r="N592">
        <v>15</v>
      </c>
      <c r="O592">
        <v>8075</v>
      </c>
      <c r="P592">
        <v>1158.1600000000001</v>
      </c>
      <c r="Q592" t="s">
        <v>121</v>
      </c>
      <c r="R592" t="s">
        <v>56</v>
      </c>
      <c r="S592" t="s">
        <v>40</v>
      </c>
    </row>
    <row r="593" spans="1:19" x14ac:dyDescent="0.3">
      <c r="A593" t="s">
        <v>1383</v>
      </c>
      <c r="B593" s="1">
        <v>45817</v>
      </c>
      <c r="C593" s="2">
        <v>45910</v>
      </c>
      <c r="D593" t="s">
        <v>1205</v>
      </c>
      <c r="E593" t="s">
        <v>1206</v>
      </c>
      <c r="F593" t="s">
        <v>34</v>
      </c>
      <c r="G593" t="s">
        <v>44</v>
      </c>
      <c r="H593" t="s">
        <v>45</v>
      </c>
      <c r="I593" t="s">
        <v>134</v>
      </c>
      <c r="J593" t="s">
        <v>135</v>
      </c>
      <c r="K593" t="s">
        <v>27</v>
      </c>
      <c r="L593">
        <v>4</v>
      </c>
      <c r="M593">
        <v>6000</v>
      </c>
      <c r="N593">
        <v>0</v>
      </c>
      <c r="O593">
        <v>24000</v>
      </c>
      <c r="P593">
        <v>5613.68</v>
      </c>
      <c r="Q593" t="s">
        <v>156</v>
      </c>
      <c r="R593" t="s">
        <v>56</v>
      </c>
      <c r="S593" t="s">
        <v>86</v>
      </c>
    </row>
    <row r="594" spans="1:19" x14ac:dyDescent="0.3">
      <c r="A594" t="s">
        <v>1384</v>
      </c>
      <c r="B594" s="1">
        <v>45641</v>
      </c>
      <c r="C594" s="1">
        <v>45649</v>
      </c>
      <c r="D594" t="s">
        <v>770</v>
      </c>
      <c r="E594" t="s">
        <v>771</v>
      </c>
      <c r="F594" t="s">
        <v>34</v>
      </c>
      <c r="G594" t="s">
        <v>44</v>
      </c>
      <c r="H594" t="s">
        <v>161</v>
      </c>
      <c r="I594" t="s">
        <v>71</v>
      </c>
      <c r="J594" t="s">
        <v>72</v>
      </c>
      <c r="K594" t="s">
        <v>73</v>
      </c>
      <c r="L594">
        <v>2</v>
      </c>
      <c r="M594">
        <v>3500</v>
      </c>
      <c r="N594">
        <v>0</v>
      </c>
      <c r="O594">
        <v>7000</v>
      </c>
      <c r="P594">
        <v>2090.15</v>
      </c>
      <c r="Q594" t="s">
        <v>156</v>
      </c>
      <c r="R594" t="s">
        <v>49</v>
      </c>
      <c r="S594" t="s">
        <v>86</v>
      </c>
    </row>
    <row r="595" spans="1:19" x14ac:dyDescent="0.3">
      <c r="A595" t="s">
        <v>1385</v>
      </c>
      <c r="B595" s="2">
        <v>45933</v>
      </c>
      <c r="C595" s="1">
        <v>45939</v>
      </c>
      <c r="D595" t="s">
        <v>924</v>
      </c>
      <c r="E595" t="s">
        <v>925</v>
      </c>
      <c r="F595" t="s">
        <v>34</v>
      </c>
      <c r="G595" t="s">
        <v>35</v>
      </c>
      <c r="H595" t="s">
        <v>258</v>
      </c>
      <c r="I595" t="s">
        <v>147</v>
      </c>
      <c r="J595" t="s">
        <v>148</v>
      </c>
      <c r="K595" t="s">
        <v>48</v>
      </c>
      <c r="L595">
        <v>2</v>
      </c>
      <c r="M595">
        <v>250</v>
      </c>
      <c r="N595">
        <v>0</v>
      </c>
      <c r="O595">
        <v>500</v>
      </c>
      <c r="P595">
        <v>142.29</v>
      </c>
      <c r="Q595" t="s">
        <v>74</v>
      </c>
      <c r="R595" t="s">
        <v>49</v>
      </c>
      <c r="S595" t="s">
        <v>30</v>
      </c>
    </row>
    <row r="596" spans="1:19" x14ac:dyDescent="0.3">
      <c r="A596" t="s">
        <v>1386</v>
      </c>
      <c r="B596" s="1">
        <v>45735</v>
      </c>
      <c r="C596" s="2">
        <v>45741</v>
      </c>
      <c r="D596" t="s">
        <v>172</v>
      </c>
      <c r="E596" t="s">
        <v>173</v>
      </c>
      <c r="F596" t="s">
        <v>55</v>
      </c>
      <c r="G596" t="s">
        <v>91</v>
      </c>
      <c r="H596" t="s">
        <v>177</v>
      </c>
      <c r="I596" t="s">
        <v>134</v>
      </c>
      <c r="J596" t="s">
        <v>135</v>
      </c>
      <c r="K596" t="s">
        <v>27</v>
      </c>
      <c r="L596">
        <v>1</v>
      </c>
      <c r="M596">
        <v>6000</v>
      </c>
      <c r="N596">
        <v>0</v>
      </c>
      <c r="O596">
        <v>6000</v>
      </c>
      <c r="P596">
        <v>1045.1400000000001</v>
      </c>
      <c r="Q596" t="s">
        <v>39</v>
      </c>
      <c r="R596" t="s">
        <v>49</v>
      </c>
      <c r="S596" t="s">
        <v>50</v>
      </c>
    </row>
    <row r="597" spans="1:19" x14ac:dyDescent="0.3">
      <c r="A597" t="s">
        <v>1387</v>
      </c>
      <c r="B597" s="1">
        <v>45466</v>
      </c>
      <c r="C597" s="1">
        <v>45469</v>
      </c>
      <c r="D597" t="s">
        <v>1388</v>
      </c>
      <c r="E597" t="s">
        <v>1389</v>
      </c>
      <c r="F597" t="s">
        <v>34</v>
      </c>
      <c r="G597" t="s">
        <v>61</v>
      </c>
      <c r="H597" t="s">
        <v>78</v>
      </c>
      <c r="I597" t="s">
        <v>147</v>
      </c>
      <c r="J597" t="s">
        <v>148</v>
      </c>
      <c r="K597" t="s">
        <v>48</v>
      </c>
      <c r="L597">
        <v>1</v>
      </c>
      <c r="M597">
        <v>250</v>
      </c>
      <c r="N597">
        <v>5</v>
      </c>
      <c r="O597">
        <v>237.5</v>
      </c>
      <c r="P597">
        <v>89.33</v>
      </c>
      <c r="R597" t="s">
        <v>56</v>
      </c>
      <c r="S597" t="s">
        <v>40</v>
      </c>
    </row>
    <row r="598" spans="1:19" x14ac:dyDescent="0.3">
      <c r="A598" t="s">
        <v>1390</v>
      </c>
      <c r="B598" s="1">
        <v>45994</v>
      </c>
      <c r="C598" s="2">
        <v>46001</v>
      </c>
      <c r="D598" t="s">
        <v>413</v>
      </c>
      <c r="E598" t="s">
        <v>1391</v>
      </c>
      <c r="F598" t="s">
        <v>55</v>
      </c>
      <c r="G598" t="s">
        <v>91</v>
      </c>
      <c r="H598" t="s">
        <v>120</v>
      </c>
      <c r="I598" t="s">
        <v>79</v>
      </c>
      <c r="J598" t="s">
        <v>80</v>
      </c>
      <c r="K598" t="s">
        <v>65</v>
      </c>
      <c r="L598">
        <v>2</v>
      </c>
      <c r="M598">
        <v>3000</v>
      </c>
      <c r="N598">
        <v>10</v>
      </c>
      <c r="O598">
        <v>5400</v>
      </c>
      <c r="P598">
        <v>1178.6099999999999</v>
      </c>
      <c r="Q598" t="s">
        <v>28</v>
      </c>
      <c r="R598" t="s">
        <v>29</v>
      </c>
      <c r="S598" t="s">
        <v>86</v>
      </c>
    </row>
    <row r="599" spans="1:19" x14ac:dyDescent="0.3">
      <c r="A599" t="s">
        <v>1392</v>
      </c>
      <c r="B599" s="1">
        <v>45734</v>
      </c>
      <c r="C599" s="1">
        <v>45739</v>
      </c>
      <c r="D599" t="s">
        <v>421</v>
      </c>
      <c r="E599" t="s">
        <v>422</v>
      </c>
      <c r="F599" t="s">
        <v>34</v>
      </c>
      <c r="G599" t="s">
        <v>61</v>
      </c>
      <c r="H599" t="s">
        <v>211</v>
      </c>
      <c r="I599" t="s">
        <v>147</v>
      </c>
      <c r="J599" t="s">
        <v>148</v>
      </c>
      <c r="K599" t="s">
        <v>48</v>
      </c>
      <c r="L599">
        <v>2</v>
      </c>
      <c r="M599">
        <v>250</v>
      </c>
      <c r="N599">
        <v>0</v>
      </c>
      <c r="O599">
        <v>500</v>
      </c>
      <c r="P599">
        <v>209.16</v>
      </c>
      <c r="Q599" t="s">
        <v>156</v>
      </c>
      <c r="R599" t="s">
        <v>56</v>
      </c>
      <c r="S599" t="s">
        <v>86</v>
      </c>
    </row>
    <row r="600" spans="1:19" x14ac:dyDescent="0.3">
      <c r="A600" t="s">
        <v>1393</v>
      </c>
      <c r="B600" s="2">
        <v>45411</v>
      </c>
      <c r="C600" s="1">
        <v>45415</v>
      </c>
      <c r="D600" t="s">
        <v>1394</v>
      </c>
      <c r="E600" t="s">
        <v>1395</v>
      </c>
      <c r="F600" t="s">
        <v>55</v>
      </c>
      <c r="G600" t="s">
        <v>61</v>
      </c>
      <c r="H600" t="s">
        <v>211</v>
      </c>
      <c r="I600" t="s">
        <v>114</v>
      </c>
      <c r="J600" t="s">
        <v>115</v>
      </c>
      <c r="K600" t="s">
        <v>65</v>
      </c>
      <c r="L600">
        <v>4</v>
      </c>
      <c r="M600">
        <v>55000</v>
      </c>
      <c r="N600">
        <v>20</v>
      </c>
      <c r="O600">
        <v>176000</v>
      </c>
      <c r="P600">
        <v>27082.44</v>
      </c>
      <c r="Q600" t="s">
        <v>66</v>
      </c>
      <c r="R600" t="s">
        <v>29</v>
      </c>
      <c r="S600" t="s">
        <v>50</v>
      </c>
    </row>
    <row r="601" spans="1:19" x14ac:dyDescent="0.3">
      <c r="A601" t="s">
        <v>1396</v>
      </c>
      <c r="B601" s="2">
        <v>45904</v>
      </c>
      <c r="C601" s="2">
        <v>45909</v>
      </c>
      <c r="D601" t="s">
        <v>554</v>
      </c>
      <c r="E601" t="s">
        <v>555</v>
      </c>
      <c r="F601" t="s">
        <v>55</v>
      </c>
      <c r="G601" t="s">
        <v>61</v>
      </c>
      <c r="H601" t="s">
        <v>62</v>
      </c>
      <c r="I601" t="s">
        <v>93</v>
      </c>
      <c r="J601" t="s">
        <v>94</v>
      </c>
      <c r="K601" t="s">
        <v>95</v>
      </c>
      <c r="L601">
        <v>3</v>
      </c>
      <c r="M601">
        <v>1800</v>
      </c>
      <c r="N601">
        <v>20</v>
      </c>
      <c r="O601">
        <v>4320</v>
      </c>
      <c r="P601">
        <v>1291.3900000000001</v>
      </c>
      <c r="Q601" t="s">
        <v>28</v>
      </c>
      <c r="R601" t="s">
        <v>49</v>
      </c>
      <c r="S601" t="s">
        <v>86</v>
      </c>
    </row>
    <row r="602" spans="1:19" x14ac:dyDescent="0.3">
      <c r="A602" t="s">
        <v>1397</v>
      </c>
      <c r="B602" s="2">
        <v>45891</v>
      </c>
      <c r="C602" s="1">
        <v>45894</v>
      </c>
      <c r="D602" t="s">
        <v>1398</v>
      </c>
      <c r="E602" t="s">
        <v>1399</v>
      </c>
      <c r="F602" t="s">
        <v>34</v>
      </c>
      <c r="G602" t="s">
        <v>91</v>
      </c>
      <c r="H602" t="s">
        <v>92</v>
      </c>
      <c r="I602" t="s">
        <v>126</v>
      </c>
      <c r="J602" t="s">
        <v>127</v>
      </c>
      <c r="K602" t="s">
        <v>95</v>
      </c>
      <c r="L602">
        <v>1</v>
      </c>
      <c r="M602">
        <v>600</v>
      </c>
      <c r="N602">
        <v>0</v>
      </c>
      <c r="O602">
        <v>600</v>
      </c>
      <c r="Q602" t="s">
        <v>121</v>
      </c>
      <c r="R602" t="s">
        <v>29</v>
      </c>
      <c r="S602" t="s">
        <v>110</v>
      </c>
    </row>
    <row r="603" spans="1:19" x14ac:dyDescent="0.3">
      <c r="A603" t="s">
        <v>1400</v>
      </c>
      <c r="B603" s="2">
        <v>45373</v>
      </c>
      <c r="C603" s="1">
        <v>45376</v>
      </c>
      <c r="D603" t="s">
        <v>1107</v>
      </c>
      <c r="E603" t="s">
        <v>1108</v>
      </c>
      <c r="F603" t="s">
        <v>55</v>
      </c>
      <c r="G603" t="s">
        <v>91</v>
      </c>
      <c r="H603" t="s">
        <v>109</v>
      </c>
      <c r="I603" t="s">
        <v>37</v>
      </c>
      <c r="J603" t="s">
        <v>38</v>
      </c>
      <c r="K603" t="s">
        <v>27</v>
      </c>
      <c r="L603">
        <v>1</v>
      </c>
      <c r="M603">
        <v>9500</v>
      </c>
      <c r="N603">
        <v>5</v>
      </c>
      <c r="O603">
        <v>9025</v>
      </c>
      <c r="P603">
        <v>1378.63</v>
      </c>
      <c r="Q603" t="s">
        <v>156</v>
      </c>
      <c r="R603" t="s">
        <v>29</v>
      </c>
      <c r="S603" t="s">
        <v>40</v>
      </c>
    </row>
    <row r="604" spans="1:19" x14ac:dyDescent="0.3">
      <c r="A604" t="s">
        <v>1401</v>
      </c>
      <c r="B604" s="1">
        <v>45971</v>
      </c>
      <c r="C604" s="2">
        <v>45976</v>
      </c>
      <c r="D604" t="s">
        <v>1402</v>
      </c>
      <c r="E604" t="s">
        <v>1403</v>
      </c>
      <c r="F604" t="s">
        <v>23</v>
      </c>
      <c r="G604" t="s">
        <v>91</v>
      </c>
      <c r="H604" t="s">
        <v>177</v>
      </c>
      <c r="I604" t="s">
        <v>46</v>
      </c>
      <c r="J604" t="s">
        <v>47</v>
      </c>
      <c r="K604" t="s">
        <v>48</v>
      </c>
      <c r="L604">
        <v>5</v>
      </c>
      <c r="M604">
        <v>180</v>
      </c>
      <c r="N604">
        <v>10</v>
      </c>
      <c r="O604">
        <v>810</v>
      </c>
      <c r="P604">
        <v>325.77</v>
      </c>
      <c r="Q604" t="s">
        <v>156</v>
      </c>
      <c r="R604" t="s">
        <v>56</v>
      </c>
      <c r="S604" t="s">
        <v>86</v>
      </c>
    </row>
    <row r="605" spans="1:19" x14ac:dyDescent="0.3">
      <c r="A605" t="s">
        <v>1404</v>
      </c>
      <c r="B605" s="2">
        <v>45845</v>
      </c>
      <c r="C605" s="1">
        <v>45968</v>
      </c>
      <c r="D605" t="s">
        <v>973</v>
      </c>
      <c r="E605" t="s">
        <v>974</v>
      </c>
      <c r="F605" t="s">
        <v>34</v>
      </c>
      <c r="G605" t="s">
        <v>91</v>
      </c>
      <c r="H605" t="s">
        <v>177</v>
      </c>
      <c r="I605" t="s">
        <v>37</v>
      </c>
      <c r="J605" t="s">
        <v>38</v>
      </c>
      <c r="K605" t="s">
        <v>27</v>
      </c>
      <c r="M605">
        <v>9500</v>
      </c>
      <c r="N605">
        <v>15</v>
      </c>
      <c r="O605">
        <v>8075</v>
      </c>
      <c r="Q605" t="s">
        <v>39</v>
      </c>
      <c r="R605" t="s">
        <v>56</v>
      </c>
      <c r="S605" t="s">
        <v>50</v>
      </c>
    </row>
    <row r="606" spans="1:19" x14ac:dyDescent="0.3">
      <c r="A606" t="s">
        <v>1405</v>
      </c>
      <c r="B606" s="2">
        <v>45676</v>
      </c>
      <c r="C606" s="1">
        <v>45678</v>
      </c>
      <c r="D606" t="s">
        <v>1135</v>
      </c>
      <c r="E606" t="s">
        <v>1136</v>
      </c>
      <c r="F606" t="s">
        <v>55</v>
      </c>
      <c r="G606" t="s">
        <v>61</v>
      </c>
      <c r="H606" t="s">
        <v>125</v>
      </c>
      <c r="I606" t="s">
        <v>79</v>
      </c>
      <c r="J606" t="s">
        <v>80</v>
      </c>
      <c r="K606" t="s">
        <v>65</v>
      </c>
      <c r="L606">
        <v>1</v>
      </c>
      <c r="M606">
        <v>3000</v>
      </c>
      <c r="N606">
        <v>0</v>
      </c>
      <c r="O606">
        <v>3000</v>
      </c>
      <c r="P606">
        <v>826.94</v>
      </c>
      <c r="Q606" t="s">
        <v>74</v>
      </c>
      <c r="R606" t="s">
        <v>56</v>
      </c>
      <c r="S606" t="s">
        <v>40</v>
      </c>
    </row>
    <row r="607" spans="1:19" x14ac:dyDescent="0.3">
      <c r="A607" t="s">
        <v>1406</v>
      </c>
      <c r="B607" s="2">
        <v>45686</v>
      </c>
      <c r="C607" t="s">
        <v>1407</v>
      </c>
      <c r="D607" t="s">
        <v>861</v>
      </c>
      <c r="E607" t="s">
        <v>862</v>
      </c>
      <c r="F607" t="s">
        <v>55</v>
      </c>
      <c r="G607" t="s">
        <v>44</v>
      </c>
      <c r="H607" t="s">
        <v>24</v>
      </c>
      <c r="I607" t="s">
        <v>71</v>
      </c>
      <c r="J607" t="s">
        <v>72</v>
      </c>
      <c r="K607" t="s">
        <v>73</v>
      </c>
      <c r="L607">
        <v>1</v>
      </c>
      <c r="M607">
        <v>3500</v>
      </c>
      <c r="N607">
        <v>0</v>
      </c>
      <c r="O607">
        <v>3500</v>
      </c>
      <c r="P607">
        <v>1102.95</v>
      </c>
      <c r="Q607" t="s">
        <v>121</v>
      </c>
      <c r="R607" t="s">
        <v>49</v>
      </c>
      <c r="S607" t="s">
        <v>86</v>
      </c>
    </row>
    <row r="608" spans="1:19" x14ac:dyDescent="0.3">
      <c r="A608" t="s">
        <v>1408</v>
      </c>
      <c r="B608" s="1">
        <v>45827</v>
      </c>
      <c r="C608" s="1">
        <v>45830</v>
      </c>
      <c r="D608" t="s">
        <v>1171</v>
      </c>
      <c r="E608" t="s">
        <v>1172</v>
      </c>
      <c r="F608" t="s">
        <v>34</v>
      </c>
      <c r="G608" t="s">
        <v>35</v>
      </c>
      <c r="H608" t="s">
        <v>85</v>
      </c>
      <c r="I608" t="s">
        <v>103</v>
      </c>
      <c r="J608" t="s">
        <v>104</v>
      </c>
      <c r="K608" t="s">
        <v>65</v>
      </c>
      <c r="L608">
        <v>4</v>
      </c>
      <c r="M608">
        <v>8000</v>
      </c>
      <c r="N608">
        <v>10</v>
      </c>
      <c r="O608">
        <v>28800</v>
      </c>
      <c r="P608">
        <v>7010.98</v>
      </c>
      <c r="Q608" t="s">
        <v>39</v>
      </c>
      <c r="R608" t="s">
        <v>29</v>
      </c>
      <c r="S608" t="s">
        <v>50</v>
      </c>
    </row>
    <row r="609" spans="1:19" x14ac:dyDescent="0.3">
      <c r="A609" t="s">
        <v>1409</v>
      </c>
      <c r="B609" s="1">
        <v>45613</v>
      </c>
      <c r="C609" s="2">
        <v>45616</v>
      </c>
      <c r="D609" t="s">
        <v>713</v>
      </c>
      <c r="E609" t="s">
        <v>714</v>
      </c>
      <c r="F609" t="s">
        <v>34</v>
      </c>
      <c r="G609" t="s">
        <v>35</v>
      </c>
      <c r="H609" t="s">
        <v>258</v>
      </c>
      <c r="I609" t="s">
        <v>71</v>
      </c>
      <c r="J609" t="s">
        <v>72</v>
      </c>
      <c r="K609" t="s">
        <v>73</v>
      </c>
      <c r="L609">
        <v>1</v>
      </c>
      <c r="M609">
        <v>3500</v>
      </c>
      <c r="N609">
        <v>0</v>
      </c>
      <c r="O609">
        <v>3500</v>
      </c>
      <c r="P609">
        <v>1187.29</v>
      </c>
      <c r="Q609" t="s">
        <v>156</v>
      </c>
      <c r="R609" t="s">
        <v>49</v>
      </c>
      <c r="S609" t="s">
        <v>30</v>
      </c>
    </row>
    <row r="610" spans="1:19" x14ac:dyDescent="0.3">
      <c r="A610" t="s">
        <v>1410</v>
      </c>
      <c r="B610" s="1">
        <v>45705</v>
      </c>
      <c r="C610" t="s">
        <v>1411</v>
      </c>
      <c r="D610" t="s">
        <v>1188</v>
      </c>
      <c r="E610" t="s">
        <v>1189</v>
      </c>
      <c r="F610" t="s">
        <v>55</v>
      </c>
      <c r="G610" t="s">
        <v>61</v>
      </c>
      <c r="H610" t="s">
        <v>125</v>
      </c>
      <c r="I610" t="s">
        <v>93</v>
      </c>
      <c r="J610" t="s">
        <v>94</v>
      </c>
      <c r="K610" t="s">
        <v>95</v>
      </c>
      <c r="L610">
        <v>1</v>
      </c>
      <c r="M610">
        <v>1800</v>
      </c>
      <c r="N610">
        <v>0</v>
      </c>
      <c r="O610">
        <v>1800</v>
      </c>
      <c r="P610">
        <v>655.71</v>
      </c>
      <c r="Q610" t="s">
        <v>121</v>
      </c>
      <c r="R610" t="s">
        <v>29</v>
      </c>
      <c r="S610" t="s">
        <v>86</v>
      </c>
    </row>
    <row r="611" spans="1:19" x14ac:dyDescent="0.3">
      <c r="A611" t="s">
        <v>1412</v>
      </c>
      <c r="B611" s="1">
        <v>45839</v>
      </c>
      <c r="C611" s="1">
        <v>45815</v>
      </c>
      <c r="D611" t="s">
        <v>217</v>
      </c>
      <c r="E611" t="s">
        <v>218</v>
      </c>
      <c r="F611" t="s">
        <v>23</v>
      </c>
      <c r="G611" t="s">
        <v>91</v>
      </c>
      <c r="H611" t="s">
        <v>109</v>
      </c>
      <c r="I611" t="s">
        <v>93</v>
      </c>
      <c r="J611" t="s">
        <v>94</v>
      </c>
      <c r="K611" t="s">
        <v>95</v>
      </c>
      <c r="L611">
        <v>3</v>
      </c>
      <c r="M611">
        <v>1800</v>
      </c>
      <c r="N611">
        <v>0</v>
      </c>
      <c r="O611">
        <v>5400</v>
      </c>
      <c r="P611">
        <v>1500.83</v>
      </c>
      <c r="Q611" t="s">
        <v>39</v>
      </c>
      <c r="R611" t="s">
        <v>29</v>
      </c>
      <c r="S611" t="s">
        <v>50</v>
      </c>
    </row>
    <row r="612" spans="1:19" x14ac:dyDescent="0.3">
      <c r="A612" t="s">
        <v>1413</v>
      </c>
      <c r="B612" s="1">
        <v>45612</v>
      </c>
      <c r="C612" s="1">
        <v>45616</v>
      </c>
      <c r="D612" t="s">
        <v>1414</v>
      </c>
      <c r="E612" t="s">
        <v>1415</v>
      </c>
      <c r="F612" t="s">
        <v>55</v>
      </c>
      <c r="G612" t="s">
        <v>44</v>
      </c>
      <c r="I612" t="s">
        <v>79</v>
      </c>
      <c r="J612" t="s">
        <v>80</v>
      </c>
      <c r="K612" t="s">
        <v>65</v>
      </c>
      <c r="L612">
        <v>2</v>
      </c>
      <c r="M612">
        <v>3000</v>
      </c>
      <c r="N612">
        <v>0</v>
      </c>
      <c r="O612">
        <v>6000</v>
      </c>
      <c r="P612">
        <v>1483.78</v>
      </c>
      <c r="Q612" t="s">
        <v>28</v>
      </c>
      <c r="R612" t="s">
        <v>49</v>
      </c>
      <c r="S612" t="s">
        <v>110</v>
      </c>
    </row>
    <row r="613" spans="1:19" x14ac:dyDescent="0.3">
      <c r="A613" t="s">
        <v>1416</v>
      </c>
      <c r="B613" s="1">
        <v>45439</v>
      </c>
      <c r="C613" s="2">
        <v>45443</v>
      </c>
      <c r="D613" t="s">
        <v>101</v>
      </c>
      <c r="E613" t="s">
        <v>102</v>
      </c>
      <c r="F613" t="s">
        <v>55</v>
      </c>
      <c r="G613" t="s">
        <v>35</v>
      </c>
      <c r="H613" t="s">
        <v>36</v>
      </c>
      <c r="I613" t="s">
        <v>71</v>
      </c>
      <c r="J613" t="s">
        <v>72</v>
      </c>
      <c r="K613" t="s">
        <v>73</v>
      </c>
      <c r="L613">
        <v>1</v>
      </c>
      <c r="M613">
        <v>3500</v>
      </c>
      <c r="N613">
        <v>0</v>
      </c>
      <c r="O613">
        <v>3500</v>
      </c>
      <c r="P613">
        <v>1059.43</v>
      </c>
      <c r="Q613" t="s">
        <v>39</v>
      </c>
      <c r="R613" t="s">
        <v>567</v>
      </c>
      <c r="S613" t="s">
        <v>50</v>
      </c>
    </row>
    <row r="614" spans="1:19" x14ac:dyDescent="0.3">
      <c r="A614" t="s">
        <v>1417</v>
      </c>
      <c r="B614" s="1">
        <v>45565</v>
      </c>
      <c r="C614" s="1">
        <v>45422</v>
      </c>
      <c r="D614" t="s">
        <v>1418</v>
      </c>
      <c r="E614" t="s">
        <v>1419</v>
      </c>
      <c r="F614" t="s">
        <v>34</v>
      </c>
      <c r="G614" t="s">
        <v>61</v>
      </c>
      <c r="H614" t="s">
        <v>211</v>
      </c>
      <c r="I614" t="s">
        <v>103</v>
      </c>
      <c r="J614" t="s">
        <v>104</v>
      </c>
      <c r="K614" t="s">
        <v>65</v>
      </c>
      <c r="L614">
        <v>1</v>
      </c>
      <c r="M614">
        <v>8000</v>
      </c>
      <c r="N614">
        <v>0</v>
      </c>
      <c r="O614">
        <v>8000</v>
      </c>
      <c r="P614">
        <v>1592.48</v>
      </c>
      <c r="Q614" t="s">
        <v>39</v>
      </c>
      <c r="R614" t="s">
        <v>49</v>
      </c>
      <c r="S614" t="s">
        <v>86</v>
      </c>
    </row>
    <row r="615" spans="1:19" x14ac:dyDescent="0.3">
      <c r="A615" t="s">
        <v>1420</v>
      </c>
      <c r="B615" t="s">
        <v>507</v>
      </c>
      <c r="C615" s="1">
        <v>45444</v>
      </c>
      <c r="D615" t="s">
        <v>428</v>
      </c>
      <c r="E615" t="s">
        <v>429</v>
      </c>
      <c r="F615" t="s">
        <v>34</v>
      </c>
      <c r="G615" t="s">
        <v>44</v>
      </c>
      <c r="H615" t="s">
        <v>45</v>
      </c>
      <c r="I615" t="s">
        <v>25</v>
      </c>
      <c r="J615" t="s">
        <v>26</v>
      </c>
      <c r="K615" t="s">
        <v>27</v>
      </c>
      <c r="L615">
        <v>-1</v>
      </c>
      <c r="M615">
        <v>7000</v>
      </c>
      <c r="N615">
        <v>20</v>
      </c>
      <c r="O615">
        <v>5600</v>
      </c>
      <c r="P615">
        <v>906.57</v>
      </c>
      <c r="Q615" t="s">
        <v>28</v>
      </c>
      <c r="R615" t="s">
        <v>56</v>
      </c>
      <c r="S615" t="s">
        <v>50</v>
      </c>
    </row>
    <row r="616" spans="1:19" x14ac:dyDescent="0.3">
      <c r="A616" t="s">
        <v>1421</v>
      </c>
      <c r="B616" s="1">
        <v>45696</v>
      </c>
      <c r="C616" s="2">
        <v>45697</v>
      </c>
      <c r="D616" t="s">
        <v>159</v>
      </c>
      <c r="E616" t="s">
        <v>160</v>
      </c>
      <c r="F616" t="s">
        <v>34</v>
      </c>
      <c r="G616" t="s">
        <v>44</v>
      </c>
      <c r="H616" t="s">
        <v>161</v>
      </c>
      <c r="I616" t="s">
        <v>25</v>
      </c>
      <c r="J616" t="s">
        <v>26</v>
      </c>
      <c r="K616" t="s">
        <v>27</v>
      </c>
      <c r="L616">
        <v>3</v>
      </c>
      <c r="M616">
        <v>7000</v>
      </c>
      <c r="N616">
        <v>0</v>
      </c>
      <c r="O616">
        <v>21000</v>
      </c>
      <c r="P616">
        <v>5022.97</v>
      </c>
      <c r="Q616" t="s">
        <v>39</v>
      </c>
      <c r="R616" t="s">
        <v>29</v>
      </c>
      <c r="S616" t="s">
        <v>110</v>
      </c>
    </row>
    <row r="617" spans="1:19" x14ac:dyDescent="0.3">
      <c r="A617" t="s">
        <v>1422</v>
      </c>
      <c r="B617" s="1">
        <v>45537</v>
      </c>
      <c r="C617" s="1">
        <v>45337</v>
      </c>
      <c r="D617" t="s">
        <v>142</v>
      </c>
      <c r="E617" t="s">
        <v>1423</v>
      </c>
      <c r="F617" t="s">
        <v>34</v>
      </c>
      <c r="G617" t="s">
        <v>44</v>
      </c>
      <c r="H617" t="s">
        <v>24</v>
      </c>
      <c r="I617" t="s">
        <v>37</v>
      </c>
      <c r="J617" t="s">
        <v>38</v>
      </c>
      <c r="K617" t="s">
        <v>27</v>
      </c>
      <c r="L617">
        <v>2</v>
      </c>
      <c r="M617">
        <v>9500</v>
      </c>
      <c r="N617">
        <v>0</v>
      </c>
      <c r="O617">
        <v>19000</v>
      </c>
      <c r="P617">
        <v>2958.9</v>
      </c>
      <c r="Q617" t="s">
        <v>74</v>
      </c>
      <c r="R617" t="s">
        <v>49</v>
      </c>
      <c r="S617" t="s">
        <v>110</v>
      </c>
    </row>
    <row r="618" spans="1:19" x14ac:dyDescent="0.3">
      <c r="A618" t="s">
        <v>1424</v>
      </c>
      <c r="B618" s="1">
        <v>45890</v>
      </c>
      <c r="C618" s="2">
        <v>45897</v>
      </c>
      <c r="D618" t="s">
        <v>713</v>
      </c>
      <c r="E618" t="s">
        <v>714</v>
      </c>
      <c r="F618" t="s">
        <v>34</v>
      </c>
      <c r="G618" t="s">
        <v>35</v>
      </c>
      <c r="H618" t="s">
        <v>258</v>
      </c>
      <c r="I618" t="s">
        <v>79</v>
      </c>
      <c r="J618" t="s">
        <v>80</v>
      </c>
      <c r="K618" t="s">
        <v>65</v>
      </c>
      <c r="L618">
        <v>1</v>
      </c>
      <c r="M618">
        <v>3000</v>
      </c>
      <c r="N618">
        <v>0</v>
      </c>
      <c r="O618">
        <v>3000</v>
      </c>
      <c r="P618">
        <v>889.61</v>
      </c>
      <c r="Q618" t="s">
        <v>28</v>
      </c>
      <c r="R618" t="s">
        <v>56</v>
      </c>
      <c r="S618" t="s">
        <v>50</v>
      </c>
    </row>
    <row r="619" spans="1:19" x14ac:dyDescent="0.3">
      <c r="A619" t="s">
        <v>1425</v>
      </c>
      <c r="B619" s="1">
        <v>45919</v>
      </c>
      <c r="C619" s="1">
        <v>45927</v>
      </c>
      <c r="D619" t="s">
        <v>1426</v>
      </c>
      <c r="E619" t="s">
        <v>1427</v>
      </c>
      <c r="F619" t="s">
        <v>23</v>
      </c>
      <c r="G619" t="s">
        <v>61</v>
      </c>
      <c r="H619" t="s">
        <v>62</v>
      </c>
      <c r="I619" t="s">
        <v>46</v>
      </c>
      <c r="J619" t="s">
        <v>47</v>
      </c>
      <c r="K619" t="s">
        <v>48</v>
      </c>
      <c r="L619">
        <v>1</v>
      </c>
      <c r="M619">
        <v>180</v>
      </c>
      <c r="N619">
        <v>15</v>
      </c>
      <c r="O619">
        <v>153</v>
      </c>
      <c r="P619">
        <v>73.930000000000007</v>
      </c>
      <c r="Q619" t="s">
        <v>28</v>
      </c>
      <c r="R619" t="s">
        <v>29</v>
      </c>
      <c r="S619" t="s">
        <v>86</v>
      </c>
    </row>
    <row r="620" spans="1:19" x14ac:dyDescent="0.3">
      <c r="A620" t="s">
        <v>1428</v>
      </c>
      <c r="B620" s="2">
        <v>45430</v>
      </c>
      <c r="C620" s="1">
        <v>45431</v>
      </c>
      <c r="D620" t="s">
        <v>1221</v>
      </c>
      <c r="E620" t="s">
        <v>1222</v>
      </c>
      <c r="F620" t="s">
        <v>55</v>
      </c>
      <c r="G620" t="s">
        <v>35</v>
      </c>
      <c r="H620" t="s">
        <v>36</v>
      </c>
      <c r="I620" t="s">
        <v>147</v>
      </c>
      <c r="J620" t="s">
        <v>148</v>
      </c>
      <c r="K620" t="s">
        <v>48</v>
      </c>
      <c r="L620">
        <v>1</v>
      </c>
      <c r="M620">
        <v>250</v>
      </c>
      <c r="N620">
        <v>20</v>
      </c>
      <c r="O620">
        <v>200</v>
      </c>
      <c r="P620">
        <v>74.28</v>
      </c>
      <c r="Q620" t="s">
        <v>74</v>
      </c>
      <c r="R620" t="s">
        <v>29</v>
      </c>
      <c r="S620" t="s">
        <v>40</v>
      </c>
    </row>
    <row r="621" spans="1:19" x14ac:dyDescent="0.3">
      <c r="A621" t="s">
        <v>1429</v>
      </c>
      <c r="B621" s="1">
        <v>45749</v>
      </c>
      <c r="C621" s="1">
        <v>45751</v>
      </c>
      <c r="D621" t="s">
        <v>524</v>
      </c>
      <c r="E621" t="s">
        <v>525</v>
      </c>
      <c r="F621" t="s">
        <v>34</v>
      </c>
      <c r="G621" t="s">
        <v>35</v>
      </c>
      <c r="I621" t="s">
        <v>46</v>
      </c>
      <c r="J621" t="s">
        <v>47</v>
      </c>
      <c r="K621" t="s">
        <v>48</v>
      </c>
      <c r="L621">
        <v>2</v>
      </c>
      <c r="M621">
        <v>180</v>
      </c>
      <c r="N621">
        <v>0</v>
      </c>
      <c r="O621">
        <v>360</v>
      </c>
      <c r="P621">
        <v>118.46</v>
      </c>
      <c r="Q621" t="s">
        <v>66</v>
      </c>
      <c r="R621" t="s">
        <v>56</v>
      </c>
      <c r="S621" t="s">
        <v>40</v>
      </c>
    </row>
    <row r="622" spans="1:19" x14ac:dyDescent="0.3">
      <c r="A622" t="s">
        <v>1430</v>
      </c>
      <c r="B622" t="s">
        <v>1431</v>
      </c>
      <c r="C622" s="2">
        <v>45710</v>
      </c>
      <c r="D622" t="s">
        <v>617</v>
      </c>
      <c r="E622" t="s">
        <v>618</v>
      </c>
      <c r="F622" t="s">
        <v>23</v>
      </c>
      <c r="G622" t="s">
        <v>91</v>
      </c>
      <c r="H622" t="s">
        <v>120</v>
      </c>
      <c r="I622" t="s">
        <v>79</v>
      </c>
      <c r="J622" t="s">
        <v>80</v>
      </c>
      <c r="K622" t="s">
        <v>65</v>
      </c>
      <c r="L622">
        <v>1</v>
      </c>
      <c r="M622">
        <v>3000</v>
      </c>
      <c r="N622">
        <v>0</v>
      </c>
      <c r="O622">
        <v>3000</v>
      </c>
      <c r="Q622" t="s">
        <v>121</v>
      </c>
      <c r="R622" t="s">
        <v>56</v>
      </c>
      <c r="S622" t="s">
        <v>110</v>
      </c>
    </row>
    <row r="623" spans="1:19" x14ac:dyDescent="0.3">
      <c r="A623" t="s">
        <v>1432</v>
      </c>
      <c r="B623" s="1">
        <v>45566</v>
      </c>
      <c r="C623" s="1">
        <v>45574</v>
      </c>
      <c r="D623" t="s">
        <v>373</v>
      </c>
      <c r="E623" t="s">
        <v>374</v>
      </c>
      <c r="F623" t="s">
        <v>55</v>
      </c>
      <c r="G623" t="s">
        <v>35</v>
      </c>
      <c r="I623" t="s">
        <v>114</v>
      </c>
      <c r="J623" t="s">
        <v>115</v>
      </c>
      <c r="K623" t="s">
        <v>65</v>
      </c>
      <c r="L623">
        <v>3</v>
      </c>
      <c r="M623">
        <v>55000</v>
      </c>
      <c r="N623">
        <v>20</v>
      </c>
      <c r="O623">
        <v>132000</v>
      </c>
      <c r="P623">
        <v>21276.86</v>
      </c>
      <c r="Q623" t="s">
        <v>74</v>
      </c>
      <c r="R623" t="s">
        <v>56</v>
      </c>
      <c r="S623" t="s">
        <v>50</v>
      </c>
    </row>
    <row r="624" spans="1:19" x14ac:dyDescent="0.3">
      <c r="A624" t="s">
        <v>1433</v>
      </c>
      <c r="B624" s="1">
        <v>45398</v>
      </c>
      <c r="C624" s="1">
        <v>45406</v>
      </c>
      <c r="D624" t="s">
        <v>830</v>
      </c>
      <c r="E624" t="s">
        <v>831</v>
      </c>
      <c r="F624" t="s">
        <v>23</v>
      </c>
      <c r="G624" t="s">
        <v>61</v>
      </c>
      <c r="H624" t="s">
        <v>125</v>
      </c>
      <c r="I624" t="s">
        <v>37</v>
      </c>
      <c r="J624" t="s">
        <v>38</v>
      </c>
      <c r="K624" t="s">
        <v>27</v>
      </c>
      <c r="L624">
        <v>2</v>
      </c>
      <c r="M624">
        <v>9500</v>
      </c>
      <c r="N624">
        <v>0</v>
      </c>
      <c r="O624">
        <v>19000</v>
      </c>
      <c r="P624">
        <v>2895.19</v>
      </c>
      <c r="Q624" t="s">
        <v>121</v>
      </c>
      <c r="R624" t="s">
        <v>29</v>
      </c>
      <c r="S624" t="s">
        <v>110</v>
      </c>
    </row>
    <row r="625" spans="1:19" x14ac:dyDescent="0.3">
      <c r="A625" t="s">
        <v>1434</v>
      </c>
      <c r="B625" s="1">
        <v>45699</v>
      </c>
      <c r="C625" s="1">
        <v>45971</v>
      </c>
      <c r="D625" t="s">
        <v>539</v>
      </c>
      <c r="E625" t="s">
        <v>540</v>
      </c>
      <c r="F625" t="s">
        <v>34</v>
      </c>
      <c r="G625" t="s">
        <v>61</v>
      </c>
      <c r="H625" t="s">
        <v>211</v>
      </c>
      <c r="I625" t="s">
        <v>93</v>
      </c>
      <c r="J625" t="s">
        <v>94</v>
      </c>
      <c r="K625" t="s">
        <v>95</v>
      </c>
      <c r="L625">
        <v>1</v>
      </c>
      <c r="M625">
        <v>1800</v>
      </c>
      <c r="N625">
        <v>0</v>
      </c>
      <c r="O625">
        <v>1800</v>
      </c>
      <c r="P625">
        <v>596.29</v>
      </c>
      <c r="Q625" t="s">
        <v>39</v>
      </c>
      <c r="R625" t="s">
        <v>29</v>
      </c>
      <c r="S625" t="s">
        <v>30</v>
      </c>
    </row>
    <row r="626" spans="1:19" x14ac:dyDescent="0.3">
      <c r="A626" t="s">
        <v>1435</v>
      </c>
      <c r="B626" s="2">
        <v>46017</v>
      </c>
      <c r="C626" s="1">
        <v>46024</v>
      </c>
      <c r="D626" t="s">
        <v>554</v>
      </c>
      <c r="E626" t="s">
        <v>555</v>
      </c>
      <c r="F626" t="s">
        <v>55</v>
      </c>
      <c r="G626" t="s">
        <v>61</v>
      </c>
      <c r="H626" t="s">
        <v>62</v>
      </c>
      <c r="I626" t="s">
        <v>37</v>
      </c>
      <c r="J626" t="s">
        <v>38</v>
      </c>
      <c r="K626" t="s">
        <v>27</v>
      </c>
      <c r="L626">
        <v>1</v>
      </c>
      <c r="M626">
        <v>9500</v>
      </c>
      <c r="N626">
        <v>15</v>
      </c>
      <c r="O626">
        <v>8075</v>
      </c>
      <c r="P626">
        <v>1653.12</v>
      </c>
      <c r="Q626" t="s">
        <v>39</v>
      </c>
      <c r="R626" t="s">
        <v>49</v>
      </c>
      <c r="S626" t="s">
        <v>50</v>
      </c>
    </row>
    <row r="627" spans="1:19" x14ac:dyDescent="0.3">
      <c r="A627" t="s">
        <v>1436</v>
      </c>
      <c r="B627" t="s">
        <v>1437</v>
      </c>
      <c r="C627" s="2">
        <v>45764</v>
      </c>
      <c r="D627" t="s">
        <v>1107</v>
      </c>
      <c r="E627" t="s">
        <v>1108</v>
      </c>
      <c r="F627" t="s">
        <v>55</v>
      </c>
      <c r="G627" t="s">
        <v>91</v>
      </c>
      <c r="I627" t="s">
        <v>93</v>
      </c>
      <c r="J627" t="s">
        <v>94</v>
      </c>
      <c r="K627" t="s">
        <v>95</v>
      </c>
      <c r="L627">
        <v>1</v>
      </c>
      <c r="M627">
        <v>1800</v>
      </c>
      <c r="N627">
        <v>0</v>
      </c>
      <c r="O627">
        <v>1800</v>
      </c>
      <c r="P627">
        <v>512.79999999999995</v>
      </c>
      <c r="R627" t="s">
        <v>56</v>
      </c>
      <c r="S627" t="s">
        <v>86</v>
      </c>
    </row>
    <row r="628" spans="1:19" x14ac:dyDescent="0.3">
      <c r="A628" t="s">
        <v>1438</v>
      </c>
      <c r="B628" s="1">
        <v>45956</v>
      </c>
      <c r="C628" s="2">
        <v>45961</v>
      </c>
      <c r="D628" t="s">
        <v>278</v>
      </c>
      <c r="E628" t="s">
        <v>279</v>
      </c>
      <c r="F628" t="s">
        <v>23</v>
      </c>
      <c r="G628" t="s">
        <v>91</v>
      </c>
      <c r="H628" t="s">
        <v>177</v>
      </c>
      <c r="I628" t="s">
        <v>126</v>
      </c>
      <c r="J628" t="s">
        <v>127</v>
      </c>
      <c r="K628" t="s">
        <v>95</v>
      </c>
      <c r="L628">
        <v>1</v>
      </c>
      <c r="M628">
        <v>600</v>
      </c>
      <c r="N628">
        <v>0</v>
      </c>
      <c r="O628">
        <v>600</v>
      </c>
      <c r="P628">
        <v>205.99</v>
      </c>
      <c r="Q628" t="s">
        <v>66</v>
      </c>
      <c r="R628" t="s">
        <v>29</v>
      </c>
      <c r="S628" t="s">
        <v>110</v>
      </c>
    </row>
    <row r="629" spans="1:19" x14ac:dyDescent="0.3">
      <c r="A629" t="s">
        <v>1439</v>
      </c>
      <c r="B629" s="1">
        <v>46018</v>
      </c>
      <c r="C629" s="1">
        <v>46021</v>
      </c>
      <c r="D629" t="s">
        <v>1135</v>
      </c>
      <c r="E629" t="s">
        <v>1136</v>
      </c>
      <c r="F629" t="s">
        <v>55</v>
      </c>
      <c r="G629" t="s">
        <v>61</v>
      </c>
      <c r="H629" t="s">
        <v>125</v>
      </c>
      <c r="I629" t="s">
        <v>79</v>
      </c>
      <c r="J629" t="s">
        <v>80</v>
      </c>
      <c r="K629" t="s">
        <v>65</v>
      </c>
      <c r="L629">
        <v>3</v>
      </c>
      <c r="M629">
        <v>3000</v>
      </c>
      <c r="N629">
        <v>0</v>
      </c>
      <c r="O629">
        <v>9000</v>
      </c>
      <c r="P629">
        <v>2130.15</v>
      </c>
      <c r="Q629" t="s">
        <v>156</v>
      </c>
      <c r="R629" t="s">
        <v>29</v>
      </c>
      <c r="S629" t="s">
        <v>110</v>
      </c>
    </row>
    <row r="630" spans="1:19" x14ac:dyDescent="0.3">
      <c r="A630" t="s">
        <v>1440</v>
      </c>
      <c r="B630" t="s">
        <v>1441</v>
      </c>
      <c r="C630" s="1">
        <v>45537</v>
      </c>
      <c r="D630" t="s">
        <v>1442</v>
      </c>
      <c r="E630" t="s">
        <v>1443</v>
      </c>
      <c r="F630" t="s">
        <v>23</v>
      </c>
      <c r="G630" t="s">
        <v>61</v>
      </c>
      <c r="H630" t="s">
        <v>125</v>
      </c>
      <c r="I630" t="s">
        <v>134</v>
      </c>
      <c r="J630" t="s">
        <v>135</v>
      </c>
      <c r="K630" t="s">
        <v>27</v>
      </c>
      <c r="L630">
        <v>1</v>
      </c>
      <c r="M630">
        <v>6000</v>
      </c>
      <c r="N630">
        <v>0</v>
      </c>
      <c r="O630">
        <v>6000</v>
      </c>
      <c r="P630">
        <v>1504.42</v>
      </c>
      <c r="Q630" t="s">
        <v>156</v>
      </c>
      <c r="R630" t="s">
        <v>49</v>
      </c>
      <c r="S630" t="s">
        <v>50</v>
      </c>
    </row>
    <row r="631" spans="1:19" x14ac:dyDescent="0.3">
      <c r="A631" t="s">
        <v>1444</v>
      </c>
      <c r="B631" s="1">
        <v>45314</v>
      </c>
      <c r="C631" t="s">
        <v>569</v>
      </c>
      <c r="D631" t="s">
        <v>606</v>
      </c>
      <c r="E631" t="s">
        <v>1159</v>
      </c>
      <c r="F631" t="s">
        <v>23</v>
      </c>
      <c r="G631" t="s">
        <v>35</v>
      </c>
      <c r="H631" t="s">
        <v>36</v>
      </c>
      <c r="I631" t="s">
        <v>71</v>
      </c>
      <c r="J631" t="s">
        <v>72</v>
      </c>
      <c r="K631" t="s">
        <v>73</v>
      </c>
      <c r="L631">
        <v>2</v>
      </c>
      <c r="M631">
        <v>3500</v>
      </c>
      <c r="N631">
        <v>0</v>
      </c>
      <c r="O631">
        <v>7000</v>
      </c>
      <c r="P631">
        <v>1678.35</v>
      </c>
      <c r="Q631" t="s">
        <v>28</v>
      </c>
      <c r="R631" t="s">
        <v>56</v>
      </c>
      <c r="S631" t="s">
        <v>110</v>
      </c>
    </row>
    <row r="632" spans="1:19" x14ac:dyDescent="0.3">
      <c r="A632" t="s">
        <v>1445</v>
      </c>
      <c r="B632" t="s">
        <v>1446</v>
      </c>
      <c r="C632" t="s">
        <v>1447</v>
      </c>
      <c r="D632" t="s">
        <v>98</v>
      </c>
      <c r="E632" t="s">
        <v>99</v>
      </c>
      <c r="F632" t="s">
        <v>34</v>
      </c>
      <c r="G632" t="s">
        <v>91</v>
      </c>
      <c r="H632" t="s">
        <v>92</v>
      </c>
      <c r="I632" t="s">
        <v>126</v>
      </c>
      <c r="J632" t="s">
        <v>127</v>
      </c>
      <c r="K632" t="s">
        <v>95</v>
      </c>
      <c r="L632">
        <v>1</v>
      </c>
      <c r="M632">
        <v>600</v>
      </c>
      <c r="N632">
        <v>15</v>
      </c>
      <c r="O632">
        <v>510</v>
      </c>
      <c r="P632">
        <v>161.46</v>
      </c>
      <c r="Q632" t="s">
        <v>39</v>
      </c>
      <c r="R632" t="s">
        <v>56</v>
      </c>
      <c r="S632" t="s">
        <v>86</v>
      </c>
    </row>
    <row r="633" spans="1:19" x14ac:dyDescent="0.3">
      <c r="A633" t="s">
        <v>1448</v>
      </c>
      <c r="B633" s="2">
        <v>45338</v>
      </c>
      <c r="C633" s="2">
        <v>45342</v>
      </c>
      <c r="D633" t="s">
        <v>602</v>
      </c>
      <c r="E633" t="s">
        <v>603</v>
      </c>
      <c r="F633" t="s">
        <v>34</v>
      </c>
      <c r="G633" t="s">
        <v>61</v>
      </c>
      <c r="H633" t="s">
        <v>125</v>
      </c>
      <c r="I633" t="s">
        <v>25</v>
      </c>
      <c r="J633" t="s">
        <v>26</v>
      </c>
      <c r="K633" t="s">
        <v>27</v>
      </c>
      <c r="L633">
        <v>5</v>
      </c>
      <c r="M633">
        <v>7000</v>
      </c>
      <c r="N633">
        <v>0</v>
      </c>
      <c r="O633">
        <v>35000</v>
      </c>
      <c r="P633">
        <v>7836.72</v>
      </c>
      <c r="Q633" t="s">
        <v>156</v>
      </c>
      <c r="R633" t="s">
        <v>49</v>
      </c>
      <c r="S633" t="s">
        <v>30</v>
      </c>
    </row>
    <row r="634" spans="1:19" x14ac:dyDescent="0.3">
      <c r="A634" t="s">
        <v>1449</v>
      </c>
      <c r="B634" s="2">
        <v>45717</v>
      </c>
      <c r="C634" s="1">
        <v>45903</v>
      </c>
      <c r="D634" t="s">
        <v>1450</v>
      </c>
      <c r="E634" t="s">
        <v>1451</v>
      </c>
      <c r="F634" t="s">
        <v>23</v>
      </c>
      <c r="G634" t="s">
        <v>61</v>
      </c>
      <c r="H634" t="s">
        <v>78</v>
      </c>
      <c r="I634" t="s">
        <v>79</v>
      </c>
      <c r="J634" t="s">
        <v>80</v>
      </c>
      <c r="K634" t="s">
        <v>65</v>
      </c>
      <c r="L634">
        <v>1</v>
      </c>
      <c r="M634">
        <v>3000</v>
      </c>
      <c r="N634">
        <v>0</v>
      </c>
      <c r="O634">
        <v>3000</v>
      </c>
      <c r="P634">
        <v>829.23</v>
      </c>
      <c r="Q634" t="s">
        <v>121</v>
      </c>
      <c r="R634" t="s">
        <v>56</v>
      </c>
      <c r="S634" t="s">
        <v>86</v>
      </c>
    </row>
    <row r="635" spans="1:19" x14ac:dyDescent="0.3">
      <c r="A635" t="s">
        <v>1452</v>
      </c>
      <c r="B635" s="1">
        <v>45952</v>
      </c>
      <c r="C635" s="1">
        <v>45953</v>
      </c>
      <c r="D635" t="s">
        <v>491</v>
      </c>
      <c r="E635" t="s">
        <v>492</v>
      </c>
      <c r="F635" t="s">
        <v>34</v>
      </c>
      <c r="G635" t="s">
        <v>44</v>
      </c>
      <c r="I635" t="s">
        <v>147</v>
      </c>
      <c r="J635" t="s">
        <v>148</v>
      </c>
      <c r="K635" t="s">
        <v>48</v>
      </c>
      <c r="L635">
        <v>1</v>
      </c>
      <c r="M635">
        <v>250</v>
      </c>
      <c r="N635">
        <v>10</v>
      </c>
      <c r="O635">
        <v>225</v>
      </c>
      <c r="P635">
        <v>67.94</v>
      </c>
      <c r="Q635" t="s">
        <v>39</v>
      </c>
      <c r="R635" t="s">
        <v>29</v>
      </c>
      <c r="S635" t="s">
        <v>30</v>
      </c>
    </row>
    <row r="636" spans="1:19" x14ac:dyDescent="0.3">
      <c r="A636" t="s">
        <v>1453</v>
      </c>
      <c r="B636" s="1">
        <v>45640</v>
      </c>
      <c r="C636" t="s">
        <v>867</v>
      </c>
      <c r="D636" t="s">
        <v>230</v>
      </c>
      <c r="E636" t="s">
        <v>231</v>
      </c>
      <c r="F636" t="s">
        <v>55</v>
      </c>
      <c r="G636" t="s">
        <v>44</v>
      </c>
      <c r="H636" t="s">
        <v>161</v>
      </c>
      <c r="I636" t="s">
        <v>25</v>
      </c>
      <c r="J636" t="s">
        <v>26</v>
      </c>
      <c r="K636" t="s">
        <v>27</v>
      </c>
      <c r="L636">
        <v>3</v>
      </c>
      <c r="M636">
        <v>7000</v>
      </c>
      <c r="N636">
        <v>20</v>
      </c>
      <c r="O636">
        <v>16800</v>
      </c>
      <c r="P636">
        <v>3884.81</v>
      </c>
      <c r="Q636" t="s">
        <v>121</v>
      </c>
      <c r="R636" t="s">
        <v>56</v>
      </c>
      <c r="S636" t="s">
        <v>40</v>
      </c>
    </row>
    <row r="637" spans="1:19" x14ac:dyDescent="0.3">
      <c r="A637" t="s">
        <v>1454</v>
      </c>
      <c r="B637" s="2">
        <v>45669</v>
      </c>
      <c r="C637" t="s">
        <v>1455</v>
      </c>
      <c r="D637" t="s">
        <v>761</v>
      </c>
      <c r="E637" t="s">
        <v>762</v>
      </c>
      <c r="F637" t="s">
        <v>23</v>
      </c>
      <c r="G637" t="s">
        <v>44</v>
      </c>
      <c r="H637" t="s">
        <v>330</v>
      </c>
      <c r="I637" t="s">
        <v>147</v>
      </c>
      <c r="J637" t="s">
        <v>148</v>
      </c>
      <c r="K637" t="s">
        <v>48</v>
      </c>
      <c r="L637">
        <v>3</v>
      </c>
      <c r="M637">
        <v>250</v>
      </c>
      <c r="N637">
        <v>0</v>
      </c>
      <c r="O637">
        <v>750</v>
      </c>
      <c r="P637">
        <v>231.03</v>
      </c>
      <c r="Q637" t="s">
        <v>74</v>
      </c>
      <c r="R637" t="s">
        <v>29</v>
      </c>
      <c r="S637" t="s">
        <v>110</v>
      </c>
    </row>
    <row r="638" spans="1:19" x14ac:dyDescent="0.3">
      <c r="A638" t="s">
        <v>1456</v>
      </c>
      <c r="B638" s="2">
        <v>45708</v>
      </c>
      <c r="C638" s="1">
        <v>45710</v>
      </c>
      <c r="D638" t="s">
        <v>588</v>
      </c>
      <c r="E638" t="s">
        <v>589</v>
      </c>
      <c r="F638" t="s">
        <v>23</v>
      </c>
      <c r="G638" t="s">
        <v>61</v>
      </c>
      <c r="H638" t="s">
        <v>62</v>
      </c>
      <c r="I638" t="s">
        <v>114</v>
      </c>
      <c r="J638" t="s">
        <v>115</v>
      </c>
      <c r="K638" t="s">
        <v>65</v>
      </c>
      <c r="L638">
        <v>4</v>
      </c>
      <c r="M638">
        <v>55000</v>
      </c>
      <c r="N638">
        <v>15</v>
      </c>
      <c r="O638">
        <v>187000</v>
      </c>
      <c r="P638">
        <v>24596.58</v>
      </c>
      <c r="Q638" t="s">
        <v>39</v>
      </c>
      <c r="R638" t="s">
        <v>56</v>
      </c>
      <c r="S638" t="s">
        <v>30</v>
      </c>
    </row>
    <row r="639" spans="1:19" x14ac:dyDescent="0.3">
      <c r="A639" t="s">
        <v>1457</v>
      </c>
      <c r="B639" s="2">
        <v>45955</v>
      </c>
      <c r="C639" s="2">
        <v>45957</v>
      </c>
      <c r="D639" t="s">
        <v>864</v>
      </c>
      <c r="E639" t="s">
        <v>865</v>
      </c>
      <c r="F639" t="s">
        <v>34</v>
      </c>
      <c r="G639" t="s">
        <v>44</v>
      </c>
      <c r="H639" t="s">
        <v>155</v>
      </c>
      <c r="I639" t="s">
        <v>25</v>
      </c>
      <c r="J639" t="s">
        <v>26</v>
      </c>
      <c r="K639" t="s">
        <v>27</v>
      </c>
      <c r="L639">
        <v>4</v>
      </c>
      <c r="M639">
        <v>7000</v>
      </c>
      <c r="N639">
        <v>0</v>
      </c>
      <c r="O639">
        <v>28000</v>
      </c>
      <c r="P639">
        <v>6396.88</v>
      </c>
      <c r="Q639" t="s">
        <v>156</v>
      </c>
      <c r="R639" t="s">
        <v>29</v>
      </c>
      <c r="S639" t="s">
        <v>110</v>
      </c>
    </row>
    <row r="640" spans="1:19" x14ac:dyDescent="0.3">
      <c r="A640" t="s">
        <v>1458</v>
      </c>
      <c r="B640" s="1">
        <v>45753</v>
      </c>
      <c r="C640" s="2">
        <v>45816</v>
      </c>
      <c r="D640" t="s">
        <v>460</v>
      </c>
      <c r="E640" t="s">
        <v>461</v>
      </c>
      <c r="F640" t="s">
        <v>34</v>
      </c>
      <c r="G640" t="s">
        <v>61</v>
      </c>
      <c r="H640" t="s">
        <v>62</v>
      </c>
      <c r="I640" t="s">
        <v>79</v>
      </c>
      <c r="J640" t="s">
        <v>80</v>
      </c>
      <c r="K640" t="s">
        <v>105</v>
      </c>
      <c r="L640">
        <v>1</v>
      </c>
      <c r="M640">
        <v>3000</v>
      </c>
      <c r="N640">
        <v>15</v>
      </c>
      <c r="O640">
        <v>2550</v>
      </c>
      <c r="P640">
        <v>549.17999999999995</v>
      </c>
      <c r="Q640" t="s">
        <v>66</v>
      </c>
      <c r="R640" t="s">
        <v>49</v>
      </c>
      <c r="S640" t="s">
        <v>50</v>
      </c>
    </row>
    <row r="641" spans="1:19" x14ac:dyDescent="0.3">
      <c r="A641" t="s">
        <v>1459</v>
      </c>
      <c r="B641" s="2">
        <v>45650</v>
      </c>
      <c r="C641" s="1">
        <v>45654</v>
      </c>
      <c r="D641" t="s">
        <v>588</v>
      </c>
      <c r="E641" t="s">
        <v>589</v>
      </c>
      <c r="F641" t="s">
        <v>23</v>
      </c>
      <c r="G641" t="s">
        <v>61</v>
      </c>
      <c r="H641" t="s">
        <v>62</v>
      </c>
      <c r="I641" t="s">
        <v>126</v>
      </c>
      <c r="J641" t="s">
        <v>127</v>
      </c>
      <c r="K641" t="s">
        <v>95</v>
      </c>
      <c r="L641">
        <v>1</v>
      </c>
      <c r="M641">
        <v>600</v>
      </c>
      <c r="N641">
        <v>20</v>
      </c>
      <c r="O641">
        <v>480</v>
      </c>
      <c r="P641">
        <v>191.63</v>
      </c>
      <c r="Q641" t="s">
        <v>66</v>
      </c>
      <c r="R641" t="s">
        <v>29</v>
      </c>
      <c r="S641" t="s">
        <v>86</v>
      </c>
    </row>
    <row r="642" spans="1:19" x14ac:dyDescent="0.3">
      <c r="A642" t="s">
        <v>1460</v>
      </c>
      <c r="B642" s="1">
        <v>45778</v>
      </c>
      <c r="C642" s="2">
        <v>45780</v>
      </c>
      <c r="D642" t="s">
        <v>1461</v>
      </c>
      <c r="E642" t="s">
        <v>1462</v>
      </c>
      <c r="F642" t="s">
        <v>55</v>
      </c>
      <c r="G642" t="s">
        <v>91</v>
      </c>
      <c r="H642" t="s">
        <v>109</v>
      </c>
      <c r="I642" t="s">
        <v>147</v>
      </c>
      <c r="J642" t="s">
        <v>148</v>
      </c>
      <c r="K642" t="s">
        <v>48</v>
      </c>
      <c r="L642">
        <v>1</v>
      </c>
      <c r="M642">
        <v>250</v>
      </c>
      <c r="N642">
        <v>0</v>
      </c>
      <c r="O642">
        <v>250</v>
      </c>
      <c r="P642">
        <v>81.59</v>
      </c>
      <c r="Q642" t="s">
        <v>39</v>
      </c>
      <c r="R642" t="s">
        <v>29</v>
      </c>
      <c r="S642" t="s">
        <v>50</v>
      </c>
    </row>
    <row r="643" spans="1:19" x14ac:dyDescent="0.3">
      <c r="A643" t="s">
        <v>1463</v>
      </c>
      <c r="B643" s="1">
        <v>45989</v>
      </c>
      <c r="C643" s="1">
        <v>45993</v>
      </c>
      <c r="D643" t="s">
        <v>1464</v>
      </c>
      <c r="E643" t="s">
        <v>1465</v>
      </c>
      <c r="F643" t="s">
        <v>23</v>
      </c>
      <c r="G643" t="s">
        <v>91</v>
      </c>
      <c r="H643" t="s">
        <v>109</v>
      </c>
      <c r="I643" t="s">
        <v>126</v>
      </c>
      <c r="J643" t="s">
        <v>127</v>
      </c>
      <c r="K643" t="s">
        <v>95</v>
      </c>
      <c r="L643">
        <v>3</v>
      </c>
      <c r="M643">
        <v>600</v>
      </c>
      <c r="N643">
        <v>10</v>
      </c>
      <c r="O643">
        <v>1620</v>
      </c>
      <c r="P643">
        <v>550.14</v>
      </c>
      <c r="Q643" t="s">
        <v>74</v>
      </c>
      <c r="R643" t="s">
        <v>56</v>
      </c>
      <c r="S643" t="s">
        <v>110</v>
      </c>
    </row>
    <row r="644" spans="1:19" x14ac:dyDescent="0.3">
      <c r="A644" t="s">
        <v>1466</v>
      </c>
      <c r="B644" s="1">
        <v>45809</v>
      </c>
      <c r="C644" s="1">
        <v>45669</v>
      </c>
      <c r="D644" t="s">
        <v>265</v>
      </c>
      <c r="E644" t="s">
        <v>266</v>
      </c>
      <c r="F644" t="s">
        <v>55</v>
      </c>
      <c r="G644" t="s">
        <v>44</v>
      </c>
      <c r="H644" t="s">
        <v>45</v>
      </c>
      <c r="I644" t="s">
        <v>46</v>
      </c>
      <c r="J644" t="s">
        <v>47</v>
      </c>
      <c r="K644" t="s">
        <v>48</v>
      </c>
      <c r="L644">
        <v>2</v>
      </c>
      <c r="M644">
        <v>180</v>
      </c>
      <c r="N644">
        <v>5</v>
      </c>
      <c r="O644">
        <v>342</v>
      </c>
      <c r="P644">
        <v>133.54</v>
      </c>
      <c r="Q644" t="s">
        <v>74</v>
      </c>
      <c r="R644" t="s">
        <v>29</v>
      </c>
      <c r="S644" t="s">
        <v>50</v>
      </c>
    </row>
    <row r="645" spans="1:19" x14ac:dyDescent="0.3">
      <c r="A645" t="s">
        <v>1467</v>
      </c>
      <c r="B645" s="1">
        <v>45823</v>
      </c>
      <c r="C645" t="s">
        <v>1468</v>
      </c>
      <c r="D645" t="s">
        <v>1262</v>
      </c>
      <c r="E645" t="s">
        <v>1263</v>
      </c>
      <c r="F645" t="s">
        <v>23</v>
      </c>
      <c r="G645" t="s">
        <v>91</v>
      </c>
      <c r="H645" t="s">
        <v>120</v>
      </c>
      <c r="I645" t="s">
        <v>93</v>
      </c>
      <c r="J645" t="s">
        <v>94</v>
      </c>
      <c r="K645" t="s">
        <v>95</v>
      </c>
      <c r="L645">
        <v>4</v>
      </c>
      <c r="M645">
        <v>1800</v>
      </c>
      <c r="N645">
        <v>15</v>
      </c>
      <c r="O645">
        <v>6120</v>
      </c>
      <c r="P645">
        <v>1827.2</v>
      </c>
      <c r="Q645" t="s">
        <v>39</v>
      </c>
      <c r="R645" t="s">
        <v>56</v>
      </c>
      <c r="S645" t="s">
        <v>86</v>
      </c>
    </row>
    <row r="646" spans="1:19" x14ac:dyDescent="0.3">
      <c r="A646" t="s">
        <v>1469</v>
      </c>
      <c r="B646" s="1">
        <v>45483</v>
      </c>
      <c r="C646" s="2">
        <v>45489</v>
      </c>
      <c r="D646" t="s">
        <v>514</v>
      </c>
      <c r="E646" t="s">
        <v>515</v>
      </c>
      <c r="F646" t="s">
        <v>23</v>
      </c>
      <c r="G646" t="s">
        <v>44</v>
      </c>
      <c r="H646" t="s">
        <v>45</v>
      </c>
      <c r="I646" t="s">
        <v>114</v>
      </c>
      <c r="J646" t="s">
        <v>115</v>
      </c>
      <c r="K646" t="s">
        <v>65</v>
      </c>
      <c r="L646">
        <v>2</v>
      </c>
      <c r="M646">
        <v>55000</v>
      </c>
      <c r="N646">
        <v>0</v>
      </c>
      <c r="O646">
        <v>110000</v>
      </c>
      <c r="P646">
        <v>19571.3</v>
      </c>
      <c r="Q646" t="s">
        <v>74</v>
      </c>
      <c r="R646" t="s">
        <v>56</v>
      </c>
      <c r="S646" t="s">
        <v>50</v>
      </c>
    </row>
    <row r="647" spans="1:19" x14ac:dyDescent="0.3">
      <c r="A647" t="s">
        <v>1470</v>
      </c>
      <c r="B647" s="2">
        <v>45999</v>
      </c>
      <c r="C647" s="2">
        <v>46003</v>
      </c>
      <c r="D647" t="s">
        <v>767</v>
      </c>
      <c r="E647" t="s">
        <v>768</v>
      </c>
      <c r="F647" t="s">
        <v>23</v>
      </c>
      <c r="G647" t="s">
        <v>35</v>
      </c>
      <c r="H647" t="s">
        <v>258</v>
      </c>
      <c r="I647" t="s">
        <v>93</v>
      </c>
      <c r="J647" t="s">
        <v>94</v>
      </c>
      <c r="K647" t="s">
        <v>95</v>
      </c>
      <c r="L647">
        <v>2</v>
      </c>
      <c r="M647">
        <v>1800</v>
      </c>
      <c r="N647">
        <v>0</v>
      </c>
      <c r="O647">
        <v>3600</v>
      </c>
      <c r="P647">
        <v>1270.48</v>
      </c>
      <c r="Q647" t="s">
        <v>121</v>
      </c>
      <c r="R647" t="s">
        <v>49</v>
      </c>
      <c r="S647" t="s">
        <v>86</v>
      </c>
    </row>
    <row r="648" spans="1:19" x14ac:dyDescent="0.3">
      <c r="A648" t="s">
        <v>1471</v>
      </c>
      <c r="B648" s="1">
        <v>45698</v>
      </c>
      <c r="C648" s="1">
        <v>45910</v>
      </c>
      <c r="D648" t="s">
        <v>1461</v>
      </c>
      <c r="E648" t="s">
        <v>1462</v>
      </c>
      <c r="F648" t="s">
        <v>55</v>
      </c>
      <c r="G648" t="s">
        <v>91</v>
      </c>
      <c r="I648" t="s">
        <v>114</v>
      </c>
      <c r="J648" t="s">
        <v>115</v>
      </c>
      <c r="K648" t="s">
        <v>65</v>
      </c>
      <c r="L648">
        <v>1</v>
      </c>
      <c r="M648">
        <v>55000</v>
      </c>
      <c r="N648">
        <v>0</v>
      </c>
      <c r="O648">
        <v>55000</v>
      </c>
      <c r="P648">
        <v>10858.1</v>
      </c>
      <c r="Q648" t="s">
        <v>74</v>
      </c>
      <c r="R648" t="s">
        <v>29</v>
      </c>
      <c r="S648" t="s">
        <v>50</v>
      </c>
    </row>
    <row r="649" spans="1:19" x14ac:dyDescent="0.3">
      <c r="A649" t="s">
        <v>1472</v>
      </c>
      <c r="B649" s="1">
        <v>45329</v>
      </c>
      <c r="C649" s="2">
        <v>45333</v>
      </c>
      <c r="D649" t="s">
        <v>1461</v>
      </c>
      <c r="E649" t="s">
        <v>1462</v>
      </c>
      <c r="F649" t="s">
        <v>55</v>
      </c>
      <c r="G649" t="s">
        <v>91</v>
      </c>
      <c r="H649" t="s">
        <v>109</v>
      </c>
      <c r="I649" t="s">
        <v>126</v>
      </c>
      <c r="J649" t="s">
        <v>127</v>
      </c>
      <c r="K649" t="s">
        <v>95</v>
      </c>
      <c r="M649">
        <v>600</v>
      </c>
      <c r="N649">
        <v>0</v>
      </c>
      <c r="O649">
        <v>600</v>
      </c>
      <c r="P649">
        <v>200.83</v>
      </c>
      <c r="Q649" t="s">
        <v>28</v>
      </c>
      <c r="R649" t="s">
        <v>29</v>
      </c>
      <c r="S649" t="s">
        <v>110</v>
      </c>
    </row>
    <row r="650" spans="1:19" x14ac:dyDescent="0.3">
      <c r="A650" t="s">
        <v>1473</v>
      </c>
      <c r="B650" s="2">
        <v>45374</v>
      </c>
      <c r="C650" t="s">
        <v>1474</v>
      </c>
      <c r="D650" t="s">
        <v>609</v>
      </c>
      <c r="E650" t="s">
        <v>610</v>
      </c>
      <c r="F650" t="s">
        <v>23</v>
      </c>
      <c r="G650" t="s">
        <v>44</v>
      </c>
      <c r="H650" t="s">
        <v>155</v>
      </c>
      <c r="I650" t="s">
        <v>126</v>
      </c>
      <c r="J650" t="s">
        <v>127</v>
      </c>
      <c r="K650" t="s">
        <v>95</v>
      </c>
      <c r="L650">
        <v>4</v>
      </c>
      <c r="M650">
        <v>600</v>
      </c>
      <c r="N650">
        <v>20</v>
      </c>
      <c r="O650">
        <v>1920</v>
      </c>
      <c r="P650">
        <v>707.52</v>
      </c>
      <c r="Q650" t="s">
        <v>74</v>
      </c>
      <c r="R650" t="s">
        <v>441</v>
      </c>
      <c r="S650" t="s">
        <v>30</v>
      </c>
    </row>
    <row r="651" spans="1:19" x14ac:dyDescent="0.3">
      <c r="A651" t="s">
        <v>1475</v>
      </c>
      <c r="B651" s="1">
        <v>45437</v>
      </c>
      <c r="C651" s="2">
        <v>45443</v>
      </c>
      <c r="D651" t="s">
        <v>185</v>
      </c>
      <c r="E651" t="s">
        <v>186</v>
      </c>
      <c r="F651" t="s">
        <v>55</v>
      </c>
      <c r="G651" t="s">
        <v>35</v>
      </c>
      <c r="H651" t="s">
        <v>187</v>
      </c>
      <c r="I651" t="s">
        <v>63</v>
      </c>
      <c r="J651" t="s">
        <v>64</v>
      </c>
      <c r="K651" t="s">
        <v>65</v>
      </c>
      <c r="L651">
        <v>1</v>
      </c>
      <c r="M651">
        <v>25000</v>
      </c>
      <c r="N651">
        <v>5</v>
      </c>
      <c r="O651">
        <v>23750</v>
      </c>
      <c r="P651">
        <v>3826.37</v>
      </c>
      <c r="Q651" t="s">
        <v>39</v>
      </c>
      <c r="R651" t="s">
        <v>49</v>
      </c>
      <c r="S651" t="s">
        <v>30</v>
      </c>
    </row>
    <row r="652" spans="1:19" x14ac:dyDescent="0.3">
      <c r="A652" t="s">
        <v>1476</v>
      </c>
      <c r="B652" s="1">
        <v>45861</v>
      </c>
      <c r="C652" s="1">
        <v>45863</v>
      </c>
      <c r="D652" t="s">
        <v>1055</v>
      </c>
      <c r="E652" t="s">
        <v>1056</v>
      </c>
      <c r="F652" t="s">
        <v>55</v>
      </c>
      <c r="G652" t="s">
        <v>61</v>
      </c>
      <c r="H652" t="s">
        <v>62</v>
      </c>
      <c r="I652" t="s">
        <v>147</v>
      </c>
      <c r="J652" t="s">
        <v>148</v>
      </c>
      <c r="K652" t="s">
        <v>48</v>
      </c>
      <c r="L652">
        <v>3</v>
      </c>
      <c r="M652">
        <v>250</v>
      </c>
      <c r="N652">
        <v>0</v>
      </c>
      <c r="O652">
        <v>750</v>
      </c>
      <c r="P652">
        <v>221.37</v>
      </c>
      <c r="Q652" t="s">
        <v>121</v>
      </c>
      <c r="R652" t="s">
        <v>29</v>
      </c>
      <c r="S652" t="s">
        <v>86</v>
      </c>
    </row>
    <row r="653" spans="1:19" x14ac:dyDescent="0.3">
      <c r="A653" t="s">
        <v>1477</v>
      </c>
      <c r="B653" s="1">
        <v>45942</v>
      </c>
      <c r="C653" s="1">
        <v>45947</v>
      </c>
      <c r="D653" t="s">
        <v>805</v>
      </c>
      <c r="E653" t="s">
        <v>806</v>
      </c>
      <c r="F653" t="s">
        <v>34</v>
      </c>
      <c r="G653" t="s">
        <v>61</v>
      </c>
      <c r="H653" t="s">
        <v>78</v>
      </c>
      <c r="I653" t="s">
        <v>25</v>
      </c>
      <c r="J653" t="s">
        <v>26</v>
      </c>
      <c r="K653" t="s">
        <v>27</v>
      </c>
      <c r="L653">
        <v>1</v>
      </c>
      <c r="M653">
        <v>7000</v>
      </c>
      <c r="N653">
        <v>0</v>
      </c>
      <c r="O653">
        <v>7000</v>
      </c>
      <c r="P653">
        <v>1327.52</v>
      </c>
      <c r="Q653" t="s">
        <v>156</v>
      </c>
      <c r="R653" t="s">
        <v>49</v>
      </c>
      <c r="S653" t="s">
        <v>30</v>
      </c>
    </row>
    <row r="654" spans="1:19" x14ac:dyDescent="0.3">
      <c r="A654" t="s">
        <v>1478</v>
      </c>
      <c r="B654" s="2">
        <v>45790</v>
      </c>
      <c r="C654" t="s">
        <v>1479</v>
      </c>
      <c r="D654" t="s">
        <v>349</v>
      </c>
      <c r="E654" t="s">
        <v>350</v>
      </c>
      <c r="F654" t="s">
        <v>34</v>
      </c>
      <c r="G654" t="s">
        <v>91</v>
      </c>
      <c r="H654" t="s">
        <v>120</v>
      </c>
      <c r="I654" t="s">
        <v>93</v>
      </c>
      <c r="J654" t="s">
        <v>94</v>
      </c>
      <c r="K654" t="s">
        <v>95</v>
      </c>
      <c r="L654">
        <v>1</v>
      </c>
      <c r="M654">
        <v>1800</v>
      </c>
      <c r="N654">
        <v>0</v>
      </c>
      <c r="O654">
        <v>1800</v>
      </c>
      <c r="P654">
        <v>587.59</v>
      </c>
      <c r="R654" t="s">
        <v>49</v>
      </c>
      <c r="S654" t="s">
        <v>50</v>
      </c>
    </row>
    <row r="655" spans="1:19" x14ac:dyDescent="0.3">
      <c r="A655" t="s">
        <v>1480</v>
      </c>
      <c r="B655" s="1">
        <v>45403</v>
      </c>
      <c r="C655" s="1">
        <v>45404</v>
      </c>
      <c r="D655" t="s">
        <v>275</v>
      </c>
      <c r="E655" t="s">
        <v>276</v>
      </c>
      <c r="F655" t="s">
        <v>34</v>
      </c>
      <c r="G655" t="s">
        <v>91</v>
      </c>
      <c r="H655" t="s">
        <v>120</v>
      </c>
      <c r="I655" t="s">
        <v>93</v>
      </c>
      <c r="J655" t="s">
        <v>94</v>
      </c>
      <c r="K655" t="s">
        <v>95</v>
      </c>
      <c r="L655">
        <v>2</v>
      </c>
      <c r="M655">
        <v>1800</v>
      </c>
      <c r="N655">
        <v>0</v>
      </c>
      <c r="O655">
        <v>3600</v>
      </c>
      <c r="P655">
        <v>1358.49</v>
      </c>
      <c r="Q655" t="s">
        <v>156</v>
      </c>
      <c r="R655" t="s">
        <v>56</v>
      </c>
      <c r="S655" t="s">
        <v>40</v>
      </c>
    </row>
    <row r="656" spans="1:19" x14ac:dyDescent="0.3">
      <c r="A656" t="s">
        <v>1481</v>
      </c>
      <c r="B656" s="1">
        <v>45719</v>
      </c>
      <c r="C656" s="1">
        <v>45726</v>
      </c>
      <c r="D656" t="s">
        <v>1482</v>
      </c>
      <c r="E656" t="s">
        <v>1483</v>
      </c>
      <c r="F656" t="s">
        <v>23</v>
      </c>
      <c r="G656" t="s">
        <v>44</v>
      </c>
      <c r="H656" t="s">
        <v>161</v>
      </c>
      <c r="I656" t="s">
        <v>71</v>
      </c>
      <c r="J656" t="s">
        <v>72</v>
      </c>
      <c r="K656" t="s">
        <v>73</v>
      </c>
      <c r="L656">
        <v>1</v>
      </c>
      <c r="M656">
        <v>3500</v>
      </c>
      <c r="N656">
        <v>0</v>
      </c>
      <c r="O656">
        <v>3500</v>
      </c>
      <c r="P656">
        <v>931.78</v>
      </c>
      <c r="Q656" t="s">
        <v>39</v>
      </c>
      <c r="R656" t="s">
        <v>29</v>
      </c>
      <c r="S656" t="s">
        <v>30</v>
      </c>
    </row>
    <row r="657" spans="1:19" x14ac:dyDescent="0.3">
      <c r="A657" t="s">
        <v>1484</v>
      </c>
      <c r="B657" s="1">
        <v>45854</v>
      </c>
      <c r="C657" s="1">
        <v>45862</v>
      </c>
      <c r="D657" t="s">
        <v>1079</v>
      </c>
      <c r="E657" t="s">
        <v>1080</v>
      </c>
      <c r="F657" t="s">
        <v>23</v>
      </c>
      <c r="G657" t="s">
        <v>44</v>
      </c>
      <c r="H657" t="s">
        <v>155</v>
      </c>
      <c r="I657" t="s">
        <v>25</v>
      </c>
      <c r="J657" t="s">
        <v>26</v>
      </c>
      <c r="K657" t="s">
        <v>27</v>
      </c>
      <c r="L657">
        <v>1</v>
      </c>
      <c r="M657">
        <v>7000</v>
      </c>
      <c r="N657">
        <v>0</v>
      </c>
      <c r="O657">
        <v>7000</v>
      </c>
      <c r="P657">
        <v>1377.71</v>
      </c>
      <c r="Q657" t="s">
        <v>28</v>
      </c>
      <c r="R657" t="s">
        <v>49</v>
      </c>
      <c r="S657" t="s">
        <v>50</v>
      </c>
    </row>
    <row r="658" spans="1:19" x14ac:dyDescent="0.3">
      <c r="A658" t="s">
        <v>1485</v>
      </c>
      <c r="B658" s="1">
        <v>45299</v>
      </c>
      <c r="C658" s="1">
        <v>45511</v>
      </c>
      <c r="D658" t="s">
        <v>774</v>
      </c>
      <c r="E658" t="s">
        <v>1486</v>
      </c>
      <c r="F658" t="s">
        <v>55</v>
      </c>
      <c r="G658" t="s">
        <v>61</v>
      </c>
      <c r="H658" t="s">
        <v>211</v>
      </c>
      <c r="I658" t="s">
        <v>37</v>
      </c>
      <c r="J658" t="s">
        <v>38</v>
      </c>
      <c r="K658" t="s">
        <v>27</v>
      </c>
      <c r="L658">
        <v>4</v>
      </c>
      <c r="M658">
        <v>9500</v>
      </c>
      <c r="N658">
        <v>20</v>
      </c>
      <c r="O658">
        <v>30400</v>
      </c>
      <c r="P658">
        <v>5539.23</v>
      </c>
      <c r="Q658" t="s">
        <v>74</v>
      </c>
      <c r="R658" t="s">
        <v>56</v>
      </c>
      <c r="S658" t="s">
        <v>30</v>
      </c>
    </row>
    <row r="659" spans="1:19" x14ac:dyDescent="0.3">
      <c r="A659" t="s">
        <v>1487</v>
      </c>
      <c r="B659" s="1">
        <v>45706</v>
      </c>
      <c r="C659" s="1">
        <v>45710</v>
      </c>
      <c r="D659" t="s">
        <v>438</v>
      </c>
      <c r="E659" t="s">
        <v>439</v>
      </c>
      <c r="F659" t="s">
        <v>34</v>
      </c>
      <c r="G659" t="s">
        <v>35</v>
      </c>
      <c r="H659" t="s">
        <v>85</v>
      </c>
      <c r="I659" t="s">
        <v>134</v>
      </c>
      <c r="J659" t="s">
        <v>135</v>
      </c>
      <c r="K659" t="s">
        <v>27</v>
      </c>
      <c r="L659">
        <v>1</v>
      </c>
      <c r="M659">
        <v>6000</v>
      </c>
      <c r="N659">
        <v>0</v>
      </c>
      <c r="O659">
        <v>6000</v>
      </c>
      <c r="P659">
        <v>1343.82</v>
      </c>
      <c r="Q659" t="s">
        <v>74</v>
      </c>
      <c r="R659" t="s">
        <v>56</v>
      </c>
      <c r="S659" t="s">
        <v>50</v>
      </c>
    </row>
    <row r="660" spans="1:19" x14ac:dyDescent="0.3">
      <c r="A660" t="s">
        <v>1488</v>
      </c>
      <c r="B660" s="1">
        <v>45999</v>
      </c>
      <c r="C660" s="2">
        <v>45884</v>
      </c>
      <c r="D660" t="s">
        <v>400</v>
      </c>
      <c r="E660" t="s">
        <v>401</v>
      </c>
      <c r="F660" t="s">
        <v>34</v>
      </c>
      <c r="G660" t="s">
        <v>44</v>
      </c>
      <c r="H660" t="s">
        <v>24</v>
      </c>
      <c r="I660" t="s">
        <v>37</v>
      </c>
      <c r="J660" t="s">
        <v>38</v>
      </c>
      <c r="K660" t="s">
        <v>366</v>
      </c>
      <c r="L660">
        <v>1</v>
      </c>
      <c r="M660">
        <v>9500</v>
      </c>
      <c r="N660">
        <v>20</v>
      </c>
      <c r="O660">
        <v>7600</v>
      </c>
      <c r="P660">
        <v>1665</v>
      </c>
      <c r="Q660" t="s">
        <v>28</v>
      </c>
      <c r="R660" t="s">
        <v>49</v>
      </c>
      <c r="S660" t="s">
        <v>50</v>
      </c>
    </row>
    <row r="661" spans="1:19" x14ac:dyDescent="0.3">
      <c r="A661" t="s">
        <v>1489</v>
      </c>
      <c r="B661" s="2">
        <v>45610</v>
      </c>
      <c r="C661" s="1">
        <v>45612</v>
      </c>
      <c r="D661" t="s">
        <v>470</v>
      </c>
      <c r="E661" t="s">
        <v>471</v>
      </c>
      <c r="F661" t="s">
        <v>23</v>
      </c>
      <c r="G661" t="s">
        <v>61</v>
      </c>
      <c r="H661" t="s">
        <v>62</v>
      </c>
      <c r="I661" t="s">
        <v>63</v>
      </c>
      <c r="J661" t="s">
        <v>64</v>
      </c>
      <c r="K661" t="s">
        <v>65</v>
      </c>
      <c r="L661">
        <v>2</v>
      </c>
      <c r="M661">
        <v>25000</v>
      </c>
      <c r="N661">
        <v>0</v>
      </c>
      <c r="O661">
        <v>50000</v>
      </c>
      <c r="P661">
        <v>7515.29</v>
      </c>
      <c r="Q661" t="s">
        <v>66</v>
      </c>
      <c r="R661" t="s">
        <v>49</v>
      </c>
      <c r="S661" t="s">
        <v>40</v>
      </c>
    </row>
    <row r="662" spans="1:19" x14ac:dyDescent="0.3">
      <c r="A662" t="s">
        <v>1490</v>
      </c>
      <c r="B662" s="1">
        <v>45384</v>
      </c>
      <c r="C662" s="2">
        <v>45389</v>
      </c>
      <c r="D662" t="s">
        <v>959</v>
      </c>
      <c r="E662" t="s">
        <v>960</v>
      </c>
      <c r="F662" t="s">
        <v>34</v>
      </c>
      <c r="G662" t="s">
        <v>35</v>
      </c>
      <c r="H662" t="s">
        <v>187</v>
      </c>
      <c r="I662" t="s">
        <v>63</v>
      </c>
      <c r="J662" t="s">
        <v>64</v>
      </c>
      <c r="K662" t="s">
        <v>65</v>
      </c>
      <c r="L662">
        <v>3</v>
      </c>
      <c r="M662">
        <v>25000</v>
      </c>
      <c r="N662">
        <v>15</v>
      </c>
      <c r="O662">
        <v>63750</v>
      </c>
      <c r="Q662" t="s">
        <v>121</v>
      </c>
      <c r="R662" t="s">
        <v>56</v>
      </c>
      <c r="S662" t="s">
        <v>110</v>
      </c>
    </row>
    <row r="663" spans="1:19" x14ac:dyDescent="0.3">
      <c r="A663" t="s">
        <v>1491</v>
      </c>
      <c r="B663" t="s">
        <v>1254</v>
      </c>
      <c r="C663" t="s">
        <v>1492</v>
      </c>
      <c r="D663" t="s">
        <v>609</v>
      </c>
      <c r="E663" t="s">
        <v>610</v>
      </c>
      <c r="F663" t="s">
        <v>23</v>
      </c>
      <c r="G663" t="s">
        <v>44</v>
      </c>
      <c r="H663" t="s">
        <v>155</v>
      </c>
      <c r="I663" t="s">
        <v>103</v>
      </c>
      <c r="J663" t="s">
        <v>104</v>
      </c>
      <c r="K663" t="s">
        <v>65</v>
      </c>
      <c r="M663">
        <v>8000</v>
      </c>
      <c r="N663">
        <v>0</v>
      </c>
      <c r="O663">
        <v>24000</v>
      </c>
      <c r="P663">
        <v>5338.65</v>
      </c>
      <c r="Q663" t="s">
        <v>156</v>
      </c>
      <c r="R663" t="s">
        <v>49</v>
      </c>
      <c r="S663" t="s">
        <v>110</v>
      </c>
    </row>
    <row r="664" spans="1:19" x14ac:dyDescent="0.3">
      <c r="A664" t="s">
        <v>1493</v>
      </c>
      <c r="B664" s="2">
        <v>45498</v>
      </c>
      <c r="C664" t="s">
        <v>1494</v>
      </c>
      <c r="D664" t="s">
        <v>936</v>
      </c>
      <c r="E664" t="s">
        <v>937</v>
      </c>
      <c r="F664" t="s">
        <v>23</v>
      </c>
      <c r="G664" t="s">
        <v>44</v>
      </c>
      <c r="H664" t="s">
        <v>161</v>
      </c>
      <c r="I664" t="s">
        <v>147</v>
      </c>
      <c r="J664" t="s">
        <v>148</v>
      </c>
      <c r="K664" t="s">
        <v>48</v>
      </c>
      <c r="L664">
        <v>1</v>
      </c>
      <c r="M664">
        <v>250</v>
      </c>
      <c r="N664">
        <v>5</v>
      </c>
      <c r="O664">
        <v>237.5</v>
      </c>
      <c r="P664">
        <v>85.13</v>
      </c>
      <c r="Q664" t="s">
        <v>39</v>
      </c>
      <c r="R664" t="s">
        <v>49</v>
      </c>
      <c r="S664" t="s">
        <v>40</v>
      </c>
    </row>
    <row r="665" spans="1:19" x14ac:dyDescent="0.3">
      <c r="A665" t="s">
        <v>1495</v>
      </c>
      <c r="B665" s="1">
        <v>45850</v>
      </c>
      <c r="C665" t="s">
        <v>538</v>
      </c>
      <c r="D665" t="s">
        <v>628</v>
      </c>
      <c r="E665" t="s">
        <v>1496</v>
      </c>
      <c r="F665" t="s">
        <v>55</v>
      </c>
      <c r="G665" t="s">
        <v>91</v>
      </c>
      <c r="H665" t="s">
        <v>120</v>
      </c>
      <c r="I665" t="s">
        <v>126</v>
      </c>
      <c r="J665" t="s">
        <v>127</v>
      </c>
      <c r="K665" t="s">
        <v>95</v>
      </c>
      <c r="L665">
        <v>1</v>
      </c>
      <c r="M665">
        <v>600</v>
      </c>
      <c r="N665">
        <v>0</v>
      </c>
      <c r="O665">
        <v>600</v>
      </c>
      <c r="P665">
        <v>203.64</v>
      </c>
      <c r="Q665" t="s">
        <v>74</v>
      </c>
      <c r="R665" t="s">
        <v>49</v>
      </c>
      <c r="S665" t="s">
        <v>86</v>
      </c>
    </row>
    <row r="666" spans="1:19" x14ac:dyDescent="0.3">
      <c r="A666" t="s">
        <v>1497</v>
      </c>
      <c r="B666" s="2">
        <v>45567</v>
      </c>
      <c r="C666" s="1">
        <v>45572</v>
      </c>
      <c r="D666" t="s">
        <v>291</v>
      </c>
      <c r="E666" t="s">
        <v>292</v>
      </c>
      <c r="F666" t="s">
        <v>55</v>
      </c>
      <c r="G666" t="s">
        <v>35</v>
      </c>
      <c r="H666" t="s">
        <v>187</v>
      </c>
      <c r="I666" t="s">
        <v>71</v>
      </c>
      <c r="J666" t="s">
        <v>72</v>
      </c>
      <c r="K666" t="s">
        <v>73</v>
      </c>
      <c r="L666">
        <v>3</v>
      </c>
      <c r="M666">
        <v>3500</v>
      </c>
      <c r="N666">
        <v>0</v>
      </c>
      <c r="O666">
        <v>10500</v>
      </c>
      <c r="P666">
        <v>2645.33</v>
      </c>
      <c r="Q666" t="s">
        <v>66</v>
      </c>
      <c r="R666" t="s">
        <v>29</v>
      </c>
      <c r="S666" t="s">
        <v>40</v>
      </c>
    </row>
    <row r="667" spans="1:19" x14ac:dyDescent="0.3">
      <c r="A667" t="s">
        <v>1498</v>
      </c>
      <c r="B667" s="1">
        <v>45618</v>
      </c>
      <c r="C667" t="s">
        <v>730</v>
      </c>
      <c r="D667" t="s">
        <v>200</v>
      </c>
      <c r="E667" t="s">
        <v>201</v>
      </c>
      <c r="F667" t="s">
        <v>23</v>
      </c>
      <c r="G667" t="s">
        <v>35</v>
      </c>
      <c r="I667" t="s">
        <v>134</v>
      </c>
      <c r="J667" t="s">
        <v>135</v>
      </c>
      <c r="K667" t="s">
        <v>27</v>
      </c>
      <c r="L667">
        <v>5</v>
      </c>
      <c r="M667">
        <v>6000</v>
      </c>
      <c r="N667">
        <v>15</v>
      </c>
      <c r="O667">
        <v>25500</v>
      </c>
      <c r="P667">
        <v>4782.3100000000004</v>
      </c>
      <c r="Q667" t="s">
        <v>74</v>
      </c>
      <c r="R667" t="s">
        <v>49</v>
      </c>
      <c r="S667" t="s">
        <v>50</v>
      </c>
    </row>
    <row r="668" spans="1:19" x14ac:dyDescent="0.3">
      <c r="A668" t="s">
        <v>1499</v>
      </c>
      <c r="B668" s="1">
        <v>46008</v>
      </c>
      <c r="C668" s="2">
        <v>46009</v>
      </c>
      <c r="D668" t="s">
        <v>477</v>
      </c>
      <c r="E668" t="s">
        <v>478</v>
      </c>
      <c r="F668" t="s">
        <v>34</v>
      </c>
      <c r="G668" t="s">
        <v>44</v>
      </c>
      <c r="H668" t="s">
        <v>161</v>
      </c>
      <c r="I668" t="s">
        <v>25</v>
      </c>
      <c r="J668" t="s">
        <v>26</v>
      </c>
      <c r="K668" t="s">
        <v>27</v>
      </c>
      <c r="L668">
        <v>10</v>
      </c>
      <c r="M668">
        <v>7000</v>
      </c>
      <c r="N668">
        <v>15</v>
      </c>
      <c r="O668">
        <v>59500</v>
      </c>
      <c r="P668">
        <v>11235.44</v>
      </c>
      <c r="Q668" t="s">
        <v>39</v>
      </c>
      <c r="R668" t="s">
        <v>56</v>
      </c>
      <c r="S668" t="s">
        <v>86</v>
      </c>
    </row>
    <row r="669" spans="1:19" x14ac:dyDescent="0.3">
      <c r="A669" t="s">
        <v>1500</v>
      </c>
      <c r="B669" s="2">
        <v>45312</v>
      </c>
      <c r="C669" s="1">
        <v>45319</v>
      </c>
      <c r="D669" t="s">
        <v>721</v>
      </c>
      <c r="E669" t="s">
        <v>722</v>
      </c>
      <c r="F669" t="s">
        <v>34</v>
      </c>
      <c r="G669" t="s">
        <v>35</v>
      </c>
      <c r="H669" t="s">
        <v>258</v>
      </c>
      <c r="I669" t="s">
        <v>79</v>
      </c>
      <c r="J669" t="s">
        <v>80</v>
      </c>
      <c r="K669" t="s">
        <v>65</v>
      </c>
      <c r="L669">
        <v>1</v>
      </c>
      <c r="M669">
        <v>3000</v>
      </c>
      <c r="N669">
        <v>15</v>
      </c>
      <c r="O669">
        <v>2550</v>
      </c>
      <c r="P669">
        <v>771.02</v>
      </c>
      <c r="Q669" t="s">
        <v>39</v>
      </c>
      <c r="R669" t="s">
        <v>49</v>
      </c>
      <c r="S669" t="s">
        <v>86</v>
      </c>
    </row>
    <row r="670" spans="1:19" x14ac:dyDescent="0.3">
      <c r="A670" t="s">
        <v>1501</v>
      </c>
      <c r="B670" s="1">
        <v>45414</v>
      </c>
      <c r="C670" s="1">
        <v>45598</v>
      </c>
      <c r="D670" t="s">
        <v>751</v>
      </c>
      <c r="E670" t="s">
        <v>752</v>
      </c>
      <c r="F670" t="s">
        <v>23</v>
      </c>
      <c r="G670" t="s">
        <v>35</v>
      </c>
      <c r="H670" t="s">
        <v>85</v>
      </c>
      <c r="I670" t="s">
        <v>25</v>
      </c>
      <c r="J670" t="s">
        <v>26</v>
      </c>
      <c r="K670" t="s">
        <v>27</v>
      </c>
      <c r="L670">
        <v>1</v>
      </c>
      <c r="M670">
        <v>7000</v>
      </c>
      <c r="N670">
        <v>0</v>
      </c>
      <c r="O670">
        <v>7000</v>
      </c>
      <c r="P670">
        <v>1389.79</v>
      </c>
      <c r="Q670" t="s">
        <v>39</v>
      </c>
      <c r="R670" t="s">
        <v>29</v>
      </c>
      <c r="S670" t="s">
        <v>30</v>
      </c>
    </row>
    <row r="671" spans="1:19" x14ac:dyDescent="0.3">
      <c r="A671" t="s">
        <v>1502</v>
      </c>
      <c r="B671" s="1">
        <v>45693</v>
      </c>
      <c r="C671" s="1">
        <v>45932</v>
      </c>
      <c r="D671" t="s">
        <v>596</v>
      </c>
      <c r="E671" t="s">
        <v>1503</v>
      </c>
      <c r="F671" t="s">
        <v>34</v>
      </c>
      <c r="G671" t="s">
        <v>91</v>
      </c>
      <c r="H671" t="s">
        <v>120</v>
      </c>
      <c r="I671" t="s">
        <v>25</v>
      </c>
      <c r="J671" t="s">
        <v>26</v>
      </c>
      <c r="K671" t="s">
        <v>27</v>
      </c>
      <c r="L671">
        <v>1</v>
      </c>
      <c r="M671">
        <v>7000</v>
      </c>
      <c r="N671">
        <v>5</v>
      </c>
      <c r="O671">
        <v>6650</v>
      </c>
      <c r="P671">
        <v>1130.3699999999999</v>
      </c>
      <c r="Q671" t="s">
        <v>28</v>
      </c>
      <c r="R671" t="s">
        <v>29</v>
      </c>
      <c r="S671" t="s">
        <v>86</v>
      </c>
    </row>
    <row r="672" spans="1:19" x14ac:dyDescent="0.3">
      <c r="A672" t="s">
        <v>1504</v>
      </c>
      <c r="B672" s="1">
        <v>45543</v>
      </c>
      <c r="C672" s="2">
        <v>45518</v>
      </c>
      <c r="D672" t="s">
        <v>473</v>
      </c>
      <c r="E672" t="s">
        <v>474</v>
      </c>
      <c r="F672" t="s">
        <v>34</v>
      </c>
      <c r="G672" t="s">
        <v>61</v>
      </c>
      <c r="H672" t="s">
        <v>62</v>
      </c>
      <c r="I672" t="s">
        <v>79</v>
      </c>
      <c r="J672" t="s">
        <v>80</v>
      </c>
      <c r="K672" t="s">
        <v>65</v>
      </c>
      <c r="L672">
        <v>2</v>
      </c>
      <c r="M672">
        <v>3000</v>
      </c>
      <c r="N672">
        <v>0</v>
      </c>
      <c r="O672">
        <v>6000</v>
      </c>
      <c r="P672">
        <v>1609.22</v>
      </c>
      <c r="Q672" t="s">
        <v>121</v>
      </c>
      <c r="R672" t="s">
        <v>29</v>
      </c>
      <c r="S672" t="s">
        <v>50</v>
      </c>
    </row>
    <row r="673" spans="1:19" x14ac:dyDescent="0.3">
      <c r="A673" t="s">
        <v>1505</v>
      </c>
      <c r="B673" s="1">
        <v>45400</v>
      </c>
      <c r="C673" s="1">
        <v>45404</v>
      </c>
      <c r="D673" t="s">
        <v>1506</v>
      </c>
      <c r="E673" t="s">
        <v>1507</v>
      </c>
      <c r="F673" t="s">
        <v>55</v>
      </c>
      <c r="G673" t="s">
        <v>61</v>
      </c>
      <c r="H673" t="s">
        <v>78</v>
      </c>
      <c r="I673" t="s">
        <v>134</v>
      </c>
      <c r="J673" t="s">
        <v>135</v>
      </c>
      <c r="K673" t="s">
        <v>27</v>
      </c>
      <c r="L673">
        <v>1</v>
      </c>
      <c r="M673">
        <v>6000</v>
      </c>
      <c r="N673">
        <v>0</v>
      </c>
      <c r="O673">
        <v>6000</v>
      </c>
      <c r="P673">
        <v>1135.8699999999999</v>
      </c>
      <c r="Q673" t="s">
        <v>28</v>
      </c>
      <c r="R673" t="s">
        <v>49</v>
      </c>
      <c r="S673" t="s">
        <v>30</v>
      </c>
    </row>
    <row r="674" spans="1:19" x14ac:dyDescent="0.3">
      <c r="A674" t="s">
        <v>1508</v>
      </c>
      <c r="B674" t="s">
        <v>565</v>
      </c>
      <c r="C674" s="2">
        <v>45427</v>
      </c>
      <c r="D674" t="s">
        <v>1168</v>
      </c>
      <c r="E674" t="s">
        <v>1169</v>
      </c>
      <c r="F674" t="s">
        <v>23</v>
      </c>
      <c r="G674" t="s">
        <v>91</v>
      </c>
      <c r="H674" t="s">
        <v>177</v>
      </c>
      <c r="I674" t="s">
        <v>103</v>
      </c>
      <c r="J674" t="s">
        <v>104</v>
      </c>
      <c r="K674" t="s">
        <v>65</v>
      </c>
      <c r="L674">
        <v>1</v>
      </c>
      <c r="M674">
        <v>8000</v>
      </c>
      <c r="N674">
        <v>5</v>
      </c>
      <c r="O674">
        <v>7600</v>
      </c>
      <c r="P674">
        <v>1612.9</v>
      </c>
      <c r="Q674" t="s">
        <v>39</v>
      </c>
      <c r="R674" t="s">
        <v>56</v>
      </c>
      <c r="S674" t="s">
        <v>110</v>
      </c>
    </row>
    <row r="675" spans="1:19" x14ac:dyDescent="0.3">
      <c r="A675" t="s">
        <v>1509</v>
      </c>
      <c r="B675" s="2">
        <v>45649</v>
      </c>
      <c r="C675" s="2">
        <v>45652</v>
      </c>
      <c r="D675" t="s">
        <v>1482</v>
      </c>
      <c r="E675" t="s">
        <v>1483</v>
      </c>
      <c r="F675" t="s">
        <v>23</v>
      </c>
      <c r="G675" t="s">
        <v>44</v>
      </c>
      <c r="H675" t="s">
        <v>161</v>
      </c>
      <c r="I675" t="s">
        <v>37</v>
      </c>
      <c r="J675" t="s">
        <v>38</v>
      </c>
      <c r="K675" t="s">
        <v>27</v>
      </c>
      <c r="L675">
        <v>2</v>
      </c>
      <c r="M675">
        <v>9500</v>
      </c>
      <c r="N675">
        <v>20</v>
      </c>
      <c r="O675">
        <v>15200</v>
      </c>
      <c r="P675">
        <v>2895.33</v>
      </c>
      <c r="Q675" t="s">
        <v>66</v>
      </c>
      <c r="R675" t="s">
        <v>56</v>
      </c>
      <c r="S675" t="s">
        <v>30</v>
      </c>
    </row>
    <row r="676" spans="1:19" x14ac:dyDescent="0.3">
      <c r="A676" t="s">
        <v>1510</v>
      </c>
      <c r="B676" s="1">
        <v>45609</v>
      </c>
      <c r="C676" t="s">
        <v>1511</v>
      </c>
      <c r="D676" t="s">
        <v>657</v>
      </c>
      <c r="E676" t="s">
        <v>658</v>
      </c>
      <c r="F676" t="s">
        <v>34</v>
      </c>
      <c r="G676" t="s">
        <v>91</v>
      </c>
      <c r="H676" t="s">
        <v>120</v>
      </c>
      <c r="I676" t="s">
        <v>37</v>
      </c>
      <c r="J676" t="s">
        <v>38</v>
      </c>
      <c r="K676" t="s">
        <v>27</v>
      </c>
      <c r="L676">
        <v>3</v>
      </c>
      <c r="M676">
        <v>9500</v>
      </c>
      <c r="N676">
        <v>5</v>
      </c>
      <c r="O676">
        <v>27075</v>
      </c>
      <c r="P676">
        <v>4069.81</v>
      </c>
      <c r="Q676" t="s">
        <v>74</v>
      </c>
      <c r="R676" t="s">
        <v>56</v>
      </c>
      <c r="S676" t="s">
        <v>30</v>
      </c>
    </row>
    <row r="677" spans="1:19" x14ac:dyDescent="0.3">
      <c r="A677" t="s">
        <v>1512</v>
      </c>
      <c r="B677" s="1">
        <v>45358</v>
      </c>
      <c r="C677" s="1">
        <v>45360</v>
      </c>
      <c r="D677" t="s">
        <v>129</v>
      </c>
      <c r="E677" t="s">
        <v>130</v>
      </c>
      <c r="F677" t="s">
        <v>34</v>
      </c>
      <c r="G677" t="s">
        <v>61</v>
      </c>
      <c r="H677" t="s">
        <v>78</v>
      </c>
      <c r="I677" t="s">
        <v>79</v>
      </c>
      <c r="J677" t="s">
        <v>80</v>
      </c>
      <c r="K677" t="s">
        <v>65</v>
      </c>
      <c r="L677">
        <v>1</v>
      </c>
      <c r="M677">
        <v>3000</v>
      </c>
      <c r="N677">
        <v>20</v>
      </c>
      <c r="O677">
        <v>2400</v>
      </c>
      <c r="P677">
        <v>517.53</v>
      </c>
      <c r="Q677" t="s">
        <v>28</v>
      </c>
      <c r="R677" t="s">
        <v>49</v>
      </c>
      <c r="S677" t="s">
        <v>40</v>
      </c>
    </row>
    <row r="678" spans="1:19" x14ac:dyDescent="0.3">
      <c r="A678" t="s">
        <v>1513</v>
      </c>
      <c r="B678" s="2">
        <v>45479</v>
      </c>
      <c r="C678" s="1">
        <v>45633</v>
      </c>
      <c r="D678" t="s">
        <v>981</v>
      </c>
      <c r="E678" t="s">
        <v>1514</v>
      </c>
      <c r="F678" t="s">
        <v>23</v>
      </c>
      <c r="G678" t="s">
        <v>91</v>
      </c>
      <c r="H678" t="s">
        <v>177</v>
      </c>
      <c r="I678" t="s">
        <v>134</v>
      </c>
      <c r="J678" t="s">
        <v>135</v>
      </c>
      <c r="K678" t="s">
        <v>27</v>
      </c>
      <c r="L678">
        <v>3</v>
      </c>
      <c r="M678">
        <v>6000</v>
      </c>
      <c r="N678">
        <v>15</v>
      </c>
      <c r="O678">
        <v>15300</v>
      </c>
      <c r="P678">
        <v>3055.59</v>
      </c>
      <c r="Q678" t="s">
        <v>28</v>
      </c>
      <c r="R678" t="s">
        <v>49</v>
      </c>
      <c r="S678" t="s">
        <v>86</v>
      </c>
    </row>
    <row r="679" spans="1:19" x14ac:dyDescent="0.3">
      <c r="A679" t="s">
        <v>1515</v>
      </c>
      <c r="B679" s="1">
        <v>45864</v>
      </c>
      <c r="C679" s="2">
        <v>45867</v>
      </c>
      <c r="D679" t="s">
        <v>42</v>
      </c>
      <c r="E679" t="s">
        <v>43</v>
      </c>
      <c r="F679" t="s">
        <v>23</v>
      </c>
      <c r="G679" t="s">
        <v>44</v>
      </c>
      <c r="H679" t="s">
        <v>45</v>
      </c>
      <c r="I679" t="s">
        <v>147</v>
      </c>
      <c r="J679" t="s">
        <v>148</v>
      </c>
      <c r="K679" t="s">
        <v>48</v>
      </c>
      <c r="L679">
        <v>3</v>
      </c>
      <c r="M679">
        <v>250</v>
      </c>
      <c r="N679">
        <v>0</v>
      </c>
      <c r="O679">
        <v>750</v>
      </c>
      <c r="P679">
        <v>267.2</v>
      </c>
      <c r="Q679" t="s">
        <v>66</v>
      </c>
      <c r="R679" t="s">
        <v>56</v>
      </c>
      <c r="S679" t="s">
        <v>110</v>
      </c>
    </row>
    <row r="680" spans="1:19" x14ac:dyDescent="0.3">
      <c r="A680" t="s">
        <v>1516</v>
      </c>
      <c r="B680" s="1">
        <v>45620</v>
      </c>
      <c r="C680" s="1">
        <v>45625</v>
      </c>
      <c r="D680" t="s">
        <v>509</v>
      </c>
      <c r="E680" t="s">
        <v>510</v>
      </c>
      <c r="F680" t="s">
        <v>23</v>
      </c>
      <c r="G680" t="s">
        <v>91</v>
      </c>
      <c r="H680" t="s">
        <v>120</v>
      </c>
      <c r="I680" t="s">
        <v>63</v>
      </c>
      <c r="J680" t="s">
        <v>64</v>
      </c>
      <c r="K680" t="s">
        <v>65</v>
      </c>
      <c r="L680">
        <v>1</v>
      </c>
      <c r="M680">
        <v>25000</v>
      </c>
      <c r="N680">
        <v>0</v>
      </c>
      <c r="O680">
        <v>25000</v>
      </c>
      <c r="P680">
        <v>3776.39</v>
      </c>
      <c r="Q680" t="s">
        <v>74</v>
      </c>
      <c r="R680" t="s">
        <v>49</v>
      </c>
      <c r="S680" t="s">
        <v>86</v>
      </c>
    </row>
    <row r="681" spans="1:19" x14ac:dyDescent="0.3">
      <c r="A681" t="s">
        <v>1517</v>
      </c>
      <c r="B681" t="s">
        <v>1518</v>
      </c>
      <c r="C681" t="s">
        <v>825</v>
      </c>
      <c r="D681" t="s">
        <v>233</v>
      </c>
      <c r="E681" t="s">
        <v>234</v>
      </c>
      <c r="F681" t="s">
        <v>23</v>
      </c>
      <c r="G681" t="s">
        <v>61</v>
      </c>
      <c r="H681" t="s">
        <v>211</v>
      </c>
      <c r="I681" t="s">
        <v>63</v>
      </c>
      <c r="J681" t="s">
        <v>64</v>
      </c>
      <c r="K681" t="s">
        <v>65</v>
      </c>
      <c r="L681">
        <v>1</v>
      </c>
      <c r="M681">
        <v>25000</v>
      </c>
      <c r="N681">
        <v>10</v>
      </c>
      <c r="O681">
        <v>22500</v>
      </c>
      <c r="P681">
        <v>3496.3</v>
      </c>
      <c r="Q681" t="s">
        <v>66</v>
      </c>
      <c r="R681" t="s">
        <v>49</v>
      </c>
      <c r="S681" t="s">
        <v>86</v>
      </c>
    </row>
    <row r="682" spans="1:19" x14ac:dyDescent="0.3">
      <c r="A682" t="s">
        <v>1519</v>
      </c>
      <c r="B682" s="1">
        <v>45507</v>
      </c>
      <c r="C682" s="1">
        <v>45508</v>
      </c>
      <c r="D682" t="s">
        <v>403</v>
      </c>
      <c r="E682" t="s">
        <v>404</v>
      </c>
      <c r="F682" t="s">
        <v>55</v>
      </c>
      <c r="G682" t="s">
        <v>35</v>
      </c>
      <c r="H682" t="s">
        <v>36</v>
      </c>
      <c r="I682" t="s">
        <v>25</v>
      </c>
      <c r="J682" t="s">
        <v>26</v>
      </c>
      <c r="K682" t="s">
        <v>27</v>
      </c>
      <c r="L682">
        <v>1</v>
      </c>
      <c r="M682">
        <v>7000</v>
      </c>
      <c r="N682">
        <v>0</v>
      </c>
      <c r="O682">
        <v>7000</v>
      </c>
      <c r="P682">
        <v>1178.6500000000001</v>
      </c>
      <c r="Q682" t="s">
        <v>74</v>
      </c>
      <c r="R682" t="s">
        <v>56</v>
      </c>
      <c r="S682" t="s">
        <v>57</v>
      </c>
    </row>
    <row r="683" spans="1:19" x14ac:dyDescent="0.3">
      <c r="A683" t="s">
        <v>1520</v>
      </c>
      <c r="B683" s="1">
        <v>45815</v>
      </c>
      <c r="C683" s="1">
        <v>45906</v>
      </c>
      <c r="D683" t="s">
        <v>1055</v>
      </c>
      <c r="E683" t="s">
        <v>1056</v>
      </c>
      <c r="F683" t="s">
        <v>55</v>
      </c>
      <c r="G683" t="s">
        <v>61</v>
      </c>
      <c r="H683" t="s">
        <v>62</v>
      </c>
      <c r="I683" t="s">
        <v>147</v>
      </c>
      <c r="J683" t="s">
        <v>148</v>
      </c>
      <c r="K683" t="s">
        <v>48</v>
      </c>
      <c r="L683">
        <v>1</v>
      </c>
      <c r="M683">
        <v>250</v>
      </c>
      <c r="N683">
        <v>20</v>
      </c>
      <c r="O683">
        <v>200</v>
      </c>
      <c r="P683">
        <v>70.55</v>
      </c>
      <c r="Q683" t="s">
        <v>74</v>
      </c>
      <c r="R683" t="s">
        <v>49</v>
      </c>
      <c r="S683" t="s">
        <v>30</v>
      </c>
    </row>
    <row r="684" spans="1:19" x14ac:dyDescent="0.3">
      <c r="A684" t="s">
        <v>1521</v>
      </c>
      <c r="B684" s="2">
        <v>45327</v>
      </c>
      <c r="C684" s="2">
        <v>45328</v>
      </c>
      <c r="D684" t="s">
        <v>349</v>
      </c>
      <c r="E684" t="s">
        <v>350</v>
      </c>
      <c r="F684" t="s">
        <v>34</v>
      </c>
      <c r="G684" t="s">
        <v>91</v>
      </c>
      <c r="H684" t="s">
        <v>120</v>
      </c>
      <c r="I684" t="s">
        <v>71</v>
      </c>
      <c r="J684" t="s">
        <v>72</v>
      </c>
      <c r="K684" t="s">
        <v>73</v>
      </c>
      <c r="L684">
        <v>4</v>
      </c>
      <c r="M684">
        <v>3500</v>
      </c>
      <c r="N684">
        <v>10</v>
      </c>
      <c r="O684">
        <v>12600</v>
      </c>
      <c r="P684">
        <v>3171.03</v>
      </c>
      <c r="Q684" t="s">
        <v>156</v>
      </c>
      <c r="R684" t="s">
        <v>56</v>
      </c>
      <c r="S684" t="s">
        <v>86</v>
      </c>
    </row>
    <row r="685" spans="1:19" x14ac:dyDescent="0.3">
      <c r="A685" t="s">
        <v>1522</v>
      </c>
      <c r="B685" s="2">
        <v>45794</v>
      </c>
      <c r="C685" t="s">
        <v>852</v>
      </c>
      <c r="D685" t="s">
        <v>409</v>
      </c>
      <c r="E685" t="s">
        <v>410</v>
      </c>
      <c r="F685" t="s">
        <v>23</v>
      </c>
      <c r="G685" t="s">
        <v>61</v>
      </c>
      <c r="H685" t="s">
        <v>125</v>
      </c>
      <c r="I685" t="s">
        <v>126</v>
      </c>
      <c r="J685" t="s">
        <v>127</v>
      </c>
      <c r="K685" t="s">
        <v>95</v>
      </c>
      <c r="L685">
        <v>10</v>
      </c>
      <c r="M685">
        <v>600</v>
      </c>
      <c r="N685">
        <v>5</v>
      </c>
      <c r="O685">
        <v>5700</v>
      </c>
      <c r="P685">
        <v>1549.71</v>
      </c>
      <c r="Q685" t="s">
        <v>66</v>
      </c>
      <c r="R685" t="s">
        <v>49</v>
      </c>
      <c r="S685" t="s">
        <v>110</v>
      </c>
    </row>
    <row r="686" spans="1:19" x14ac:dyDescent="0.3">
      <c r="A686" t="s">
        <v>1523</v>
      </c>
      <c r="B686" t="s">
        <v>1524</v>
      </c>
      <c r="C686" s="2">
        <v>45526</v>
      </c>
      <c r="D686" t="s">
        <v>1414</v>
      </c>
      <c r="E686" t="s">
        <v>1415</v>
      </c>
      <c r="F686" t="s">
        <v>55</v>
      </c>
      <c r="G686" t="s">
        <v>44</v>
      </c>
      <c r="H686" t="s">
        <v>24</v>
      </c>
      <c r="I686" t="s">
        <v>93</v>
      </c>
      <c r="J686" t="s">
        <v>94</v>
      </c>
      <c r="K686" t="s">
        <v>95</v>
      </c>
      <c r="L686">
        <v>1</v>
      </c>
      <c r="M686">
        <v>1800</v>
      </c>
      <c r="N686">
        <v>0</v>
      </c>
      <c r="O686">
        <v>1800</v>
      </c>
      <c r="P686">
        <v>561.5</v>
      </c>
      <c r="Q686" t="s">
        <v>156</v>
      </c>
      <c r="R686" t="s">
        <v>441</v>
      </c>
      <c r="S686" t="s">
        <v>110</v>
      </c>
    </row>
    <row r="687" spans="1:19" x14ac:dyDescent="0.3">
      <c r="A687" t="s">
        <v>1525</v>
      </c>
      <c r="B687" s="1">
        <v>45853</v>
      </c>
      <c r="C687" s="2">
        <v>45861</v>
      </c>
      <c r="D687" t="s">
        <v>223</v>
      </c>
      <c r="E687" t="s">
        <v>224</v>
      </c>
      <c r="F687" t="s">
        <v>34</v>
      </c>
      <c r="G687" t="s">
        <v>35</v>
      </c>
      <c r="H687" t="s">
        <v>85</v>
      </c>
      <c r="I687" t="s">
        <v>126</v>
      </c>
      <c r="J687" t="s">
        <v>127</v>
      </c>
      <c r="K687" t="s">
        <v>95</v>
      </c>
      <c r="L687">
        <v>10</v>
      </c>
      <c r="M687">
        <v>600</v>
      </c>
      <c r="N687">
        <v>5</v>
      </c>
      <c r="O687">
        <v>5700</v>
      </c>
      <c r="P687">
        <v>1661.8</v>
      </c>
      <c r="Q687" t="s">
        <v>66</v>
      </c>
      <c r="R687" t="s">
        <v>49</v>
      </c>
      <c r="S687" t="s">
        <v>40</v>
      </c>
    </row>
    <row r="688" spans="1:19" x14ac:dyDescent="0.3">
      <c r="A688" t="s">
        <v>1526</v>
      </c>
      <c r="B688" s="2">
        <v>45694</v>
      </c>
      <c r="C688" s="1">
        <v>45697</v>
      </c>
      <c r="D688" t="s">
        <v>1262</v>
      </c>
      <c r="E688" t="s">
        <v>1263</v>
      </c>
      <c r="F688" t="s">
        <v>23</v>
      </c>
      <c r="G688" t="s">
        <v>91</v>
      </c>
      <c r="H688" t="s">
        <v>120</v>
      </c>
      <c r="I688" t="s">
        <v>25</v>
      </c>
      <c r="J688" t="s">
        <v>26</v>
      </c>
      <c r="K688" t="s">
        <v>27</v>
      </c>
      <c r="L688">
        <v>1</v>
      </c>
      <c r="M688">
        <v>7000</v>
      </c>
      <c r="N688">
        <v>10</v>
      </c>
      <c r="O688">
        <v>6300</v>
      </c>
      <c r="P688">
        <v>1080.97</v>
      </c>
      <c r="Q688" t="s">
        <v>156</v>
      </c>
      <c r="R688" t="s">
        <v>56</v>
      </c>
      <c r="S688" t="s">
        <v>86</v>
      </c>
    </row>
    <row r="689" spans="1:19" x14ac:dyDescent="0.3">
      <c r="A689" t="s">
        <v>1527</v>
      </c>
      <c r="B689" s="1">
        <v>45991</v>
      </c>
      <c r="C689" s="1">
        <v>45996</v>
      </c>
      <c r="D689" t="s">
        <v>159</v>
      </c>
      <c r="E689" t="s">
        <v>160</v>
      </c>
      <c r="F689" t="s">
        <v>34</v>
      </c>
      <c r="G689" t="s">
        <v>44</v>
      </c>
      <c r="H689" t="s">
        <v>161</v>
      </c>
      <c r="I689" t="s">
        <v>93</v>
      </c>
      <c r="J689" t="s">
        <v>94</v>
      </c>
      <c r="K689" t="s">
        <v>95</v>
      </c>
      <c r="L689">
        <v>5</v>
      </c>
      <c r="M689">
        <v>1800</v>
      </c>
      <c r="N689">
        <v>0</v>
      </c>
      <c r="O689">
        <v>9000</v>
      </c>
      <c r="P689">
        <v>2497.56</v>
      </c>
      <c r="Q689" t="s">
        <v>28</v>
      </c>
      <c r="R689" t="s">
        <v>49</v>
      </c>
      <c r="S689" t="s">
        <v>86</v>
      </c>
    </row>
    <row r="690" spans="1:19" x14ac:dyDescent="0.3">
      <c r="A690" t="s">
        <v>1528</v>
      </c>
      <c r="B690" s="1">
        <v>45675</v>
      </c>
      <c r="C690" s="1">
        <v>45680</v>
      </c>
      <c r="D690" t="s">
        <v>798</v>
      </c>
      <c r="E690" t="s">
        <v>799</v>
      </c>
      <c r="F690" t="s">
        <v>23</v>
      </c>
      <c r="G690" t="s">
        <v>44</v>
      </c>
      <c r="H690" t="s">
        <v>330</v>
      </c>
      <c r="I690" t="s">
        <v>126</v>
      </c>
      <c r="J690" t="s">
        <v>127</v>
      </c>
      <c r="K690" t="s">
        <v>95</v>
      </c>
      <c r="L690">
        <v>2</v>
      </c>
      <c r="M690">
        <v>600</v>
      </c>
      <c r="N690">
        <v>10</v>
      </c>
      <c r="O690">
        <v>1080</v>
      </c>
      <c r="P690">
        <v>387.26</v>
      </c>
      <c r="Q690" t="s">
        <v>156</v>
      </c>
      <c r="R690" t="s">
        <v>29</v>
      </c>
      <c r="S690" t="s">
        <v>30</v>
      </c>
    </row>
    <row r="691" spans="1:19" x14ac:dyDescent="0.3">
      <c r="A691" t="s">
        <v>1529</v>
      </c>
      <c r="B691" s="2">
        <v>45542</v>
      </c>
      <c r="C691" s="1">
        <v>45543</v>
      </c>
      <c r="D691" t="s">
        <v>1369</v>
      </c>
      <c r="E691" t="s">
        <v>1370</v>
      </c>
      <c r="F691" t="s">
        <v>55</v>
      </c>
      <c r="G691" t="s">
        <v>44</v>
      </c>
      <c r="I691" t="s">
        <v>114</v>
      </c>
      <c r="J691" t="s">
        <v>115</v>
      </c>
      <c r="K691" t="s">
        <v>65</v>
      </c>
      <c r="L691">
        <v>1</v>
      </c>
      <c r="M691">
        <v>55000</v>
      </c>
      <c r="N691">
        <v>5</v>
      </c>
      <c r="O691">
        <v>52250</v>
      </c>
      <c r="P691">
        <v>7019.84</v>
      </c>
      <c r="Q691" t="s">
        <v>74</v>
      </c>
      <c r="R691" t="s">
        <v>56</v>
      </c>
      <c r="S691" t="s">
        <v>50</v>
      </c>
    </row>
    <row r="692" spans="1:19" x14ac:dyDescent="0.3">
      <c r="A692" t="s">
        <v>1530</v>
      </c>
      <c r="B692" t="s">
        <v>730</v>
      </c>
      <c r="C692" s="1">
        <v>45632</v>
      </c>
      <c r="D692" t="s">
        <v>1036</v>
      </c>
      <c r="E692" t="s">
        <v>1037</v>
      </c>
      <c r="F692" t="s">
        <v>23</v>
      </c>
      <c r="G692" t="s">
        <v>61</v>
      </c>
      <c r="H692" t="s">
        <v>211</v>
      </c>
      <c r="I692" t="s">
        <v>46</v>
      </c>
      <c r="J692" t="s">
        <v>47</v>
      </c>
      <c r="K692" t="s">
        <v>48</v>
      </c>
      <c r="L692">
        <v>3</v>
      </c>
      <c r="M692">
        <v>180</v>
      </c>
      <c r="N692">
        <v>5</v>
      </c>
      <c r="O692">
        <v>513</v>
      </c>
      <c r="P692">
        <v>214.05</v>
      </c>
      <c r="Q692" t="s">
        <v>74</v>
      </c>
      <c r="R692" t="s">
        <v>29</v>
      </c>
      <c r="S692" t="s">
        <v>30</v>
      </c>
    </row>
    <row r="693" spans="1:19" x14ac:dyDescent="0.3">
      <c r="A693" t="s">
        <v>1531</v>
      </c>
      <c r="B693" s="1">
        <v>45611</v>
      </c>
      <c r="C693" s="2">
        <v>45614</v>
      </c>
      <c r="D693" t="s">
        <v>1532</v>
      </c>
      <c r="E693" t="s">
        <v>1533</v>
      </c>
      <c r="F693" t="s">
        <v>34</v>
      </c>
      <c r="G693" t="s">
        <v>44</v>
      </c>
      <c r="I693" t="s">
        <v>134</v>
      </c>
      <c r="J693" t="s">
        <v>135</v>
      </c>
      <c r="K693" t="s">
        <v>27</v>
      </c>
      <c r="L693">
        <v>1</v>
      </c>
      <c r="M693">
        <v>6000</v>
      </c>
      <c r="N693">
        <v>10</v>
      </c>
      <c r="O693">
        <v>5400</v>
      </c>
      <c r="P693">
        <v>975.51</v>
      </c>
      <c r="Q693" t="s">
        <v>39</v>
      </c>
      <c r="R693" t="s">
        <v>56</v>
      </c>
      <c r="S693" t="s">
        <v>50</v>
      </c>
    </row>
    <row r="694" spans="1:19" x14ac:dyDescent="0.3">
      <c r="A694" t="s">
        <v>1534</v>
      </c>
      <c r="B694" s="1">
        <v>45475</v>
      </c>
      <c r="C694" s="2">
        <v>45482</v>
      </c>
      <c r="D694" t="s">
        <v>520</v>
      </c>
      <c r="E694" t="s">
        <v>521</v>
      </c>
      <c r="F694" t="s">
        <v>23</v>
      </c>
      <c r="G694" t="s">
        <v>91</v>
      </c>
      <c r="H694" t="s">
        <v>109</v>
      </c>
      <c r="I694" t="s">
        <v>103</v>
      </c>
      <c r="J694" t="s">
        <v>104</v>
      </c>
      <c r="K694" t="s">
        <v>65</v>
      </c>
      <c r="L694">
        <v>4</v>
      </c>
      <c r="M694">
        <v>8000</v>
      </c>
      <c r="N694">
        <v>15</v>
      </c>
      <c r="O694">
        <v>27200</v>
      </c>
      <c r="P694">
        <v>5935.25</v>
      </c>
      <c r="Q694" t="s">
        <v>156</v>
      </c>
      <c r="R694" t="s">
        <v>29</v>
      </c>
      <c r="S694" t="s">
        <v>40</v>
      </c>
    </row>
    <row r="695" spans="1:19" x14ac:dyDescent="0.3">
      <c r="A695" t="s">
        <v>1535</v>
      </c>
      <c r="B695" s="1">
        <v>45385</v>
      </c>
      <c r="C695" s="2">
        <v>45393</v>
      </c>
      <c r="D695" t="s">
        <v>1461</v>
      </c>
      <c r="E695" t="s">
        <v>1536</v>
      </c>
      <c r="F695" t="s">
        <v>55</v>
      </c>
      <c r="G695" t="s">
        <v>91</v>
      </c>
      <c r="H695" t="s">
        <v>109</v>
      </c>
      <c r="I695" t="s">
        <v>147</v>
      </c>
      <c r="J695" t="s">
        <v>148</v>
      </c>
      <c r="K695" t="s">
        <v>48</v>
      </c>
      <c r="L695">
        <v>4</v>
      </c>
      <c r="M695">
        <v>250</v>
      </c>
      <c r="N695">
        <v>5</v>
      </c>
      <c r="O695">
        <v>950</v>
      </c>
      <c r="P695">
        <v>388.92</v>
      </c>
      <c r="Q695" t="s">
        <v>121</v>
      </c>
      <c r="R695" t="s">
        <v>56</v>
      </c>
      <c r="S695" t="s">
        <v>30</v>
      </c>
    </row>
    <row r="696" spans="1:19" x14ac:dyDescent="0.3">
      <c r="A696" t="s">
        <v>1537</v>
      </c>
      <c r="B696" s="1">
        <v>45460</v>
      </c>
      <c r="C696" s="1">
        <v>45461</v>
      </c>
      <c r="D696" t="s">
        <v>557</v>
      </c>
      <c r="E696" t="s">
        <v>558</v>
      </c>
      <c r="F696" t="s">
        <v>23</v>
      </c>
      <c r="G696" t="s">
        <v>61</v>
      </c>
      <c r="H696" t="s">
        <v>62</v>
      </c>
      <c r="I696" t="s">
        <v>63</v>
      </c>
      <c r="J696" t="s">
        <v>64</v>
      </c>
      <c r="K696" t="s">
        <v>65</v>
      </c>
      <c r="L696">
        <v>1</v>
      </c>
      <c r="M696">
        <v>25000</v>
      </c>
      <c r="N696">
        <v>15</v>
      </c>
      <c r="O696">
        <v>21250</v>
      </c>
      <c r="P696">
        <v>3479.22</v>
      </c>
      <c r="Q696" t="s">
        <v>28</v>
      </c>
      <c r="R696" t="s">
        <v>49</v>
      </c>
      <c r="S696" t="s">
        <v>110</v>
      </c>
    </row>
    <row r="697" spans="1:19" x14ac:dyDescent="0.3">
      <c r="A697" t="s">
        <v>1538</v>
      </c>
      <c r="B697" t="s">
        <v>1539</v>
      </c>
      <c r="C697" s="1">
        <v>45322</v>
      </c>
      <c r="D697" t="s">
        <v>1540</v>
      </c>
      <c r="E697" t="s">
        <v>1541</v>
      </c>
      <c r="F697" t="s">
        <v>23</v>
      </c>
      <c r="G697" t="s">
        <v>61</v>
      </c>
      <c r="H697" t="s">
        <v>78</v>
      </c>
      <c r="I697" t="s">
        <v>126</v>
      </c>
      <c r="J697" t="s">
        <v>127</v>
      </c>
      <c r="K697" t="s">
        <v>95</v>
      </c>
      <c r="L697">
        <v>1</v>
      </c>
      <c r="M697">
        <v>600</v>
      </c>
      <c r="N697">
        <v>0</v>
      </c>
      <c r="O697">
        <v>600</v>
      </c>
      <c r="P697">
        <v>231.65</v>
      </c>
      <c r="Q697" t="s">
        <v>39</v>
      </c>
      <c r="R697" t="s">
        <v>49</v>
      </c>
      <c r="S697" t="s">
        <v>86</v>
      </c>
    </row>
    <row r="698" spans="1:19" x14ac:dyDescent="0.3">
      <c r="A698" t="s">
        <v>1542</v>
      </c>
      <c r="B698" s="2">
        <v>45973</v>
      </c>
      <c r="C698" s="1">
        <v>45980</v>
      </c>
      <c r="D698" t="s">
        <v>494</v>
      </c>
      <c r="E698" t="s">
        <v>495</v>
      </c>
      <c r="F698" t="s">
        <v>34</v>
      </c>
      <c r="G698" t="s">
        <v>35</v>
      </c>
      <c r="H698" t="s">
        <v>258</v>
      </c>
      <c r="I698" t="s">
        <v>71</v>
      </c>
      <c r="J698" t="s">
        <v>72</v>
      </c>
      <c r="K698" t="s">
        <v>73</v>
      </c>
      <c r="L698">
        <v>1</v>
      </c>
      <c r="M698">
        <v>3500</v>
      </c>
      <c r="N698">
        <v>20</v>
      </c>
      <c r="O698">
        <v>2800</v>
      </c>
      <c r="P698">
        <v>691.85</v>
      </c>
      <c r="Q698" t="s">
        <v>39</v>
      </c>
      <c r="R698" t="s">
        <v>49</v>
      </c>
      <c r="S698" t="s">
        <v>50</v>
      </c>
    </row>
    <row r="699" spans="1:19" x14ac:dyDescent="0.3">
      <c r="A699" t="s">
        <v>1543</v>
      </c>
      <c r="B699" s="1">
        <v>45561</v>
      </c>
      <c r="C699" s="1">
        <v>45566</v>
      </c>
      <c r="D699" t="s">
        <v>617</v>
      </c>
      <c r="E699" t="s">
        <v>618</v>
      </c>
      <c r="F699" t="s">
        <v>23</v>
      </c>
      <c r="G699" t="s">
        <v>91</v>
      </c>
      <c r="H699" t="s">
        <v>120</v>
      </c>
      <c r="I699" t="s">
        <v>103</v>
      </c>
      <c r="J699" t="s">
        <v>104</v>
      </c>
      <c r="K699" t="s">
        <v>65</v>
      </c>
      <c r="L699">
        <v>1</v>
      </c>
      <c r="M699">
        <v>8000</v>
      </c>
      <c r="N699">
        <v>15</v>
      </c>
      <c r="O699">
        <v>6800</v>
      </c>
      <c r="P699">
        <v>1352.9</v>
      </c>
      <c r="Q699" t="s">
        <v>74</v>
      </c>
      <c r="R699" t="s">
        <v>56</v>
      </c>
      <c r="S699" t="s">
        <v>40</v>
      </c>
    </row>
    <row r="700" spans="1:19" x14ac:dyDescent="0.3">
      <c r="A700" t="s">
        <v>1544</v>
      </c>
      <c r="B700" t="s">
        <v>989</v>
      </c>
      <c r="C700" t="s">
        <v>1148</v>
      </c>
      <c r="D700" t="s">
        <v>882</v>
      </c>
      <c r="E700" t="s">
        <v>1545</v>
      </c>
      <c r="F700" t="s">
        <v>55</v>
      </c>
      <c r="G700" t="s">
        <v>44</v>
      </c>
      <c r="H700" t="s">
        <v>24</v>
      </c>
      <c r="I700" t="s">
        <v>25</v>
      </c>
      <c r="J700" t="s">
        <v>26</v>
      </c>
      <c r="K700" t="s">
        <v>27</v>
      </c>
      <c r="L700">
        <v>1</v>
      </c>
      <c r="M700">
        <v>7000</v>
      </c>
      <c r="N700">
        <v>0</v>
      </c>
      <c r="O700">
        <v>7000</v>
      </c>
      <c r="P700">
        <v>1570.49</v>
      </c>
      <c r="Q700" t="s">
        <v>74</v>
      </c>
      <c r="R700" t="s">
        <v>49</v>
      </c>
      <c r="S700" t="s">
        <v>50</v>
      </c>
    </row>
    <row r="701" spans="1:19" x14ac:dyDescent="0.3">
      <c r="A701" t="s">
        <v>1546</v>
      </c>
      <c r="B701" s="1">
        <v>45724</v>
      </c>
      <c r="C701" t="s">
        <v>985</v>
      </c>
      <c r="D701" t="s">
        <v>910</v>
      </c>
      <c r="E701" t="s">
        <v>911</v>
      </c>
      <c r="F701" t="s">
        <v>34</v>
      </c>
      <c r="G701" t="s">
        <v>35</v>
      </c>
      <c r="H701" t="s">
        <v>36</v>
      </c>
      <c r="I701" t="s">
        <v>114</v>
      </c>
      <c r="J701" t="s">
        <v>115</v>
      </c>
      <c r="K701" t="s">
        <v>65</v>
      </c>
      <c r="L701">
        <v>2</v>
      </c>
      <c r="M701">
        <v>55000</v>
      </c>
      <c r="N701">
        <v>10</v>
      </c>
      <c r="O701">
        <v>99000</v>
      </c>
      <c r="P701">
        <v>12926.7</v>
      </c>
      <c r="Q701" t="s">
        <v>28</v>
      </c>
      <c r="R701" t="s">
        <v>29</v>
      </c>
      <c r="S701" t="s">
        <v>30</v>
      </c>
    </row>
    <row r="702" spans="1:19" x14ac:dyDescent="0.3">
      <c r="A702" t="s">
        <v>1547</v>
      </c>
      <c r="B702" t="s">
        <v>1548</v>
      </c>
      <c r="C702" s="2">
        <v>45474</v>
      </c>
      <c r="D702" t="s">
        <v>359</v>
      </c>
      <c r="E702" t="s">
        <v>360</v>
      </c>
      <c r="F702" t="s">
        <v>34</v>
      </c>
      <c r="G702" t="s">
        <v>61</v>
      </c>
      <c r="H702" t="s">
        <v>125</v>
      </c>
      <c r="I702" t="s">
        <v>93</v>
      </c>
      <c r="J702" t="s">
        <v>94</v>
      </c>
      <c r="K702" t="s">
        <v>95</v>
      </c>
      <c r="L702">
        <v>1</v>
      </c>
      <c r="M702">
        <v>1800</v>
      </c>
      <c r="N702">
        <v>0</v>
      </c>
      <c r="O702">
        <v>1800</v>
      </c>
      <c r="P702">
        <v>544.25</v>
      </c>
      <c r="Q702" t="s">
        <v>74</v>
      </c>
      <c r="R702" t="s">
        <v>49</v>
      </c>
      <c r="S702" t="s">
        <v>30</v>
      </c>
    </row>
    <row r="703" spans="1:19" x14ac:dyDescent="0.3">
      <c r="A703" t="s">
        <v>1549</v>
      </c>
      <c r="B703" s="2">
        <v>45694</v>
      </c>
      <c r="C703" t="s">
        <v>255</v>
      </c>
      <c r="D703" t="s">
        <v>1343</v>
      </c>
      <c r="E703" t="s">
        <v>1550</v>
      </c>
      <c r="F703" t="s">
        <v>34</v>
      </c>
      <c r="G703" t="s">
        <v>91</v>
      </c>
      <c r="H703" t="s">
        <v>177</v>
      </c>
      <c r="I703" t="s">
        <v>126</v>
      </c>
      <c r="J703" t="s">
        <v>127</v>
      </c>
      <c r="K703" t="s">
        <v>95</v>
      </c>
      <c r="L703">
        <v>2</v>
      </c>
      <c r="M703">
        <v>600</v>
      </c>
      <c r="N703">
        <v>10</v>
      </c>
      <c r="O703">
        <v>1080</v>
      </c>
      <c r="P703">
        <v>391.1</v>
      </c>
      <c r="Q703" t="s">
        <v>28</v>
      </c>
      <c r="R703" t="s">
        <v>49</v>
      </c>
      <c r="S703" t="s">
        <v>86</v>
      </c>
    </row>
    <row r="704" spans="1:19" x14ac:dyDescent="0.3">
      <c r="A704" t="s">
        <v>1551</v>
      </c>
      <c r="B704" s="1">
        <v>45334</v>
      </c>
      <c r="C704" s="1">
        <v>45339</v>
      </c>
      <c r="D704" t="s">
        <v>784</v>
      </c>
      <c r="E704" t="s">
        <v>785</v>
      </c>
      <c r="F704" t="s">
        <v>23</v>
      </c>
      <c r="G704" t="s">
        <v>91</v>
      </c>
      <c r="H704" t="s">
        <v>92</v>
      </c>
      <c r="I704" t="s">
        <v>147</v>
      </c>
      <c r="J704" t="s">
        <v>148</v>
      </c>
      <c r="K704" t="s">
        <v>48</v>
      </c>
      <c r="L704">
        <v>1</v>
      </c>
      <c r="M704">
        <v>250</v>
      </c>
      <c r="N704">
        <v>5</v>
      </c>
      <c r="O704">
        <v>237.5</v>
      </c>
      <c r="P704">
        <v>103.02</v>
      </c>
      <c r="Q704" t="s">
        <v>156</v>
      </c>
      <c r="R704" t="s">
        <v>29</v>
      </c>
      <c r="S704" t="s">
        <v>86</v>
      </c>
    </row>
    <row r="705" spans="1:19" x14ac:dyDescent="0.3">
      <c r="A705" t="s">
        <v>1552</v>
      </c>
      <c r="B705" s="1">
        <v>45297</v>
      </c>
      <c r="C705" s="1">
        <v>45300</v>
      </c>
      <c r="D705" t="s">
        <v>924</v>
      </c>
      <c r="E705" t="s">
        <v>925</v>
      </c>
      <c r="F705" t="s">
        <v>34</v>
      </c>
      <c r="G705" t="s">
        <v>35</v>
      </c>
      <c r="H705" t="s">
        <v>258</v>
      </c>
      <c r="I705" t="s">
        <v>25</v>
      </c>
      <c r="J705" t="s">
        <v>26</v>
      </c>
      <c r="K705" t="s">
        <v>27</v>
      </c>
      <c r="L705">
        <v>2</v>
      </c>
      <c r="M705">
        <v>7000</v>
      </c>
      <c r="N705">
        <v>0</v>
      </c>
      <c r="O705">
        <v>14000</v>
      </c>
      <c r="P705">
        <v>3119.49</v>
      </c>
      <c r="Q705" t="s">
        <v>74</v>
      </c>
      <c r="R705" t="s">
        <v>49</v>
      </c>
      <c r="S705" t="s">
        <v>30</v>
      </c>
    </row>
    <row r="706" spans="1:19" x14ac:dyDescent="0.3">
      <c r="A706" t="s">
        <v>1553</v>
      </c>
      <c r="B706" t="s">
        <v>158</v>
      </c>
      <c r="C706" s="2">
        <v>45450</v>
      </c>
      <c r="D706" t="s">
        <v>1426</v>
      </c>
      <c r="E706" t="s">
        <v>1427</v>
      </c>
      <c r="F706" t="s">
        <v>23</v>
      </c>
      <c r="G706" t="s">
        <v>61</v>
      </c>
      <c r="H706" t="s">
        <v>62</v>
      </c>
      <c r="I706" t="s">
        <v>126</v>
      </c>
      <c r="J706" t="s">
        <v>127</v>
      </c>
      <c r="K706" t="s">
        <v>95</v>
      </c>
      <c r="L706">
        <v>1</v>
      </c>
      <c r="M706">
        <v>600</v>
      </c>
      <c r="N706">
        <v>5</v>
      </c>
      <c r="O706">
        <v>570</v>
      </c>
      <c r="P706">
        <v>190.32</v>
      </c>
      <c r="Q706" t="s">
        <v>66</v>
      </c>
      <c r="R706" t="s">
        <v>29</v>
      </c>
      <c r="S706" t="s">
        <v>40</v>
      </c>
    </row>
    <row r="707" spans="1:19" x14ac:dyDescent="0.3">
      <c r="A707" t="s">
        <v>1554</v>
      </c>
      <c r="B707" s="2">
        <v>45684</v>
      </c>
      <c r="C707" s="1">
        <v>45749</v>
      </c>
      <c r="D707" t="s">
        <v>761</v>
      </c>
      <c r="E707" t="s">
        <v>762</v>
      </c>
      <c r="F707" t="s">
        <v>23</v>
      </c>
      <c r="G707" t="s">
        <v>44</v>
      </c>
      <c r="H707" t="s">
        <v>330</v>
      </c>
      <c r="I707" t="s">
        <v>37</v>
      </c>
      <c r="J707" t="s">
        <v>38</v>
      </c>
      <c r="K707" t="s">
        <v>27</v>
      </c>
      <c r="L707">
        <v>3</v>
      </c>
      <c r="M707">
        <v>9500</v>
      </c>
      <c r="N707">
        <v>0</v>
      </c>
      <c r="O707">
        <v>28500</v>
      </c>
      <c r="P707">
        <v>5629.72</v>
      </c>
      <c r="Q707" t="s">
        <v>156</v>
      </c>
      <c r="R707" t="s">
        <v>29</v>
      </c>
      <c r="S707" t="s">
        <v>50</v>
      </c>
    </row>
    <row r="708" spans="1:19" x14ac:dyDescent="0.3">
      <c r="A708" t="s">
        <v>1555</v>
      </c>
      <c r="B708" s="1">
        <v>46008</v>
      </c>
      <c r="D708" t="s">
        <v>435</v>
      </c>
      <c r="E708" t="s">
        <v>436</v>
      </c>
      <c r="F708" t="s">
        <v>23</v>
      </c>
      <c r="G708" t="s">
        <v>44</v>
      </c>
      <c r="H708" t="s">
        <v>24</v>
      </c>
      <c r="I708" t="s">
        <v>93</v>
      </c>
      <c r="J708" t="s">
        <v>94</v>
      </c>
      <c r="K708" t="s">
        <v>95</v>
      </c>
      <c r="L708">
        <v>4</v>
      </c>
      <c r="M708">
        <v>1800</v>
      </c>
      <c r="N708">
        <v>0</v>
      </c>
      <c r="O708">
        <v>7200</v>
      </c>
      <c r="P708">
        <v>2725.92</v>
      </c>
      <c r="Q708" t="s">
        <v>66</v>
      </c>
      <c r="R708" t="s">
        <v>49</v>
      </c>
      <c r="S708" t="s">
        <v>110</v>
      </c>
    </row>
    <row r="709" spans="1:19" x14ac:dyDescent="0.3">
      <c r="A709" t="s">
        <v>1556</v>
      </c>
      <c r="B709" s="1">
        <v>45633</v>
      </c>
      <c r="C709" s="1">
        <v>45640</v>
      </c>
      <c r="D709" t="s">
        <v>674</v>
      </c>
      <c r="E709" t="s">
        <v>675</v>
      </c>
      <c r="F709" t="s">
        <v>55</v>
      </c>
      <c r="G709" t="s">
        <v>91</v>
      </c>
      <c r="H709" t="s">
        <v>109</v>
      </c>
      <c r="I709" t="s">
        <v>114</v>
      </c>
      <c r="J709" t="s">
        <v>115</v>
      </c>
      <c r="K709" t="s">
        <v>65</v>
      </c>
      <c r="L709">
        <v>2</v>
      </c>
      <c r="M709">
        <v>55000</v>
      </c>
      <c r="N709">
        <v>15</v>
      </c>
      <c r="O709">
        <v>93500</v>
      </c>
      <c r="P709">
        <v>14687.8</v>
      </c>
      <c r="Q709" t="s">
        <v>28</v>
      </c>
      <c r="R709" t="s">
        <v>56</v>
      </c>
      <c r="S709" t="s">
        <v>40</v>
      </c>
    </row>
    <row r="710" spans="1:19" x14ac:dyDescent="0.3">
      <c r="A710" t="s">
        <v>1557</v>
      </c>
      <c r="B710" s="1">
        <v>45867</v>
      </c>
      <c r="C710" s="2">
        <v>45873</v>
      </c>
      <c r="D710" t="s">
        <v>713</v>
      </c>
      <c r="E710" t="s">
        <v>714</v>
      </c>
      <c r="F710" t="s">
        <v>34</v>
      </c>
      <c r="G710" t="s">
        <v>35</v>
      </c>
      <c r="H710" t="s">
        <v>258</v>
      </c>
      <c r="I710" t="s">
        <v>46</v>
      </c>
      <c r="J710" t="s">
        <v>47</v>
      </c>
      <c r="K710" t="s">
        <v>48</v>
      </c>
      <c r="L710">
        <v>1</v>
      </c>
      <c r="M710">
        <v>180</v>
      </c>
      <c r="N710">
        <v>15</v>
      </c>
      <c r="O710">
        <v>153</v>
      </c>
      <c r="P710">
        <v>60.76</v>
      </c>
      <c r="Q710" t="s">
        <v>74</v>
      </c>
      <c r="R710" t="s">
        <v>29</v>
      </c>
      <c r="S710" t="s">
        <v>50</v>
      </c>
    </row>
    <row r="711" spans="1:19" x14ac:dyDescent="0.3">
      <c r="A711" t="s">
        <v>1558</v>
      </c>
      <c r="B711" s="2">
        <v>45883</v>
      </c>
      <c r="C711" s="1">
        <v>45884</v>
      </c>
      <c r="D711" t="s">
        <v>1028</v>
      </c>
      <c r="E711" t="s">
        <v>1029</v>
      </c>
      <c r="F711" t="s">
        <v>34</v>
      </c>
      <c r="G711" t="s">
        <v>91</v>
      </c>
      <c r="H711" t="s">
        <v>120</v>
      </c>
      <c r="I711" t="s">
        <v>79</v>
      </c>
      <c r="J711" t="s">
        <v>80</v>
      </c>
      <c r="K711" t="s">
        <v>65</v>
      </c>
      <c r="L711">
        <v>4</v>
      </c>
      <c r="M711">
        <v>3000</v>
      </c>
      <c r="N711">
        <v>0</v>
      </c>
      <c r="O711">
        <v>12000</v>
      </c>
      <c r="P711">
        <v>3878.43</v>
      </c>
      <c r="Q711" t="s">
        <v>28</v>
      </c>
      <c r="R711" t="s">
        <v>56</v>
      </c>
      <c r="S711" t="s">
        <v>194</v>
      </c>
    </row>
    <row r="712" spans="1:19" x14ac:dyDescent="0.3">
      <c r="A712" t="s">
        <v>1559</v>
      </c>
      <c r="B712" s="1">
        <v>45843</v>
      </c>
      <c r="C712" t="s">
        <v>1560</v>
      </c>
      <c r="D712" t="s">
        <v>206</v>
      </c>
      <c r="E712" t="s">
        <v>207</v>
      </c>
      <c r="F712" t="s">
        <v>55</v>
      </c>
      <c r="G712" t="s">
        <v>44</v>
      </c>
      <c r="H712" t="s">
        <v>24</v>
      </c>
      <c r="I712" t="s">
        <v>46</v>
      </c>
      <c r="J712" t="s">
        <v>47</v>
      </c>
      <c r="K712" t="s">
        <v>48</v>
      </c>
      <c r="L712">
        <v>1</v>
      </c>
      <c r="M712">
        <v>180</v>
      </c>
      <c r="N712">
        <v>0</v>
      </c>
      <c r="O712">
        <v>180</v>
      </c>
      <c r="P712">
        <v>83.26</v>
      </c>
      <c r="Q712" t="s">
        <v>74</v>
      </c>
      <c r="R712" t="s">
        <v>56</v>
      </c>
      <c r="S712" t="s">
        <v>86</v>
      </c>
    </row>
    <row r="713" spans="1:19" x14ac:dyDescent="0.3">
      <c r="A713" t="s">
        <v>1561</v>
      </c>
      <c r="B713" t="s">
        <v>284</v>
      </c>
      <c r="C713" s="1">
        <v>45918</v>
      </c>
      <c r="D713" t="s">
        <v>1250</v>
      </c>
      <c r="E713" t="s">
        <v>1251</v>
      </c>
      <c r="F713" t="s">
        <v>55</v>
      </c>
      <c r="G713" t="s">
        <v>35</v>
      </c>
      <c r="H713" t="s">
        <v>258</v>
      </c>
      <c r="I713" t="s">
        <v>134</v>
      </c>
      <c r="J713" t="s">
        <v>135</v>
      </c>
      <c r="K713" t="s">
        <v>27</v>
      </c>
      <c r="L713">
        <v>10</v>
      </c>
      <c r="M713">
        <v>6000</v>
      </c>
      <c r="N713">
        <v>0</v>
      </c>
      <c r="O713">
        <v>60000</v>
      </c>
      <c r="P713">
        <v>11952</v>
      </c>
      <c r="Q713" t="s">
        <v>74</v>
      </c>
      <c r="R713" t="s">
        <v>56</v>
      </c>
      <c r="S713" t="s">
        <v>50</v>
      </c>
    </row>
    <row r="714" spans="1:19" x14ac:dyDescent="0.3">
      <c r="A714" t="s">
        <v>1562</v>
      </c>
      <c r="B714" s="1">
        <v>45524</v>
      </c>
      <c r="C714" s="2">
        <v>45525</v>
      </c>
      <c r="D714" t="s">
        <v>318</v>
      </c>
      <c r="E714" t="s">
        <v>319</v>
      </c>
      <c r="F714" t="s">
        <v>55</v>
      </c>
      <c r="G714" t="s">
        <v>35</v>
      </c>
      <c r="H714" t="s">
        <v>36</v>
      </c>
      <c r="I714" t="s">
        <v>63</v>
      </c>
      <c r="J714" t="s">
        <v>64</v>
      </c>
      <c r="K714" t="s">
        <v>375</v>
      </c>
      <c r="L714">
        <v>3</v>
      </c>
      <c r="M714">
        <v>25000</v>
      </c>
      <c r="N714">
        <v>20</v>
      </c>
      <c r="O714">
        <v>60000</v>
      </c>
      <c r="P714">
        <v>8468.2900000000009</v>
      </c>
      <c r="Q714" t="s">
        <v>156</v>
      </c>
      <c r="R714" t="s">
        <v>56</v>
      </c>
      <c r="S714" t="s">
        <v>30</v>
      </c>
    </row>
    <row r="715" spans="1:19" x14ac:dyDescent="0.3">
      <c r="A715" t="s">
        <v>1563</v>
      </c>
      <c r="B715" s="2">
        <v>45663</v>
      </c>
      <c r="C715" s="2">
        <v>45671</v>
      </c>
      <c r="D715" t="s">
        <v>751</v>
      </c>
      <c r="E715" t="s">
        <v>752</v>
      </c>
      <c r="F715" t="s">
        <v>23</v>
      </c>
      <c r="G715" t="s">
        <v>35</v>
      </c>
      <c r="H715" t="s">
        <v>85</v>
      </c>
      <c r="I715" t="s">
        <v>103</v>
      </c>
      <c r="J715" t="s">
        <v>104</v>
      </c>
      <c r="K715" t="s">
        <v>65</v>
      </c>
      <c r="L715">
        <v>2</v>
      </c>
      <c r="M715">
        <v>8000</v>
      </c>
      <c r="N715">
        <v>0</v>
      </c>
      <c r="O715">
        <v>16000</v>
      </c>
      <c r="P715">
        <v>3418.16</v>
      </c>
      <c r="Q715" t="s">
        <v>39</v>
      </c>
      <c r="R715" t="s">
        <v>49</v>
      </c>
      <c r="S715" t="s">
        <v>40</v>
      </c>
    </row>
    <row r="716" spans="1:19" x14ac:dyDescent="0.3">
      <c r="A716" t="s">
        <v>1564</v>
      </c>
      <c r="B716" s="2">
        <v>45884</v>
      </c>
      <c r="C716" s="1">
        <v>45892</v>
      </c>
      <c r="D716" t="s">
        <v>1107</v>
      </c>
      <c r="E716" t="s">
        <v>1108</v>
      </c>
      <c r="F716" t="s">
        <v>55</v>
      </c>
      <c r="G716" t="s">
        <v>91</v>
      </c>
      <c r="H716" t="s">
        <v>109</v>
      </c>
      <c r="I716" t="s">
        <v>134</v>
      </c>
      <c r="J716" t="s">
        <v>135</v>
      </c>
      <c r="K716" t="s">
        <v>27</v>
      </c>
      <c r="L716">
        <v>1</v>
      </c>
      <c r="M716">
        <v>6000</v>
      </c>
      <c r="N716">
        <v>15</v>
      </c>
      <c r="O716">
        <v>5100</v>
      </c>
      <c r="P716">
        <v>1242.03</v>
      </c>
      <c r="Q716" t="s">
        <v>39</v>
      </c>
      <c r="R716" t="s">
        <v>56</v>
      </c>
      <c r="S716" t="s">
        <v>40</v>
      </c>
    </row>
    <row r="717" spans="1:19" x14ac:dyDescent="0.3">
      <c r="A717" t="s">
        <v>1565</v>
      </c>
      <c r="B717" t="s">
        <v>1566</v>
      </c>
      <c r="C717" s="1">
        <v>45376</v>
      </c>
      <c r="D717" t="s">
        <v>575</v>
      </c>
      <c r="E717" t="s">
        <v>836</v>
      </c>
      <c r="F717" t="s">
        <v>34</v>
      </c>
      <c r="G717" t="s">
        <v>91</v>
      </c>
      <c r="H717" t="s">
        <v>120</v>
      </c>
      <c r="I717" t="s">
        <v>114</v>
      </c>
      <c r="J717" t="s">
        <v>115</v>
      </c>
      <c r="K717" t="s">
        <v>65</v>
      </c>
      <c r="L717">
        <v>4</v>
      </c>
      <c r="M717">
        <v>55000</v>
      </c>
      <c r="N717">
        <v>0</v>
      </c>
      <c r="O717">
        <v>220000</v>
      </c>
      <c r="P717">
        <v>36198.480000000003</v>
      </c>
      <c r="Q717" t="s">
        <v>66</v>
      </c>
      <c r="R717" t="s">
        <v>56</v>
      </c>
      <c r="S717" t="s">
        <v>110</v>
      </c>
    </row>
    <row r="718" spans="1:19" x14ac:dyDescent="0.3">
      <c r="A718" t="s">
        <v>1567</v>
      </c>
      <c r="B718" s="1">
        <v>45507</v>
      </c>
      <c r="C718" s="2">
        <v>45510</v>
      </c>
      <c r="D718" t="s">
        <v>1388</v>
      </c>
      <c r="E718" t="s">
        <v>1389</v>
      </c>
      <c r="F718" t="s">
        <v>34</v>
      </c>
      <c r="G718" t="s">
        <v>61</v>
      </c>
      <c r="H718" t="s">
        <v>78</v>
      </c>
      <c r="I718" t="s">
        <v>147</v>
      </c>
      <c r="J718" t="s">
        <v>148</v>
      </c>
      <c r="K718" t="s">
        <v>48</v>
      </c>
      <c r="L718">
        <v>5</v>
      </c>
      <c r="M718">
        <v>250</v>
      </c>
      <c r="N718">
        <v>15</v>
      </c>
      <c r="O718">
        <v>1062.5</v>
      </c>
      <c r="P718">
        <v>419.92</v>
      </c>
      <c r="Q718" t="s">
        <v>121</v>
      </c>
      <c r="R718" t="s">
        <v>56</v>
      </c>
      <c r="S718" t="s">
        <v>30</v>
      </c>
    </row>
    <row r="719" spans="1:19" x14ac:dyDescent="0.3">
      <c r="A719" t="s">
        <v>1568</v>
      </c>
      <c r="B719" t="s">
        <v>1569</v>
      </c>
      <c r="C719" t="s">
        <v>1570</v>
      </c>
      <c r="D719" t="s">
        <v>1356</v>
      </c>
      <c r="E719" t="s">
        <v>1357</v>
      </c>
      <c r="F719" t="s">
        <v>55</v>
      </c>
      <c r="G719" t="s">
        <v>44</v>
      </c>
      <c r="H719" t="s">
        <v>24</v>
      </c>
      <c r="I719" t="s">
        <v>63</v>
      </c>
      <c r="J719" t="s">
        <v>64</v>
      </c>
      <c r="K719" t="s">
        <v>65</v>
      </c>
      <c r="L719">
        <v>2</v>
      </c>
      <c r="M719">
        <v>25000</v>
      </c>
      <c r="N719">
        <v>0</v>
      </c>
      <c r="O719">
        <v>50000</v>
      </c>
      <c r="P719">
        <v>7604.8</v>
      </c>
      <c r="Q719" t="s">
        <v>66</v>
      </c>
      <c r="R719" t="s">
        <v>29</v>
      </c>
      <c r="S719" t="s">
        <v>50</v>
      </c>
    </row>
    <row r="720" spans="1:19" x14ac:dyDescent="0.3">
      <c r="A720" t="s">
        <v>1571</v>
      </c>
      <c r="B720" s="1">
        <v>45467</v>
      </c>
      <c r="C720" s="1">
        <v>45469</v>
      </c>
      <c r="D720" t="s">
        <v>517</v>
      </c>
      <c r="E720" t="s">
        <v>518</v>
      </c>
      <c r="F720" t="s">
        <v>34</v>
      </c>
      <c r="G720" t="s">
        <v>61</v>
      </c>
      <c r="H720" t="s">
        <v>125</v>
      </c>
      <c r="I720" t="s">
        <v>71</v>
      </c>
      <c r="J720" t="s">
        <v>72</v>
      </c>
      <c r="K720" t="s">
        <v>73</v>
      </c>
      <c r="L720">
        <v>1</v>
      </c>
      <c r="M720">
        <v>3500</v>
      </c>
      <c r="N720">
        <v>5</v>
      </c>
      <c r="O720">
        <v>3325</v>
      </c>
      <c r="P720">
        <v>791.07</v>
      </c>
      <c r="Q720" t="s">
        <v>28</v>
      </c>
      <c r="R720" t="s">
        <v>29</v>
      </c>
      <c r="S720" t="s">
        <v>50</v>
      </c>
    </row>
    <row r="721" spans="1:19" x14ac:dyDescent="0.3">
      <c r="A721" t="s">
        <v>1572</v>
      </c>
      <c r="B721" s="1">
        <v>45943</v>
      </c>
      <c r="C721" t="s">
        <v>1573</v>
      </c>
      <c r="D721" t="s">
        <v>965</v>
      </c>
      <c r="E721" t="s">
        <v>966</v>
      </c>
      <c r="F721" t="s">
        <v>34</v>
      </c>
      <c r="G721" t="s">
        <v>44</v>
      </c>
      <c r="H721" t="s">
        <v>45</v>
      </c>
      <c r="I721" t="s">
        <v>63</v>
      </c>
      <c r="J721" t="s">
        <v>64</v>
      </c>
      <c r="K721" t="s">
        <v>65</v>
      </c>
      <c r="L721">
        <v>3</v>
      </c>
      <c r="M721">
        <v>25000</v>
      </c>
      <c r="N721">
        <v>0</v>
      </c>
      <c r="O721">
        <v>75000</v>
      </c>
      <c r="P721">
        <v>9554.8700000000008</v>
      </c>
      <c r="Q721" t="s">
        <v>121</v>
      </c>
      <c r="R721" t="s">
        <v>56</v>
      </c>
      <c r="S721" t="s">
        <v>30</v>
      </c>
    </row>
    <row r="722" spans="1:19" x14ac:dyDescent="0.3">
      <c r="A722" t="s">
        <v>1574</v>
      </c>
      <c r="B722" t="s">
        <v>1575</v>
      </c>
      <c r="C722" t="s">
        <v>1179</v>
      </c>
      <c r="D722" t="s">
        <v>477</v>
      </c>
      <c r="E722" t="s">
        <v>478</v>
      </c>
      <c r="F722" t="s">
        <v>34</v>
      </c>
      <c r="G722" t="s">
        <v>44</v>
      </c>
      <c r="H722" t="s">
        <v>161</v>
      </c>
      <c r="I722" t="s">
        <v>93</v>
      </c>
      <c r="J722" t="s">
        <v>94</v>
      </c>
      <c r="K722" t="s">
        <v>95</v>
      </c>
      <c r="L722">
        <v>1</v>
      </c>
      <c r="M722">
        <v>1800</v>
      </c>
      <c r="N722">
        <v>0</v>
      </c>
      <c r="O722">
        <v>1800</v>
      </c>
      <c r="P722">
        <v>513.54</v>
      </c>
      <c r="Q722" t="s">
        <v>28</v>
      </c>
      <c r="R722" t="s">
        <v>29</v>
      </c>
      <c r="S722" t="s">
        <v>50</v>
      </c>
    </row>
    <row r="723" spans="1:19" x14ac:dyDescent="0.3">
      <c r="A723" t="s">
        <v>1576</v>
      </c>
      <c r="B723" s="2">
        <v>45626</v>
      </c>
      <c r="C723" s="2">
        <v>45627</v>
      </c>
      <c r="D723" t="s">
        <v>813</v>
      </c>
      <c r="E723" t="s">
        <v>814</v>
      </c>
      <c r="F723" t="s">
        <v>34</v>
      </c>
      <c r="G723" t="s">
        <v>35</v>
      </c>
      <c r="H723" t="s">
        <v>187</v>
      </c>
      <c r="I723" t="s">
        <v>79</v>
      </c>
      <c r="J723" t="s">
        <v>80</v>
      </c>
      <c r="K723" t="s">
        <v>65</v>
      </c>
      <c r="L723">
        <v>3</v>
      </c>
      <c r="M723">
        <v>3000</v>
      </c>
      <c r="N723">
        <v>15</v>
      </c>
      <c r="O723">
        <v>7650</v>
      </c>
      <c r="P723">
        <v>1866.21</v>
      </c>
      <c r="Q723" t="s">
        <v>39</v>
      </c>
      <c r="R723" t="s">
        <v>29</v>
      </c>
      <c r="S723" t="s">
        <v>50</v>
      </c>
    </row>
    <row r="724" spans="1:19" x14ac:dyDescent="0.3">
      <c r="A724" t="s">
        <v>1577</v>
      </c>
      <c r="B724" s="1">
        <v>45963</v>
      </c>
      <c r="C724" t="s">
        <v>88</v>
      </c>
      <c r="D724" t="s">
        <v>406</v>
      </c>
      <c r="E724" t="s">
        <v>407</v>
      </c>
      <c r="F724" t="s">
        <v>55</v>
      </c>
      <c r="G724" t="s">
        <v>91</v>
      </c>
      <c r="H724" t="s">
        <v>120</v>
      </c>
      <c r="I724" t="s">
        <v>126</v>
      </c>
      <c r="J724" t="s">
        <v>127</v>
      </c>
      <c r="K724" t="s">
        <v>95</v>
      </c>
      <c r="L724">
        <v>3</v>
      </c>
      <c r="M724">
        <v>600</v>
      </c>
      <c r="N724">
        <v>20</v>
      </c>
      <c r="O724">
        <v>1440</v>
      </c>
      <c r="P724">
        <v>453.87</v>
      </c>
      <c r="Q724" t="s">
        <v>74</v>
      </c>
      <c r="R724" t="s">
        <v>56</v>
      </c>
      <c r="S724" t="s">
        <v>30</v>
      </c>
    </row>
    <row r="725" spans="1:19" x14ac:dyDescent="0.3">
      <c r="A725" t="s">
        <v>1578</v>
      </c>
      <c r="B725" s="1">
        <v>45600</v>
      </c>
      <c r="C725" s="1">
        <v>45454</v>
      </c>
      <c r="D725" t="s">
        <v>1579</v>
      </c>
      <c r="E725" t="s">
        <v>1580</v>
      </c>
      <c r="F725" t="s">
        <v>55</v>
      </c>
      <c r="G725" t="s">
        <v>44</v>
      </c>
      <c r="H725" t="s">
        <v>45</v>
      </c>
      <c r="I725" t="s">
        <v>126</v>
      </c>
      <c r="J725" t="s">
        <v>127</v>
      </c>
      <c r="K725" t="s">
        <v>95</v>
      </c>
      <c r="L725">
        <v>1</v>
      </c>
      <c r="M725">
        <v>600</v>
      </c>
      <c r="N725">
        <v>0</v>
      </c>
      <c r="O725">
        <v>600</v>
      </c>
      <c r="P725">
        <v>177.1</v>
      </c>
      <c r="Q725" t="s">
        <v>39</v>
      </c>
      <c r="R725" t="s">
        <v>49</v>
      </c>
      <c r="S725" t="s">
        <v>40</v>
      </c>
    </row>
    <row r="726" spans="1:19" x14ac:dyDescent="0.3">
      <c r="A726" t="s">
        <v>1581</v>
      </c>
      <c r="B726" s="2">
        <v>45561</v>
      </c>
      <c r="C726" t="s">
        <v>902</v>
      </c>
      <c r="D726" t="s">
        <v>731</v>
      </c>
      <c r="E726" t="s">
        <v>732</v>
      </c>
      <c r="F726" t="s">
        <v>34</v>
      </c>
      <c r="G726" t="s">
        <v>44</v>
      </c>
      <c r="H726" t="s">
        <v>155</v>
      </c>
      <c r="I726" t="s">
        <v>46</v>
      </c>
      <c r="J726" t="s">
        <v>47</v>
      </c>
      <c r="K726" t="s">
        <v>48</v>
      </c>
      <c r="L726">
        <v>5</v>
      </c>
      <c r="M726">
        <v>180</v>
      </c>
      <c r="N726">
        <v>20</v>
      </c>
      <c r="O726">
        <v>720</v>
      </c>
      <c r="P726">
        <v>299.20999999999998</v>
      </c>
      <c r="Q726" t="s">
        <v>39</v>
      </c>
      <c r="R726" t="s">
        <v>49</v>
      </c>
      <c r="S726" t="s">
        <v>30</v>
      </c>
    </row>
    <row r="727" spans="1:19" x14ac:dyDescent="0.3">
      <c r="A727" t="s">
        <v>1582</v>
      </c>
      <c r="B727" s="1">
        <v>45973</v>
      </c>
      <c r="C727" s="1">
        <v>46007</v>
      </c>
      <c r="D727" t="s">
        <v>418</v>
      </c>
      <c r="E727" t="s">
        <v>419</v>
      </c>
      <c r="F727" t="s">
        <v>23</v>
      </c>
      <c r="G727" t="s">
        <v>91</v>
      </c>
      <c r="H727" t="s">
        <v>120</v>
      </c>
      <c r="I727" t="s">
        <v>103</v>
      </c>
      <c r="J727" t="s">
        <v>104</v>
      </c>
      <c r="K727" t="s">
        <v>65</v>
      </c>
      <c r="L727">
        <v>1</v>
      </c>
      <c r="M727">
        <v>8000</v>
      </c>
      <c r="N727">
        <v>0</v>
      </c>
      <c r="O727">
        <v>8000</v>
      </c>
      <c r="P727">
        <v>1706.84</v>
      </c>
      <c r="Q727" t="s">
        <v>121</v>
      </c>
      <c r="R727" t="s">
        <v>29</v>
      </c>
      <c r="S727" t="s">
        <v>86</v>
      </c>
    </row>
    <row r="728" spans="1:19" x14ac:dyDescent="0.3">
      <c r="A728" t="s">
        <v>1583</v>
      </c>
      <c r="B728" s="1">
        <v>45933</v>
      </c>
      <c r="C728" s="1">
        <v>45934</v>
      </c>
      <c r="D728" t="s">
        <v>793</v>
      </c>
      <c r="E728" t="s">
        <v>794</v>
      </c>
      <c r="F728" t="s">
        <v>23</v>
      </c>
      <c r="G728" t="s">
        <v>91</v>
      </c>
      <c r="H728" t="s">
        <v>92</v>
      </c>
      <c r="I728" t="s">
        <v>147</v>
      </c>
      <c r="J728" t="s">
        <v>148</v>
      </c>
      <c r="K728" t="s">
        <v>48</v>
      </c>
      <c r="L728">
        <v>2</v>
      </c>
      <c r="M728">
        <v>250</v>
      </c>
      <c r="N728">
        <v>20</v>
      </c>
      <c r="O728">
        <v>400</v>
      </c>
      <c r="P728">
        <v>160.08000000000001</v>
      </c>
      <c r="Q728" t="s">
        <v>156</v>
      </c>
      <c r="R728" t="s">
        <v>56</v>
      </c>
      <c r="S728" t="s">
        <v>30</v>
      </c>
    </row>
    <row r="729" spans="1:19" x14ac:dyDescent="0.3">
      <c r="A729" t="s">
        <v>1584</v>
      </c>
      <c r="B729" s="1">
        <v>45742</v>
      </c>
      <c r="C729" s="1">
        <v>45661</v>
      </c>
      <c r="D729" t="s">
        <v>463</v>
      </c>
      <c r="E729" t="s">
        <v>464</v>
      </c>
      <c r="F729" t="s">
        <v>34</v>
      </c>
      <c r="G729" t="s">
        <v>35</v>
      </c>
      <c r="H729" t="s">
        <v>85</v>
      </c>
      <c r="I729" t="s">
        <v>46</v>
      </c>
      <c r="J729" t="s">
        <v>47</v>
      </c>
      <c r="K729" t="s">
        <v>48</v>
      </c>
      <c r="L729">
        <v>1</v>
      </c>
      <c r="M729">
        <v>180</v>
      </c>
      <c r="N729">
        <v>0</v>
      </c>
      <c r="O729">
        <v>180</v>
      </c>
      <c r="P729">
        <v>77.94</v>
      </c>
      <c r="Q729" t="s">
        <v>74</v>
      </c>
      <c r="R729" t="s">
        <v>29</v>
      </c>
      <c r="S729" t="s">
        <v>110</v>
      </c>
    </row>
    <row r="730" spans="1:19" x14ac:dyDescent="0.3">
      <c r="A730" t="s">
        <v>1585</v>
      </c>
      <c r="B730" s="1">
        <v>45674</v>
      </c>
      <c r="C730" t="s">
        <v>1586</v>
      </c>
      <c r="D730" t="s">
        <v>531</v>
      </c>
      <c r="E730" t="s">
        <v>532</v>
      </c>
      <c r="F730" t="s">
        <v>23</v>
      </c>
      <c r="G730" t="s">
        <v>44</v>
      </c>
      <c r="H730" t="s">
        <v>161</v>
      </c>
      <c r="I730" t="s">
        <v>46</v>
      </c>
      <c r="J730" t="s">
        <v>47</v>
      </c>
      <c r="K730" t="s">
        <v>48</v>
      </c>
      <c r="L730">
        <v>1</v>
      </c>
      <c r="M730">
        <v>180</v>
      </c>
      <c r="N730">
        <v>10</v>
      </c>
      <c r="O730">
        <v>162</v>
      </c>
      <c r="P730">
        <v>63.78</v>
      </c>
      <c r="Q730" t="s">
        <v>121</v>
      </c>
      <c r="R730" t="s">
        <v>56</v>
      </c>
      <c r="S730" t="s">
        <v>30</v>
      </c>
    </row>
    <row r="731" spans="1:19" x14ac:dyDescent="0.3">
      <c r="A731" t="s">
        <v>1587</v>
      </c>
      <c r="B731" s="1">
        <v>45689</v>
      </c>
      <c r="C731" s="2">
        <v>45660</v>
      </c>
      <c r="D731" t="s">
        <v>1588</v>
      </c>
      <c r="E731" t="s">
        <v>1589</v>
      </c>
      <c r="F731" t="s">
        <v>34</v>
      </c>
      <c r="G731" t="s">
        <v>61</v>
      </c>
      <c r="H731" t="s">
        <v>78</v>
      </c>
      <c r="I731" t="s">
        <v>126</v>
      </c>
      <c r="J731" t="s">
        <v>127</v>
      </c>
      <c r="K731" t="s">
        <v>95</v>
      </c>
      <c r="L731">
        <v>10</v>
      </c>
      <c r="M731">
        <v>600</v>
      </c>
      <c r="N731">
        <v>0</v>
      </c>
      <c r="O731">
        <v>6000</v>
      </c>
      <c r="P731">
        <v>1902.33</v>
      </c>
      <c r="Q731" t="s">
        <v>156</v>
      </c>
      <c r="R731" t="s">
        <v>56</v>
      </c>
      <c r="S731" t="s">
        <v>86</v>
      </c>
    </row>
    <row r="732" spans="1:19" x14ac:dyDescent="0.3">
      <c r="A732" t="s">
        <v>1590</v>
      </c>
      <c r="B732" s="2">
        <v>45473</v>
      </c>
      <c r="C732" s="1">
        <v>45476</v>
      </c>
      <c r="D732" t="s">
        <v>247</v>
      </c>
      <c r="E732" t="s">
        <v>248</v>
      </c>
      <c r="F732" t="s">
        <v>34</v>
      </c>
      <c r="G732" t="s">
        <v>61</v>
      </c>
      <c r="H732" t="s">
        <v>78</v>
      </c>
      <c r="I732" t="s">
        <v>114</v>
      </c>
      <c r="J732" t="s">
        <v>115</v>
      </c>
      <c r="K732" t="s">
        <v>65</v>
      </c>
      <c r="L732">
        <v>2</v>
      </c>
      <c r="M732">
        <v>55000</v>
      </c>
      <c r="N732">
        <v>20</v>
      </c>
      <c r="O732">
        <v>88000</v>
      </c>
      <c r="P732">
        <v>16026.17</v>
      </c>
      <c r="Q732" t="s">
        <v>28</v>
      </c>
      <c r="R732" t="s">
        <v>49</v>
      </c>
      <c r="S732" t="s">
        <v>50</v>
      </c>
    </row>
    <row r="733" spans="1:19" x14ac:dyDescent="0.3">
      <c r="A733" t="s">
        <v>1591</v>
      </c>
      <c r="B733" s="2">
        <v>45412</v>
      </c>
      <c r="C733" s="1">
        <v>45415</v>
      </c>
      <c r="D733" t="s">
        <v>1592</v>
      </c>
      <c r="E733" t="s">
        <v>1593</v>
      </c>
      <c r="F733" t="s">
        <v>34</v>
      </c>
      <c r="G733" t="s">
        <v>44</v>
      </c>
      <c r="H733" t="s">
        <v>155</v>
      </c>
      <c r="I733" t="s">
        <v>37</v>
      </c>
      <c r="J733" t="s">
        <v>38</v>
      </c>
      <c r="K733" t="s">
        <v>27</v>
      </c>
      <c r="L733">
        <v>1</v>
      </c>
      <c r="M733">
        <v>9500</v>
      </c>
      <c r="N733">
        <v>5</v>
      </c>
      <c r="O733">
        <v>9025</v>
      </c>
      <c r="P733">
        <v>1628.13</v>
      </c>
      <c r="Q733" t="s">
        <v>39</v>
      </c>
      <c r="R733" t="s">
        <v>49</v>
      </c>
      <c r="S733" t="s">
        <v>50</v>
      </c>
    </row>
    <row r="734" spans="1:19" x14ac:dyDescent="0.3">
      <c r="A734" t="s">
        <v>1594</v>
      </c>
      <c r="B734" s="1">
        <v>45690</v>
      </c>
      <c r="C734" s="1">
        <v>45902</v>
      </c>
      <c r="D734" t="s">
        <v>388</v>
      </c>
      <c r="E734" t="s">
        <v>389</v>
      </c>
      <c r="F734" t="s">
        <v>23</v>
      </c>
      <c r="G734" t="s">
        <v>44</v>
      </c>
      <c r="H734" t="s">
        <v>161</v>
      </c>
      <c r="I734" t="s">
        <v>37</v>
      </c>
      <c r="J734" t="s">
        <v>38</v>
      </c>
      <c r="K734" t="s">
        <v>27</v>
      </c>
      <c r="L734">
        <v>3</v>
      </c>
      <c r="M734">
        <v>9500</v>
      </c>
      <c r="N734">
        <v>5</v>
      </c>
      <c r="O734">
        <v>27075</v>
      </c>
      <c r="P734">
        <v>4014.83</v>
      </c>
      <c r="Q734" t="s">
        <v>121</v>
      </c>
      <c r="R734" t="s">
        <v>29</v>
      </c>
      <c r="S734" t="s">
        <v>50</v>
      </c>
    </row>
    <row r="735" spans="1:19" x14ac:dyDescent="0.3">
      <c r="A735" t="s">
        <v>1595</v>
      </c>
      <c r="B735" s="1">
        <v>45428</v>
      </c>
      <c r="C735" s="1">
        <v>45433</v>
      </c>
      <c r="D735" t="s">
        <v>919</v>
      </c>
      <c r="E735" t="s">
        <v>920</v>
      </c>
      <c r="F735" t="s">
        <v>23</v>
      </c>
      <c r="G735" t="s">
        <v>35</v>
      </c>
      <c r="H735" t="s">
        <v>36</v>
      </c>
      <c r="I735" t="s">
        <v>147</v>
      </c>
      <c r="J735" t="s">
        <v>148</v>
      </c>
      <c r="K735" t="s">
        <v>48</v>
      </c>
      <c r="L735">
        <v>1</v>
      </c>
      <c r="M735">
        <v>250</v>
      </c>
      <c r="N735">
        <v>10</v>
      </c>
      <c r="O735">
        <v>225</v>
      </c>
      <c r="P735">
        <v>88.2</v>
      </c>
      <c r="Q735" t="s">
        <v>156</v>
      </c>
      <c r="R735" t="s">
        <v>56</v>
      </c>
      <c r="S735" t="s">
        <v>110</v>
      </c>
    </row>
    <row r="736" spans="1:19" x14ac:dyDescent="0.3">
      <c r="A736" t="s">
        <v>1596</v>
      </c>
      <c r="B736" t="s">
        <v>355</v>
      </c>
      <c r="C736" t="s">
        <v>1064</v>
      </c>
      <c r="D736" t="s">
        <v>265</v>
      </c>
      <c r="E736" t="s">
        <v>266</v>
      </c>
      <c r="F736" t="s">
        <v>55</v>
      </c>
      <c r="G736" t="s">
        <v>44</v>
      </c>
      <c r="H736" t="s">
        <v>45</v>
      </c>
      <c r="I736" t="s">
        <v>63</v>
      </c>
      <c r="J736" t="s">
        <v>64</v>
      </c>
      <c r="K736" t="s">
        <v>65</v>
      </c>
      <c r="L736">
        <v>3</v>
      </c>
      <c r="M736">
        <v>25000</v>
      </c>
      <c r="N736">
        <v>20</v>
      </c>
      <c r="O736">
        <v>60000</v>
      </c>
      <c r="P736">
        <v>8135.52</v>
      </c>
      <c r="Q736" t="s">
        <v>28</v>
      </c>
      <c r="R736" t="s">
        <v>56</v>
      </c>
      <c r="S736" t="s">
        <v>86</v>
      </c>
    </row>
    <row r="737" spans="1:19" x14ac:dyDescent="0.3">
      <c r="A737" t="s">
        <v>1597</v>
      </c>
      <c r="B737" s="1">
        <v>45699</v>
      </c>
      <c r="C737" s="1">
        <v>45702</v>
      </c>
      <c r="D737" t="s">
        <v>192</v>
      </c>
      <c r="E737" t="s">
        <v>193</v>
      </c>
      <c r="F737" t="s">
        <v>55</v>
      </c>
      <c r="G737" t="s">
        <v>35</v>
      </c>
      <c r="H737" t="s">
        <v>36</v>
      </c>
      <c r="I737" t="s">
        <v>147</v>
      </c>
      <c r="J737" t="s">
        <v>148</v>
      </c>
      <c r="K737" t="s">
        <v>48</v>
      </c>
      <c r="L737">
        <v>-3</v>
      </c>
      <c r="M737">
        <v>250</v>
      </c>
      <c r="N737">
        <v>0</v>
      </c>
      <c r="O737">
        <v>750</v>
      </c>
      <c r="P737">
        <v>289.74</v>
      </c>
      <c r="Q737" t="s">
        <v>28</v>
      </c>
      <c r="R737" t="s">
        <v>29</v>
      </c>
      <c r="S737" t="s">
        <v>86</v>
      </c>
    </row>
    <row r="738" spans="1:19" x14ac:dyDescent="0.3">
      <c r="A738" t="s">
        <v>1598</v>
      </c>
      <c r="B738" s="1">
        <v>45358</v>
      </c>
      <c r="C738" s="1">
        <v>45507</v>
      </c>
      <c r="D738" t="s">
        <v>132</v>
      </c>
      <c r="E738" t="s">
        <v>133</v>
      </c>
      <c r="F738" t="s">
        <v>23</v>
      </c>
      <c r="G738" t="s">
        <v>91</v>
      </c>
      <c r="H738" t="s">
        <v>120</v>
      </c>
      <c r="I738" t="s">
        <v>79</v>
      </c>
      <c r="J738" t="s">
        <v>80</v>
      </c>
      <c r="K738" t="s">
        <v>65</v>
      </c>
      <c r="L738">
        <v>1</v>
      </c>
      <c r="M738">
        <v>3000</v>
      </c>
      <c r="N738">
        <v>5</v>
      </c>
      <c r="O738">
        <v>2850</v>
      </c>
      <c r="P738">
        <v>716.22</v>
      </c>
      <c r="Q738" t="s">
        <v>39</v>
      </c>
      <c r="R738" t="s">
        <v>49</v>
      </c>
      <c r="S738" t="s">
        <v>86</v>
      </c>
    </row>
    <row r="739" spans="1:19" x14ac:dyDescent="0.3">
      <c r="A739" t="s">
        <v>1599</v>
      </c>
      <c r="B739" s="2">
        <v>45474</v>
      </c>
      <c r="C739" s="2">
        <v>45477</v>
      </c>
      <c r="D739" t="s">
        <v>314</v>
      </c>
      <c r="E739" t="s">
        <v>315</v>
      </c>
      <c r="F739" t="s">
        <v>55</v>
      </c>
      <c r="G739" t="s">
        <v>44</v>
      </c>
      <c r="H739" t="s">
        <v>161</v>
      </c>
      <c r="I739" t="s">
        <v>46</v>
      </c>
      <c r="J739" t="s">
        <v>47</v>
      </c>
      <c r="K739" t="s">
        <v>48</v>
      </c>
      <c r="L739">
        <v>4</v>
      </c>
      <c r="M739">
        <v>180</v>
      </c>
      <c r="N739">
        <v>0</v>
      </c>
      <c r="O739">
        <v>720</v>
      </c>
      <c r="P739">
        <v>269.77</v>
      </c>
      <c r="Q739" t="s">
        <v>28</v>
      </c>
      <c r="R739" t="s">
        <v>56</v>
      </c>
      <c r="S739" t="s">
        <v>86</v>
      </c>
    </row>
    <row r="740" spans="1:19" x14ac:dyDescent="0.3">
      <c r="A740" t="s">
        <v>1600</v>
      </c>
      <c r="B740" s="1">
        <v>45545</v>
      </c>
      <c r="C740" s="1">
        <v>45551</v>
      </c>
      <c r="D740" t="s">
        <v>965</v>
      </c>
      <c r="E740" t="s">
        <v>966</v>
      </c>
      <c r="F740" t="s">
        <v>34</v>
      </c>
      <c r="G740" t="s">
        <v>44</v>
      </c>
      <c r="I740" t="s">
        <v>37</v>
      </c>
      <c r="J740" t="s">
        <v>38</v>
      </c>
      <c r="K740" t="s">
        <v>27</v>
      </c>
      <c r="L740">
        <v>3</v>
      </c>
      <c r="M740">
        <v>9500</v>
      </c>
      <c r="N740">
        <v>0</v>
      </c>
      <c r="O740">
        <v>712500</v>
      </c>
      <c r="P740">
        <v>4391.72</v>
      </c>
      <c r="Q740" t="s">
        <v>156</v>
      </c>
      <c r="R740" t="s">
        <v>29</v>
      </c>
      <c r="S740" t="s">
        <v>110</v>
      </c>
    </row>
    <row r="741" spans="1:19" x14ac:dyDescent="0.3">
      <c r="A741" t="s">
        <v>1601</v>
      </c>
      <c r="B741" t="s">
        <v>1027</v>
      </c>
      <c r="C741" s="1">
        <v>45386</v>
      </c>
      <c r="D741" t="s">
        <v>1168</v>
      </c>
      <c r="E741" t="s">
        <v>1169</v>
      </c>
      <c r="F741" t="s">
        <v>23</v>
      </c>
      <c r="G741" t="s">
        <v>91</v>
      </c>
      <c r="H741" t="s">
        <v>177</v>
      </c>
      <c r="I741" t="s">
        <v>147</v>
      </c>
      <c r="J741" t="s">
        <v>148</v>
      </c>
      <c r="K741" t="s">
        <v>48</v>
      </c>
      <c r="L741">
        <v>2</v>
      </c>
      <c r="M741">
        <v>250</v>
      </c>
      <c r="N741">
        <v>20</v>
      </c>
      <c r="O741">
        <v>400</v>
      </c>
      <c r="P741">
        <v>149.81</v>
      </c>
      <c r="Q741" t="s">
        <v>121</v>
      </c>
      <c r="R741" t="s">
        <v>29</v>
      </c>
      <c r="S741" t="s">
        <v>50</v>
      </c>
    </row>
    <row r="742" spans="1:19" x14ac:dyDescent="0.3">
      <c r="A742" t="s">
        <v>1602</v>
      </c>
      <c r="B742" s="1">
        <v>45593</v>
      </c>
      <c r="C742" s="1">
        <v>45598</v>
      </c>
      <c r="D742" t="s">
        <v>517</v>
      </c>
      <c r="E742" t="s">
        <v>518</v>
      </c>
      <c r="F742" t="s">
        <v>34</v>
      </c>
      <c r="G742" t="s">
        <v>61</v>
      </c>
      <c r="H742" t="s">
        <v>125</v>
      </c>
      <c r="I742" t="s">
        <v>63</v>
      </c>
      <c r="J742" t="s">
        <v>64</v>
      </c>
      <c r="K742" t="s">
        <v>65</v>
      </c>
      <c r="L742">
        <v>2</v>
      </c>
      <c r="M742">
        <v>25000</v>
      </c>
      <c r="N742">
        <v>15</v>
      </c>
      <c r="O742">
        <v>42500</v>
      </c>
      <c r="P742">
        <v>4661.8100000000004</v>
      </c>
      <c r="Q742" t="s">
        <v>121</v>
      </c>
      <c r="R742" t="s">
        <v>29</v>
      </c>
      <c r="S742" t="s">
        <v>86</v>
      </c>
    </row>
    <row r="743" spans="1:19" x14ac:dyDescent="0.3">
      <c r="A743" t="s">
        <v>1603</v>
      </c>
      <c r="B743" s="1">
        <v>46005</v>
      </c>
      <c r="C743" s="2">
        <v>46006</v>
      </c>
      <c r="D743" t="s">
        <v>1604</v>
      </c>
      <c r="E743" t="s">
        <v>1605</v>
      </c>
      <c r="F743" t="s">
        <v>55</v>
      </c>
      <c r="G743" t="s">
        <v>44</v>
      </c>
      <c r="H743" t="s">
        <v>45</v>
      </c>
      <c r="I743" t="s">
        <v>63</v>
      </c>
      <c r="J743" t="s">
        <v>64</v>
      </c>
      <c r="K743" t="s">
        <v>65</v>
      </c>
      <c r="L743">
        <v>1</v>
      </c>
      <c r="M743">
        <v>25000</v>
      </c>
      <c r="N743">
        <v>0</v>
      </c>
      <c r="O743">
        <v>25000</v>
      </c>
      <c r="P743">
        <v>3406.03</v>
      </c>
      <c r="Q743" t="s">
        <v>74</v>
      </c>
      <c r="R743" t="s">
        <v>49</v>
      </c>
      <c r="S743" t="s">
        <v>40</v>
      </c>
    </row>
    <row r="744" spans="1:19" x14ac:dyDescent="0.3">
      <c r="A744" t="s">
        <v>1606</v>
      </c>
      <c r="B744" s="1">
        <v>45441</v>
      </c>
      <c r="C744" t="s">
        <v>1064</v>
      </c>
      <c r="D744" t="s">
        <v>973</v>
      </c>
      <c r="E744" t="s">
        <v>974</v>
      </c>
      <c r="F744" t="s">
        <v>34</v>
      </c>
      <c r="G744" t="s">
        <v>91</v>
      </c>
      <c r="H744" t="s">
        <v>177</v>
      </c>
      <c r="I744" t="s">
        <v>63</v>
      </c>
      <c r="J744" t="s">
        <v>64</v>
      </c>
      <c r="K744" t="s">
        <v>65</v>
      </c>
      <c r="L744">
        <v>1</v>
      </c>
      <c r="M744">
        <v>25000</v>
      </c>
      <c r="N744">
        <v>0</v>
      </c>
      <c r="O744">
        <v>25000</v>
      </c>
      <c r="P744">
        <v>3528.6</v>
      </c>
      <c r="Q744" t="s">
        <v>121</v>
      </c>
      <c r="R744" t="s">
        <v>56</v>
      </c>
      <c r="S744" t="s">
        <v>30</v>
      </c>
    </row>
    <row r="745" spans="1:19" x14ac:dyDescent="0.3">
      <c r="A745" t="s">
        <v>1607</v>
      </c>
      <c r="B745" s="1">
        <v>45922</v>
      </c>
      <c r="C745" t="s">
        <v>1608</v>
      </c>
      <c r="D745" t="s">
        <v>1609</v>
      </c>
      <c r="E745" t="s">
        <v>1610</v>
      </c>
      <c r="F745" t="s">
        <v>55</v>
      </c>
      <c r="G745" t="s">
        <v>44</v>
      </c>
      <c r="H745" t="s">
        <v>24</v>
      </c>
      <c r="I745" t="s">
        <v>134</v>
      </c>
      <c r="J745" t="s">
        <v>135</v>
      </c>
      <c r="K745" t="s">
        <v>27</v>
      </c>
      <c r="L745">
        <v>3</v>
      </c>
      <c r="M745">
        <v>6000</v>
      </c>
      <c r="N745">
        <v>20</v>
      </c>
      <c r="O745">
        <v>14400</v>
      </c>
      <c r="P745">
        <v>2719.52</v>
      </c>
      <c r="Q745" t="s">
        <v>121</v>
      </c>
      <c r="R745" t="s">
        <v>29</v>
      </c>
      <c r="S745" t="s">
        <v>40</v>
      </c>
    </row>
    <row r="746" spans="1:19" x14ac:dyDescent="0.3">
      <c r="A746" t="s">
        <v>1611</v>
      </c>
      <c r="B746" s="1">
        <v>45508</v>
      </c>
      <c r="C746" s="1">
        <v>45393</v>
      </c>
      <c r="D746" t="s">
        <v>129</v>
      </c>
      <c r="E746" t="s">
        <v>130</v>
      </c>
      <c r="F746" t="s">
        <v>34</v>
      </c>
      <c r="G746" t="s">
        <v>61</v>
      </c>
      <c r="I746" t="s">
        <v>63</v>
      </c>
      <c r="J746" t="s">
        <v>64</v>
      </c>
      <c r="K746" t="s">
        <v>65</v>
      </c>
      <c r="L746">
        <v>2</v>
      </c>
      <c r="M746">
        <v>25000</v>
      </c>
      <c r="N746">
        <v>20</v>
      </c>
      <c r="O746">
        <v>40000</v>
      </c>
      <c r="P746">
        <v>6203.49</v>
      </c>
      <c r="Q746" t="s">
        <v>74</v>
      </c>
      <c r="R746" t="s">
        <v>29</v>
      </c>
      <c r="S746" t="s">
        <v>40</v>
      </c>
    </row>
    <row r="747" spans="1:19" x14ac:dyDescent="0.3">
      <c r="A747" t="s">
        <v>1612</v>
      </c>
      <c r="B747" t="s">
        <v>1613</v>
      </c>
      <c r="C747" s="1">
        <v>45888</v>
      </c>
      <c r="D747" t="s">
        <v>288</v>
      </c>
      <c r="E747" t="s">
        <v>289</v>
      </c>
      <c r="F747" t="s">
        <v>34</v>
      </c>
      <c r="G747" t="s">
        <v>44</v>
      </c>
      <c r="H747" t="s">
        <v>155</v>
      </c>
      <c r="I747" t="s">
        <v>46</v>
      </c>
      <c r="J747" t="s">
        <v>47</v>
      </c>
      <c r="K747" t="s">
        <v>48</v>
      </c>
      <c r="L747">
        <v>3</v>
      </c>
      <c r="M747">
        <v>180</v>
      </c>
      <c r="N747">
        <v>0</v>
      </c>
      <c r="O747">
        <v>540</v>
      </c>
      <c r="P747">
        <v>185.93</v>
      </c>
      <c r="Q747" t="s">
        <v>66</v>
      </c>
      <c r="R747" t="s">
        <v>49</v>
      </c>
      <c r="S747" t="s">
        <v>40</v>
      </c>
    </row>
    <row r="748" spans="1:19" x14ac:dyDescent="0.3">
      <c r="A748" t="s">
        <v>1614</v>
      </c>
      <c r="B748" s="2">
        <v>45656</v>
      </c>
      <c r="C748" s="1">
        <v>45778</v>
      </c>
      <c r="D748" t="s">
        <v>596</v>
      </c>
      <c r="E748" t="s">
        <v>597</v>
      </c>
      <c r="F748" t="s">
        <v>34</v>
      </c>
      <c r="G748" t="s">
        <v>91</v>
      </c>
      <c r="H748" t="s">
        <v>120</v>
      </c>
      <c r="I748" t="s">
        <v>63</v>
      </c>
      <c r="J748" t="s">
        <v>64</v>
      </c>
      <c r="K748" t="s">
        <v>105</v>
      </c>
      <c r="L748">
        <v>1</v>
      </c>
      <c r="M748">
        <v>25000</v>
      </c>
      <c r="N748">
        <v>0</v>
      </c>
      <c r="O748">
        <v>25000</v>
      </c>
      <c r="P748">
        <v>2801.02</v>
      </c>
      <c r="Q748" t="s">
        <v>39</v>
      </c>
      <c r="R748" t="s">
        <v>49</v>
      </c>
      <c r="S748" t="s">
        <v>50</v>
      </c>
    </row>
    <row r="749" spans="1:19" x14ac:dyDescent="0.3">
      <c r="A749" t="s">
        <v>1615</v>
      </c>
      <c r="B749" s="1">
        <v>45627</v>
      </c>
      <c r="C749" s="1">
        <v>45632</v>
      </c>
      <c r="D749" t="s">
        <v>132</v>
      </c>
      <c r="E749" t="s">
        <v>133</v>
      </c>
      <c r="F749" t="s">
        <v>23</v>
      </c>
      <c r="G749" t="s">
        <v>91</v>
      </c>
      <c r="H749" t="s">
        <v>120</v>
      </c>
      <c r="I749" t="s">
        <v>25</v>
      </c>
      <c r="J749" t="s">
        <v>26</v>
      </c>
      <c r="K749" t="s">
        <v>27</v>
      </c>
      <c r="L749">
        <v>2</v>
      </c>
      <c r="M749">
        <v>7000</v>
      </c>
      <c r="N749">
        <v>0</v>
      </c>
      <c r="O749">
        <v>14000</v>
      </c>
      <c r="P749">
        <v>2403.23</v>
      </c>
      <c r="Q749" t="s">
        <v>156</v>
      </c>
      <c r="R749" t="s">
        <v>56</v>
      </c>
      <c r="S749" t="s">
        <v>50</v>
      </c>
    </row>
    <row r="750" spans="1:19" x14ac:dyDescent="0.3">
      <c r="A750" t="s">
        <v>1616</v>
      </c>
      <c r="B750" s="1">
        <v>45706</v>
      </c>
      <c r="C750" s="2">
        <v>45711</v>
      </c>
      <c r="D750" t="s">
        <v>539</v>
      </c>
      <c r="E750" t="s">
        <v>540</v>
      </c>
      <c r="F750" t="s">
        <v>34</v>
      </c>
      <c r="G750" t="s">
        <v>61</v>
      </c>
      <c r="H750" t="s">
        <v>211</v>
      </c>
      <c r="I750" t="s">
        <v>79</v>
      </c>
      <c r="J750" t="s">
        <v>80</v>
      </c>
      <c r="K750" t="s">
        <v>65</v>
      </c>
      <c r="L750">
        <v>10</v>
      </c>
      <c r="M750">
        <v>3000</v>
      </c>
      <c r="N750">
        <v>5</v>
      </c>
      <c r="O750">
        <v>28500</v>
      </c>
      <c r="P750">
        <v>9099.75</v>
      </c>
      <c r="Q750" t="s">
        <v>74</v>
      </c>
      <c r="R750" t="s">
        <v>29</v>
      </c>
      <c r="S750" t="s">
        <v>40</v>
      </c>
    </row>
    <row r="751" spans="1:19" x14ac:dyDescent="0.3">
      <c r="A751" t="s">
        <v>1617</v>
      </c>
      <c r="B751" s="1">
        <v>45788</v>
      </c>
      <c r="C751" s="1">
        <v>45795</v>
      </c>
      <c r="D751" t="s">
        <v>89</v>
      </c>
      <c r="E751" t="s">
        <v>90</v>
      </c>
      <c r="F751" t="s">
        <v>23</v>
      </c>
      <c r="G751" t="s">
        <v>91</v>
      </c>
      <c r="H751" t="s">
        <v>92</v>
      </c>
      <c r="I751" t="s">
        <v>46</v>
      </c>
      <c r="J751" t="s">
        <v>47</v>
      </c>
      <c r="K751" t="s">
        <v>48</v>
      </c>
      <c r="L751">
        <v>1</v>
      </c>
      <c r="M751">
        <v>180</v>
      </c>
      <c r="N751">
        <v>10</v>
      </c>
      <c r="O751">
        <v>162</v>
      </c>
      <c r="P751">
        <v>65.680000000000007</v>
      </c>
      <c r="R751" t="s">
        <v>29</v>
      </c>
      <c r="S751" t="s">
        <v>86</v>
      </c>
    </row>
    <row r="752" spans="1:19" x14ac:dyDescent="0.3">
      <c r="A752" t="s">
        <v>1618</v>
      </c>
      <c r="B752" s="2">
        <v>45302</v>
      </c>
      <c r="C752" s="2">
        <v>45309</v>
      </c>
      <c r="D752" t="s">
        <v>308</v>
      </c>
      <c r="E752" t="s">
        <v>309</v>
      </c>
      <c r="F752" t="s">
        <v>34</v>
      </c>
      <c r="G752" t="s">
        <v>91</v>
      </c>
      <c r="H752" t="s">
        <v>177</v>
      </c>
      <c r="I752" t="s">
        <v>46</v>
      </c>
      <c r="J752" t="s">
        <v>47</v>
      </c>
      <c r="K752" t="s">
        <v>48</v>
      </c>
      <c r="L752">
        <v>3</v>
      </c>
      <c r="M752">
        <v>180</v>
      </c>
      <c r="N752">
        <v>20</v>
      </c>
      <c r="O752">
        <v>432</v>
      </c>
      <c r="P752">
        <v>141.36000000000001</v>
      </c>
      <c r="Q752" t="s">
        <v>66</v>
      </c>
      <c r="R752" t="s">
        <v>56</v>
      </c>
      <c r="S752" t="s">
        <v>86</v>
      </c>
    </row>
    <row r="753" spans="1:19" x14ac:dyDescent="0.3">
      <c r="A753" t="s">
        <v>1619</v>
      </c>
      <c r="B753" s="1">
        <v>45673</v>
      </c>
      <c r="C753" s="1">
        <v>45678</v>
      </c>
      <c r="D753" t="s">
        <v>1301</v>
      </c>
      <c r="E753" t="s">
        <v>1302</v>
      </c>
      <c r="F753" t="s">
        <v>23</v>
      </c>
      <c r="G753" t="s">
        <v>91</v>
      </c>
      <c r="H753" t="s">
        <v>120</v>
      </c>
      <c r="I753" t="s">
        <v>71</v>
      </c>
      <c r="J753" t="s">
        <v>72</v>
      </c>
      <c r="K753" t="s">
        <v>73</v>
      </c>
      <c r="L753">
        <v>1</v>
      </c>
      <c r="M753">
        <v>3500</v>
      </c>
      <c r="N753">
        <v>5</v>
      </c>
      <c r="O753">
        <v>3325</v>
      </c>
      <c r="P753">
        <v>1022.98</v>
      </c>
      <c r="Q753" t="s">
        <v>66</v>
      </c>
      <c r="R753" t="s">
        <v>29</v>
      </c>
      <c r="S753" t="s">
        <v>110</v>
      </c>
    </row>
    <row r="754" spans="1:19" x14ac:dyDescent="0.3">
      <c r="A754" t="s">
        <v>1620</v>
      </c>
      <c r="B754" t="s">
        <v>565</v>
      </c>
      <c r="C754" s="2">
        <v>45426</v>
      </c>
      <c r="D754" t="s">
        <v>291</v>
      </c>
      <c r="E754" t="s">
        <v>292</v>
      </c>
      <c r="F754" t="s">
        <v>55</v>
      </c>
      <c r="G754" t="s">
        <v>35</v>
      </c>
      <c r="H754" t="s">
        <v>187</v>
      </c>
      <c r="I754" t="s">
        <v>114</v>
      </c>
      <c r="J754" t="s">
        <v>115</v>
      </c>
      <c r="K754" t="s">
        <v>65</v>
      </c>
      <c r="L754">
        <v>4</v>
      </c>
      <c r="M754">
        <v>55000</v>
      </c>
      <c r="N754">
        <v>10</v>
      </c>
      <c r="O754">
        <v>198000</v>
      </c>
      <c r="P754">
        <v>25100.22</v>
      </c>
      <c r="Q754" t="s">
        <v>74</v>
      </c>
      <c r="R754" t="s">
        <v>49</v>
      </c>
      <c r="S754" t="s">
        <v>50</v>
      </c>
    </row>
    <row r="755" spans="1:19" x14ac:dyDescent="0.3">
      <c r="A755" t="s">
        <v>1621</v>
      </c>
      <c r="B755" t="s">
        <v>1145</v>
      </c>
      <c r="C755" s="2">
        <v>45470</v>
      </c>
      <c r="D755" t="s">
        <v>237</v>
      </c>
      <c r="E755" t="s">
        <v>238</v>
      </c>
      <c r="F755" t="s">
        <v>55</v>
      </c>
      <c r="G755" t="s">
        <v>44</v>
      </c>
      <c r="H755" t="s">
        <v>155</v>
      </c>
      <c r="I755" t="s">
        <v>126</v>
      </c>
      <c r="J755" t="s">
        <v>127</v>
      </c>
      <c r="K755" t="s">
        <v>95</v>
      </c>
      <c r="L755">
        <v>2</v>
      </c>
      <c r="M755">
        <v>600</v>
      </c>
      <c r="N755">
        <v>10</v>
      </c>
      <c r="O755">
        <v>1080</v>
      </c>
      <c r="P755">
        <v>312.58999999999997</v>
      </c>
      <c r="Q755" t="s">
        <v>39</v>
      </c>
      <c r="R755" t="s">
        <v>29</v>
      </c>
      <c r="S755" t="s">
        <v>86</v>
      </c>
    </row>
    <row r="756" spans="1:19" x14ac:dyDescent="0.3">
      <c r="A756" t="s">
        <v>1622</v>
      </c>
      <c r="B756" s="1">
        <v>45830</v>
      </c>
      <c r="C756" s="1">
        <v>45837</v>
      </c>
      <c r="D756" t="s">
        <v>657</v>
      </c>
      <c r="E756" t="s">
        <v>658</v>
      </c>
      <c r="F756" t="s">
        <v>34</v>
      </c>
      <c r="G756" t="s">
        <v>91</v>
      </c>
      <c r="H756" t="s">
        <v>120</v>
      </c>
      <c r="I756" t="s">
        <v>63</v>
      </c>
      <c r="J756" t="s">
        <v>64</v>
      </c>
      <c r="K756" t="s">
        <v>65</v>
      </c>
      <c r="L756">
        <v>4</v>
      </c>
      <c r="M756">
        <v>25000</v>
      </c>
      <c r="N756">
        <v>0</v>
      </c>
      <c r="O756">
        <v>100000</v>
      </c>
      <c r="P756">
        <v>12741.54</v>
      </c>
      <c r="Q756" t="s">
        <v>39</v>
      </c>
      <c r="R756" t="s">
        <v>29</v>
      </c>
      <c r="S756" t="s">
        <v>110</v>
      </c>
    </row>
    <row r="757" spans="1:19" x14ac:dyDescent="0.3">
      <c r="A757" t="s">
        <v>1623</v>
      </c>
      <c r="B757" s="1">
        <v>45806</v>
      </c>
      <c r="C757" s="1">
        <v>45808</v>
      </c>
      <c r="D757" t="s">
        <v>384</v>
      </c>
      <c r="E757" t="s">
        <v>385</v>
      </c>
      <c r="F757" t="s">
        <v>55</v>
      </c>
      <c r="G757" t="s">
        <v>61</v>
      </c>
      <c r="H757" t="s">
        <v>125</v>
      </c>
      <c r="I757" t="s">
        <v>37</v>
      </c>
      <c r="J757" t="s">
        <v>38</v>
      </c>
      <c r="K757" t="s">
        <v>27</v>
      </c>
      <c r="L757">
        <v>1</v>
      </c>
      <c r="M757">
        <v>9500</v>
      </c>
      <c r="N757">
        <v>20</v>
      </c>
      <c r="O757">
        <v>7600</v>
      </c>
      <c r="P757">
        <v>1481.01</v>
      </c>
      <c r="R757" t="s">
        <v>49</v>
      </c>
      <c r="S757" t="s">
        <v>30</v>
      </c>
    </row>
    <row r="758" spans="1:19" x14ac:dyDescent="0.3">
      <c r="A758" t="s">
        <v>1624</v>
      </c>
      <c r="B758" s="1">
        <v>45323</v>
      </c>
      <c r="C758" s="1">
        <v>45294</v>
      </c>
      <c r="D758" t="s">
        <v>150</v>
      </c>
      <c r="E758" t="s">
        <v>151</v>
      </c>
      <c r="F758" t="s">
        <v>34</v>
      </c>
      <c r="G758" t="s">
        <v>35</v>
      </c>
      <c r="H758" t="s">
        <v>36</v>
      </c>
      <c r="I758" t="s">
        <v>79</v>
      </c>
      <c r="J758" t="s">
        <v>80</v>
      </c>
      <c r="K758" t="s">
        <v>65</v>
      </c>
      <c r="L758">
        <v>5</v>
      </c>
      <c r="M758">
        <v>3000</v>
      </c>
      <c r="N758">
        <v>10</v>
      </c>
      <c r="O758">
        <v>13500</v>
      </c>
      <c r="P758">
        <v>3469.39</v>
      </c>
      <c r="Q758" t="s">
        <v>121</v>
      </c>
      <c r="R758" t="s">
        <v>56</v>
      </c>
      <c r="S758" t="s">
        <v>110</v>
      </c>
    </row>
    <row r="759" spans="1:19" x14ac:dyDescent="0.3">
      <c r="A759" t="s">
        <v>1625</v>
      </c>
      <c r="B759" s="1">
        <v>45531</v>
      </c>
      <c r="C759" s="1">
        <v>45535</v>
      </c>
      <c r="D759" t="s">
        <v>450</v>
      </c>
      <c r="E759" t="s">
        <v>451</v>
      </c>
      <c r="F759" t="s">
        <v>55</v>
      </c>
      <c r="G759" t="s">
        <v>61</v>
      </c>
      <c r="H759" t="s">
        <v>62</v>
      </c>
      <c r="I759" t="s">
        <v>79</v>
      </c>
      <c r="J759" t="s">
        <v>80</v>
      </c>
      <c r="K759" t="s">
        <v>65</v>
      </c>
      <c r="L759">
        <v>3</v>
      </c>
      <c r="M759">
        <v>3000</v>
      </c>
      <c r="N759">
        <v>15</v>
      </c>
      <c r="O759">
        <v>7650</v>
      </c>
      <c r="P759">
        <v>1771.18</v>
      </c>
      <c r="Q759" t="s">
        <v>121</v>
      </c>
      <c r="R759" t="s">
        <v>29</v>
      </c>
      <c r="S759" t="s">
        <v>110</v>
      </c>
    </row>
    <row r="760" spans="1:19" x14ac:dyDescent="0.3">
      <c r="A760" t="s">
        <v>1626</v>
      </c>
      <c r="B760" s="1">
        <v>45311</v>
      </c>
      <c r="C760" s="1">
        <v>45314</v>
      </c>
      <c r="D760" t="s">
        <v>731</v>
      </c>
      <c r="E760" t="s">
        <v>732</v>
      </c>
      <c r="F760" t="s">
        <v>34</v>
      </c>
      <c r="G760" t="s">
        <v>44</v>
      </c>
      <c r="H760" t="s">
        <v>155</v>
      </c>
      <c r="I760" t="s">
        <v>126</v>
      </c>
      <c r="J760" t="s">
        <v>127</v>
      </c>
      <c r="K760" t="s">
        <v>95</v>
      </c>
      <c r="L760">
        <v>2</v>
      </c>
      <c r="M760">
        <v>600</v>
      </c>
      <c r="N760">
        <v>10</v>
      </c>
      <c r="O760">
        <v>1080</v>
      </c>
      <c r="P760">
        <v>294.8</v>
      </c>
      <c r="Q760" t="s">
        <v>66</v>
      </c>
      <c r="R760" t="s">
        <v>29</v>
      </c>
      <c r="S760" t="s">
        <v>86</v>
      </c>
    </row>
    <row r="761" spans="1:19" x14ac:dyDescent="0.3">
      <c r="A761" t="s">
        <v>1627</v>
      </c>
      <c r="B761" s="1">
        <v>45940</v>
      </c>
      <c r="C761" s="1">
        <v>45948</v>
      </c>
      <c r="D761" t="s">
        <v>438</v>
      </c>
      <c r="E761" t="s">
        <v>439</v>
      </c>
      <c r="F761" t="s">
        <v>34</v>
      </c>
      <c r="G761" t="s">
        <v>35</v>
      </c>
      <c r="H761" t="s">
        <v>85</v>
      </c>
      <c r="I761" t="s">
        <v>147</v>
      </c>
      <c r="J761" t="s">
        <v>148</v>
      </c>
      <c r="K761" t="s">
        <v>48</v>
      </c>
      <c r="L761">
        <v>1</v>
      </c>
      <c r="M761">
        <v>250</v>
      </c>
      <c r="N761">
        <v>5</v>
      </c>
      <c r="O761">
        <v>237.5</v>
      </c>
      <c r="P761">
        <v>77.239999999999995</v>
      </c>
      <c r="Q761" t="s">
        <v>66</v>
      </c>
      <c r="R761" t="s">
        <v>49</v>
      </c>
      <c r="S761" t="s">
        <v>50</v>
      </c>
    </row>
    <row r="762" spans="1:19" x14ac:dyDescent="0.3">
      <c r="A762" t="s">
        <v>1628</v>
      </c>
      <c r="B762" s="1">
        <v>45798</v>
      </c>
      <c r="C762" s="1">
        <v>45803</v>
      </c>
      <c r="D762" t="s">
        <v>288</v>
      </c>
      <c r="E762" t="s">
        <v>289</v>
      </c>
      <c r="F762" t="s">
        <v>34</v>
      </c>
      <c r="G762" t="s">
        <v>44</v>
      </c>
      <c r="H762" t="s">
        <v>155</v>
      </c>
      <c r="I762" t="s">
        <v>126</v>
      </c>
      <c r="J762" t="s">
        <v>127</v>
      </c>
      <c r="K762" t="s">
        <v>95</v>
      </c>
      <c r="L762">
        <v>2</v>
      </c>
      <c r="M762">
        <v>600</v>
      </c>
      <c r="N762">
        <v>0</v>
      </c>
      <c r="O762">
        <v>1200</v>
      </c>
      <c r="P762">
        <v>474.34</v>
      </c>
      <c r="Q762" t="s">
        <v>121</v>
      </c>
      <c r="R762" t="s">
        <v>29</v>
      </c>
      <c r="S762" t="s">
        <v>40</v>
      </c>
    </row>
    <row r="763" spans="1:19" x14ac:dyDescent="0.3">
      <c r="A763" t="s">
        <v>1629</v>
      </c>
      <c r="B763" t="s">
        <v>480</v>
      </c>
      <c r="C763" s="2">
        <v>45770</v>
      </c>
      <c r="D763" t="s">
        <v>1380</v>
      </c>
      <c r="E763" t="s">
        <v>1381</v>
      </c>
      <c r="F763" t="s">
        <v>55</v>
      </c>
      <c r="G763" t="s">
        <v>61</v>
      </c>
      <c r="H763" t="s">
        <v>78</v>
      </c>
      <c r="I763" t="s">
        <v>25</v>
      </c>
      <c r="J763" t="s">
        <v>26</v>
      </c>
      <c r="K763" t="s">
        <v>27</v>
      </c>
      <c r="L763">
        <v>2</v>
      </c>
      <c r="M763">
        <v>7000</v>
      </c>
      <c r="N763">
        <v>10</v>
      </c>
      <c r="O763">
        <v>12600</v>
      </c>
      <c r="P763">
        <v>2927.14</v>
      </c>
      <c r="Q763" t="s">
        <v>121</v>
      </c>
      <c r="R763" t="s">
        <v>49</v>
      </c>
      <c r="S763" t="s">
        <v>86</v>
      </c>
    </row>
    <row r="764" spans="1:19" x14ac:dyDescent="0.3">
      <c r="A764" t="s">
        <v>1630</v>
      </c>
      <c r="B764" s="1">
        <v>45607</v>
      </c>
      <c r="C764" s="2">
        <v>45611</v>
      </c>
      <c r="D764" t="s">
        <v>1293</v>
      </c>
      <c r="E764" t="s">
        <v>1294</v>
      </c>
      <c r="F764" t="s">
        <v>34</v>
      </c>
      <c r="G764" t="s">
        <v>61</v>
      </c>
      <c r="H764" t="s">
        <v>211</v>
      </c>
      <c r="I764" t="s">
        <v>71</v>
      </c>
      <c r="J764" t="s">
        <v>72</v>
      </c>
      <c r="K764" t="s">
        <v>73</v>
      </c>
      <c r="L764">
        <v>2</v>
      </c>
      <c r="M764">
        <v>3500</v>
      </c>
      <c r="N764">
        <v>0</v>
      </c>
      <c r="O764">
        <v>7000</v>
      </c>
      <c r="P764">
        <v>2260.08</v>
      </c>
      <c r="Q764" t="s">
        <v>121</v>
      </c>
      <c r="R764" t="s">
        <v>49</v>
      </c>
      <c r="S764" t="s">
        <v>50</v>
      </c>
    </row>
    <row r="765" spans="1:19" x14ac:dyDescent="0.3">
      <c r="A765" t="s">
        <v>1631</v>
      </c>
      <c r="B765" s="1">
        <v>46004</v>
      </c>
      <c r="C765" s="2">
        <v>46008</v>
      </c>
      <c r="D765" t="s">
        <v>805</v>
      </c>
      <c r="E765" t="s">
        <v>806</v>
      </c>
      <c r="F765" t="s">
        <v>34</v>
      </c>
      <c r="G765" t="s">
        <v>61</v>
      </c>
      <c r="H765" t="s">
        <v>78</v>
      </c>
      <c r="I765" t="s">
        <v>46</v>
      </c>
      <c r="J765" t="s">
        <v>47</v>
      </c>
      <c r="K765" t="s">
        <v>48</v>
      </c>
      <c r="L765">
        <v>1</v>
      </c>
      <c r="M765">
        <v>180</v>
      </c>
      <c r="N765">
        <v>15</v>
      </c>
      <c r="O765">
        <v>153</v>
      </c>
      <c r="P765">
        <v>64.36</v>
      </c>
      <c r="Q765" t="s">
        <v>66</v>
      </c>
      <c r="R765" t="s">
        <v>56</v>
      </c>
      <c r="S765" t="s">
        <v>40</v>
      </c>
    </row>
    <row r="766" spans="1:19" x14ac:dyDescent="0.3">
      <c r="A766" t="s">
        <v>1632</v>
      </c>
      <c r="B766" s="1">
        <v>45417</v>
      </c>
      <c r="C766" s="1">
        <v>45424</v>
      </c>
      <c r="D766" t="s">
        <v>904</v>
      </c>
      <c r="E766" t="s">
        <v>905</v>
      </c>
      <c r="F766" t="s">
        <v>23</v>
      </c>
      <c r="G766" t="s">
        <v>91</v>
      </c>
      <c r="H766" t="s">
        <v>92</v>
      </c>
      <c r="I766" t="s">
        <v>126</v>
      </c>
      <c r="J766" t="s">
        <v>127</v>
      </c>
      <c r="K766" t="s">
        <v>95</v>
      </c>
      <c r="L766">
        <v>2</v>
      </c>
      <c r="M766">
        <v>600</v>
      </c>
      <c r="N766">
        <v>20</v>
      </c>
      <c r="O766">
        <v>960</v>
      </c>
      <c r="P766">
        <v>352.45</v>
      </c>
      <c r="Q766" t="s">
        <v>156</v>
      </c>
      <c r="R766" t="s">
        <v>29</v>
      </c>
      <c r="S766" t="s">
        <v>110</v>
      </c>
    </row>
    <row r="767" spans="1:19" x14ac:dyDescent="0.3">
      <c r="A767" t="s">
        <v>1633</v>
      </c>
      <c r="B767" s="2">
        <v>45601</v>
      </c>
      <c r="C767" s="1">
        <v>45609</v>
      </c>
      <c r="D767" t="s">
        <v>1262</v>
      </c>
      <c r="E767" t="s">
        <v>1263</v>
      </c>
      <c r="F767" t="s">
        <v>23</v>
      </c>
      <c r="G767" t="s">
        <v>91</v>
      </c>
      <c r="H767" t="s">
        <v>120</v>
      </c>
      <c r="I767" t="s">
        <v>114</v>
      </c>
      <c r="J767" t="s">
        <v>115</v>
      </c>
      <c r="K767" t="s">
        <v>65</v>
      </c>
      <c r="L767">
        <v>1</v>
      </c>
      <c r="M767">
        <v>55000</v>
      </c>
      <c r="N767">
        <v>15</v>
      </c>
      <c r="O767">
        <v>46750</v>
      </c>
      <c r="P767">
        <v>7854.8</v>
      </c>
      <c r="Q767" t="s">
        <v>121</v>
      </c>
      <c r="R767" t="s">
        <v>56</v>
      </c>
      <c r="S767" t="s">
        <v>30</v>
      </c>
    </row>
    <row r="768" spans="1:19" x14ac:dyDescent="0.3">
      <c r="A768" t="s">
        <v>1634</v>
      </c>
      <c r="B768" s="1">
        <v>46015</v>
      </c>
      <c r="C768" t="s">
        <v>1635</v>
      </c>
      <c r="D768" t="s">
        <v>1604</v>
      </c>
      <c r="E768" t="s">
        <v>1605</v>
      </c>
      <c r="F768" t="s">
        <v>55</v>
      </c>
      <c r="G768" t="s">
        <v>44</v>
      </c>
      <c r="H768" t="s">
        <v>45</v>
      </c>
      <c r="I768" t="s">
        <v>103</v>
      </c>
      <c r="J768" t="s">
        <v>104</v>
      </c>
      <c r="K768" t="s">
        <v>65</v>
      </c>
      <c r="L768">
        <v>1</v>
      </c>
      <c r="M768">
        <v>8000</v>
      </c>
      <c r="N768">
        <v>10</v>
      </c>
      <c r="O768">
        <v>7200</v>
      </c>
      <c r="P768">
        <v>1352.55</v>
      </c>
      <c r="Q768" t="s">
        <v>66</v>
      </c>
      <c r="R768" t="s">
        <v>29</v>
      </c>
      <c r="S768" t="s">
        <v>110</v>
      </c>
    </row>
    <row r="769" spans="1:19" x14ac:dyDescent="0.3">
      <c r="A769" t="s">
        <v>1636</v>
      </c>
      <c r="B769" s="1">
        <v>45599</v>
      </c>
      <c r="C769" s="2">
        <v>45607</v>
      </c>
      <c r="D769" t="s">
        <v>1356</v>
      </c>
      <c r="E769" t="s">
        <v>1357</v>
      </c>
      <c r="F769" t="s">
        <v>55</v>
      </c>
      <c r="G769" t="s">
        <v>44</v>
      </c>
      <c r="H769" t="s">
        <v>24</v>
      </c>
      <c r="I769" t="s">
        <v>103</v>
      </c>
      <c r="J769" t="s">
        <v>104</v>
      </c>
      <c r="K769" t="s">
        <v>65</v>
      </c>
      <c r="L769">
        <v>5</v>
      </c>
      <c r="M769">
        <v>8000</v>
      </c>
      <c r="N769">
        <v>20</v>
      </c>
      <c r="O769">
        <v>32000</v>
      </c>
      <c r="P769">
        <v>6538.87</v>
      </c>
      <c r="Q769" t="s">
        <v>121</v>
      </c>
      <c r="R769" t="s">
        <v>56</v>
      </c>
      <c r="S769" t="s">
        <v>30</v>
      </c>
    </row>
    <row r="770" spans="1:19" x14ac:dyDescent="0.3">
      <c r="A770" t="s">
        <v>1637</v>
      </c>
      <c r="B770" s="1">
        <v>45602</v>
      </c>
      <c r="C770" t="s">
        <v>1187</v>
      </c>
      <c r="D770" t="s">
        <v>378</v>
      </c>
      <c r="E770" t="s">
        <v>1638</v>
      </c>
      <c r="F770" t="s">
        <v>34</v>
      </c>
      <c r="G770" t="s">
        <v>44</v>
      </c>
      <c r="H770" t="s">
        <v>24</v>
      </c>
      <c r="I770" t="s">
        <v>126</v>
      </c>
      <c r="J770" t="s">
        <v>127</v>
      </c>
      <c r="K770" t="s">
        <v>95</v>
      </c>
      <c r="L770">
        <v>3</v>
      </c>
      <c r="M770">
        <v>600</v>
      </c>
      <c r="N770">
        <v>15</v>
      </c>
      <c r="O770">
        <v>1530</v>
      </c>
      <c r="P770">
        <v>505.38</v>
      </c>
      <c r="Q770" t="s">
        <v>66</v>
      </c>
      <c r="R770" t="s">
        <v>49</v>
      </c>
      <c r="S770" t="s">
        <v>40</v>
      </c>
    </row>
    <row r="771" spans="1:19" x14ac:dyDescent="0.3">
      <c r="A771" t="s">
        <v>1639</v>
      </c>
      <c r="B771" s="1">
        <v>45682</v>
      </c>
      <c r="C771" s="1">
        <v>45689</v>
      </c>
      <c r="D771" t="s">
        <v>145</v>
      </c>
      <c r="E771" t="s">
        <v>146</v>
      </c>
      <c r="F771" t="s">
        <v>34</v>
      </c>
      <c r="G771" t="s">
        <v>91</v>
      </c>
      <c r="H771" t="s">
        <v>92</v>
      </c>
      <c r="I771" t="s">
        <v>93</v>
      </c>
      <c r="J771" t="s">
        <v>94</v>
      </c>
      <c r="K771" t="s">
        <v>95</v>
      </c>
      <c r="L771">
        <v>1</v>
      </c>
      <c r="M771">
        <v>1800</v>
      </c>
      <c r="N771">
        <v>0</v>
      </c>
      <c r="O771">
        <v>1800</v>
      </c>
      <c r="P771">
        <v>485.86</v>
      </c>
      <c r="Q771" t="s">
        <v>66</v>
      </c>
      <c r="R771" t="s">
        <v>29</v>
      </c>
      <c r="S771" t="s">
        <v>50</v>
      </c>
    </row>
    <row r="772" spans="1:19" x14ac:dyDescent="0.3">
      <c r="A772" t="s">
        <v>1640</v>
      </c>
      <c r="B772" t="s">
        <v>1641</v>
      </c>
      <c r="C772" s="1">
        <v>45716</v>
      </c>
      <c r="D772" t="s">
        <v>959</v>
      </c>
      <c r="E772" t="s">
        <v>960</v>
      </c>
      <c r="F772" t="s">
        <v>34</v>
      </c>
      <c r="G772" t="s">
        <v>35</v>
      </c>
      <c r="H772" t="s">
        <v>187</v>
      </c>
      <c r="I772" t="s">
        <v>79</v>
      </c>
      <c r="J772" t="s">
        <v>80</v>
      </c>
      <c r="K772" t="s">
        <v>65</v>
      </c>
      <c r="L772">
        <v>1</v>
      </c>
      <c r="M772">
        <v>3000</v>
      </c>
      <c r="N772">
        <v>0</v>
      </c>
      <c r="O772">
        <v>3000</v>
      </c>
      <c r="P772">
        <v>942.49</v>
      </c>
      <c r="Q772" t="s">
        <v>28</v>
      </c>
      <c r="R772" t="s">
        <v>49</v>
      </c>
      <c r="S772" t="s">
        <v>40</v>
      </c>
    </row>
    <row r="773" spans="1:19" x14ac:dyDescent="0.3">
      <c r="A773" t="s">
        <v>1642</v>
      </c>
      <c r="B773" s="1">
        <v>45613</v>
      </c>
      <c r="C773" s="2">
        <v>45621</v>
      </c>
      <c r="D773" t="s">
        <v>1643</v>
      </c>
      <c r="E773" t="s">
        <v>1644</v>
      </c>
      <c r="F773" t="s">
        <v>55</v>
      </c>
      <c r="G773" t="s">
        <v>91</v>
      </c>
      <c r="H773" t="s">
        <v>120</v>
      </c>
      <c r="I773" t="s">
        <v>147</v>
      </c>
      <c r="J773" t="s">
        <v>148</v>
      </c>
      <c r="K773" t="s">
        <v>48</v>
      </c>
      <c r="L773">
        <v>1</v>
      </c>
      <c r="M773">
        <v>250</v>
      </c>
      <c r="N773">
        <v>0</v>
      </c>
      <c r="O773">
        <v>250</v>
      </c>
      <c r="P773">
        <v>81.66</v>
      </c>
      <c r="Q773" t="s">
        <v>39</v>
      </c>
      <c r="R773" t="s">
        <v>29</v>
      </c>
      <c r="S773" t="s">
        <v>110</v>
      </c>
    </row>
    <row r="774" spans="1:19" x14ac:dyDescent="0.3">
      <c r="A774" t="s">
        <v>1645</v>
      </c>
      <c r="B774" t="s">
        <v>1646</v>
      </c>
      <c r="C774" t="s">
        <v>1647</v>
      </c>
      <c r="D774" t="s">
        <v>200</v>
      </c>
      <c r="E774" t="s">
        <v>1648</v>
      </c>
      <c r="F774" t="s">
        <v>23</v>
      </c>
      <c r="G774" t="s">
        <v>35</v>
      </c>
      <c r="H774" t="s">
        <v>187</v>
      </c>
      <c r="I774" t="s">
        <v>37</v>
      </c>
      <c r="J774" t="s">
        <v>38</v>
      </c>
      <c r="K774" t="s">
        <v>27</v>
      </c>
      <c r="L774">
        <v>1</v>
      </c>
      <c r="M774">
        <v>9500</v>
      </c>
      <c r="N774">
        <v>5</v>
      </c>
      <c r="O774">
        <v>9025</v>
      </c>
      <c r="P774">
        <v>1623.53</v>
      </c>
      <c r="Q774" t="s">
        <v>28</v>
      </c>
      <c r="R774" t="s">
        <v>29</v>
      </c>
      <c r="S774" t="s">
        <v>86</v>
      </c>
    </row>
    <row r="775" spans="1:19" x14ac:dyDescent="0.3">
      <c r="A775" t="s">
        <v>1649</v>
      </c>
      <c r="B775" s="1">
        <v>45557</v>
      </c>
      <c r="C775" s="1">
        <v>45559</v>
      </c>
      <c r="D775" t="s">
        <v>356</v>
      </c>
      <c r="E775" t="s">
        <v>357</v>
      </c>
      <c r="F775" t="s">
        <v>23</v>
      </c>
      <c r="G775" t="s">
        <v>91</v>
      </c>
      <c r="H775" t="s">
        <v>120</v>
      </c>
      <c r="I775" t="s">
        <v>103</v>
      </c>
      <c r="J775" t="s">
        <v>104</v>
      </c>
      <c r="K775" t="s">
        <v>65</v>
      </c>
      <c r="L775">
        <v>10</v>
      </c>
      <c r="M775">
        <v>8000</v>
      </c>
      <c r="N775">
        <v>20</v>
      </c>
      <c r="O775">
        <v>64000</v>
      </c>
      <c r="P775">
        <v>13816.27</v>
      </c>
      <c r="Q775" t="s">
        <v>156</v>
      </c>
      <c r="R775" t="s">
        <v>29</v>
      </c>
      <c r="S775" t="s">
        <v>86</v>
      </c>
    </row>
    <row r="776" spans="1:19" x14ac:dyDescent="0.3">
      <c r="A776" t="s">
        <v>1650</v>
      </c>
      <c r="B776" s="1">
        <v>45472</v>
      </c>
      <c r="C776" s="1">
        <v>45419</v>
      </c>
      <c r="D776" t="s">
        <v>1464</v>
      </c>
      <c r="E776" t="s">
        <v>1465</v>
      </c>
      <c r="F776" t="s">
        <v>23</v>
      </c>
      <c r="G776" t="s">
        <v>91</v>
      </c>
      <c r="H776" t="s">
        <v>109</v>
      </c>
      <c r="I776" t="s">
        <v>79</v>
      </c>
      <c r="J776" t="s">
        <v>80</v>
      </c>
      <c r="K776" t="s">
        <v>65</v>
      </c>
      <c r="L776">
        <v>1</v>
      </c>
      <c r="M776">
        <v>3000</v>
      </c>
      <c r="N776">
        <v>0</v>
      </c>
      <c r="O776">
        <v>120000</v>
      </c>
      <c r="P776">
        <v>920.24</v>
      </c>
      <c r="Q776" t="s">
        <v>39</v>
      </c>
      <c r="R776" t="s">
        <v>29</v>
      </c>
      <c r="S776" t="s">
        <v>110</v>
      </c>
    </row>
    <row r="777" spans="1:19" x14ac:dyDescent="0.3">
      <c r="A777" t="s">
        <v>1651</v>
      </c>
      <c r="B777" s="1">
        <v>45649</v>
      </c>
      <c r="C777" s="1">
        <v>45656</v>
      </c>
      <c r="D777" t="s">
        <v>200</v>
      </c>
      <c r="E777" t="s">
        <v>201</v>
      </c>
      <c r="F777" t="s">
        <v>23</v>
      </c>
      <c r="G777" t="s">
        <v>35</v>
      </c>
      <c r="H777" t="s">
        <v>187</v>
      </c>
      <c r="I777" t="s">
        <v>79</v>
      </c>
      <c r="J777" t="s">
        <v>80</v>
      </c>
      <c r="K777" t="s">
        <v>65</v>
      </c>
      <c r="L777">
        <v>2</v>
      </c>
      <c r="M777">
        <v>3000</v>
      </c>
      <c r="N777">
        <v>0</v>
      </c>
      <c r="O777">
        <v>6000</v>
      </c>
      <c r="P777">
        <v>1581.71</v>
      </c>
      <c r="Q777" t="s">
        <v>39</v>
      </c>
      <c r="R777" t="s">
        <v>49</v>
      </c>
      <c r="S777" t="s">
        <v>30</v>
      </c>
    </row>
    <row r="778" spans="1:19" x14ac:dyDescent="0.3">
      <c r="A778" t="s">
        <v>1652</v>
      </c>
      <c r="B778" t="s">
        <v>846</v>
      </c>
      <c r="C778" s="1">
        <v>45498</v>
      </c>
      <c r="D778" t="s">
        <v>653</v>
      </c>
      <c r="E778" t="s">
        <v>654</v>
      </c>
      <c r="F778" t="s">
        <v>23</v>
      </c>
      <c r="G778" t="s">
        <v>44</v>
      </c>
      <c r="H778" t="s">
        <v>330</v>
      </c>
      <c r="I778" t="s">
        <v>147</v>
      </c>
      <c r="J778" t="s">
        <v>148</v>
      </c>
      <c r="K778" t="s">
        <v>48</v>
      </c>
      <c r="L778">
        <v>1</v>
      </c>
      <c r="M778">
        <v>250</v>
      </c>
      <c r="N778">
        <v>10</v>
      </c>
      <c r="O778">
        <v>225</v>
      </c>
      <c r="P778">
        <v>98.44</v>
      </c>
      <c r="Q778" t="s">
        <v>74</v>
      </c>
      <c r="R778" t="s">
        <v>49</v>
      </c>
      <c r="S778" t="s">
        <v>40</v>
      </c>
    </row>
    <row r="779" spans="1:19" x14ac:dyDescent="0.3">
      <c r="A779" t="s">
        <v>1653</v>
      </c>
      <c r="B779" s="1">
        <v>46004</v>
      </c>
      <c r="C779" s="1">
        <v>46012</v>
      </c>
      <c r="D779" t="s">
        <v>129</v>
      </c>
      <c r="E779" t="s">
        <v>130</v>
      </c>
      <c r="F779" t="s">
        <v>34</v>
      </c>
      <c r="G779" t="s">
        <v>61</v>
      </c>
      <c r="H779" t="s">
        <v>78</v>
      </c>
      <c r="I779" t="s">
        <v>63</v>
      </c>
      <c r="J779" t="s">
        <v>64</v>
      </c>
      <c r="K779" t="s">
        <v>65</v>
      </c>
      <c r="L779">
        <v>1</v>
      </c>
      <c r="M779">
        <v>25000</v>
      </c>
      <c r="N779">
        <v>15</v>
      </c>
      <c r="O779">
        <v>21250</v>
      </c>
      <c r="P779">
        <v>3424.88</v>
      </c>
      <c r="Q779" t="s">
        <v>74</v>
      </c>
      <c r="R779" t="s">
        <v>49</v>
      </c>
      <c r="S779" t="s">
        <v>110</v>
      </c>
    </row>
    <row r="780" spans="1:19" x14ac:dyDescent="0.3">
      <c r="A780" t="s">
        <v>1654</v>
      </c>
      <c r="B780" s="1">
        <v>45775</v>
      </c>
      <c r="C780" s="2">
        <v>45777</v>
      </c>
      <c r="D780" t="s">
        <v>947</v>
      </c>
      <c r="E780" t="s">
        <v>948</v>
      </c>
      <c r="F780" t="s">
        <v>55</v>
      </c>
      <c r="G780" t="s">
        <v>35</v>
      </c>
      <c r="H780" t="s">
        <v>36</v>
      </c>
      <c r="I780" t="s">
        <v>25</v>
      </c>
      <c r="J780" t="s">
        <v>26</v>
      </c>
      <c r="K780" t="s">
        <v>27</v>
      </c>
      <c r="L780">
        <v>3</v>
      </c>
      <c r="M780">
        <v>7000</v>
      </c>
      <c r="N780">
        <v>5</v>
      </c>
      <c r="O780">
        <v>19950</v>
      </c>
      <c r="P780">
        <v>4540.57</v>
      </c>
      <c r="Q780" t="s">
        <v>39</v>
      </c>
      <c r="R780" t="s">
        <v>56</v>
      </c>
      <c r="S780" t="s">
        <v>40</v>
      </c>
    </row>
    <row r="781" spans="1:19" x14ac:dyDescent="0.3">
      <c r="A781" t="s">
        <v>1655</v>
      </c>
      <c r="B781" s="1">
        <v>45870</v>
      </c>
      <c r="C781" s="1">
        <v>45875</v>
      </c>
      <c r="D781" t="s">
        <v>1090</v>
      </c>
      <c r="E781" t="s">
        <v>1091</v>
      </c>
      <c r="F781" t="s">
        <v>23</v>
      </c>
      <c r="G781" t="s">
        <v>61</v>
      </c>
      <c r="H781" t="s">
        <v>78</v>
      </c>
      <c r="I781" t="s">
        <v>37</v>
      </c>
      <c r="J781" t="s">
        <v>38</v>
      </c>
      <c r="K781" t="s">
        <v>27</v>
      </c>
      <c r="L781">
        <v>1</v>
      </c>
      <c r="M781">
        <v>9500</v>
      </c>
      <c r="N781">
        <v>0</v>
      </c>
      <c r="O781">
        <v>9500</v>
      </c>
      <c r="P781">
        <v>1916.95</v>
      </c>
      <c r="Q781" t="s">
        <v>39</v>
      </c>
      <c r="R781" t="s">
        <v>56</v>
      </c>
      <c r="S781" t="s">
        <v>50</v>
      </c>
    </row>
    <row r="782" spans="1:19" x14ac:dyDescent="0.3">
      <c r="A782" t="s">
        <v>1656</v>
      </c>
      <c r="B782" s="1">
        <v>45825</v>
      </c>
      <c r="C782" s="1">
        <v>45826</v>
      </c>
      <c r="D782" t="s">
        <v>291</v>
      </c>
      <c r="E782" t="s">
        <v>292</v>
      </c>
      <c r="F782" t="s">
        <v>55</v>
      </c>
      <c r="G782" t="s">
        <v>35</v>
      </c>
      <c r="H782" t="s">
        <v>187</v>
      </c>
      <c r="I782" t="s">
        <v>25</v>
      </c>
      <c r="J782" t="s">
        <v>26</v>
      </c>
      <c r="K782" t="s">
        <v>27</v>
      </c>
      <c r="L782">
        <v>1</v>
      </c>
      <c r="M782">
        <v>7000</v>
      </c>
      <c r="N782">
        <v>15</v>
      </c>
      <c r="O782">
        <v>5950</v>
      </c>
      <c r="P782">
        <v>1000.09</v>
      </c>
      <c r="Q782" t="s">
        <v>39</v>
      </c>
      <c r="R782" t="s">
        <v>56</v>
      </c>
      <c r="S782" t="s">
        <v>110</v>
      </c>
    </row>
    <row r="783" spans="1:19" x14ac:dyDescent="0.3">
      <c r="A783" t="s">
        <v>1657</v>
      </c>
      <c r="B783" t="s">
        <v>1658</v>
      </c>
      <c r="D783" t="s">
        <v>1659</v>
      </c>
      <c r="E783" t="s">
        <v>1660</v>
      </c>
      <c r="F783" t="s">
        <v>34</v>
      </c>
      <c r="G783" t="s">
        <v>44</v>
      </c>
      <c r="H783" t="s">
        <v>24</v>
      </c>
      <c r="I783" t="s">
        <v>134</v>
      </c>
      <c r="J783" t="s">
        <v>135</v>
      </c>
      <c r="K783" t="s">
        <v>27</v>
      </c>
      <c r="L783">
        <v>2</v>
      </c>
      <c r="M783">
        <v>6000</v>
      </c>
      <c r="N783">
        <v>0</v>
      </c>
      <c r="O783">
        <v>12000</v>
      </c>
      <c r="P783">
        <v>2980.2</v>
      </c>
      <c r="Q783" t="s">
        <v>66</v>
      </c>
      <c r="R783" t="s">
        <v>29</v>
      </c>
      <c r="S783" t="s">
        <v>30</v>
      </c>
    </row>
    <row r="784" spans="1:19" x14ac:dyDescent="0.3">
      <c r="A784" t="s">
        <v>1661</v>
      </c>
      <c r="B784" s="1">
        <v>45631</v>
      </c>
      <c r="C784" s="1">
        <v>45637</v>
      </c>
      <c r="D784" t="s">
        <v>291</v>
      </c>
      <c r="E784" t="s">
        <v>292</v>
      </c>
      <c r="F784" t="s">
        <v>55</v>
      </c>
      <c r="G784" t="s">
        <v>35</v>
      </c>
      <c r="I784" t="s">
        <v>79</v>
      </c>
      <c r="J784" t="s">
        <v>80</v>
      </c>
      <c r="K784" t="s">
        <v>65</v>
      </c>
      <c r="L784">
        <v>4</v>
      </c>
      <c r="M784">
        <v>3000</v>
      </c>
      <c r="N784">
        <v>15</v>
      </c>
      <c r="O784">
        <v>10200</v>
      </c>
      <c r="P784">
        <v>3095.26</v>
      </c>
      <c r="Q784" t="s">
        <v>121</v>
      </c>
      <c r="R784" t="s">
        <v>56</v>
      </c>
      <c r="S784" t="s">
        <v>110</v>
      </c>
    </row>
    <row r="785" spans="1:19" x14ac:dyDescent="0.3">
      <c r="A785" t="s">
        <v>1662</v>
      </c>
      <c r="B785" t="s">
        <v>158</v>
      </c>
      <c r="C785" s="1">
        <v>45446</v>
      </c>
      <c r="D785" t="s">
        <v>192</v>
      </c>
      <c r="E785" t="s">
        <v>193</v>
      </c>
      <c r="F785" t="s">
        <v>55</v>
      </c>
      <c r="G785" t="s">
        <v>35</v>
      </c>
      <c r="H785" t="s">
        <v>36</v>
      </c>
      <c r="I785" t="s">
        <v>46</v>
      </c>
      <c r="J785" t="s">
        <v>47</v>
      </c>
      <c r="K785" t="s">
        <v>48</v>
      </c>
      <c r="L785">
        <v>4</v>
      </c>
      <c r="M785">
        <v>180</v>
      </c>
      <c r="N785">
        <v>0</v>
      </c>
      <c r="O785">
        <v>720</v>
      </c>
      <c r="P785">
        <v>349.46</v>
      </c>
      <c r="Q785" t="s">
        <v>28</v>
      </c>
      <c r="R785" t="s">
        <v>49</v>
      </c>
      <c r="S785" t="s">
        <v>86</v>
      </c>
    </row>
    <row r="786" spans="1:19" x14ac:dyDescent="0.3">
      <c r="A786" t="s">
        <v>1663</v>
      </c>
      <c r="B786" s="2">
        <v>45618</v>
      </c>
      <c r="C786" t="s">
        <v>1646</v>
      </c>
      <c r="D786" t="s">
        <v>942</v>
      </c>
      <c r="E786" t="s">
        <v>943</v>
      </c>
      <c r="F786" t="s">
        <v>23</v>
      </c>
      <c r="G786" t="s">
        <v>44</v>
      </c>
      <c r="H786" t="s">
        <v>155</v>
      </c>
      <c r="I786" t="s">
        <v>126</v>
      </c>
      <c r="J786" t="s">
        <v>127</v>
      </c>
      <c r="K786" t="s">
        <v>95</v>
      </c>
      <c r="L786">
        <v>1</v>
      </c>
      <c r="M786">
        <v>600</v>
      </c>
      <c r="N786">
        <v>10</v>
      </c>
      <c r="O786">
        <v>540</v>
      </c>
      <c r="P786">
        <v>205.22</v>
      </c>
      <c r="Q786" t="s">
        <v>28</v>
      </c>
      <c r="R786" t="s">
        <v>56</v>
      </c>
      <c r="S786" t="s">
        <v>40</v>
      </c>
    </row>
    <row r="787" spans="1:19" x14ac:dyDescent="0.3">
      <c r="A787" t="s">
        <v>1664</v>
      </c>
      <c r="B787" s="2">
        <v>45784</v>
      </c>
      <c r="C787" s="1">
        <v>45905</v>
      </c>
      <c r="D787" t="s">
        <v>1218</v>
      </c>
      <c r="E787" t="s">
        <v>1219</v>
      </c>
      <c r="F787" t="s">
        <v>34</v>
      </c>
      <c r="G787" t="s">
        <v>61</v>
      </c>
      <c r="H787" t="s">
        <v>62</v>
      </c>
      <c r="I787" t="s">
        <v>37</v>
      </c>
      <c r="J787" t="s">
        <v>38</v>
      </c>
      <c r="K787" t="s">
        <v>27</v>
      </c>
      <c r="L787">
        <v>2</v>
      </c>
      <c r="M787">
        <v>9500</v>
      </c>
      <c r="N787">
        <v>0</v>
      </c>
      <c r="O787">
        <v>19000</v>
      </c>
      <c r="P787">
        <v>3933.02</v>
      </c>
      <c r="R787" t="s">
        <v>49</v>
      </c>
      <c r="S787" t="s">
        <v>50</v>
      </c>
    </row>
    <row r="788" spans="1:19" x14ac:dyDescent="0.3">
      <c r="A788" t="s">
        <v>1665</v>
      </c>
      <c r="B788" s="1">
        <v>45580</v>
      </c>
      <c r="C788" t="s">
        <v>1666</v>
      </c>
      <c r="D788" t="s">
        <v>209</v>
      </c>
      <c r="E788" t="s">
        <v>210</v>
      </c>
      <c r="F788" t="s">
        <v>34</v>
      </c>
      <c r="G788" t="s">
        <v>61</v>
      </c>
      <c r="H788" t="s">
        <v>211</v>
      </c>
      <c r="I788" t="s">
        <v>114</v>
      </c>
      <c r="J788" t="s">
        <v>115</v>
      </c>
      <c r="K788" t="s">
        <v>65</v>
      </c>
      <c r="L788">
        <v>4</v>
      </c>
      <c r="M788">
        <v>55000</v>
      </c>
      <c r="N788">
        <v>15</v>
      </c>
      <c r="O788">
        <v>187000</v>
      </c>
      <c r="P788">
        <v>32616.82</v>
      </c>
      <c r="Q788" t="s">
        <v>39</v>
      </c>
      <c r="R788" t="s">
        <v>29</v>
      </c>
      <c r="S788" t="s">
        <v>86</v>
      </c>
    </row>
    <row r="789" spans="1:19" x14ac:dyDescent="0.3">
      <c r="A789" t="s">
        <v>1667</v>
      </c>
      <c r="B789" s="2">
        <v>45977</v>
      </c>
      <c r="C789" t="s">
        <v>1231</v>
      </c>
      <c r="D789" t="s">
        <v>1031</v>
      </c>
      <c r="E789" t="s">
        <v>1032</v>
      </c>
      <c r="F789" t="s">
        <v>23</v>
      </c>
      <c r="G789" t="s">
        <v>61</v>
      </c>
      <c r="H789" t="s">
        <v>211</v>
      </c>
      <c r="I789" t="s">
        <v>46</v>
      </c>
      <c r="J789" t="s">
        <v>47</v>
      </c>
      <c r="K789" t="s">
        <v>48</v>
      </c>
      <c r="L789">
        <v>1</v>
      </c>
      <c r="M789">
        <v>180</v>
      </c>
      <c r="N789">
        <v>15</v>
      </c>
      <c r="O789">
        <v>153</v>
      </c>
      <c r="P789">
        <v>63.45</v>
      </c>
      <c r="Q789" t="s">
        <v>28</v>
      </c>
      <c r="R789" t="s">
        <v>29</v>
      </c>
      <c r="S789" t="s">
        <v>40</v>
      </c>
    </row>
    <row r="790" spans="1:19" x14ac:dyDescent="0.3">
      <c r="A790" t="s">
        <v>1668</v>
      </c>
      <c r="B790" s="2">
        <v>45321</v>
      </c>
      <c r="C790" s="1">
        <v>45324</v>
      </c>
      <c r="D790" t="s">
        <v>517</v>
      </c>
      <c r="E790" t="s">
        <v>518</v>
      </c>
      <c r="F790" t="s">
        <v>34</v>
      </c>
      <c r="G790" t="s">
        <v>61</v>
      </c>
      <c r="H790" t="s">
        <v>125</v>
      </c>
      <c r="I790" t="s">
        <v>93</v>
      </c>
      <c r="J790" t="s">
        <v>94</v>
      </c>
      <c r="K790" t="s">
        <v>95</v>
      </c>
      <c r="L790">
        <v>4</v>
      </c>
      <c r="M790">
        <v>1800</v>
      </c>
      <c r="N790">
        <v>20</v>
      </c>
      <c r="O790">
        <v>5760</v>
      </c>
      <c r="P790">
        <v>1997.68</v>
      </c>
      <c r="Q790" t="s">
        <v>28</v>
      </c>
      <c r="R790" t="s">
        <v>49</v>
      </c>
      <c r="S790" t="s">
        <v>86</v>
      </c>
    </row>
    <row r="791" spans="1:19" x14ac:dyDescent="0.3">
      <c r="A791" t="s">
        <v>1669</v>
      </c>
      <c r="B791" s="1">
        <v>45892</v>
      </c>
      <c r="C791" s="1">
        <v>45895</v>
      </c>
      <c r="D791" t="s">
        <v>740</v>
      </c>
      <c r="E791" t="s">
        <v>741</v>
      </c>
      <c r="F791" t="s">
        <v>55</v>
      </c>
      <c r="G791" t="s">
        <v>35</v>
      </c>
      <c r="H791" t="s">
        <v>85</v>
      </c>
      <c r="I791" t="s">
        <v>114</v>
      </c>
      <c r="J791" t="s">
        <v>115</v>
      </c>
      <c r="K791" t="s">
        <v>65</v>
      </c>
      <c r="L791">
        <v>1</v>
      </c>
      <c r="M791">
        <v>55000</v>
      </c>
      <c r="N791">
        <v>20</v>
      </c>
      <c r="O791">
        <v>44000</v>
      </c>
      <c r="P791">
        <v>6858.79</v>
      </c>
      <c r="Q791" t="s">
        <v>39</v>
      </c>
      <c r="R791" t="s">
        <v>56</v>
      </c>
      <c r="S791" t="s">
        <v>86</v>
      </c>
    </row>
    <row r="792" spans="1:19" x14ac:dyDescent="0.3">
      <c r="A792" t="s">
        <v>1670</v>
      </c>
      <c r="B792" t="s">
        <v>1671</v>
      </c>
      <c r="C792" t="s">
        <v>1672</v>
      </c>
      <c r="D792" t="s">
        <v>453</v>
      </c>
      <c r="E792" t="s">
        <v>454</v>
      </c>
      <c r="F792" t="s">
        <v>55</v>
      </c>
      <c r="G792" t="s">
        <v>35</v>
      </c>
      <c r="H792" t="s">
        <v>187</v>
      </c>
      <c r="I792" t="s">
        <v>126</v>
      </c>
      <c r="J792" t="s">
        <v>127</v>
      </c>
      <c r="K792" t="s">
        <v>95</v>
      </c>
      <c r="L792">
        <v>1</v>
      </c>
      <c r="M792">
        <v>600</v>
      </c>
      <c r="N792">
        <v>5</v>
      </c>
      <c r="O792">
        <v>570</v>
      </c>
      <c r="P792">
        <v>170.79</v>
      </c>
      <c r="Q792" t="s">
        <v>39</v>
      </c>
      <c r="R792" t="s">
        <v>29</v>
      </c>
      <c r="S792" t="s">
        <v>86</v>
      </c>
    </row>
    <row r="793" spans="1:19" x14ac:dyDescent="0.3">
      <c r="A793" t="s">
        <v>1673</v>
      </c>
      <c r="B793" s="1">
        <v>45311</v>
      </c>
      <c r="C793" t="s">
        <v>1674</v>
      </c>
      <c r="D793" t="s">
        <v>509</v>
      </c>
      <c r="E793" t="s">
        <v>510</v>
      </c>
      <c r="F793" t="s">
        <v>23</v>
      </c>
      <c r="G793" t="s">
        <v>91</v>
      </c>
      <c r="H793" t="s">
        <v>120</v>
      </c>
      <c r="I793" t="s">
        <v>25</v>
      </c>
      <c r="J793" t="s">
        <v>26</v>
      </c>
      <c r="K793" t="s">
        <v>27</v>
      </c>
      <c r="L793">
        <v>4</v>
      </c>
      <c r="M793">
        <v>7000</v>
      </c>
      <c r="N793">
        <v>0</v>
      </c>
      <c r="O793">
        <v>28000</v>
      </c>
      <c r="P793">
        <v>4826.01</v>
      </c>
      <c r="Q793" t="s">
        <v>74</v>
      </c>
      <c r="R793" t="s">
        <v>49</v>
      </c>
      <c r="S793" t="s">
        <v>86</v>
      </c>
    </row>
    <row r="794" spans="1:19" x14ac:dyDescent="0.3">
      <c r="A794" t="s">
        <v>1675</v>
      </c>
      <c r="B794" s="2">
        <v>45306</v>
      </c>
      <c r="C794" s="2">
        <v>45311</v>
      </c>
      <c r="D794" t="s">
        <v>123</v>
      </c>
      <c r="E794" t="s">
        <v>124</v>
      </c>
      <c r="F794" t="s">
        <v>34</v>
      </c>
      <c r="G794" t="s">
        <v>61</v>
      </c>
      <c r="H794" t="s">
        <v>125</v>
      </c>
      <c r="I794" t="s">
        <v>79</v>
      </c>
      <c r="J794" t="s">
        <v>80</v>
      </c>
      <c r="K794" t="s">
        <v>65</v>
      </c>
      <c r="L794">
        <v>1</v>
      </c>
      <c r="M794">
        <v>3000</v>
      </c>
      <c r="N794">
        <v>15</v>
      </c>
      <c r="O794">
        <v>2550</v>
      </c>
      <c r="P794">
        <v>607.35</v>
      </c>
      <c r="Q794" t="s">
        <v>74</v>
      </c>
      <c r="R794" t="s">
        <v>29</v>
      </c>
      <c r="S794" t="s">
        <v>40</v>
      </c>
    </row>
    <row r="795" spans="1:19" x14ac:dyDescent="0.3">
      <c r="A795" t="s">
        <v>1676</v>
      </c>
      <c r="B795" s="1">
        <v>45567</v>
      </c>
      <c r="C795" t="s">
        <v>456</v>
      </c>
      <c r="D795" t="s">
        <v>1125</v>
      </c>
      <c r="E795" t="s">
        <v>1126</v>
      </c>
      <c r="F795" t="s">
        <v>55</v>
      </c>
      <c r="G795" t="s">
        <v>61</v>
      </c>
      <c r="H795" t="s">
        <v>125</v>
      </c>
      <c r="I795" t="s">
        <v>134</v>
      </c>
      <c r="J795" t="s">
        <v>135</v>
      </c>
      <c r="K795" t="s">
        <v>27</v>
      </c>
      <c r="L795">
        <v>1</v>
      </c>
      <c r="M795">
        <v>6000</v>
      </c>
      <c r="N795">
        <v>15</v>
      </c>
      <c r="O795">
        <v>5100</v>
      </c>
      <c r="P795">
        <v>1310.85</v>
      </c>
      <c r="Q795" t="s">
        <v>28</v>
      </c>
      <c r="R795" t="s">
        <v>29</v>
      </c>
      <c r="S795" t="s">
        <v>86</v>
      </c>
    </row>
    <row r="796" spans="1:19" x14ac:dyDescent="0.3">
      <c r="A796" t="s">
        <v>1677</v>
      </c>
      <c r="B796" s="1">
        <v>45789</v>
      </c>
      <c r="C796" s="1">
        <v>45999</v>
      </c>
      <c r="D796" t="s">
        <v>230</v>
      </c>
      <c r="E796" t="s">
        <v>231</v>
      </c>
      <c r="F796" t="s">
        <v>55</v>
      </c>
      <c r="G796" t="s">
        <v>44</v>
      </c>
      <c r="H796" t="s">
        <v>161</v>
      </c>
      <c r="I796" t="s">
        <v>134</v>
      </c>
      <c r="J796" t="s">
        <v>135</v>
      </c>
      <c r="K796" t="s">
        <v>27</v>
      </c>
      <c r="L796">
        <v>2</v>
      </c>
      <c r="M796">
        <v>6000</v>
      </c>
      <c r="N796">
        <v>15</v>
      </c>
      <c r="O796">
        <v>10200</v>
      </c>
      <c r="Q796" t="s">
        <v>28</v>
      </c>
      <c r="R796" t="s">
        <v>49</v>
      </c>
      <c r="S796" t="s">
        <v>86</v>
      </c>
    </row>
    <row r="797" spans="1:19" x14ac:dyDescent="0.3">
      <c r="A797" t="s">
        <v>1678</v>
      </c>
      <c r="B797" t="s">
        <v>1479</v>
      </c>
      <c r="C797" s="2">
        <v>45795</v>
      </c>
      <c r="D797" t="s">
        <v>395</v>
      </c>
      <c r="E797" t="s">
        <v>1679</v>
      </c>
      <c r="F797" t="s">
        <v>55</v>
      </c>
      <c r="G797" t="s">
        <v>44</v>
      </c>
      <c r="H797" t="s">
        <v>161</v>
      </c>
      <c r="I797" t="s">
        <v>134</v>
      </c>
      <c r="J797" t="s">
        <v>135</v>
      </c>
      <c r="K797" t="s">
        <v>27</v>
      </c>
      <c r="L797">
        <v>2</v>
      </c>
      <c r="M797">
        <v>6000</v>
      </c>
      <c r="N797">
        <v>20</v>
      </c>
      <c r="O797">
        <v>9600</v>
      </c>
      <c r="P797">
        <v>2241.09</v>
      </c>
      <c r="Q797" t="s">
        <v>74</v>
      </c>
      <c r="R797" t="s">
        <v>49</v>
      </c>
      <c r="S797" t="s">
        <v>40</v>
      </c>
    </row>
    <row r="798" spans="1:19" x14ac:dyDescent="0.3">
      <c r="A798" t="s">
        <v>1680</v>
      </c>
      <c r="B798" s="1">
        <v>45713</v>
      </c>
      <c r="C798" s="1">
        <v>45718</v>
      </c>
      <c r="D798" t="s">
        <v>324</v>
      </c>
      <c r="E798" t="s">
        <v>325</v>
      </c>
      <c r="F798" t="s">
        <v>55</v>
      </c>
      <c r="G798" t="s">
        <v>91</v>
      </c>
      <c r="H798" t="s">
        <v>109</v>
      </c>
      <c r="I798" t="s">
        <v>134</v>
      </c>
      <c r="J798" t="s">
        <v>135</v>
      </c>
      <c r="K798" t="s">
        <v>27</v>
      </c>
      <c r="L798">
        <v>1</v>
      </c>
      <c r="M798">
        <v>6000</v>
      </c>
      <c r="N798">
        <v>15</v>
      </c>
      <c r="O798">
        <v>5100</v>
      </c>
      <c r="P798">
        <v>1313.97</v>
      </c>
      <c r="Q798" t="s">
        <v>121</v>
      </c>
      <c r="R798" t="s">
        <v>29</v>
      </c>
      <c r="S798" t="s">
        <v>86</v>
      </c>
    </row>
    <row r="799" spans="1:19" x14ac:dyDescent="0.3">
      <c r="A799" t="s">
        <v>1681</v>
      </c>
      <c r="B799" s="1">
        <v>45331</v>
      </c>
      <c r="C799" s="2">
        <v>45545</v>
      </c>
      <c r="D799" t="s">
        <v>561</v>
      </c>
      <c r="E799" t="s">
        <v>562</v>
      </c>
      <c r="F799" t="s">
        <v>23</v>
      </c>
      <c r="G799" t="s">
        <v>44</v>
      </c>
      <c r="H799" t="s">
        <v>155</v>
      </c>
      <c r="I799" t="s">
        <v>134</v>
      </c>
      <c r="J799" t="s">
        <v>135</v>
      </c>
      <c r="K799" t="s">
        <v>27</v>
      </c>
      <c r="L799">
        <v>2</v>
      </c>
      <c r="M799">
        <v>6000</v>
      </c>
      <c r="N799">
        <v>20</v>
      </c>
      <c r="O799">
        <v>9600</v>
      </c>
      <c r="P799">
        <v>1873.67</v>
      </c>
      <c r="Q799" t="s">
        <v>39</v>
      </c>
      <c r="R799" t="s">
        <v>56</v>
      </c>
      <c r="S799" t="s">
        <v>110</v>
      </c>
    </row>
    <row r="800" spans="1:19" x14ac:dyDescent="0.3">
      <c r="A800" t="s">
        <v>1682</v>
      </c>
      <c r="B800" s="1">
        <v>45453</v>
      </c>
      <c r="C800" s="1">
        <v>45457</v>
      </c>
      <c r="D800" t="s">
        <v>483</v>
      </c>
      <c r="E800" t="s">
        <v>484</v>
      </c>
      <c r="F800" t="s">
        <v>55</v>
      </c>
      <c r="G800" t="s">
        <v>61</v>
      </c>
      <c r="H800" t="s">
        <v>62</v>
      </c>
      <c r="I800" t="s">
        <v>46</v>
      </c>
      <c r="J800" t="s">
        <v>47</v>
      </c>
      <c r="K800" t="s">
        <v>48</v>
      </c>
      <c r="L800">
        <v>2</v>
      </c>
      <c r="M800">
        <v>180</v>
      </c>
      <c r="N800">
        <v>5</v>
      </c>
      <c r="O800">
        <v>342</v>
      </c>
      <c r="P800">
        <v>137.12</v>
      </c>
      <c r="Q800" t="s">
        <v>74</v>
      </c>
      <c r="R800" t="s">
        <v>49</v>
      </c>
      <c r="S800" t="s">
        <v>110</v>
      </c>
    </row>
    <row r="801" spans="1:19" x14ac:dyDescent="0.3">
      <c r="A801" t="s">
        <v>1683</v>
      </c>
      <c r="B801" s="2">
        <v>45316</v>
      </c>
      <c r="C801" s="1">
        <v>45318</v>
      </c>
      <c r="D801" t="s">
        <v>570</v>
      </c>
      <c r="E801" t="s">
        <v>571</v>
      </c>
      <c r="F801" t="s">
        <v>34</v>
      </c>
      <c r="G801" t="s">
        <v>44</v>
      </c>
      <c r="H801" t="s">
        <v>161</v>
      </c>
      <c r="I801" t="s">
        <v>134</v>
      </c>
      <c r="J801" t="s">
        <v>135</v>
      </c>
      <c r="K801" t="s">
        <v>27</v>
      </c>
      <c r="L801">
        <v>4</v>
      </c>
      <c r="M801">
        <v>6000</v>
      </c>
      <c r="N801">
        <v>0</v>
      </c>
      <c r="O801">
        <v>24000</v>
      </c>
      <c r="P801">
        <v>4912.1499999999996</v>
      </c>
      <c r="Q801" t="s">
        <v>66</v>
      </c>
      <c r="R801" t="s">
        <v>29</v>
      </c>
      <c r="S801" t="s">
        <v>40</v>
      </c>
    </row>
    <row r="802" spans="1:19" x14ac:dyDescent="0.3">
      <c r="A802" t="s">
        <v>1684</v>
      </c>
      <c r="B802" s="1">
        <v>45514</v>
      </c>
      <c r="C802" s="1">
        <v>45574</v>
      </c>
      <c r="D802" t="s">
        <v>349</v>
      </c>
      <c r="E802" t="s">
        <v>350</v>
      </c>
      <c r="F802" t="s">
        <v>34</v>
      </c>
      <c r="G802" t="s">
        <v>91</v>
      </c>
      <c r="H802" t="s">
        <v>120</v>
      </c>
      <c r="I802" t="s">
        <v>134</v>
      </c>
      <c r="J802" t="s">
        <v>135</v>
      </c>
      <c r="K802" t="s">
        <v>27</v>
      </c>
      <c r="L802">
        <v>3</v>
      </c>
      <c r="M802">
        <v>6000</v>
      </c>
      <c r="N802">
        <v>0</v>
      </c>
      <c r="O802">
        <v>18000</v>
      </c>
      <c r="P802">
        <v>3890.7</v>
      </c>
      <c r="Q802" t="s">
        <v>39</v>
      </c>
      <c r="R802" t="s">
        <v>49</v>
      </c>
      <c r="S802" t="s">
        <v>50</v>
      </c>
    </row>
    <row r="803" spans="1:19" x14ac:dyDescent="0.3">
      <c r="A803" t="s">
        <v>1685</v>
      </c>
      <c r="B803" s="2">
        <v>45440</v>
      </c>
      <c r="D803" t="s">
        <v>1009</v>
      </c>
      <c r="E803" t="s">
        <v>1010</v>
      </c>
      <c r="F803" t="s">
        <v>23</v>
      </c>
      <c r="G803" t="s">
        <v>61</v>
      </c>
      <c r="H803" t="s">
        <v>62</v>
      </c>
      <c r="I803" t="s">
        <v>134</v>
      </c>
      <c r="J803" t="s">
        <v>135</v>
      </c>
      <c r="K803" t="s">
        <v>27</v>
      </c>
      <c r="L803">
        <v>1</v>
      </c>
      <c r="M803">
        <v>6000</v>
      </c>
      <c r="N803">
        <v>10</v>
      </c>
      <c r="O803">
        <v>5400</v>
      </c>
      <c r="P803">
        <v>1143.07</v>
      </c>
      <c r="Q803" t="s">
        <v>74</v>
      </c>
      <c r="R803" t="s">
        <v>29</v>
      </c>
      <c r="S803" t="s">
        <v>30</v>
      </c>
    </row>
    <row r="804" spans="1:19" x14ac:dyDescent="0.3">
      <c r="A804" t="s">
        <v>1686</v>
      </c>
      <c r="B804" s="2">
        <v>45721</v>
      </c>
      <c r="C804" s="1">
        <v>45724</v>
      </c>
      <c r="D804" t="s">
        <v>959</v>
      </c>
      <c r="E804" t="s">
        <v>960</v>
      </c>
      <c r="F804" t="s">
        <v>34</v>
      </c>
      <c r="G804" t="s">
        <v>35</v>
      </c>
      <c r="H804" t="s">
        <v>187</v>
      </c>
      <c r="I804" t="s">
        <v>37</v>
      </c>
      <c r="J804" t="s">
        <v>38</v>
      </c>
      <c r="K804" t="s">
        <v>27</v>
      </c>
      <c r="L804">
        <v>2</v>
      </c>
      <c r="M804">
        <v>9500</v>
      </c>
      <c r="N804">
        <v>10</v>
      </c>
      <c r="O804">
        <v>17100</v>
      </c>
      <c r="P804">
        <v>3336.32</v>
      </c>
      <c r="Q804" t="s">
        <v>156</v>
      </c>
      <c r="R804" t="s">
        <v>49</v>
      </c>
      <c r="S804" t="s">
        <v>110</v>
      </c>
    </row>
    <row r="805" spans="1:19" x14ac:dyDescent="0.3">
      <c r="A805" t="s">
        <v>1687</v>
      </c>
      <c r="B805" s="1">
        <v>45477</v>
      </c>
      <c r="C805" s="1">
        <v>45482</v>
      </c>
      <c r="D805" t="s">
        <v>509</v>
      </c>
      <c r="E805" t="s">
        <v>510</v>
      </c>
      <c r="F805" t="s">
        <v>23</v>
      </c>
      <c r="G805" t="s">
        <v>91</v>
      </c>
      <c r="H805" t="s">
        <v>120</v>
      </c>
      <c r="I805" t="s">
        <v>79</v>
      </c>
      <c r="J805" t="s">
        <v>80</v>
      </c>
      <c r="K805" t="s">
        <v>65</v>
      </c>
      <c r="L805">
        <v>4</v>
      </c>
      <c r="M805">
        <v>3000</v>
      </c>
      <c r="N805">
        <v>5</v>
      </c>
      <c r="O805">
        <v>11400</v>
      </c>
      <c r="P805">
        <v>3029.11</v>
      </c>
      <c r="Q805" t="s">
        <v>156</v>
      </c>
      <c r="R805" t="s">
        <v>49</v>
      </c>
      <c r="S805" t="s">
        <v>40</v>
      </c>
    </row>
    <row r="806" spans="1:19" x14ac:dyDescent="0.3">
      <c r="A806" t="s">
        <v>1688</v>
      </c>
      <c r="B806" s="1">
        <v>45897</v>
      </c>
      <c r="C806" s="2">
        <v>45901</v>
      </c>
      <c r="D806" t="s">
        <v>406</v>
      </c>
      <c r="E806" t="s">
        <v>407</v>
      </c>
      <c r="F806" t="s">
        <v>55</v>
      </c>
      <c r="G806" t="s">
        <v>91</v>
      </c>
      <c r="H806" t="s">
        <v>120</v>
      </c>
      <c r="I806" t="s">
        <v>37</v>
      </c>
      <c r="J806" t="s">
        <v>38</v>
      </c>
      <c r="K806" t="s">
        <v>27</v>
      </c>
      <c r="L806">
        <v>10</v>
      </c>
      <c r="M806">
        <v>9500</v>
      </c>
      <c r="N806">
        <v>20</v>
      </c>
      <c r="O806">
        <v>76000</v>
      </c>
      <c r="P806">
        <v>15357.39</v>
      </c>
      <c r="Q806" t="s">
        <v>121</v>
      </c>
      <c r="R806" t="s">
        <v>29</v>
      </c>
      <c r="S806" t="s">
        <v>30</v>
      </c>
    </row>
    <row r="807" spans="1:19" x14ac:dyDescent="0.3">
      <c r="A807" t="s">
        <v>1689</v>
      </c>
      <c r="B807" s="1">
        <v>46007</v>
      </c>
      <c r="C807" s="1">
        <v>46012</v>
      </c>
      <c r="D807" t="s">
        <v>890</v>
      </c>
      <c r="E807" t="s">
        <v>891</v>
      </c>
      <c r="F807" t="s">
        <v>34</v>
      </c>
      <c r="G807" t="s">
        <v>35</v>
      </c>
      <c r="H807" t="s">
        <v>36</v>
      </c>
      <c r="I807" t="s">
        <v>134</v>
      </c>
      <c r="J807" t="s">
        <v>135</v>
      </c>
      <c r="K807" t="s">
        <v>27</v>
      </c>
      <c r="L807">
        <v>1</v>
      </c>
      <c r="M807">
        <v>6000</v>
      </c>
      <c r="N807">
        <v>20</v>
      </c>
      <c r="O807">
        <v>4800</v>
      </c>
      <c r="P807">
        <v>879.18</v>
      </c>
      <c r="Q807" t="s">
        <v>156</v>
      </c>
      <c r="R807" t="s">
        <v>29</v>
      </c>
      <c r="S807" t="s">
        <v>50</v>
      </c>
    </row>
    <row r="808" spans="1:19" x14ac:dyDescent="0.3">
      <c r="A808" t="s">
        <v>1690</v>
      </c>
      <c r="B808" t="s">
        <v>1691</v>
      </c>
      <c r="C808" s="1">
        <v>45457</v>
      </c>
      <c r="D808" t="s">
        <v>1643</v>
      </c>
      <c r="E808" t="s">
        <v>1644</v>
      </c>
      <c r="F808" t="s">
        <v>55</v>
      </c>
      <c r="G808" t="s">
        <v>91</v>
      </c>
      <c r="H808" t="s">
        <v>120</v>
      </c>
      <c r="I808" t="s">
        <v>25</v>
      </c>
      <c r="J808" t="s">
        <v>26</v>
      </c>
      <c r="K808" t="s">
        <v>27</v>
      </c>
      <c r="L808">
        <v>10</v>
      </c>
      <c r="M808">
        <v>7000</v>
      </c>
      <c r="N808">
        <v>15</v>
      </c>
      <c r="O808">
        <v>59500</v>
      </c>
      <c r="P808">
        <v>10474.94</v>
      </c>
      <c r="Q808" t="s">
        <v>156</v>
      </c>
      <c r="R808" t="s">
        <v>49</v>
      </c>
      <c r="S808" t="s">
        <v>50</v>
      </c>
    </row>
    <row r="809" spans="1:19" x14ac:dyDescent="0.3">
      <c r="A809" t="s">
        <v>1692</v>
      </c>
      <c r="B809" s="1">
        <v>45847</v>
      </c>
      <c r="C809" s="1">
        <v>45908</v>
      </c>
      <c r="D809" t="s">
        <v>362</v>
      </c>
      <c r="E809" t="s">
        <v>363</v>
      </c>
      <c r="F809" t="s">
        <v>55</v>
      </c>
      <c r="G809" t="s">
        <v>35</v>
      </c>
      <c r="H809" t="s">
        <v>36</v>
      </c>
      <c r="I809" t="s">
        <v>79</v>
      </c>
      <c r="J809" t="s">
        <v>80</v>
      </c>
      <c r="K809" t="s">
        <v>65</v>
      </c>
      <c r="L809">
        <v>1</v>
      </c>
      <c r="M809">
        <v>3000</v>
      </c>
      <c r="N809">
        <v>5</v>
      </c>
      <c r="O809">
        <v>2850</v>
      </c>
      <c r="P809">
        <v>679.36</v>
      </c>
      <c r="Q809" t="s">
        <v>74</v>
      </c>
      <c r="R809" t="s">
        <v>29</v>
      </c>
      <c r="S809" t="s">
        <v>40</v>
      </c>
    </row>
    <row r="810" spans="1:19" x14ac:dyDescent="0.3">
      <c r="A810" t="s">
        <v>1693</v>
      </c>
      <c r="B810" s="1">
        <v>45537</v>
      </c>
      <c r="C810" s="1">
        <v>45628</v>
      </c>
      <c r="D810" t="s">
        <v>470</v>
      </c>
      <c r="E810" t="s">
        <v>471</v>
      </c>
      <c r="F810" t="s">
        <v>23</v>
      </c>
      <c r="G810" t="s">
        <v>61</v>
      </c>
      <c r="H810" t="s">
        <v>62</v>
      </c>
      <c r="I810" t="s">
        <v>25</v>
      </c>
      <c r="J810" t="s">
        <v>26</v>
      </c>
      <c r="K810" t="s">
        <v>27</v>
      </c>
      <c r="L810">
        <v>4</v>
      </c>
      <c r="M810">
        <v>7000</v>
      </c>
      <c r="N810">
        <v>0</v>
      </c>
      <c r="O810">
        <v>28000</v>
      </c>
      <c r="P810">
        <v>6625.82</v>
      </c>
      <c r="Q810" t="s">
        <v>156</v>
      </c>
      <c r="R810" t="s">
        <v>49</v>
      </c>
      <c r="S810" t="s">
        <v>30</v>
      </c>
    </row>
    <row r="811" spans="1:19" x14ac:dyDescent="0.3">
      <c r="A811" t="s">
        <v>1694</v>
      </c>
      <c r="B811" s="1">
        <v>45415</v>
      </c>
      <c r="C811" s="1">
        <v>45419</v>
      </c>
      <c r="D811" t="s">
        <v>1695</v>
      </c>
      <c r="E811" t="s">
        <v>1696</v>
      </c>
      <c r="F811" t="s">
        <v>34</v>
      </c>
      <c r="G811" t="s">
        <v>35</v>
      </c>
      <c r="H811" t="s">
        <v>85</v>
      </c>
      <c r="I811" t="s">
        <v>103</v>
      </c>
      <c r="J811" t="s">
        <v>104</v>
      </c>
      <c r="K811" t="s">
        <v>65</v>
      </c>
      <c r="L811">
        <v>5</v>
      </c>
      <c r="M811">
        <v>8000</v>
      </c>
      <c r="N811">
        <v>5</v>
      </c>
      <c r="O811">
        <v>38000</v>
      </c>
      <c r="P811">
        <v>7469.24</v>
      </c>
      <c r="Q811" t="s">
        <v>156</v>
      </c>
      <c r="R811" t="s">
        <v>49</v>
      </c>
      <c r="S811" t="s">
        <v>50</v>
      </c>
    </row>
    <row r="812" spans="1:19" x14ac:dyDescent="0.3">
      <c r="A812" t="s">
        <v>1697</v>
      </c>
      <c r="B812" t="s">
        <v>1698</v>
      </c>
      <c r="C812" t="s">
        <v>997</v>
      </c>
      <c r="D812" t="s">
        <v>1418</v>
      </c>
      <c r="E812" t="s">
        <v>1419</v>
      </c>
      <c r="F812" t="s">
        <v>34</v>
      </c>
      <c r="G812" t="s">
        <v>61</v>
      </c>
      <c r="H812" t="s">
        <v>211</v>
      </c>
      <c r="I812" t="s">
        <v>79</v>
      </c>
      <c r="J812" t="s">
        <v>80</v>
      </c>
      <c r="K812" t="s">
        <v>65</v>
      </c>
      <c r="L812">
        <v>3</v>
      </c>
      <c r="M812">
        <v>3000</v>
      </c>
      <c r="N812">
        <v>15</v>
      </c>
      <c r="O812">
        <v>7650</v>
      </c>
      <c r="P812">
        <v>1864.53</v>
      </c>
      <c r="Q812" t="s">
        <v>66</v>
      </c>
      <c r="R812" t="s">
        <v>56</v>
      </c>
      <c r="S812" t="s">
        <v>40</v>
      </c>
    </row>
    <row r="813" spans="1:19" x14ac:dyDescent="0.3">
      <c r="A813" t="s">
        <v>1699</v>
      </c>
      <c r="B813" t="s">
        <v>1700</v>
      </c>
      <c r="C813" s="1">
        <v>45429</v>
      </c>
      <c r="D813" t="s">
        <v>488</v>
      </c>
      <c r="E813" t="s">
        <v>489</v>
      </c>
      <c r="F813" t="s">
        <v>34</v>
      </c>
      <c r="G813" t="s">
        <v>35</v>
      </c>
      <c r="H813" t="s">
        <v>36</v>
      </c>
      <c r="I813" t="s">
        <v>126</v>
      </c>
      <c r="J813" t="s">
        <v>127</v>
      </c>
      <c r="K813" t="s">
        <v>95</v>
      </c>
      <c r="L813">
        <v>1</v>
      </c>
      <c r="M813">
        <v>600</v>
      </c>
      <c r="N813">
        <v>0</v>
      </c>
      <c r="O813">
        <v>600</v>
      </c>
      <c r="P813">
        <v>201.49</v>
      </c>
      <c r="Q813" t="s">
        <v>66</v>
      </c>
      <c r="R813" t="s">
        <v>49</v>
      </c>
      <c r="S813" t="s">
        <v>86</v>
      </c>
    </row>
    <row r="814" spans="1:19" x14ac:dyDescent="0.3">
      <c r="A814" t="s">
        <v>1701</v>
      </c>
      <c r="B814" s="2">
        <v>45397</v>
      </c>
      <c r="C814" s="2">
        <v>45400</v>
      </c>
      <c r="D814" t="s">
        <v>1028</v>
      </c>
      <c r="E814" t="s">
        <v>1029</v>
      </c>
      <c r="F814" t="s">
        <v>34</v>
      </c>
      <c r="G814" t="s">
        <v>91</v>
      </c>
      <c r="H814" t="s">
        <v>120</v>
      </c>
      <c r="I814" t="s">
        <v>93</v>
      </c>
      <c r="J814" t="s">
        <v>94</v>
      </c>
      <c r="K814" t="s">
        <v>95</v>
      </c>
      <c r="L814">
        <v>1</v>
      </c>
      <c r="M814">
        <v>1800</v>
      </c>
      <c r="N814">
        <v>0</v>
      </c>
      <c r="O814">
        <v>1800</v>
      </c>
      <c r="P814">
        <v>649.02</v>
      </c>
      <c r="Q814" t="s">
        <v>66</v>
      </c>
      <c r="R814" t="s">
        <v>49</v>
      </c>
      <c r="S814" t="s">
        <v>30</v>
      </c>
    </row>
    <row r="815" spans="1:19" x14ac:dyDescent="0.3">
      <c r="A815" t="s">
        <v>1702</v>
      </c>
      <c r="B815" s="1">
        <v>45817</v>
      </c>
      <c r="C815" s="1">
        <v>45907</v>
      </c>
      <c r="D815" t="s">
        <v>101</v>
      </c>
      <c r="E815" t="s">
        <v>102</v>
      </c>
      <c r="F815" t="s">
        <v>55</v>
      </c>
      <c r="G815" t="s">
        <v>35</v>
      </c>
      <c r="H815" t="s">
        <v>36</v>
      </c>
      <c r="I815" t="s">
        <v>114</v>
      </c>
      <c r="J815" t="s">
        <v>115</v>
      </c>
      <c r="K815" t="s">
        <v>65</v>
      </c>
      <c r="L815">
        <v>2</v>
      </c>
      <c r="M815">
        <v>55000</v>
      </c>
      <c r="N815">
        <v>0</v>
      </c>
      <c r="O815">
        <v>110000</v>
      </c>
      <c r="P815">
        <v>19251.59</v>
      </c>
      <c r="Q815" t="s">
        <v>156</v>
      </c>
      <c r="R815" t="s">
        <v>49</v>
      </c>
      <c r="S815" t="s">
        <v>110</v>
      </c>
    </row>
    <row r="816" spans="1:19" x14ac:dyDescent="0.3">
      <c r="A816" t="s">
        <v>1703</v>
      </c>
      <c r="B816" s="1">
        <v>45382</v>
      </c>
      <c r="C816" s="2">
        <v>45383</v>
      </c>
      <c r="D816" t="s">
        <v>588</v>
      </c>
      <c r="E816" t="s">
        <v>589</v>
      </c>
      <c r="F816" t="s">
        <v>23</v>
      </c>
      <c r="G816" t="s">
        <v>61</v>
      </c>
      <c r="H816" t="s">
        <v>62</v>
      </c>
      <c r="I816" t="s">
        <v>79</v>
      </c>
      <c r="J816" t="s">
        <v>80</v>
      </c>
      <c r="K816" t="s">
        <v>65</v>
      </c>
      <c r="L816">
        <v>1</v>
      </c>
      <c r="M816">
        <v>3000</v>
      </c>
      <c r="N816">
        <v>20</v>
      </c>
      <c r="O816">
        <v>2400</v>
      </c>
      <c r="P816">
        <v>610.24</v>
      </c>
      <c r="Q816" t="s">
        <v>156</v>
      </c>
      <c r="R816" t="s">
        <v>29</v>
      </c>
      <c r="S816" t="s">
        <v>110</v>
      </c>
    </row>
    <row r="817" spans="1:19" x14ac:dyDescent="0.3">
      <c r="A817" t="s">
        <v>1704</v>
      </c>
      <c r="B817" s="2">
        <v>45615</v>
      </c>
      <c r="C817" s="1">
        <v>45617</v>
      </c>
      <c r="D817" t="s">
        <v>1055</v>
      </c>
      <c r="E817" t="s">
        <v>1056</v>
      </c>
      <c r="F817" t="s">
        <v>55</v>
      </c>
      <c r="G817" t="s">
        <v>61</v>
      </c>
      <c r="H817" t="s">
        <v>62</v>
      </c>
      <c r="I817" t="s">
        <v>134</v>
      </c>
      <c r="J817" t="s">
        <v>135</v>
      </c>
      <c r="K817" t="s">
        <v>27</v>
      </c>
      <c r="L817">
        <v>3</v>
      </c>
      <c r="M817">
        <v>6000</v>
      </c>
      <c r="N817">
        <v>10</v>
      </c>
      <c r="O817">
        <v>16200</v>
      </c>
      <c r="P817">
        <v>2730.77</v>
      </c>
      <c r="Q817" t="s">
        <v>156</v>
      </c>
      <c r="R817" t="s">
        <v>56</v>
      </c>
      <c r="S817" t="s">
        <v>86</v>
      </c>
    </row>
    <row r="818" spans="1:19" x14ac:dyDescent="0.3">
      <c r="A818" t="s">
        <v>1705</v>
      </c>
      <c r="B818" s="2">
        <v>45640</v>
      </c>
      <c r="C818" s="1">
        <v>45646</v>
      </c>
      <c r="D818" t="s">
        <v>291</v>
      </c>
      <c r="E818" t="s">
        <v>292</v>
      </c>
      <c r="F818" t="s">
        <v>55</v>
      </c>
      <c r="G818" t="s">
        <v>35</v>
      </c>
      <c r="H818" t="s">
        <v>187</v>
      </c>
      <c r="I818" t="s">
        <v>71</v>
      </c>
      <c r="J818" t="s">
        <v>72</v>
      </c>
      <c r="K818" t="s">
        <v>73</v>
      </c>
      <c r="L818">
        <v>4</v>
      </c>
      <c r="M818">
        <v>3500</v>
      </c>
      <c r="N818">
        <v>20</v>
      </c>
      <c r="O818">
        <v>11200</v>
      </c>
      <c r="P818">
        <v>3706.18</v>
      </c>
      <c r="Q818" t="s">
        <v>121</v>
      </c>
      <c r="R818" t="s">
        <v>49</v>
      </c>
      <c r="S818" t="s">
        <v>40</v>
      </c>
    </row>
    <row r="819" spans="1:19" x14ac:dyDescent="0.3">
      <c r="A819" t="s">
        <v>1706</v>
      </c>
      <c r="B819" s="1">
        <v>45452</v>
      </c>
      <c r="C819" s="1">
        <v>45513</v>
      </c>
      <c r="D819" t="s">
        <v>582</v>
      </c>
      <c r="E819" t="s">
        <v>583</v>
      </c>
      <c r="F819" t="s">
        <v>34</v>
      </c>
      <c r="G819" t="s">
        <v>61</v>
      </c>
      <c r="H819" t="s">
        <v>78</v>
      </c>
      <c r="I819" t="s">
        <v>93</v>
      </c>
      <c r="J819" t="s">
        <v>94</v>
      </c>
      <c r="K819" t="s">
        <v>95</v>
      </c>
      <c r="L819">
        <v>10</v>
      </c>
      <c r="M819">
        <v>1800</v>
      </c>
      <c r="N819">
        <v>0</v>
      </c>
      <c r="O819">
        <v>18000</v>
      </c>
      <c r="P819">
        <v>5165.9399999999996</v>
      </c>
      <c r="Q819" t="s">
        <v>156</v>
      </c>
      <c r="R819" t="s">
        <v>56</v>
      </c>
      <c r="S819" t="s">
        <v>86</v>
      </c>
    </row>
    <row r="820" spans="1:19" x14ac:dyDescent="0.3">
      <c r="A820" t="s">
        <v>1707</v>
      </c>
      <c r="B820" s="1">
        <v>46003</v>
      </c>
      <c r="C820" s="1">
        <v>46008</v>
      </c>
      <c r="D820" t="s">
        <v>947</v>
      </c>
      <c r="E820" t="s">
        <v>948</v>
      </c>
      <c r="F820" t="s">
        <v>55</v>
      </c>
      <c r="G820" t="s">
        <v>35</v>
      </c>
      <c r="H820" t="s">
        <v>36</v>
      </c>
      <c r="I820" t="s">
        <v>126</v>
      </c>
      <c r="J820" t="s">
        <v>127</v>
      </c>
      <c r="K820" t="s">
        <v>95</v>
      </c>
      <c r="L820">
        <v>2</v>
      </c>
      <c r="M820">
        <v>600</v>
      </c>
      <c r="N820">
        <v>0</v>
      </c>
      <c r="O820">
        <v>1200</v>
      </c>
      <c r="Q820" t="s">
        <v>66</v>
      </c>
      <c r="R820" t="s">
        <v>29</v>
      </c>
      <c r="S820" t="s">
        <v>30</v>
      </c>
    </row>
    <row r="821" spans="1:19" x14ac:dyDescent="0.3">
      <c r="A821" t="s">
        <v>1708</v>
      </c>
      <c r="B821" t="s">
        <v>1709</v>
      </c>
      <c r="C821" t="s">
        <v>1447</v>
      </c>
      <c r="D821" t="s">
        <v>1218</v>
      </c>
      <c r="E821" t="s">
        <v>1219</v>
      </c>
      <c r="F821" t="s">
        <v>34</v>
      </c>
      <c r="G821" t="s">
        <v>61</v>
      </c>
      <c r="H821" t="s">
        <v>62</v>
      </c>
      <c r="I821" t="s">
        <v>37</v>
      </c>
      <c r="J821" t="s">
        <v>38</v>
      </c>
      <c r="K821" t="s">
        <v>27</v>
      </c>
      <c r="L821">
        <v>1</v>
      </c>
      <c r="M821">
        <v>9500</v>
      </c>
      <c r="N821">
        <v>0</v>
      </c>
      <c r="O821">
        <v>9500</v>
      </c>
      <c r="P821">
        <v>1343.96</v>
      </c>
      <c r="Q821" t="s">
        <v>74</v>
      </c>
      <c r="R821" t="s">
        <v>56</v>
      </c>
      <c r="S821" t="s">
        <v>110</v>
      </c>
    </row>
    <row r="822" spans="1:19" x14ac:dyDescent="0.3">
      <c r="A822" t="s">
        <v>1710</v>
      </c>
      <c r="B822" s="1">
        <v>45423</v>
      </c>
      <c r="C822" s="1">
        <v>45431</v>
      </c>
      <c r="D822" t="s">
        <v>609</v>
      </c>
      <c r="E822" t="s">
        <v>610</v>
      </c>
      <c r="F822" t="s">
        <v>23</v>
      </c>
      <c r="G822" t="s">
        <v>44</v>
      </c>
      <c r="H822" t="s">
        <v>155</v>
      </c>
      <c r="I822" t="s">
        <v>71</v>
      </c>
      <c r="J822" t="s">
        <v>72</v>
      </c>
      <c r="K822" t="s">
        <v>73</v>
      </c>
      <c r="M822">
        <v>3500</v>
      </c>
      <c r="N822">
        <v>5</v>
      </c>
      <c r="O822">
        <v>9975</v>
      </c>
      <c r="P822">
        <v>3307.07</v>
      </c>
      <c r="Q822" t="s">
        <v>39</v>
      </c>
      <c r="R822" t="s">
        <v>49</v>
      </c>
      <c r="S822" t="s">
        <v>50</v>
      </c>
    </row>
    <row r="823" spans="1:19" x14ac:dyDescent="0.3">
      <c r="A823" t="s">
        <v>1711</v>
      </c>
      <c r="B823" t="s">
        <v>1712</v>
      </c>
      <c r="C823" s="1">
        <v>45947</v>
      </c>
      <c r="D823" t="s">
        <v>1301</v>
      </c>
      <c r="E823" t="s">
        <v>1302</v>
      </c>
      <c r="F823" t="s">
        <v>23</v>
      </c>
      <c r="G823" t="s">
        <v>91</v>
      </c>
      <c r="H823" t="s">
        <v>120</v>
      </c>
      <c r="I823" t="s">
        <v>147</v>
      </c>
      <c r="J823" t="s">
        <v>148</v>
      </c>
      <c r="K823" t="s">
        <v>611</v>
      </c>
      <c r="L823">
        <v>3</v>
      </c>
      <c r="M823">
        <v>250</v>
      </c>
      <c r="N823">
        <v>0</v>
      </c>
      <c r="O823">
        <v>750</v>
      </c>
      <c r="P823">
        <v>287.18</v>
      </c>
      <c r="Q823" t="s">
        <v>156</v>
      </c>
      <c r="R823" t="s">
        <v>29</v>
      </c>
      <c r="S823" t="s">
        <v>50</v>
      </c>
    </row>
    <row r="824" spans="1:19" x14ac:dyDescent="0.3">
      <c r="A824" t="s">
        <v>1713</v>
      </c>
      <c r="B824" t="s">
        <v>1714</v>
      </c>
      <c r="C824" s="2">
        <v>45765</v>
      </c>
      <c r="D824" t="s">
        <v>138</v>
      </c>
      <c r="E824" t="s">
        <v>139</v>
      </c>
      <c r="F824" t="s">
        <v>55</v>
      </c>
      <c r="G824" t="s">
        <v>35</v>
      </c>
      <c r="H824" t="s">
        <v>36</v>
      </c>
      <c r="I824" t="s">
        <v>103</v>
      </c>
      <c r="J824" t="s">
        <v>104</v>
      </c>
      <c r="K824" t="s">
        <v>105</v>
      </c>
      <c r="L824">
        <v>1</v>
      </c>
      <c r="M824">
        <v>8000</v>
      </c>
      <c r="N824">
        <v>5</v>
      </c>
      <c r="O824">
        <v>7600</v>
      </c>
      <c r="P824">
        <v>2012.44</v>
      </c>
      <c r="Q824" t="s">
        <v>66</v>
      </c>
      <c r="R824" t="s">
        <v>29</v>
      </c>
      <c r="S824" t="s">
        <v>50</v>
      </c>
    </row>
    <row r="825" spans="1:19" x14ac:dyDescent="0.3">
      <c r="A825" t="s">
        <v>1715</v>
      </c>
      <c r="B825" t="s">
        <v>811</v>
      </c>
      <c r="C825" s="1">
        <v>45435</v>
      </c>
      <c r="D825" t="s">
        <v>959</v>
      </c>
      <c r="E825" t="s">
        <v>960</v>
      </c>
      <c r="F825" t="s">
        <v>34</v>
      </c>
      <c r="G825" t="s">
        <v>35</v>
      </c>
      <c r="H825" t="s">
        <v>187</v>
      </c>
      <c r="I825" t="s">
        <v>93</v>
      </c>
      <c r="J825" t="s">
        <v>94</v>
      </c>
      <c r="K825" t="s">
        <v>95</v>
      </c>
      <c r="L825">
        <v>1</v>
      </c>
      <c r="M825">
        <v>1800</v>
      </c>
      <c r="N825">
        <v>0</v>
      </c>
      <c r="O825">
        <v>1800</v>
      </c>
      <c r="P825">
        <v>639.72</v>
      </c>
      <c r="Q825" t="s">
        <v>66</v>
      </c>
      <c r="R825" t="s">
        <v>49</v>
      </c>
      <c r="S825" t="s">
        <v>50</v>
      </c>
    </row>
    <row r="826" spans="1:19" x14ac:dyDescent="0.3">
      <c r="A826" t="s">
        <v>1716</v>
      </c>
      <c r="B826" s="1">
        <v>45341</v>
      </c>
      <c r="C826" s="1">
        <v>45342</v>
      </c>
      <c r="D826" t="s">
        <v>98</v>
      </c>
      <c r="E826" t="s">
        <v>99</v>
      </c>
      <c r="F826" t="s">
        <v>34</v>
      </c>
      <c r="G826" t="s">
        <v>91</v>
      </c>
      <c r="H826" t="s">
        <v>92</v>
      </c>
      <c r="I826" t="s">
        <v>93</v>
      </c>
      <c r="J826" t="s">
        <v>94</v>
      </c>
      <c r="K826" t="s">
        <v>95</v>
      </c>
      <c r="L826">
        <v>2</v>
      </c>
      <c r="M826">
        <v>1800</v>
      </c>
      <c r="N826">
        <v>0</v>
      </c>
      <c r="O826">
        <v>3600</v>
      </c>
      <c r="P826">
        <v>1215.6300000000001</v>
      </c>
      <c r="Q826" t="s">
        <v>66</v>
      </c>
      <c r="R826" t="s">
        <v>56</v>
      </c>
      <c r="S826" t="s">
        <v>86</v>
      </c>
    </row>
    <row r="827" spans="1:19" x14ac:dyDescent="0.3">
      <c r="A827" t="s">
        <v>1717</v>
      </c>
      <c r="B827" s="1">
        <v>45582</v>
      </c>
      <c r="C827" s="1">
        <v>45583</v>
      </c>
      <c r="D827" t="s">
        <v>575</v>
      </c>
      <c r="E827" t="s">
        <v>836</v>
      </c>
      <c r="F827" t="s">
        <v>34</v>
      </c>
      <c r="G827" t="s">
        <v>91</v>
      </c>
      <c r="H827" t="s">
        <v>120</v>
      </c>
      <c r="I827" t="s">
        <v>63</v>
      </c>
      <c r="J827" t="s">
        <v>64</v>
      </c>
      <c r="K827" t="s">
        <v>65</v>
      </c>
      <c r="L827">
        <v>2</v>
      </c>
      <c r="M827">
        <v>25000</v>
      </c>
      <c r="N827">
        <v>10</v>
      </c>
      <c r="O827">
        <v>45000</v>
      </c>
      <c r="P827">
        <v>6526.26</v>
      </c>
      <c r="Q827" t="s">
        <v>121</v>
      </c>
      <c r="R827" t="s">
        <v>49</v>
      </c>
      <c r="S827" t="s">
        <v>194</v>
      </c>
    </row>
    <row r="828" spans="1:19" x14ac:dyDescent="0.3">
      <c r="A828" t="s">
        <v>1718</v>
      </c>
      <c r="B828" s="1">
        <v>45439</v>
      </c>
      <c r="C828" s="1">
        <v>45441</v>
      </c>
      <c r="D828" t="s">
        <v>1450</v>
      </c>
      <c r="E828" t="s">
        <v>1451</v>
      </c>
      <c r="F828" t="s">
        <v>23</v>
      </c>
      <c r="G828" t="s">
        <v>61</v>
      </c>
      <c r="H828" t="s">
        <v>78</v>
      </c>
      <c r="I828" t="s">
        <v>63</v>
      </c>
      <c r="J828" t="s">
        <v>64</v>
      </c>
      <c r="K828" t="s">
        <v>65</v>
      </c>
      <c r="L828">
        <v>2</v>
      </c>
      <c r="M828">
        <v>25000</v>
      </c>
      <c r="N828">
        <v>15</v>
      </c>
      <c r="O828">
        <v>42500</v>
      </c>
      <c r="P828">
        <v>6973.73</v>
      </c>
      <c r="Q828" t="s">
        <v>66</v>
      </c>
      <c r="R828" t="s">
        <v>49</v>
      </c>
      <c r="S828" t="s">
        <v>40</v>
      </c>
    </row>
    <row r="829" spans="1:19" x14ac:dyDescent="0.3">
      <c r="A829" t="s">
        <v>1719</v>
      </c>
      <c r="B829" s="1">
        <v>45508</v>
      </c>
      <c r="C829" s="1">
        <v>45391</v>
      </c>
      <c r="D829" t="s">
        <v>554</v>
      </c>
      <c r="E829" t="s">
        <v>555</v>
      </c>
      <c r="F829" t="s">
        <v>55</v>
      </c>
      <c r="G829" t="s">
        <v>61</v>
      </c>
      <c r="H829" t="s">
        <v>62</v>
      </c>
      <c r="I829" t="s">
        <v>134</v>
      </c>
      <c r="J829" t="s">
        <v>135</v>
      </c>
      <c r="K829" t="s">
        <v>27</v>
      </c>
      <c r="L829">
        <v>3</v>
      </c>
      <c r="M829">
        <v>6000</v>
      </c>
      <c r="N829">
        <v>0</v>
      </c>
      <c r="O829">
        <v>18000</v>
      </c>
      <c r="P829">
        <v>4426.74</v>
      </c>
      <c r="Q829" t="s">
        <v>39</v>
      </c>
      <c r="R829" t="s">
        <v>56</v>
      </c>
      <c r="S829" t="s">
        <v>40</v>
      </c>
    </row>
    <row r="830" spans="1:19" x14ac:dyDescent="0.3">
      <c r="A830" t="s">
        <v>1720</v>
      </c>
      <c r="B830" s="1">
        <v>46021</v>
      </c>
      <c r="C830" s="1">
        <v>46023</v>
      </c>
      <c r="D830" t="s">
        <v>575</v>
      </c>
      <c r="E830" t="s">
        <v>836</v>
      </c>
      <c r="F830" t="s">
        <v>34</v>
      </c>
      <c r="G830" t="s">
        <v>91</v>
      </c>
      <c r="H830" t="s">
        <v>120</v>
      </c>
      <c r="I830" t="s">
        <v>114</v>
      </c>
      <c r="J830" t="s">
        <v>115</v>
      </c>
      <c r="K830" t="s">
        <v>65</v>
      </c>
      <c r="L830">
        <v>1</v>
      </c>
      <c r="M830">
        <v>55000</v>
      </c>
      <c r="N830">
        <v>0</v>
      </c>
      <c r="O830">
        <v>55000</v>
      </c>
      <c r="P830">
        <v>10878.16</v>
      </c>
      <c r="Q830" t="s">
        <v>121</v>
      </c>
      <c r="R830" t="s">
        <v>56</v>
      </c>
      <c r="S830" t="s">
        <v>30</v>
      </c>
    </row>
    <row r="831" spans="1:19" x14ac:dyDescent="0.3">
      <c r="A831" t="s">
        <v>1721</v>
      </c>
      <c r="B831" s="2">
        <v>45323</v>
      </c>
      <c r="C831" s="1">
        <v>45330</v>
      </c>
      <c r="D831" t="s">
        <v>32</v>
      </c>
      <c r="E831" t="s">
        <v>33</v>
      </c>
      <c r="F831" t="s">
        <v>34</v>
      </c>
      <c r="G831" t="s">
        <v>35</v>
      </c>
      <c r="H831" t="s">
        <v>36</v>
      </c>
      <c r="I831" t="s">
        <v>71</v>
      </c>
      <c r="J831" t="s">
        <v>72</v>
      </c>
      <c r="K831" t="s">
        <v>73</v>
      </c>
      <c r="L831">
        <v>2</v>
      </c>
      <c r="M831">
        <v>3500</v>
      </c>
      <c r="N831">
        <v>15</v>
      </c>
      <c r="O831">
        <v>5950</v>
      </c>
      <c r="P831">
        <v>1458.46</v>
      </c>
      <c r="Q831" t="s">
        <v>121</v>
      </c>
      <c r="R831" t="s">
        <v>29</v>
      </c>
      <c r="S831" t="s">
        <v>86</v>
      </c>
    </row>
    <row r="832" spans="1:19" x14ac:dyDescent="0.3">
      <c r="A832" t="s">
        <v>1722</v>
      </c>
      <c r="B832" s="1">
        <v>45302</v>
      </c>
      <c r="C832" s="2">
        <v>45305</v>
      </c>
      <c r="D832" t="s">
        <v>272</v>
      </c>
      <c r="E832" t="s">
        <v>273</v>
      </c>
      <c r="F832" t="s">
        <v>23</v>
      </c>
      <c r="G832" t="s">
        <v>35</v>
      </c>
      <c r="H832" t="s">
        <v>258</v>
      </c>
      <c r="I832" t="s">
        <v>134</v>
      </c>
      <c r="J832" t="s">
        <v>135</v>
      </c>
      <c r="K832" t="s">
        <v>27</v>
      </c>
      <c r="L832">
        <v>2</v>
      </c>
      <c r="M832">
        <v>6000</v>
      </c>
      <c r="N832">
        <v>10</v>
      </c>
      <c r="O832">
        <v>10800</v>
      </c>
      <c r="P832">
        <v>2020.27</v>
      </c>
      <c r="Q832" t="s">
        <v>74</v>
      </c>
      <c r="R832" t="s">
        <v>56</v>
      </c>
      <c r="S832" t="s">
        <v>110</v>
      </c>
    </row>
    <row r="833" spans="1:19" x14ac:dyDescent="0.3">
      <c r="A833" t="s">
        <v>1723</v>
      </c>
      <c r="B833" s="2">
        <v>45397</v>
      </c>
      <c r="C833" t="s">
        <v>117</v>
      </c>
      <c r="D833" t="s">
        <v>150</v>
      </c>
      <c r="E833" t="s">
        <v>151</v>
      </c>
      <c r="F833" t="s">
        <v>34</v>
      </c>
      <c r="G833" t="s">
        <v>35</v>
      </c>
      <c r="H833" t="s">
        <v>36</v>
      </c>
      <c r="I833" t="s">
        <v>46</v>
      </c>
      <c r="J833" t="s">
        <v>47</v>
      </c>
      <c r="K833" t="s">
        <v>48</v>
      </c>
      <c r="L833">
        <v>2</v>
      </c>
      <c r="M833">
        <v>180</v>
      </c>
      <c r="N833">
        <v>15</v>
      </c>
      <c r="O833">
        <v>306</v>
      </c>
      <c r="P833">
        <v>140.28</v>
      </c>
      <c r="Q833" t="s">
        <v>39</v>
      </c>
      <c r="R833" t="s">
        <v>56</v>
      </c>
      <c r="S833" t="s">
        <v>86</v>
      </c>
    </row>
    <row r="834" spans="1:19" x14ac:dyDescent="0.3">
      <c r="A834" t="s">
        <v>1724</v>
      </c>
      <c r="B834" t="s">
        <v>1725</v>
      </c>
      <c r="C834" s="2">
        <v>45631</v>
      </c>
      <c r="D834" t="s">
        <v>1265</v>
      </c>
      <c r="E834" t="s">
        <v>1266</v>
      </c>
      <c r="F834" t="s">
        <v>23</v>
      </c>
      <c r="G834" t="s">
        <v>35</v>
      </c>
      <c r="H834" t="s">
        <v>36</v>
      </c>
      <c r="I834" t="s">
        <v>63</v>
      </c>
      <c r="J834" t="s">
        <v>64</v>
      </c>
      <c r="K834" t="s">
        <v>65</v>
      </c>
      <c r="L834">
        <v>2</v>
      </c>
      <c r="M834">
        <v>25000</v>
      </c>
      <c r="N834">
        <v>10</v>
      </c>
      <c r="O834">
        <v>45000</v>
      </c>
      <c r="P834">
        <v>6146.37</v>
      </c>
      <c r="Q834" t="s">
        <v>121</v>
      </c>
      <c r="R834" t="s">
        <v>29</v>
      </c>
      <c r="S834" t="s">
        <v>86</v>
      </c>
    </row>
    <row r="835" spans="1:19" x14ac:dyDescent="0.3">
      <c r="A835" t="s">
        <v>1726</v>
      </c>
      <c r="B835" s="1">
        <v>45851</v>
      </c>
      <c r="C835" s="2">
        <v>45852</v>
      </c>
      <c r="D835" t="s">
        <v>1075</v>
      </c>
      <c r="E835" t="s">
        <v>1076</v>
      </c>
      <c r="F835" t="s">
        <v>55</v>
      </c>
      <c r="G835" t="s">
        <v>61</v>
      </c>
      <c r="H835" t="s">
        <v>125</v>
      </c>
      <c r="I835" t="s">
        <v>37</v>
      </c>
      <c r="J835" t="s">
        <v>38</v>
      </c>
      <c r="K835" t="s">
        <v>27</v>
      </c>
      <c r="L835">
        <v>3</v>
      </c>
      <c r="M835">
        <v>9500</v>
      </c>
      <c r="N835">
        <v>5</v>
      </c>
      <c r="O835">
        <v>27075</v>
      </c>
      <c r="P835">
        <v>4275.82</v>
      </c>
      <c r="Q835" t="s">
        <v>28</v>
      </c>
      <c r="R835" t="s">
        <v>29</v>
      </c>
      <c r="S835" t="s">
        <v>30</v>
      </c>
    </row>
    <row r="836" spans="1:19" x14ac:dyDescent="0.3">
      <c r="A836" t="s">
        <v>1727</v>
      </c>
      <c r="B836" s="1">
        <v>45635</v>
      </c>
      <c r="C836" t="s">
        <v>1728</v>
      </c>
      <c r="D836" t="s">
        <v>1729</v>
      </c>
      <c r="E836" t="s">
        <v>1730</v>
      </c>
      <c r="F836" t="s">
        <v>34</v>
      </c>
      <c r="G836" t="s">
        <v>35</v>
      </c>
      <c r="H836" t="s">
        <v>258</v>
      </c>
      <c r="I836" t="s">
        <v>63</v>
      </c>
      <c r="J836" t="s">
        <v>64</v>
      </c>
      <c r="K836" t="s">
        <v>65</v>
      </c>
      <c r="L836">
        <v>5</v>
      </c>
      <c r="M836">
        <v>25000</v>
      </c>
      <c r="N836">
        <v>5</v>
      </c>
      <c r="O836">
        <v>118750</v>
      </c>
      <c r="P836">
        <v>15193.15</v>
      </c>
      <c r="Q836" t="s">
        <v>39</v>
      </c>
      <c r="R836" t="s">
        <v>56</v>
      </c>
      <c r="S836" t="s">
        <v>86</v>
      </c>
    </row>
    <row r="837" spans="1:19" x14ac:dyDescent="0.3">
      <c r="A837" t="s">
        <v>1731</v>
      </c>
      <c r="B837" s="2">
        <v>45708</v>
      </c>
      <c r="C837" s="1">
        <v>45712</v>
      </c>
      <c r="D837" t="s">
        <v>1732</v>
      </c>
      <c r="E837" t="s">
        <v>1733</v>
      </c>
      <c r="F837" t="s">
        <v>34</v>
      </c>
      <c r="G837" t="s">
        <v>35</v>
      </c>
      <c r="H837" t="s">
        <v>85</v>
      </c>
      <c r="I837" t="s">
        <v>37</v>
      </c>
      <c r="J837" t="s">
        <v>38</v>
      </c>
      <c r="K837" t="s">
        <v>27</v>
      </c>
      <c r="L837">
        <v>1</v>
      </c>
      <c r="M837">
        <v>9500</v>
      </c>
      <c r="N837">
        <v>0</v>
      </c>
      <c r="O837">
        <v>9500</v>
      </c>
      <c r="Q837" t="s">
        <v>28</v>
      </c>
      <c r="R837" t="s">
        <v>49</v>
      </c>
      <c r="S837" t="s">
        <v>30</v>
      </c>
    </row>
    <row r="838" spans="1:19" x14ac:dyDescent="0.3">
      <c r="A838" t="s">
        <v>1734</v>
      </c>
      <c r="B838" s="1">
        <v>45700</v>
      </c>
      <c r="C838" t="s">
        <v>1431</v>
      </c>
      <c r="D838" t="s">
        <v>159</v>
      </c>
      <c r="E838" t="s">
        <v>160</v>
      </c>
      <c r="F838" t="s">
        <v>34</v>
      </c>
      <c r="G838" t="s">
        <v>44</v>
      </c>
      <c r="H838" t="s">
        <v>161</v>
      </c>
      <c r="I838" t="s">
        <v>37</v>
      </c>
      <c r="J838" t="s">
        <v>38</v>
      </c>
      <c r="K838" t="s">
        <v>27</v>
      </c>
      <c r="L838">
        <v>4</v>
      </c>
      <c r="M838">
        <v>9500</v>
      </c>
      <c r="N838">
        <v>5</v>
      </c>
      <c r="O838">
        <v>36100</v>
      </c>
      <c r="P838">
        <v>5163.09</v>
      </c>
      <c r="Q838" t="s">
        <v>66</v>
      </c>
      <c r="R838" t="s">
        <v>56</v>
      </c>
      <c r="S838" t="s">
        <v>50</v>
      </c>
    </row>
    <row r="839" spans="1:19" x14ac:dyDescent="0.3">
      <c r="A839" t="s">
        <v>1735</v>
      </c>
      <c r="B839" s="1">
        <v>45316</v>
      </c>
      <c r="C839" s="1">
        <v>45323</v>
      </c>
      <c r="D839" t="s">
        <v>1736</v>
      </c>
      <c r="E839" t="s">
        <v>1737</v>
      </c>
      <c r="F839" t="s">
        <v>34</v>
      </c>
      <c r="G839" t="s">
        <v>35</v>
      </c>
      <c r="H839" t="s">
        <v>36</v>
      </c>
      <c r="I839" t="s">
        <v>147</v>
      </c>
      <c r="J839" t="s">
        <v>148</v>
      </c>
      <c r="K839" t="s">
        <v>48</v>
      </c>
      <c r="L839">
        <v>2</v>
      </c>
      <c r="M839">
        <v>250</v>
      </c>
      <c r="N839">
        <v>0</v>
      </c>
      <c r="O839">
        <v>500</v>
      </c>
      <c r="P839">
        <v>184.9</v>
      </c>
      <c r="Q839" t="s">
        <v>74</v>
      </c>
      <c r="R839" t="s">
        <v>49</v>
      </c>
      <c r="S839" t="s">
        <v>110</v>
      </c>
    </row>
    <row r="840" spans="1:19" x14ac:dyDescent="0.3">
      <c r="A840" t="s">
        <v>1738</v>
      </c>
      <c r="B840" s="1">
        <v>45661</v>
      </c>
      <c r="C840" s="1">
        <v>45931</v>
      </c>
      <c r="D840" t="s">
        <v>388</v>
      </c>
      <c r="E840" t="s">
        <v>389</v>
      </c>
      <c r="F840" t="s">
        <v>23</v>
      </c>
      <c r="G840" t="s">
        <v>44</v>
      </c>
      <c r="H840" t="s">
        <v>161</v>
      </c>
      <c r="I840" t="s">
        <v>126</v>
      </c>
      <c r="J840" t="s">
        <v>127</v>
      </c>
      <c r="K840" t="s">
        <v>850</v>
      </c>
      <c r="L840">
        <v>3</v>
      </c>
      <c r="M840">
        <v>600</v>
      </c>
      <c r="N840">
        <v>5</v>
      </c>
      <c r="O840">
        <v>1710</v>
      </c>
      <c r="P840">
        <v>553.87</v>
      </c>
      <c r="R840" t="s">
        <v>49</v>
      </c>
      <c r="S840" t="s">
        <v>40</v>
      </c>
    </row>
    <row r="841" spans="1:19" x14ac:dyDescent="0.3">
      <c r="A841" t="s">
        <v>1739</v>
      </c>
      <c r="B841" s="1">
        <v>45429</v>
      </c>
      <c r="C841" s="1">
        <v>45432</v>
      </c>
      <c r="D841" t="s">
        <v>550</v>
      </c>
      <c r="E841" t="s">
        <v>551</v>
      </c>
      <c r="F841" t="s">
        <v>55</v>
      </c>
      <c r="G841" t="s">
        <v>91</v>
      </c>
      <c r="H841" t="s">
        <v>109</v>
      </c>
      <c r="I841" t="s">
        <v>126</v>
      </c>
      <c r="J841" t="s">
        <v>127</v>
      </c>
      <c r="K841" t="s">
        <v>95</v>
      </c>
      <c r="L841">
        <v>1</v>
      </c>
      <c r="M841">
        <v>600</v>
      </c>
      <c r="N841">
        <v>0</v>
      </c>
      <c r="O841">
        <v>600</v>
      </c>
      <c r="P841">
        <v>187.45</v>
      </c>
      <c r="Q841" t="s">
        <v>74</v>
      </c>
      <c r="R841" t="s">
        <v>56</v>
      </c>
      <c r="S841" t="s">
        <v>50</v>
      </c>
    </row>
    <row r="842" spans="1:19" x14ac:dyDescent="0.3">
      <c r="A842" t="s">
        <v>1740</v>
      </c>
      <c r="B842" s="1">
        <v>45782</v>
      </c>
      <c r="D842" t="s">
        <v>527</v>
      </c>
      <c r="E842" t="s">
        <v>528</v>
      </c>
      <c r="F842" t="s">
        <v>23</v>
      </c>
      <c r="G842" t="s">
        <v>44</v>
      </c>
      <c r="H842" t="s">
        <v>161</v>
      </c>
      <c r="I842" t="s">
        <v>114</v>
      </c>
      <c r="J842" t="s">
        <v>115</v>
      </c>
      <c r="K842" t="s">
        <v>65</v>
      </c>
      <c r="L842">
        <v>1</v>
      </c>
      <c r="M842">
        <v>55000</v>
      </c>
      <c r="N842">
        <v>0</v>
      </c>
      <c r="O842">
        <v>55000</v>
      </c>
      <c r="P842">
        <v>7696.18</v>
      </c>
      <c r="Q842" t="s">
        <v>66</v>
      </c>
      <c r="R842" t="s">
        <v>29</v>
      </c>
      <c r="S842" t="s">
        <v>50</v>
      </c>
    </row>
    <row r="843" spans="1:19" x14ac:dyDescent="0.3">
      <c r="A843" t="s">
        <v>1741</v>
      </c>
      <c r="B843" s="2">
        <v>45376</v>
      </c>
      <c r="C843" s="1">
        <v>45378</v>
      </c>
      <c r="D843" t="s">
        <v>942</v>
      </c>
      <c r="E843" t="s">
        <v>943</v>
      </c>
      <c r="F843" t="s">
        <v>23</v>
      </c>
      <c r="G843" t="s">
        <v>44</v>
      </c>
      <c r="H843" t="s">
        <v>155</v>
      </c>
      <c r="I843" t="s">
        <v>63</v>
      </c>
      <c r="J843" t="s">
        <v>64</v>
      </c>
      <c r="K843" t="s">
        <v>65</v>
      </c>
      <c r="L843">
        <v>1</v>
      </c>
      <c r="M843">
        <v>25000</v>
      </c>
      <c r="N843">
        <v>20</v>
      </c>
      <c r="O843">
        <v>20000</v>
      </c>
      <c r="P843">
        <v>2958.73</v>
      </c>
      <c r="Q843" t="s">
        <v>28</v>
      </c>
      <c r="R843" t="s">
        <v>49</v>
      </c>
      <c r="S843" t="s">
        <v>110</v>
      </c>
    </row>
    <row r="844" spans="1:19" x14ac:dyDescent="0.3">
      <c r="A844" t="s">
        <v>1742</v>
      </c>
      <c r="B844" s="2">
        <v>45771</v>
      </c>
      <c r="C844" s="1">
        <v>45693</v>
      </c>
      <c r="D844" t="s">
        <v>138</v>
      </c>
      <c r="E844" t="s">
        <v>139</v>
      </c>
      <c r="F844" t="s">
        <v>55</v>
      </c>
      <c r="G844" t="s">
        <v>35</v>
      </c>
      <c r="H844" t="s">
        <v>36</v>
      </c>
      <c r="I844" t="s">
        <v>103</v>
      </c>
      <c r="J844" t="s">
        <v>104</v>
      </c>
      <c r="K844" t="s">
        <v>65</v>
      </c>
      <c r="L844">
        <v>-5</v>
      </c>
      <c r="M844">
        <v>8000</v>
      </c>
      <c r="N844">
        <v>0</v>
      </c>
      <c r="O844">
        <v>40000</v>
      </c>
      <c r="P844">
        <v>10699.29</v>
      </c>
      <c r="Q844" t="s">
        <v>66</v>
      </c>
      <c r="R844" t="s">
        <v>29</v>
      </c>
      <c r="S844" t="s">
        <v>30</v>
      </c>
    </row>
    <row r="845" spans="1:19" x14ac:dyDescent="0.3">
      <c r="A845" t="s">
        <v>1743</v>
      </c>
      <c r="B845" s="1">
        <v>45323</v>
      </c>
      <c r="C845" s="1">
        <v>45329</v>
      </c>
      <c r="D845" t="s">
        <v>384</v>
      </c>
      <c r="E845" t="s">
        <v>385</v>
      </c>
      <c r="F845" t="s">
        <v>55</v>
      </c>
      <c r="G845" t="s">
        <v>61</v>
      </c>
      <c r="H845" t="s">
        <v>125</v>
      </c>
      <c r="I845" t="s">
        <v>37</v>
      </c>
      <c r="J845" t="s">
        <v>38</v>
      </c>
      <c r="K845" t="s">
        <v>27</v>
      </c>
      <c r="L845">
        <v>1</v>
      </c>
      <c r="M845">
        <v>9500</v>
      </c>
      <c r="N845">
        <v>10</v>
      </c>
      <c r="O845">
        <v>8550</v>
      </c>
      <c r="P845">
        <v>1490.27</v>
      </c>
      <c r="Q845" t="s">
        <v>28</v>
      </c>
      <c r="R845" t="s">
        <v>29</v>
      </c>
      <c r="S845" t="s">
        <v>40</v>
      </c>
    </row>
    <row r="846" spans="1:19" x14ac:dyDescent="0.3">
      <c r="A846" t="s">
        <v>1744</v>
      </c>
      <c r="B846" s="2">
        <v>45400</v>
      </c>
      <c r="C846" t="s">
        <v>82</v>
      </c>
      <c r="D846" t="s">
        <v>373</v>
      </c>
      <c r="E846" t="s">
        <v>374</v>
      </c>
      <c r="F846" t="s">
        <v>55</v>
      </c>
      <c r="G846" t="s">
        <v>35</v>
      </c>
      <c r="H846" t="s">
        <v>85</v>
      </c>
      <c r="I846" t="s">
        <v>71</v>
      </c>
      <c r="J846" t="s">
        <v>72</v>
      </c>
      <c r="K846" t="s">
        <v>73</v>
      </c>
      <c r="L846">
        <v>1</v>
      </c>
      <c r="M846">
        <v>3500</v>
      </c>
      <c r="N846">
        <v>15</v>
      </c>
      <c r="O846">
        <v>2975</v>
      </c>
      <c r="P846">
        <v>839.15</v>
      </c>
      <c r="Q846" t="s">
        <v>156</v>
      </c>
      <c r="R846" t="s">
        <v>29</v>
      </c>
      <c r="S846" t="s">
        <v>40</v>
      </c>
    </row>
    <row r="847" spans="1:19" x14ac:dyDescent="0.3">
      <c r="A847" t="s">
        <v>1745</v>
      </c>
      <c r="B847" s="2">
        <v>45522</v>
      </c>
      <c r="C847" s="1">
        <v>45528</v>
      </c>
      <c r="D847" t="s">
        <v>1031</v>
      </c>
      <c r="E847" t="s">
        <v>1032</v>
      </c>
      <c r="F847" t="s">
        <v>23</v>
      </c>
      <c r="G847" t="s">
        <v>61</v>
      </c>
      <c r="H847" t="s">
        <v>211</v>
      </c>
      <c r="I847" t="s">
        <v>71</v>
      </c>
      <c r="J847" t="s">
        <v>72</v>
      </c>
      <c r="K847" t="s">
        <v>1746</v>
      </c>
      <c r="L847">
        <v>10</v>
      </c>
      <c r="M847">
        <v>3500</v>
      </c>
      <c r="N847">
        <v>0</v>
      </c>
      <c r="O847">
        <v>35000</v>
      </c>
      <c r="P847">
        <v>11458.78</v>
      </c>
      <c r="Q847" t="s">
        <v>66</v>
      </c>
      <c r="R847" t="s">
        <v>49</v>
      </c>
      <c r="S847" t="s">
        <v>40</v>
      </c>
    </row>
    <row r="848" spans="1:19" x14ac:dyDescent="0.3">
      <c r="A848" t="s">
        <v>1747</v>
      </c>
      <c r="B848" t="s">
        <v>1146</v>
      </c>
      <c r="D848" t="s">
        <v>403</v>
      </c>
      <c r="E848" t="s">
        <v>404</v>
      </c>
      <c r="F848" t="s">
        <v>55</v>
      </c>
      <c r="G848" t="s">
        <v>35</v>
      </c>
      <c r="H848" t="s">
        <v>36</v>
      </c>
      <c r="I848" t="s">
        <v>103</v>
      </c>
      <c r="J848" t="s">
        <v>104</v>
      </c>
      <c r="K848" t="s">
        <v>65</v>
      </c>
      <c r="L848">
        <v>2</v>
      </c>
      <c r="M848">
        <v>8000</v>
      </c>
      <c r="N848">
        <v>10</v>
      </c>
      <c r="O848">
        <v>14400</v>
      </c>
      <c r="P848">
        <v>3850.78</v>
      </c>
      <c r="Q848" t="s">
        <v>121</v>
      </c>
      <c r="R848" t="s">
        <v>29</v>
      </c>
      <c r="S848" t="s">
        <v>86</v>
      </c>
    </row>
    <row r="849" spans="1:19" x14ac:dyDescent="0.3">
      <c r="A849" t="s">
        <v>1748</v>
      </c>
      <c r="B849" t="s">
        <v>1749</v>
      </c>
      <c r="C849" s="1">
        <v>45895</v>
      </c>
      <c r="D849" t="s">
        <v>793</v>
      </c>
      <c r="E849" t="s">
        <v>794</v>
      </c>
      <c r="F849" t="s">
        <v>23</v>
      </c>
      <c r="G849" t="s">
        <v>91</v>
      </c>
      <c r="H849" t="s">
        <v>92</v>
      </c>
      <c r="I849" t="s">
        <v>71</v>
      </c>
      <c r="J849" t="s">
        <v>72</v>
      </c>
      <c r="K849" t="s">
        <v>73</v>
      </c>
      <c r="L849">
        <v>3</v>
      </c>
      <c r="M849">
        <v>3500</v>
      </c>
      <c r="N849">
        <v>20</v>
      </c>
      <c r="O849">
        <v>8400</v>
      </c>
      <c r="P849">
        <v>2690.75</v>
      </c>
      <c r="Q849" t="s">
        <v>28</v>
      </c>
      <c r="R849" t="s">
        <v>56</v>
      </c>
      <c r="S849" t="s">
        <v>110</v>
      </c>
    </row>
    <row r="850" spans="1:19" x14ac:dyDescent="0.3">
      <c r="A850" t="s">
        <v>1750</v>
      </c>
      <c r="B850" s="2">
        <v>45298</v>
      </c>
      <c r="C850" s="1">
        <v>45536</v>
      </c>
      <c r="D850" t="s">
        <v>1751</v>
      </c>
      <c r="E850" t="s">
        <v>1752</v>
      </c>
      <c r="F850" t="s">
        <v>34</v>
      </c>
      <c r="G850" t="s">
        <v>44</v>
      </c>
      <c r="H850" t="s">
        <v>161</v>
      </c>
      <c r="I850" t="s">
        <v>79</v>
      </c>
      <c r="J850" t="s">
        <v>80</v>
      </c>
      <c r="K850" t="s">
        <v>65</v>
      </c>
      <c r="L850">
        <v>1</v>
      </c>
      <c r="M850">
        <v>3000</v>
      </c>
      <c r="N850">
        <v>0</v>
      </c>
      <c r="O850">
        <v>3000</v>
      </c>
      <c r="P850">
        <v>758.84</v>
      </c>
      <c r="Q850" t="s">
        <v>121</v>
      </c>
      <c r="R850" t="s">
        <v>49</v>
      </c>
      <c r="S850" t="s">
        <v>30</v>
      </c>
    </row>
    <row r="851" spans="1:19" x14ac:dyDescent="0.3">
      <c r="A851" t="s">
        <v>1753</v>
      </c>
      <c r="B851" s="1">
        <v>45614</v>
      </c>
      <c r="C851" s="2">
        <v>45618</v>
      </c>
      <c r="D851" t="s">
        <v>682</v>
      </c>
      <c r="E851" t="s">
        <v>683</v>
      </c>
      <c r="F851" t="s">
        <v>55</v>
      </c>
      <c r="G851" t="s">
        <v>61</v>
      </c>
      <c r="H851" t="s">
        <v>125</v>
      </c>
      <c r="I851" t="s">
        <v>71</v>
      </c>
      <c r="J851" t="s">
        <v>72</v>
      </c>
      <c r="K851" t="s">
        <v>73</v>
      </c>
      <c r="L851">
        <v>1</v>
      </c>
      <c r="M851">
        <v>3500</v>
      </c>
      <c r="N851">
        <v>0</v>
      </c>
      <c r="O851">
        <v>3500</v>
      </c>
      <c r="P851">
        <v>1006.68</v>
      </c>
      <c r="Q851" t="s">
        <v>74</v>
      </c>
      <c r="R851" t="s">
        <v>49</v>
      </c>
      <c r="S851" t="s">
        <v>110</v>
      </c>
    </row>
    <row r="852" spans="1:19" x14ac:dyDescent="0.3">
      <c r="A852" t="s">
        <v>1754</v>
      </c>
      <c r="B852" s="1">
        <v>45763</v>
      </c>
      <c r="D852" t="s">
        <v>748</v>
      </c>
      <c r="E852" t="s">
        <v>749</v>
      </c>
      <c r="F852" t="s">
        <v>55</v>
      </c>
      <c r="G852" t="s">
        <v>91</v>
      </c>
      <c r="H852" t="s">
        <v>92</v>
      </c>
      <c r="I852" t="s">
        <v>93</v>
      </c>
      <c r="J852" t="s">
        <v>94</v>
      </c>
      <c r="K852" t="s">
        <v>680</v>
      </c>
      <c r="L852">
        <v>1</v>
      </c>
      <c r="M852">
        <v>1800</v>
      </c>
      <c r="N852">
        <v>0</v>
      </c>
      <c r="O852">
        <v>1800</v>
      </c>
      <c r="P852">
        <v>658.2</v>
      </c>
      <c r="Q852" t="s">
        <v>156</v>
      </c>
      <c r="R852" t="s">
        <v>49</v>
      </c>
      <c r="S852" t="s">
        <v>86</v>
      </c>
    </row>
    <row r="853" spans="1:19" x14ac:dyDescent="0.3">
      <c r="A853" t="s">
        <v>1755</v>
      </c>
      <c r="B853" s="1">
        <v>45418</v>
      </c>
      <c r="C853" s="1">
        <v>45631</v>
      </c>
      <c r="D853" t="s">
        <v>431</v>
      </c>
      <c r="E853" t="s">
        <v>432</v>
      </c>
      <c r="F853" t="s">
        <v>23</v>
      </c>
      <c r="G853" t="s">
        <v>91</v>
      </c>
      <c r="I853" t="s">
        <v>71</v>
      </c>
      <c r="J853" t="s">
        <v>72</v>
      </c>
      <c r="K853" t="s">
        <v>73</v>
      </c>
      <c r="L853">
        <v>1</v>
      </c>
      <c r="M853">
        <v>3500</v>
      </c>
      <c r="N853">
        <v>15</v>
      </c>
      <c r="O853">
        <v>2975</v>
      </c>
      <c r="P853">
        <v>837.53</v>
      </c>
      <c r="Q853" t="s">
        <v>66</v>
      </c>
      <c r="R853" t="s">
        <v>56</v>
      </c>
      <c r="S853" t="s">
        <v>30</v>
      </c>
    </row>
    <row r="854" spans="1:19" x14ac:dyDescent="0.3">
      <c r="A854" t="s">
        <v>1756</v>
      </c>
      <c r="B854" s="1">
        <v>45484</v>
      </c>
      <c r="C854" t="s">
        <v>846</v>
      </c>
      <c r="D854" t="s">
        <v>748</v>
      </c>
      <c r="E854" t="s">
        <v>749</v>
      </c>
      <c r="F854" t="s">
        <v>55</v>
      </c>
      <c r="G854" t="s">
        <v>91</v>
      </c>
      <c r="H854" t="s">
        <v>92</v>
      </c>
      <c r="I854" t="s">
        <v>147</v>
      </c>
      <c r="J854" t="s">
        <v>148</v>
      </c>
      <c r="K854" t="s">
        <v>48</v>
      </c>
      <c r="L854">
        <v>1</v>
      </c>
      <c r="M854">
        <v>250</v>
      </c>
      <c r="N854">
        <v>0</v>
      </c>
      <c r="O854">
        <v>250</v>
      </c>
      <c r="P854">
        <v>87.42</v>
      </c>
      <c r="Q854" t="s">
        <v>28</v>
      </c>
      <c r="R854" t="s">
        <v>56</v>
      </c>
      <c r="S854" t="s">
        <v>50</v>
      </c>
    </row>
    <row r="855" spans="1:19" x14ac:dyDescent="0.3">
      <c r="A855" t="s">
        <v>1757</v>
      </c>
      <c r="B855" s="1">
        <v>45990</v>
      </c>
      <c r="C855" s="2">
        <v>45994</v>
      </c>
      <c r="D855" t="s">
        <v>1592</v>
      </c>
      <c r="E855" t="s">
        <v>1593</v>
      </c>
      <c r="F855" t="s">
        <v>34</v>
      </c>
      <c r="G855" t="s">
        <v>44</v>
      </c>
      <c r="I855" t="s">
        <v>79</v>
      </c>
      <c r="J855" t="s">
        <v>80</v>
      </c>
      <c r="K855" t="s">
        <v>65</v>
      </c>
      <c r="L855">
        <v>5</v>
      </c>
      <c r="M855">
        <v>3000</v>
      </c>
      <c r="N855">
        <v>15</v>
      </c>
      <c r="O855">
        <v>12750</v>
      </c>
      <c r="P855">
        <v>3485.58</v>
      </c>
      <c r="Q855" t="s">
        <v>121</v>
      </c>
      <c r="R855" t="s">
        <v>56</v>
      </c>
      <c r="S855" t="s">
        <v>30</v>
      </c>
    </row>
    <row r="856" spans="1:19" x14ac:dyDescent="0.3">
      <c r="A856" t="s">
        <v>1758</v>
      </c>
      <c r="B856" s="2">
        <v>45649</v>
      </c>
      <c r="C856" s="2">
        <v>45654</v>
      </c>
      <c r="D856" t="s">
        <v>596</v>
      </c>
      <c r="E856" t="s">
        <v>597</v>
      </c>
      <c r="F856" t="s">
        <v>34</v>
      </c>
      <c r="G856" t="s">
        <v>91</v>
      </c>
      <c r="H856" t="s">
        <v>120</v>
      </c>
      <c r="I856" t="s">
        <v>126</v>
      </c>
      <c r="J856" t="s">
        <v>127</v>
      </c>
      <c r="K856" t="s">
        <v>95</v>
      </c>
      <c r="L856">
        <v>4</v>
      </c>
      <c r="M856">
        <v>600</v>
      </c>
      <c r="N856">
        <v>15</v>
      </c>
      <c r="O856">
        <v>2040</v>
      </c>
      <c r="P856">
        <v>721.89</v>
      </c>
      <c r="Q856" t="s">
        <v>74</v>
      </c>
      <c r="R856" t="s">
        <v>29</v>
      </c>
      <c r="S856" t="s">
        <v>86</v>
      </c>
    </row>
    <row r="857" spans="1:19" x14ac:dyDescent="0.3">
      <c r="A857" t="s">
        <v>1759</v>
      </c>
      <c r="B857" s="1">
        <v>45383</v>
      </c>
      <c r="C857" s="1">
        <v>45297</v>
      </c>
      <c r="D857" t="s">
        <v>531</v>
      </c>
      <c r="E857" t="s">
        <v>532</v>
      </c>
      <c r="F857" t="s">
        <v>23</v>
      </c>
      <c r="G857" t="s">
        <v>44</v>
      </c>
      <c r="H857" t="s">
        <v>161</v>
      </c>
      <c r="I857" t="s">
        <v>134</v>
      </c>
      <c r="J857" t="s">
        <v>135</v>
      </c>
      <c r="K857" t="s">
        <v>27</v>
      </c>
      <c r="L857">
        <v>2</v>
      </c>
      <c r="M857">
        <v>6000</v>
      </c>
      <c r="N857">
        <v>20</v>
      </c>
      <c r="O857">
        <v>9600</v>
      </c>
      <c r="P857">
        <v>1969.95</v>
      </c>
      <c r="Q857" t="s">
        <v>121</v>
      </c>
      <c r="R857" t="s">
        <v>56</v>
      </c>
      <c r="S857" t="s">
        <v>86</v>
      </c>
    </row>
    <row r="858" spans="1:19" x14ac:dyDescent="0.3">
      <c r="A858" t="s">
        <v>1760</v>
      </c>
      <c r="B858" s="1">
        <v>45911</v>
      </c>
      <c r="C858" s="1">
        <v>45919</v>
      </c>
      <c r="D858" t="s">
        <v>1394</v>
      </c>
      <c r="E858" t="s">
        <v>1395</v>
      </c>
      <c r="F858" t="s">
        <v>55</v>
      </c>
      <c r="G858" t="s">
        <v>61</v>
      </c>
      <c r="H858" t="s">
        <v>211</v>
      </c>
      <c r="I858" t="s">
        <v>134</v>
      </c>
      <c r="J858" t="s">
        <v>135</v>
      </c>
      <c r="K858" t="s">
        <v>27</v>
      </c>
      <c r="L858">
        <v>4</v>
      </c>
      <c r="M858">
        <v>6000</v>
      </c>
      <c r="N858">
        <v>10</v>
      </c>
      <c r="O858">
        <v>21600</v>
      </c>
      <c r="P858">
        <v>4310.79</v>
      </c>
      <c r="Q858" t="s">
        <v>28</v>
      </c>
      <c r="R858" t="s">
        <v>49</v>
      </c>
      <c r="S858" t="s">
        <v>40</v>
      </c>
    </row>
    <row r="859" spans="1:19" x14ac:dyDescent="0.3">
      <c r="A859" t="s">
        <v>1761</v>
      </c>
      <c r="B859" s="1">
        <v>45740</v>
      </c>
      <c r="C859" t="s">
        <v>1762</v>
      </c>
      <c r="D859" t="s">
        <v>774</v>
      </c>
      <c r="E859" t="s">
        <v>775</v>
      </c>
      <c r="F859" t="s">
        <v>55</v>
      </c>
      <c r="G859" t="s">
        <v>61</v>
      </c>
      <c r="H859" t="s">
        <v>211</v>
      </c>
      <c r="I859" t="s">
        <v>134</v>
      </c>
      <c r="J859" t="s">
        <v>135</v>
      </c>
      <c r="K859" t="s">
        <v>27</v>
      </c>
      <c r="L859">
        <v>2</v>
      </c>
      <c r="M859">
        <v>6000</v>
      </c>
      <c r="N859">
        <v>15</v>
      </c>
      <c r="O859">
        <v>10200</v>
      </c>
      <c r="P859">
        <v>1796.84</v>
      </c>
      <c r="Q859" t="s">
        <v>28</v>
      </c>
      <c r="R859" t="s">
        <v>49</v>
      </c>
      <c r="S859" t="s">
        <v>40</v>
      </c>
    </row>
    <row r="860" spans="1:19" x14ac:dyDescent="0.3">
      <c r="A860" t="s">
        <v>1763</v>
      </c>
      <c r="B860" s="2">
        <v>45890</v>
      </c>
      <c r="C860" t="s">
        <v>1749</v>
      </c>
      <c r="D860" t="s">
        <v>1659</v>
      </c>
      <c r="E860" t="s">
        <v>1660</v>
      </c>
      <c r="F860" t="s">
        <v>34</v>
      </c>
      <c r="G860" t="s">
        <v>44</v>
      </c>
      <c r="H860" t="s">
        <v>24</v>
      </c>
      <c r="I860" t="s">
        <v>71</v>
      </c>
      <c r="J860" t="s">
        <v>72</v>
      </c>
      <c r="K860" t="s">
        <v>73</v>
      </c>
      <c r="L860">
        <v>3</v>
      </c>
      <c r="M860">
        <v>3500</v>
      </c>
      <c r="N860">
        <v>15</v>
      </c>
      <c r="O860">
        <v>8925</v>
      </c>
      <c r="P860">
        <v>2818.25</v>
      </c>
      <c r="Q860" t="s">
        <v>39</v>
      </c>
      <c r="R860" t="s">
        <v>29</v>
      </c>
      <c r="S860" t="s">
        <v>194</v>
      </c>
    </row>
    <row r="861" spans="1:19" x14ac:dyDescent="0.3">
      <c r="A861" t="s">
        <v>1764</v>
      </c>
      <c r="B861" s="1">
        <v>45842</v>
      </c>
      <c r="C861" s="1">
        <v>45843</v>
      </c>
      <c r="D861" t="s">
        <v>808</v>
      </c>
      <c r="E861" t="s">
        <v>809</v>
      </c>
      <c r="F861" t="s">
        <v>55</v>
      </c>
      <c r="G861" t="s">
        <v>35</v>
      </c>
      <c r="H861" t="s">
        <v>258</v>
      </c>
      <c r="I861" t="s">
        <v>71</v>
      </c>
      <c r="J861" t="s">
        <v>72</v>
      </c>
      <c r="K861" t="s">
        <v>73</v>
      </c>
      <c r="L861">
        <v>1</v>
      </c>
      <c r="M861">
        <v>3500</v>
      </c>
      <c r="N861">
        <v>20</v>
      </c>
      <c r="O861">
        <v>2800</v>
      </c>
      <c r="P861">
        <v>844.74</v>
      </c>
      <c r="Q861" t="s">
        <v>28</v>
      </c>
      <c r="R861" t="s">
        <v>49</v>
      </c>
      <c r="S861" t="s">
        <v>86</v>
      </c>
    </row>
    <row r="862" spans="1:19" x14ac:dyDescent="0.3">
      <c r="A862" t="s">
        <v>1765</v>
      </c>
      <c r="B862" s="2">
        <v>45728</v>
      </c>
      <c r="C862" t="s">
        <v>1766</v>
      </c>
      <c r="D862" t="s">
        <v>520</v>
      </c>
      <c r="E862" t="s">
        <v>521</v>
      </c>
      <c r="F862" t="s">
        <v>23</v>
      </c>
      <c r="G862" t="s">
        <v>91</v>
      </c>
      <c r="H862" t="s">
        <v>109</v>
      </c>
      <c r="I862" t="s">
        <v>79</v>
      </c>
      <c r="J862" t="s">
        <v>80</v>
      </c>
      <c r="K862" t="s">
        <v>65</v>
      </c>
      <c r="L862">
        <v>1</v>
      </c>
      <c r="M862">
        <v>3000</v>
      </c>
      <c r="N862">
        <v>0</v>
      </c>
      <c r="O862">
        <v>3000</v>
      </c>
      <c r="P862">
        <v>760.11</v>
      </c>
      <c r="Q862" t="s">
        <v>74</v>
      </c>
      <c r="R862" t="s">
        <v>56</v>
      </c>
      <c r="S862" t="s">
        <v>40</v>
      </c>
    </row>
    <row r="863" spans="1:19" x14ac:dyDescent="0.3">
      <c r="A863" t="s">
        <v>1767</v>
      </c>
      <c r="B863" s="2">
        <v>45407</v>
      </c>
      <c r="C863" s="1">
        <v>45296</v>
      </c>
      <c r="D863" t="s">
        <v>494</v>
      </c>
      <c r="E863" t="s">
        <v>495</v>
      </c>
      <c r="F863" t="s">
        <v>34</v>
      </c>
      <c r="G863" t="s">
        <v>35</v>
      </c>
      <c r="H863" t="s">
        <v>258</v>
      </c>
      <c r="I863" t="s">
        <v>147</v>
      </c>
      <c r="J863" t="s">
        <v>148</v>
      </c>
      <c r="K863" t="s">
        <v>48</v>
      </c>
      <c r="L863">
        <v>4</v>
      </c>
      <c r="M863">
        <v>250</v>
      </c>
      <c r="N863">
        <v>20</v>
      </c>
      <c r="O863">
        <v>800</v>
      </c>
      <c r="Q863" t="s">
        <v>66</v>
      </c>
      <c r="R863" t="s">
        <v>29</v>
      </c>
      <c r="S863" t="s">
        <v>110</v>
      </c>
    </row>
    <row r="864" spans="1:19" x14ac:dyDescent="0.3">
      <c r="A864" t="s">
        <v>1768</v>
      </c>
      <c r="B864" s="1">
        <v>45344</v>
      </c>
      <c r="C864" t="s">
        <v>1769</v>
      </c>
      <c r="D864" t="s">
        <v>956</v>
      </c>
      <c r="E864" t="s">
        <v>1086</v>
      </c>
      <c r="F864" t="s">
        <v>55</v>
      </c>
      <c r="G864" t="s">
        <v>44</v>
      </c>
      <c r="H864" t="s">
        <v>24</v>
      </c>
      <c r="I864" t="s">
        <v>147</v>
      </c>
      <c r="J864" t="s">
        <v>148</v>
      </c>
      <c r="K864" t="s">
        <v>48</v>
      </c>
      <c r="L864">
        <v>2</v>
      </c>
      <c r="M864">
        <v>250</v>
      </c>
      <c r="N864">
        <v>20</v>
      </c>
      <c r="O864">
        <v>400</v>
      </c>
      <c r="P864">
        <v>169.86</v>
      </c>
      <c r="Q864" t="s">
        <v>66</v>
      </c>
      <c r="R864" t="s">
        <v>29</v>
      </c>
      <c r="S864" t="s">
        <v>30</v>
      </c>
    </row>
    <row r="865" spans="1:19" x14ac:dyDescent="0.3">
      <c r="A865" t="s">
        <v>1770</v>
      </c>
      <c r="B865" t="s">
        <v>1771</v>
      </c>
      <c r="C865" t="s">
        <v>1352</v>
      </c>
      <c r="D865" t="s">
        <v>406</v>
      </c>
      <c r="E865" t="s">
        <v>407</v>
      </c>
      <c r="F865" t="s">
        <v>55</v>
      </c>
      <c r="G865" t="s">
        <v>91</v>
      </c>
      <c r="H865" t="s">
        <v>120</v>
      </c>
      <c r="I865" t="s">
        <v>37</v>
      </c>
      <c r="J865" t="s">
        <v>38</v>
      </c>
      <c r="K865" t="s">
        <v>27</v>
      </c>
      <c r="L865">
        <v>1</v>
      </c>
      <c r="M865">
        <v>9500</v>
      </c>
      <c r="N865">
        <v>5</v>
      </c>
      <c r="O865">
        <v>9025</v>
      </c>
      <c r="P865">
        <v>1390.7</v>
      </c>
      <c r="Q865" t="s">
        <v>66</v>
      </c>
      <c r="R865" t="s">
        <v>56</v>
      </c>
      <c r="S865" t="s">
        <v>86</v>
      </c>
    </row>
    <row r="866" spans="1:19" x14ac:dyDescent="0.3">
      <c r="A866" t="s">
        <v>1772</v>
      </c>
      <c r="B866" s="1">
        <v>45470</v>
      </c>
      <c r="C866" s="2">
        <v>45477</v>
      </c>
      <c r="D866" t="s">
        <v>1191</v>
      </c>
      <c r="E866" t="s">
        <v>1192</v>
      </c>
      <c r="F866" t="s">
        <v>23</v>
      </c>
      <c r="G866" t="s">
        <v>61</v>
      </c>
      <c r="H866" t="s">
        <v>211</v>
      </c>
      <c r="I866" t="s">
        <v>126</v>
      </c>
      <c r="J866" t="s">
        <v>127</v>
      </c>
      <c r="K866" t="s">
        <v>850</v>
      </c>
      <c r="L866">
        <v>1</v>
      </c>
      <c r="M866">
        <v>600</v>
      </c>
      <c r="N866">
        <v>10</v>
      </c>
      <c r="O866">
        <v>540</v>
      </c>
      <c r="P866">
        <v>155.03</v>
      </c>
      <c r="Q866" t="s">
        <v>28</v>
      </c>
      <c r="R866" t="s">
        <v>56</v>
      </c>
      <c r="S866" t="s">
        <v>86</v>
      </c>
    </row>
    <row r="867" spans="1:19" x14ac:dyDescent="0.3">
      <c r="A867" t="s">
        <v>1773</v>
      </c>
      <c r="B867" s="1">
        <v>45492</v>
      </c>
      <c r="C867" s="2">
        <v>45498</v>
      </c>
      <c r="D867" t="s">
        <v>42</v>
      </c>
      <c r="E867" t="s">
        <v>43</v>
      </c>
      <c r="F867" t="s">
        <v>23</v>
      </c>
      <c r="G867" t="s">
        <v>44</v>
      </c>
      <c r="H867" t="s">
        <v>45</v>
      </c>
      <c r="I867" t="s">
        <v>79</v>
      </c>
      <c r="J867" t="s">
        <v>80</v>
      </c>
      <c r="K867" t="s">
        <v>65</v>
      </c>
      <c r="L867">
        <v>4</v>
      </c>
      <c r="M867">
        <v>3000</v>
      </c>
      <c r="N867">
        <v>0</v>
      </c>
      <c r="O867">
        <v>12000</v>
      </c>
      <c r="P867">
        <v>3352.09</v>
      </c>
      <c r="Q867" t="s">
        <v>28</v>
      </c>
      <c r="R867" t="s">
        <v>29</v>
      </c>
      <c r="S867" t="s">
        <v>110</v>
      </c>
    </row>
    <row r="868" spans="1:19" x14ac:dyDescent="0.3">
      <c r="A868" t="s">
        <v>1774</v>
      </c>
      <c r="B868" s="1">
        <v>45700</v>
      </c>
      <c r="C868" s="1">
        <v>45704</v>
      </c>
      <c r="D868" t="s">
        <v>460</v>
      </c>
      <c r="E868" t="s">
        <v>461</v>
      </c>
      <c r="F868" t="s">
        <v>34</v>
      </c>
      <c r="G868" t="s">
        <v>61</v>
      </c>
      <c r="H868" t="s">
        <v>62</v>
      </c>
      <c r="I868" t="s">
        <v>114</v>
      </c>
      <c r="J868" t="s">
        <v>115</v>
      </c>
      <c r="K868" t="s">
        <v>65</v>
      </c>
      <c r="L868">
        <v>2</v>
      </c>
      <c r="M868">
        <v>55000</v>
      </c>
      <c r="N868">
        <v>15</v>
      </c>
      <c r="O868">
        <v>93500</v>
      </c>
      <c r="P868">
        <v>15989.85</v>
      </c>
      <c r="Q868" t="s">
        <v>74</v>
      </c>
      <c r="R868" t="s">
        <v>29</v>
      </c>
      <c r="S868" t="s">
        <v>110</v>
      </c>
    </row>
    <row r="869" spans="1:19" x14ac:dyDescent="0.3">
      <c r="A869" t="s">
        <v>1775</v>
      </c>
      <c r="B869" s="1">
        <v>45826</v>
      </c>
      <c r="C869" s="1">
        <v>45833</v>
      </c>
      <c r="D869" t="s">
        <v>509</v>
      </c>
      <c r="E869" t="s">
        <v>510</v>
      </c>
      <c r="F869" t="s">
        <v>23</v>
      </c>
      <c r="G869" t="s">
        <v>91</v>
      </c>
      <c r="H869" t="s">
        <v>120</v>
      </c>
      <c r="I869" t="s">
        <v>63</v>
      </c>
      <c r="J869" t="s">
        <v>64</v>
      </c>
      <c r="K869" t="s">
        <v>65</v>
      </c>
      <c r="L869">
        <v>1</v>
      </c>
      <c r="M869">
        <v>25000</v>
      </c>
      <c r="N869">
        <v>10</v>
      </c>
      <c r="O869">
        <v>22500</v>
      </c>
      <c r="P869">
        <v>3420.27</v>
      </c>
      <c r="Q869" t="s">
        <v>156</v>
      </c>
      <c r="R869" t="s">
        <v>56</v>
      </c>
      <c r="S869" t="s">
        <v>50</v>
      </c>
    </row>
    <row r="870" spans="1:19" x14ac:dyDescent="0.3">
      <c r="A870" t="s">
        <v>1776</v>
      </c>
      <c r="B870" s="1">
        <v>45669</v>
      </c>
      <c r="C870" s="2">
        <v>45670</v>
      </c>
      <c r="D870" t="s">
        <v>291</v>
      </c>
      <c r="E870" t="s">
        <v>292</v>
      </c>
      <c r="F870" t="s">
        <v>55</v>
      </c>
      <c r="G870" t="s">
        <v>35</v>
      </c>
      <c r="H870" t="s">
        <v>187</v>
      </c>
      <c r="I870" t="s">
        <v>147</v>
      </c>
      <c r="J870" t="s">
        <v>148</v>
      </c>
      <c r="K870" t="s">
        <v>48</v>
      </c>
      <c r="L870">
        <v>1</v>
      </c>
      <c r="M870">
        <v>250</v>
      </c>
      <c r="N870">
        <v>20</v>
      </c>
      <c r="O870">
        <v>200</v>
      </c>
      <c r="P870">
        <v>79.06</v>
      </c>
      <c r="Q870" t="s">
        <v>156</v>
      </c>
      <c r="R870" t="s">
        <v>49</v>
      </c>
      <c r="S870" t="s">
        <v>110</v>
      </c>
    </row>
    <row r="871" spans="1:19" x14ac:dyDescent="0.3">
      <c r="A871" t="s">
        <v>1777</v>
      </c>
      <c r="B871" s="1">
        <v>45897</v>
      </c>
      <c r="C871" s="1">
        <v>45904</v>
      </c>
      <c r="D871" t="s">
        <v>731</v>
      </c>
      <c r="E871" t="s">
        <v>732</v>
      </c>
      <c r="F871" t="s">
        <v>34</v>
      </c>
      <c r="G871" t="s">
        <v>44</v>
      </c>
      <c r="H871" t="s">
        <v>155</v>
      </c>
      <c r="I871" t="s">
        <v>103</v>
      </c>
      <c r="J871" t="s">
        <v>104</v>
      </c>
      <c r="K871" t="s">
        <v>65</v>
      </c>
      <c r="L871">
        <v>2</v>
      </c>
      <c r="M871">
        <v>8000</v>
      </c>
      <c r="N871">
        <v>5</v>
      </c>
      <c r="O871">
        <v>15200</v>
      </c>
      <c r="Q871" t="s">
        <v>156</v>
      </c>
      <c r="R871" t="s">
        <v>29</v>
      </c>
      <c r="S871" t="s">
        <v>50</v>
      </c>
    </row>
    <row r="872" spans="1:19" x14ac:dyDescent="0.3">
      <c r="A872" t="s">
        <v>1778</v>
      </c>
      <c r="B872" s="2">
        <v>45714</v>
      </c>
      <c r="C872" s="1">
        <v>45719</v>
      </c>
      <c r="D872" t="s">
        <v>798</v>
      </c>
      <c r="E872" t="s">
        <v>799</v>
      </c>
      <c r="F872" t="s">
        <v>23</v>
      </c>
      <c r="G872" t="s">
        <v>44</v>
      </c>
      <c r="H872" t="s">
        <v>330</v>
      </c>
      <c r="I872" t="s">
        <v>134</v>
      </c>
      <c r="J872" t="s">
        <v>135</v>
      </c>
      <c r="K872" t="s">
        <v>27</v>
      </c>
      <c r="L872">
        <v>1</v>
      </c>
      <c r="M872">
        <v>6000</v>
      </c>
      <c r="N872">
        <v>15</v>
      </c>
      <c r="O872">
        <v>5100</v>
      </c>
      <c r="P872">
        <v>1209.46</v>
      </c>
      <c r="Q872" t="s">
        <v>74</v>
      </c>
      <c r="R872" t="s">
        <v>49</v>
      </c>
      <c r="S872" t="s">
        <v>40</v>
      </c>
    </row>
    <row r="873" spans="1:19" x14ac:dyDescent="0.3">
      <c r="A873" t="s">
        <v>1779</v>
      </c>
      <c r="B873" t="s">
        <v>1780</v>
      </c>
      <c r="C873" t="s">
        <v>1781</v>
      </c>
      <c r="D873" t="s">
        <v>606</v>
      </c>
      <c r="E873" t="s">
        <v>607</v>
      </c>
      <c r="F873" t="s">
        <v>23</v>
      </c>
      <c r="G873" t="s">
        <v>35</v>
      </c>
      <c r="H873" t="s">
        <v>36</v>
      </c>
      <c r="I873" t="s">
        <v>71</v>
      </c>
      <c r="J873" t="s">
        <v>72</v>
      </c>
      <c r="K873" t="s">
        <v>1746</v>
      </c>
      <c r="L873">
        <v>3</v>
      </c>
      <c r="M873">
        <v>3500</v>
      </c>
      <c r="N873">
        <v>15</v>
      </c>
      <c r="O873">
        <v>8925</v>
      </c>
      <c r="P873">
        <v>2681.44</v>
      </c>
      <c r="Q873" t="s">
        <v>66</v>
      </c>
      <c r="R873" t="s">
        <v>56</v>
      </c>
      <c r="S873" t="s">
        <v>86</v>
      </c>
    </row>
    <row r="874" spans="1:19" x14ac:dyDescent="0.3">
      <c r="A874" t="s">
        <v>1782</v>
      </c>
      <c r="B874" s="1">
        <v>45450</v>
      </c>
      <c r="C874" s="2">
        <v>45456</v>
      </c>
      <c r="D874" t="s">
        <v>311</v>
      </c>
      <c r="E874" t="s">
        <v>312</v>
      </c>
      <c r="F874" t="s">
        <v>34</v>
      </c>
      <c r="G874" t="s">
        <v>61</v>
      </c>
      <c r="H874" t="s">
        <v>78</v>
      </c>
      <c r="I874" t="s">
        <v>103</v>
      </c>
      <c r="J874" t="s">
        <v>104</v>
      </c>
      <c r="K874" t="s">
        <v>65</v>
      </c>
      <c r="L874">
        <v>5</v>
      </c>
      <c r="M874">
        <v>8000</v>
      </c>
      <c r="N874">
        <v>0</v>
      </c>
      <c r="O874">
        <v>40000</v>
      </c>
      <c r="P874">
        <v>7051.34</v>
      </c>
      <c r="R874" t="s">
        <v>49</v>
      </c>
      <c r="S874" t="s">
        <v>30</v>
      </c>
    </row>
    <row r="875" spans="1:19" x14ac:dyDescent="0.3">
      <c r="A875" t="s">
        <v>1783</v>
      </c>
      <c r="B875" s="1">
        <v>45765</v>
      </c>
      <c r="C875" s="1">
        <v>45772</v>
      </c>
      <c r="D875" t="s">
        <v>1418</v>
      </c>
      <c r="E875" t="s">
        <v>1419</v>
      </c>
      <c r="F875" t="s">
        <v>34</v>
      </c>
      <c r="G875" t="s">
        <v>61</v>
      </c>
      <c r="H875" t="s">
        <v>211</v>
      </c>
      <c r="I875" t="s">
        <v>63</v>
      </c>
      <c r="J875" t="s">
        <v>64</v>
      </c>
      <c r="K875" t="s">
        <v>65</v>
      </c>
      <c r="L875">
        <v>4</v>
      </c>
      <c r="M875">
        <v>25000</v>
      </c>
      <c r="N875">
        <v>20</v>
      </c>
      <c r="O875">
        <v>80000</v>
      </c>
      <c r="P875">
        <v>10272.879999999999</v>
      </c>
      <c r="Q875" t="s">
        <v>121</v>
      </c>
      <c r="R875" t="s">
        <v>49</v>
      </c>
      <c r="S875" t="s">
        <v>110</v>
      </c>
    </row>
    <row r="876" spans="1:19" x14ac:dyDescent="0.3">
      <c r="A876" t="s">
        <v>1784</v>
      </c>
      <c r="B876" s="1">
        <v>45740</v>
      </c>
      <c r="C876" s="1">
        <v>45743</v>
      </c>
      <c r="D876" t="s">
        <v>409</v>
      </c>
      <c r="E876" t="s">
        <v>410</v>
      </c>
      <c r="F876" t="s">
        <v>23</v>
      </c>
      <c r="G876" t="s">
        <v>61</v>
      </c>
      <c r="H876" t="s">
        <v>125</v>
      </c>
      <c r="I876" t="s">
        <v>37</v>
      </c>
      <c r="J876" t="s">
        <v>38</v>
      </c>
      <c r="K876" t="s">
        <v>27</v>
      </c>
      <c r="L876">
        <v>4</v>
      </c>
      <c r="M876">
        <v>9500</v>
      </c>
      <c r="N876">
        <v>20</v>
      </c>
      <c r="O876">
        <v>30400</v>
      </c>
      <c r="P876">
        <v>4643.22</v>
      </c>
      <c r="Q876" t="s">
        <v>74</v>
      </c>
      <c r="R876" t="s">
        <v>29</v>
      </c>
      <c r="S876" t="s">
        <v>86</v>
      </c>
    </row>
    <row r="877" spans="1:19" x14ac:dyDescent="0.3">
      <c r="A877" t="s">
        <v>1785</v>
      </c>
      <c r="B877" s="1">
        <v>45604</v>
      </c>
      <c r="C877" s="1">
        <v>45517</v>
      </c>
      <c r="D877" t="s">
        <v>592</v>
      </c>
      <c r="E877" t="s">
        <v>593</v>
      </c>
      <c r="F877" t="s">
        <v>55</v>
      </c>
      <c r="G877" t="s">
        <v>35</v>
      </c>
      <c r="H877" t="s">
        <v>258</v>
      </c>
      <c r="I877" t="s">
        <v>63</v>
      </c>
      <c r="J877" t="s">
        <v>64</v>
      </c>
      <c r="K877" t="s">
        <v>65</v>
      </c>
      <c r="L877">
        <v>2</v>
      </c>
      <c r="M877">
        <v>25000</v>
      </c>
      <c r="N877">
        <v>20</v>
      </c>
      <c r="O877">
        <v>40000</v>
      </c>
      <c r="P877">
        <v>5637.29</v>
      </c>
      <c r="Q877" t="s">
        <v>156</v>
      </c>
      <c r="R877" t="s">
        <v>56</v>
      </c>
      <c r="S877" t="s">
        <v>40</v>
      </c>
    </row>
    <row r="878" spans="1:19" x14ac:dyDescent="0.3">
      <c r="A878" t="s">
        <v>1786</v>
      </c>
      <c r="B878" s="1">
        <v>45499</v>
      </c>
      <c r="C878" s="1">
        <v>45506</v>
      </c>
      <c r="D878" t="s">
        <v>896</v>
      </c>
      <c r="E878" t="s">
        <v>897</v>
      </c>
      <c r="F878" t="s">
        <v>55</v>
      </c>
      <c r="G878" t="s">
        <v>35</v>
      </c>
      <c r="H878" t="s">
        <v>258</v>
      </c>
      <c r="I878" t="s">
        <v>63</v>
      </c>
      <c r="J878" t="s">
        <v>64</v>
      </c>
      <c r="K878" t="s">
        <v>105</v>
      </c>
      <c r="L878">
        <v>2</v>
      </c>
      <c r="M878">
        <v>25000</v>
      </c>
      <c r="N878">
        <v>20</v>
      </c>
      <c r="O878">
        <v>40000</v>
      </c>
      <c r="P878">
        <v>6206.15</v>
      </c>
      <c r="Q878" t="s">
        <v>74</v>
      </c>
      <c r="R878" t="s">
        <v>29</v>
      </c>
      <c r="S878" t="s">
        <v>40</v>
      </c>
    </row>
    <row r="879" spans="1:19" x14ac:dyDescent="0.3">
      <c r="A879" t="s">
        <v>1787</v>
      </c>
      <c r="B879" s="1">
        <v>45370</v>
      </c>
      <c r="C879" s="1">
        <v>45376</v>
      </c>
      <c r="D879" t="s">
        <v>1003</v>
      </c>
      <c r="E879" t="s">
        <v>1004</v>
      </c>
      <c r="F879" t="s">
        <v>23</v>
      </c>
      <c r="G879" t="s">
        <v>61</v>
      </c>
      <c r="H879" t="s">
        <v>62</v>
      </c>
      <c r="I879" t="s">
        <v>147</v>
      </c>
      <c r="J879" t="s">
        <v>148</v>
      </c>
      <c r="K879" t="s">
        <v>48</v>
      </c>
      <c r="L879">
        <v>2</v>
      </c>
      <c r="M879">
        <v>250</v>
      </c>
      <c r="N879">
        <v>10</v>
      </c>
      <c r="O879">
        <v>450</v>
      </c>
      <c r="P879">
        <v>152.41999999999999</v>
      </c>
      <c r="Q879" t="s">
        <v>156</v>
      </c>
      <c r="R879" t="s">
        <v>49</v>
      </c>
      <c r="S879" t="s">
        <v>50</v>
      </c>
    </row>
    <row r="880" spans="1:19" x14ac:dyDescent="0.3">
      <c r="A880" t="s">
        <v>1788</v>
      </c>
      <c r="B880" s="2">
        <v>45697</v>
      </c>
      <c r="C880" s="1">
        <v>45699</v>
      </c>
      <c r="D880" t="s">
        <v>520</v>
      </c>
      <c r="E880" t="s">
        <v>521</v>
      </c>
      <c r="F880" t="s">
        <v>23</v>
      </c>
      <c r="G880" t="s">
        <v>91</v>
      </c>
      <c r="H880" t="s">
        <v>109</v>
      </c>
      <c r="I880" t="s">
        <v>114</v>
      </c>
      <c r="J880" t="s">
        <v>115</v>
      </c>
      <c r="K880" t="s">
        <v>65</v>
      </c>
      <c r="L880">
        <v>2</v>
      </c>
      <c r="M880">
        <v>55000</v>
      </c>
      <c r="N880">
        <v>0</v>
      </c>
      <c r="O880">
        <v>110000</v>
      </c>
      <c r="P880">
        <v>16918.439999999999</v>
      </c>
      <c r="Q880" t="s">
        <v>74</v>
      </c>
      <c r="R880" t="s">
        <v>29</v>
      </c>
      <c r="S880" t="s">
        <v>86</v>
      </c>
    </row>
    <row r="881" spans="1:19" x14ac:dyDescent="0.3">
      <c r="A881" t="s">
        <v>1789</v>
      </c>
      <c r="B881" s="2">
        <v>45944</v>
      </c>
      <c r="C881" s="1">
        <v>45946</v>
      </c>
      <c r="D881" t="s">
        <v>409</v>
      </c>
      <c r="E881" t="s">
        <v>410</v>
      </c>
      <c r="F881" t="s">
        <v>23</v>
      </c>
      <c r="G881" t="s">
        <v>61</v>
      </c>
      <c r="H881" t="s">
        <v>125</v>
      </c>
      <c r="I881" t="s">
        <v>46</v>
      </c>
      <c r="J881" t="s">
        <v>47</v>
      </c>
      <c r="K881" t="s">
        <v>48</v>
      </c>
      <c r="L881">
        <v>2</v>
      </c>
      <c r="M881">
        <v>180</v>
      </c>
      <c r="N881">
        <v>15</v>
      </c>
      <c r="O881">
        <v>306</v>
      </c>
      <c r="P881">
        <v>111.9</v>
      </c>
      <c r="Q881" t="s">
        <v>74</v>
      </c>
      <c r="R881" t="s">
        <v>49</v>
      </c>
      <c r="S881" t="s">
        <v>40</v>
      </c>
    </row>
    <row r="882" spans="1:19" x14ac:dyDescent="0.3">
      <c r="A882" t="s">
        <v>1790</v>
      </c>
      <c r="B882" s="2">
        <v>45479</v>
      </c>
      <c r="C882" t="s">
        <v>1791</v>
      </c>
      <c r="D882" t="s">
        <v>748</v>
      </c>
      <c r="E882" t="s">
        <v>749</v>
      </c>
      <c r="F882" t="s">
        <v>55</v>
      </c>
      <c r="G882" t="s">
        <v>91</v>
      </c>
      <c r="H882" t="s">
        <v>92</v>
      </c>
      <c r="I882" t="s">
        <v>37</v>
      </c>
      <c r="J882" t="s">
        <v>38</v>
      </c>
      <c r="K882" t="s">
        <v>27</v>
      </c>
      <c r="L882">
        <v>-1</v>
      </c>
      <c r="M882">
        <v>9500</v>
      </c>
      <c r="N882">
        <v>0</v>
      </c>
      <c r="O882">
        <v>9500</v>
      </c>
      <c r="P882">
        <v>1464.83</v>
      </c>
      <c r="Q882" t="s">
        <v>74</v>
      </c>
      <c r="R882" t="s">
        <v>49</v>
      </c>
      <c r="S882" t="s">
        <v>86</v>
      </c>
    </row>
    <row r="883" spans="1:19" x14ac:dyDescent="0.3">
      <c r="A883" t="s">
        <v>1792</v>
      </c>
      <c r="B883" s="1">
        <v>45474</v>
      </c>
      <c r="C883" s="1">
        <v>45476</v>
      </c>
      <c r="D883" t="s">
        <v>1356</v>
      </c>
      <c r="E883" t="s">
        <v>1357</v>
      </c>
      <c r="F883" t="s">
        <v>55</v>
      </c>
      <c r="G883" t="s">
        <v>44</v>
      </c>
      <c r="H883" t="s">
        <v>24</v>
      </c>
      <c r="I883" t="s">
        <v>93</v>
      </c>
      <c r="J883" t="s">
        <v>94</v>
      </c>
      <c r="K883" t="s">
        <v>95</v>
      </c>
      <c r="L883">
        <v>4</v>
      </c>
      <c r="M883">
        <v>1800</v>
      </c>
      <c r="N883">
        <v>20</v>
      </c>
      <c r="O883">
        <v>5760</v>
      </c>
      <c r="P883">
        <v>1499.26</v>
      </c>
      <c r="Q883" t="s">
        <v>74</v>
      </c>
      <c r="R883" t="s">
        <v>29</v>
      </c>
      <c r="S883" t="s">
        <v>30</v>
      </c>
    </row>
    <row r="884" spans="1:19" x14ac:dyDescent="0.3">
      <c r="A884" t="s">
        <v>1793</v>
      </c>
      <c r="B884" s="1">
        <v>45510</v>
      </c>
      <c r="C884" s="2">
        <v>45516</v>
      </c>
      <c r="D884" t="s">
        <v>172</v>
      </c>
      <c r="E884" t="s">
        <v>173</v>
      </c>
      <c r="F884" t="s">
        <v>55</v>
      </c>
      <c r="G884" t="s">
        <v>91</v>
      </c>
      <c r="H884" t="s">
        <v>177</v>
      </c>
      <c r="I884" t="s">
        <v>103</v>
      </c>
      <c r="J884" t="s">
        <v>104</v>
      </c>
      <c r="K884" t="s">
        <v>65</v>
      </c>
      <c r="L884">
        <v>2</v>
      </c>
      <c r="M884">
        <v>8000</v>
      </c>
      <c r="N884">
        <v>5</v>
      </c>
      <c r="O884">
        <v>15200</v>
      </c>
      <c r="P884">
        <v>4019.55</v>
      </c>
      <c r="Q884" t="s">
        <v>121</v>
      </c>
      <c r="R884" t="s">
        <v>29</v>
      </c>
      <c r="S884" t="s">
        <v>86</v>
      </c>
    </row>
    <row r="885" spans="1:19" x14ac:dyDescent="0.3">
      <c r="A885" t="s">
        <v>1794</v>
      </c>
      <c r="B885" s="1">
        <v>45721</v>
      </c>
      <c r="C885" s="1">
        <v>45728</v>
      </c>
      <c r="D885" t="s">
        <v>470</v>
      </c>
      <c r="E885" t="s">
        <v>471</v>
      </c>
      <c r="F885" t="s">
        <v>23</v>
      </c>
      <c r="G885" t="s">
        <v>61</v>
      </c>
      <c r="H885" t="s">
        <v>62</v>
      </c>
      <c r="I885" t="s">
        <v>103</v>
      </c>
      <c r="J885" t="s">
        <v>104</v>
      </c>
      <c r="K885" t="s">
        <v>65</v>
      </c>
      <c r="L885">
        <v>3</v>
      </c>
      <c r="M885">
        <v>8000</v>
      </c>
      <c r="N885">
        <v>0</v>
      </c>
      <c r="O885">
        <v>24000</v>
      </c>
      <c r="P885">
        <v>5076.1899999999996</v>
      </c>
      <c r="Q885" t="s">
        <v>74</v>
      </c>
      <c r="R885" t="s">
        <v>49</v>
      </c>
      <c r="S885" t="s">
        <v>50</v>
      </c>
    </row>
    <row r="886" spans="1:19" x14ac:dyDescent="0.3">
      <c r="A886" t="s">
        <v>1795</v>
      </c>
      <c r="B886" t="s">
        <v>1006</v>
      </c>
      <c r="C886" s="2">
        <v>45954</v>
      </c>
      <c r="D886" t="s">
        <v>1796</v>
      </c>
      <c r="E886" t="s">
        <v>1797</v>
      </c>
      <c r="F886" t="s">
        <v>55</v>
      </c>
      <c r="G886" t="s">
        <v>44</v>
      </c>
      <c r="H886" t="s">
        <v>330</v>
      </c>
      <c r="I886" t="s">
        <v>103</v>
      </c>
      <c r="J886" t="s">
        <v>104</v>
      </c>
      <c r="K886" t="s">
        <v>65</v>
      </c>
      <c r="M886">
        <v>8000</v>
      </c>
      <c r="N886">
        <v>10</v>
      </c>
      <c r="O886">
        <v>36000</v>
      </c>
      <c r="P886">
        <v>6733.3</v>
      </c>
      <c r="Q886" t="s">
        <v>156</v>
      </c>
      <c r="R886" t="s">
        <v>29</v>
      </c>
      <c r="S886" t="s">
        <v>40</v>
      </c>
    </row>
    <row r="887" spans="1:19" x14ac:dyDescent="0.3">
      <c r="A887" t="s">
        <v>1798</v>
      </c>
      <c r="B887" t="s">
        <v>1658</v>
      </c>
      <c r="C887" s="2">
        <v>45678</v>
      </c>
      <c r="D887" t="s">
        <v>98</v>
      </c>
      <c r="E887" t="s">
        <v>99</v>
      </c>
      <c r="F887" t="s">
        <v>34</v>
      </c>
      <c r="G887" t="s">
        <v>91</v>
      </c>
      <c r="H887" t="s">
        <v>92</v>
      </c>
      <c r="I887" t="s">
        <v>103</v>
      </c>
      <c r="J887" t="s">
        <v>104</v>
      </c>
      <c r="K887" t="s">
        <v>65</v>
      </c>
      <c r="L887">
        <v>5</v>
      </c>
      <c r="M887">
        <v>8000</v>
      </c>
      <c r="N887">
        <v>0</v>
      </c>
      <c r="O887">
        <v>40000</v>
      </c>
      <c r="P887">
        <v>10027.39</v>
      </c>
      <c r="Q887" t="s">
        <v>66</v>
      </c>
      <c r="R887" t="s">
        <v>56</v>
      </c>
      <c r="S887" t="s">
        <v>86</v>
      </c>
    </row>
    <row r="888" spans="1:19" x14ac:dyDescent="0.3">
      <c r="A888" t="s">
        <v>1799</v>
      </c>
      <c r="B888" t="s">
        <v>1800</v>
      </c>
      <c r="C888" s="2">
        <v>45349</v>
      </c>
      <c r="D888" t="s">
        <v>1107</v>
      </c>
      <c r="E888" t="s">
        <v>1108</v>
      </c>
      <c r="F888" t="s">
        <v>55</v>
      </c>
      <c r="G888" t="s">
        <v>91</v>
      </c>
      <c r="H888" t="s">
        <v>109</v>
      </c>
      <c r="I888" t="s">
        <v>71</v>
      </c>
      <c r="J888" t="s">
        <v>72</v>
      </c>
      <c r="K888" t="s">
        <v>73</v>
      </c>
      <c r="L888">
        <v>2</v>
      </c>
      <c r="M888">
        <v>3500</v>
      </c>
      <c r="N888">
        <v>15</v>
      </c>
      <c r="O888">
        <v>5950</v>
      </c>
      <c r="P888">
        <v>1610.02</v>
      </c>
      <c r="Q888" t="s">
        <v>66</v>
      </c>
      <c r="R888" t="s">
        <v>49</v>
      </c>
      <c r="S888" t="s">
        <v>110</v>
      </c>
    </row>
    <row r="889" spans="1:19" x14ac:dyDescent="0.3">
      <c r="A889" t="s">
        <v>1801</v>
      </c>
      <c r="B889" s="2">
        <v>45938</v>
      </c>
      <c r="C889" s="1">
        <v>45944</v>
      </c>
      <c r="D889" t="s">
        <v>838</v>
      </c>
      <c r="E889" t="s">
        <v>839</v>
      </c>
      <c r="F889" t="s">
        <v>23</v>
      </c>
      <c r="G889" t="s">
        <v>35</v>
      </c>
      <c r="H889" t="s">
        <v>258</v>
      </c>
      <c r="I889" t="s">
        <v>134</v>
      </c>
      <c r="J889" t="s">
        <v>135</v>
      </c>
      <c r="K889" t="s">
        <v>27</v>
      </c>
      <c r="L889">
        <v>2</v>
      </c>
      <c r="M889">
        <v>6000</v>
      </c>
      <c r="N889">
        <v>0</v>
      </c>
      <c r="O889">
        <v>12000</v>
      </c>
      <c r="P889">
        <v>2107.14</v>
      </c>
      <c r="Q889" t="s">
        <v>121</v>
      </c>
      <c r="R889" t="s">
        <v>49</v>
      </c>
      <c r="S889" t="s">
        <v>110</v>
      </c>
    </row>
    <row r="890" spans="1:19" x14ac:dyDescent="0.3">
      <c r="A890" t="s">
        <v>1802</v>
      </c>
      <c r="B890" s="1">
        <v>45545</v>
      </c>
      <c r="C890" s="1">
        <v>45552</v>
      </c>
      <c r="D890" t="s">
        <v>1221</v>
      </c>
      <c r="E890" t="s">
        <v>1222</v>
      </c>
      <c r="F890" t="s">
        <v>55</v>
      </c>
      <c r="G890" t="s">
        <v>35</v>
      </c>
      <c r="H890" t="s">
        <v>36</v>
      </c>
      <c r="I890" t="s">
        <v>147</v>
      </c>
      <c r="J890" t="s">
        <v>148</v>
      </c>
      <c r="K890" t="s">
        <v>48</v>
      </c>
      <c r="L890">
        <v>1</v>
      </c>
      <c r="M890">
        <v>250</v>
      </c>
      <c r="N890">
        <v>0</v>
      </c>
      <c r="O890">
        <v>250</v>
      </c>
      <c r="P890">
        <v>81.61</v>
      </c>
      <c r="Q890" t="s">
        <v>39</v>
      </c>
      <c r="R890" t="s">
        <v>49</v>
      </c>
      <c r="S890" t="s">
        <v>50</v>
      </c>
    </row>
    <row r="891" spans="1:19" x14ac:dyDescent="0.3">
      <c r="A891" t="s">
        <v>1803</v>
      </c>
      <c r="B891" s="1">
        <v>45768</v>
      </c>
      <c r="C891" s="1">
        <v>45770</v>
      </c>
      <c r="D891" t="s">
        <v>904</v>
      </c>
      <c r="E891" t="s">
        <v>905</v>
      </c>
      <c r="F891" t="s">
        <v>23</v>
      </c>
      <c r="G891" t="s">
        <v>91</v>
      </c>
      <c r="H891" t="s">
        <v>92</v>
      </c>
      <c r="I891" t="s">
        <v>103</v>
      </c>
      <c r="J891" t="s">
        <v>104</v>
      </c>
      <c r="K891" t="s">
        <v>65</v>
      </c>
      <c r="L891">
        <v>2</v>
      </c>
      <c r="M891">
        <v>8000</v>
      </c>
      <c r="N891">
        <v>0</v>
      </c>
      <c r="O891">
        <v>16000</v>
      </c>
      <c r="P891">
        <v>4237.99</v>
      </c>
      <c r="R891" t="s">
        <v>49</v>
      </c>
      <c r="S891" t="s">
        <v>40</v>
      </c>
    </row>
    <row r="892" spans="1:19" x14ac:dyDescent="0.3">
      <c r="A892" t="s">
        <v>1804</v>
      </c>
      <c r="B892" s="1">
        <v>45972</v>
      </c>
      <c r="C892" s="2">
        <v>45973</v>
      </c>
      <c r="D892" t="s">
        <v>1579</v>
      </c>
      <c r="E892" t="s">
        <v>1580</v>
      </c>
      <c r="F892" t="s">
        <v>55</v>
      </c>
      <c r="G892" t="s">
        <v>44</v>
      </c>
      <c r="H892" t="s">
        <v>45</v>
      </c>
      <c r="I892" t="s">
        <v>93</v>
      </c>
      <c r="J892" t="s">
        <v>94</v>
      </c>
      <c r="K892" t="s">
        <v>95</v>
      </c>
      <c r="L892">
        <v>1</v>
      </c>
      <c r="M892">
        <v>1800</v>
      </c>
      <c r="N892">
        <v>5</v>
      </c>
      <c r="O892">
        <v>1710</v>
      </c>
      <c r="P892">
        <v>500.11</v>
      </c>
      <c r="Q892" t="s">
        <v>156</v>
      </c>
      <c r="R892" t="s">
        <v>49</v>
      </c>
      <c r="S892" t="s">
        <v>110</v>
      </c>
    </row>
    <row r="893" spans="1:19" x14ac:dyDescent="0.3">
      <c r="A893" t="s">
        <v>1805</v>
      </c>
      <c r="B893" s="1">
        <v>45909</v>
      </c>
      <c r="C893" s="1">
        <v>45917</v>
      </c>
      <c r="D893" t="s">
        <v>531</v>
      </c>
      <c r="E893" t="s">
        <v>532</v>
      </c>
      <c r="F893" t="s">
        <v>23</v>
      </c>
      <c r="G893" t="s">
        <v>44</v>
      </c>
      <c r="H893" t="s">
        <v>161</v>
      </c>
      <c r="I893" t="s">
        <v>134</v>
      </c>
      <c r="J893" t="s">
        <v>135</v>
      </c>
      <c r="K893" t="s">
        <v>27</v>
      </c>
      <c r="L893">
        <v>2</v>
      </c>
      <c r="M893">
        <v>6000</v>
      </c>
      <c r="N893">
        <v>20</v>
      </c>
      <c r="O893">
        <v>9600</v>
      </c>
      <c r="P893">
        <v>1857.79</v>
      </c>
      <c r="Q893" t="s">
        <v>28</v>
      </c>
      <c r="R893" t="s">
        <v>49</v>
      </c>
      <c r="S893" t="s">
        <v>40</v>
      </c>
    </row>
    <row r="894" spans="1:19" x14ac:dyDescent="0.3">
      <c r="A894" t="s">
        <v>1806</v>
      </c>
      <c r="B894" s="1">
        <v>45712</v>
      </c>
      <c r="C894" s="1">
        <v>45719</v>
      </c>
      <c r="D894" t="s">
        <v>1732</v>
      </c>
      <c r="E894" t="s">
        <v>1733</v>
      </c>
      <c r="F894" t="s">
        <v>34</v>
      </c>
      <c r="G894" t="s">
        <v>35</v>
      </c>
      <c r="H894" t="s">
        <v>85</v>
      </c>
      <c r="I894" t="s">
        <v>134</v>
      </c>
      <c r="J894" t="s">
        <v>135</v>
      </c>
      <c r="K894" t="s">
        <v>27</v>
      </c>
      <c r="L894">
        <v>2</v>
      </c>
      <c r="M894">
        <v>6000</v>
      </c>
      <c r="N894">
        <v>10</v>
      </c>
      <c r="O894">
        <v>10800</v>
      </c>
      <c r="P894">
        <v>1841.79</v>
      </c>
      <c r="Q894" t="s">
        <v>66</v>
      </c>
      <c r="R894" t="s">
        <v>29</v>
      </c>
      <c r="S894" t="s">
        <v>40</v>
      </c>
    </row>
    <row r="895" spans="1:19" x14ac:dyDescent="0.3">
      <c r="A895" t="s">
        <v>1807</v>
      </c>
      <c r="B895" s="2">
        <v>45742</v>
      </c>
      <c r="C895" s="2">
        <v>45745</v>
      </c>
      <c r="D895" t="s">
        <v>1067</v>
      </c>
      <c r="E895" t="s">
        <v>1068</v>
      </c>
      <c r="F895" t="s">
        <v>23</v>
      </c>
      <c r="G895" t="s">
        <v>35</v>
      </c>
      <c r="H895" t="s">
        <v>85</v>
      </c>
      <c r="I895" t="s">
        <v>37</v>
      </c>
      <c r="J895" t="s">
        <v>38</v>
      </c>
      <c r="K895" t="s">
        <v>27</v>
      </c>
      <c r="L895">
        <v>1</v>
      </c>
      <c r="M895">
        <v>9500</v>
      </c>
      <c r="N895">
        <v>20</v>
      </c>
      <c r="O895">
        <v>7600</v>
      </c>
      <c r="P895">
        <v>1564.71</v>
      </c>
      <c r="Q895" t="s">
        <v>74</v>
      </c>
      <c r="R895" t="s">
        <v>49</v>
      </c>
      <c r="S895" t="s">
        <v>40</v>
      </c>
    </row>
    <row r="896" spans="1:19" x14ac:dyDescent="0.3">
      <c r="A896" t="s">
        <v>1808</v>
      </c>
      <c r="B896" s="1">
        <v>46007</v>
      </c>
      <c r="C896" s="1">
        <v>46009</v>
      </c>
      <c r="D896" t="s">
        <v>864</v>
      </c>
      <c r="E896" t="s">
        <v>865</v>
      </c>
      <c r="F896" t="s">
        <v>34</v>
      </c>
      <c r="G896" t="s">
        <v>44</v>
      </c>
      <c r="H896" t="s">
        <v>155</v>
      </c>
      <c r="I896" t="s">
        <v>93</v>
      </c>
      <c r="J896" t="s">
        <v>94</v>
      </c>
      <c r="K896" t="s">
        <v>95</v>
      </c>
      <c r="L896">
        <v>1</v>
      </c>
      <c r="M896">
        <v>1800</v>
      </c>
      <c r="N896">
        <v>0</v>
      </c>
      <c r="O896">
        <v>1800</v>
      </c>
      <c r="P896">
        <v>577.78</v>
      </c>
      <c r="R896" t="s">
        <v>56</v>
      </c>
      <c r="S896" t="s">
        <v>110</v>
      </c>
    </row>
    <row r="897" spans="1:19" x14ac:dyDescent="0.3">
      <c r="A897" t="s">
        <v>1809</v>
      </c>
      <c r="B897" s="1">
        <v>45661</v>
      </c>
      <c r="C897" s="1">
        <v>45754</v>
      </c>
      <c r="D897" t="s">
        <v>206</v>
      </c>
      <c r="E897" t="s">
        <v>207</v>
      </c>
      <c r="F897" t="s">
        <v>55</v>
      </c>
      <c r="G897" t="s">
        <v>44</v>
      </c>
      <c r="H897" t="s">
        <v>24</v>
      </c>
      <c r="I897" t="s">
        <v>71</v>
      </c>
      <c r="J897" t="s">
        <v>72</v>
      </c>
      <c r="K897" t="s">
        <v>73</v>
      </c>
      <c r="L897">
        <v>5</v>
      </c>
      <c r="M897">
        <v>3500</v>
      </c>
      <c r="N897">
        <v>0</v>
      </c>
      <c r="O897">
        <v>17500</v>
      </c>
      <c r="Q897" t="s">
        <v>74</v>
      </c>
      <c r="R897" t="s">
        <v>56</v>
      </c>
      <c r="S897" t="s">
        <v>30</v>
      </c>
    </row>
    <row r="898" spans="1:19" x14ac:dyDescent="0.3">
      <c r="A898" t="s">
        <v>1810</v>
      </c>
      <c r="B898" s="1">
        <v>45395</v>
      </c>
      <c r="C898" s="2">
        <v>45400</v>
      </c>
      <c r="D898" t="s">
        <v>674</v>
      </c>
      <c r="E898" t="s">
        <v>675</v>
      </c>
      <c r="F898" t="s">
        <v>55</v>
      </c>
      <c r="G898" t="s">
        <v>91</v>
      </c>
      <c r="H898" t="s">
        <v>109</v>
      </c>
      <c r="I898" t="s">
        <v>134</v>
      </c>
      <c r="J898" t="s">
        <v>135</v>
      </c>
      <c r="K898" t="s">
        <v>27</v>
      </c>
      <c r="L898">
        <v>1</v>
      </c>
      <c r="M898">
        <v>6000</v>
      </c>
      <c r="N898">
        <v>20</v>
      </c>
      <c r="O898">
        <v>4800</v>
      </c>
      <c r="P898">
        <v>1211.69</v>
      </c>
      <c r="Q898" t="s">
        <v>28</v>
      </c>
      <c r="R898" t="s">
        <v>29</v>
      </c>
      <c r="S898" t="s">
        <v>50</v>
      </c>
    </row>
    <row r="899" spans="1:19" x14ac:dyDescent="0.3">
      <c r="A899" t="s">
        <v>1811</v>
      </c>
      <c r="B899" s="1">
        <v>45782</v>
      </c>
      <c r="C899" s="1">
        <v>45784</v>
      </c>
      <c r="D899" t="s">
        <v>524</v>
      </c>
      <c r="E899" t="s">
        <v>525</v>
      </c>
      <c r="F899" t="s">
        <v>34</v>
      </c>
      <c r="G899" t="s">
        <v>35</v>
      </c>
      <c r="H899" t="s">
        <v>187</v>
      </c>
      <c r="I899" t="s">
        <v>46</v>
      </c>
      <c r="J899" t="s">
        <v>47</v>
      </c>
      <c r="K899" t="s">
        <v>48</v>
      </c>
      <c r="L899">
        <v>5</v>
      </c>
      <c r="M899">
        <v>180</v>
      </c>
      <c r="N899">
        <v>0</v>
      </c>
      <c r="O899">
        <v>900</v>
      </c>
      <c r="P899">
        <v>400.68</v>
      </c>
      <c r="Q899" t="s">
        <v>66</v>
      </c>
      <c r="R899" t="s">
        <v>49</v>
      </c>
      <c r="S899" t="s">
        <v>40</v>
      </c>
    </row>
    <row r="900" spans="1:19" x14ac:dyDescent="0.3">
      <c r="A900" t="s">
        <v>1812</v>
      </c>
      <c r="B900" s="1">
        <v>45628</v>
      </c>
      <c r="C900" s="2">
        <v>45337</v>
      </c>
      <c r="D900" t="s">
        <v>314</v>
      </c>
      <c r="E900" t="s">
        <v>315</v>
      </c>
      <c r="F900" t="s">
        <v>55</v>
      </c>
      <c r="G900" t="s">
        <v>44</v>
      </c>
      <c r="H900" t="s">
        <v>161</v>
      </c>
      <c r="I900" t="s">
        <v>46</v>
      </c>
      <c r="J900" t="s">
        <v>47</v>
      </c>
      <c r="K900" t="s">
        <v>48</v>
      </c>
      <c r="L900">
        <v>2</v>
      </c>
      <c r="M900">
        <v>180</v>
      </c>
      <c r="N900">
        <v>10</v>
      </c>
      <c r="O900">
        <v>324</v>
      </c>
      <c r="P900">
        <v>102.3</v>
      </c>
      <c r="Q900" t="s">
        <v>156</v>
      </c>
      <c r="R900" t="s">
        <v>29</v>
      </c>
      <c r="S900" t="s">
        <v>110</v>
      </c>
    </row>
    <row r="901" spans="1:19" x14ac:dyDescent="0.3">
      <c r="A901" t="s">
        <v>1813</v>
      </c>
      <c r="B901" t="s">
        <v>1814</v>
      </c>
      <c r="C901" t="s">
        <v>581</v>
      </c>
      <c r="D901" t="s">
        <v>1009</v>
      </c>
      <c r="E901" t="s">
        <v>1010</v>
      </c>
      <c r="F901" t="s">
        <v>23</v>
      </c>
      <c r="G901" t="s">
        <v>61</v>
      </c>
      <c r="H901" t="s">
        <v>62</v>
      </c>
      <c r="I901" t="s">
        <v>25</v>
      </c>
      <c r="J901" t="s">
        <v>26</v>
      </c>
      <c r="K901" t="s">
        <v>27</v>
      </c>
      <c r="L901">
        <v>1</v>
      </c>
      <c r="M901">
        <v>7000</v>
      </c>
      <c r="N901">
        <v>10</v>
      </c>
      <c r="O901">
        <v>6300</v>
      </c>
      <c r="P901">
        <v>1283.3900000000001</v>
      </c>
      <c r="Q901" t="s">
        <v>39</v>
      </c>
      <c r="R901" t="s">
        <v>56</v>
      </c>
      <c r="S901" t="s">
        <v>50</v>
      </c>
    </row>
    <row r="902" spans="1:19" x14ac:dyDescent="0.3">
      <c r="A902" t="s">
        <v>1815</v>
      </c>
      <c r="B902" s="1">
        <v>45370</v>
      </c>
      <c r="C902" s="1">
        <v>45375</v>
      </c>
      <c r="D902" t="s">
        <v>457</v>
      </c>
      <c r="E902" t="s">
        <v>458</v>
      </c>
      <c r="F902" t="s">
        <v>55</v>
      </c>
      <c r="G902" t="s">
        <v>44</v>
      </c>
      <c r="H902" t="s">
        <v>24</v>
      </c>
      <c r="I902" t="s">
        <v>114</v>
      </c>
      <c r="J902" t="s">
        <v>115</v>
      </c>
      <c r="K902" t="s">
        <v>65</v>
      </c>
      <c r="L902">
        <v>-1</v>
      </c>
      <c r="M902">
        <v>55000</v>
      </c>
      <c r="N902">
        <v>0</v>
      </c>
      <c r="O902">
        <v>55000</v>
      </c>
      <c r="P902">
        <v>10131.709999999999</v>
      </c>
      <c r="Q902" t="s">
        <v>66</v>
      </c>
      <c r="R902" t="s">
        <v>56</v>
      </c>
      <c r="S902" t="s">
        <v>110</v>
      </c>
    </row>
    <row r="903" spans="1:19" x14ac:dyDescent="0.3">
      <c r="A903" t="s">
        <v>1816</v>
      </c>
      <c r="B903" s="1">
        <v>45690</v>
      </c>
      <c r="C903" s="2">
        <v>45693</v>
      </c>
      <c r="D903" t="s">
        <v>101</v>
      </c>
      <c r="E903" t="s">
        <v>102</v>
      </c>
      <c r="F903" t="s">
        <v>55</v>
      </c>
      <c r="G903" t="s">
        <v>35</v>
      </c>
      <c r="H903" t="s">
        <v>36</v>
      </c>
      <c r="I903" t="s">
        <v>93</v>
      </c>
      <c r="J903" t="s">
        <v>94</v>
      </c>
      <c r="K903" t="s">
        <v>95</v>
      </c>
      <c r="L903">
        <v>3</v>
      </c>
      <c r="M903">
        <v>1800</v>
      </c>
      <c r="N903">
        <v>10</v>
      </c>
      <c r="O903">
        <v>4860</v>
      </c>
      <c r="P903">
        <v>1416.41</v>
      </c>
      <c r="Q903" t="s">
        <v>156</v>
      </c>
      <c r="R903" t="s">
        <v>56</v>
      </c>
      <c r="S903" t="s">
        <v>86</v>
      </c>
    </row>
    <row r="904" spans="1:19" x14ac:dyDescent="0.3">
      <c r="A904" t="s">
        <v>1817</v>
      </c>
      <c r="B904" s="1">
        <v>45514</v>
      </c>
      <c r="C904" t="s">
        <v>1818</v>
      </c>
      <c r="D904" t="s">
        <v>939</v>
      </c>
      <c r="E904" t="s">
        <v>940</v>
      </c>
      <c r="F904" t="s">
        <v>55</v>
      </c>
      <c r="G904" t="s">
        <v>61</v>
      </c>
      <c r="H904" t="s">
        <v>78</v>
      </c>
      <c r="I904" t="s">
        <v>126</v>
      </c>
      <c r="J904" t="s">
        <v>127</v>
      </c>
      <c r="K904" t="s">
        <v>95</v>
      </c>
      <c r="L904">
        <v>1</v>
      </c>
      <c r="M904">
        <v>600</v>
      </c>
      <c r="N904">
        <v>15</v>
      </c>
      <c r="O904">
        <v>510</v>
      </c>
      <c r="P904">
        <v>146.97</v>
      </c>
      <c r="Q904" t="s">
        <v>74</v>
      </c>
      <c r="R904" t="s">
        <v>567</v>
      </c>
      <c r="S904" t="s">
        <v>50</v>
      </c>
    </row>
    <row r="905" spans="1:19" x14ac:dyDescent="0.3">
      <c r="A905" t="s">
        <v>1819</v>
      </c>
      <c r="B905" s="1">
        <v>45550</v>
      </c>
      <c r="C905" t="s">
        <v>1820</v>
      </c>
      <c r="D905" t="s">
        <v>192</v>
      </c>
      <c r="E905" t="s">
        <v>193</v>
      </c>
      <c r="F905" t="s">
        <v>55</v>
      </c>
      <c r="G905" t="s">
        <v>35</v>
      </c>
      <c r="H905" t="s">
        <v>36</v>
      </c>
      <c r="I905" t="s">
        <v>79</v>
      </c>
      <c r="J905" t="s">
        <v>80</v>
      </c>
      <c r="K905" t="s">
        <v>65</v>
      </c>
      <c r="L905">
        <v>1</v>
      </c>
      <c r="M905">
        <v>3000</v>
      </c>
      <c r="N905">
        <v>0</v>
      </c>
      <c r="O905">
        <v>3000</v>
      </c>
      <c r="P905">
        <v>796.38</v>
      </c>
      <c r="Q905" t="s">
        <v>156</v>
      </c>
      <c r="R905" t="s">
        <v>56</v>
      </c>
      <c r="S905" t="s">
        <v>30</v>
      </c>
    </row>
    <row r="906" spans="1:19" x14ac:dyDescent="0.3">
      <c r="A906" t="s">
        <v>1821</v>
      </c>
      <c r="B906" s="1">
        <v>45853</v>
      </c>
      <c r="C906" t="s">
        <v>1822</v>
      </c>
      <c r="D906" t="s">
        <v>477</v>
      </c>
      <c r="E906" t="s">
        <v>478</v>
      </c>
      <c r="F906" t="s">
        <v>34</v>
      </c>
      <c r="G906" t="s">
        <v>44</v>
      </c>
      <c r="H906" t="s">
        <v>161</v>
      </c>
      <c r="I906" t="s">
        <v>126</v>
      </c>
      <c r="J906" t="s">
        <v>127</v>
      </c>
      <c r="K906" t="s">
        <v>95</v>
      </c>
      <c r="L906">
        <v>3</v>
      </c>
      <c r="M906">
        <v>600</v>
      </c>
      <c r="N906">
        <v>10</v>
      </c>
      <c r="O906">
        <v>1620</v>
      </c>
      <c r="P906">
        <v>611.42999999999995</v>
      </c>
      <c r="Q906" t="s">
        <v>39</v>
      </c>
      <c r="R906" t="s">
        <v>49</v>
      </c>
      <c r="S906" t="s">
        <v>40</v>
      </c>
    </row>
    <row r="907" spans="1:19" x14ac:dyDescent="0.3">
      <c r="A907" t="s">
        <v>1823</v>
      </c>
      <c r="B907" s="1">
        <v>45695</v>
      </c>
      <c r="C907" s="2">
        <v>45697</v>
      </c>
      <c r="D907" t="s">
        <v>237</v>
      </c>
      <c r="E907" t="s">
        <v>238</v>
      </c>
      <c r="F907" t="s">
        <v>55</v>
      </c>
      <c r="G907" t="s">
        <v>44</v>
      </c>
      <c r="H907" t="s">
        <v>155</v>
      </c>
      <c r="I907" t="s">
        <v>37</v>
      </c>
      <c r="J907" t="s">
        <v>38</v>
      </c>
      <c r="K907" t="s">
        <v>27</v>
      </c>
      <c r="L907">
        <v>4</v>
      </c>
      <c r="M907">
        <v>9500</v>
      </c>
      <c r="N907">
        <v>20</v>
      </c>
      <c r="O907">
        <v>30400</v>
      </c>
      <c r="P907">
        <v>4681.1099999999997</v>
      </c>
      <c r="Q907" t="s">
        <v>156</v>
      </c>
      <c r="R907" t="s">
        <v>56</v>
      </c>
      <c r="S907" t="s">
        <v>30</v>
      </c>
    </row>
    <row r="908" spans="1:19" x14ac:dyDescent="0.3">
      <c r="A908" t="s">
        <v>1824</v>
      </c>
      <c r="B908" s="2">
        <v>45915</v>
      </c>
      <c r="C908" s="1">
        <v>45918</v>
      </c>
      <c r="D908" t="s">
        <v>488</v>
      </c>
      <c r="E908" t="s">
        <v>489</v>
      </c>
      <c r="F908" t="s">
        <v>34</v>
      </c>
      <c r="G908" t="s">
        <v>35</v>
      </c>
      <c r="H908" t="s">
        <v>36</v>
      </c>
      <c r="I908" t="s">
        <v>71</v>
      </c>
      <c r="J908" t="s">
        <v>72</v>
      </c>
      <c r="K908" t="s">
        <v>73</v>
      </c>
      <c r="L908">
        <v>3</v>
      </c>
      <c r="M908">
        <v>3500</v>
      </c>
      <c r="N908">
        <v>20</v>
      </c>
      <c r="O908">
        <v>8400</v>
      </c>
      <c r="P908">
        <v>2248.69</v>
      </c>
      <c r="Q908" t="s">
        <v>74</v>
      </c>
      <c r="R908" t="s">
        <v>49</v>
      </c>
      <c r="S908" t="s">
        <v>110</v>
      </c>
    </row>
    <row r="909" spans="1:19" x14ac:dyDescent="0.3">
      <c r="A909" t="s">
        <v>1825</v>
      </c>
      <c r="B909" s="1">
        <v>45546</v>
      </c>
      <c r="C909" s="1">
        <v>45551</v>
      </c>
      <c r="D909" t="s">
        <v>1031</v>
      </c>
      <c r="E909" t="s">
        <v>1032</v>
      </c>
      <c r="F909" t="s">
        <v>23</v>
      </c>
      <c r="G909" t="s">
        <v>61</v>
      </c>
      <c r="H909" t="s">
        <v>211</v>
      </c>
      <c r="I909" t="s">
        <v>71</v>
      </c>
      <c r="J909" t="s">
        <v>72</v>
      </c>
      <c r="K909" t="s">
        <v>73</v>
      </c>
      <c r="L909">
        <v>10</v>
      </c>
      <c r="M909">
        <v>3500</v>
      </c>
      <c r="N909">
        <v>5</v>
      </c>
      <c r="O909">
        <v>33250</v>
      </c>
      <c r="P909">
        <v>9633.2800000000007</v>
      </c>
      <c r="Q909" t="s">
        <v>74</v>
      </c>
      <c r="R909" t="s">
        <v>29</v>
      </c>
      <c r="S909" t="s">
        <v>86</v>
      </c>
    </row>
    <row r="910" spans="1:19" x14ac:dyDescent="0.3">
      <c r="A910" t="s">
        <v>1826</v>
      </c>
      <c r="B910" s="1">
        <v>46005</v>
      </c>
      <c r="C910" s="1">
        <v>46008</v>
      </c>
      <c r="D910" t="s">
        <v>203</v>
      </c>
      <c r="E910" t="s">
        <v>204</v>
      </c>
      <c r="F910" t="s">
        <v>23</v>
      </c>
      <c r="G910" t="s">
        <v>44</v>
      </c>
      <c r="H910" t="s">
        <v>45</v>
      </c>
      <c r="I910" t="s">
        <v>63</v>
      </c>
      <c r="J910" t="s">
        <v>64</v>
      </c>
      <c r="K910" t="s">
        <v>65</v>
      </c>
      <c r="L910">
        <v>2</v>
      </c>
      <c r="M910">
        <v>25000</v>
      </c>
      <c r="N910">
        <v>0</v>
      </c>
      <c r="O910">
        <v>50000</v>
      </c>
      <c r="P910">
        <v>7449.13</v>
      </c>
      <c r="Q910" t="s">
        <v>121</v>
      </c>
      <c r="R910" t="s">
        <v>49</v>
      </c>
      <c r="S910" t="s">
        <v>50</v>
      </c>
    </row>
    <row r="911" spans="1:19" x14ac:dyDescent="0.3">
      <c r="A911" t="s">
        <v>1827</v>
      </c>
      <c r="B911" t="s">
        <v>1828</v>
      </c>
      <c r="C911" t="s">
        <v>530</v>
      </c>
      <c r="D911" t="s">
        <v>1019</v>
      </c>
      <c r="E911" t="s">
        <v>1020</v>
      </c>
      <c r="F911" t="s">
        <v>55</v>
      </c>
      <c r="G911" t="s">
        <v>35</v>
      </c>
      <c r="H911" t="s">
        <v>187</v>
      </c>
      <c r="I911" t="s">
        <v>134</v>
      </c>
      <c r="J911" t="s">
        <v>135</v>
      </c>
      <c r="K911" t="s">
        <v>1829</v>
      </c>
      <c r="L911">
        <v>3</v>
      </c>
      <c r="M911">
        <v>6000</v>
      </c>
      <c r="N911">
        <v>0</v>
      </c>
      <c r="O911">
        <v>18000</v>
      </c>
      <c r="P911">
        <v>3117.57</v>
      </c>
      <c r="Q911" t="s">
        <v>28</v>
      </c>
      <c r="R911" t="s">
        <v>56</v>
      </c>
      <c r="S911" t="s">
        <v>86</v>
      </c>
    </row>
    <row r="912" spans="1:19" x14ac:dyDescent="0.3">
      <c r="A912" t="s">
        <v>1830</v>
      </c>
      <c r="B912" s="1">
        <v>45933</v>
      </c>
      <c r="C912" s="1">
        <v>45935</v>
      </c>
      <c r="D912" t="s">
        <v>1250</v>
      </c>
      <c r="E912" t="s">
        <v>1251</v>
      </c>
      <c r="F912" t="s">
        <v>55</v>
      </c>
      <c r="G912" t="s">
        <v>35</v>
      </c>
      <c r="H912" t="s">
        <v>258</v>
      </c>
      <c r="I912" t="s">
        <v>134</v>
      </c>
      <c r="J912" t="s">
        <v>135</v>
      </c>
      <c r="K912" t="s">
        <v>27</v>
      </c>
      <c r="L912">
        <v>1</v>
      </c>
      <c r="M912">
        <v>6000</v>
      </c>
      <c r="N912">
        <v>0</v>
      </c>
      <c r="O912">
        <v>6000</v>
      </c>
      <c r="P912">
        <v>1164.3699999999999</v>
      </c>
      <c r="Q912" t="s">
        <v>66</v>
      </c>
      <c r="R912" t="s">
        <v>49</v>
      </c>
      <c r="S912" t="s">
        <v>40</v>
      </c>
    </row>
    <row r="913" spans="1:19" x14ac:dyDescent="0.3">
      <c r="A913" t="s">
        <v>1831</v>
      </c>
      <c r="B913" s="1">
        <v>46008</v>
      </c>
      <c r="C913" s="2">
        <v>46014</v>
      </c>
      <c r="D913" t="s">
        <v>200</v>
      </c>
      <c r="E913" t="s">
        <v>201</v>
      </c>
      <c r="F913" t="s">
        <v>23</v>
      </c>
      <c r="G913" t="s">
        <v>35</v>
      </c>
      <c r="H913" t="s">
        <v>187</v>
      </c>
      <c r="I913" t="s">
        <v>103</v>
      </c>
      <c r="J913" t="s">
        <v>104</v>
      </c>
      <c r="K913" t="s">
        <v>65</v>
      </c>
      <c r="L913">
        <v>1</v>
      </c>
      <c r="M913">
        <v>8000</v>
      </c>
      <c r="N913">
        <v>10</v>
      </c>
      <c r="O913">
        <v>7200</v>
      </c>
      <c r="P913">
        <v>1773.88</v>
      </c>
      <c r="Q913" t="s">
        <v>28</v>
      </c>
      <c r="R913" t="s">
        <v>49</v>
      </c>
      <c r="S913" t="s">
        <v>40</v>
      </c>
    </row>
    <row r="914" spans="1:19" x14ac:dyDescent="0.3">
      <c r="A914" t="s">
        <v>1832</v>
      </c>
      <c r="B914" s="1">
        <v>45654</v>
      </c>
      <c r="C914" t="s">
        <v>1833</v>
      </c>
      <c r="D914" t="s">
        <v>761</v>
      </c>
      <c r="E914" t="s">
        <v>762</v>
      </c>
      <c r="F914" t="s">
        <v>23</v>
      </c>
      <c r="G914" t="s">
        <v>44</v>
      </c>
      <c r="H914" t="s">
        <v>330</v>
      </c>
      <c r="I914" t="s">
        <v>79</v>
      </c>
      <c r="J914" t="s">
        <v>80</v>
      </c>
      <c r="K914" t="s">
        <v>375</v>
      </c>
      <c r="L914">
        <v>1</v>
      </c>
      <c r="M914">
        <v>3000</v>
      </c>
      <c r="N914">
        <v>20</v>
      </c>
      <c r="O914">
        <v>2400</v>
      </c>
      <c r="P914">
        <v>708.26</v>
      </c>
      <c r="Q914" t="s">
        <v>121</v>
      </c>
      <c r="R914" t="s">
        <v>49</v>
      </c>
      <c r="S914" t="s">
        <v>86</v>
      </c>
    </row>
    <row r="915" spans="1:19" x14ac:dyDescent="0.3">
      <c r="A915" t="s">
        <v>1834</v>
      </c>
      <c r="B915" s="2">
        <v>45383</v>
      </c>
      <c r="C915" s="1">
        <v>45355</v>
      </c>
      <c r="D915" t="s">
        <v>808</v>
      </c>
      <c r="E915" t="s">
        <v>809</v>
      </c>
      <c r="F915" t="s">
        <v>55</v>
      </c>
      <c r="G915" t="s">
        <v>35</v>
      </c>
      <c r="H915" t="s">
        <v>258</v>
      </c>
      <c r="I915" t="s">
        <v>79</v>
      </c>
      <c r="J915" t="s">
        <v>80</v>
      </c>
      <c r="K915" t="s">
        <v>65</v>
      </c>
      <c r="L915">
        <v>5</v>
      </c>
      <c r="M915">
        <v>3000</v>
      </c>
      <c r="N915">
        <v>0</v>
      </c>
      <c r="O915">
        <v>15000</v>
      </c>
      <c r="P915">
        <v>4855.04</v>
      </c>
      <c r="Q915" t="s">
        <v>66</v>
      </c>
      <c r="R915" t="s">
        <v>56</v>
      </c>
      <c r="S915" t="s">
        <v>40</v>
      </c>
    </row>
    <row r="916" spans="1:19" x14ac:dyDescent="0.3">
      <c r="A916" t="s">
        <v>1835</v>
      </c>
      <c r="B916" s="2">
        <v>45532</v>
      </c>
      <c r="C916" s="1">
        <v>45421</v>
      </c>
      <c r="D916" t="s">
        <v>32</v>
      </c>
      <c r="E916" t="s">
        <v>33</v>
      </c>
      <c r="F916" t="s">
        <v>34</v>
      </c>
      <c r="G916" t="s">
        <v>35</v>
      </c>
      <c r="H916" t="s">
        <v>36</v>
      </c>
      <c r="I916" t="s">
        <v>79</v>
      </c>
      <c r="J916" t="s">
        <v>80</v>
      </c>
      <c r="K916" t="s">
        <v>65</v>
      </c>
      <c r="L916">
        <v>4</v>
      </c>
      <c r="M916">
        <v>3000</v>
      </c>
      <c r="N916">
        <v>10</v>
      </c>
      <c r="O916">
        <v>10800</v>
      </c>
      <c r="P916">
        <v>2605.31</v>
      </c>
      <c r="Q916" t="s">
        <v>156</v>
      </c>
      <c r="R916" t="s">
        <v>56</v>
      </c>
      <c r="S916" t="s">
        <v>86</v>
      </c>
    </row>
    <row r="917" spans="1:19" x14ac:dyDescent="0.3">
      <c r="A917" t="s">
        <v>1836</v>
      </c>
      <c r="B917" s="1">
        <v>45547</v>
      </c>
      <c r="C917" t="s">
        <v>1837</v>
      </c>
      <c r="D917" t="s">
        <v>352</v>
      </c>
      <c r="E917" t="s">
        <v>353</v>
      </c>
      <c r="F917" t="s">
        <v>55</v>
      </c>
      <c r="G917" t="s">
        <v>35</v>
      </c>
      <c r="H917" t="s">
        <v>36</v>
      </c>
      <c r="I917" t="s">
        <v>103</v>
      </c>
      <c r="J917" t="s">
        <v>104</v>
      </c>
      <c r="K917" t="s">
        <v>375</v>
      </c>
      <c r="L917">
        <v>3</v>
      </c>
      <c r="M917">
        <v>8000</v>
      </c>
      <c r="N917">
        <v>15</v>
      </c>
      <c r="O917">
        <v>20400</v>
      </c>
      <c r="P917">
        <v>3717.29</v>
      </c>
      <c r="Q917" t="s">
        <v>121</v>
      </c>
      <c r="R917" t="s">
        <v>29</v>
      </c>
      <c r="S917" t="s">
        <v>110</v>
      </c>
    </row>
    <row r="918" spans="1:19" x14ac:dyDescent="0.3">
      <c r="A918" t="s">
        <v>1838</v>
      </c>
      <c r="B918" s="1">
        <v>45292</v>
      </c>
      <c r="C918" s="1">
        <v>45295</v>
      </c>
      <c r="D918" t="s">
        <v>169</v>
      </c>
      <c r="E918" t="s">
        <v>170</v>
      </c>
      <c r="F918" t="s">
        <v>55</v>
      </c>
      <c r="G918" t="s">
        <v>91</v>
      </c>
      <c r="H918" t="s">
        <v>92</v>
      </c>
      <c r="I918" t="s">
        <v>147</v>
      </c>
      <c r="J918" t="s">
        <v>148</v>
      </c>
      <c r="K918" t="s">
        <v>48</v>
      </c>
      <c r="L918">
        <v>10</v>
      </c>
      <c r="M918">
        <v>250</v>
      </c>
      <c r="N918">
        <v>5</v>
      </c>
      <c r="O918">
        <v>2375</v>
      </c>
      <c r="P918">
        <v>741.88</v>
      </c>
      <c r="Q918" t="s">
        <v>156</v>
      </c>
      <c r="R918" t="s">
        <v>49</v>
      </c>
      <c r="S918" t="s">
        <v>50</v>
      </c>
    </row>
    <row r="919" spans="1:19" x14ac:dyDescent="0.3">
      <c r="A919" t="s">
        <v>1839</v>
      </c>
      <c r="B919" s="1">
        <v>45858</v>
      </c>
      <c r="C919" s="2">
        <v>45866</v>
      </c>
      <c r="D919" t="s">
        <v>561</v>
      </c>
      <c r="E919" t="s">
        <v>562</v>
      </c>
      <c r="F919" t="s">
        <v>23</v>
      </c>
      <c r="G919" t="s">
        <v>44</v>
      </c>
      <c r="H919" t="s">
        <v>155</v>
      </c>
      <c r="I919" t="s">
        <v>71</v>
      </c>
      <c r="J919" t="s">
        <v>72</v>
      </c>
      <c r="K919" t="s">
        <v>73</v>
      </c>
      <c r="L919">
        <v>2</v>
      </c>
      <c r="M919">
        <v>3500</v>
      </c>
      <c r="N919">
        <v>0</v>
      </c>
      <c r="O919">
        <v>7000</v>
      </c>
      <c r="P919">
        <v>2045.13</v>
      </c>
      <c r="Q919" t="s">
        <v>28</v>
      </c>
      <c r="R919" t="s">
        <v>56</v>
      </c>
      <c r="S919" t="s">
        <v>86</v>
      </c>
    </row>
    <row r="920" spans="1:19" x14ac:dyDescent="0.3">
      <c r="A920" t="s">
        <v>1840</v>
      </c>
      <c r="B920" s="1">
        <v>45616</v>
      </c>
      <c r="C920" s="1">
        <v>45622</v>
      </c>
      <c r="D920" t="s">
        <v>517</v>
      </c>
      <c r="E920" t="s">
        <v>518</v>
      </c>
      <c r="F920" t="s">
        <v>34</v>
      </c>
      <c r="G920" t="s">
        <v>61</v>
      </c>
      <c r="H920" t="s">
        <v>125</v>
      </c>
      <c r="I920" t="s">
        <v>71</v>
      </c>
      <c r="J920" t="s">
        <v>72</v>
      </c>
      <c r="K920" t="s">
        <v>73</v>
      </c>
      <c r="L920">
        <v>1</v>
      </c>
      <c r="M920">
        <v>3500</v>
      </c>
      <c r="N920">
        <v>0</v>
      </c>
      <c r="O920">
        <v>3500</v>
      </c>
      <c r="Q920" t="s">
        <v>28</v>
      </c>
      <c r="R920" t="s">
        <v>49</v>
      </c>
      <c r="S920" t="s">
        <v>40</v>
      </c>
    </row>
    <row r="921" spans="1:19" x14ac:dyDescent="0.3">
      <c r="A921" t="s">
        <v>1841</v>
      </c>
      <c r="B921" s="1">
        <v>45777</v>
      </c>
      <c r="C921" s="1">
        <v>45782</v>
      </c>
      <c r="D921" t="s">
        <v>856</v>
      </c>
      <c r="E921" t="s">
        <v>857</v>
      </c>
      <c r="F921" t="s">
        <v>55</v>
      </c>
      <c r="G921" t="s">
        <v>35</v>
      </c>
      <c r="H921" t="s">
        <v>36</v>
      </c>
      <c r="I921" t="s">
        <v>46</v>
      </c>
      <c r="J921" t="s">
        <v>47</v>
      </c>
      <c r="K921" t="s">
        <v>48</v>
      </c>
      <c r="L921">
        <v>3</v>
      </c>
      <c r="M921">
        <v>180</v>
      </c>
      <c r="N921">
        <v>20</v>
      </c>
      <c r="O921">
        <v>432</v>
      </c>
      <c r="P921">
        <v>168.5</v>
      </c>
      <c r="Q921" t="s">
        <v>121</v>
      </c>
      <c r="R921" t="s">
        <v>49</v>
      </c>
      <c r="S921" t="s">
        <v>30</v>
      </c>
    </row>
    <row r="922" spans="1:19" x14ac:dyDescent="0.3">
      <c r="A922" t="s">
        <v>1842</v>
      </c>
      <c r="B922" s="1">
        <v>45689</v>
      </c>
      <c r="D922" t="s">
        <v>864</v>
      </c>
      <c r="E922" t="s">
        <v>865</v>
      </c>
      <c r="F922" t="s">
        <v>34</v>
      </c>
      <c r="G922" t="s">
        <v>44</v>
      </c>
      <c r="H922" t="s">
        <v>155</v>
      </c>
      <c r="I922" t="s">
        <v>93</v>
      </c>
      <c r="J922" t="s">
        <v>94</v>
      </c>
      <c r="K922" t="s">
        <v>95</v>
      </c>
      <c r="L922">
        <v>4</v>
      </c>
      <c r="M922">
        <v>1800</v>
      </c>
      <c r="N922">
        <v>10</v>
      </c>
      <c r="O922">
        <v>6480</v>
      </c>
      <c r="P922">
        <v>1774</v>
      </c>
      <c r="Q922" t="s">
        <v>156</v>
      </c>
      <c r="R922" t="s">
        <v>29</v>
      </c>
      <c r="S922" t="s">
        <v>40</v>
      </c>
    </row>
    <row r="923" spans="1:19" x14ac:dyDescent="0.3">
      <c r="A923" t="s">
        <v>1843</v>
      </c>
      <c r="B923" s="1">
        <v>45326</v>
      </c>
      <c r="C923" s="1">
        <v>45475</v>
      </c>
      <c r="D923" t="s">
        <v>689</v>
      </c>
      <c r="E923" t="s">
        <v>690</v>
      </c>
      <c r="F923" t="s">
        <v>55</v>
      </c>
      <c r="G923" t="s">
        <v>61</v>
      </c>
      <c r="H923" t="s">
        <v>62</v>
      </c>
      <c r="I923" t="s">
        <v>103</v>
      </c>
      <c r="J923" t="s">
        <v>104</v>
      </c>
      <c r="K923" t="s">
        <v>65</v>
      </c>
      <c r="L923">
        <v>1</v>
      </c>
      <c r="M923">
        <v>8000</v>
      </c>
      <c r="N923">
        <v>5</v>
      </c>
      <c r="O923">
        <v>7600</v>
      </c>
      <c r="P923">
        <v>1701.36</v>
      </c>
      <c r="Q923" t="s">
        <v>156</v>
      </c>
      <c r="R923" t="s">
        <v>56</v>
      </c>
      <c r="S923" t="s">
        <v>30</v>
      </c>
    </row>
    <row r="924" spans="1:19" x14ac:dyDescent="0.3">
      <c r="A924" t="s">
        <v>1844</v>
      </c>
      <c r="B924" s="1">
        <v>45915</v>
      </c>
      <c r="C924" s="1">
        <v>45919</v>
      </c>
      <c r="D924" t="s">
        <v>153</v>
      </c>
      <c r="E924" t="s">
        <v>154</v>
      </c>
      <c r="F924" t="s">
        <v>23</v>
      </c>
      <c r="G924" t="s">
        <v>44</v>
      </c>
      <c r="H924" t="s">
        <v>155</v>
      </c>
      <c r="I924" t="s">
        <v>114</v>
      </c>
      <c r="J924" t="s">
        <v>115</v>
      </c>
      <c r="K924" t="s">
        <v>65</v>
      </c>
      <c r="L924">
        <v>1</v>
      </c>
      <c r="M924">
        <v>55000</v>
      </c>
      <c r="N924">
        <v>0</v>
      </c>
      <c r="O924">
        <v>55000</v>
      </c>
      <c r="P924">
        <v>7291.78</v>
      </c>
      <c r="Q924" t="s">
        <v>156</v>
      </c>
      <c r="R924" t="s">
        <v>29</v>
      </c>
      <c r="S924" t="s">
        <v>50</v>
      </c>
    </row>
    <row r="925" spans="1:19" x14ac:dyDescent="0.3">
      <c r="A925" t="s">
        <v>1845</v>
      </c>
      <c r="B925" s="1">
        <v>45949</v>
      </c>
      <c r="C925" s="2">
        <v>45957</v>
      </c>
      <c r="D925" t="s">
        <v>990</v>
      </c>
      <c r="E925" t="s">
        <v>991</v>
      </c>
      <c r="F925" t="s">
        <v>23</v>
      </c>
      <c r="G925" t="s">
        <v>61</v>
      </c>
      <c r="H925" t="s">
        <v>62</v>
      </c>
      <c r="I925" t="s">
        <v>134</v>
      </c>
      <c r="J925" t="s">
        <v>135</v>
      </c>
      <c r="K925" t="s">
        <v>27</v>
      </c>
      <c r="L925">
        <v>2</v>
      </c>
      <c r="M925">
        <v>6000</v>
      </c>
      <c r="N925">
        <v>0</v>
      </c>
      <c r="O925">
        <v>12000</v>
      </c>
      <c r="P925">
        <v>2277.65</v>
      </c>
      <c r="Q925" t="s">
        <v>66</v>
      </c>
      <c r="R925" t="s">
        <v>29</v>
      </c>
      <c r="S925" t="s">
        <v>40</v>
      </c>
    </row>
    <row r="926" spans="1:19" x14ac:dyDescent="0.3">
      <c r="A926" t="s">
        <v>1846</v>
      </c>
      <c r="B926" s="1">
        <v>45422</v>
      </c>
      <c r="C926" s="2">
        <v>45423</v>
      </c>
      <c r="D926" t="s">
        <v>798</v>
      </c>
      <c r="E926" t="s">
        <v>799</v>
      </c>
      <c r="F926" t="s">
        <v>23</v>
      </c>
      <c r="G926" t="s">
        <v>44</v>
      </c>
      <c r="H926" t="s">
        <v>330</v>
      </c>
      <c r="I926" t="s">
        <v>134</v>
      </c>
      <c r="J926" t="s">
        <v>135</v>
      </c>
      <c r="K926" t="s">
        <v>27</v>
      </c>
      <c r="L926">
        <v>4</v>
      </c>
      <c r="M926">
        <v>6000</v>
      </c>
      <c r="N926">
        <v>0</v>
      </c>
      <c r="O926">
        <v>24000</v>
      </c>
      <c r="P926">
        <v>4882.6899999999996</v>
      </c>
      <c r="Q926" t="s">
        <v>66</v>
      </c>
      <c r="R926" t="s">
        <v>56</v>
      </c>
      <c r="S926" t="s">
        <v>40</v>
      </c>
    </row>
    <row r="927" spans="1:19" x14ac:dyDescent="0.3">
      <c r="A927" t="s">
        <v>1847</v>
      </c>
      <c r="B927" s="1">
        <v>45662</v>
      </c>
      <c r="C927" s="2">
        <v>45669</v>
      </c>
      <c r="D927" t="s">
        <v>973</v>
      </c>
      <c r="E927" t="s">
        <v>974</v>
      </c>
      <c r="F927" t="s">
        <v>34</v>
      </c>
      <c r="G927" t="s">
        <v>91</v>
      </c>
      <c r="H927" t="s">
        <v>177</v>
      </c>
      <c r="I927" t="s">
        <v>37</v>
      </c>
      <c r="J927" t="s">
        <v>38</v>
      </c>
      <c r="K927" t="s">
        <v>27</v>
      </c>
      <c r="L927">
        <v>1</v>
      </c>
      <c r="M927">
        <v>9500</v>
      </c>
      <c r="N927">
        <v>20</v>
      </c>
      <c r="O927">
        <v>7600</v>
      </c>
      <c r="P927">
        <v>1064.97</v>
      </c>
      <c r="Q927" t="s">
        <v>66</v>
      </c>
      <c r="R927" t="s">
        <v>56</v>
      </c>
      <c r="S927" t="s">
        <v>50</v>
      </c>
    </row>
    <row r="928" spans="1:19" x14ac:dyDescent="0.3">
      <c r="A928" t="s">
        <v>1848</v>
      </c>
      <c r="B928" s="1">
        <v>45959</v>
      </c>
      <c r="C928" s="2">
        <v>45964</v>
      </c>
      <c r="D928" t="s">
        <v>634</v>
      </c>
      <c r="E928" t="s">
        <v>635</v>
      </c>
      <c r="F928" t="s">
        <v>23</v>
      </c>
      <c r="G928" t="s">
        <v>91</v>
      </c>
      <c r="H928" t="s">
        <v>177</v>
      </c>
      <c r="I928" t="s">
        <v>93</v>
      </c>
      <c r="J928" t="s">
        <v>94</v>
      </c>
      <c r="K928" t="s">
        <v>95</v>
      </c>
      <c r="L928">
        <v>1</v>
      </c>
      <c r="M928">
        <v>1800</v>
      </c>
      <c r="N928">
        <v>0</v>
      </c>
      <c r="O928">
        <v>1800</v>
      </c>
      <c r="P928">
        <v>643.17999999999995</v>
      </c>
      <c r="Q928" t="s">
        <v>156</v>
      </c>
      <c r="R928" t="s">
        <v>56</v>
      </c>
      <c r="S928" t="s">
        <v>30</v>
      </c>
    </row>
    <row r="929" spans="1:19" x14ac:dyDescent="0.3">
      <c r="A929" t="s">
        <v>1849</v>
      </c>
      <c r="B929" t="s">
        <v>1112</v>
      </c>
      <c r="C929" s="2">
        <v>45442</v>
      </c>
      <c r="D929" t="s">
        <v>787</v>
      </c>
      <c r="E929" t="s">
        <v>788</v>
      </c>
      <c r="F929" t="s">
        <v>34</v>
      </c>
      <c r="G929" t="s">
        <v>35</v>
      </c>
      <c r="H929" t="s">
        <v>36</v>
      </c>
      <c r="I929" t="s">
        <v>147</v>
      </c>
      <c r="J929" t="s">
        <v>148</v>
      </c>
      <c r="K929" t="s">
        <v>48</v>
      </c>
      <c r="L929">
        <v>2</v>
      </c>
      <c r="M929">
        <v>250</v>
      </c>
      <c r="N929">
        <v>0</v>
      </c>
      <c r="O929">
        <v>500</v>
      </c>
      <c r="P929">
        <v>169.78</v>
      </c>
      <c r="Q929" t="s">
        <v>156</v>
      </c>
      <c r="R929" t="s">
        <v>56</v>
      </c>
      <c r="S929" t="s">
        <v>86</v>
      </c>
    </row>
    <row r="930" spans="1:19" x14ac:dyDescent="0.3">
      <c r="A930" t="s">
        <v>1850</v>
      </c>
      <c r="B930" s="2">
        <v>45931</v>
      </c>
      <c r="C930" s="1">
        <v>45938</v>
      </c>
      <c r="D930" t="s">
        <v>882</v>
      </c>
      <c r="E930" t="s">
        <v>1545</v>
      </c>
      <c r="F930" t="s">
        <v>55</v>
      </c>
      <c r="G930" t="s">
        <v>44</v>
      </c>
      <c r="H930" t="s">
        <v>24</v>
      </c>
      <c r="I930" t="s">
        <v>46</v>
      </c>
      <c r="J930" t="s">
        <v>47</v>
      </c>
      <c r="K930" t="s">
        <v>48</v>
      </c>
      <c r="L930">
        <v>3</v>
      </c>
      <c r="M930">
        <v>180</v>
      </c>
      <c r="N930">
        <v>15</v>
      </c>
      <c r="O930">
        <v>459</v>
      </c>
      <c r="P930">
        <v>173.11</v>
      </c>
      <c r="Q930" t="s">
        <v>121</v>
      </c>
      <c r="R930" t="s">
        <v>49</v>
      </c>
      <c r="S930" t="s">
        <v>86</v>
      </c>
    </row>
    <row r="931" spans="1:19" x14ac:dyDescent="0.3">
      <c r="A931" t="s">
        <v>1851</v>
      </c>
      <c r="B931" t="s">
        <v>778</v>
      </c>
      <c r="C931" s="1">
        <v>45770</v>
      </c>
      <c r="D931" t="s">
        <v>904</v>
      </c>
      <c r="E931" t="s">
        <v>905</v>
      </c>
      <c r="F931" t="s">
        <v>23</v>
      </c>
      <c r="G931" t="s">
        <v>91</v>
      </c>
      <c r="H931" t="s">
        <v>92</v>
      </c>
      <c r="I931" t="s">
        <v>71</v>
      </c>
      <c r="J931" t="s">
        <v>72</v>
      </c>
      <c r="K931" t="s">
        <v>73</v>
      </c>
      <c r="L931">
        <v>3</v>
      </c>
      <c r="M931">
        <v>3500</v>
      </c>
      <c r="N931">
        <v>10</v>
      </c>
      <c r="O931">
        <v>9450</v>
      </c>
      <c r="P931">
        <v>2742.05</v>
      </c>
      <c r="Q931" t="s">
        <v>121</v>
      </c>
      <c r="R931" t="s">
        <v>49</v>
      </c>
      <c r="S931" t="s">
        <v>30</v>
      </c>
    </row>
    <row r="932" spans="1:19" x14ac:dyDescent="0.3">
      <c r="A932" t="s">
        <v>1852</v>
      </c>
      <c r="B932" s="1">
        <v>45549</v>
      </c>
      <c r="C932" s="1">
        <v>45554</v>
      </c>
      <c r="D932" t="s">
        <v>1009</v>
      </c>
      <c r="E932" t="s">
        <v>1010</v>
      </c>
      <c r="F932" t="s">
        <v>23</v>
      </c>
      <c r="G932" t="s">
        <v>61</v>
      </c>
      <c r="H932" t="s">
        <v>62</v>
      </c>
      <c r="I932" t="s">
        <v>79</v>
      </c>
      <c r="J932" t="s">
        <v>80</v>
      </c>
      <c r="K932" t="s">
        <v>65</v>
      </c>
      <c r="L932">
        <v>2</v>
      </c>
      <c r="M932">
        <v>3000</v>
      </c>
      <c r="N932">
        <v>10</v>
      </c>
      <c r="O932">
        <v>5400</v>
      </c>
      <c r="P932">
        <v>1666.41</v>
      </c>
      <c r="Q932" t="s">
        <v>28</v>
      </c>
      <c r="R932" t="s">
        <v>49</v>
      </c>
      <c r="S932" t="s">
        <v>30</v>
      </c>
    </row>
    <row r="933" spans="1:19" x14ac:dyDescent="0.3">
      <c r="A933" t="s">
        <v>1853</v>
      </c>
      <c r="B933" s="1">
        <v>45749</v>
      </c>
      <c r="C933" s="1">
        <v>45757</v>
      </c>
      <c r="D933" t="s">
        <v>798</v>
      </c>
      <c r="E933" t="s">
        <v>799</v>
      </c>
      <c r="F933" t="s">
        <v>23</v>
      </c>
      <c r="G933" t="s">
        <v>44</v>
      </c>
      <c r="H933" t="s">
        <v>330</v>
      </c>
      <c r="I933" t="s">
        <v>147</v>
      </c>
      <c r="J933" t="s">
        <v>148</v>
      </c>
      <c r="K933" t="s">
        <v>48</v>
      </c>
      <c r="L933">
        <v>4</v>
      </c>
      <c r="M933">
        <v>250</v>
      </c>
      <c r="N933">
        <v>5</v>
      </c>
      <c r="O933">
        <v>950</v>
      </c>
      <c r="P933">
        <v>359.28</v>
      </c>
      <c r="Q933" t="s">
        <v>156</v>
      </c>
      <c r="R933" t="s">
        <v>29</v>
      </c>
      <c r="S933" t="s">
        <v>50</v>
      </c>
    </row>
    <row r="934" spans="1:19" x14ac:dyDescent="0.3">
      <c r="A934" t="s">
        <v>1854</v>
      </c>
      <c r="B934" s="1">
        <v>45454</v>
      </c>
      <c r="C934" s="1">
        <v>45609</v>
      </c>
      <c r="D934" t="s">
        <v>1855</v>
      </c>
      <c r="E934" t="s">
        <v>1856</v>
      </c>
      <c r="F934" t="s">
        <v>55</v>
      </c>
      <c r="G934" t="s">
        <v>35</v>
      </c>
      <c r="H934" t="s">
        <v>85</v>
      </c>
      <c r="I934" t="s">
        <v>126</v>
      </c>
      <c r="J934" t="s">
        <v>127</v>
      </c>
      <c r="K934" t="s">
        <v>95</v>
      </c>
      <c r="L934">
        <v>1</v>
      </c>
      <c r="M934">
        <v>600</v>
      </c>
      <c r="N934">
        <v>20</v>
      </c>
      <c r="O934">
        <v>480</v>
      </c>
      <c r="P934">
        <v>174.75</v>
      </c>
      <c r="R934" t="s">
        <v>56</v>
      </c>
      <c r="S934" t="s">
        <v>50</v>
      </c>
    </row>
    <row r="935" spans="1:19" x14ac:dyDescent="0.3">
      <c r="A935" t="s">
        <v>1857</v>
      </c>
      <c r="B935" t="s">
        <v>1858</v>
      </c>
      <c r="C935" s="1">
        <v>45475</v>
      </c>
      <c r="D935" t="s">
        <v>582</v>
      </c>
      <c r="E935" t="s">
        <v>583</v>
      </c>
      <c r="F935" t="s">
        <v>34</v>
      </c>
      <c r="G935" t="s">
        <v>61</v>
      </c>
      <c r="H935" t="s">
        <v>78</v>
      </c>
      <c r="I935" t="s">
        <v>79</v>
      </c>
      <c r="J935" t="s">
        <v>80</v>
      </c>
      <c r="K935" t="s">
        <v>65</v>
      </c>
      <c r="L935">
        <v>1</v>
      </c>
      <c r="M935">
        <v>3000</v>
      </c>
      <c r="N935">
        <v>5</v>
      </c>
      <c r="O935">
        <v>2850</v>
      </c>
      <c r="Q935" t="s">
        <v>156</v>
      </c>
      <c r="R935" t="s">
        <v>49</v>
      </c>
      <c r="S935" t="s">
        <v>86</v>
      </c>
    </row>
    <row r="936" spans="1:19" x14ac:dyDescent="0.3">
      <c r="A936" t="s">
        <v>1859</v>
      </c>
      <c r="B936" s="2">
        <v>45724</v>
      </c>
      <c r="C936" t="s">
        <v>1860</v>
      </c>
      <c r="D936" t="s">
        <v>159</v>
      </c>
      <c r="E936" t="s">
        <v>160</v>
      </c>
      <c r="F936" t="s">
        <v>34</v>
      </c>
      <c r="G936" t="s">
        <v>44</v>
      </c>
      <c r="H936" t="s">
        <v>161</v>
      </c>
      <c r="I936" t="s">
        <v>71</v>
      </c>
      <c r="J936" t="s">
        <v>72</v>
      </c>
      <c r="K936" t="s">
        <v>73</v>
      </c>
      <c r="L936">
        <v>1</v>
      </c>
      <c r="M936">
        <v>3500</v>
      </c>
      <c r="N936">
        <v>0</v>
      </c>
      <c r="O936">
        <v>3500</v>
      </c>
      <c r="P936">
        <v>964.41</v>
      </c>
      <c r="Q936" t="s">
        <v>39</v>
      </c>
      <c r="R936" t="s">
        <v>56</v>
      </c>
      <c r="S936" t="s">
        <v>30</v>
      </c>
    </row>
    <row r="937" spans="1:19" x14ac:dyDescent="0.3">
      <c r="A937" t="s">
        <v>1861</v>
      </c>
      <c r="B937" s="1">
        <v>45692</v>
      </c>
      <c r="C937" s="2">
        <v>45697</v>
      </c>
      <c r="D937" t="s">
        <v>981</v>
      </c>
      <c r="E937" t="s">
        <v>982</v>
      </c>
      <c r="F937" t="s">
        <v>23</v>
      </c>
      <c r="G937" t="s">
        <v>91</v>
      </c>
      <c r="H937" t="s">
        <v>177</v>
      </c>
      <c r="I937" t="s">
        <v>79</v>
      </c>
      <c r="J937" t="s">
        <v>80</v>
      </c>
      <c r="K937" t="s">
        <v>65</v>
      </c>
      <c r="L937">
        <v>1</v>
      </c>
      <c r="M937">
        <v>3000</v>
      </c>
      <c r="N937">
        <v>0</v>
      </c>
      <c r="O937">
        <v>3000</v>
      </c>
      <c r="P937">
        <v>647.61</v>
      </c>
      <c r="R937" t="s">
        <v>29</v>
      </c>
      <c r="S937" t="s">
        <v>30</v>
      </c>
    </row>
    <row r="938" spans="1:19" x14ac:dyDescent="0.3">
      <c r="A938" t="s">
        <v>1862</v>
      </c>
      <c r="B938" s="2">
        <v>45697</v>
      </c>
      <c r="C938" s="1">
        <v>45701</v>
      </c>
      <c r="D938" t="s">
        <v>230</v>
      </c>
      <c r="E938" t="s">
        <v>231</v>
      </c>
      <c r="F938" t="s">
        <v>55</v>
      </c>
      <c r="G938" t="s">
        <v>44</v>
      </c>
      <c r="H938" t="s">
        <v>161</v>
      </c>
      <c r="I938" t="s">
        <v>147</v>
      </c>
      <c r="J938" t="s">
        <v>148</v>
      </c>
      <c r="K938" t="s">
        <v>48</v>
      </c>
      <c r="L938">
        <v>2</v>
      </c>
      <c r="M938">
        <v>250</v>
      </c>
      <c r="N938">
        <v>5</v>
      </c>
      <c r="O938">
        <v>475</v>
      </c>
      <c r="P938">
        <v>165.69</v>
      </c>
      <c r="Q938" t="s">
        <v>74</v>
      </c>
      <c r="R938" t="s">
        <v>29</v>
      </c>
      <c r="S938" t="s">
        <v>40</v>
      </c>
    </row>
    <row r="939" spans="1:19" x14ac:dyDescent="0.3">
      <c r="A939" t="s">
        <v>1863</v>
      </c>
      <c r="B939" s="1">
        <v>46015</v>
      </c>
      <c r="C939" s="2">
        <v>46018</v>
      </c>
      <c r="D939" t="s">
        <v>1262</v>
      </c>
      <c r="E939" t="s">
        <v>1263</v>
      </c>
      <c r="F939" t="s">
        <v>23</v>
      </c>
      <c r="G939" t="s">
        <v>91</v>
      </c>
      <c r="H939" t="s">
        <v>120</v>
      </c>
      <c r="I939" t="s">
        <v>147</v>
      </c>
      <c r="J939" t="s">
        <v>148</v>
      </c>
      <c r="K939" t="s">
        <v>48</v>
      </c>
      <c r="L939">
        <v>5</v>
      </c>
      <c r="M939">
        <v>250</v>
      </c>
      <c r="N939">
        <v>5</v>
      </c>
      <c r="O939">
        <v>1187.5</v>
      </c>
      <c r="P939">
        <v>356.92</v>
      </c>
      <c r="Q939" t="s">
        <v>28</v>
      </c>
      <c r="R939" t="s">
        <v>49</v>
      </c>
      <c r="S939" t="s">
        <v>110</v>
      </c>
    </row>
    <row r="940" spans="1:19" x14ac:dyDescent="0.3">
      <c r="A940" t="s">
        <v>1864</v>
      </c>
      <c r="B940" s="1">
        <v>45546</v>
      </c>
      <c r="C940" s="2">
        <v>45607</v>
      </c>
      <c r="D940" t="s">
        <v>272</v>
      </c>
      <c r="E940" t="s">
        <v>1865</v>
      </c>
      <c r="F940" t="s">
        <v>23</v>
      </c>
      <c r="G940" t="s">
        <v>35</v>
      </c>
      <c r="H940" t="s">
        <v>258</v>
      </c>
      <c r="I940" t="s">
        <v>46</v>
      </c>
      <c r="J940" t="s">
        <v>47</v>
      </c>
      <c r="K940" t="s">
        <v>48</v>
      </c>
      <c r="L940">
        <v>2</v>
      </c>
      <c r="M940">
        <v>180</v>
      </c>
      <c r="N940">
        <v>0</v>
      </c>
      <c r="O940">
        <v>360</v>
      </c>
      <c r="P940">
        <v>131.01</v>
      </c>
      <c r="Q940" t="s">
        <v>39</v>
      </c>
      <c r="R940" t="s">
        <v>49</v>
      </c>
      <c r="S940" t="s">
        <v>50</v>
      </c>
    </row>
    <row r="941" spans="1:19" x14ac:dyDescent="0.3">
      <c r="A941" t="s">
        <v>1866</v>
      </c>
      <c r="B941" s="1">
        <v>45580</v>
      </c>
      <c r="C941" s="1">
        <v>45583</v>
      </c>
      <c r="D941" t="s">
        <v>278</v>
      </c>
      <c r="E941" t="s">
        <v>279</v>
      </c>
      <c r="F941" t="s">
        <v>23</v>
      </c>
      <c r="G941" t="s">
        <v>91</v>
      </c>
      <c r="H941" t="s">
        <v>177</v>
      </c>
      <c r="I941" t="s">
        <v>103</v>
      </c>
      <c r="J941" t="s">
        <v>104</v>
      </c>
      <c r="K941" t="s">
        <v>65</v>
      </c>
      <c r="L941">
        <v>2</v>
      </c>
      <c r="M941">
        <v>8000</v>
      </c>
      <c r="N941">
        <v>15</v>
      </c>
      <c r="O941">
        <v>13600</v>
      </c>
      <c r="P941">
        <v>2984.96</v>
      </c>
      <c r="Q941" t="s">
        <v>28</v>
      </c>
      <c r="R941" t="s">
        <v>49</v>
      </c>
      <c r="S941" t="s">
        <v>86</v>
      </c>
    </row>
    <row r="942" spans="1:19" x14ac:dyDescent="0.3">
      <c r="A942" t="s">
        <v>1867</v>
      </c>
      <c r="B942" s="1">
        <v>45637</v>
      </c>
      <c r="C942" s="1">
        <v>45642</v>
      </c>
      <c r="D942" t="s">
        <v>575</v>
      </c>
      <c r="E942" t="s">
        <v>836</v>
      </c>
      <c r="F942" t="s">
        <v>34</v>
      </c>
      <c r="G942" t="s">
        <v>91</v>
      </c>
      <c r="H942" t="s">
        <v>120</v>
      </c>
      <c r="I942" t="s">
        <v>134</v>
      </c>
      <c r="J942" t="s">
        <v>135</v>
      </c>
      <c r="K942" t="s">
        <v>27</v>
      </c>
      <c r="L942">
        <v>1</v>
      </c>
      <c r="M942">
        <v>6000</v>
      </c>
      <c r="N942">
        <v>0</v>
      </c>
      <c r="O942">
        <v>6000</v>
      </c>
      <c r="P942">
        <v>1270.28</v>
      </c>
      <c r="Q942" t="s">
        <v>39</v>
      </c>
      <c r="R942" t="s">
        <v>29</v>
      </c>
      <c r="S942" t="s">
        <v>50</v>
      </c>
    </row>
    <row r="943" spans="1:19" x14ac:dyDescent="0.3">
      <c r="A943" t="s">
        <v>1868</v>
      </c>
      <c r="B943" s="1">
        <v>45841</v>
      </c>
      <c r="C943" s="1">
        <v>45968</v>
      </c>
      <c r="D943" t="s">
        <v>1100</v>
      </c>
      <c r="E943" t="s">
        <v>1101</v>
      </c>
      <c r="F943" t="s">
        <v>23</v>
      </c>
      <c r="G943" t="s">
        <v>44</v>
      </c>
      <c r="H943" t="s">
        <v>161</v>
      </c>
      <c r="I943" t="s">
        <v>93</v>
      </c>
      <c r="J943" t="s">
        <v>94</v>
      </c>
      <c r="K943" t="s">
        <v>95</v>
      </c>
      <c r="L943">
        <v>1</v>
      </c>
      <c r="M943">
        <v>1800</v>
      </c>
      <c r="N943">
        <v>0</v>
      </c>
      <c r="O943">
        <v>1800</v>
      </c>
      <c r="P943">
        <v>656.33</v>
      </c>
      <c r="Q943" t="s">
        <v>66</v>
      </c>
      <c r="R943" t="s">
        <v>56</v>
      </c>
      <c r="S943" t="s">
        <v>50</v>
      </c>
    </row>
    <row r="944" spans="1:19" x14ac:dyDescent="0.3">
      <c r="A944" t="s">
        <v>1869</v>
      </c>
      <c r="B944" s="1">
        <v>45527</v>
      </c>
      <c r="C944" s="1">
        <v>45529</v>
      </c>
      <c r="D944" t="s">
        <v>755</v>
      </c>
      <c r="E944" t="s">
        <v>756</v>
      </c>
      <c r="F944" t="s">
        <v>34</v>
      </c>
      <c r="G944" t="s">
        <v>44</v>
      </c>
      <c r="H944" t="s">
        <v>161</v>
      </c>
      <c r="I944" t="s">
        <v>114</v>
      </c>
      <c r="J944" t="s">
        <v>115</v>
      </c>
      <c r="K944" t="s">
        <v>65</v>
      </c>
      <c r="L944">
        <v>3</v>
      </c>
      <c r="M944">
        <v>55000</v>
      </c>
      <c r="N944">
        <v>10</v>
      </c>
      <c r="O944">
        <v>148500</v>
      </c>
      <c r="P944">
        <v>28863.72</v>
      </c>
      <c r="Q944" t="s">
        <v>39</v>
      </c>
      <c r="R944" t="s">
        <v>49</v>
      </c>
      <c r="S944" t="s">
        <v>30</v>
      </c>
    </row>
    <row r="945" spans="1:19" x14ac:dyDescent="0.3">
      <c r="A945" t="s">
        <v>1870</v>
      </c>
      <c r="B945" s="1">
        <v>45723</v>
      </c>
      <c r="C945" s="1">
        <v>45848</v>
      </c>
      <c r="D945" t="s">
        <v>392</v>
      </c>
      <c r="E945" t="s">
        <v>393</v>
      </c>
      <c r="F945" t="s">
        <v>55</v>
      </c>
      <c r="G945" t="s">
        <v>91</v>
      </c>
      <c r="H945" t="s">
        <v>92</v>
      </c>
      <c r="I945" t="s">
        <v>114</v>
      </c>
      <c r="J945" t="s">
        <v>115</v>
      </c>
      <c r="K945" t="s">
        <v>65</v>
      </c>
      <c r="L945">
        <v>1</v>
      </c>
      <c r="M945">
        <v>55000</v>
      </c>
      <c r="N945">
        <v>5</v>
      </c>
      <c r="O945">
        <v>52250</v>
      </c>
      <c r="P945">
        <v>8798.6</v>
      </c>
      <c r="Q945" t="s">
        <v>28</v>
      </c>
      <c r="R945" t="s">
        <v>56</v>
      </c>
      <c r="S945" t="s">
        <v>30</v>
      </c>
    </row>
    <row r="946" spans="1:19" x14ac:dyDescent="0.3">
      <c r="A946" t="s">
        <v>1871</v>
      </c>
      <c r="B946" t="s">
        <v>1872</v>
      </c>
      <c r="C946" s="2">
        <v>45406</v>
      </c>
      <c r="D946" t="s">
        <v>265</v>
      </c>
      <c r="E946" t="s">
        <v>266</v>
      </c>
      <c r="F946" t="s">
        <v>55</v>
      </c>
      <c r="G946" t="s">
        <v>44</v>
      </c>
      <c r="H946" t="s">
        <v>45</v>
      </c>
      <c r="I946" t="s">
        <v>46</v>
      </c>
      <c r="J946" t="s">
        <v>47</v>
      </c>
      <c r="K946" t="s">
        <v>48</v>
      </c>
      <c r="L946">
        <v>1</v>
      </c>
      <c r="M946">
        <v>180</v>
      </c>
      <c r="N946">
        <v>5</v>
      </c>
      <c r="O946">
        <v>171</v>
      </c>
      <c r="P946">
        <v>75.58</v>
      </c>
      <c r="Q946" t="s">
        <v>74</v>
      </c>
      <c r="R946" t="s">
        <v>29</v>
      </c>
      <c r="S946" t="s">
        <v>50</v>
      </c>
    </row>
    <row r="947" spans="1:19" x14ac:dyDescent="0.3">
      <c r="A947" t="s">
        <v>1873</v>
      </c>
      <c r="B947" s="1">
        <v>45395</v>
      </c>
      <c r="C947" s="1">
        <v>45400</v>
      </c>
      <c r="D947" t="s">
        <v>328</v>
      </c>
      <c r="E947" t="s">
        <v>329</v>
      </c>
      <c r="F947" t="s">
        <v>23</v>
      </c>
      <c r="G947" t="s">
        <v>44</v>
      </c>
      <c r="H947" t="s">
        <v>330</v>
      </c>
      <c r="I947" t="s">
        <v>71</v>
      </c>
      <c r="J947" t="s">
        <v>72</v>
      </c>
      <c r="K947" t="s">
        <v>73</v>
      </c>
      <c r="L947">
        <v>5</v>
      </c>
      <c r="M947">
        <v>3500</v>
      </c>
      <c r="N947">
        <v>15</v>
      </c>
      <c r="O947">
        <v>14875</v>
      </c>
      <c r="P947">
        <v>3772.13</v>
      </c>
      <c r="Q947" t="s">
        <v>74</v>
      </c>
      <c r="R947" t="s">
        <v>49</v>
      </c>
      <c r="S947" t="s">
        <v>86</v>
      </c>
    </row>
    <row r="948" spans="1:19" x14ac:dyDescent="0.3">
      <c r="A948" t="s">
        <v>1874</v>
      </c>
      <c r="B948" s="1">
        <v>45442</v>
      </c>
      <c r="C948" s="1">
        <v>45445</v>
      </c>
      <c r="D948" t="s">
        <v>1875</v>
      </c>
      <c r="E948" t="s">
        <v>1876</v>
      </c>
      <c r="F948" t="s">
        <v>34</v>
      </c>
      <c r="G948" t="s">
        <v>91</v>
      </c>
      <c r="H948" t="s">
        <v>109</v>
      </c>
      <c r="I948" t="s">
        <v>126</v>
      </c>
      <c r="J948" t="s">
        <v>127</v>
      </c>
      <c r="K948" t="s">
        <v>95</v>
      </c>
      <c r="L948">
        <v>5</v>
      </c>
      <c r="M948">
        <v>600</v>
      </c>
      <c r="N948">
        <v>0</v>
      </c>
      <c r="O948">
        <v>3000</v>
      </c>
      <c r="P948">
        <v>1142.5899999999999</v>
      </c>
      <c r="Q948" t="s">
        <v>28</v>
      </c>
      <c r="R948" t="s">
        <v>49</v>
      </c>
      <c r="S948" t="s">
        <v>30</v>
      </c>
    </row>
    <row r="949" spans="1:19" x14ac:dyDescent="0.3">
      <c r="A949" t="s">
        <v>1877</v>
      </c>
      <c r="B949" s="1">
        <v>45502</v>
      </c>
      <c r="C949" s="1">
        <v>45508</v>
      </c>
      <c r="D949" t="s">
        <v>265</v>
      </c>
      <c r="E949" t="s">
        <v>266</v>
      </c>
      <c r="F949" t="s">
        <v>55</v>
      </c>
      <c r="G949" t="s">
        <v>44</v>
      </c>
      <c r="H949" t="s">
        <v>45</v>
      </c>
      <c r="I949" t="s">
        <v>25</v>
      </c>
      <c r="J949" t="s">
        <v>26</v>
      </c>
      <c r="K949" t="s">
        <v>27</v>
      </c>
      <c r="L949">
        <v>4</v>
      </c>
      <c r="M949">
        <v>7000</v>
      </c>
      <c r="N949">
        <v>5</v>
      </c>
      <c r="O949">
        <v>26600</v>
      </c>
      <c r="P949">
        <v>5118.51</v>
      </c>
      <c r="Q949" t="s">
        <v>74</v>
      </c>
      <c r="R949" t="s">
        <v>29</v>
      </c>
      <c r="S949" t="s">
        <v>30</v>
      </c>
    </row>
    <row r="950" spans="1:19" x14ac:dyDescent="0.3">
      <c r="A950" t="s">
        <v>1878</v>
      </c>
      <c r="B950" s="1">
        <v>45881</v>
      </c>
      <c r="C950" s="1">
        <v>45882</v>
      </c>
      <c r="D950" t="s">
        <v>275</v>
      </c>
      <c r="E950" t="s">
        <v>276</v>
      </c>
      <c r="F950" t="s">
        <v>34</v>
      </c>
      <c r="G950" t="s">
        <v>91</v>
      </c>
      <c r="H950" t="s">
        <v>120</v>
      </c>
      <c r="I950" t="s">
        <v>71</v>
      </c>
      <c r="J950" t="s">
        <v>72</v>
      </c>
      <c r="K950" t="s">
        <v>73</v>
      </c>
      <c r="L950">
        <v>1</v>
      </c>
      <c r="M950">
        <v>3500</v>
      </c>
      <c r="N950">
        <v>0</v>
      </c>
      <c r="O950">
        <v>3500</v>
      </c>
      <c r="P950">
        <v>856.96</v>
      </c>
      <c r="Q950" t="s">
        <v>121</v>
      </c>
      <c r="R950" t="s">
        <v>49</v>
      </c>
      <c r="S950" t="s">
        <v>30</v>
      </c>
    </row>
    <row r="951" spans="1:19" x14ac:dyDescent="0.3">
      <c r="A951" t="s">
        <v>1879</v>
      </c>
      <c r="B951" s="1">
        <v>45505</v>
      </c>
      <c r="C951" s="1">
        <v>45330</v>
      </c>
      <c r="D951" t="s">
        <v>142</v>
      </c>
      <c r="E951" t="s">
        <v>143</v>
      </c>
      <c r="F951" t="s">
        <v>34</v>
      </c>
      <c r="G951" t="s">
        <v>44</v>
      </c>
      <c r="H951" t="s">
        <v>24</v>
      </c>
      <c r="I951" t="s">
        <v>114</v>
      </c>
      <c r="J951" t="s">
        <v>115</v>
      </c>
      <c r="K951" t="s">
        <v>65</v>
      </c>
      <c r="L951">
        <v>3</v>
      </c>
      <c r="M951">
        <v>55000</v>
      </c>
      <c r="N951">
        <v>20</v>
      </c>
      <c r="O951">
        <v>132000</v>
      </c>
      <c r="P951">
        <v>17391.91</v>
      </c>
      <c r="Q951" t="s">
        <v>74</v>
      </c>
      <c r="R951" t="s">
        <v>56</v>
      </c>
      <c r="S951" t="s">
        <v>30</v>
      </c>
    </row>
    <row r="952" spans="1:19" x14ac:dyDescent="0.3">
      <c r="A952" t="s">
        <v>1880</v>
      </c>
      <c r="B952" s="1">
        <v>45985</v>
      </c>
      <c r="C952" s="1">
        <v>45993</v>
      </c>
      <c r="D952" t="s">
        <v>822</v>
      </c>
      <c r="E952" t="s">
        <v>823</v>
      </c>
      <c r="F952" t="s">
        <v>34</v>
      </c>
      <c r="G952" t="s">
        <v>35</v>
      </c>
      <c r="H952" t="s">
        <v>187</v>
      </c>
      <c r="I952" t="s">
        <v>147</v>
      </c>
      <c r="J952" t="s">
        <v>148</v>
      </c>
      <c r="K952" t="s">
        <v>48</v>
      </c>
      <c r="L952">
        <v>1</v>
      </c>
      <c r="M952">
        <v>250</v>
      </c>
      <c r="N952">
        <v>10</v>
      </c>
      <c r="O952">
        <v>225</v>
      </c>
      <c r="P952">
        <v>77.2</v>
      </c>
      <c r="Q952" t="s">
        <v>74</v>
      </c>
      <c r="R952" t="s">
        <v>56</v>
      </c>
      <c r="S952" t="s">
        <v>40</v>
      </c>
    </row>
    <row r="953" spans="1:19" x14ac:dyDescent="0.3">
      <c r="A953" t="s">
        <v>1881</v>
      </c>
      <c r="B953" s="1">
        <v>45423</v>
      </c>
      <c r="C953" s="2">
        <v>45425</v>
      </c>
      <c r="D953" t="s">
        <v>1442</v>
      </c>
      <c r="E953" t="s">
        <v>1443</v>
      </c>
      <c r="F953" t="s">
        <v>23</v>
      </c>
      <c r="G953" t="s">
        <v>61</v>
      </c>
      <c r="H953" t="s">
        <v>125</v>
      </c>
      <c r="I953" t="s">
        <v>71</v>
      </c>
      <c r="J953" t="s">
        <v>72</v>
      </c>
      <c r="K953" t="s">
        <v>73</v>
      </c>
      <c r="L953">
        <v>2</v>
      </c>
      <c r="M953">
        <v>3500</v>
      </c>
      <c r="N953">
        <v>20</v>
      </c>
      <c r="O953">
        <v>5600</v>
      </c>
      <c r="P953">
        <v>1713.74</v>
      </c>
      <c r="Q953" t="s">
        <v>156</v>
      </c>
      <c r="R953" t="s">
        <v>29</v>
      </c>
      <c r="S953" t="s">
        <v>50</v>
      </c>
    </row>
    <row r="954" spans="1:19" x14ac:dyDescent="0.3">
      <c r="A954" t="s">
        <v>1882</v>
      </c>
      <c r="B954" t="s">
        <v>417</v>
      </c>
      <c r="C954" s="2">
        <v>46024</v>
      </c>
      <c r="D954" t="s">
        <v>575</v>
      </c>
      <c r="E954" t="s">
        <v>836</v>
      </c>
      <c r="F954" t="s">
        <v>34</v>
      </c>
      <c r="G954" t="s">
        <v>91</v>
      </c>
      <c r="H954" t="s">
        <v>120</v>
      </c>
      <c r="I954" t="s">
        <v>114</v>
      </c>
      <c r="J954" t="s">
        <v>115</v>
      </c>
      <c r="K954" t="s">
        <v>65</v>
      </c>
      <c r="L954">
        <v>3</v>
      </c>
      <c r="M954">
        <v>55000</v>
      </c>
      <c r="N954">
        <v>15</v>
      </c>
      <c r="O954">
        <v>140250</v>
      </c>
      <c r="P954">
        <v>23159.61</v>
      </c>
      <c r="Q954" t="s">
        <v>28</v>
      </c>
      <c r="R954" t="s">
        <v>29</v>
      </c>
      <c r="S954" t="s">
        <v>110</v>
      </c>
    </row>
    <row r="955" spans="1:19" x14ac:dyDescent="0.3">
      <c r="A955" t="s">
        <v>1883</v>
      </c>
      <c r="B955" s="2">
        <v>45975</v>
      </c>
      <c r="C955" t="s">
        <v>1231</v>
      </c>
      <c r="D955" t="s">
        <v>1380</v>
      </c>
      <c r="E955" t="s">
        <v>1381</v>
      </c>
      <c r="F955" t="s">
        <v>55</v>
      </c>
      <c r="G955" t="s">
        <v>61</v>
      </c>
      <c r="H955" t="s">
        <v>78</v>
      </c>
      <c r="I955" t="s">
        <v>79</v>
      </c>
      <c r="J955" t="s">
        <v>80</v>
      </c>
      <c r="K955" t="s">
        <v>65</v>
      </c>
      <c r="L955">
        <v>3</v>
      </c>
      <c r="M955">
        <v>3000</v>
      </c>
      <c r="N955">
        <v>10</v>
      </c>
      <c r="O955">
        <v>8100</v>
      </c>
      <c r="Q955" t="s">
        <v>121</v>
      </c>
      <c r="R955" t="s">
        <v>29</v>
      </c>
      <c r="S955" t="s">
        <v>30</v>
      </c>
    </row>
    <row r="956" spans="1:19" x14ac:dyDescent="0.3">
      <c r="A956" t="s">
        <v>1884</v>
      </c>
      <c r="B956" s="2">
        <v>45574</v>
      </c>
      <c r="C956" s="1">
        <v>45575</v>
      </c>
      <c r="D956" t="s">
        <v>973</v>
      </c>
      <c r="E956" t="s">
        <v>974</v>
      </c>
      <c r="F956" t="s">
        <v>34</v>
      </c>
      <c r="G956" t="s">
        <v>91</v>
      </c>
      <c r="H956" t="s">
        <v>177</v>
      </c>
      <c r="I956" t="s">
        <v>46</v>
      </c>
      <c r="J956" t="s">
        <v>47</v>
      </c>
      <c r="K956" t="s">
        <v>48</v>
      </c>
      <c r="L956">
        <v>2</v>
      </c>
      <c r="M956">
        <v>180</v>
      </c>
      <c r="N956">
        <v>5</v>
      </c>
      <c r="O956">
        <v>342</v>
      </c>
      <c r="P956">
        <v>162.54</v>
      </c>
      <c r="R956" t="s">
        <v>49</v>
      </c>
      <c r="S956" t="s">
        <v>50</v>
      </c>
    </row>
    <row r="957" spans="1:19" x14ac:dyDescent="0.3">
      <c r="A957" t="s">
        <v>1885</v>
      </c>
      <c r="B957" s="1">
        <v>45878</v>
      </c>
      <c r="C957" s="1">
        <v>45882</v>
      </c>
      <c r="D957" t="s">
        <v>1886</v>
      </c>
      <c r="E957" t="s">
        <v>1887</v>
      </c>
      <c r="F957" t="s">
        <v>23</v>
      </c>
      <c r="G957" t="s">
        <v>91</v>
      </c>
      <c r="H957" t="s">
        <v>120</v>
      </c>
      <c r="I957" t="s">
        <v>134</v>
      </c>
      <c r="J957" t="s">
        <v>135</v>
      </c>
      <c r="K957" t="s">
        <v>27</v>
      </c>
      <c r="L957">
        <v>1</v>
      </c>
      <c r="M957">
        <v>6000</v>
      </c>
      <c r="N957">
        <v>5</v>
      </c>
      <c r="O957">
        <v>5700</v>
      </c>
      <c r="P957">
        <v>1302.53</v>
      </c>
      <c r="Q957" t="s">
        <v>66</v>
      </c>
      <c r="R957" t="s">
        <v>56</v>
      </c>
      <c r="S957" t="s">
        <v>30</v>
      </c>
    </row>
    <row r="958" spans="1:19" x14ac:dyDescent="0.3">
      <c r="A958" t="s">
        <v>1888</v>
      </c>
      <c r="B958" s="1">
        <v>45798</v>
      </c>
      <c r="C958" s="2">
        <v>45806</v>
      </c>
      <c r="D958" t="s">
        <v>1889</v>
      </c>
      <c r="E958" t="s">
        <v>1890</v>
      </c>
      <c r="F958" t="s">
        <v>55</v>
      </c>
      <c r="G958" t="s">
        <v>91</v>
      </c>
      <c r="H958" t="s">
        <v>120</v>
      </c>
      <c r="I958" t="s">
        <v>63</v>
      </c>
      <c r="J958" t="s">
        <v>64</v>
      </c>
      <c r="K958" t="s">
        <v>65</v>
      </c>
      <c r="L958">
        <v>1</v>
      </c>
      <c r="M958">
        <v>25000</v>
      </c>
      <c r="N958">
        <v>0</v>
      </c>
      <c r="O958">
        <v>25000</v>
      </c>
      <c r="P958">
        <v>3630.75</v>
      </c>
      <c r="Q958" t="s">
        <v>28</v>
      </c>
      <c r="R958" t="s">
        <v>29</v>
      </c>
      <c r="S958" t="s">
        <v>30</v>
      </c>
    </row>
    <row r="959" spans="1:19" x14ac:dyDescent="0.3">
      <c r="A959" t="s">
        <v>1891</v>
      </c>
      <c r="B959" s="1">
        <v>45516</v>
      </c>
      <c r="C959" s="1">
        <v>45517</v>
      </c>
      <c r="D959" t="s">
        <v>324</v>
      </c>
      <c r="E959" t="s">
        <v>325</v>
      </c>
      <c r="F959" t="s">
        <v>55</v>
      </c>
      <c r="G959" t="s">
        <v>91</v>
      </c>
      <c r="H959" t="s">
        <v>109</v>
      </c>
      <c r="I959" t="s">
        <v>93</v>
      </c>
      <c r="J959" t="s">
        <v>94</v>
      </c>
      <c r="K959" t="s">
        <v>95</v>
      </c>
      <c r="L959">
        <v>1</v>
      </c>
      <c r="M959">
        <v>1800</v>
      </c>
      <c r="N959">
        <v>20</v>
      </c>
      <c r="O959">
        <v>1440</v>
      </c>
      <c r="P959">
        <v>509.75</v>
      </c>
      <c r="Q959" t="s">
        <v>28</v>
      </c>
      <c r="R959" t="s">
        <v>56</v>
      </c>
      <c r="S959" t="s">
        <v>110</v>
      </c>
    </row>
    <row r="960" spans="1:19" x14ac:dyDescent="0.3">
      <c r="A960" t="s">
        <v>1892</v>
      </c>
      <c r="B960" s="1">
        <v>45955</v>
      </c>
      <c r="C960" t="s">
        <v>1893</v>
      </c>
      <c r="D960" t="s">
        <v>1343</v>
      </c>
      <c r="E960" t="s">
        <v>1344</v>
      </c>
      <c r="F960" t="s">
        <v>34</v>
      </c>
      <c r="G960" t="s">
        <v>91</v>
      </c>
      <c r="H960" t="s">
        <v>177</v>
      </c>
      <c r="I960" t="s">
        <v>103</v>
      </c>
      <c r="J960" t="s">
        <v>104</v>
      </c>
      <c r="K960" t="s">
        <v>65</v>
      </c>
      <c r="L960">
        <v>1</v>
      </c>
      <c r="M960">
        <v>8000</v>
      </c>
      <c r="N960">
        <v>15</v>
      </c>
      <c r="O960">
        <v>6800</v>
      </c>
      <c r="P960">
        <v>1234.54</v>
      </c>
      <c r="Q960" t="s">
        <v>66</v>
      </c>
      <c r="R960" t="s">
        <v>49</v>
      </c>
      <c r="S960" t="s">
        <v>50</v>
      </c>
    </row>
    <row r="961" spans="1:19" x14ac:dyDescent="0.3">
      <c r="A961" t="s">
        <v>1894</v>
      </c>
      <c r="B961" s="1">
        <v>45746</v>
      </c>
      <c r="C961" s="1">
        <v>45747</v>
      </c>
      <c r="D961" t="s">
        <v>453</v>
      </c>
      <c r="E961" t="s">
        <v>454</v>
      </c>
      <c r="F961" t="s">
        <v>55</v>
      </c>
      <c r="G961" t="s">
        <v>35</v>
      </c>
      <c r="H961" t="s">
        <v>187</v>
      </c>
      <c r="I961" t="s">
        <v>46</v>
      </c>
      <c r="J961" t="s">
        <v>47</v>
      </c>
      <c r="K961" t="s">
        <v>48</v>
      </c>
      <c r="L961">
        <v>1</v>
      </c>
      <c r="M961">
        <v>180</v>
      </c>
      <c r="N961">
        <v>0</v>
      </c>
      <c r="O961">
        <v>180</v>
      </c>
      <c r="P961">
        <v>71.95</v>
      </c>
      <c r="Q961" t="s">
        <v>66</v>
      </c>
      <c r="R961" t="s">
        <v>49</v>
      </c>
      <c r="S961" t="s">
        <v>86</v>
      </c>
    </row>
    <row r="962" spans="1:19" x14ac:dyDescent="0.3">
      <c r="A962" t="s">
        <v>1895</v>
      </c>
      <c r="B962" s="1">
        <v>45839</v>
      </c>
      <c r="C962" s="1">
        <v>45669</v>
      </c>
      <c r="D962" t="s">
        <v>244</v>
      </c>
      <c r="E962" t="s">
        <v>245</v>
      </c>
      <c r="F962" t="s">
        <v>23</v>
      </c>
      <c r="G962" t="s">
        <v>61</v>
      </c>
      <c r="H962" t="s">
        <v>62</v>
      </c>
      <c r="I962" t="s">
        <v>63</v>
      </c>
      <c r="J962" t="s">
        <v>64</v>
      </c>
      <c r="K962" t="s">
        <v>65</v>
      </c>
      <c r="L962">
        <v>1</v>
      </c>
      <c r="M962">
        <v>25000</v>
      </c>
      <c r="N962">
        <v>0</v>
      </c>
      <c r="O962">
        <v>25000</v>
      </c>
      <c r="P962">
        <v>2757.31</v>
      </c>
      <c r="Q962" t="s">
        <v>28</v>
      </c>
      <c r="R962" t="s">
        <v>29</v>
      </c>
      <c r="S962" t="s">
        <v>110</v>
      </c>
    </row>
    <row r="963" spans="1:19" x14ac:dyDescent="0.3">
      <c r="A963" t="s">
        <v>1896</v>
      </c>
      <c r="B963" s="1">
        <v>45972</v>
      </c>
      <c r="C963" t="s">
        <v>880</v>
      </c>
      <c r="D963" t="s">
        <v>896</v>
      </c>
      <c r="E963" t="s">
        <v>897</v>
      </c>
      <c r="F963" t="s">
        <v>55</v>
      </c>
      <c r="G963" t="s">
        <v>35</v>
      </c>
      <c r="H963" t="s">
        <v>258</v>
      </c>
      <c r="I963" t="s">
        <v>63</v>
      </c>
      <c r="J963" t="s">
        <v>64</v>
      </c>
      <c r="K963" t="s">
        <v>65</v>
      </c>
      <c r="L963">
        <v>1</v>
      </c>
      <c r="M963">
        <v>25000</v>
      </c>
      <c r="N963">
        <v>5</v>
      </c>
      <c r="O963">
        <v>23750</v>
      </c>
      <c r="P963">
        <v>3224.06</v>
      </c>
      <c r="Q963" t="s">
        <v>74</v>
      </c>
      <c r="R963" t="s">
        <v>56</v>
      </c>
      <c r="S963" t="s">
        <v>50</v>
      </c>
    </row>
    <row r="964" spans="1:19" x14ac:dyDescent="0.3">
      <c r="A964" t="s">
        <v>1897</v>
      </c>
      <c r="B964" s="1">
        <v>45352</v>
      </c>
      <c r="C964" s="2">
        <v>45358</v>
      </c>
      <c r="D964" t="s">
        <v>1643</v>
      </c>
      <c r="E964" t="s">
        <v>1644</v>
      </c>
      <c r="F964" t="s">
        <v>55</v>
      </c>
      <c r="G964" t="s">
        <v>91</v>
      </c>
      <c r="H964" t="s">
        <v>120</v>
      </c>
      <c r="I964" t="s">
        <v>37</v>
      </c>
      <c r="J964" t="s">
        <v>38</v>
      </c>
      <c r="K964" t="s">
        <v>27</v>
      </c>
      <c r="L964">
        <v>1</v>
      </c>
      <c r="M964">
        <v>9500</v>
      </c>
      <c r="N964">
        <v>10</v>
      </c>
      <c r="O964">
        <v>8550</v>
      </c>
      <c r="P964">
        <v>1755.67</v>
      </c>
      <c r="Q964" t="s">
        <v>156</v>
      </c>
      <c r="R964" t="s">
        <v>29</v>
      </c>
      <c r="S964" t="s">
        <v>50</v>
      </c>
    </row>
    <row r="965" spans="1:19" x14ac:dyDescent="0.3">
      <c r="A965" t="s">
        <v>1898</v>
      </c>
      <c r="B965" s="1">
        <v>45343</v>
      </c>
      <c r="C965" s="2">
        <v>45345</v>
      </c>
      <c r="D965" t="s">
        <v>774</v>
      </c>
      <c r="E965" t="s">
        <v>775</v>
      </c>
      <c r="F965" t="s">
        <v>55</v>
      </c>
      <c r="G965" t="s">
        <v>61</v>
      </c>
      <c r="I965" t="s">
        <v>71</v>
      </c>
      <c r="J965" t="s">
        <v>72</v>
      </c>
      <c r="K965" t="s">
        <v>73</v>
      </c>
      <c r="L965">
        <v>-5</v>
      </c>
      <c r="M965">
        <v>3500</v>
      </c>
      <c r="N965">
        <v>5</v>
      </c>
      <c r="O965">
        <v>16625</v>
      </c>
      <c r="P965">
        <v>5424.24</v>
      </c>
      <c r="Q965" t="s">
        <v>66</v>
      </c>
      <c r="R965" t="s">
        <v>56</v>
      </c>
      <c r="S965" t="s">
        <v>40</v>
      </c>
    </row>
    <row r="966" spans="1:19" x14ac:dyDescent="0.3">
      <c r="A966" t="s">
        <v>1899</v>
      </c>
      <c r="B966" s="2">
        <v>45341</v>
      </c>
      <c r="C966" s="2">
        <v>45348</v>
      </c>
      <c r="D966" t="s">
        <v>936</v>
      </c>
      <c r="E966" t="s">
        <v>937</v>
      </c>
      <c r="F966" t="s">
        <v>23</v>
      </c>
      <c r="G966" t="s">
        <v>44</v>
      </c>
      <c r="H966" t="s">
        <v>161</v>
      </c>
      <c r="I966" t="s">
        <v>37</v>
      </c>
      <c r="J966" t="s">
        <v>38</v>
      </c>
      <c r="K966" t="s">
        <v>27</v>
      </c>
      <c r="L966">
        <v>2</v>
      </c>
      <c r="M966">
        <v>9500</v>
      </c>
      <c r="N966">
        <v>10</v>
      </c>
      <c r="O966">
        <v>17100</v>
      </c>
      <c r="P966">
        <v>3187.2</v>
      </c>
      <c r="Q966" t="s">
        <v>74</v>
      </c>
      <c r="R966" t="s">
        <v>49</v>
      </c>
      <c r="S966" t="s">
        <v>30</v>
      </c>
    </row>
    <row r="967" spans="1:19" x14ac:dyDescent="0.3">
      <c r="A967" t="s">
        <v>1900</v>
      </c>
      <c r="B967" s="2">
        <v>45407</v>
      </c>
      <c r="C967" s="1">
        <v>45412</v>
      </c>
      <c r="D967" t="s">
        <v>138</v>
      </c>
      <c r="E967" t="s">
        <v>139</v>
      </c>
      <c r="F967" t="s">
        <v>55</v>
      </c>
      <c r="G967" t="s">
        <v>35</v>
      </c>
      <c r="H967" t="s">
        <v>36</v>
      </c>
      <c r="I967" t="s">
        <v>147</v>
      </c>
      <c r="J967" t="s">
        <v>148</v>
      </c>
      <c r="K967" t="s">
        <v>48</v>
      </c>
      <c r="L967">
        <v>1</v>
      </c>
      <c r="M967">
        <v>250</v>
      </c>
      <c r="N967">
        <v>5</v>
      </c>
      <c r="O967">
        <v>237.5</v>
      </c>
      <c r="P967">
        <v>98.64</v>
      </c>
      <c r="Q967" t="s">
        <v>74</v>
      </c>
      <c r="R967" t="s">
        <v>56</v>
      </c>
      <c r="S967" t="s">
        <v>40</v>
      </c>
    </row>
    <row r="968" spans="1:19" x14ac:dyDescent="0.3">
      <c r="A968" t="s">
        <v>1901</v>
      </c>
      <c r="B968" s="1">
        <v>45936</v>
      </c>
      <c r="C968" t="s">
        <v>1468</v>
      </c>
      <c r="D968" t="s">
        <v>602</v>
      </c>
      <c r="E968" t="s">
        <v>603</v>
      </c>
      <c r="F968" t="s">
        <v>34</v>
      </c>
      <c r="G968" t="s">
        <v>61</v>
      </c>
      <c r="H968" t="s">
        <v>125</v>
      </c>
      <c r="I968" t="s">
        <v>103</v>
      </c>
      <c r="J968" t="s">
        <v>104</v>
      </c>
      <c r="K968" t="s">
        <v>65</v>
      </c>
      <c r="L968">
        <v>2</v>
      </c>
      <c r="M968">
        <v>8000</v>
      </c>
      <c r="N968">
        <v>20</v>
      </c>
      <c r="O968">
        <v>12800</v>
      </c>
      <c r="P968">
        <v>3221.74</v>
      </c>
      <c r="Q968" t="s">
        <v>121</v>
      </c>
      <c r="R968" t="s">
        <v>29</v>
      </c>
      <c r="S968" t="s">
        <v>110</v>
      </c>
    </row>
    <row r="969" spans="1:19" x14ac:dyDescent="0.3">
      <c r="A969" t="s">
        <v>1902</v>
      </c>
      <c r="B969" s="1">
        <v>45415</v>
      </c>
      <c r="C969" s="2">
        <v>45360</v>
      </c>
      <c r="D969" t="s">
        <v>599</v>
      </c>
      <c r="E969" t="s">
        <v>600</v>
      </c>
      <c r="F969" t="s">
        <v>23</v>
      </c>
      <c r="G969" t="s">
        <v>44</v>
      </c>
      <c r="H969" t="s">
        <v>161</v>
      </c>
      <c r="I969" t="s">
        <v>46</v>
      </c>
      <c r="J969" t="s">
        <v>47</v>
      </c>
      <c r="K969" t="s">
        <v>48</v>
      </c>
      <c r="L969">
        <v>3</v>
      </c>
      <c r="M969">
        <v>180</v>
      </c>
      <c r="N969">
        <v>10</v>
      </c>
      <c r="O969">
        <v>486</v>
      </c>
      <c r="P969">
        <v>171.5</v>
      </c>
      <c r="Q969" t="s">
        <v>121</v>
      </c>
      <c r="R969" t="s">
        <v>56</v>
      </c>
      <c r="S969" t="s">
        <v>30</v>
      </c>
    </row>
    <row r="970" spans="1:19" x14ac:dyDescent="0.3">
      <c r="A970" t="s">
        <v>1903</v>
      </c>
      <c r="B970" s="2">
        <v>45296</v>
      </c>
      <c r="C970" s="1">
        <v>45303</v>
      </c>
      <c r="D970" t="s">
        <v>457</v>
      </c>
      <c r="E970" t="s">
        <v>458</v>
      </c>
      <c r="F970" t="s">
        <v>55</v>
      </c>
      <c r="G970" t="s">
        <v>44</v>
      </c>
      <c r="H970" t="s">
        <v>24</v>
      </c>
      <c r="I970" t="s">
        <v>147</v>
      </c>
      <c r="J970" t="s">
        <v>148</v>
      </c>
      <c r="K970" t="s">
        <v>48</v>
      </c>
      <c r="L970">
        <v>2</v>
      </c>
      <c r="M970">
        <v>250</v>
      </c>
      <c r="N970">
        <v>0</v>
      </c>
      <c r="O970">
        <v>500</v>
      </c>
      <c r="P970">
        <v>184.26</v>
      </c>
      <c r="Q970" t="s">
        <v>39</v>
      </c>
      <c r="R970" t="s">
        <v>49</v>
      </c>
      <c r="S970" t="s">
        <v>40</v>
      </c>
    </row>
    <row r="971" spans="1:19" x14ac:dyDescent="0.3">
      <c r="A971" t="s">
        <v>1904</v>
      </c>
      <c r="B971" s="1">
        <v>45587</v>
      </c>
      <c r="C971" s="1">
        <v>45590</v>
      </c>
      <c r="D971" t="s">
        <v>153</v>
      </c>
      <c r="E971" t="s">
        <v>154</v>
      </c>
      <c r="F971" t="s">
        <v>23</v>
      </c>
      <c r="G971" t="s">
        <v>44</v>
      </c>
      <c r="H971" t="s">
        <v>155</v>
      </c>
      <c r="I971" t="s">
        <v>134</v>
      </c>
      <c r="J971" t="s">
        <v>135</v>
      </c>
      <c r="K971" t="s">
        <v>27</v>
      </c>
      <c r="L971">
        <v>4</v>
      </c>
      <c r="M971">
        <v>6000</v>
      </c>
      <c r="N971">
        <v>20</v>
      </c>
      <c r="O971">
        <v>19200</v>
      </c>
      <c r="P971">
        <v>4080.88</v>
      </c>
      <c r="Q971" t="s">
        <v>156</v>
      </c>
      <c r="R971" t="s">
        <v>29</v>
      </c>
      <c r="S971" t="s">
        <v>30</v>
      </c>
    </row>
    <row r="972" spans="1:19" x14ac:dyDescent="0.3">
      <c r="A972" t="s">
        <v>1905</v>
      </c>
      <c r="B972" s="2">
        <v>45858</v>
      </c>
      <c r="C972" t="s">
        <v>1771</v>
      </c>
      <c r="D972" t="s">
        <v>936</v>
      </c>
      <c r="E972" t="s">
        <v>937</v>
      </c>
      <c r="F972" t="s">
        <v>23</v>
      </c>
      <c r="G972" t="s">
        <v>44</v>
      </c>
      <c r="I972" t="s">
        <v>134</v>
      </c>
      <c r="J972" t="s">
        <v>135</v>
      </c>
      <c r="K972" t="s">
        <v>27</v>
      </c>
      <c r="L972">
        <v>1</v>
      </c>
      <c r="M972">
        <v>6000</v>
      </c>
      <c r="N972">
        <v>0</v>
      </c>
      <c r="O972">
        <v>6000</v>
      </c>
      <c r="P972">
        <v>1052.08</v>
      </c>
      <c r="Q972" t="s">
        <v>39</v>
      </c>
      <c r="R972" t="s">
        <v>49</v>
      </c>
      <c r="S972" t="s">
        <v>30</v>
      </c>
    </row>
    <row r="973" spans="1:19" x14ac:dyDescent="0.3">
      <c r="A973" t="s">
        <v>1906</v>
      </c>
      <c r="B973" s="1">
        <v>45630</v>
      </c>
      <c r="C973" s="1">
        <v>45401</v>
      </c>
      <c r="D973" t="s">
        <v>132</v>
      </c>
      <c r="E973" t="s">
        <v>133</v>
      </c>
      <c r="F973" t="s">
        <v>23</v>
      </c>
      <c r="G973" t="s">
        <v>91</v>
      </c>
      <c r="H973" t="s">
        <v>120</v>
      </c>
      <c r="I973" t="s">
        <v>79</v>
      </c>
      <c r="J973" t="s">
        <v>80</v>
      </c>
      <c r="K973" t="s">
        <v>65</v>
      </c>
      <c r="L973">
        <v>1</v>
      </c>
      <c r="M973">
        <v>3000</v>
      </c>
      <c r="N973">
        <v>0</v>
      </c>
      <c r="O973">
        <v>3000</v>
      </c>
      <c r="P973">
        <v>914.34</v>
      </c>
      <c r="Q973" t="s">
        <v>156</v>
      </c>
      <c r="R973" t="s">
        <v>56</v>
      </c>
      <c r="S973" t="s">
        <v>50</v>
      </c>
    </row>
    <row r="974" spans="1:19" x14ac:dyDescent="0.3">
      <c r="A974" t="s">
        <v>1907</v>
      </c>
      <c r="B974" s="2">
        <v>45885</v>
      </c>
      <c r="C974" s="2">
        <v>45891</v>
      </c>
      <c r="D974" t="s">
        <v>406</v>
      </c>
      <c r="E974" t="s">
        <v>407</v>
      </c>
      <c r="F974" t="s">
        <v>55</v>
      </c>
      <c r="G974" t="s">
        <v>91</v>
      </c>
      <c r="H974" t="s">
        <v>120</v>
      </c>
      <c r="I974" t="s">
        <v>93</v>
      </c>
      <c r="J974" t="s">
        <v>94</v>
      </c>
      <c r="K974" t="s">
        <v>95</v>
      </c>
      <c r="L974">
        <v>2</v>
      </c>
      <c r="M974">
        <v>1800</v>
      </c>
      <c r="N974">
        <v>10</v>
      </c>
      <c r="O974">
        <v>3240</v>
      </c>
      <c r="P974">
        <v>1085.46</v>
      </c>
      <c r="Q974" t="s">
        <v>156</v>
      </c>
      <c r="R974" t="s">
        <v>49</v>
      </c>
      <c r="S974" t="s">
        <v>50</v>
      </c>
    </row>
    <row r="975" spans="1:19" x14ac:dyDescent="0.3">
      <c r="A975" t="s">
        <v>1908</v>
      </c>
      <c r="B975" s="1">
        <v>45690</v>
      </c>
      <c r="C975" s="1">
        <v>45698</v>
      </c>
      <c r="D975" t="s">
        <v>830</v>
      </c>
      <c r="E975" t="s">
        <v>831</v>
      </c>
      <c r="F975" t="s">
        <v>23</v>
      </c>
      <c r="G975" t="s">
        <v>61</v>
      </c>
      <c r="H975" t="s">
        <v>125</v>
      </c>
      <c r="I975" t="s">
        <v>71</v>
      </c>
      <c r="J975" t="s">
        <v>72</v>
      </c>
      <c r="K975" t="s">
        <v>73</v>
      </c>
      <c r="L975">
        <v>2</v>
      </c>
      <c r="M975">
        <v>3500</v>
      </c>
      <c r="N975">
        <v>0</v>
      </c>
      <c r="O975">
        <v>7000</v>
      </c>
      <c r="P975">
        <v>2077.69</v>
      </c>
      <c r="Q975" t="s">
        <v>156</v>
      </c>
      <c r="R975" t="s">
        <v>56</v>
      </c>
      <c r="S975" t="s">
        <v>40</v>
      </c>
    </row>
    <row r="976" spans="1:19" x14ac:dyDescent="0.3">
      <c r="A976" t="s">
        <v>1909</v>
      </c>
      <c r="B976" t="s">
        <v>512</v>
      </c>
      <c r="C976" s="1">
        <v>45324</v>
      </c>
      <c r="D976" t="s">
        <v>582</v>
      </c>
      <c r="E976" t="s">
        <v>583</v>
      </c>
      <c r="F976" t="s">
        <v>34</v>
      </c>
      <c r="G976" t="s">
        <v>61</v>
      </c>
      <c r="H976" t="s">
        <v>78</v>
      </c>
      <c r="I976" t="s">
        <v>93</v>
      </c>
      <c r="J976" t="s">
        <v>94</v>
      </c>
      <c r="K976" t="s">
        <v>95</v>
      </c>
      <c r="L976">
        <v>-2</v>
      </c>
      <c r="M976">
        <v>1800</v>
      </c>
      <c r="N976">
        <v>0</v>
      </c>
      <c r="O976">
        <v>3600</v>
      </c>
      <c r="P976">
        <v>916.05</v>
      </c>
      <c r="Q976" t="s">
        <v>156</v>
      </c>
      <c r="R976" t="s">
        <v>56</v>
      </c>
      <c r="S976" t="s">
        <v>50</v>
      </c>
    </row>
    <row r="977" spans="1:19" x14ac:dyDescent="0.3">
      <c r="A977" t="s">
        <v>1910</v>
      </c>
      <c r="B977" s="1">
        <v>45566</v>
      </c>
      <c r="C977" s="1">
        <v>45307</v>
      </c>
      <c r="D977" t="s">
        <v>206</v>
      </c>
      <c r="E977" t="s">
        <v>207</v>
      </c>
      <c r="F977" t="s">
        <v>55</v>
      </c>
      <c r="G977" t="s">
        <v>44</v>
      </c>
      <c r="H977" t="s">
        <v>24</v>
      </c>
      <c r="I977" t="s">
        <v>147</v>
      </c>
      <c r="J977" t="s">
        <v>148</v>
      </c>
      <c r="K977" t="s">
        <v>48</v>
      </c>
      <c r="L977">
        <v>1</v>
      </c>
      <c r="M977">
        <v>250</v>
      </c>
      <c r="N977">
        <v>0</v>
      </c>
      <c r="O977">
        <v>250</v>
      </c>
      <c r="P977">
        <v>100.34</v>
      </c>
      <c r="Q977" t="s">
        <v>121</v>
      </c>
      <c r="R977" t="s">
        <v>29</v>
      </c>
      <c r="S977" t="s">
        <v>40</v>
      </c>
    </row>
    <row r="978" spans="1:19" x14ac:dyDescent="0.3">
      <c r="A978" t="s">
        <v>1911</v>
      </c>
      <c r="B978" s="1">
        <v>45750</v>
      </c>
      <c r="C978" s="1">
        <v>45904</v>
      </c>
      <c r="D978" t="s">
        <v>145</v>
      </c>
      <c r="E978" t="s">
        <v>146</v>
      </c>
      <c r="F978" t="s">
        <v>34</v>
      </c>
      <c r="G978" t="s">
        <v>91</v>
      </c>
      <c r="H978" t="s">
        <v>92</v>
      </c>
      <c r="I978" t="s">
        <v>134</v>
      </c>
      <c r="J978" t="s">
        <v>135</v>
      </c>
      <c r="K978" t="s">
        <v>27</v>
      </c>
      <c r="L978">
        <v>5</v>
      </c>
      <c r="M978">
        <v>6000</v>
      </c>
      <c r="N978">
        <v>15</v>
      </c>
      <c r="O978">
        <v>25500</v>
      </c>
      <c r="P978">
        <v>5641.32</v>
      </c>
      <c r="Q978" t="s">
        <v>121</v>
      </c>
      <c r="R978" t="s">
        <v>49</v>
      </c>
      <c r="S978" t="s">
        <v>50</v>
      </c>
    </row>
    <row r="979" spans="1:19" x14ac:dyDescent="0.3">
      <c r="A979" t="s">
        <v>1912</v>
      </c>
      <c r="B979" s="2">
        <v>45514</v>
      </c>
      <c r="C979" t="s">
        <v>1913</v>
      </c>
      <c r="D979" t="s">
        <v>403</v>
      </c>
      <c r="E979" t="s">
        <v>404</v>
      </c>
      <c r="F979" t="s">
        <v>55</v>
      </c>
      <c r="G979" t="s">
        <v>35</v>
      </c>
      <c r="H979" t="s">
        <v>36</v>
      </c>
      <c r="I979" t="s">
        <v>25</v>
      </c>
      <c r="J979" t="s">
        <v>26</v>
      </c>
      <c r="K979" t="s">
        <v>27</v>
      </c>
      <c r="L979">
        <v>2</v>
      </c>
      <c r="M979">
        <v>7000</v>
      </c>
      <c r="N979">
        <v>0</v>
      </c>
      <c r="O979">
        <v>14000</v>
      </c>
      <c r="P979">
        <v>2171.23</v>
      </c>
      <c r="Q979" t="s">
        <v>74</v>
      </c>
      <c r="R979" t="s">
        <v>29</v>
      </c>
      <c r="S979" t="s">
        <v>30</v>
      </c>
    </row>
    <row r="980" spans="1:19" x14ac:dyDescent="0.3">
      <c r="A980" t="s">
        <v>1914</v>
      </c>
      <c r="B980" s="1">
        <v>45912</v>
      </c>
      <c r="C980" s="2">
        <v>46001</v>
      </c>
      <c r="D980" t="s">
        <v>89</v>
      </c>
      <c r="E980" t="s">
        <v>90</v>
      </c>
      <c r="F980" t="s">
        <v>23</v>
      </c>
      <c r="G980" t="s">
        <v>91</v>
      </c>
      <c r="H980" t="s">
        <v>92</v>
      </c>
      <c r="I980" t="s">
        <v>63</v>
      </c>
      <c r="J980" t="s">
        <v>64</v>
      </c>
      <c r="K980" t="s">
        <v>65</v>
      </c>
      <c r="L980">
        <v>1</v>
      </c>
      <c r="M980">
        <v>25000</v>
      </c>
      <c r="N980">
        <v>15</v>
      </c>
      <c r="O980">
        <v>21250</v>
      </c>
      <c r="P980">
        <v>2712.47</v>
      </c>
      <c r="Q980" t="s">
        <v>28</v>
      </c>
      <c r="R980" t="s">
        <v>49</v>
      </c>
      <c r="S980" t="s">
        <v>30</v>
      </c>
    </row>
    <row r="981" spans="1:19" x14ac:dyDescent="0.3">
      <c r="A981" t="s">
        <v>1915</v>
      </c>
      <c r="B981" t="s">
        <v>1916</v>
      </c>
      <c r="C981" s="1">
        <v>45532</v>
      </c>
      <c r="D981" t="s">
        <v>1482</v>
      </c>
      <c r="E981" t="s">
        <v>1483</v>
      </c>
      <c r="F981" t="s">
        <v>23</v>
      </c>
      <c r="G981" t="s">
        <v>44</v>
      </c>
      <c r="H981" t="s">
        <v>161</v>
      </c>
      <c r="I981" t="s">
        <v>93</v>
      </c>
      <c r="J981" t="s">
        <v>94</v>
      </c>
      <c r="K981" t="s">
        <v>95</v>
      </c>
      <c r="L981">
        <v>3</v>
      </c>
      <c r="M981">
        <v>1800</v>
      </c>
      <c r="N981">
        <v>10</v>
      </c>
      <c r="O981">
        <v>4860</v>
      </c>
      <c r="P981">
        <v>1517.6</v>
      </c>
      <c r="Q981" t="s">
        <v>121</v>
      </c>
      <c r="R981" t="s">
        <v>441</v>
      </c>
      <c r="S981" t="s">
        <v>50</v>
      </c>
    </row>
    <row r="982" spans="1:19" x14ac:dyDescent="0.3">
      <c r="A982" t="s">
        <v>1917</v>
      </c>
      <c r="B982" s="2">
        <v>45850</v>
      </c>
      <c r="D982" t="s">
        <v>159</v>
      </c>
      <c r="E982" t="s">
        <v>160</v>
      </c>
      <c r="F982" t="s">
        <v>34</v>
      </c>
      <c r="G982" t="s">
        <v>44</v>
      </c>
      <c r="H982" t="s">
        <v>161</v>
      </c>
      <c r="I982" t="s">
        <v>134</v>
      </c>
      <c r="J982" t="s">
        <v>135</v>
      </c>
      <c r="K982" t="s">
        <v>27</v>
      </c>
      <c r="L982">
        <v>1</v>
      </c>
      <c r="M982">
        <v>6000</v>
      </c>
      <c r="N982">
        <v>0</v>
      </c>
      <c r="O982">
        <v>6000</v>
      </c>
      <c r="P982">
        <v>1281.53</v>
      </c>
      <c r="Q982" t="s">
        <v>39</v>
      </c>
      <c r="R982" t="s">
        <v>49</v>
      </c>
      <c r="S982" t="s">
        <v>110</v>
      </c>
    </row>
    <row r="983" spans="1:19" x14ac:dyDescent="0.3">
      <c r="A983" t="s">
        <v>1918</v>
      </c>
      <c r="B983" s="1">
        <v>45957</v>
      </c>
      <c r="C983" s="1">
        <v>45960</v>
      </c>
      <c r="D983" t="s">
        <v>132</v>
      </c>
      <c r="E983" t="s">
        <v>133</v>
      </c>
      <c r="F983" t="s">
        <v>23</v>
      </c>
      <c r="G983" t="s">
        <v>91</v>
      </c>
      <c r="H983" t="s">
        <v>120</v>
      </c>
      <c r="I983" t="s">
        <v>46</v>
      </c>
      <c r="J983" t="s">
        <v>47</v>
      </c>
      <c r="K983" t="s">
        <v>48</v>
      </c>
      <c r="L983">
        <v>1</v>
      </c>
      <c r="M983">
        <v>180</v>
      </c>
      <c r="N983">
        <v>0</v>
      </c>
      <c r="O983">
        <v>180</v>
      </c>
      <c r="P983">
        <v>65.16</v>
      </c>
      <c r="Q983" t="s">
        <v>156</v>
      </c>
      <c r="R983" t="s">
        <v>56</v>
      </c>
      <c r="S983" t="s">
        <v>86</v>
      </c>
    </row>
    <row r="984" spans="1:19" x14ac:dyDescent="0.3">
      <c r="A984" t="s">
        <v>1919</v>
      </c>
      <c r="B984" s="1">
        <v>45418</v>
      </c>
      <c r="C984" s="1">
        <v>45423</v>
      </c>
      <c r="D984" t="s">
        <v>413</v>
      </c>
      <c r="E984" t="s">
        <v>414</v>
      </c>
      <c r="F984" t="s">
        <v>55</v>
      </c>
      <c r="G984" t="s">
        <v>91</v>
      </c>
      <c r="H984" t="s">
        <v>120</v>
      </c>
      <c r="I984" t="s">
        <v>46</v>
      </c>
      <c r="J984" t="s">
        <v>47</v>
      </c>
      <c r="K984" t="s">
        <v>48</v>
      </c>
      <c r="L984">
        <v>2</v>
      </c>
      <c r="M984">
        <v>180</v>
      </c>
      <c r="N984">
        <v>15</v>
      </c>
      <c r="O984">
        <v>306</v>
      </c>
      <c r="P984">
        <v>137.65</v>
      </c>
      <c r="Q984" t="s">
        <v>39</v>
      </c>
      <c r="R984" t="s">
        <v>49</v>
      </c>
      <c r="S984" t="s">
        <v>110</v>
      </c>
    </row>
    <row r="985" spans="1:19" x14ac:dyDescent="0.3">
      <c r="A985" t="s">
        <v>1920</v>
      </c>
      <c r="B985" t="s">
        <v>1771</v>
      </c>
      <c r="C985" s="2">
        <v>45861</v>
      </c>
      <c r="D985" t="s">
        <v>1100</v>
      </c>
      <c r="E985" t="s">
        <v>1101</v>
      </c>
      <c r="F985" t="s">
        <v>23</v>
      </c>
      <c r="G985" t="s">
        <v>44</v>
      </c>
      <c r="H985" t="s">
        <v>161</v>
      </c>
      <c r="I985" t="s">
        <v>63</v>
      </c>
      <c r="J985" t="s">
        <v>64</v>
      </c>
      <c r="K985" t="s">
        <v>65</v>
      </c>
      <c r="L985">
        <v>4</v>
      </c>
      <c r="M985">
        <v>25000</v>
      </c>
      <c r="N985">
        <v>0</v>
      </c>
      <c r="O985">
        <v>100000</v>
      </c>
      <c r="P985">
        <v>11262.69</v>
      </c>
      <c r="Q985" t="s">
        <v>28</v>
      </c>
      <c r="R985" t="s">
        <v>49</v>
      </c>
      <c r="S985" t="s">
        <v>86</v>
      </c>
    </row>
    <row r="986" spans="1:19" x14ac:dyDescent="0.3">
      <c r="A986" t="s">
        <v>1921</v>
      </c>
      <c r="B986" s="1">
        <v>46004</v>
      </c>
      <c r="C986" s="1">
        <v>46012</v>
      </c>
      <c r="D986" t="s">
        <v>336</v>
      </c>
      <c r="E986" t="s">
        <v>337</v>
      </c>
      <c r="F986" t="s">
        <v>34</v>
      </c>
      <c r="G986" t="s">
        <v>61</v>
      </c>
      <c r="H986" t="s">
        <v>211</v>
      </c>
      <c r="I986" t="s">
        <v>134</v>
      </c>
      <c r="J986" t="s">
        <v>135</v>
      </c>
      <c r="K986" t="s">
        <v>27</v>
      </c>
      <c r="L986">
        <v>3</v>
      </c>
      <c r="M986">
        <v>6000</v>
      </c>
      <c r="N986">
        <v>10</v>
      </c>
      <c r="O986">
        <v>16200</v>
      </c>
      <c r="P986">
        <v>2935.86</v>
      </c>
      <c r="Q986" t="s">
        <v>66</v>
      </c>
      <c r="R986" t="s">
        <v>56</v>
      </c>
      <c r="S986" t="s">
        <v>110</v>
      </c>
    </row>
    <row r="987" spans="1:19" x14ac:dyDescent="0.3">
      <c r="A987" t="s">
        <v>1922</v>
      </c>
      <c r="B987" t="s">
        <v>620</v>
      </c>
      <c r="C987" s="1">
        <v>45960</v>
      </c>
      <c r="D987" t="s">
        <v>392</v>
      </c>
      <c r="E987" t="s">
        <v>393</v>
      </c>
      <c r="F987" t="s">
        <v>55</v>
      </c>
      <c r="G987" t="s">
        <v>91</v>
      </c>
      <c r="H987" t="s">
        <v>92</v>
      </c>
      <c r="I987" t="s">
        <v>63</v>
      </c>
      <c r="J987" t="s">
        <v>64</v>
      </c>
      <c r="K987" t="s">
        <v>65</v>
      </c>
      <c r="L987">
        <v>2</v>
      </c>
      <c r="M987">
        <v>25000</v>
      </c>
      <c r="N987">
        <v>15</v>
      </c>
      <c r="O987">
        <v>42500</v>
      </c>
      <c r="P987">
        <v>6630.85</v>
      </c>
      <c r="Q987" t="s">
        <v>121</v>
      </c>
      <c r="R987" t="s">
        <v>49</v>
      </c>
      <c r="S987" t="s">
        <v>50</v>
      </c>
    </row>
    <row r="988" spans="1:19" x14ac:dyDescent="0.3">
      <c r="A988" t="s">
        <v>1923</v>
      </c>
      <c r="B988" s="2">
        <v>45746</v>
      </c>
      <c r="C988" s="2">
        <v>45751</v>
      </c>
      <c r="D988" t="s">
        <v>421</v>
      </c>
      <c r="E988" t="s">
        <v>422</v>
      </c>
      <c r="F988" t="s">
        <v>34</v>
      </c>
      <c r="G988" t="s">
        <v>61</v>
      </c>
      <c r="H988" t="s">
        <v>211</v>
      </c>
      <c r="I988" t="s">
        <v>114</v>
      </c>
      <c r="J988" t="s">
        <v>115</v>
      </c>
      <c r="K988" t="s">
        <v>65</v>
      </c>
      <c r="L988">
        <v>2</v>
      </c>
      <c r="M988">
        <v>55000</v>
      </c>
      <c r="N988">
        <v>0</v>
      </c>
      <c r="O988">
        <v>110000</v>
      </c>
      <c r="P988">
        <v>16348.75</v>
      </c>
      <c r="Q988" t="s">
        <v>121</v>
      </c>
      <c r="R988" t="s">
        <v>56</v>
      </c>
      <c r="S988" t="s">
        <v>40</v>
      </c>
    </row>
    <row r="989" spans="1:19" x14ac:dyDescent="0.3">
      <c r="A989" t="s">
        <v>1924</v>
      </c>
      <c r="B989" s="1">
        <v>46013</v>
      </c>
      <c r="C989" t="s">
        <v>1148</v>
      </c>
      <c r="D989" t="s">
        <v>1659</v>
      </c>
      <c r="E989" t="s">
        <v>1660</v>
      </c>
      <c r="F989" t="s">
        <v>34</v>
      </c>
      <c r="G989" t="s">
        <v>44</v>
      </c>
      <c r="H989" t="s">
        <v>24</v>
      </c>
      <c r="I989" t="s">
        <v>114</v>
      </c>
      <c r="J989" t="s">
        <v>115</v>
      </c>
      <c r="K989" t="s">
        <v>65</v>
      </c>
      <c r="M989">
        <v>55000</v>
      </c>
      <c r="N989">
        <v>0</v>
      </c>
      <c r="O989">
        <v>275000</v>
      </c>
      <c r="P989">
        <v>38324.379999999997</v>
      </c>
      <c r="Q989" t="s">
        <v>66</v>
      </c>
      <c r="R989" t="s">
        <v>49</v>
      </c>
      <c r="S989" t="s">
        <v>50</v>
      </c>
    </row>
    <row r="990" spans="1:19" x14ac:dyDescent="0.3">
      <c r="A990" t="s">
        <v>1925</v>
      </c>
      <c r="B990" s="1">
        <v>45620</v>
      </c>
      <c r="D990" t="s">
        <v>388</v>
      </c>
      <c r="E990" t="s">
        <v>389</v>
      </c>
      <c r="F990" t="s">
        <v>23</v>
      </c>
      <c r="G990" t="s">
        <v>44</v>
      </c>
      <c r="H990" t="s">
        <v>161</v>
      </c>
      <c r="I990" t="s">
        <v>79</v>
      </c>
      <c r="J990" t="s">
        <v>80</v>
      </c>
      <c r="K990" t="s">
        <v>65</v>
      </c>
      <c r="L990">
        <v>2</v>
      </c>
      <c r="M990">
        <v>3000</v>
      </c>
      <c r="N990">
        <v>0</v>
      </c>
      <c r="O990">
        <v>6000</v>
      </c>
      <c r="P990">
        <v>1971.99</v>
      </c>
      <c r="Q990" t="s">
        <v>121</v>
      </c>
      <c r="R990" t="s">
        <v>49</v>
      </c>
      <c r="S990" t="s">
        <v>30</v>
      </c>
    </row>
    <row r="991" spans="1:19" x14ac:dyDescent="0.3">
      <c r="A991" t="s">
        <v>1926</v>
      </c>
      <c r="B991" s="2">
        <v>45401</v>
      </c>
      <c r="C991" t="s">
        <v>1018</v>
      </c>
      <c r="D991" t="s">
        <v>1398</v>
      </c>
      <c r="E991" t="s">
        <v>1399</v>
      </c>
      <c r="F991" t="s">
        <v>34</v>
      </c>
      <c r="G991" t="s">
        <v>91</v>
      </c>
      <c r="H991" t="s">
        <v>92</v>
      </c>
      <c r="I991" t="s">
        <v>103</v>
      </c>
      <c r="J991" t="s">
        <v>104</v>
      </c>
      <c r="K991" t="s">
        <v>65</v>
      </c>
      <c r="L991">
        <v>1</v>
      </c>
      <c r="M991">
        <v>8000</v>
      </c>
      <c r="N991">
        <v>0</v>
      </c>
      <c r="O991">
        <v>8000</v>
      </c>
      <c r="P991">
        <v>1692.89</v>
      </c>
      <c r="Q991" t="s">
        <v>28</v>
      </c>
      <c r="R991" t="s">
        <v>49</v>
      </c>
      <c r="S991" t="s">
        <v>40</v>
      </c>
    </row>
    <row r="992" spans="1:19" x14ac:dyDescent="0.3">
      <c r="A992" t="s">
        <v>1927</v>
      </c>
      <c r="B992" s="1">
        <v>45393</v>
      </c>
      <c r="C992" s="1">
        <v>45396</v>
      </c>
      <c r="D992" t="s">
        <v>89</v>
      </c>
      <c r="E992" t="s">
        <v>90</v>
      </c>
      <c r="F992" t="s">
        <v>23</v>
      </c>
      <c r="G992" t="s">
        <v>91</v>
      </c>
      <c r="H992" t="s">
        <v>92</v>
      </c>
      <c r="I992" t="s">
        <v>114</v>
      </c>
      <c r="J992" t="s">
        <v>115</v>
      </c>
      <c r="K992" t="s">
        <v>65</v>
      </c>
      <c r="L992">
        <v>1</v>
      </c>
      <c r="M992">
        <v>55000</v>
      </c>
      <c r="N992">
        <v>15</v>
      </c>
      <c r="O992">
        <v>46750</v>
      </c>
      <c r="P992">
        <v>8351.1</v>
      </c>
      <c r="Q992" t="s">
        <v>156</v>
      </c>
      <c r="R992" t="s">
        <v>49</v>
      </c>
      <c r="S992" t="s">
        <v>110</v>
      </c>
    </row>
    <row r="993" spans="1:19" x14ac:dyDescent="0.3">
      <c r="A993" t="s">
        <v>1928</v>
      </c>
      <c r="B993" s="2">
        <v>45475</v>
      </c>
      <c r="C993" s="2">
        <v>45477</v>
      </c>
      <c r="D993" t="s">
        <v>321</v>
      </c>
      <c r="E993" t="s">
        <v>322</v>
      </c>
      <c r="F993" t="s">
        <v>34</v>
      </c>
      <c r="G993" t="s">
        <v>91</v>
      </c>
      <c r="H993" t="s">
        <v>109</v>
      </c>
      <c r="I993" t="s">
        <v>126</v>
      </c>
      <c r="J993" t="s">
        <v>127</v>
      </c>
      <c r="K993" t="s">
        <v>95</v>
      </c>
      <c r="L993">
        <v>2</v>
      </c>
      <c r="M993">
        <v>600</v>
      </c>
      <c r="N993">
        <v>10</v>
      </c>
      <c r="O993">
        <v>1080</v>
      </c>
      <c r="P993">
        <v>355.44</v>
      </c>
      <c r="Q993" t="s">
        <v>156</v>
      </c>
      <c r="R993" t="s">
        <v>56</v>
      </c>
      <c r="S993" t="s">
        <v>110</v>
      </c>
    </row>
    <row r="994" spans="1:19" x14ac:dyDescent="0.3">
      <c r="A994" t="s">
        <v>1929</v>
      </c>
      <c r="B994" s="2">
        <v>45611</v>
      </c>
      <c r="C994" s="2">
        <v>45619</v>
      </c>
      <c r="D994" t="s">
        <v>1346</v>
      </c>
      <c r="E994" t="s">
        <v>1930</v>
      </c>
      <c r="F994" t="s">
        <v>55</v>
      </c>
      <c r="G994" t="s">
        <v>44</v>
      </c>
      <c r="H994" t="s">
        <v>155</v>
      </c>
      <c r="I994" t="s">
        <v>93</v>
      </c>
      <c r="J994" t="s">
        <v>94</v>
      </c>
      <c r="K994" t="s">
        <v>95</v>
      </c>
      <c r="L994">
        <v>5</v>
      </c>
      <c r="M994">
        <v>1800</v>
      </c>
      <c r="N994">
        <v>10</v>
      </c>
      <c r="O994">
        <v>8100</v>
      </c>
      <c r="P994">
        <v>2867.35</v>
      </c>
      <c r="Q994" t="s">
        <v>28</v>
      </c>
      <c r="R994" t="s">
        <v>56</v>
      </c>
      <c r="S994" t="s">
        <v>30</v>
      </c>
    </row>
    <row r="995" spans="1:19" x14ac:dyDescent="0.3">
      <c r="A995" t="s">
        <v>1931</v>
      </c>
      <c r="B995" s="2">
        <v>45673</v>
      </c>
      <c r="C995" s="2">
        <v>45674</v>
      </c>
      <c r="D995" t="s">
        <v>1171</v>
      </c>
      <c r="E995" t="s">
        <v>1172</v>
      </c>
      <c r="F995" t="s">
        <v>34</v>
      </c>
      <c r="G995" t="s">
        <v>35</v>
      </c>
      <c r="H995" t="s">
        <v>85</v>
      </c>
      <c r="I995" t="s">
        <v>126</v>
      </c>
      <c r="J995" t="s">
        <v>127</v>
      </c>
      <c r="K995" t="s">
        <v>95</v>
      </c>
      <c r="L995">
        <v>2</v>
      </c>
      <c r="M995">
        <v>600</v>
      </c>
      <c r="N995">
        <v>5</v>
      </c>
      <c r="O995">
        <v>1140</v>
      </c>
      <c r="P995">
        <v>433.15</v>
      </c>
      <c r="Q995" t="s">
        <v>74</v>
      </c>
      <c r="R995" t="s">
        <v>49</v>
      </c>
      <c r="S995" t="s">
        <v>86</v>
      </c>
    </row>
    <row r="996" spans="1:19" x14ac:dyDescent="0.3">
      <c r="A996" t="s">
        <v>1932</v>
      </c>
      <c r="B996" s="1">
        <v>45630</v>
      </c>
      <c r="C996" s="2">
        <v>45402</v>
      </c>
      <c r="D996" t="s">
        <v>838</v>
      </c>
      <c r="E996" t="s">
        <v>839</v>
      </c>
      <c r="F996" t="s">
        <v>23</v>
      </c>
      <c r="G996" t="s">
        <v>35</v>
      </c>
      <c r="H996" t="s">
        <v>258</v>
      </c>
      <c r="I996" t="s">
        <v>126</v>
      </c>
      <c r="J996" t="s">
        <v>127</v>
      </c>
      <c r="K996" t="s">
        <v>95</v>
      </c>
      <c r="L996">
        <v>1</v>
      </c>
      <c r="M996">
        <v>600</v>
      </c>
      <c r="N996">
        <v>0</v>
      </c>
      <c r="O996">
        <v>600</v>
      </c>
      <c r="P996">
        <v>187.53</v>
      </c>
      <c r="Q996" t="s">
        <v>39</v>
      </c>
      <c r="R996" t="s">
        <v>29</v>
      </c>
      <c r="S996" t="s">
        <v>86</v>
      </c>
    </row>
    <row r="997" spans="1:19" x14ac:dyDescent="0.3">
      <c r="A997" t="s">
        <v>1933</v>
      </c>
      <c r="B997" s="1">
        <v>45569</v>
      </c>
      <c r="C997" s="1">
        <v>45570</v>
      </c>
      <c r="D997" t="s">
        <v>625</v>
      </c>
      <c r="E997" t="s">
        <v>626</v>
      </c>
      <c r="F997" t="s">
        <v>34</v>
      </c>
      <c r="G997" t="s">
        <v>61</v>
      </c>
      <c r="H997" t="s">
        <v>211</v>
      </c>
      <c r="I997" t="s">
        <v>126</v>
      </c>
      <c r="J997" t="s">
        <v>127</v>
      </c>
      <c r="K997" t="s">
        <v>95</v>
      </c>
      <c r="L997">
        <v>2</v>
      </c>
      <c r="M997">
        <v>600</v>
      </c>
      <c r="N997">
        <v>0</v>
      </c>
      <c r="O997">
        <v>1200</v>
      </c>
      <c r="P997">
        <v>430.56</v>
      </c>
      <c r="Q997" t="s">
        <v>39</v>
      </c>
      <c r="R997" t="s">
        <v>29</v>
      </c>
      <c r="S997" t="s">
        <v>30</v>
      </c>
    </row>
    <row r="998" spans="1:19" x14ac:dyDescent="0.3">
      <c r="A998" t="s">
        <v>1934</v>
      </c>
      <c r="B998" s="1">
        <v>45861</v>
      </c>
      <c r="C998" s="1">
        <v>45862</v>
      </c>
      <c r="D998" t="s">
        <v>716</v>
      </c>
      <c r="E998" t="s">
        <v>717</v>
      </c>
      <c r="F998" t="s">
        <v>23</v>
      </c>
      <c r="G998" t="s">
        <v>35</v>
      </c>
      <c r="H998" t="s">
        <v>85</v>
      </c>
      <c r="I998" t="s">
        <v>37</v>
      </c>
      <c r="J998" t="s">
        <v>38</v>
      </c>
      <c r="K998" t="s">
        <v>27</v>
      </c>
      <c r="L998">
        <v>2</v>
      </c>
      <c r="M998">
        <v>9500</v>
      </c>
      <c r="N998">
        <v>5</v>
      </c>
      <c r="O998">
        <v>18050</v>
      </c>
      <c r="Q998" t="s">
        <v>121</v>
      </c>
      <c r="R998" t="s">
        <v>49</v>
      </c>
      <c r="S998" t="s">
        <v>110</v>
      </c>
    </row>
    <row r="999" spans="1:19" x14ac:dyDescent="0.3">
      <c r="A999" t="s">
        <v>1935</v>
      </c>
      <c r="B999" t="s">
        <v>1013</v>
      </c>
      <c r="C999" t="s">
        <v>1936</v>
      </c>
      <c r="D999" t="s">
        <v>200</v>
      </c>
      <c r="E999" t="s">
        <v>201</v>
      </c>
      <c r="F999" t="s">
        <v>23</v>
      </c>
      <c r="G999" t="s">
        <v>35</v>
      </c>
      <c r="H999" t="s">
        <v>187</v>
      </c>
      <c r="I999" t="s">
        <v>147</v>
      </c>
      <c r="J999" t="s">
        <v>148</v>
      </c>
      <c r="K999" t="s">
        <v>48</v>
      </c>
      <c r="L999">
        <v>1</v>
      </c>
      <c r="M999">
        <v>250</v>
      </c>
      <c r="N999">
        <v>0</v>
      </c>
      <c r="O999">
        <v>250</v>
      </c>
      <c r="P999">
        <v>77.62</v>
      </c>
      <c r="Q999" t="s">
        <v>74</v>
      </c>
      <c r="R999" t="s">
        <v>56</v>
      </c>
      <c r="S999" t="s">
        <v>30</v>
      </c>
    </row>
    <row r="1000" spans="1:19" x14ac:dyDescent="0.3">
      <c r="A1000" t="s">
        <v>1937</v>
      </c>
      <c r="B1000" s="1">
        <v>45685</v>
      </c>
      <c r="C1000" s="2">
        <v>45687</v>
      </c>
      <c r="D1000" t="s">
        <v>643</v>
      </c>
      <c r="E1000" t="s">
        <v>644</v>
      </c>
      <c r="F1000" t="s">
        <v>34</v>
      </c>
      <c r="G1000" t="s">
        <v>61</v>
      </c>
      <c r="H1000" t="s">
        <v>78</v>
      </c>
      <c r="I1000" t="s">
        <v>93</v>
      </c>
      <c r="J1000" t="s">
        <v>94</v>
      </c>
      <c r="K1000" t="s">
        <v>95</v>
      </c>
      <c r="L1000">
        <v>1</v>
      </c>
      <c r="M1000">
        <v>1800</v>
      </c>
      <c r="N1000">
        <v>0</v>
      </c>
      <c r="O1000">
        <v>1800</v>
      </c>
      <c r="P1000">
        <v>473.88</v>
      </c>
      <c r="Q1000" t="s">
        <v>66</v>
      </c>
      <c r="R1000" t="s">
        <v>56</v>
      </c>
      <c r="S1000" t="s">
        <v>50</v>
      </c>
    </row>
    <row r="1001" spans="1:19" x14ac:dyDescent="0.3">
      <c r="A1001" t="s">
        <v>1938</v>
      </c>
      <c r="B1001" s="2">
        <v>45997</v>
      </c>
      <c r="C1001" s="2">
        <v>46003</v>
      </c>
      <c r="D1001" t="s">
        <v>403</v>
      </c>
      <c r="E1001" t="s">
        <v>404</v>
      </c>
      <c r="F1001" t="s">
        <v>55</v>
      </c>
      <c r="G1001" t="s">
        <v>35</v>
      </c>
      <c r="H1001" t="s">
        <v>36</v>
      </c>
      <c r="I1001" t="s">
        <v>25</v>
      </c>
      <c r="J1001" t="s">
        <v>26</v>
      </c>
      <c r="K1001" t="s">
        <v>27</v>
      </c>
      <c r="L1001">
        <v>1</v>
      </c>
      <c r="M1001">
        <v>7000</v>
      </c>
      <c r="N1001">
        <v>0</v>
      </c>
      <c r="O1001">
        <v>7000</v>
      </c>
      <c r="P1001">
        <v>1440.42</v>
      </c>
      <c r="Q1001" t="s">
        <v>156</v>
      </c>
      <c r="R1001" t="s">
        <v>29</v>
      </c>
      <c r="S1001" t="s">
        <v>86</v>
      </c>
    </row>
    <row r="1002" spans="1:19" x14ac:dyDescent="0.3">
      <c r="A1002" t="s">
        <v>1939</v>
      </c>
      <c r="B1002" s="1">
        <v>45878</v>
      </c>
      <c r="C1002" s="1">
        <v>45915</v>
      </c>
      <c r="D1002" t="s">
        <v>670</v>
      </c>
      <c r="E1002" t="s">
        <v>1308</v>
      </c>
      <c r="F1002" t="s">
        <v>23</v>
      </c>
      <c r="G1002" t="s">
        <v>91</v>
      </c>
      <c r="H1002" t="s">
        <v>177</v>
      </c>
      <c r="I1002" t="s">
        <v>37</v>
      </c>
      <c r="J1002" t="s">
        <v>38</v>
      </c>
      <c r="K1002" t="s">
        <v>27</v>
      </c>
      <c r="L1002">
        <v>3</v>
      </c>
      <c r="M1002">
        <v>9500</v>
      </c>
      <c r="N1002">
        <v>0</v>
      </c>
      <c r="O1002">
        <v>28500</v>
      </c>
      <c r="P1002">
        <v>5497.33</v>
      </c>
      <c r="Q1002" t="s">
        <v>74</v>
      </c>
      <c r="R1002" t="s">
        <v>56</v>
      </c>
      <c r="S1002" t="s">
        <v>86</v>
      </c>
    </row>
    <row r="1003" spans="1:19" x14ac:dyDescent="0.3">
      <c r="A1003" t="s">
        <v>1940</v>
      </c>
      <c r="B1003" t="s">
        <v>624</v>
      </c>
      <c r="C1003" s="1">
        <v>45436</v>
      </c>
      <c r="D1003" t="s">
        <v>400</v>
      </c>
      <c r="E1003" t="s">
        <v>401</v>
      </c>
      <c r="F1003" t="s">
        <v>34</v>
      </c>
      <c r="G1003" t="s">
        <v>44</v>
      </c>
      <c r="H1003" t="s">
        <v>24</v>
      </c>
      <c r="I1003" t="s">
        <v>103</v>
      </c>
      <c r="J1003" t="s">
        <v>104</v>
      </c>
      <c r="K1003" t="s">
        <v>65</v>
      </c>
      <c r="L1003">
        <v>2</v>
      </c>
      <c r="M1003">
        <v>8000</v>
      </c>
      <c r="N1003">
        <v>20</v>
      </c>
      <c r="O1003">
        <v>12800</v>
      </c>
      <c r="P1003">
        <v>3447.25</v>
      </c>
      <c r="Q1003" t="s">
        <v>74</v>
      </c>
      <c r="R1003" t="s">
        <v>49</v>
      </c>
      <c r="S1003" t="s">
        <v>50</v>
      </c>
    </row>
    <row r="1004" spans="1:19" x14ac:dyDescent="0.3">
      <c r="A1004" t="s">
        <v>1941</v>
      </c>
      <c r="B1004" s="1">
        <v>45865</v>
      </c>
      <c r="C1004" s="1">
        <v>45873</v>
      </c>
      <c r="D1004" t="s">
        <v>395</v>
      </c>
      <c r="E1004" t="s">
        <v>396</v>
      </c>
      <c r="F1004" t="s">
        <v>55</v>
      </c>
      <c r="G1004" t="s">
        <v>44</v>
      </c>
      <c r="H1004" t="s">
        <v>161</v>
      </c>
      <c r="I1004" t="s">
        <v>103</v>
      </c>
      <c r="J1004" t="s">
        <v>104</v>
      </c>
      <c r="K1004" t="s">
        <v>65</v>
      </c>
      <c r="L1004">
        <v>1</v>
      </c>
      <c r="M1004">
        <v>8000</v>
      </c>
      <c r="N1004">
        <v>20</v>
      </c>
      <c r="O1004">
        <v>6400</v>
      </c>
      <c r="P1004">
        <v>1366.74</v>
      </c>
      <c r="Q1004" t="s">
        <v>74</v>
      </c>
      <c r="R1004" t="s">
        <v>49</v>
      </c>
      <c r="S1004" t="s">
        <v>40</v>
      </c>
    </row>
    <row r="1005" spans="1:19" x14ac:dyDescent="0.3">
      <c r="A1005" t="s">
        <v>1942</v>
      </c>
      <c r="B1005" s="1">
        <v>45601</v>
      </c>
      <c r="C1005" s="2">
        <v>45431</v>
      </c>
      <c r="D1005" t="s">
        <v>1028</v>
      </c>
      <c r="E1005" t="s">
        <v>1029</v>
      </c>
      <c r="F1005" t="s">
        <v>34</v>
      </c>
      <c r="G1005" t="s">
        <v>91</v>
      </c>
      <c r="H1005" t="s">
        <v>120</v>
      </c>
      <c r="I1005" t="s">
        <v>71</v>
      </c>
      <c r="J1005" t="s">
        <v>72</v>
      </c>
      <c r="K1005" t="s">
        <v>73</v>
      </c>
      <c r="L1005">
        <v>1</v>
      </c>
      <c r="M1005">
        <v>3500</v>
      </c>
      <c r="N1005">
        <v>5</v>
      </c>
      <c r="O1005">
        <v>3325</v>
      </c>
      <c r="P1005">
        <v>771.67</v>
      </c>
      <c r="Q1005" t="s">
        <v>74</v>
      </c>
      <c r="R1005" t="s">
        <v>49</v>
      </c>
      <c r="S1005" t="s">
        <v>50</v>
      </c>
    </row>
    <row r="1006" spans="1:19" x14ac:dyDescent="0.3">
      <c r="A1006" t="s">
        <v>1943</v>
      </c>
      <c r="B1006" s="2">
        <v>45314</v>
      </c>
      <c r="C1006" s="1">
        <v>45316</v>
      </c>
      <c r="D1006" t="s">
        <v>861</v>
      </c>
      <c r="E1006" t="s">
        <v>862</v>
      </c>
      <c r="F1006" t="s">
        <v>55</v>
      </c>
      <c r="G1006" t="s">
        <v>44</v>
      </c>
      <c r="H1006" t="s">
        <v>24</v>
      </c>
      <c r="I1006" t="s">
        <v>147</v>
      </c>
      <c r="J1006" t="s">
        <v>148</v>
      </c>
      <c r="K1006" t="s">
        <v>48</v>
      </c>
      <c r="L1006">
        <v>2</v>
      </c>
      <c r="M1006">
        <v>250</v>
      </c>
      <c r="N1006">
        <v>5</v>
      </c>
      <c r="O1006">
        <v>475</v>
      </c>
      <c r="P1006">
        <v>205.9</v>
      </c>
      <c r="Q1006" t="s">
        <v>121</v>
      </c>
      <c r="R1006" t="s">
        <v>56</v>
      </c>
      <c r="S1006" t="s">
        <v>30</v>
      </c>
    </row>
    <row r="1007" spans="1:19" x14ac:dyDescent="0.3">
      <c r="A1007" t="s">
        <v>1944</v>
      </c>
      <c r="B1007" s="1">
        <v>45498</v>
      </c>
      <c r="C1007" s="1">
        <v>45503</v>
      </c>
      <c r="D1007" t="s">
        <v>32</v>
      </c>
      <c r="E1007" t="s">
        <v>33</v>
      </c>
      <c r="F1007" t="s">
        <v>34</v>
      </c>
      <c r="G1007" t="s">
        <v>35</v>
      </c>
      <c r="H1007" t="s">
        <v>36</v>
      </c>
      <c r="I1007" t="s">
        <v>46</v>
      </c>
      <c r="J1007" t="s">
        <v>47</v>
      </c>
      <c r="K1007" t="s">
        <v>48</v>
      </c>
      <c r="L1007">
        <v>1</v>
      </c>
      <c r="M1007">
        <v>180</v>
      </c>
      <c r="N1007">
        <v>0</v>
      </c>
      <c r="O1007">
        <v>180</v>
      </c>
      <c r="P1007">
        <v>78.739999999999995</v>
      </c>
      <c r="Q1007" t="s">
        <v>39</v>
      </c>
      <c r="R1007" t="s">
        <v>49</v>
      </c>
      <c r="S1007" t="s">
        <v>40</v>
      </c>
    </row>
    <row r="1008" spans="1:19" x14ac:dyDescent="0.3">
      <c r="A1008" t="s">
        <v>1945</v>
      </c>
      <c r="B1008" t="s">
        <v>424</v>
      </c>
      <c r="C1008" s="2">
        <v>45718</v>
      </c>
      <c r="D1008" t="s">
        <v>1394</v>
      </c>
      <c r="E1008" t="s">
        <v>1395</v>
      </c>
      <c r="F1008" t="s">
        <v>55</v>
      </c>
      <c r="G1008" t="s">
        <v>61</v>
      </c>
      <c r="I1008" t="s">
        <v>46</v>
      </c>
      <c r="J1008" t="s">
        <v>47</v>
      </c>
      <c r="K1008" t="s">
        <v>48</v>
      </c>
      <c r="M1008">
        <v>180</v>
      </c>
      <c r="N1008">
        <v>15</v>
      </c>
      <c r="O1008">
        <v>459</v>
      </c>
      <c r="P1008">
        <v>160.66</v>
      </c>
      <c r="Q1008" t="s">
        <v>121</v>
      </c>
      <c r="R1008" t="s">
        <v>29</v>
      </c>
      <c r="S1008" t="s">
        <v>30</v>
      </c>
    </row>
    <row r="1009" spans="1:19" x14ac:dyDescent="0.3">
      <c r="A1009" t="s">
        <v>1946</v>
      </c>
      <c r="B1009" s="1">
        <v>45307</v>
      </c>
      <c r="C1009" s="1">
        <v>45308</v>
      </c>
      <c r="D1009" t="s">
        <v>592</v>
      </c>
      <c r="E1009" t="s">
        <v>593</v>
      </c>
      <c r="F1009" t="s">
        <v>55</v>
      </c>
      <c r="G1009" t="s">
        <v>35</v>
      </c>
      <c r="H1009" t="s">
        <v>258</v>
      </c>
      <c r="I1009" t="s">
        <v>63</v>
      </c>
      <c r="J1009" t="s">
        <v>64</v>
      </c>
      <c r="K1009" t="s">
        <v>105</v>
      </c>
      <c r="L1009">
        <v>1</v>
      </c>
      <c r="M1009">
        <v>25000</v>
      </c>
      <c r="N1009">
        <v>0</v>
      </c>
      <c r="O1009">
        <v>25000</v>
      </c>
      <c r="P1009">
        <v>3958.45</v>
      </c>
      <c r="R1009" t="s">
        <v>56</v>
      </c>
      <c r="S1009" t="s">
        <v>40</v>
      </c>
    </row>
    <row r="1010" spans="1:19" x14ac:dyDescent="0.3">
      <c r="A1010" t="s">
        <v>1947</v>
      </c>
      <c r="B1010" s="1">
        <v>45321</v>
      </c>
      <c r="C1010" s="1">
        <v>45324</v>
      </c>
      <c r="D1010" t="s">
        <v>740</v>
      </c>
      <c r="E1010" t="s">
        <v>741</v>
      </c>
      <c r="F1010" t="s">
        <v>55</v>
      </c>
      <c r="G1010" t="s">
        <v>35</v>
      </c>
      <c r="I1010" t="s">
        <v>37</v>
      </c>
      <c r="J1010" t="s">
        <v>38</v>
      </c>
      <c r="K1010" t="s">
        <v>27</v>
      </c>
      <c r="L1010">
        <v>4</v>
      </c>
      <c r="M1010">
        <v>9500</v>
      </c>
      <c r="N1010">
        <v>0</v>
      </c>
      <c r="O1010">
        <v>38000</v>
      </c>
      <c r="P1010">
        <v>7554.25</v>
      </c>
      <c r="Q1010" t="s">
        <v>28</v>
      </c>
      <c r="R1010" t="s">
        <v>29</v>
      </c>
      <c r="S1010" t="s">
        <v>40</v>
      </c>
    </row>
    <row r="1011" spans="1:19" x14ac:dyDescent="0.3">
      <c r="A1011" t="s">
        <v>1948</v>
      </c>
      <c r="B1011" s="1">
        <v>45865</v>
      </c>
      <c r="C1011" s="1">
        <v>45696</v>
      </c>
      <c r="D1011" t="s">
        <v>185</v>
      </c>
      <c r="E1011" t="s">
        <v>186</v>
      </c>
      <c r="F1011" t="s">
        <v>55</v>
      </c>
      <c r="G1011" t="s">
        <v>35</v>
      </c>
      <c r="H1011" t="s">
        <v>187</v>
      </c>
      <c r="I1011" t="s">
        <v>37</v>
      </c>
      <c r="J1011" t="s">
        <v>38</v>
      </c>
      <c r="K1011" t="s">
        <v>27</v>
      </c>
      <c r="L1011">
        <v>3</v>
      </c>
      <c r="M1011">
        <v>9500</v>
      </c>
      <c r="N1011">
        <v>10</v>
      </c>
      <c r="O1011">
        <v>25650</v>
      </c>
      <c r="P1011">
        <v>4561.87</v>
      </c>
      <c r="R1011" t="s">
        <v>49</v>
      </c>
      <c r="S1011" t="s">
        <v>86</v>
      </c>
    </row>
    <row r="1012" spans="1:19" x14ac:dyDescent="0.3">
      <c r="A1012" t="s">
        <v>1949</v>
      </c>
      <c r="B1012" s="1">
        <v>45838</v>
      </c>
      <c r="C1012" s="1">
        <v>45840</v>
      </c>
      <c r="D1012" t="s">
        <v>1950</v>
      </c>
      <c r="E1012" t="s">
        <v>1951</v>
      </c>
      <c r="F1012" t="s">
        <v>55</v>
      </c>
      <c r="G1012" t="s">
        <v>35</v>
      </c>
      <c r="H1012" t="s">
        <v>85</v>
      </c>
      <c r="I1012" t="s">
        <v>79</v>
      </c>
      <c r="J1012" t="s">
        <v>80</v>
      </c>
      <c r="K1012" t="s">
        <v>65</v>
      </c>
      <c r="L1012">
        <v>2</v>
      </c>
      <c r="M1012">
        <v>3000</v>
      </c>
      <c r="N1012">
        <v>0</v>
      </c>
      <c r="O1012">
        <v>6000</v>
      </c>
      <c r="P1012">
        <v>1324.59</v>
      </c>
      <c r="Q1012" t="s">
        <v>121</v>
      </c>
      <c r="R1012" t="s">
        <v>56</v>
      </c>
      <c r="S1012" t="s">
        <v>40</v>
      </c>
    </row>
    <row r="1013" spans="1:19" x14ac:dyDescent="0.3">
      <c r="A1013" t="s">
        <v>1952</v>
      </c>
      <c r="B1013" t="s">
        <v>1953</v>
      </c>
      <c r="C1013" t="s">
        <v>677</v>
      </c>
      <c r="D1013" t="s">
        <v>314</v>
      </c>
      <c r="E1013" t="s">
        <v>315</v>
      </c>
      <c r="F1013" t="s">
        <v>55</v>
      </c>
      <c r="G1013" t="s">
        <v>44</v>
      </c>
      <c r="H1013" t="s">
        <v>161</v>
      </c>
      <c r="I1013" t="s">
        <v>93</v>
      </c>
      <c r="J1013" t="s">
        <v>94</v>
      </c>
      <c r="K1013" t="s">
        <v>95</v>
      </c>
      <c r="L1013">
        <v>4</v>
      </c>
      <c r="M1013">
        <v>1800</v>
      </c>
      <c r="N1013">
        <v>15</v>
      </c>
      <c r="O1013">
        <v>6120</v>
      </c>
      <c r="P1013">
        <v>2122.64</v>
      </c>
      <c r="Q1013" t="s">
        <v>39</v>
      </c>
      <c r="R1013" t="s">
        <v>29</v>
      </c>
      <c r="S1013" t="s">
        <v>40</v>
      </c>
    </row>
    <row r="1014" spans="1:19" x14ac:dyDescent="0.3">
      <c r="A1014" t="s">
        <v>1954</v>
      </c>
      <c r="B1014" s="2">
        <v>45780</v>
      </c>
      <c r="C1014" s="2">
        <v>45786</v>
      </c>
      <c r="D1014" t="s">
        <v>1482</v>
      </c>
      <c r="E1014" t="s">
        <v>1483</v>
      </c>
      <c r="F1014" t="s">
        <v>23</v>
      </c>
      <c r="G1014" t="s">
        <v>44</v>
      </c>
      <c r="H1014" t="s">
        <v>161</v>
      </c>
      <c r="I1014" t="s">
        <v>126</v>
      </c>
      <c r="J1014" t="s">
        <v>127</v>
      </c>
      <c r="K1014" t="s">
        <v>95</v>
      </c>
      <c r="L1014">
        <v>3</v>
      </c>
      <c r="M1014">
        <v>600</v>
      </c>
      <c r="N1014">
        <v>0</v>
      </c>
      <c r="O1014">
        <v>1800</v>
      </c>
      <c r="P1014">
        <v>551.89</v>
      </c>
      <c r="Q1014" t="s">
        <v>121</v>
      </c>
      <c r="R1014" t="s">
        <v>56</v>
      </c>
      <c r="S1014" t="s">
        <v>86</v>
      </c>
    </row>
    <row r="1015" spans="1:19" x14ac:dyDescent="0.3">
      <c r="A1015" t="s">
        <v>1955</v>
      </c>
      <c r="B1015" s="2">
        <v>45884</v>
      </c>
      <c r="C1015" t="s">
        <v>1956</v>
      </c>
      <c r="D1015" t="s">
        <v>153</v>
      </c>
      <c r="E1015" t="s">
        <v>154</v>
      </c>
      <c r="F1015" t="s">
        <v>23</v>
      </c>
      <c r="G1015" t="s">
        <v>44</v>
      </c>
      <c r="H1015" t="s">
        <v>155</v>
      </c>
      <c r="I1015" t="s">
        <v>71</v>
      </c>
      <c r="J1015" t="s">
        <v>72</v>
      </c>
      <c r="K1015" t="s">
        <v>73</v>
      </c>
      <c r="L1015">
        <v>1</v>
      </c>
      <c r="M1015">
        <v>3500</v>
      </c>
      <c r="N1015">
        <v>20</v>
      </c>
      <c r="O1015">
        <v>2800</v>
      </c>
      <c r="P1015">
        <v>673.21</v>
      </c>
      <c r="Q1015" t="s">
        <v>156</v>
      </c>
      <c r="R1015" t="s">
        <v>56</v>
      </c>
      <c r="S1015" t="s">
        <v>40</v>
      </c>
    </row>
    <row r="1016" spans="1:19" x14ac:dyDescent="0.3">
      <c r="A1016" t="s">
        <v>1957</v>
      </c>
      <c r="B1016" s="2">
        <v>46016</v>
      </c>
      <c r="C1016" s="2">
        <v>46021</v>
      </c>
      <c r="D1016" t="s">
        <v>421</v>
      </c>
      <c r="E1016" t="s">
        <v>422</v>
      </c>
      <c r="F1016" t="s">
        <v>34</v>
      </c>
      <c r="G1016" t="s">
        <v>61</v>
      </c>
      <c r="H1016" t="s">
        <v>211</v>
      </c>
      <c r="I1016" t="s">
        <v>114</v>
      </c>
      <c r="J1016" t="s">
        <v>115</v>
      </c>
      <c r="K1016" t="s">
        <v>65</v>
      </c>
      <c r="L1016">
        <v>1</v>
      </c>
      <c r="M1016">
        <v>55000</v>
      </c>
      <c r="N1016">
        <v>5</v>
      </c>
      <c r="O1016">
        <v>52250</v>
      </c>
      <c r="P1016">
        <v>10168.75</v>
      </c>
      <c r="Q1016" t="s">
        <v>121</v>
      </c>
      <c r="R1016" t="s">
        <v>49</v>
      </c>
      <c r="S1016" t="s">
        <v>50</v>
      </c>
    </row>
    <row r="1017" spans="1:19" x14ac:dyDescent="0.3">
      <c r="A1017" t="s">
        <v>1958</v>
      </c>
      <c r="B1017" t="s">
        <v>816</v>
      </c>
      <c r="C1017" t="s">
        <v>1762</v>
      </c>
      <c r="D1017" t="s">
        <v>793</v>
      </c>
      <c r="E1017" t="s">
        <v>794</v>
      </c>
      <c r="F1017" t="s">
        <v>23</v>
      </c>
      <c r="G1017" t="s">
        <v>91</v>
      </c>
      <c r="H1017" t="s">
        <v>92</v>
      </c>
      <c r="I1017" t="s">
        <v>126</v>
      </c>
      <c r="J1017" t="s">
        <v>127</v>
      </c>
      <c r="K1017" t="s">
        <v>95</v>
      </c>
      <c r="L1017">
        <v>4</v>
      </c>
      <c r="M1017">
        <v>600</v>
      </c>
      <c r="N1017">
        <v>10</v>
      </c>
      <c r="O1017">
        <v>2160</v>
      </c>
      <c r="P1017">
        <v>858.04</v>
      </c>
      <c r="Q1017" t="s">
        <v>28</v>
      </c>
      <c r="R1017" t="s">
        <v>56</v>
      </c>
      <c r="S1017" t="s">
        <v>30</v>
      </c>
    </row>
    <row r="1018" spans="1:19" x14ac:dyDescent="0.3">
      <c r="A1018" t="s">
        <v>1959</v>
      </c>
      <c r="B1018" s="2">
        <v>45494</v>
      </c>
      <c r="C1018" s="2">
        <v>45495</v>
      </c>
      <c r="D1018" t="s">
        <v>281</v>
      </c>
      <c r="E1018" t="s">
        <v>282</v>
      </c>
      <c r="F1018" t="s">
        <v>34</v>
      </c>
      <c r="G1018" t="s">
        <v>61</v>
      </c>
      <c r="H1018" t="s">
        <v>62</v>
      </c>
      <c r="I1018" t="s">
        <v>103</v>
      </c>
      <c r="J1018" t="s">
        <v>104</v>
      </c>
      <c r="K1018" t="s">
        <v>65</v>
      </c>
      <c r="L1018">
        <v>5</v>
      </c>
      <c r="M1018">
        <v>8000</v>
      </c>
      <c r="N1018">
        <v>15</v>
      </c>
      <c r="O1018">
        <v>34000</v>
      </c>
      <c r="P1018">
        <v>8430.92</v>
      </c>
      <c r="Q1018" t="s">
        <v>74</v>
      </c>
      <c r="R1018" t="s">
        <v>56</v>
      </c>
      <c r="S1018" t="s">
        <v>50</v>
      </c>
    </row>
    <row r="1019" spans="1:19" x14ac:dyDescent="0.3">
      <c r="A1019" t="s">
        <v>1960</v>
      </c>
      <c r="B1019" s="1">
        <v>45784</v>
      </c>
      <c r="C1019" s="1">
        <v>45790</v>
      </c>
      <c r="D1019" t="s">
        <v>328</v>
      </c>
      <c r="E1019" t="s">
        <v>329</v>
      </c>
      <c r="F1019" t="s">
        <v>23</v>
      </c>
      <c r="G1019" t="s">
        <v>44</v>
      </c>
      <c r="H1019" t="s">
        <v>330</v>
      </c>
      <c r="I1019" t="s">
        <v>63</v>
      </c>
      <c r="J1019" t="s">
        <v>64</v>
      </c>
      <c r="K1019" t="s">
        <v>65</v>
      </c>
      <c r="L1019">
        <v>2</v>
      </c>
      <c r="M1019">
        <v>25000</v>
      </c>
      <c r="N1019">
        <v>0</v>
      </c>
      <c r="O1019">
        <v>50000</v>
      </c>
      <c r="P1019">
        <v>5390.67</v>
      </c>
      <c r="Q1019" t="s">
        <v>39</v>
      </c>
      <c r="R1019" t="s">
        <v>29</v>
      </c>
      <c r="S1019" t="s">
        <v>110</v>
      </c>
    </row>
    <row r="1020" spans="1:19" x14ac:dyDescent="0.3">
      <c r="A1020" t="s">
        <v>1961</v>
      </c>
      <c r="B1020" s="2">
        <v>45829</v>
      </c>
      <c r="C1020" s="1">
        <v>45834</v>
      </c>
      <c r="D1020" t="s">
        <v>770</v>
      </c>
      <c r="E1020" t="s">
        <v>771</v>
      </c>
      <c r="F1020" t="s">
        <v>34</v>
      </c>
      <c r="G1020" t="s">
        <v>44</v>
      </c>
      <c r="H1020" t="s">
        <v>161</v>
      </c>
      <c r="I1020" t="s">
        <v>63</v>
      </c>
      <c r="J1020" t="s">
        <v>64</v>
      </c>
      <c r="K1020" t="s">
        <v>65</v>
      </c>
      <c r="L1020">
        <v>3</v>
      </c>
      <c r="M1020">
        <v>25000</v>
      </c>
      <c r="N1020">
        <v>10</v>
      </c>
      <c r="O1020">
        <v>67500</v>
      </c>
      <c r="P1020">
        <v>9236.1</v>
      </c>
      <c r="Q1020" t="s">
        <v>121</v>
      </c>
      <c r="R1020" t="s">
        <v>49</v>
      </c>
      <c r="S1020" t="s">
        <v>50</v>
      </c>
    </row>
    <row r="1021" spans="1:19" x14ac:dyDescent="0.3">
      <c r="A1021" t="s">
        <v>1962</v>
      </c>
      <c r="B1021" s="1">
        <v>45583</v>
      </c>
      <c r="C1021" s="1">
        <v>45584</v>
      </c>
      <c r="D1021" t="s">
        <v>483</v>
      </c>
      <c r="E1021" t="s">
        <v>484</v>
      </c>
      <c r="F1021" t="s">
        <v>55</v>
      </c>
      <c r="G1021" t="s">
        <v>61</v>
      </c>
      <c r="I1021" t="s">
        <v>147</v>
      </c>
      <c r="J1021" t="s">
        <v>148</v>
      </c>
      <c r="K1021" t="s">
        <v>48</v>
      </c>
      <c r="L1021">
        <v>10</v>
      </c>
      <c r="M1021">
        <v>250</v>
      </c>
      <c r="N1021">
        <v>0</v>
      </c>
      <c r="O1021">
        <v>2500</v>
      </c>
      <c r="P1021">
        <v>1058.33</v>
      </c>
      <c r="Q1021" t="s">
        <v>74</v>
      </c>
      <c r="R1021" t="s">
        <v>56</v>
      </c>
      <c r="S1021" t="s">
        <v>86</v>
      </c>
    </row>
    <row r="1022" spans="1:19" x14ac:dyDescent="0.3">
      <c r="A1022" t="s">
        <v>1963</v>
      </c>
      <c r="B1022" t="s">
        <v>1964</v>
      </c>
      <c r="C1022" s="1">
        <v>45525</v>
      </c>
      <c r="D1022" t="s">
        <v>1965</v>
      </c>
      <c r="E1022" t="s">
        <v>1966</v>
      </c>
      <c r="F1022" t="s">
        <v>23</v>
      </c>
      <c r="G1022" t="s">
        <v>61</v>
      </c>
      <c r="I1022" t="s">
        <v>79</v>
      </c>
      <c r="J1022" t="s">
        <v>80</v>
      </c>
      <c r="K1022" t="s">
        <v>65</v>
      </c>
      <c r="L1022">
        <v>4</v>
      </c>
      <c r="M1022">
        <v>3000</v>
      </c>
      <c r="N1022">
        <v>15</v>
      </c>
      <c r="O1022">
        <v>10200</v>
      </c>
      <c r="P1022">
        <v>3185.16</v>
      </c>
      <c r="Q1022" t="s">
        <v>156</v>
      </c>
      <c r="R1022" t="s">
        <v>49</v>
      </c>
      <c r="S1022" t="s">
        <v>86</v>
      </c>
    </row>
    <row r="1023" spans="1:19" x14ac:dyDescent="0.3">
      <c r="A1023" t="s">
        <v>1967</v>
      </c>
      <c r="B1023" s="1">
        <v>45473</v>
      </c>
      <c r="C1023" s="1">
        <v>45476</v>
      </c>
      <c r="D1023" t="s">
        <v>1028</v>
      </c>
      <c r="E1023" t="s">
        <v>1029</v>
      </c>
      <c r="F1023" t="s">
        <v>34</v>
      </c>
      <c r="G1023" t="s">
        <v>91</v>
      </c>
      <c r="H1023" t="s">
        <v>120</v>
      </c>
      <c r="I1023" t="s">
        <v>93</v>
      </c>
      <c r="J1023" t="s">
        <v>94</v>
      </c>
      <c r="K1023" t="s">
        <v>95</v>
      </c>
      <c r="L1023">
        <v>4</v>
      </c>
      <c r="M1023">
        <v>1800</v>
      </c>
      <c r="N1023">
        <v>15</v>
      </c>
      <c r="O1023">
        <v>6120</v>
      </c>
      <c r="P1023">
        <v>2224.23</v>
      </c>
      <c r="Q1023" t="s">
        <v>39</v>
      </c>
      <c r="R1023" t="s">
        <v>29</v>
      </c>
      <c r="S1023" t="s">
        <v>30</v>
      </c>
    </row>
    <row r="1024" spans="1:19" x14ac:dyDescent="0.3">
      <c r="A1024" t="s">
        <v>1968</v>
      </c>
      <c r="B1024" s="2">
        <v>45697</v>
      </c>
      <c r="C1024" s="1">
        <v>45705</v>
      </c>
      <c r="D1024" t="s">
        <v>761</v>
      </c>
      <c r="E1024" t="s">
        <v>762</v>
      </c>
      <c r="F1024" t="s">
        <v>23</v>
      </c>
      <c r="G1024" t="s">
        <v>44</v>
      </c>
      <c r="H1024" t="s">
        <v>330</v>
      </c>
      <c r="I1024" t="s">
        <v>114</v>
      </c>
      <c r="J1024" t="s">
        <v>115</v>
      </c>
      <c r="K1024" t="s">
        <v>65</v>
      </c>
      <c r="L1024">
        <v>4</v>
      </c>
      <c r="M1024">
        <v>55000</v>
      </c>
      <c r="N1024">
        <v>15</v>
      </c>
      <c r="O1024">
        <v>187000</v>
      </c>
      <c r="P1024">
        <v>36329.129999999997</v>
      </c>
      <c r="Q1024" t="s">
        <v>39</v>
      </c>
      <c r="R1024" t="s">
        <v>56</v>
      </c>
      <c r="S1024" t="s">
        <v>110</v>
      </c>
    </row>
    <row r="1025" spans="1:19" x14ac:dyDescent="0.3">
      <c r="A1025" t="s">
        <v>1969</v>
      </c>
      <c r="B1025" s="1">
        <v>45332</v>
      </c>
      <c r="C1025" s="2">
        <v>45337</v>
      </c>
      <c r="D1025" t="s">
        <v>1695</v>
      </c>
      <c r="E1025" t="s">
        <v>1696</v>
      </c>
      <c r="F1025" t="s">
        <v>34</v>
      </c>
      <c r="G1025" t="s">
        <v>35</v>
      </c>
      <c r="H1025" t="s">
        <v>85</v>
      </c>
      <c r="I1025" t="s">
        <v>134</v>
      </c>
      <c r="J1025" t="s">
        <v>135</v>
      </c>
      <c r="K1025" t="s">
        <v>27</v>
      </c>
      <c r="L1025">
        <v>2</v>
      </c>
      <c r="M1025">
        <v>6000</v>
      </c>
      <c r="N1025">
        <v>15</v>
      </c>
      <c r="O1025">
        <v>10200</v>
      </c>
      <c r="P1025">
        <v>2292.2800000000002</v>
      </c>
      <c r="Q1025" t="s">
        <v>39</v>
      </c>
      <c r="R1025" t="s">
        <v>49</v>
      </c>
      <c r="S1025" t="s">
        <v>86</v>
      </c>
    </row>
    <row r="1026" spans="1:19" x14ac:dyDescent="0.3">
      <c r="A1026" t="s">
        <v>1970</v>
      </c>
      <c r="B1026" s="1">
        <v>45516</v>
      </c>
      <c r="C1026" s="1">
        <v>45517</v>
      </c>
      <c r="D1026" t="s">
        <v>965</v>
      </c>
      <c r="E1026" t="s">
        <v>966</v>
      </c>
      <c r="F1026" t="s">
        <v>34</v>
      </c>
      <c r="G1026" t="s">
        <v>44</v>
      </c>
      <c r="H1026" t="s">
        <v>45</v>
      </c>
      <c r="I1026" t="s">
        <v>37</v>
      </c>
      <c r="J1026" t="s">
        <v>38</v>
      </c>
      <c r="K1026" t="s">
        <v>27</v>
      </c>
      <c r="L1026">
        <v>3</v>
      </c>
      <c r="M1026">
        <v>9500</v>
      </c>
      <c r="N1026">
        <v>0</v>
      </c>
      <c r="O1026">
        <v>28500</v>
      </c>
      <c r="P1026">
        <v>4430.22</v>
      </c>
      <c r="Q1026" t="s">
        <v>39</v>
      </c>
      <c r="R1026" t="s">
        <v>29</v>
      </c>
      <c r="S1026" t="s">
        <v>86</v>
      </c>
    </row>
    <row r="1027" spans="1:19" x14ac:dyDescent="0.3">
      <c r="A1027" t="s">
        <v>1971</v>
      </c>
      <c r="B1027" t="s">
        <v>778</v>
      </c>
      <c r="C1027" s="1">
        <v>45766</v>
      </c>
      <c r="D1027" t="s">
        <v>864</v>
      </c>
      <c r="E1027" t="s">
        <v>865</v>
      </c>
      <c r="F1027" t="s">
        <v>34</v>
      </c>
      <c r="G1027" t="s">
        <v>44</v>
      </c>
      <c r="I1027" t="s">
        <v>134</v>
      </c>
      <c r="J1027" t="s">
        <v>135</v>
      </c>
      <c r="K1027" t="s">
        <v>27</v>
      </c>
      <c r="L1027">
        <v>2</v>
      </c>
      <c r="M1027">
        <v>6000</v>
      </c>
      <c r="N1027">
        <v>20</v>
      </c>
      <c r="O1027">
        <v>9600</v>
      </c>
      <c r="P1027">
        <v>2293.79</v>
      </c>
      <c r="Q1027" t="s">
        <v>28</v>
      </c>
      <c r="R1027" t="s">
        <v>56</v>
      </c>
      <c r="S1027" t="s">
        <v>50</v>
      </c>
    </row>
    <row r="1028" spans="1:19" x14ac:dyDescent="0.3">
      <c r="A1028" t="s">
        <v>1972</v>
      </c>
      <c r="B1028" s="2">
        <v>45439</v>
      </c>
      <c r="C1028" s="1">
        <v>45441</v>
      </c>
      <c r="D1028" t="s">
        <v>509</v>
      </c>
      <c r="E1028" t="s">
        <v>510</v>
      </c>
      <c r="F1028" t="s">
        <v>23</v>
      </c>
      <c r="G1028" t="s">
        <v>91</v>
      </c>
      <c r="H1028" t="s">
        <v>120</v>
      </c>
      <c r="I1028" t="s">
        <v>114</v>
      </c>
      <c r="J1028" t="s">
        <v>115</v>
      </c>
      <c r="K1028" t="s">
        <v>65</v>
      </c>
      <c r="L1028">
        <v>2</v>
      </c>
      <c r="M1028">
        <v>55000</v>
      </c>
      <c r="N1028">
        <v>15</v>
      </c>
      <c r="O1028">
        <v>93500</v>
      </c>
      <c r="P1028">
        <v>18310.75</v>
      </c>
      <c r="Q1028" t="s">
        <v>28</v>
      </c>
      <c r="R1028" t="s">
        <v>49</v>
      </c>
      <c r="S1028" t="s">
        <v>110</v>
      </c>
    </row>
    <row r="1029" spans="1:19" x14ac:dyDescent="0.3">
      <c r="A1029" t="s">
        <v>1973</v>
      </c>
      <c r="B1029" s="1">
        <v>45981</v>
      </c>
      <c r="C1029" s="2">
        <v>45983</v>
      </c>
      <c r="D1029" t="s">
        <v>1532</v>
      </c>
      <c r="E1029" t="s">
        <v>1533</v>
      </c>
      <c r="F1029" t="s">
        <v>34</v>
      </c>
      <c r="G1029" t="s">
        <v>44</v>
      </c>
      <c r="H1029" t="s">
        <v>24</v>
      </c>
      <c r="I1029" t="s">
        <v>114</v>
      </c>
      <c r="J1029" t="s">
        <v>115</v>
      </c>
      <c r="K1029" t="s">
        <v>65</v>
      </c>
      <c r="L1029">
        <v>1</v>
      </c>
      <c r="M1029">
        <v>55000</v>
      </c>
      <c r="N1029">
        <v>5</v>
      </c>
      <c r="O1029">
        <v>52250</v>
      </c>
      <c r="P1029">
        <v>9415.68</v>
      </c>
      <c r="Q1029" t="s">
        <v>121</v>
      </c>
      <c r="R1029" t="s">
        <v>49</v>
      </c>
      <c r="S1029" t="s">
        <v>110</v>
      </c>
    </row>
    <row r="1030" spans="1:19" x14ac:dyDescent="0.3">
      <c r="A1030" t="s">
        <v>1974</v>
      </c>
      <c r="B1030" s="1">
        <v>45624</v>
      </c>
      <c r="C1030" s="2">
        <v>45630</v>
      </c>
      <c r="D1030" t="s">
        <v>1695</v>
      </c>
      <c r="E1030" t="s">
        <v>1696</v>
      </c>
      <c r="F1030" t="s">
        <v>34</v>
      </c>
      <c r="G1030" t="s">
        <v>35</v>
      </c>
      <c r="H1030" t="s">
        <v>85</v>
      </c>
      <c r="I1030" t="s">
        <v>103</v>
      </c>
      <c r="J1030" t="s">
        <v>104</v>
      </c>
      <c r="K1030" t="s">
        <v>65</v>
      </c>
      <c r="L1030">
        <v>1</v>
      </c>
      <c r="M1030">
        <v>8000</v>
      </c>
      <c r="N1030">
        <v>5</v>
      </c>
      <c r="O1030">
        <v>7600</v>
      </c>
      <c r="P1030">
        <v>1906.78</v>
      </c>
      <c r="R1030" t="s">
        <v>29</v>
      </c>
      <c r="S1030" t="s">
        <v>30</v>
      </c>
    </row>
    <row r="1031" spans="1:19" x14ac:dyDescent="0.3">
      <c r="A1031" t="s">
        <v>1975</v>
      </c>
      <c r="B1031" t="s">
        <v>1976</v>
      </c>
      <c r="C1031" s="1">
        <v>45653</v>
      </c>
      <c r="D1031" t="s">
        <v>1250</v>
      </c>
      <c r="E1031" t="s">
        <v>1977</v>
      </c>
      <c r="F1031" t="s">
        <v>55</v>
      </c>
      <c r="G1031" t="s">
        <v>35</v>
      </c>
      <c r="H1031" t="s">
        <v>258</v>
      </c>
      <c r="I1031" t="s">
        <v>46</v>
      </c>
      <c r="J1031" t="s">
        <v>47</v>
      </c>
      <c r="K1031" t="s">
        <v>48</v>
      </c>
      <c r="L1031">
        <v>5</v>
      </c>
      <c r="M1031">
        <v>180</v>
      </c>
      <c r="N1031">
        <v>20</v>
      </c>
      <c r="O1031">
        <v>720</v>
      </c>
      <c r="P1031">
        <v>342.55</v>
      </c>
      <c r="Q1031" t="s">
        <v>39</v>
      </c>
      <c r="R1031" t="s">
        <v>29</v>
      </c>
      <c r="S1031" t="s">
        <v>86</v>
      </c>
    </row>
    <row r="1032" spans="1:19" x14ac:dyDescent="0.3">
      <c r="A1032" t="s">
        <v>1978</v>
      </c>
      <c r="B1032" s="2">
        <v>45378</v>
      </c>
      <c r="C1032" s="2">
        <v>45379</v>
      </c>
      <c r="D1032" t="s">
        <v>403</v>
      </c>
      <c r="E1032" t="s">
        <v>404</v>
      </c>
      <c r="F1032" t="s">
        <v>55</v>
      </c>
      <c r="G1032" t="s">
        <v>35</v>
      </c>
      <c r="H1032" t="s">
        <v>36</v>
      </c>
      <c r="I1032" t="s">
        <v>93</v>
      </c>
      <c r="J1032" t="s">
        <v>94</v>
      </c>
      <c r="K1032" t="s">
        <v>95</v>
      </c>
      <c r="L1032">
        <v>4</v>
      </c>
      <c r="M1032">
        <v>1800</v>
      </c>
      <c r="N1032">
        <v>0</v>
      </c>
      <c r="O1032">
        <v>7200</v>
      </c>
      <c r="P1032">
        <v>1922.67</v>
      </c>
      <c r="Q1032" t="s">
        <v>156</v>
      </c>
      <c r="R1032" t="s">
        <v>29</v>
      </c>
      <c r="S1032" t="s">
        <v>110</v>
      </c>
    </row>
    <row r="1033" spans="1:19" x14ac:dyDescent="0.3">
      <c r="A1033" t="s">
        <v>1979</v>
      </c>
      <c r="B1033" s="1">
        <v>45973</v>
      </c>
      <c r="C1033" s="1">
        <v>46003</v>
      </c>
      <c r="D1033" t="s">
        <v>1380</v>
      </c>
      <c r="E1033" t="s">
        <v>1381</v>
      </c>
      <c r="F1033" t="s">
        <v>55</v>
      </c>
      <c r="G1033" t="s">
        <v>61</v>
      </c>
      <c r="H1033" t="s">
        <v>78</v>
      </c>
      <c r="I1033" t="s">
        <v>93</v>
      </c>
      <c r="J1033" t="s">
        <v>94</v>
      </c>
      <c r="K1033" t="s">
        <v>95</v>
      </c>
      <c r="L1033">
        <v>1</v>
      </c>
      <c r="M1033">
        <v>1800</v>
      </c>
      <c r="N1033">
        <v>0</v>
      </c>
      <c r="O1033">
        <v>1800</v>
      </c>
      <c r="P1033">
        <v>500.27</v>
      </c>
      <c r="Q1033" t="s">
        <v>121</v>
      </c>
      <c r="R1033" t="s">
        <v>29</v>
      </c>
      <c r="S1033" t="s">
        <v>110</v>
      </c>
    </row>
    <row r="1034" spans="1:19" x14ac:dyDescent="0.3">
      <c r="A1034" t="s">
        <v>1980</v>
      </c>
      <c r="B1034" s="1">
        <v>45438</v>
      </c>
      <c r="C1034" s="1">
        <v>45442</v>
      </c>
      <c r="D1034" t="s">
        <v>324</v>
      </c>
      <c r="E1034" t="s">
        <v>325</v>
      </c>
      <c r="F1034" t="s">
        <v>55</v>
      </c>
      <c r="G1034" t="s">
        <v>91</v>
      </c>
      <c r="H1034" t="s">
        <v>109</v>
      </c>
      <c r="I1034" t="s">
        <v>79</v>
      </c>
      <c r="J1034" t="s">
        <v>80</v>
      </c>
      <c r="K1034" t="s">
        <v>65</v>
      </c>
      <c r="L1034">
        <v>1</v>
      </c>
      <c r="M1034">
        <v>3000</v>
      </c>
      <c r="N1034">
        <v>15</v>
      </c>
      <c r="O1034">
        <v>2550</v>
      </c>
      <c r="P1034">
        <v>805.51</v>
      </c>
      <c r="Q1034" t="s">
        <v>28</v>
      </c>
      <c r="R1034" t="s">
        <v>56</v>
      </c>
      <c r="S1034" t="s">
        <v>110</v>
      </c>
    </row>
    <row r="1035" spans="1:19" x14ac:dyDescent="0.3">
      <c r="A1035" t="s">
        <v>1981</v>
      </c>
      <c r="B1035" t="s">
        <v>1982</v>
      </c>
      <c r="C1035" s="1">
        <v>45744</v>
      </c>
      <c r="D1035" t="s">
        <v>301</v>
      </c>
      <c r="E1035" t="s">
        <v>302</v>
      </c>
      <c r="F1035" t="s">
        <v>34</v>
      </c>
      <c r="G1035" t="s">
        <v>44</v>
      </c>
      <c r="H1035" t="s">
        <v>24</v>
      </c>
      <c r="I1035" t="s">
        <v>147</v>
      </c>
      <c r="J1035" t="s">
        <v>148</v>
      </c>
      <c r="K1035" t="s">
        <v>48</v>
      </c>
      <c r="L1035">
        <v>1</v>
      </c>
      <c r="M1035">
        <v>250</v>
      </c>
      <c r="N1035">
        <v>0</v>
      </c>
      <c r="O1035">
        <v>250</v>
      </c>
      <c r="P1035">
        <v>106.4</v>
      </c>
      <c r="Q1035" t="s">
        <v>156</v>
      </c>
      <c r="R1035" t="s">
        <v>49</v>
      </c>
      <c r="S1035" t="s">
        <v>86</v>
      </c>
    </row>
    <row r="1036" spans="1:19" x14ac:dyDescent="0.3">
      <c r="A1036" t="s">
        <v>1983</v>
      </c>
      <c r="B1036" s="1">
        <v>45907</v>
      </c>
      <c r="C1036" s="1">
        <v>45848</v>
      </c>
      <c r="D1036" t="s">
        <v>175</v>
      </c>
      <c r="E1036" t="s">
        <v>1984</v>
      </c>
      <c r="F1036" t="s">
        <v>55</v>
      </c>
      <c r="G1036" t="s">
        <v>91</v>
      </c>
      <c r="H1036" t="s">
        <v>177</v>
      </c>
      <c r="I1036" t="s">
        <v>114</v>
      </c>
      <c r="J1036" t="s">
        <v>115</v>
      </c>
      <c r="K1036" t="s">
        <v>65</v>
      </c>
      <c r="L1036">
        <v>1</v>
      </c>
      <c r="M1036">
        <v>55000</v>
      </c>
      <c r="N1036">
        <v>0</v>
      </c>
      <c r="O1036">
        <v>55000</v>
      </c>
      <c r="P1036">
        <v>8343.27</v>
      </c>
      <c r="Q1036" t="s">
        <v>28</v>
      </c>
      <c r="R1036" t="s">
        <v>49</v>
      </c>
      <c r="S1036" t="s">
        <v>110</v>
      </c>
    </row>
    <row r="1037" spans="1:19" x14ac:dyDescent="0.3">
      <c r="A1037" t="s">
        <v>1985</v>
      </c>
      <c r="B1037" s="2">
        <v>45703</v>
      </c>
      <c r="C1037" t="s">
        <v>1986</v>
      </c>
      <c r="D1037" t="s">
        <v>1643</v>
      </c>
      <c r="E1037" t="s">
        <v>1644</v>
      </c>
      <c r="F1037" t="s">
        <v>55</v>
      </c>
      <c r="G1037" t="s">
        <v>91</v>
      </c>
      <c r="I1037" t="s">
        <v>126</v>
      </c>
      <c r="J1037" t="s">
        <v>127</v>
      </c>
      <c r="K1037" t="s">
        <v>95</v>
      </c>
      <c r="L1037">
        <v>3</v>
      </c>
      <c r="M1037">
        <v>600</v>
      </c>
      <c r="N1037">
        <v>10</v>
      </c>
      <c r="O1037">
        <v>1620</v>
      </c>
      <c r="P1037">
        <v>570.1</v>
      </c>
      <c r="Q1037" t="s">
        <v>66</v>
      </c>
      <c r="R1037" t="s">
        <v>49</v>
      </c>
      <c r="S1037" t="s">
        <v>30</v>
      </c>
    </row>
    <row r="1038" spans="1:19" x14ac:dyDescent="0.3">
      <c r="A1038" t="s">
        <v>1987</v>
      </c>
      <c r="B1038" s="2">
        <v>45557</v>
      </c>
      <c r="C1038" s="1">
        <v>45562</v>
      </c>
      <c r="D1038" t="s">
        <v>138</v>
      </c>
      <c r="E1038" t="s">
        <v>139</v>
      </c>
      <c r="F1038" t="s">
        <v>55</v>
      </c>
      <c r="G1038" t="s">
        <v>35</v>
      </c>
      <c r="H1038" t="s">
        <v>36</v>
      </c>
      <c r="I1038" t="s">
        <v>79</v>
      </c>
      <c r="J1038" t="s">
        <v>80</v>
      </c>
      <c r="K1038" t="s">
        <v>65</v>
      </c>
      <c r="L1038">
        <v>5</v>
      </c>
      <c r="M1038">
        <v>3000</v>
      </c>
      <c r="N1038">
        <v>20</v>
      </c>
      <c r="O1038">
        <v>12000</v>
      </c>
      <c r="P1038">
        <v>2848.27</v>
      </c>
      <c r="Q1038" t="s">
        <v>121</v>
      </c>
      <c r="R1038" t="s">
        <v>56</v>
      </c>
      <c r="S1038" t="s">
        <v>86</v>
      </c>
    </row>
    <row r="1039" spans="1:19" x14ac:dyDescent="0.3">
      <c r="A1039" t="s">
        <v>1988</v>
      </c>
      <c r="B1039" t="s">
        <v>954</v>
      </c>
      <c r="D1039" t="s">
        <v>153</v>
      </c>
      <c r="E1039" t="s">
        <v>154</v>
      </c>
      <c r="F1039" t="s">
        <v>23</v>
      </c>
      <c r="G1039" t="s">
        <v>44</v>
      </c>
      <c r="H1039" t="s">
        <v>155</v>
      </c>
      <c r="I1039" t="s">
        <v>103</v>
      </c>
      <c r="J1039" t="s">
        <v>104</v>
      </c>
      <c r="K1039" t="s">
        <v>65</v>
      </c>
      <c r="L1039">
        <v>1</v>
      </c>
      <c r="M1039">
        <v>8000</v>
      </c>
      <c r="N1039">
        <v>10</v>
      </c>
      <c r="O1039">
        <v>7200</v>
      </c>
      <c r="P1039">
        <v>1674.31</v>
      </c>
      <c r="Q1039" t="s">
        <v>156</v>
      </c>
      <c r="R1039" t="s">
        <v>29</v>
      </c>
      <c r="S1039" t="s">
        <v>86</v>
      </c>
    </row>
    <row r="1040" spans="1:19" x14ac:dyDescent="0.3">
      <c r="A1040" t="s">
        <v>1989</v>
      </c>
      <c r="B1040" s="2">
        <v>45405</v>
      </c>
      <c r="C1040" s="1">
        <v>45408</v>
      </c>
      <c r="D1040" t="s">
        <v>314</v>
      </c>
      <c r="E1040" t="s">
        <v>315</v>
      </c>
      <c r="F1040" t="s">
        <v>55</v>
      </c>
      <c r="G1040" t="s">
        <v>44</v>
      </c>
      <c r="H1040" t="s">
        <v>161</v>
      </c>
      <c r="I1040" t="s">
        <v>126</v>
      </c>
      <c r="J1040" t="s">
        <v>127</v>
      </c>
      <c r="K1040" t="s">
        <v>95</v>
      </c>
      <c r="L1040">
        <v>4</v>
      </c>
      <c r="M1040">
        <v>600</v>
      </c>
      <c r="N1040">
        <v>20</v>
      </c>
      <c r="O1040">
        <v>1920</v>
      </c>
      <c r="P1040">
        <v>607.39</v>
      </c>
      <c r="Q1040" t="s">
        <v>121</v>
      </c>
      <c r="R1040" t="s">
        <v>49</v>
      </c>
      <c r="S1040" t="s">
        <v>86</v>
      </c>
    </row>
    <row r="1041" spans="1:19" x14ac:dyDescent="0.3">
      <c r="A1041" t="s">
        <v>1990</v>
      </c>
      <c r="B1041" t="s">
        <v>158</v>
      </c>
      <c r="C1041" s="1">
        <v>45449</v>
      </c>
      <c r="D1041" t="s">
        <v>297</v>
      </c>
      <c r="E1041" t="s">
        <v>1110</v>
      </c>
      <c r="F1041" t="s">
        <v>23</v>
      </c>
      <c r="G1041" t="s">
        <v>91</v>
      </c>
      <c r="H1041" t="s">
        <v>177</v>
      </c>
      <c r="I1041" t="s">
        <v>134</v>
      </c>
      <c r="J1041" t="s">
        <v>135</v>
      </c>
      <c r="K1041" t="s">
        <v>27</v>
      </c>
      <c r="L1041">
        <v>1</v>
      </c>
      <c r="M1041">
        <v>6000</v>
      </c>
      <c r="N1041">
        <v>0</v>
      </c>
      <c r="O1041">
        <v>6000</v>
      </c>
      <c r="P1041">
        <v>1138.1099999999999</v>
      </c>
      <c r="Q1041" t="s">
        <v>156</v>
      </c>
      <c r="R1041" t="s">
        <v>56</v>
      </c>
      <c r="S1041" t="s">
        <v>86</v>
      </c>
    </row>
    <row r="1042" spans="1:19" x14ac:dyDescent="0.3">
      <c r="A1042" t="s">
        <v>1991</v>
      </c>
      <c r="B1042" s="1">
        <v>45400</v>
      </c>
      <c r="C1042" s="1">
        <v>45401</v>
      </c>
      <c r="D1042" t="s">
        <v>129</v>
      </c>
      <c r="E1042" t="s">
        <v>130</v>
      </c>
      <c r="F1042" t="s">
        <v>34</v>
      </c>
      <c r="G1042" t="s">
        <v>61</v>
      </c>
      <c r="H1042" t="s">
        <v>78</v>
      </c>
      <c r="I1042" t="s">
        <v>25</v>
      </c>
      <c r="J1042" t="s">
        <v>26</v>
      </c>
      <c r="K1042" t="s">
        <v>27</v>
      </c>
      <c r="L1042">
        <v>2</v>
      </c>
      <c r="M1042">
        <v>7000</v>
      </c>
      <c r="N1042">
        <v>0</v>
      </c>
      <c r="O1042">
        <v>14000</v>
      </c>
      <c r="P1042">
        <v>2382.4</v>
      </c>
      <c r="Q1042" t="s">
        <v>156</v>
      </c>
      <c r="R1042" t="s">
        <v>29</v>
      </c>
      <c r="S1042" t="s">
        <v>40</v>
      </c>
    </row>
    <row r="1043" spans="1:19" x14ac:dyDescent="0.3">
      <c r="A1043" t="s">
        <v>1992</v>
      </c>
      <c r="B1043" s="2">
        <v>45783</v>
      </c>
      <c r="C1043" s="1">
        <v>45789</v>
      </c>
      <c r="D1043" t="s">
        <v>192</v>
      </c>
      <c r="E1043" t="s">
        <v>193</v>
      </c>
      <c r="F1043" t="s">
        <v>55</v>
      </c>
      <c r="G1043" t="s">
        <v>35</v>
      </c>
      <c r="H1043" t="s">
        <v>36</v>
      </c>
      <c r="I1043" t="s">
        <v>37</v>
      </c>
      <c r="J1043" t="s">
        <v>38</v>
      </c>
      <c r="K1043" t="s">
        <v>27</v>
      </c>
      <c r="L1043">
        <v>1</v>
      </c>
      <c r="M1043">
        <v>9500</v>
      </c>
      <c r="N1043">
        <v>0</v>
      </c>
      <c r="O1043">
        <v>9500</v>
      </c>
      <c r="P1043">
        <v>1910.19</v>
      </c>
      <c r="Q1043" t="s">
        <v>39</v>
      </c>
      <c r="R1043" t="s">
        <v>56</v>
      </c>
      <c r="S1043" t="s">
        <v>50</v>
      </c>
    </row>
    <row r="1044" spans="1:19" x14ac:dyDescent="0.3">
      <c r="A1044" t="s">
        <v>1993</v>
      </c>
      <c r="B1044" t="s">
        <v>1994</v>
      </c>
      <c r="C1044" s="2">
        <v>45870</v>
      </c>
      <c r="D1044" t="s">
        <v>444</v>
      </c>
      <c r="E1044" t="s">
        <v>445</v>
      </c>
      <c r="F1044" t="s">
        <v>55</v>
      </c>
      <c r="G1044" t="s">
        <v>91</v>
      </c>
      <c r="H1044" t="s">
        <v>92</v>
      </c>
      <c r="I1044" t="s">
        <v>134</v>
      </c>
      <c r="J1044" t="s">
        <v>135</v>
      </c>
      <c r="K1044" t="s">
        <v>27</v>
      </c>
      <c r="L1044">
        <v>1</v>
      </c>
      <c r="M1044">
        <v>6000</v>
      </c>
      <c r="N1044">
        <v>0</v>
      </c>
      <c r="O1044">
        <v>6000</v>
      </c>
      <c r="P1044">
        <v>1530.82</v>
      </c>
      <c r="Q1044" t="s">
        <v>28</v>
      </c>
      <c r="R1044" t="s">
        <v>29</v>
      </c>
      <c r="S1044" t="s">
        <v>30</v>
      </c>
    </row>
    <row r="1045" spans="1:19" x14ac:dyDescent="0.3">
      <c r="A1045" t="s">
        <v>1995</v>
      </c>
      <c r="B1045" s="1">
        <v>45707</v>
      </c>
      <c r="C1045" s="1">
        <v>45711</v>
      </c>
      <c r="D1045" t="s">
        <v>311</v>
      </c>
      <c r="E1045" t="s">
        <v>312</v>
      </c>
      <c r="F1045" t="s">
        <v>34</v>
      </c>
      <c r="G1045" t="s">
        <v>61</v>
      </c>
      <c r="H1045" t="s">
        <v>78</v>
      </c>
      <c r="I1045" t="s">
        <v>37</v>
      </c>
      <c r="J1045" t="s">
        <v>38</v>
      </c>
      <c r="K1045" t="s">
        <v>27</v>
      </c>
      <c r="L1045">
        <v>2</v>
      </c>
      <c r="M1045">
        <v>9500</v>
      </c>
      <c r="N1045">
        <v>0</v>
      </c>
      <c r="O1045">
        <v>19000</v>
      </c>
      <c r="P1045">
        <v>2901.39</v>
      </c>
      <c r="Q1045" t="s">
        <v>66</v>
      </c>
      <c r="R1045" t="s">
        <v>49</v>
      </c>
      <c r="S1045" t="s">
        <v>50</v>
      </c>
    </row>
    <row r="1046" spans="1:19" x14ac:dyDescent="0.3">
      <c r="A1046" t="s">
        <v>1996</v>
      </c>
      <c r="B1046" s="1">
        <v>45759</v>
      </c>
      <c r="C1046" t="s">
        <v>1327</v>
      </c>
      <c r="D1046" t="s">
        <v>281</v>
      </c>
      <c r="E1046" t="s">
        <v>282</v>
      </c>
      <c r="F1046" t="s">
        <v>34</v>
      </c>
      <c r="G1046" t="s">
        <v>61</v>
      </c>
      <c r="H1046" t="s">
        <v>62</v>
      </c>
      <c r="I1046" t="s">
        <v>93</v>
      </c>
      <c r="J1046" t="s">
        <v>94</v>
      </c>
      <c r="K1046" t="s">
        <v>95</v>
      </c>
      <c r="M1046">
        <v>1800</v>
      </c>
      <c r="N1046">
        <v>15</v>
      </c>
      <c r="O1046">
        <v>3060</v>
      </c>
      <c r="P1046">
        <v>936.04</v>
      </c>
      <c r="Q1046" t="s">
        <v>28</v>
      </c>
      <c r="R1046" t="s">
        <v>29</v>
      </c>
      <c r="S1046" t="s">
        <v>110</v>
      </c>
    </row>
    <row r="1047" spans="1:19" x14ac:dyDescent="0.3">
      <c r="A1047" t="s">
        <v>1997</v>
      </c>
      <c r="B1047" s="1">
        <v>45510</v>
      </c>
      <c r="C1047" s="1">
        <v>45571</v>
      </c>
      <c r="D1047" t="s">
        <v>798</v>
      </c>
      <c r="E1047" t="s">
        <v>799</v>
      </c>
      <c r="F1047" t="s">
        <v>23</v>
      </c>
      <c r="G1047" t="s">
        <v>44</v>
      </c>
      <c r="H1047" t="s">
        <v>330</v>
      </c>
      <c r="I1047" t="s">
        <v>103</v>
      </c>
      <c r="J1047" t="s">
        <v>104</v>
      </c>
      <c r="K1047" t="s">
        <v>65</v>
      </c>
      <c r="L1047">
        <v>2</v>
      </c>
      <c r="M1047">
        <v>8000</v>
      </c>
      <c r="N1047">
        <v>5</v>
      </c>
      <c r="O1047">
        <v>15200</v>
      </c>
      <c r="P1047">
        <v>3551.38</v>
      </c>
      <c r="Q1047" t="s">
        <v>74</v>
      </c>
      <c r="R1047" t="s">
        <v>56</v>
      </c>
      <c r="S1047" t="s">
        <v>30</v>
      </c>
    </row>
    <row r="1048" spans="1:19" x14ac:dyDescent="0.3">
      <c r="A1048" t="s">
        <v>1998</v>
      </c>
      <c r="B1048" s="1">
        <v>45757</v>
      </c>
      <c r="C1048" s="2">
        <v>45762</v>
      </c>
      <c r="D1048" t="s">
        <v>716</v>
      </c>
      <c r="E1048" t="s">
        <v>717</v>
      </c>
      <c r="F1048" t="s">
        <v>23</v>
      </c>
      <c r="G1048" t="s">
        <v>35</v>
      </c>
      <c r="H1048" t="s">
        <v>85</v>
      </c>
      <c r="I1048" t="s">
        <v>147</v>
      </c>
      <c r="J1048" t="s">
        <v>148</v>
      </c>
      <c r="K1048" t="s">
        <v>48</v>
      </c>
      <c r="L1048">
        <v>5</v>
      </c>
      <c r="M1048">
        <v>250</v>
      </c>
      <c r="N1048">
        <v>10</v>
      </c>
      <c r="O1048">
        <v>1125</v>
      </c>
      <c r="P1048">
        <v>420.05</v>
      </c>
      <c r="Q1048" t="s">
        <v>39</v>
      </c>
      <c r="R1048" t="s">
        <v>56</v>
      </c>
      <c r="S1048" t="s">
        <v>30</v>
      </c>
    </row>
    <row r="1049" spans="1:19" x14ac:dyDescent="0.3">
      <c r="A1049" t="s">
        <v>1999</v>
      </c>
      <c r="B1049" s="1">
        <v>45627</v>
      </c>
      <c r="C1049" s="1">
        <v>45632</v>
      </c>
      <c r="D1049" t="s">
        <v>343</v>
      </c>
      <c r="E1049" t="s">
        <v>369</v>
      </c>
      <c r="F1049" t="s">
        <v>34</v>
      </c>
      <c r="G1049" t="s">
        <v>44</v>
      </c>
      <c r="H1049" t="s">
        <v>45</v>
      </c>
      <c r="I1049" t="s">
        <v>114</v>
      </c>
      <c r="J1049" t="s">
        <v>115</v>
      </c>
      <c r="K1049" t="s">
        <v>65</v>
      </c>
      <c r="L1049">
        <v>1</v>
      </c>
      <c r="M1049">
        <v>55000</v>
      </c>
      <c r="N1049">
        <v>15</v>
      </c>
      <c r="O1049">
        <v>46750</v>
      </c>
      <c r="P1049">
        <v>9054.0300000000007</v>
      </c>
      <c r="Q1049" t="s">
        <v>74</v>
      </c>
      <c r="R1049" t="s">
        <v>49</v>
      </c>
      <c r="S1049" t="s">
        <v>50</v>
      </c>
    </row>
    <row r="1050" spans="1:19" x14ac:dyDescent="0.3">
      <c r="A1050" t="s">
        <v>2000</v>
      </c>
      <c r="B1050" s="2">
        <v>45885</v>
      </c>
      <c r="C1050" s="1">
        <v>45886</v>
      </c>
      <c r="D1050" t="s">
        <v>1398</v>
      </c>
      <c r="E1050" t="s">
        <v>1399</v>
      </c>
      <c r="F1050" t="s">
        <v>34</v>
      </c>
      <c r="G1050" t="s">
        <v>91</v>
      </c>
      <c r="H1050" t="s">
        <v>92</v>
      </c>
      <c r="I1050" t="s">
        <v>134</v>
      </c>
      <c r="J1050" t="s">
        <v>135</v>
      </c>
      <c r="K1050" t="s">
        <v>27</v>
      </c>
      <c r="L1050">
        <v>1</v>
      </c>
      <c r="M1050">
        <v>6000</v>
      </c>
      <c r="N1050">
        <v>10</v>
      </c>
      <c r="O1050">
        <v>5400</v>
      </c>
      <c r="P1050">
        <v>1397.74</v>
      </c>
      <c r="Q1050" t="s">
        <v>28</v>
      </c>
      <c r="R1050" t="s">
        <v>29</v>
      </c>
      <c r="S1050" t="s">
        <v>86</v>
      </c>
    </row>
    <row r="1051" spans="1:19" x14ac:dyDescent="0.3">
      <c r="A1051" t="s">
        <v>2001</v>
      </c>
      <c r="B1051" s="1">
        <v>45435</v>
      </c>
      <c r="C1051" s="1">
        <v>45438</v>
      </c>
      <c r="D1051" t="s">
        <v>1132</v>
      </c>
      <c r="E1051" t="s">
        <v>1133</v>
      </c>
      <c r="F1051" t="s">
        <v>34</v>
      </c>
      <c r="G1051" t="s">
        <v>91</v>
      </c>
      <c r="H1051" t="s">
        <v>177</v>
      </c>
      <c r="I1051" t="s">
        <v>46</v>
      </c>
      <c r="J1051" t="s">
        <v>47</v>
      </c>
      <c r="K1051" t="s">
        <v>48</v>
      </c>
      <c r="L1051">
        <v>2</v>
      </c>
      <c r="M1051">
        <v>180</v>
      </c>
      <c r="N1051">
        <v>0</v>
      </c>
      <c r="O1051">
        <v>360</v>
      </c>
      <c r="P1051">
        <v>150.1</v>
      </c>
      <c r="Q1051" t="s">
        <v>156</v>
      </c>
      <c r="R1051" t="s">
        <v>56</v>
      </c>
      <c r="S1051" t="s">
        <v>30</v>
      </c>
    </row>
    <row r="1052" spans="1:19" x14ac:dyDescent="0.3">
      <c r="A1052" t="s">
        <v>2002</v>
      </c>
      <c r="B1052" s="1">
        <v>45689</v>
      </c>
      <c r="C1052" s="2">
        <v>45696</v>
      </c>
      <c r="D1052" t="s">
        <v>311</v>
      </c>
      <c r="E1052" t="s">
        <v>312</v>
      </c>
      <c r="F1052" t="s">
        <v>34</v>
      </c>
      <c r="G1052" t="s">
        <v>61</v>
      </c>
      <c r="H1052" t="s">
        <v>78</v>
      </c>
      <c r="I1052" t="s">
        <v>134</v>
      </c>
      <c r="J1052" t="s">
        <v>135</v>
      </c>
      <c r="K1052" t="s">
        <v>27</v>
      </c>
      <c r="L1052">
        <v>1</v>
      </c>
      <c r="M1052">
        <v>6000</v>
      </c>
      <c r="N1052">
        <v>15</v>
      </c>
      <c r="O1052">
        <v>5100</v>
      </c>
      <c r="P1052">
        <v>989.13</v>
      </c>
      <c r="Q1052" t="s">
        <v>74</v>
      </c>
      <c r="R1052" t="s">
        <v>49</v>
      </c>
      <c r="S1052" t="s">
        <v>40</v>
      </c>
    </row>
    <row r="1053" spans="1:19" x14ac:dyDescent="0.3">
      <c r="A1053" t="s">
        <v>2003</v>
      </c>
      <c r="B1053" s="2">
        <v>45579</v>
      </c>
      <c r="C1053" s="2">
        <v>45584</v>
      </c>
      <c r="D1053" t="s">
        <v>409</v>
      </c>
      <c r="E1053" t="s">
        <v>410</v>
      </c>
      <c r="F1053" t="s">
        <v>23</v>
      </c>
      <c r="G1053" t="s">
        <v>61</v>
      </c>
      <c r="H1053" t="s">
        <v>125</v>
      </c>
      <c r="I1053" t="s">
        <v>46</v>
      </c>
      <c r="J1053" t="s">
        <v>47</v>
      </c>
      <c r="K1053" t="s">
        <v>48</v>
      </c>
      <c r="L1053">
        <v>1</v>
      </c>
      <c r="M1053">
        <v>180</v>
      </c>
      <c r="N1053">
        <v>15</v>
      </c>
      <c r="O1053">
        <v>153</v>
      </c>
      <c r="P1053">
        <v>56.25</v>
      </c>
      <c r="Q1053" t="s">
        <v>39</v>
      </c>
      <c r="R1053" t="s">
        <v>56</v>
      </c>
      <c r="S1053" t="s">
        <v>86</v>
      </c>
    </row>
    <row r="1054" spans="1:19" x14ac:dyDescent="0.3">
      <c r="A1054" t="s">
        <v>2004</v>
      </c>
      <c r="B1054" s="1">
        <v>45908</v>
      </c>
      <c r="C1054" t="s">
        <v>1613</v>
      </c>
      <c r="D1054" t="s">
        <v>223</v>
      </c>
      <c r="E1054" t="s">
        <v>224</v>
      </c>
      <c r="F1054" t="s">
        <v>34</v>
      </c>
      <c r="G1054" t="s">
        <v>35</v>
      </c>
      <c r="H1054" t="s">
        <v>85</v>
      </c>
      <c r="I1054" t="s">
        <v>147</v>
      </c>
      <c r="J1054" t="s">
        <v>148</v>
      </c>
      <c r="K1054" t="s">
        <v>48</v>
      </c>
      <c r="L1054">
        <v>2</v>
      </c>
      <c r="M1054">
        <v>250</v>
      </c>
      <c r="N1054">
        <v>0</v>
      </c>
      <c r="O1054">
        <v>500</v>
      </c>
      <c r="P1054">
        <v>202.72</v>
      </c>
      <c r="Q1054" t="s">
        <v>39</v>
      </c>
      <c r="R1054" t="s">
        <v>29</v>
      </c>
      <c r="S1054" t="s">
        <v>50</v>
      </c>
    </row>
    <row r="1055" spans="1:19" x14ac:dyDescent="0.3">
      <c r="A1055" t="s">
        <v>2005</v>
      </c>
      <c r="B1055" s="1">
        <v>45595</v>
      </c>
      <c r="C1055" s="1">
        <v>45362</v>
      </c>
      <c r="D1055" t="s">
        <v>692</v>
      </c>
      <c r="E1055" t="s">
        <v>2006</v>
      </c>
      <c r="F1055" t="s">
        <v>55</v>
      </c>
      <c r="G1055" t="s">
        <v>91</v>
      </c>
      <c r="H1055" t="s">
        <v>120</v>
      </c>
      <c r="I1055" t="s">
        <v>114</v>
      </c>
      <c r="J1055" t="s">
        <v>115</v>
      </c>
      <c r="K1055" t="s">
        <v>65</v>
      </c>
      <c r="L1055">
        <v>1</v>
      </c>
      <c r="M1055">
        <v>55000</v>
      </c>
      <c r="N1055">
        <v>10</v>
      </c>
      <c r="O1055">
        <v>49500</v>
      </c>
      <c r="P1055">
        <v>8170.24</v>
      </c>
      <c r="Q1055" t="s">
        <v>156</v>
      </c>
      <c r="R1055" t="s">
        <v>29</v>
      </c>
      <c r="S1055" t="s">
        <v>40</v>
      </c>
    </row>
    <row r="1056" spans="1:19" x14ac:dyDescent="0.3">
      <c r="A1056" t="s">
        <v>2007</v>
      </c>
      <c r="B1056" t="s">
        <v>591</v>
      </c>
      <c r="C1056" s="1">
        <v>45411</v>
      </c>
      <c r="D1056" t="s">
        <v>674</v>
      </c>
      <c r="E1056" t="s">
        <v>675</v>
      </c>
      <c r="F1056" t="s">
        <v>55</v>
      </c>
      <c r="G1056" t="s">
        <v>91</v>
      </c>
      <c r="H1056" t="s">
        <v>109</v>
      </c>
      <c r="I1056" t="s">
        <v>93</v>
      </c>
      <c r="J1056" t="s">
        <v>94</v>
      </c>
      <c r="K1056" t="s">
        <v>95</v>
      </c>
      <c r="L1056">
        <v>1</v>
      </c>
      <c r="M1056">
        <v>1800</v>
      </c>
      <c r="N1056">
        <v>20</v>
      </c>
      <c r="O1056">
        <v>1440</v>
      </c>
      <c r="P1056">
        <v>445.1</v>
      </c>
      <c r="Q1056" t="s">
        <v>156</v>
      </c>
      <c r="R1056" t="s">
        <v>56</v>
      </c>
      <c r="S1056" t="s">
        <v>110</v>
      </c>
    </row>
    <row r="1057" spans="1:19" x14ac:dyDescent="0.3">
      <c r="A1057" t="s">
        <v>2008</v>
      </c>
      <c r="B1057" s="2">
        <v>45382</v>
      </c>
      <c r="C1057" s="1">
        <v>45387</v>
      </c>
      <c r="D1057" t="s">
        <v>1506</v>
      </c>
      <c r="E1057" t="s">
        <v>1507</v>
      </c>
      <c r="F1057" t="s">
        <v>55</v>
      </c>
      <c r="G1057" t="s">
        <v>61</v>
      </c>
      <c r="H1057" t="s">
        <v>78</v>
      </c>
      <c r="I1057" t="s">
        <v>63</v>
      </c>
      <c r="J1057" t="s">
        <v>64</v>
      </c>
      <c r="K1057" t="s">
        <v>65</v>
      </c>
      <c r="L1057">
        <v>2</v>
      </c>
      <c r="M1057">
        <v>25000</v>
      </c>
      <c r="N1057">
        <v>0</v>
      </c>
      <c r="O1057">
        <v>50000</v>
      </c>
      <c r="P1057">
        <v>8024.43</v>
      </c>
      <c r="Q1057" t="s">
        <v>66</v>
      </c>
      <c r="R1057" t="s">
        <v>49</v>
      </c>
      <c r="S1057" t="s">
        <v>110</v>
      </c>
    </row>
    <row r="1058" spans="1:19" x14ac:dyDescent="0.3">
      <c r="A1058" t="s">
        <v>2009</v>
      </c>
      <c r="B1058" s="2">
        <v>45819</v>
      </c>
      <c r="C1058" t="s">
        <v>1082</v>
      </c>
      <c r="D1058" t="s">
        <v>89</v>
      </c>
      <c r="E1058" t="s">
        <v>90</v>
      </c>
      <c r="F1058" t="s">
        <v>23</v>
      </c>
      <c r="G1058" t="s">
        <v>91</v>
      </c>
      <c r="H1058" t="s">
        <v>92</v>
      </c>
      <c r="I1058" t="s">
        <v>147</v>
      </c>
      <c r="J1058" t="s">
        <v>148</v>
      </c>
      <c r="K1058" t="s">
        <v>48</v>
      </c>
      <c r="L1058">
        <v>3</v>
      </c>
      <c r="M1058">
        <v>250</v>
      </c>
      <c r="N1058">
        <v>15</v>
      </c>
      <c r="O1058">
        <v>637.5</v>
      </c>
      <c r="P1058">
        <v>269.08</v>
      </c>
      <c r="Q1058" t="s">
        <v>28</v>
      </c>
      <c r="R1058" t="s">
        <v>29</v>
      </c>
      <c r="S1058" t="s">
        <v>40</v>
      </c>
    </row>
    <row r="1059" spans="1:19" x14ac:dyDescent="0.3">
      <c r="A1059" t="s">
        <v>2010</v>
      </c>
      <c r="B1059" s="1">
        <v>45898</v>
      </c>
      <c r="C1059" s="1">
        <v>45906</v>
      </c>
      <c r="D1059" t="s">
        <v>1506</v>
      </c>
      <c r="E1059" t="s">
        <v>1507</v>
      </c>
      <c r="F1059" t="s">
        <v>55</v>
      </c>
      <c r="G1059" t="s">
        <v>61</v>
      </c>
      <c r="H1059" t="s">
        <v>78</v>
      </c>
      <c r="I1059" t="s">
        <v>93</v>
      </c>
      <c r="J1059" t="s">
        <v>94</v>
      </c>
      <c r="K1059" t="s">
        <v>95</v>
      </c>
      <c r="L1059">
        <v>2</v>
      </c>
      <c r="M1059">
        <v>1800</v>
      </c>
      <c r="N1059">
        <v>20</v>
      </c>
      <c r="O1059">
        <v>2880</v>
      </c>
      <c r="P1059">
        <v>1002.87</v>
      </c>
      <c r="Q1059" t="s">
        <v>121</v>
      </c>
      <c r="R1059" t="s">
        <v>29</v>
      </c>
      <c r="S1059" t="s">
        <v>86</v>
      </c>
    </row>
    <row r="1060" spans="1:19" x14ac:dyDescent="0.3">
      <c r="A1060" t="s">
        <v>2011</v>
      </c>
      <c r="B1060" s="1">
        <v>45945</v>
      </c>
      <c r="C1060" s="1">
        <v>45951</v>
      </c>
      <c r="D1060" t="s">
        <v>101</v>
      </c>
      <c r="E1060" t="s">
        <v>102</v>
      </c>
      <c r="F1060" t="s">
        <v>55</v>
      </c>
      <c r="G1060" t="s">
        <v>35</v>
      </c>
      <c r="H1060" t="s">
        <v>36</v>
      </c>
      <c r="I1060" t="s">
        <v>147</v>
      </c>
      <c r="J1060" t="s">
        <v>148</v>
      </c>
      <c r="K1060" t="s">
        <v>48</v>
      </c>
      <c r="L1060">
        <v>2</v>
      </c>
      <c r="M1060">
        <v>250</v>
      </c>
      <c r="N1060">
        <v>0</v>
      </c>
      <c r="O1060">
        <v>500</v>
      </c>
      <c r="P1060">
        <v>218.95</v>
      </c>
      <c r="Q1060" t="s">
        <v>121</v>
      </c>
      <c r="R1060" t="s">
        <v>49</v>
      </c>
      <c r="S1060" t="s">
        <v>40</v>
      </c>
    </row>
    <row r="1061" spans="1:19" x14ac:dyDescent="0.3">
      <c r="A1061" t="s">
        <v>2012</v>
      </c>
      <c r="B1061" s="1">
        <v>45842</v>
      </c>
      <c r="C1061" s="1">
        <v>45843</v>
      </c>
      <c r="D1061" t="s">
        <v>546</v>
      </c>
      <c r="E1061" t="s">
        <v>547</v>
      </c>
      <c r="F1061" t="s">
        <v>34</v>
      </c>
      <c r="G1061" t="s">
        <v>91</v>
      </c>
      <c r="H1061" t="s">
        <v>92</v>
      </c>
      <c r="I1061" t="s">
        <v>114</v>
      </c>
      <c r="J1061" t="s">
        <v>115</v>
      </c>
      <c r="K1061" t="s">
        <v>65</v>
      </c>
      <c r="L1061">
        <v>2</v>
      </c>
      <c r="M1061">
        <v>55000</v>
      </c>
      <c r="N1061">
        <v>10</v>
      </c>
      <c r="O1061">
        <v>99000</v>
      </c>
      <c r="P1061">
        <v>19349.54</v>
      </c>
      <c r="Q1061" t="s">
        <v>66</v>
      </c>
      <c r="R1061" t="s">
        <v>56</v>
      </c>
      <c r="S1061" t="s">
        <v>30</v>
      </c>
    </row>
    <row r="1062" spans="1:19" x14ac:dyDescent="0.3">
      <c r="A1062" t="s">
        <v>2013</v>
      </c>
      <c r="B1062" s="1">
        <v>45902</v>
      </c>
      <c r="C1062" s="2">
        <v>45907</v>
      </c>
      <c r="D1062" t="s">
        <v>101</v>
      </c>
      <c r="E1062" t="s">
        <v>102</v>
      </c>
      <c r="F1062" t="s">
        <v>55</v>
      </c>
      <c r="G1062" t="s">
        <v>35</v>
      </c>
      <c r="H1062" t="s">
        <v>36</v>
      </c>
      <c r="I1062" t="s">
        <v>126</v>
      </c>
      <c r="J1062" t="s">
        <v>127</v>
      </c>
      <c r="K1062" t="s">
        <v>95</v>
      </c>
      <c r="L1062">
        <v>1</v>
      </c>
      <c r="M1062">
        <v>600</v>
      </c>
      <c r="N1062">
        <v>10</v>
      </c>
      <c r="O1062">
        <v>540</v>
      </c>
      <c r="P1062">
        <v>181.11</v>
      </c>
      <c r="Q1062" t="s">
        <v>39</v>
      </c>
      <c r="R1062" t="s">
        <v>56</v>
      </c>
      <c r="S1062" t="s">
        <v>30</v>
      </c>
    </row>
    <row r="1063" spans="1:19" x14ac:dyDescent="0.3">
      <c r="A1063" t="s">
        <v>2014</v>
      </c>
      <c r="B1063" s="2">
        <v>45408</v>
      </c>
      <c r="C1063" s="1">
        <v>45327</v>
      </c>
      <c r="D1063" t="s">
        <v>861</v>
      </c>
      <c r="E1063" t="s">
        <v>862</v>
      </c>
      <c r="F1063" t="s">
        <v>55</v>
      </c>
      <c r="G1063" t="s">
        <v>44</v>
      </c>
      <c r="H1063" t="s">
        <v>24</v>
      </c>
      <c r="I1063" t="s">
        <v>37</v>
      </c>
      <c r="J1063" t="s">
        <v>38</v>
      </c>
      <c r="K1063" t="s">
        <v>27</v>
      </c>
      <c r="L1063">
        <v>1</v>
      </c>
      <c r="M1063">
        <v>9500</v>
      </c>
      <c r="N1063">
        <v>0</v>
      </c>
      <c r="O1063">
        <v>9500</v>
      </c>
      <c r="P1063">
        <v>1913.68</v>
      </c>
      <c r="Q1063" t="s">
        <v>66</v>
      </c>
      <c r="R1063" t="s">
        <v>29</v>
      </c>
      <c r="S1063" t="s">
        <v>40</v>
      </c>
    </row>
    <row r="1064" spans="1:19" x14ac:dyDescent="0.3">
      <c r="A1064" t="s">
        <v>2015</v>
      </c>
      <c r="B1064" s="1">
        <v>45853</v>
      </c>
      <c r="C1064" s="1">
        <v>45859</v>
      </c>
      <c r="D1064" t="s">
        <v>438</v>
      </c>
      <c r="E1064" t="s">
        <v>439</v>
      </c>
      <c r="F1064" t="s">
        <v>34</v>
      </c>
      <c r="G1064" t="s">
        <v>35</v>
      </c>
      <c r="H1064" t="s">
        <v>85</v>
      </c>
      <c r="I1064" t="s">
        <v>79</v>
      </c>
      <c r="J1064" t="s">
        <v>80</v>
      </c>
      <c r="K1064" t="s">
        <v>65</v>
      </c>
      <c r="L1064">
        <v>1</v>
      </c>
      <c r="M1064">
        <v>3000</v>
      </c>
      <c r="N1064">
        <v>0</v>
      </c>
      <c r="O1064">
        <v>3000</v>
      </c>
      <c r="P1064">
        <v>799.68</v>
      </c>
      <c r="Q1064" t="s">
        <v>74</v>
      </c>
      <c r="R1064" t="s">
        <v>29</v>
      </c>
      <c r="S1064" t="s">
        <v>30</v>
      </c>
    </row>
    <row r="1065" spans="1:19" x14ac:dyDescent="0.3">
      <c r="A1065" t="s">
        <v>2016</v>
      </c>
      <c r="B1065" s="2">
        <v>45670</v>
      </c>
      <c r="C1065" s="1">
        <v>45673</v>
      </c>
      <c r="D1065" t="s">
        <v>774</v>
      </c>
      <c r="E1065" t="s">
        <v>775</v>
      </c>
      <c r="F1065" t="s">
        <v>55</v>
      </c>
      <c r="G1065" t="s">
        <v>61</v>
      </c>
      <c r="H1065" t="s">
        <v>211</v>
      </c>
      <c r="I1065" t="s">
        <v>114</v>
      </c>
      <c r="J1065" t="s">
        <v>115</v>
      </c>
      <c r="K1065" t="s">
        <v>65</v>
      </c>
      <c r="L1065">
        <v>1</v>
      </c>
      <c r="M1065">
        <v>55000</v>
      </c>
      <c r="N1065">
        <v>15</v>
      </c>
      <c r="O1065">
        <v>46750</v>
      </c>
      <c r="P1065">
        <v>6406.14</v>
      </c>
      <c r="Q1065" t="s">
        <v>121</v>
      </c>
      <c r="R1065" t="s">
        <v>29</v>
      </c>
      <c r="S1065" t="s">
        <v>30</v>
      </c>
    </row>
    <row r="1066" spans="1:19" x14ac:dyDescent="0.3">
      <c r="A1066" t="s">
        <v>2017</v>
      </c>
      <c r="B1066" s="2">
        <v>45859</v>
      </c>
      <c r="C1066" t="s">
        <v>1352</v>
      </c>
      <c r="D1066" t="s">
        <v>189</v>
      </c>
      <c r="E1066" t="s">
        <v>190</v>
      </c>
      <c r="F1066" t="s">
        <v>23</v>
      </c>
      <c r="G1066" t="s">
        <v>91</v>
      </c>
      <c r="H1066" t="s">
        <v>120</v>
      </c>
      <c r="I1066" t="s">
        <v>134</v>
      </c>
      <c r="J1066" t="s">
        <v>135</v>
      </c>
      <c r="K1066" t="s">
        <v>27</v>
      </c>
      <c r="L1066">
        <v>1</v>
      </c>
      <c r="M1066">
        <v>6000</v>
      </c>
      <c r="N1066">
        <v>0</v>
      </c>
      <c r="O1066">
        <v>6000</v>
      </c>
      <c r="P1066">
        <v>1057.3</v>
      </c>
      <c r="Q1066" t="s">
        <v>39</v>
      </c>
      <c r="R1066" t="s">
        <v>29</v>
      </c>
      <c r="S1066" t="s">
        <v>30</v>
      </c>
    </row>
    <row r="1067" spans="1:19" x14ac:dyDescent="0.3">
      <c r="A1067" t="s">
        <v>2018</v>
      </c>
      <c r="B1067" s="1">
        <v>45687</v>
      </c>
      <c r="C1067" s="1">
        <v>45779</v>
      </c>
      <c r="D1067" t="s">
        <v>159</v>
      </c>
      <c r="E1067" t="s">
        <v>160</v>
      </c>
      <c r="F1067" t="s">
        <v>34</v>
      </c>
      <c r="G1067" t="s">
        <v>44</v>
      </c>
      <c r="H1067" t="s">
        <v>161</v>
      </c>
      <c r="I1067" t="s">
        <v>63</v>
      </c>
      <c r="J1067" t="s">
        <v>64</v>
      </c>
      <c r="K1067" t="s">
        <v>65</v>
      </c>
      <c r="L1067">
        <v>1</v>
      </c>
      <c r="M1067">
        <v>25000</v>
      </c>
      <c r="N1067">
        <v>15</v>
      </c>
      <c r="O1067">
        <v>21250</v>
      </c>
      <c r="P1067">
        <v>2591.86</v>
      </c>
      <c r="Q1067" t="s">
        <v>39</v>
      </c>
      <c r="R1067" t="s">
        <v>56</v>
      </c>
      <c r="S1067" t="s">
        <v>30</v>
      </c>
    </row>
    <row r="1068" spans="1:19" x14ac:dyDescent="0.3">
      <c r="A1068" t="s">
        <v>2019</v>
      </c>
      <c r="B1068" s="1">
        <v>45567</v>
      </c>
      <c r="C1068" s="1">
        <v>45568</v>
      </c>
      <c r="D1068" t="s">
        <v>301</v>
      </c>
      <c r="E1068" t="s">
        <v>302</v>
      </c>
      <c r="F1068" t="s">
        <v>34</v>
      </c>
      <c r="G1068" t="s">
        <v>44</v>
      </c>
      <c r="H1068" t="s">
        <v>24</v>
      </c>
      <c r="I1068" t="s">
        <v>63</v>
      </c>
      <c r="J1068" t="s">
        <v>64</v>
      </c>
      <c r="K1068" t="s">
        <v>65</v>
      </c>
      <c r="L1068">
        <v>2</v>
      </c>
      <c r="M1068">
        <v>25000</v>
      </c>
      <c r="N1068">
        <v>5</v>
      </c>
      <c r="O1068">
        <v>47500</v>
      </c>
      <c r="P1068">
        <v>5174.0600000000004</v>
      </c>
      <c r="Q1068" t="s">
        <v>28</v>
      </c>
      <c r="R1068" t="s">
        <v>56</v>
      </c>
      <c r="S1068" t="s">
        <v>50</v>
      </c>
    </row>
    <row r="1069" spans="1:19" x14ac:dyDescent="0.3">
      <c r="A1069" t="s">
        <v>2020</v>
      </c>
      <c r="B1069" s="1">
        <v>45642</v>
      </c>
      <c r="C1069" s="1">
        <v>45645</v>
      </c>
      <c r="D1069" t="s">
        <v>578</v>
      </c>
      <c r="E1069" t="s">
        <v>579</v>
      </c>
      <c r="F1069" t="s">
        <v>23</v>
      </c>
      <c r="G1069" t="s">
        <v>91</v>
      </c>
      <c r="H1069" t="s">
        <v>177</v>
      </c>
      <c r="I1069" t="s">
        <v>103</v>
      </c>
      <c r="J1069" t="s">
        <v>104</v>
      </c>
      <c r="K1069" t="s">
        <v>65</v>
      </c>
      <c r="L1069">
        <v>2</v>
      </c>
      <c r="M1069">
        <v>8000</v>
      </c>
      <c r="N1069">
        <v>15</v>
      </c>
      <c r="O1069">
        <v>13600</v>
      </c>
      <c r="Q1069" t="s">
        <v>28</v>
      </c>
      <c r="R1069" t="s">
        <v>29</v>
      </c>
      <c r="S1069" t="s">
        <v>50</v>
      </c>
    </row>
    <row r="1070" spans="1:19" x14ac:dyDescent="0.3">
      <c r="A1070" t="s">
        <v>2021</v>
      </c>
      <c r="B1070" s="1">
        <v>45783</v>
      </c>
      <c r="C1070" s="1">
        <v>45784</v>
      </c>
      <c r="D1070" t="s">
        <v>1031</v>
      </c>
      <c r="E1070" t="s">
        <v>1032</v>
      </c>
      <c r="F1070" t="s">
        <v>23</v>
      </c>
      <c r="G1070" t="s">
        <v>61</v>
      </c>
      <c r="H1070" t="s">
        <v>211</v>
      </c>
      <c r="I1070" t="s">
        <v>114</v>
      </c>
      <c r="J1070" t="s">
        <v>115</v>
      </c>
      <c r="K1070" t="s">
        <v>65</v>
      </c>
      <c r="L1070">
        <v>3</v>
      </c>
      <c r="M1070">
        <v>55000</v>
      </c>
      <c r="N1070">
        <v>0</v>
      </c>
      <c r="O1070">
        <v>165000</v>
      </c>
      <c r="P1070">
        <v>29145.26</v>
      </c>
      <c r="Q1070" t="s">
        <v>28</v>
      </c>
      <c r="R1070" t="s">
        <v>49</v>
      </c>
      <c r="S1070" t="s">
        <v>50</v>
      </c>
    </row>
    <row r="1071" spans="1:19" x14ac:dyDescent="0.3">
      <c r="A1071" t="s">
        <v>2022</v>
      </c>
      <c r="B1071" t="s">
        <v>2023</v>
      </c>
      <c r="C1071" s="1">
        <v>45649</v>
      </c>
      <c r="D1071" t="s">
        <v>1315</v>
      </c>
      <c r="E1071" t="s">
        <v>1316</v>
      </c>
      <c r="F1071" t="s">
        <v>34</v>
      </c>
      <c r="G1071" t="s">
        <v>91</v>
      </c>
      <c r="H1071" t="s">
        <v>92</v>
      </c>
      <c r="I1071" t="s">
        <v>147</v>
      </c>
      <c r="J1071" t="s">
        <v>148</v>
      </c>
      <c r="K1071" t="s">
        <v>48</v>
      </c>
      <c r="L1071">
        <v>3</v>
      </c>
      <c r="M1071">
        <v>250</v>
      </c>
      <c r="N1071">
        <v>0</v>
      </c>
      <c r="O1071">
        <v>750</v>
      </c>
      <c r="P1071">
        <v>244.98</v>
      </c>
      <c r="Q1071" t="s">
        <v>66</v>
      </c>
      <c r="R1071" t="s">
        <v>29</v>
      </c>
      <c r="S1071" t="s">
        <v>40</v>
      </c>
    </row>
    <row r="1072" spans="1:19" x14ac:dyDescent="0.3">
      <c r="A1072" t="s">
        <v>2024</v>
      </c>
      <c r="B1072" s="1">
        <v>45915</v>
      </c>
      <c r="C1072" s="1">
        <v>45916</v>
      </c>
      <c r="D1072" t="s">
        <v>592</v>
      </c>
      <c r="E1072" t="s">
        <v>593</v>
      </c>
      <c r="F1072" t="s">
        <v>55</v>
      </c>
      <c r="G1072" t="s">
        <v>35</v>
      </c>
      <c r="H1072" t="s">
        <v>258</v>
      </c>
      <c r="I1072" t="s">
        <v>25</v>
      </c>
      <c r="J1072" t="s">
        <v>26</v>
      </c>
      <c r="K1072" t="s">
        <v>27</v>
      </c>
      <c r="L1072">
        <v>1</v>
      </c>
      <c r="M1072">
        <v>7000</v>
      </c>
      <c r="N1072">
        <v>10</v>
      </c>
      <c r="O1072">
        <v>6300</v>
      </c>
      <c r="P1072">
        <v>1197.0899999999999</v>
      </c>
      <c r="Q1072" t="s">
        <v>74</v>
      </c>
      <c r="R1072" t="s">
        <v>49</v>
      </c>
      <c r="S1072" t="s">
        <v>40</v>
      </c>
    </row>
    <row r="1073" spans="1:19" x14ac:dyDescent="0.3">
      <c r="A1073" t="s">
        <v>2025</v>
      </c>
      <c r="B1073" t="s">
        <v>512</v>
      </c>
      <c r="C1073" s="1">
        <v>45324</v>
      </c>
      <c r="D1073" t="s">
        <v>819</v>
      </c>
      <c r="E1073" t="s">
        <v>820</v>
      </c>
      <c r="F1073" t="s">
        <v>34</v>
      </c>
      <c r="G1073" t="s">
        <v>61</v>
      </c>
      <c r="H1073" t="s">
        <v>62</v>
      </c>
      <c r="I1073" t="s">
        <v>79</v>
      </c>
      <c r="J1073" t="s">
        <v>80</v>
      </c>
      <c r="K1073" t="s">
        <v>65</v>
      </c>
      <c r="L1073">
        <v>2</v>
      </c>
      <c r="M1073">
        <v>3000</v>
      </c>
      <c r="N1073">
        <v>0</v>
      </c>
      <c r="O1073">
        <v>6000</v>
      </c>
      <c r="P1073">
        <v>1951.1</v>
      </c>
      <c r="Q1073" t="s">
        <v>66</v>
      </c>
      <c r="R1073" t="s">
        <v>49</v>
      </c>
      <c r="S1073" t="s">
        <v>86</v>
      </c>
    </row>
    <row r="1074" spans="1:19" x14ac:dyDescent="0.3">
      <c r="A1074" t="s">
        <v>2026</v>
      </c>
      <c r="B1074" s="1">
        <v>45959</v>
      </c>
      <c r="C1074" s="1">
        <v>45967</v>
      </c>
      <c r="D1074" t="s">
        <v>1579</v>
      </c>
      <c r="E1074" t="s">
        <v>1580</v>
      </c>
      <c r="F1074" t="s">
        <v>55</v>
      </c>
      <c r="G1074" t="s">
        <v>44</v>
      </c>
      <c r="H1074" t="s">
        <v>45</v>
      </c>
      <c r="I1074" t="s">
        <v>71</v>
      </c>
      <c r="J1074" t="s">
        <v>72</v>
      </c>
      <c r="K1074" t="s">
        <v>73</v>
      </c>
      <c r="L1074">
        <v>1</v>
      </c>
      <c r="M1074">
        <v>3500</v>
      </c>
      <c r="N1074">
        <v>15</v>
      </c>
      <c r="O1074">
        <v>2975</v>
      </c>
      <c r="P1074">
        <v>973.86</v>
      </c>
      <c r="Q1074" t="s">
        <v>156</v>
      </c>
      <c r="R1074" t="s">
        <v>29</v>
      </c>
      <c r="S1074" t="s">
        <v>50</v>
      </c>
    </row>
    <row r="1075" spans="1:19" x14ac:dyDescent="0.3">
      <c r="A1075" t="s">
        <v>2027</v>
      </c>
      <c r="B1075" t="s">
        <v>2028</v>
      </c>
      <c r="C1075" s="2">
        <v>45747</v>
      </c>
      <c r="D1075" t="s">
        <v>418</v>
      </c>
      <c r="E1075" t="s">
        <v>419</v>
      </c>
      <c r="F1075" t="s">
        <v>23</v>
      </c>
      <c r="G1075" t="s">
        <v>91</v>
      </c>
      <c r="H1075" t="s">
        <v>120</v>
      </c>
      <c r="I1075" t="s">
        <v>134</v>
      </c>
      <c r="J1075" t="s">
        <v>135</v>
      </c>
      <c r="K1075" t="s">
        <v>27</v>
      </c>
      <c r="L1075">
        <v>1</v>
      </c>
      <c r="M1075">
        <v>6000</v>
      </c>
      <c r="N1075">
        <v>0</v>
      </c>
      <c r="O1075">
        <v>6000</v>
      </c>
      <c r="P1075">
        <v>1122.73</v>
      </c>
      <c r="Q1075" t="s">
        <v>39</v>
      </c>
      <c r="R1075" t="s">
        <v>56</v>
      </c>
      <c r="S1075" t="s">
        <v>50</v>
      </c>
    </row>
    <row r="1076" spans="1:19" x14ac:dyDescent="0.3">
      <c r="A1076" t="s">
        <v>2029</v>
      </c>
      <c r="B1076" s="2">
        <v>45460</v>
      </c>
      <c r="C1076" t="s">
        <v>2030</v>
      </c>
      <c r="D1076" t="s">
        <v>179</v>
      </c>
      <c r="E1076" t="s">
        <v>180</v>
      </c>
      <c r="F1076" t="s">
        <v>23</v>
      </c>
      <c r="G1076" t="s">
        <v>91</v>
      </c>
      <c r="H1076" t="s">
        <v>177</v>
      </c>
      <c r="I1076" t="s">
        <v>114</v>
      </c>
      <c r="J1076" t="s">
        <v>115</v>
      </c>
      <c r="K1076" t="s">
        <v>65</v>
      </c>
      <c r="L1076">
        <v>2</v>
      </c>
      <c r="M1076">
        <v>55000</v>
      </c>
      <c r="N1076">
        <v>20</v>
      </c>
      <c r="O1076">
        <v>88000</v>
      </c>
      <c r="P1076">
        <v>15630</v>
      </c>
      <c r="Q1076" t="s">
        <v>66</v>
      </c>
      <c r="R1076" t="s">
        <v>49</v>
      </c>
      <c r="S1076" t="s">
        <v>40</v>
      </c>
    </row>
    <row r="1077" spans="1:19" x14ac:dyDescent="0.3">
      <c r="A1077" t="s">
        <v>2031</v>
      </c>
      <c r="B1077" s="1">
        <v>45669</v>
      </c>
      <c r="C1077" s="2">
        <v>45671</v>
      </c>
      <c r="D1077" t="s">
        <v>346</v>
      </c>
      <c r="E1077" t="s">
        <v>347</v>
      </c>
      <c r="F1077" t="s">
        <v>23</v>
      </c>
      <c r="G1077" t="s">
        <v>44</v>
      </c>
      <c r="H1077" t="s">
        <v>155</v>
      </c>
      <c r="I1077" t="s">
        <v>93</v>
      </c>
      <c r="J1077" t="s">
        <v>94</v>
      </c>
      <c r="K1077" t="s">
        <v>95</v>
      </c>
      <c r="L1077">
        <v>2</v>
      </c>
      <c r="M1077">
        <v>1800</v>
      </c>
      <c r="N1077">
        <v>10</v>
      </c>
      <c r="O1077">
        <v>3240</v>
      </c>
      <c r="P1077">
        <v>852.66</v>
      </c>
      <c r="Q1077" t="s">
        <v>66</v>
      </c>
      <c r="R1077" t="s">
        <v>49</v>
      </c>
      <c r="S1077" t="s">
        <v>30</v>
      </c>
    </row>
    <row r="1078" spans="1:19" x14ac:dyDescent="0.3">
      <c r="A1078" t="s">
        <v>2032</v>
      </c>
      <c r="B1078" s="1">
        <v>45759</v>
      </c>
      <c r="C1078" s="1">
        <v>45761</v>
      </c>
      <c r="D1078" t="s">
        <v>682</v>
      </c>
      <c r="E1078" t="s">
        <v>683</v>
      </c>
      <c r="F1078" t="s">
        <v>55</v>
      </c>
      <c r="G1078" t="s">
        <v>61</v>
      </c>
      <c r="H1078" t="s">
        <v>125</v>
      </c>
      <c r="I1078" t="s">
        <v>63</v>
      </c>
      <c r="J1078" t="s">
        <v>64</v>
      </c>
      <c r="K1078" t="s">
        <v>65</v>
      </c>
      <c r="L1078">
        <v>2</v>
      </c>
      <c r="M1078">
        <v>25000</v>
      </c>
      <c r="N1078">
        <v>20</v>
      </c>
      <c r="O1078">
        <v>40000</v>
      </c>
      <c r="P1078">
        <v>5618.5</v>
      </c>
      <c r="Q1078" t="s">
        <v>66</v>
      </c>
      <c r="R1078" t="s">
        <v>49</v>
      </c>
      <c r="S1078" t="s">
        <v>40</v>
      </c>
    </row>
    <row r="1079" spans="1:19" x14ac:dyDescent="0.3">
      <c r="A1079" t="s">
        <v>2033</v>
      </c>
      <c r="B1079" s="1">
        <v>45434</v>
      </c>
      <c r="C1079" s="1">
        <v>45437</v>
      </c>
      <c r="D1079" t="s">
        <v>550</v>
      </c>
      <c r="E1079" t="s">
        <v>551</v>
      </c>
      <c r="F1079" t="s">
        <v>55</v>
      </c>
      <c r="G1079" t="s">
        <v>91</v>
      </c>
      <c r="H1079" t="s">
        <v>109</v>
      </c>
      <c r="I1079" t="s">
        <v>103</v>
      </c>
      <c r="J1079" t="s">
        <v>104</v>
      </c>
      <c r="K1079" t="s">
        <v>65</v>
      </c>
      <c r="L1079">
        <v>2</v>
      </c>
      <c r="M1079">
        <v>8000</v>
      </c>
      <c r="N1079">
        <v>10</v>
      </c>
      <c r="O1079">
        <v>14400</v>
      </c>
      <c r="P1079">
        <v>3805.04</v>
      </c>
      <c r="Q1079" t="s">
        <v>74</v>
      </c>
      <c r="R1079" t="s">
        <v>49</v>
      </c>
      <c r="S1079" t="s">
        <v>30</v>
      </c>
    </row>
    <row r="1080" spans="1:19" x14ac:dyDescent="0.3">
      <c r="A1080" t="s">
        <v>2034</v>
      </c>
      <c r="B1080" s="1">
        <v>45572</v>
      </c>
      <c r="C1080" s="2">
        <v>45573</v>
      </c>
      <c r="D1080" t="s">
        <v>731</v>
      </c>
      <c r="E1080" t="s">
        <v>732</v>
      </c>
      <c r="F1080" t="s">
        <v>34</v>
      </c>
      <c r="G1080" t="s">
        <v>44</v>
      </c>
      <c r="H1080" t="s">
        <v>155</v>
      </c>
      <c r="I1080" t="s">
        <v>147</v>
      </c>
      <c r="J1080" t="s">
        <v>148</v>
      </c>
      <c r="K1080" t="s">
        <v>48</v>
      </c>
      <c r="L1080">
        <v>1</v>
      </c>
      <c r="M1080">
        <v>250</v>
      </c>
      <c r="N1080">
        <v>5</v>
      </c>
      <c r="O1080">
        <v>237.5</v>
      </c>
      <c r="P1080">
        <v>84.12</v>
      </c>
      <c r="Q1080" t="s">
        <v>66</v>
      </c>
      <c r="R1080" t="s">
        <v>56</v>
      </c>
      <c r="S1080" t="s">
        <v>30</v>
      </c>
    </row>
    <row r="1081" spans="1:19" x14ac:dyDescent="0.3">
      <c r="A1081" t="s">
        <v>2035</v>
      </c>
      <c r="B1081" t="s">
        <v>158</v>
      </c>
      <c r="C1081" s="1">
        <v>45443</v>
      </c>
      <c r="D1081" t="s">
        <v>1055</v>
      </c>
      <c r="E1081" t="s">
        <v>1056</v>
      </c>
      <c r="F1081" t="s">
        <v>55</v>
      </c>
      <c r="G1081" t="s">
        <v>61</v>
      </c>
      <c r="H1081" t="s">
        <v>62</v>
      </c>
      <c r="I1081" t="s">
        <v>46</v>
      </c>
      <c r="J1081" t="s">
        <v>47</v>
      </c>
      <c r="K1081" t="s">
        <v>48</v>
      </c>
      <c r="L1081">
        <v>4</v>
      </c>
      <c r="M1081">
        <v>180</v>
      </c>
      <c r="N1081">
        <v>0</v>
      </c>
      <c r="O1081">
        <v>720</v>
      </c>
      <c r="P1081">
        <v>274.12</v>
      </c>
      <c r="Q1081" t="s">
        <v>28</v>
      </c>
      <c r="R1081" t="s">
        <v>56</v>
      </c>
      <c r="S1081" t="s">
        <v>50</v>
      </c>
    </row>
    <row r="1082" spans="1:19" x14ac:dyDescent="0.3">
      <c r="A1082" t="s">
        <v>2036</v>
      </c>
      <c r="B1082" s="1">
        <v>45868</v>
      </c>
      <c r="C1082" s="2">
        <v>45870</v>
      </c>
      <c r="D1082" t="s">
        <v>278</v>
      </c>
      <c r="E1082" t="s">
        <v>279</v>
      </c>
      <c r="F1082" t="s">
        <v>23</v>
      </c>
      <c r="G1082" t="s">
        <v>91</v>
      </c>
      <c r="H1082" t="s">
        <v>177</v>
      </c>
      <c r="I1082" t="s">
        <v>147</v>
      </c>
      <c r="J1082" t="s">
        <v>148</v>
      </c>
      <c r="K1082" t="s">
        <v>48</v>
      </c>
      <c r="L1082">
        <v>1</v>
      </c>
      <c r="M1082">
        <v>250</v>
      </c>
      <c r="N1082">
        <v>0</v>
      </c>
      <c r="O1082">
        <v>250</v>
      </c>
      <c r="P1082">
        <v>83.3</v>
      </c>
      <c r="Q1082" t="s">
        <v>66</v>
      </c>
      <c r="R1082" t="s">
        <v>56</v>
      </c>
      <c r="S1082" t="s">
        <v>50</v>
      </c>
    </row>
    <row r="1083" spans="1:19" x14ac:dyDescent="0.3">
      <c r="A1083" t="s">
        <v>2037</v>
      </c>
      <c r="B1083" s="2">
        <v>45337</v>
      </c>
      <c r="C1083" s="1">
        <v>45344</v>
      </c>
      <c r="D1083" t="s">
        <v>802</v>
      </c>
      <c r="E1083" t="s">
        <v>803</v>
      </c>
      <c r="F1083" t="s">
        <v>55</v>
      </c>
      <c r="G1083" t="s">
        <v>35</v>
      </c>
      <c r="H1083" t="s">
        <v>258</v>
      </c>
      <c r="I1083" t="s">
        <v>147</v>
      </c>
      <c r="J1083" t="s">
        <v>148</v>
      </c>
      <c r="K1083" t="s">
        <v>48</v>
      </c>
      <c r="L1083">
        <v>1</v>
      </c>
      <c r="M1083">
        <v>250</v>
      </c>
      <c r="N1083">
        <v>5</v>
      </c>
      <c r="O1083">
        <v>237.5</v>
      </c>
      <c r="P1083">
        <v>73.510000000000005</v>
      </c>
      <c r="Q1083" t="s">
        <v>39</v>
      </c>
      <c r="R1083" t="s">
        <v>29</v>
      </c>
      <c r="S1083" t="s">
        <v>110</v>
      </c>
    </row>
    <row r="1084" spans="1:19" x14ac:dyDescent="0.3">
      <c r="A1084" t="s">
        <v>2038</v>
      </c>
      <c r="B1084" s="1">
        <v>45393</v>
      </c>
      <c r="C1084" t="s">
        <v>1872</v>
      </c>
      <c r="D1084" t="s">
        <v>209</v>
      </c>
      <c r="E1084" t="s">
        <v>210</v>
      </c>
      <c r="F1084" t="s">
        <v>34</v>
      </c>
      <c r="G1084" t="s">
        <v>61</v>
      </c>
      <c r="I1084" t="s">
        <v>134</v>
      </c>
      <c r="J1084" t="s">
        <v>135</v>
      </c>
      <c r="K1084" t="s">
        <v>27</v>
      </c>
      <c r="L1084">
        <v>3</v>
      </c>
      <c r="M1084">
        <v>6000</v>
      </c>
      <c r="N1084">
        <v>0</v>
      </c>
      <c r="O1084">
        <v>18000</v>
      </c>
      <c r="P1084">
        <v>3396.33</v>
      </c>
      <c r="Q1084" t="s">
        <v>28</v>
      </c>
      <c r="R1084" t="s">
        <v>56</v>
      </c>
      <c r="S1084" t="s">
        <v>86</v>
      </c>
    </row>
    <row r="1085" spans="1:19" x14ac:dyDescent="0.3">
      <c r="A1085" t="s">
        <v>2039</v>
      </c>
      <c r="B1085" s="1">
        <v>45454</v>
      </c>
      <c r="C1085" s="2">
        <v>45610</v>
      </c>
      <c r="D1085" t="s">
        <v>1301</v>
      </c>
      <c r="E1085" t="s">
        <v>1302</v>
      </c>
      <c r="F1085" t="s">
        <v>23</v>
      </c>
      <c r="G1085" t="s">
        <v>91</v>
      </c>
      <c r="H1085" t="s">
        <v>120</v>
      </c>
      <c r="I1085" t="s">
        <v>114</v>
      </c>
      <c r="J1085" t="s">
        <v>115</v>
      </c>
      <c r="K1085" t="s">
        <v>65</v>
      </c>
      <c r="L1085">
        <v>3</v>
      </c>
      <c r="M1085">
        <v>55000</v>
      </c>
      <c r="N1085">
        <v>0</v>
      </c>
      <c r="O1085">
        <v>165000</v>
      </c>
      <c r="P1085">
        <v>27961.200000000001</v>
      </c>
      <c r="Q1085" t="s">
        <v>39</v>
      </c>
      <c r="R1085" t="s">
        <v>49</v>
      </c>
      <c r="S1085" t="s">
        <v>30</v>
      </c>
    </row>
    <row r="1086" spans="1:19" x14ac:dyDescent="0.3">
      <c r="A1086" t="s">
        <v>2040</v>
      </c>
      <c r="B1086" t="s">
        <v>2041</v>
      </c>
      <c r="C1086" s="1">
        <v>45419</v>
      </c>
      <c r="D1086" t="s">
        <v>477</v>
      </c>
      <c r="E1086" t="s">
        <v>478</v>
      </c>
      <c r="F1086" t="s">
        <v>34</v>
      </c>
      <c r="G1086" t="s">
        <v>44</v>
      </c>
      <c r="H1086" t="s">
        <v>161</v>
      </c>
      <c r="I1086" t="s">
        <v>63</v>
      </c>
      <c r="J1086" t="s">
        <v>64</v>
      </c>
      <c r="K1086" t="s">
        <v>65</v>
      </c>
      <c r="L1086">
        <v>10</v>
      </c>
      <c r="M1086">
        <v>25000</v>
      </c>
      <c r="N1086">
        <v>0</v>
      </c>
      <c r="O1086">
        <v>250000</v>
      </c>
      <c r="P1086">
        <v>31660.51</v>
      </c>
      <c r="Q1086" t="s">
        <v>28</v>
      </c>
      <c r="R1086" t="s">
        <v>56</v>
      </c>
      <c r="S1086" t="s">
        <v>86</v>
      </c>
    </row>
    <row r="1087" spans="1:19" x14ac:dyDescent="0.3">
      <c r="A1087" t="s">
        <v>2042</v>
      </c>
      <c r="B1087" s="1">
        <v>45436</v>
      </c>
      <c r="C1087" s="2">
        <v>45439</v>
      </c>
      <c r="D1087" t="s">
        <v>2043</v>
      </c>
      <c r="E1087" t="s">
        <v>2044</v>
      </c>
      <c r="F1087" t="s">
        <v>55</v>
      </c>
      <c r="G1087" t="s">
        <v>61</v>
      </c>
      <c r="H1087" t="s">
        <v>125</v>
      </c>
      <c r="I1087" t="s">
        <v>114</v>
      </c>
      <c r="J1087" t="s">
        <v>115</v>
      </c>
      <c r="K1087" t="s">
        <v>65</v>
      </c>
      <c r="L1087">
        <v>4</v>
      </c>
      <c r="M1087">
        <v>55000</v>
      </c>
      <c r="N1087">
        <v>0</v>
      </c>
      <c r="O1087">
        <v>220000</v>
      </c>
      <c r="P1087">
        <v>36662.94</v>
      </c>
      <c r="Q1087" t="s">
        <v>39</v>
      </c>
      <c r="R1087" t="s">
        <v>29</v>
      </c>
      <c r="S1087" t="s">
        <v>50</v>
      </c>
    </row>
    <row r="1088" spans="1:19" x14ac:dyDescent="0.3">
      <c r="A1088" t="s">
        <v>2045</v>
      </c>
      <c r="B1088" s="1">
        <v>45302</v>
      </c>
      <c r="C1088" s="1">
        <v>45604</v>
      </c>
      <c r="D1088" t="s">
        <v>223</v>
      </c>
      <c r="E1088" t="s">
        <v>224</v>
      </c>
      <c r="F1088" t="s">
        <v>34</v>
      </c>
      <c r="G1088" t="s">
        <v>35</v>
      </c>
      <c r="H1088" t="s">
        <v>85</v>
      </c>
      <c r="I1088" t="s">
        <v>79</v>
      </c>
      <c r="J1088" t="s">
        <v>80</v>
      </c>
      <c r="K1088" t="s">
        <v>65</v>
      </c>
      <c r="L1088">
        <v>2</v>
      </c>
      <c r="M1088">
        <v>3000</v>
      </c>
      <c r="N1088">
        <v>0</v>
      </c>
      <c r="O1088">
        <v>6000</v>
      </c>
      <c r="P1088">
        <v>1293.81</v>
      </c>
      <c r="Q1088" t="s">
        <v>28</v>
      </c>
      <c r="R1088" t="s">
        <v>56</v>
      </c>
      <c r="S1088" t="s">
        <v>110</v>
      </c>
    </row>
    <row r="1089" spans="1:19" x14ac:dyDescent="0.3">
      <c r="A1089" t="s">
        <v>2046</v>
      </c>
      <c r="B1089" s="2">
        <v>45809</v>
      </c>
      <c r="C1089" s="1">
        <v>45811</v>
      </c>
      <c r="D1089" t="s">
        <v>477</v>
      </c>
      <c r="E1089" t="s">
        <v>478</v>
      </c>
      <c r="F1089" t="s">
        <v>34</v>
      </c>
      <c r="G1089" t="s">
        <v>44</v>
      </c>
      <c r="H1089" t="s">
        <v>161</v>
      </c>
      <c r="I1089" t="s">
        <v>46</v>
      </c>
      <c r="J1089" t="s">
        <v>47</v>
      </c>
      <c r="K1089" t="s">
        <v>48</v>
      </c>
      <c r="M1089">
        <v>180</v>
      </c>
      <c r="N1089">
        <v>0</v>
      </c>
      <c r="O1089">
        <v>900</v>
      </c>
      <c r="P1089">
        <v>408.57</v>
      </c>
      <c r="Q1089" t="s">
        <v>74</v>
      </c>
      <c r="R1089" t="s">
        <v>29</v>
      </c>
      <c r="S1089" t="s">
        <v>40</v>
      </c>
    </row>
    <row r="1090" spans="1:19" x14ac:dyDescent="0.3">
      <c r="A1090" t="s">
        <v>2047</v>
      </c>
      <c r="B1090" s="2">
        <v>45331</v>
      </c>
      <c r="C1090" s="1">
        <v>45336</v>
      </c>
      <c r="D1090" t="s">
        <v>388</v>
      </c>
      <c r="E1090" t="s">
        <v>389</v>
      </c>
      <c r="F1090" t="s">
        <v>23</v>
      </c>
      <c r="G1090" t="s">
        <v>44</v>
      </c>
      <c r="H1090" t="s">
        <v>161</v>
      </c>
      <c r="I1090" t="s">
        <v>93</v>
      </c>
      <c r="J1090" t="s">
        <v>94</v>
      </c>
      <c r="K1090" t="s">
        <v>95</v>
      </c>
      <c r="L1090">
        <v>5</v>
      </c>
      <c r="M1090">
        <v>1800</v>
      </c>
      <c r="N1090">
        <v>20</v>
      </c>
      <c r="O1090">
        <v>7200</v>
      </c>
      <c r="P1090">
        <v>2712.23</v>
      </c>
      <c r="Q1090" t="s">
        <v>74</v>
      </c>
      <c r="R1090" t="s">
        <v>29</v>
      </c>
      <c r="S1090" t="s">
        <v>110</v>
      </c>
    </row>
    <row r="1091" spans="1:19" x14ac:dyDescent="0.3">
      <c r="A1091" t="s">
        <v>2048</v>
      </c>
      <c r="B1091" t="s">
        <v>1099</v>
      </c>
      <c r="C1091" s="1">
        <v>45862</v>
      </c>
      <c r="D1091" t="s">
        <v>842</v>
      </c>
      <c r="E1091" t="s">
        <v>2049</v>
      </c>
      <c r="F1091" t="s">
        <v>23</v>
      </c>
      <c r="G1091" t="s">
        <v>91</v>
      </c>
      <c r="H1091" t="s">
        <v>120</v>
      </c>
      <c r="I1091" t="s">
        <v>25</v>
      </c>
      <c r="J1091" t="s">
        <v>26</v>
      </c>
      <c r="K1091" t="s">
        <v>27</v>
      </c>
      <c r="L1091">
        <v>10</v>
      </c>
      <c r="M1091">
        <v>7000</v>
      </c>
      <c r="N1091">
        <v>15</v>
      </c>
      <c r="O1091">
        <v>59500</v>
      </c>
      <c r="P1091">
        <v>9694.5</v>
      </c>
      <c r="Q1091" t="s">
        <v>74</v>
      </c>
      <c r="R1091" t="s">
        <v>56</v>
      </c>
      <c r="S1091" t="s">
        <v>30</v>
      </c>
    </row>
    <row r="1092" spans="1:19" x14ac:dyDescent="0.3">
      <c r="A1092" t="s">
        <v>2050</v>
      </c>
      <c r="B1092" s="1">
        <v>45445</v>
      </c>
      <c r="C1092" s="1">
        <v>45330</v>
      </c>
      <c r="D1092" t="s">
        <v>924</v>
      </c>
      <c r="E1092" t="s">
        <v>925</v>
      </c>
      <c r="F1092" t="s">
        <v>34</v>
      </c>
      <c r="G1092" t="s">
        <v>35</v>
      </c>
      <c r="H1092" t="s">
        <v>258</v>
      </c>
      <c r="I1092" t="s">
        <v>63</v>
      </c>
      <c r="J1092" t="s">
        <v>64</v>
      </c>
      <c r="K1092" t="s">
        <v>65</v>
      </c>
      <c r="L1092">
        <v>3</v>
      </c>
      <c r="M1092">
        <v>25000</v>
      </c>
      <c r="N1092">
        <v>0</v>
      </c>
      <c r="O1092">
        <v>75000</v>
      </c>
      <c r="P1092">
        <v>9929.85</v>
      </c>
      <c r="Q1092" t="s">
        <v>156</v>
      </c>
      <c r="R1092" t="s">
        <v>56</v>
      </c>
      <c r="S1092" t="s">
        <v>40</v>
      </c>
    </row>
    <row r="1093" spans="1:19" x14ac:dyDescent="0.3">
      <c r="A1093" t="s">
        <v>2051</v>
      </c>
      <c r="B1093" s="1">
        <v>45486</v>
      </c>
      <c r="C1093" t="s">
        <v>2052</v>
      </c>
      <c r="D1093" t="s">
        <v>1506</v>
      </c>
      <c r="E1093" t="s">
        <v>1507</v>
      </c>
      <c r="F1093" t="s">
        <v>55</v>
      </c>
      <c r="G1093" t="s">
        <v>61</v>
      </c>
      <c r="H1093" t="s">
        <v>78</v>
      </c>
      <c r="I1093" t="s">
        <v>103</v>
      </c>
      <c r="J1093" t="s">
        <v>104</v>
      </c>
      <c r="K1093" t="s">
        <v>65</v>
      </c>
      <c r="L1093">
        <v>2</v>
      </c>
      <c r="M1093">
        <v>8000</v>
      </c>
      <c r="N1093">
        <v>10</v>
      </c>
      <c r="O1093">
        <v>14400</v>
      </c>
      <c r="P1093">
        <v>3559.73</v>
      </c>
      <c r="Q1093" t="s">
        <v>156</v>
      </c>
      <c r="R1093" t="s">
        <v>49</v>
      </c>
      <c r="S1093" t="s">
        <v>110</v>
      </c>
    </row>
    <row r="1094" spans="1:19" x14ac:dyDescent="0.3">
      <c r="A1094" t="s">
        <v>2053</v>
      </c>
      <c r="B1094" s="2">
        <v>45963</v>
      </c>
      <c r="C1094" s="1">
        <v>45966</v>
      </c>
      <c r="D1094" t="s">
        <v>59</v>
      </c>
      <c r="E1094" t="s">
        <v>2054</v>
      </c>
      <c r="F1094" t="s">
        <v>23</v>
      </c>
      <c r="G1094" t="s">
        <v>61</v>
      </c>
      <c r="H1094" t="s">
        <v>62</v>
      </c>
      <c r="I1094" t="s">
        <v>134</v>
      </c>
      <c r="J1094" t="s">
        <v>135</v>
      </c>
      <c r="K1094" t="s">
        <v>27</v>
      </c>
      <c r="L1094">
        <v>1</v>
      </c>
      <c r="M1094">
        <v>6000</v>
      </c>
      <c r="N1094">
        <v>0</v>
      </c>
      <c r="O1094">
        <v>6000</v>
      </c>
      <c r="P1094">
        <v>1282.6400000000001</v>
      </c>
      <c r="R1094" t="s">
        <v>29</v>
      </c>
      <c r="S1094" t="s">
        <v>40</v>
      </c>
    </row>
    <row r="1095" spans="1:19" x14ac:dyDescent="0.3">
      <c r="A1095" t="s">
        <v>2055</v>
      </c>
      <c r="B1095" s="1">
        <v>45383</v>
      </c>
      <c r="C1095" s="1">
        <v>45387</v>
      </c>
      <c r="D1095" t="s">
        <v>450</v>
      </c>
      <c r="E1095" t="s">
        <v>451</v>
      </c>
      <c r="F1095" t="s">
        <v>55</v>
      </c>
      <c r="G1095" t="s">
        <v>61</v>
      </c>
      <c r="H1095" t="s">
        <v>62</v>
      </c>
      <c r="I1095" t="s">
        <v>147</v>
      </c>
      <c r="J1095" t="s">
        <v>148</v>
      </c>
      <c r="K1095" t="s">
        <v>48</v>
      </c>
      <c r="L1095">
        <v>1</v>
      </c>
      <c r="M1095">
        <v>250</v>
      </c>
      <c r="N1095">
        <v>10</v>
      </c>
      <c r="O1095">
        <v>225</v>
      </c>
      <c r="P1095">
        <v>82.38</v>
      </c>
      <c r="Q1095" t="s">
        <v>74</v>
      </c>
      <c r="R1095" t="s">
        <v>49</v>
      </c>
      <c r="S1095" t="s">
        <v>86</v>
      </c>
    </row>
    <row r="1096" spans="1:19" x14ac:dyDescent="0.3">
      <c r="A1096" t="s">
        <v>2056</v>
      </c>
      <c r="B1096" t="s">
        <v>2057</v>
      </c>
      <c r="C1096" s="1">
        <v>45596</v>
      </c>
      <c r="D1096" t="s">
        <v>362</v>
      </c>
      <c r="E1096" t="s">
        <v>363</v>
      </c>
      <c r="F1096" t="s">
        <v>55</v>
      </c>
      <c r="G1096" t="s">
        <v>35</v>
      </c>
      <c r="H1096" t="s">
        <v>36</v>
      </c>
      <c r="I1096" t="s">
        <v>79</v>
      </c>
      <c r="J1096" t="s">
        <v>80</v>
      </c>
      <c r="K1096" t="s">
        <v>65</v>
      </c>
      <c r="L1096">
        <v>2</v>
      </c>
      <c r="M1096">
        <v>3000</v>
      </c>
      <c r="N1096">
        <v>20</v>
      </c>
      <c r="O1096">
        <v>4800</v>
      </c>
      <c r="P1096">
        <v>1535.59</v>
      </c>
      <c r="Q1096" t="s">
        <v>28</v>
      </c>
      <c r="R1096" t="s">
        <v>49</v>
      </c>
      <c r="S1096" t="s">
        <v>50</v>
      </c>
    </row>
    <row r="1097" spans="1:19" x14ac:dyDescent="0.3">
      <c r="A1097" t="s">
        <v>2058</v>
      </c>
      <c r="B1097" t="s">
        <v>2059</v>
      </c>
      <c r="C1097" t="s">
        <v>859</v>
      </c>
      <c r="D1097" t="s">
        <v>1643</v>
      </c>
      <c r="E1097" t="s">
        <v>1644</v>
      </c>
      <c r="F1097" t="s">
        <v>55</v>
      </c>
      <c r="G1097" t="s">
        <v>91</v>
      </c>
      <c r="H1097" t="s">
        <v>120</v>
      </c>
      <c r="I1097" t="s">
        <v>126</v>
      </c>
      <c r="J1097" t="s">
        <v>127</v>
      </c>
      <c r="K1097" t="s">
        <v>95</v>
      </c>
      <c r="L1097">
        <v>1</v>
      </c>
      <c r="M1097">
        <v>600</v>
      </c>
      <c r="N1097">
        <v>0</v>
      </c>
      <c r="O1097">
        <v>600</v>
      </c>
      <c r="P1097">
        <v>245.95</v>
      </c>
      <c r="Q1097" t="s">
        <v>121</v>
      </c>
      <c r="R1097" t="s">
        <v>29</v>
      </c>
      <c r="S1097" t="s">
        <v>50</v>
      </c>
    </row>
    <row r="1098" spans="1:19" x14ac:dyDescent="0.3">
      <c r="A1098" t="s">
        <v>2060</v>
      </c>
      <c r="B1098" s="2">
        <v>45578</v>
      </c>
      <c r="C1098" s="1">
        <v>45581</v>
      </c>
      <c r="D1098" t="s">
        <v>206</v>
      </c>
      <c r="E1098" t="s">
        <v>207</v>
      </c>
      <c r="F1098" t="s">
        <v>55</v>
      </c>
      <c r="G1098" t="s">
        <v>44</v>
      </c>
      <c r="H1098" t="s">
        <v>24</v>
      </c>
      <c r="I1098" t="s">
        <v>46</v>
      </c>
      <c r="J1098" t="s">
        <v>47</v>
      </c>
      <c r="K1098" t="s">
        <v>48</v>
      </c>
      <c r="L1098">
        <v>5</v>
      </c>
      <c r="M1098">
        <v>180</v>
      </c>
      <c r="N1098">
        <v>0</v>
      </c>
      <c r="O1098">
        <v>900</v>
      </c>
      <c r="P1098">
        <v>362.82</v>
      </c>
      <c r="Q1098" t="s">
        <v>66</v>
      </c>
      <c r="R1098" t="s">
        <v>56</v>
      </c>
      <c r="S1098" t="s">
        <v>50</v>
      </c>
    </row>
    <row r="1099" spans="1:19" x14ac:dyDescent="0.3">
      <c r="A1099" t="s">
        <v>2061</v>
      </c>
      <c r="B1099" s="2">
        <v>45499</v>
      </c>
      <c r="C1099" s="1">
        <v>45503</v>
      </c>
      <c r="D1099" t="s">
        <v>657</v>
      </c>
      <c r="E1099" t="s">
        <v>658</v>
      </c>
      <c r="F1099" t="s">
        <v>34</v>
      </c>
      <c r="G1099" t="s">
        <v>91</v>
      </c>
      <c r="H1099" t="s">
        <v>120</v>
      </c>
      <c r="I1099" t="s">
        <v>147</v>
      </c>
      <c r="J1099" t="s">
        <v>148</v>
      </c>
      <c r="K1099" t="s">
        <v>48</v>
      </c>
      <c r="L1099">
        <v>4</v>
      </c>
      <c r="M1099">
        <v>250</v>
      </c>
      <c r="N1099">
        <v>20</v>
      </c>
      <c r="O1099">
        <v>800</v>
      </c>
      <c r="P1099">
        <v>292.92</v>
      </c>
      <c r="Q1099" t="s">
        <v>156</v>
      </c>
      <c r="R1099" t="s">
        <v>29</v>
      </c>
      <c r="S1099" t="s">
        <v>86</v>
      </c>
    </row>
    <row r="1100" spans="1:19" x14ac:dyDescent="0.3">
      <c r="A1100" t="s">
        <v>2062</v>
      </c>
      <c r="B1100" s="1">
        <v>45889</v>
      </c>
      <c r="C1100" s="2">
        <v>45892</v>
      </c>
      <c r="D1100" t="s">
        <v>1067</v>
      </c>
      <c r="E1100" t="s">
        <v>1068</v>
      </c>
      <c r="F1100" t="s">
        <v>23</v>
      </c>
      <c r="G1100" t="s">
        <v>35</v>
      </c>
      <c r="I1100" t="s">
        <v>126</v>
      </c>
      <c r="J1100" t="s">
        <v>127</v>
      </c>
      <c r="K1100" t="s">
        <v>95</v>
      </c>
      <c r="L1100">
        <v>1</v>
      </c>
      <c r="M1100">
        <v>600</v>
      </c>
      <c r="N1100">
        <v>0</v>
      </c>
      <c r="O1100">
        <v>600</v>
      </c>
      <c r="P1100">
        <v>203.76</v>
      </c>
      <c r="Q1100" t="s">
        <v>74</v>
      </c>
      <c r="R1100" t="s">
        <v>29</v>
      </c>
      <c r="S1100" t="s">
        <v>110</v>
      </c>
    </row>
    <row r="1101" spans="1:19" x14ac:dyDescent="0.3">
      <c r="A1101" t="s">
        <v>2063</v>
      </c>
      <c r="B1101" s="1">
        <v>45383</v>
      </c>
      <c r="C1101" s="1">
        <v>45627</v>
      </c>
      <c r="D1101" t="s">
        <v>425</v>
      </c>
      <c r="E1101" t="s">
        <v>426</v>
      </c>
      <c r="F1101" t="s">
        <v>34</v>
      </c>
      <c r="G1101" t="s">
        <v>61</v>
      </c>
      <c r="H1101" t="s">
        <v>125</v>
      </c>
      <c r="I1101" t="s">
        <v>71</v>
      </c>
      <c r="J1101" t="s">
        <v>72</v>
      </c>
      <c r="K1101" t="s">
        <v>73</v>
      </c>
      <c r="L1101">
        <v>10</v>
      </c>
      <c r="M1101">
        <v>3500</v>
      </c>
      <c r="N1101">
        <v>20</v>
      </c>
      <c r="O1101">
        <v>28000</v>
      </c>
      <c r="P1101">
        <v>9344.4500000000007</v>
      </c>
      <c r="Q1101" t="s">
        <v>156</v>
      </c>
      <c r="R1101" t="s">
        <v>56</v>
      </c>
      <c r="S1101" t="s">
        <v>86</v>
      </c>
    </row>
    <row r="1102" spans="1:19" x14ac:dyDescent="0.3">
      <c r="A1102" t="s">
        <v>2064</v>
      </c>
      <c r="B1102" s="1">
        <v>45882</v>
      </c>
      <c r="C1102" s="1">
        <v>45883</v>
      </c>
      <c r="D1102" t="s">
        <v>21</v>
      </c>
      <c r="E1102" t="s">
        <v>22</v>
      </c>
      <c r="F1102" t="s">
        <v>23</v>
      </c>
      <c r="G1102" t="s">
        <v>44</v>
      </c>
      <c r="H1102" t="s">
        <v>24</v>
      </c>
      <c r="I1102" t="s">
        <v>126</v>
      </c>
      <c r="J1102" t="s">
        <v>127</v>
      </c>
      <c r="K1102" t="s">
        <v>95</v>
      </c>
      <c r="L1102">
        <v>5</v>
      </c>
      <c r="M1102">
        <v>600</v>
      </c>
      <c r="N1102">
        <v>0</v>
      </c>
      <c r="O1102">
        <v>3000</v>
      </c>
      <c r="Q1102" t="s">
        <v>74</v>
      </c>
      <c r="R1102" t="s">
        <v>49</v>
      </c>
      <c r="S1102" t="s">
        <v>40</v>
      </c>
    </row>
    <row r="1103" spans="1:19" x14ac:dyDescent="0.3">
      <c r="A1103" t="s">
        <v>2065</v>
      </c>
      <c r="B1103" s="1">
        <v>45345</v>
      </c>
      <c r="C1103" s="2">
        <v>45346</v>
      </c>
      <c r="D1103" t="s">
        <v>237</v>
      </c>
      <c r="E1103" t="s">
        <v>238</v>
      </c>
      <c r="F1103" t="s">
        <v>55</v>
      </c>
      <c r="G1103" t="s">
        <v>44</v>
      </c>
      <c r="H1103" t="s">
        <v>155</v>
      </c>
      <c r="I1103" t="s">
        <v>126</v>
      </c>
      <c r="J1103" t="s">
        <v>127</v>
      </c>
      <c r="K1103" t="s">
        <v>95</v>
      </c>
      <c r="L1103">
        <v>1</v>
      </c>
      <c r="M1103">
        <v>600</v>
      </c>
      <c r="N1103">
        <v>20</v>
      </c>
      <c r="O1103">
        <v>480</v>
      </c>
      <c r="P1103">
        <v>165.31</v>
      </c>
      <c r="Q1103" t="s">
        <v>28</v>
      </c>
      <c r="R1103" t="s">
        <v>29</v>
      </c>
      <c r="S1103" t="s">
        <v>30</v>
      </c>
    </row>
    <row r="1104" spans="1:19" x14ac:dyDescent="0.3">
      <c r="A1104" t="s">
        <v>2066</v>
      </c>
      <c r="B1104" s="1">
        <v>45957</v>
      </c>
      <c r="C1104" t="s">
        <v>620</v>
      </c>
      <c r="D1104" t="s">
        <v>1579</v>
      </c>
      <c r="E1104" t="s">
        <v>1580</v>
      </c>
      <c r="F1104" t="s">
        <v>55</v>
      </c>
      <c r="G1104" t="s">
        <v>44</v>
      </c>
      <c r="H1104" t="s">
        <v>45</v>
      </c>
      <c r="I1104" t="s">
        <v>147</v>
      </c>
      <c r="J1104" t="s">
        <v>148</v>
      </c>
      <c r="K1104" t="s">
        <v>48</v>
      </c>
      <c r="L1104">
        <v>2</v>
      </c>
      <c r="M1104">
        <v>250</v>
      </c>
      <c r="N1104">
        <v>5</v>
      </c>
      <c r="O1104">
        <v>475</v>
      </c>
      <c r="P1104">
        <v>160.91999999999999</v>
      </c>
      <c r="Q1104" t="s">
        <v>66</v>
      </c>
      <c r="R1104" t="s">
        <v>29</v>
      </c>
      <c r="S1104" t="s">
        <v>86</v>
      </c>
    </row>
    <row r="1105" spans="1:19" x14ac:dyDescent="0.3">
      <c r="A1105" t="s">
        <v>2067</v>
      </c>
      <c r="B1105" s="1">
        <v>45381</v>
      </c>
      <c r="C1105" s="2">
        <v>45385</v>
      </c>
      <c r="D1105" t="s">
        <v>557</v>
      </c>
      <c r="E1105" t="s">
        <v>558</v>
      </c>
      <c r="F1105" t="s">
        <v>23</v>
      </c>
      <c r="G1105" t="s">
        <v>61</v>
      </c>
      <c r="H1105" t="s">
        <v>62</v>
      </c>
      <c r="I1105" t="s">
        <v>25</v>
      </c>
      <c r="J1105" t="s">
        <v>26</v>
      </c>
      <c r="K1105" t="s">
        <v>27</v>
      </c>
      <c r="L1105">
        <v>1</v>
      </c>
      <c r="M1105">
        <v>7000</v>
      </c>
      <c r="N1105">
        <v>0</v>
      </c>
      <c r="O1105">
        <v>7000</v>
      </c>
      <c r="P1105">
        <v>1534.2</v>
      </c>
      <c r="Q1105" t="s">
        <v>156</v>
      </c>
      <c r="R1105" t="s">
        <v>29</v>
      </c>
      <c r="S1105" t="s">
        <v>40</v>
      </c>
    </row>
    <row r="1106" spans="1:19" x14ac:dyDescent="0.3">
      <c r="A1106" t="s">
        <v>2068</v>
      </c>
      <c r="B1106" s="1">
        <v>45515</v>
      </c>
      <c r="C1106" s="1">
        <v>45606</v>
      </c>
      <c r="D1106" t="s">
        <v>1506</v>
      </c>
      <c r="E1106" t="s">
        <v>1507</v>
      </c>
      <c r="F1106" t="s">
        <v>55</v>
      </c>
      <c r="G1106" t="s">
        <v>61</v>
      </c>
      <c r="H1106" t="s">
        <v>78</v>
      </c>
      <c r="I1106" t="s">
        <v>103</v>
      </c>
      <c r="J1106" t="s">
        <v>104</v>
      </c>
      <c r="K1106" t="s">
        <v>65</v>
      </c>
      <c r="L1106">
        <v>4</v>
      </c>
      <c r="M1106">
        <v>8000</v>
      </c>
      <c r="N1106">
        <v>20</v>
      </c>
      <c r="O1106">
        <v>25600</v>
      </c>
      <c r="P1106">
        <v>6272.01</v>
      </c>
      <c r="Q1106" t="s">
        <v>39</v>
      </c>
      <c r="R1106" t="s">
        <v>29</v>
      </c>
      <c r="S1106" t="s">
        <v>30</v>
      </c>
    </row>
    <row r="1107" spans="1:19" x14ac:dyDescent="0.3">
      <c r="A1107" t="s">
        <v>2069</v>
      </c>
      <c r="B1107" s="2">
        <v>45561</v>
      </c>
      <c r="C1107" s="1">
        <v>45568</v>
      </c>
      <c r="D1107" t="s">
        <v>1028</v>
      </c>
      <c r="E1107" t="s">
        <v>1029</v>
      </c>
      <c r="F1107" t="s">
        <v>34</v>
      </c>
      <c r="G1107" t="s">
        <v>91</v>
      </c>
      <c r="H1107" t="s">
        <v>120</v>
      </c>
      <c r="I1107" t="s">
        <v>46</v>
      </c>
      <c r="J1107" t="s">
        <v>47</v>
      </c>
      <c r="K1107" t="s">
        <v>48</v>
      </c>
      <c r="L1107">
        <v>2</v>
      </c>
      <c r="M1107">
        <v>180</v>
      </c>
      <c r="N1107">
        <v>20</v>
      </c>
      <c r="O1107">
        <v>288</v>
      </c>
      <c r="P1107">
        <v>124.74</v>
      </c>
      <c r="Q1107" t="s">
        <v>66</v>
      </c>
      <c r="R1107" t="s">
        <v>56</v>
      </c>
      <c r="S1107" t="s">
        <v>86</v>
      </c>
    </row>
    <row r="1108" spans="1:19" x14ac:dyDescent="0.3">
      <c r="A1108" t="s">
        <v>2070</v>
      </c>
      <c r="B1108" s="1">
        <v>45609</v>
      </c>
      <c r="C1108" s="1">
        <v>45612</v>
      </c>
      <c r="D1108" t="s">
        <v>21</v>
      </c>
      <c r="E1108" t="s">
        <v>22</v>
      </c>
      <c r="F1108" t="s">
        <v>23</v>
      </c>
      <c r="G1108" t="s">
        <v>44</v>
      </c>
      <c r="H1108" t="s">
        <v>24</v>
      </c>
      <c r="I1108" t="s">
        <v>93</v>
      </c>
      <c r="J1108" t="s">
        <v>94</v>
      </c>
      <c r="K1108" t="s">
        <v>95</v>
      </c>
      <c r="L1108">
        <v>-3</v>
      </c>
      <c r="M1108">
        <v>1800</v>
      </c>
      <c r="N1108">
        <v>10</v>
      </c>
      <c r="O1108">
        <v>4860</v>
      </c>
      <c r="P1108">
        <v>1392.24</v>
      </c>
      <c r="Q1108" t="s">
        <v>28</v>
      </c>
      <c r="R1108" t="s">
        <v>56</v>
      </c>
      <c r="S1108" t="s">
        <v>86</v>
      </c>
    </row>
    <row r="1109" spans="1:19" x14ac:dyDescent="0.3">
      <c r="A1109" t="s">
        <v>2071</v>
      </c>
      <c r="B1109" s="1">
        <v>45351</v>
      </c>
      <c r="D1109" t="s">
        <v>1414</v>
      </c>
      <c r="E1109" t="s">
        <v>1415</v>
      </c>
      <c r="F1109" t="s">
        <v>55</v>
      </c>
      <c r="G1109" t="s">
        <v>44</v>
      </c>
      <c r="I1109" t="s">
        <v>71</v>
      </c>
      <c r="J1109" t="s">
        <v>72</v>
      </c>
      <c r="K1109" t="s">
        <v>73</v>
      </c>
      <c r="L1109">
        <v>3</v>
      </c>
      <c r="M1109">
        <v>3500</v>
      </c>
      <c r="N1109">
        <v>5</v>
      </c>
      <c r="O1109">
        <v>9975</v>
      </c>
      <c r="P1109">
        <v>3173.7</v>
      </c>
      <c r="Q1109" t="s">
        <v>28</v>
      </c>
      <c r="R1109" t="s">
        <v>29</v>
      </c>
      <c r="S1109" t="s">
        <v>110</v>
      </c>
    </row>
    <row r="1110" spans="1:19" x14ac:dyDescent="0.3">
      <c r="A1110" t="s">
        <v>2072</v>
      </c>
      <c r="B1110" t="s">
        <v>1828</v>
      </c>
      <c r="C1110" s="1">
        <v>45521</v>
      </c>
      <c r="D1110" t="s">
        <v>473</v>
      </c>
      <c r="E1110" t="s">
        <v>474</v>
      </c>
      <c r="F1110" t="s">
        <v>34</v>
      </c>
      <c r="G1110" t="s">
        <v>61</v>
      </c>
      <c r="H1110" t="s">
        <v>62</v>
      </c>
      <c r="I1110" t="s">
        <v>134</v>
      </c>
      <c r="J1110" t="s">
        <v>135</v>
      </c>
      <c r="K1110" t="s">
        <v>27</v>
      </c>
      <c r="L1110">
        <v>1</v>
      </c>
      <c r="M1110">
        <v>6000</v>
      </c>
      <c r="N1110">
        <v>0</v>
      </c>
      <c r="O1110">
        <v>6000</v>
      </c>
      <c r="P1110">
        <v>1458.85</v>
      </c>
      <c r="Q1110" t="s">
        <v>121</v>
      </c>
      <c r="R1110" t="s">
        <v>56</v>
      </c>
      <c r="S1110" t="s">
        <v>110</v>
      </c>
    </row>
    <row r="1111" spans="1:19" x14ac:dyDescent="0.3">
      <c r="A1111" t="s">
        <v>2073</v>
      </c>
      <c r="B1111" s="2">
        <v>45666</v>
      </c>
      <c r="C1111" s="1">
        <v>45669</v>
      </c>
      <c r="D1111" t="s">
        <v>1426</v>
      </c>
      <c r="E1111" t="s">
        <v>1427</v>
      </c>
      <c r="F1111" t="s">
        <v>23</v>
      </c>
      <c r="G1111" t="s">
        <v>61</v>
      </c>
      <c r="H1111" t="s">
        <v>62</v>
      </c>
      <c r="I1111" t="s">
        <v>134</v>
      </c>
      <c r="J1111" t="s">
        <v>135</v>
      </c>
      <c r="K1111" t="s">
        <v>27</v>
      </c>
      <c r="L1111">
        <v>1</v>
      </c>
      <c r="M1111">
        <v>6000</v>
      </c>
      <c r="N1111">
        <v>20</v>
      </c>
      <c r="O1111">
        <v>4800</v>
      </c>
      <c r="P1111">
        <v>1183.06</v>
      </c>
      <c r="Q1111" t="s">
        <v>121</v>
      </c>
      <c r="R1111" t="s">
        <v>56</v>
      </c>
      <c r="S1111" t="s">
        <v>50</v>
      </c>
    </row>
    <row r="1112" spans="1:19" x14ac:dyDescent="0.3">
      <c r="A1112" t="s">
        <v>2074</v>
      </c>
      <c r="B1112" s="2">
        <v>45453</v>
      </c>
      <c r="D1112" t="s">
        <v>726</v>
      </c>
      <c r="E1112" t="s">
        <v>727</v>
      </c>
      <c r="F1112" t="s">
        <v>34</v>
      </c>
      <c r="G1112" t="s">
        <v>35</v>
      </c>
      <c r="H1112" t="s">
        <v>258</v>
      </c>
      <c r="I1112" t="s">
        <v>37</v>
      </c>
      <c r="J1112" t="s">
        <v>38</v>
      </c>
      <c r="K1112" t="s">
        <v>27</v>
      </c>
      <c r="L1112">
        <v>1</v>
      </c>
      <c r="M1112">
        <v>9500</v>
      </c>
      <c r="N1112">
        <v>0</v>
      </c>
      <c r="O1112">
        <v>9500</v>
      </c>
      <c r="P1112">
        <v>2009.64</v>
      </c>
      <c r="Q1112" t="s">
        <v>121</v>
      </c>
      <c r="R1112" t="s">
        <v>56</v>
      </c>
      <c r="S1112" t="s">
        <v>40</v>
      </c>
    </row>
    <row r="1113" spans="1:19" x14ac:dyDescent="0.3">
      <c r="A1113" t="s">
        <v>2075</v>
      </c>
      <c r="B1113" s="1">
        <v>45708</v>
      </c>
      <c r="C1113" t="s">
        <v>2076</v>
      </c>
      <c r="D1113" t="s">
        <v>2043</v>
      </c>
      <c r="E1113" t="s">
        <v>2044</v>
      </c>
      <c r="F1113" t="s">
        <v>55</v>
      </c>
      <c r="G1113" t="s">
        <v>61</v>
      </c>
      <c r="I1113" t="s">
        <v>134</v>
      </c>
      <c r="J1113" t="s">
        <v>135</v>
      </c>
      <c r="K1113" t="s">
        <v>27</v>
      </c>
      <c r="L1113">
        <v>1</v>
      </c>
      <c r="M1113">
        <v>6000</v>
      </c>
      <c r="N1113">
        <v>15</v>
      </c>
      <c r="O1113">
        <v>5100</v>
      </c>
      <c r="P1113">
        <v>1110.56</v>
      </c>
      <c r="Q1113" t="s">
        <v>74</v>
      </c>
      <c r="R1113" t="s">
        <v>56</v>
      </c>
      <c r="S1113" t="s">
        <v>86</v>
      </c>
    </row>
    <row r="1114" spans="1:19" x14ac:dyDescent="0.3">
      <c r="A1114" t="s">
        <v>2077</v>
      </c>
      <c r="B1114" s="2">
        <v>45456</v>
      </c>
      <c r="C1114" t="s">
        <v>2078</v>
      </c>
      <c r="D1114" t="s">
        <v>886</v>
      </c>
      <c r="E1114" t="s">
        <v>887</v>
      </c>
      <c r="F1114" t="s">
        <v>55</v>
      </c>
      <c r="G1114" t="s">
        <v>91</v>
      </c>
      <c r="H1114" t="s">
        <v>177</v>
      </c>
      <c r="I1114" t="s">
        <v>103</v>
      </c>
      <c r="J1114" t="s">
        <v>104</v>
      </c>
      <c r="K1114" t="s">
        <v>65</v>
      </c>
      <c r="L1114">
        <v>5</v>
      </c>
      <c r="M1114">
        <v>8000</v>
      </c>
      <c r="N1114">
        <v>15</v>
      </c>
      <c r="O1114">
        <v>34000</v>
      </c>
      <c r="P1114">
        <v>7028.43</v>
      </c>
      <c r="Q1114" t="s">
        <v>66</v>
      </c>
      <c r="R1114" t="s">
        <v>49</v>
      </c>
      <c r="S1114" t="s">
        <v>86</v>
      </c>
    </row>
    <row r="1115" spans="1:19" x14ac:dyDescent="0.3">
      <c r="A1115" t="s">
        <v>2079</v>
      </c>
      <c r="B1115" s="1">
        <v>45339</v>
      </c>
      <c r="C1115" t="s">
        <v>1518</v>
      </c>
      <c r="D1115" t="s">
        <v>2080</v>
      </c>
      <c r="E1115" t="s">
        <v>2081</v>
      </c>
      <c r="F1115" t="s">
        <v>34</v>
      </c>
      <c r="G1115" t="s">
        <v>91</v>
      </c>
      <c r="H1115" t="s">
        <v>120</v>
      </c>
      <c r="I1115" t="s">
        <v>134</v>
      </c>
      <c r="J1115" t="s">
        <v>135</v>
      </c>
      <c r="K1115" t="s">
        <v>27</v>
      </c>
      <c r="L1115">
        <v>2</v>
      </c>
      <c r="M1115">
        <v>6000</v>
      </c>
      <c r="N1115">
        <v>0</v>
      </c>
      <c r="O1115">
        <v>12000</v>
      </c>
      <c r="P1115">
        <v>2150.2199999999998</v>
      </c>
      <c r="Q1115" t="s">
        <v>28</v>
      </c>
      <c r="R1115" t="s">
        <v>29</v>
      </c>
      <c r="S1115" t="s">
        <v>86</v>
      </c>
    </row>
    <row r="1116" spans="1:19" x14ac:dyDescent="0.3">
      <c r="A1116" t="s">
        <v>2082</v>
      </c>
      <c r="B1116" s="1">
        <v>45454</v>
      </c>
      <c r="C1116" s="2">
        <v>45609</v>
      </c>
      <c r="D1116" t="s">
        <v>767</v>
      </c>
      <c r="E1116" t="s">
        <v>768</v>
      </c>
      <c r="F1116" t="s">
        <v>23</v>
      </c>
      <c r="G1116" t="s">
        <v>35</v>
      </c>
      <c r="H1116" t="s">
        <v>258</v>
      </c>
      <c r="I1116" t="s">
        <v>114</v>
      </c>
      <c r="J1116" t="s">
        <v>115</v>
      </c>
      <c r="K1116" t="s">
        <v>65</v>
      </c>
      <c r="L1116">
        <v>1</v>
      </c>
      <c r="M1116">
        <v>55000</v>
      </c>
      <c r="N1116">
        <v>5</v>
      </c>
      <c r="O1116">
        <v>52250</v>
      </c>
      <c r="P1116">
        <v>8725.19</v>
      </c>
      <c r="Q1116" t="s">
        <v>121</v>
      </c>
      <c r="R1116" t="s">
        <v>49</v>
      </c>
      <c r="S1116" t="s">
        <v>40</v>
      </c>
    </row>
    <row r="1117" spans="1:19" x14ac:dyDescent="0.3">
      <c r="A1117" t="s">
        <v>2083</v>
      </c>
      <c r="B1117" s="1">
        <v>45332</v>
      </c>
      <c r="C1117" s="1">
        <v>45337</v>
      </c>
      <c r="D1117" t="s">
        <v>233</v>
      </c>
      <c r="E1117" t="s">
        <v>234</v>
      </c>
      <c r="F1117" t="s">
        <v>23</v>
      </c>
      <c r="G1117" t="s">
        <v>61</v>
      </c>
      <c r="H1117" t="s">
        <v>211</v>
      </c>
      <c r="I1117" t="s">
        <v>25</v>
      </c>
      <c r="J1117" t="s">
        <v>26</v>
      </c>
      <c r="K1117" t="s">
        <v>27</v>
      </c>
      <c r="L1117">
        <v>2</v>
      </c>
      <c r="M1117">
        <v>7000</v>
      </c>
      <c r="N1117">
        <v>0</v>
      </c>
      <c r="O1117">
        <v>14000</v>
      </c>
      <c r="P1117">
        <v>3298.37</v>
      </c>
      <c r="Q1117" t="s">
        <v>66</v>
      </c>
      <c r="R1117" t="s">
        <v>56</v>
      </c>
      <c r="S1117" t="s">
        <v>50</v>
      </c>
    </row>
    <row r="1118" spans="1:19" x14ac:dyDescent="0.3">
      <c r="A1118" t="s">
        <v>2084</v>
      </c>
      <c r="B1118" s="1">
        <v>45477</v>
      </c>
      <c r="C1118" s="1">
        <v>45569</v>
      </c>
      <c r="D1118" t="s">
        <v>847</v>
      </c>
      <c r="E1118" t="s">
        <v>848</v>
      </c>
      <c r="F1118" t="s">
        <v>23</v>
      </c>
      <c r="G1118" t="s">
        <v>44</v>
      </c>
      <c r="H1118" t="s">
        <v>161</v>
      </c>
      <c r="I1118" t="s">
        <v>25</v>
      </c>
      <c r="J1118" t="s">
        <v>26</v>
      </c>
      <c r="K1118" t="s">
        <v>27</v>
      </c>
      <c r="L1118">
        <v>2</v>
      </c>
      <c r="M1118">
        <v>7000</v>
      </c>
      <c r="N1118">
        <v>15</v>
      </c>
      <c r="O1118">
        <v>11900</v>
      </c>
      <c r="P1118">
        <v>2561.7800000000002</v>
      </c>
      <c r="Q1118" t="s">
        <v>74</v>
      </c>
      <c r="R1118" t="s">
        <v>29</v>
      </c>
      <c r="S1118" t="s">
        <v>110</v>
      </c>
    </row>
    <row r="1119" spans="1:19" x14ac:dyDescent="0.3">
      <c r="A1119" t="s">
        <v>2085</v>
      </c>
      <c r="B1119" t="s">
        <v>1674</v>
      </c>
      <c r="C1119" s="2">
        <v>45324</v>
      </c>
      <c r="D1119" t="s">
        <v>1100</v>
      </c>
      <c r="E1119" t="s">
        <v>1101</v>
      </c>
      <c r="F1119" t="s">
        <v>23</v>
      </c>
      <c r="G1119" t="s">
        <v>44</v>
      </c>
      <c r="H1119" t="s">
        <v>161</v>
      </c>
      <c r="I1119" t="s">
        <v>25</v>
      </c>
      <c r="J1119" t="s">
        <v>26</v>
      </c>
      <c r="K1119" t="s">
        <v>27</v>
      </c>
      <c r="L1119">
        <v>3</v>
      </c>
      <c r="M1119">
        <v>7000</v>
      </c>
      <c r="N1119">
        <v>20</v>
      </c>
      <c r="O1119">
        <v>16800</v>
      </c>
      <c r="P1119">
        <v>2865.24</v>
      </c>
      <c r="Q1119" t="s">
        <v>66</v>
      </c>
      <c r="R1119" t="s">
        <v>56</v>
      </c>
      <c r="S1119" t="s">
        <v>86</v>
      </c>
    </row>
    <row r="1120" spans="1:19" x14ac:dyDescent="0.3">
      <c r="A1120" t="s">
        <v>2086</v>
      </c>
      <c r="B1120" s="1">
        <v>45934</v>
      </c>
      <c r="C1120" s="1">
        <v>45941</v>
      </c>
      <c r="D1120" t="s">
        <v>1796</v>
      </c>
      <c r="E1120" t="s">
        <v>1797</v>
      </c>
      <c r="F1120" t="s">
        <v>55</v>
      </c>
      <c r="G1120" t="s">
        <v>44</v>
      </c>
      <c r="H1120" t="s">
        <v>330</v>
      </c>
      <c r="I1120" t="s">
        <v>114</v>
      </c>
      <c r="J1120" t="s">
        <v>115</v>
      </c>
      <c r="K1120" t="s">
        <v>65</v>
      </c>
      <c r="L1120">
        <v>1</v>
      </c>
      <c r="M1120">
        <v>55000</v>
      </c>
      <c r="N1120">
        <v>10</v>
      </c>
      <c r="O1120">
        <v>49500</v>
      </c>
      <c r="P1120">
        <v>7571.01</v>
      </c>
      <c r="Q1120" t="s">
        <v>121</v>
      </c>
      <c r="R1120" t="s">
        <v>29</v>
      </c>
      <c r="S1120" t="s">
        <v>40</v>
      </c>
    </row>
    <row r="1121" spans="1:19" x14ac:dyDescent="0.3">
      <c r="A1121" t="s">
        <v>2087</v>
      </c>
      <c r="B1121" s="1">
        <v>45808</v>
      </c>
      <c r="C1121" s="1">
        <v>45809</v>
      </c>
      <c r="D1121" t="s">
        <v>1889</v>
      </c>
      <c r="E1121" t="s">
        <v>1890</v>
      </c>
      <c r="F1121" t="s">
        <v>55</v>
      </c>
      <c r="G1121" t="s">
        <v>91</v>
      </c>
      <c r="H1121" t="s">
        <v>120</v>
      </c>
      <c r="I1121" t="s">
        <v>63</v>
      </c>
      <c r="J1121" t="s">
        <v>64</v>
      </c>
      <c r="K1121" t="s">
        <v>65</v>
      </c>
      <c r="L1121">
        <v>3</v>
      </c>
      <c r="M1121">
        <v>25000</v>
      </c>
      <c r="N1121">
        <v>20</v>
      </c>
      <c r="O1121">
        <v>60000</v>
      </c>
      <c r="P1121">
        <v>8937.5</v>
      </c>
      <c r="Q1121" t="s">
        <v>66</v>
      </c>
      <c r="R1121" t="s">
        <v>56</v>
      </c>
      <c r="S1121" t="s">
        <v>40</v>
      </c>
    </row>
    <row r="1122" spans="1:19" x14ac:dyDescent="0.3">
      <c r="A1122" t="s">
        <v>2088</v>
      </c>
      <c r="B1122" t="s">
        <v>869</v>
      </c>
      <c r="C1122" s="1">
        <v>45630</v>
      </c>
      <c r="D1122" t="s">
        <v>76</v>
      </c>
      <c r="E1122" t="s">
        <v>666</v>
      </c>
      <c r="F1122" t="s">
        <v>23</v>
      </c>
      <c r="G1122" t="s">
        <v>61</v>
      </c>
      <c r="H1122" t="s">
        <v>78</v>
      </c>
      <c r="I1122" t="s">
        <v>114</v>
      </c>
      <c r="J1122" t="s">
        <v>115</v>
      </c>
      <c r="K1122" t="s">
        <v>65</v>
      </c>
      <c r="L1122">
        <v>1</v>
      </c>
      <c r="M1122">
        <v>55000</v>
      </c>
      <c r="N1122">
        <v>0</v>
      </c>
      <c r="O1122">
        <v>55000</v>
      </c>
      <c r="P1122">
        <v>9438.33</v>
      </c>
      <c r="Q1122" t="s">
        <v>39</v>
      </c>
      <c r="R1122" t="s">
        <v>56</v>
      </c>
      <c r="S1122" t="s">
        <v>50</v>
      </c>
    </row>
    <row r="1123" spans="1:19" x14ac:dyDescent="0.3">
      <c r="A1123" t="s">
        <v>2089</v>
      </c>
      <c r="B1123" s="1">
        <v>45713</v>
      </c>
      <c r="C1123" s="1">
        <v>45660</v>
      </c>
      <c r="D1123" t="s">
        <v>939</v>
      </c>
      <c r="E1123" t="s">
        <v>940</v>
      </c>
      <c r="F1123" t="s">
        <v>55</v>
      </c>
      <c r="G1123" t="s">
        <v>61</v>
      </c>
      <c r="H1123" t="s">
        <v>78</v>
      </c>
      <c r="I1123" t="s">
        <v>126</v>
      </c>
      <c r="J1123" t="s">
        <v>127</v>
      </c>
      <c r="K1123" t="s">
        <v>95</v>
      </c>
      <c r="L1123">
        <v>1</v>
      </c>
      <c r="M1123">
        <v>600</v>
      </c>
      <c r="N1123">
        <v>10</v>
      </c>
      <c r="O1123">
        <v>540</v>
      </c>
      <c r="P1123">
        <v>178.43</v>
      </c>
      <c r="Q1123" t="s">
        <v>39</v>
      </c>
      <c r="R1123" t="s">
        <v>29</v>
      </c>
      <c r="S1123" t="s">
        <v>110</v>
      </c>
    </row>
    <row r="1124" spans="1:19" x14ac:dyDescent="0.3">
      <c r="A1124" t="s">
        <v>2090</v>
      </c>
      <c r="B1124" t="s">
        <v>1062</v>
      </c>
      <c r="C1124" s="1">
        <v>45497</v>
      </c>
      <c r="D1124" t="s">
        <v>947</v>
      </c>
      <c r="E1124" t="s">
        <v>948</v>
      </c>
      <c r="F1124" t="s">
        <v>55</v>
      </c>
      <c r="G1124" t="s">
        <v>35</v>
      </c>
      <c r="H1124" t="s">
        <v>36</v>
      </c>
      <c r="I1124" t="s">
        <v>37</v>
      </c>
      <c r="J1124" t="s">
        <v>38</v>
      </c>
      <c r="K1124" t="s">
        <v>27</v>
      </c>
      <c r="L1124">
        <v>1</v>
      </c>
      <c r="M1124">
        <v>9500</v>
      </c>
      <c r="N1124">
        <v>0</v>
      </c>
      <c r="O1124">
        <v>9500</v>
      </c>
      <c r="P1124">
        <v>1628.4</v>
      </c>
      <c r="Q1124" t="s">
        <v>28</v>
      </c>
      <c r="R1124" t="s">
        <v>29</v>
      </c>
      <c r="S1124" t="s">
        <v>30</v>
      </c>
    </row>
    <row r="1125" spans="1:19" x14ac:dyDescent="0.3">
      <c r="A1125" t="s">
        <v>2091</v>
      </c>
      <c r="B1125" s="1">
        <v>45647</v>
      </c>
      <c r="C1125" t="s">
        <v>2092</v>
      </c>
      <c r="D1125" t="s">
        <v>175</v>
      </c>
      <c r="E1125" t="s">
        <v>1984</v>
      </c>
      <c r="F1125" t="s">
        <v>55</v>
      </c>
      <c r="G1125" t="s">
        <v>91</v>
      </c>
      <c r="H1125" t="s">
        <v>177</v>
      </c>
      <c r="I1125" t="s">
        <v>79</v>
      </c>
      <c r="J1125" t="s">
        <v>80</v>
      </c>
      <c r="K1125" t="s">
        <v>65</v>
      </c>
      <c r="M1125">
        <v>3000</v>
      </c>
      <c r="N1125">
        <v>0</v>
      </c>
      <c r="O1125">
        <v>6000</v>
      </c>
      <c r="P1125">
        <v>1955.73</v>
      </c>
      <c r="Q1125" t="s">
        <v>28</v>
      </c>
      <c r="R1125" t="s">
        <v>56</v>
      </c>
      <c r="S1125" t="s">
        <v>50</v>
      </c>
    </row>
    <row r="1126" spans="1:19" x14ac:dyDescent="0.3">
      <c r="A1126" t="s">
        <v>2093</v>
      </c>
      <c r="B1126" t="s">
        <v>2094</v>
      </c>
      <c r="C1126" s="1">
        <v>45417</v>
      </c>
      <c r="D1126" t="s">
        <v>509</v>
      </c>
      <c r="E1126" t="s">
        <v>510</v>
      </c>
      <c r="F1126" t="s">
        <v>23</v>
      </c>
      <c r="G1126" t="s">
        <v>91</v>
      </c>
      <c r="H1126" t="s">
        <v>120</v>
      </c>
      <c r="I1126" t="s">
        <v>37</v>
      </c>
      <c r="J1126" t="s">
        <v>38</v>
      </c>
      <c r="K1126" t="s">
        <v>366</v>
      </c>
      <c r="L1126">
        <v>3</v>
      </c>
      <c r="M1126">
        <v>9500</v>
      </c>
      <c r="N1126">
        <v>5</v>
      </c>
      <c r="O1126">
        <v>27075</v>
      </c>
      <c r="P1126">
        <v>5377.74</v>
      </c>
      <c r="Q1126" t="s">
        <v>74</v>
      </c>
      <c r="R1126" t="s">
        <v>29</v>
      </c>
      <c r="S1126" t="s">
        <v>110</v>
      </c>
    </row>
    <row r="1127" spans="1:19" x14ac:dyDescent="0.3">
      <c r="A1127" t="s">
        <v>2095</v>
      </c>
      <c r="B1127" s="1">
        <v>45934</v>
      </c>
      <c r="C1127" s="1">
        <v>45910</v>
      </c>
      <c r="D1127" t="s">
        <v>827</v>
      </c>
      <c r="E1127" t="s">
        <v>828</v>
      </c>
      <c r="F1127" t="s">
        <v>34</v>
      </c>
      <c r="G1127" t="s">
        <v>44</v>
      </c>
      <c r="H1127" t="s">
        <v>155</v>
      </c>
      <c r="I1127" t="s">
        <v>93</v>
      </c>
      <c r="J1127" t="s">
        <v>94</v>
      </c>
      <c r="K1127" t="s">
        <v>850</v>
      </c>
      <c r="L1127">
        <v>4</v>
      </c>
      <c r="M1127">
        <v>1800</v>
      </c>
      <c r="N1127">
        <v>0</v>
      </c>
      <c r="O1127">
        <v>7200</v>
      </c>
      <c r="P1127">
        <v>2117.14</v>
      </c>
      <c r="Q1127" t="s">
        <v>156</v>
      </c>
      <c r="R1127" t="s">
        <v>56</v>
      </c>
      <c r="S1127" t="s">
        <v>40</v>
      </c>
    </row>
    <row r="1128" spans="1:19" x14ac:dyDescent="0.3">
      <c r="A1128" t="s">
        <v>2096</v>
      </c>
      <c r="B1128" t="s">
        <v>2097</v>
      </c>
      <c r="C1128" t="s">
        <v>2098</v>
      </c>
      <c r="D1128" t="s">
        <v>403</v>
      </c>
      <c r="E1128" t="s">
        <v>404</v>
      </c>
      <c r="F1128" t="s">
        <v>55</v>
      </c>
      <c r="G1128" t="s">
        <v>35</v>
      </c>
      <c r="H1128" t="s">
        <v>36</v>
      </c>
      <c r="I1128" t="s">
        <v>126</v>
      </c>
      <c r="J1128" t="s">
        <v>127</v>
      </c>
      <c r="K1128" t="s">
        <v>95</v>
      </c>
      <c r="L1128">
        <v>2</v>
      </c>
      <c r="M1128">
        <v>600</v>
      </c>
      <c r="N1128">
        <v>0</v>
      </c>
      <c r="O1128">
        <v>1200</v>
      </c>
      <c r="P1128">
        <v>456.91</v>
      </c>
      <c r="Q1128" t="s">
        <v>66</v>
      </c>
      <c r="R1128" t="s">
        <v>49</v>
      </c>
      <c r="S1128" t="s">
        <v>110</v>
      </c>
    </row>
    <row r="1129" spans="1:19" x14ac:dyDescent="0.3">
      <c r="A1129" t="s">
        <v>2099</v>
      </c>
      <c r="B1129" s="1">
        <v>45495</v>
      </c>
      <c r="C1129" t="s">
        <v>2100</v>
      </c>
      <c r="D1129" t="s">
        <v>509</v>
      </c>
      <c r="E1129" t="s">
        <v>510</v>
      </c>
      <c r="F1129" t="s">
        <v>23</v>
      </c>
      <c r="G1129" t="s">
        <v>91</v>
      </c>
      <c r="H1129" t="s">
        <v>120</v>
      </c>
      <c r="I1129" t="s">
        <v>25</v>
      </c>
      <c r="J1129" t="s">
        <v>26</v>
      </c>
      <c r="K1129" t="s">
        <v>27</v>
      </c>
      <c r="L1129">
        <v>10</v>
      </c>
      <c r="M1129">
        <v>7000</v>
      </c>
      <c r="N1129">
        <v>20</v>
      </c>
      <c r="O1129">
        <v>56000</v>
      </c>
      <c r="P1129">
        <v>11005.25</v>
      </c>
      <c r="R1129" t="s">
        <v>56</v>
      </c>
      <c r="S1129" t="s">
        <v>110</v>
      </c>
    </row>
    <row r="1130" spans="1:19" x14ac:dyDescent="0.3">
      <c r="A1130" t="s">
        <v>2101</v>
      </c>
      <c r="B1130" t="s">
        <v>685</v>
      </c>
      <c r="C1130" t="s">
        <v>1313</v>
      </c>
      <c r="D1130" t="s">
        <v>457</v>
      </c>
      <c r="E1130" t="s">
        <v>458</v>
      </c>
      <c r="F1130" t="s">
        <v>55</v>
      </c>
      <c r="G1130" t="s">
        <v>44</v>
      </c>
      <c r="H1130" t="s">
        <v>24</v>
      </c>
      <c r="I1130" t="s">
        <v>46</v>
      </c>
      <c r="J1130" t="s">
        <v>47</v>
      </c>
      <c r="K1130" t="s">
        <v>611</v>
      </c>
      <c r="L1130">
        <v>-2</v>
      </c>
      <c r="M1130">
        <v>180</v>
      </c>
      <c r="N1130">
        <v>5</v>
      </c>
      <c r="O1130">
        <v>8550</v>
      </c>
      <c r="P1130">
        <v>118.22</v>
      </c>
      <c r="Q1130" t="s">
        <v>74</v>
      </c>
      <c r="R1130" t="s">
        <v>56</v>
      </c>
      <c r="S1130" t="s">
        <v>50</v>
      </c>
    </row>
    <row r="1131" spans="1:19" x14ac:dyDescent="0.3">
      <c r="A1131" t="s">
        <v>2102</v>
      </c>
      <c r="B1131" s="1">
        <v>45689</v>
      </c>
      <c r="C1131" s="1">
        <v>45665</v>
      </c>
      <c r="D1131" t="s">
        <v>288</v>
      </c>
      <c r="E1131" t="s">
        <v>289</v>
      </c>
      <c r="F1131" t="s">
        <v>34</v>
      </c>
      <c r="G1131" t="s">
        <v>44</v>
      </c>
      <c r="H1131" t="s">
        <v>155</v>
      </c>
      <c r="I1131" t="s">
        <v>46</v>
      </c>
      <c r="J1131" t="s">
        <v>47</v>
      </c>
      <c r="K1131" t="s">
        <v>48</v>
      </c>
      <c r="L1131">
        <v>1</v>
      </c>
      <c r="M1131">
        <v>180</v>
      </c>
      <c r="N1131">
        <v>20</v>
      </c>
      <c r="O1131">
        <v>144</v>
      </c>
      <c r="P1131">
        <v>51.67</v>
      </c>
      <c r="Q1131" t="s">
        <v>156</v>
      </c>
      <c r="R1131" t="s">
        <v>56</v>
      </c>
      <c r="S1131" t="s">
        <v>110</v>
      </c>
    </row>
    <row r="1132" spans="1:19" x14ac:dyDescent="0.3">
      <c r="A1132" t="s">
        <v>2103</v>
      </c>
      <c r="B1132" s="1">
        <v>45695</v>
      </c>
      <c r="C1132" s="1">
        <v>45701</v>
      </c>
      <c r="D1132" t="s">
        <v>2104</v>
      </c>
      <c r="E1132" t="s">
        <v>2105</v>
      </c>
      <c r="F1132" t="s">
        <v>34</v>
      </c>
      <c r="G1132" t="s">
        <v>91</v>
      </c>
      <c r="H1132" t="s">
        <v>92</v>
      </c>
      <c r="I1132" t="s">
        <v>93</v>
      </c>
      <c r="J1132" t="s">
        <v>94</v>
      </c>
      <c r="K1132" t="s">
        <v>95</v>
      </c>
      <c r="L1132">
        <v>2</v>
      </c>
      <c r="M1132">
        <v>1800</v>
      </c>
      <c r="N1132">
        <v>0</v>
      </c>
      <c r="O1132">
        <v>3600</v>
      </c>
      <c r="P1132">
        <v>1035.56</v>
      </c>
      <c r="Q1132" t="s">
        <v>121</v>
      </c>
      <c r="R1132" t="s">
        <v>49</v>
      </c>
      <c r="S1132" t="s">
        <v>40</v>
      </c>
    </row>
    <row r="1133" spans="1:19" x14ac:dyDescent="0.3">
      <c r="A1133" t="s">
        <v>2106</v>
      </c>
      <c r="B1133" s="1">
        <v>45387</v>
      </c>
      <c r="C1133" s="1">
        <v>45600</v>
      </c>
      <c r="D1133" t="s">
        <v>827</v>
      </c>
      <c r="E1133" t="s">
        <v>828</v>
      </c>
      <c r="F1133" t="s">
        <v>34</v>
      </c>
      <c r="G1133" t="s">
        <v>44</v>
      </c>
      <c r="H1133" t="s">
        <v>155</v>
      </c>
      <c r="I1133" t="s">
        <v>114</v>
      </c>
      <c r="J1133" t="s">
        <v>115</v>
      </c>
      <c r="K1133" t="s">
        <v>65</v>
      </c>
      <c r="L1133">
        <v>3</v>
      </c>
      <c r="M1133">
        <v>55000</v>
      </c>
      <c r="N1133">
        <v>5</v>
      </c>
      <c r="O1133">
        <v>156750</v>
      </c>
      <c r="P1133">
        <v>26915.31</v>
      </c>
      <c r="Q1133" t="s">
        <v>66</v>
      </c>
      <c r="R1133" t="s">
        <v>56</v>
      </c>
      <c r="S1133" t="s">
        <v>30</v>
      </c>
    </row>
    <row r="1134" spans="1:19" x14ac:dyDescent="0.3">
      <c r="A1134" t="s">
        <v>2107</v>
      </c>
      <c r="B1134" s="2">
        <v>45912</v>
      </c>
      <c r="C1134" t="s">
        <v>2108</v>
      </c>
      <c r="D1134" t="s">
        <v>628</v>
      </c>
      <c r="E1134" t="s">
        <v>629</v>
      </c>
      <c r="F1134" t="s">
        <v>55</v>
      </c>
      <c r="G1134" t="s">
        <v>91</v>
      </c>
      <c r="H1134" t="s">
        <v>120</v>
      </c>
      <c r="I1134" t="s">
        <v>134</v>
      </c>
      <c r="J1134" t="s">
        <v>135</v>
      </c>
      <c r="K1134" t="s">
        <v>27</v>
      </c>
      <c r="L1134">
        <v>2</v>
      </c>
      <c r="M1134">
        <v>6000</v>
      </c>
      <c r="N1134">
        <v>5</v>
      </c>
      <c r="O1134">
        <v>11400</v>
      </c>
      <c r="P1134">
        <v>2614.39</v>
      </c>
      <c r="Q1134" t="s">
        <v>121</v>
      </c>
      <c r="R1134" t="s">
        <v>49</v>
      </c>
      <c r="S1134" t="s">
        <v>40</v>
      </c>
    </row>
    <row r="1135" spans="1:19" x14ac:dyDescent="0.3">
      <c r="A1135" t="s">
        <v>2109</v>
      </c>
      <c r="B1135" s="1">
        <v>45770</v>
      </c>
      <c r="D1135" t="s">
        <v>660</v>
      </c>
      <c r="E1135" t="s">
        <v>661</v>
      </c>
      <c r="F1135" t="s">
        <v>23</v>
      </c>
      <c r="G1135" t="s">
        <v>44</v>
      </c>
      <c r="H1135" t="s">
        <v>330</v>
      </c>
      <c r="I1135" t="s">
        <v>126</v>
      </c>
      <c r="J1135" t="s">
        <v>127</v>
      </c>
      <c r="K1135" t="s">
        <v>95</v>
      </c>
      <c r="L1135">
        <v>1</v>
      </c>
      <c r="M1135">
        <v>600</v>
      </c>
      <c r="N1135">
        <v>0</v>
      </c>
      <c r="O1135">
        <v>600</v>
      </c>
      <c r="Q1135" t="s">
        <v>39</v>
      </c>
      <c r="R1135" t="s">
        <v>29</v>
      </c>
      <c r="S1135" t="s">
        <v>40</v>
      </c>
    </row>
    <row r="1136" spans="1:19" x14ac:dyDescent="0.3">
      <c r="A1136" t="s">
        <v>2110</v>
      </c>
      <c r="B1136" s="2">
        <v>45754</v>
      </c>
      <c r="C1136" s="1">
        <v>45904</v>
      </c>
      <c r="D1136" t="s">
        <v>653</v>
      </c>
      <c r="E1136" t="s">
        <v>654</v>
      </c>
      <c r="F1136" t="s">
        <v>23</v>
      </c>
      <c r="G1136" t="s">
        <v>44</v>
      </c>
      <c r="H1136" t="s">
        <v>330</v>
      </c>
      <c r="I1136" t="s">
        <v>147</v>
      </c>
      <c r="J1136" t="s">
        <v>148</v>
      </c>
      <c r="K1136" t="s">
        <v>48</v>
      </c>
      <c r="L1136">
        <v>1</v>
      </c>
      <c r="M1136">
        <v>250</v>
      </c>
      <c r="N1136">
        <v>0</v>
      </c>
      <c r="O1136">
        <v>250</v>
      </c>
      <c r="P1136">
        <v>103.27</v>
      </c>
      <c r="Q1136" t="s">
        <v>156</v>
      </c>
      <c r="R1136" t="s">
        <v>29</v>
      </c>
      <c r="S1136" t="s">
        <v>40</v>
      </c>
    </row>
    <row r="1137" spans="1:19" x14ac:dyDescent="0.3">
      <c r="A1137" t="s">
        <v>2111</v>
      </c>
      <c r="B1137" s="1">
        <v>45876</v>
      </c>
      <c r="C1137" s="1">
        <v>45878</v>
      </c>
      <c r="D1137" t="s">
        <v>842</v>
      </c>
      <c r="E1137" t="s">
        <v>843</v>
      </c>
      <c r="F1137" t="s">
        <v>23</v>
      </c>
      <c r="G1137" t="s">
        <v>91</v>
      </c>
      <c r="H1137" t="s">
        <v>120</v>
      </c>
      <c r="I1137" t="s">
        <v>134</v>
      </c>
      <c r="J1137" t="s">
        <v>135</v>
      </c>
      <c r="K1137" t="s">
        <v>27</v>
      </c>
      <c r="L1137">
        <v>2</v>
      </c>
      <c r="M1137">
        <v>6000</v>
      </c>
      <c r="N1137">
        <v>20</v>
      </c>
      <c r="O1137">
        <v>9600</v>
      </c>
      <c r="P1137">
        <v>2117.37</v>
      </c>
      <c r="Q1137" t="s">
        <v>39</v>
      </c>
      <c r="R1137" t="s">
        <v>49</v>
      </c>
      <c r="S1137" t="s">
        <v>30</v>
      </c>
    </row>
    <row r="1138" spans="1:19" x14ac:dyDescent="0.3">
      <c r="A1138" t="s">
        <v>2112</v>
      </c>
      <c r="B1138" s="1">
        <v>45372</v>
      </c>
      <c r="C1138" s="2">
        <v>45374</v>
      </c>
      <c r="D1138" t="s">
        <v>606</v>
      </c>
      <c r="E1138" t="s">
        <v>607</v>
      </c>
      <c r="F1138" t="s">
        <v>23</v>
      </c>
      <c r="G1138" t="s">
        <v>35</v>
      </c>
      <c r="H1138" t="s">
        <v>36</v>
      </c>
      <c r="I1138" t="s">
        <v>93</v>
      </c>
      <c r="J1138" t="s">
        <v>94</v>
      </c>
      <c r="K1138" t="s">
        <v>95</v>
      </c>
      <c r="L1138">
        <v>1</v>
      </c>
      <c r="M1138">
        <v>1800</v>
      </c>
      <c r="N1138">
        <v>0</v>
      </c>
      <c r="O1138">
        <v>1800</v>
      </c>
      <c r="P1138">
        <v>519.5</v>
      </c>
      <c r="Q1138" t="s">
        <v>156</v>
      </c>
      <c r="R1138" t="s">
        <v>56</v>
      </c>
      <c r="S1138" t="s">
        <v>40</v>
      </c>
    </row>
    <row r="1139" spans="1:19" x14ac:dyDescent="0.3">
      <c r="A1139" t="s">
        <v>2113</v>
      </c>
      <c r="B1139" s="2">
        <v>45587</v>
      </c>
      <c r="C1139" s="1">
        <v>45588</v>
      </c>
      <c r="D1139" t="s">
        <v>318</v>
      </c>
      <c r="E1139" t="s">
        <v>319</v>
      </c>
      <c r="F1139" t="s">
        <v>55</v>
      </c>
      <c r="G1139" t="s">
        <v>35</v>
      </c>
      <c r="H1139" t="s">
        <v>36</v>
      </c>
      <c r="I1139" t="s">
        <v>79</v>
      </c>
      <c r="J1139" t="s">
        <v>80</v>
      </c>
      <c r="K1139" t="s">
        <v>65</v>
      </c>
      <c r="L1139">
        <v>3</v>
      </c>
      <c r="M1139">
        <v>3000</v>
      </c>
      <c r="N1139">
        <v>0</v>
      </c>
      <c r="O1139">
        <v>9000</v>
      </c>
      <c r="P1139">
        <v>1902.53</v>
      </c>
      <c r="Q1139" t="s">
        <v>121</v>
      </c>
      <c r="R1139" t="s">
        <v>56</v>
      </c>
      <c r="S1139" t="s">
        <v>30</v>
      </c>
    </row>
    <row r="1140" spans="1:19" x14ac:dyDescent="0.3">
      <c r="A1140" t="s">
        <v>2114</v>
      </c>
      <c r="B1140" s="1">
        <v>45535</v>
      </c>
      <c r="D1140" t="s">
        <v>936</v>
      </c>
      <c r="E1140" t="s">
        <v>937</v>
      </c>
      <c r="F1140" t="s">
        <v>23</v>
      </c>
      <c r="G1140" t="s">
        <v>44</v>
      </c>
      <c r="H1140" t="s">
        <v>161</v>
      </c>
      <c r="I1140" t="s">
        <v>46</v>
      </c>
      <c r="J1140" t="s">
        <v>47</v>
      </c>
      <c r="K1140" t="s">
        <v>48</v>
      </c>
      <c r="L1140">
        <v>1</v>
      </c>
      <c r="M1140">
        <v>180</v>
      </c>
      <c r="N1140">
        <v>0</v>
      </c>
      <c r="O1140">
        <v>180</v>
      </c>
      <c r="P1140">
        <v>76.569999999999993</v>
      </c>
      <c r="Q1140" t="s">
        <v>121</v>
      </c>
      <c r="R1140" t="s">
        <v>56</v>
      </c>
      <c r="S1140" t="s">
        <v>110</v>
      </c>
    </row>
    <row r="1141" spans="1:19" x14ac:dyDescent="0.3">
      <c r="A1141" t="s">
        <v>2115</v>
      </c>
      <c r="B1141" s="1">
        <v>45429</v>
      </c>
      <c r="C1141" s="1">
        <v>45430</v>
      </c>
      <c r="D1141" t="s">
        <v>830</v>
      </c>
      <c r="E1141" t="s">
        <v>831</v>
      </c>
      <c r="F1141" t="s">
        <v>23</v>
      </c>
      <c r="G1141" t="s">
        <v>61</v>
      </c>
      <c r="H1141" t="s">
        <v>125</v>
      </c>
      <c r="I1141" t="s">
        <v>134</v>
      </c>
      <c r="J1141" t="s">
        <v>135</v>
      </c>
      <c r="K1141" t="s">
        <v>27</v>
      </c>
      <c r="L1141">
        <v>3</v>
      </c>
      <c r="M1141">
        <v>6000</v>
      </c>
      <c r="N1141">
        <v>10</v>
      </c>
      <c r="O1141">
        <v>16200</v>
      </c>
      <c r="P1141">
        <v>2826.32</v>
      </c>
      <c r="Q1141" t="s">
        <v>66</v>
      </c>
      <c r="R1141" t="s">
        <v>29</v>
      </c>
      <c r="S1141" t="s">
        <v>50</v>
      </c>
    </row>
    <row r="1142" spans="1:19" x14ac:dyDescent="0.3">
      <c r="A1142" t="s">
        <v>2116</v>
      </c>
      <c r="B1142" s="2">
        <v>45440</v>
      </c>
      <c r="C1142" s="2">
        <v>45447</v>
      </c>
      <c r="D1142" t="s">
        <v>1028</v>
      </c>
      <c r="E1142" t="s">
        <v>1029</v>
      </c>
      <c r="F1142" t="s">
        <v>34</v>
      </c>
      <c r="G1142" t="s">
        <v>91</v>
      </c>
      <c r="I1142" t="s">
        <v>126</v>
      </c>
      <c r="J1142" t="s">
        <v>127</v>
      </c>
      <c r="K1142" t="s">
        <v>95</v>
      </c>
      <c r="L1142">
        <v>2</v>
      </c>
      <c r="M1142">
        <v>600</v>
      </c>
      <c r="N1142">
        <v>20</v>
      </c>
      <c r="O1142">
        <v>960</v>
      </c>
      <c r="P1142">
        <v>260.35000000000002</v>
      </c>
      <c r="Q1142" t="s">
        <v>156</v>
      </c>
      <c r="R1142" t="s">
        <v>29</v>
      </c>
      <c r="S1142" t="s">
        <v>50</v>
      </c>
    </row>
    <row r="1143" spans="1:19" x14ac:dyDescent="0.3">
      <c r="A1143" t="s">
        <v>2117</v>
      </c>
      <c r="B1143" t="s">
        <v>2118</v>
      </c>
      <c r="C1143" s="1">
        <v>45803</v>
      </c>
      <c r="D1143" t="s">
        <v>1058</v>
      </c>
      <c r="E1143" t="s">
        <v>1059</v>
      </c>
      <c r="F1143" t="s">
        <v>55</v>
      </c>
      <c r="G1143" t="s">
        <v>91</v>
      </c>
      <c r="H1143" t="s">
        <v>92</v>
      </c>
      <c r="I1143" t="s">
        <v>46</v>
      </c>
      <c r="J1143" t="s">
        <v>47</v>
      </c>
      <c r="K1143" t="s">
        <v>48</v>
      </c>
      <c r="L1143">
        <v>4</v>
      </c>
      <c r="M1143">
        <v>180</v>
      </c>
      <c r="N1143">
        <v>0</v>
      </c>
      <c r="O1143">
        <v>720</v>
      </c>
      <c r="Q1143" t="s">
        <v>156</v>
      </c>
      <c r="R1143" t="s">
        <v>56</v>
      </c>
      <c r="S1143" t="s">
        <v>50</v>
      </c>
    </row>
    <row r="1144" spans="1:19" x14ac:dyDescent="0.3">
      <c r="A1144" t="s">
        <v>2119</v>
      </c>
      <c r="B1144" s="1">
        <v>45360</v>
      </c>
      <c r="C1144" s="1">
        <v>45629</v>
      </c>
      <c r="D1144" t="s">
        <v>721</v>
      </c>
      <c r="E1144" t="s">
        <v>722</v>
      </c>
      <c r="F1144" t="s">
        <v>34</v>
      </c>
      <c r="G1144" t="s">
        <v>35</v>
      </c>
      <c r="H1144" t="s">
        <v>258</v>
      </c>
      <c r="I1144" t="s">
        <v>134</v>
      </c>
      <c r="J1144" t="s">
        <v>135</v>
      </c>
      <c r="K1144" t="s">
        <v>27</v>
      </c>
      <c r="L1144">
        <v>2</v>
      </c>
      <c r="M1144">
        <v>6000</v>
      </c>
      <c r="N1144">
        <v>10</v>
      </c>
      <c r="O1144">
        <v>10800</v>
      </c>
      <c r="P1144">
        <v>2030.62</v>
      </c>
      <c r="Q1144" t="s">
        <v>66</v>
      </c>
      <c r="R1144" t="s">
        <v>49</v>
      </c>
      <c r="S1144" t="s">
        <v>110</v>
      </c>
    </row>
    <row r="1145" spans="1:19" x14ac:dyDescent="0.3">
      <c r="A1145" t="s">
        <v>2120</v>
      </c>
      <c r="B1145" s="2">
        <v>45308</v>
      </c>
      <c r="C1145" s="2">
        <v>45312</v>
      </c>
      <c r="D1145" t="s">
        <v>343</v>
      </c>
      <c r="E1145" t="s">
        <v>369</v>
      </c>
      <c r="F1145" t="s">
        <v>34</v>
      </c>
      <c r="G1145" t="s">
        <v>44</v>
      </c>
      <c r="H1145" t="s">
        <v>45</v>
      </c>
      <c r="I1145" t="s">
        <v>63</v>
      </c>
      <c r="J1145" t="s">
        <v>64</v>
      </c>
      <c r="K1145" t="s">
        <v>375</v>
      </c>
      <c r="L1145">
        <v>1</v>
      </c>
      <c r="M1145">
        <v>25000</v>
      </c>
      <c r="N1145">
        <v>0</v>
      </c>
      <c r="O1145">
        <v>25000</v>
      </c>
      <c r="P1145">
        <v>3031.34</v>
      </c>
      <c r="Q1145" t="s">
        <v>66</v>
      </c>
      <c r="R1145" t="s">
        <v>49</v>
      </c>
      <c r="S1145" t="s">
        <v>30</v>
      </c>
    </row>
    <row r="1146" spans="1:19" x14ac:dyDescent="0.3">
      <c r="A1146" t="s">
        <v>2121</v>
      </c>
      <c r="B1146" s="1">
        <v>45742</v>
      </c>
      <c r="C1146" t="s">
        <v>2028</v>
      </c>
      <c r="D1146" t="s">
        <v>392</v>
      </c>
      <c r="E1146" t="s">
        <v>393</v>
      </c>
      <c r="F1146" t="s">
        <v>55</v>
      </c>
      <c r="G1146" t="s">
        <v>91</v>
      </c>
      <c r="H1146" t="s">
        <v>92</v>
      </c>
      <c r="I1146" t="s">
        <v>79</v>
      </c>
      <c r="J1146" t="s">
        <v>80</v>
      </c>
      <c r="K1146" t="s">
        <v>65</v>
      </c>
      <c r="L1146">
        <v>2</v>
      </c>
      <c r="M1146">
        <v>3000</v>
      </c>
      <c r="N1146">
        <v>5</v>
      </c>
      <c r="O1146">
        <v>5700</v>
      </c>
      <c r="P1146">
        <v>1336.55</v>
      </c>
      <c r="Q1146" t="s">
        <v>74</v>
      </c>
      <c r="R1146" t="s">
        <v>56</v>
      </c>
      <c r="S1146" t="s">
        <v>110</v>
      </c>
    </row>
    <row r="1147" spans="1:19" x14ac:dyDescent="0.3">
      <c r="A1147" t="s">
        <v>2122</v>
      </c>
      <c r="B1147" s="2">
        <v>45612</v>
      </c>
      <c r="C1147" s="2">
        <v>45618</v>
      </c>
      <c r="D1147" t="s">
        <v>275</v>
      </c>
      <c r="E1147" t="s">
        <v>276</v>
      </c>
      <c r="F1147" t="s">
        <v>34</v>
      </c>
      <c r="G1147" t="s">
        <v>91</v>
      </c>
      <c r="H1147" t="s">
        <v>120</v>
      </c>
      <c r="I1147" t="s">
        <v>103</v>
      </c>
      <c r="J1147" t="s">
        <v>104</v>
      </c>
      <c r="K1147" t="s">
        <v>65</v>
      </c>
      <c r="L1147">
        <v>1</v>
      </c>
      <c r="M1147">
        <v>8000</v>
      </c>
      <c r="N1147">
        <v>0</v>
      </c>
      <c r="O1147">
        <v>8000</v>
      </c>
      <c r="P1147">
        <v>1852.81</v>
      </c>
      <c r="Q1147" t="s">
        <v>74</v>
      </c>
      <c r="R1147" t="s">
        <v>29</v>
      </c>
      <c r="S1147" t="s">
        <v>110</v>
      </c>
    </row>
    <row r="1148" spans="1:19" x14ac:dyDescent="0.3">
      <c r="A1148" t="s">
        <v>2123</v>
      </c>
      <c r="B1148" s="1">
        <v>45423</v>
      </c>
      <c r="C1148" s="2">
        <v>45603</v>
      </c>
      <c r="D1148" t="s">
        <v>349</v>
      </c>
      <c r="E1148" t="s">
        <v>350</v>
      </c>
      <c r="F1148" t="s">
        <v>34</v>
      </c>
      <c r="G1148" t="s">
        <v>91</v>
      </c>
      <c r="H1148" t="s">
        <v>120</v>
      </c>
      <c r="I1148" t="s">
        <v>46</v>
      </c>
      <c r="J1148" t="s">
        <v>47</v>
      </c>
      <c r="K1148" t="s">
        <v>48</v>
      </c>
      <c r="L1148">
        <v>1</v>
      </c>
      <c r="M1148">
        <v>180</v>
      </c>
      <c r="N1148">
        <v>0</v>
      </c>
      <c r="O1148">
        <v>180</v>
      </c>
      <c r="P1148">
        <v>81.900000000000006</v>
      </c>
      <c r="Q1148" t="s">
        <v>28</v>
      </c>
      <c r="R1148" t="s">
        <v>56</v>
      </c>
      <c r="S1148" t="s">
        <v>86</v>
      </c>
    </row>
    <row r="1149" spans="1:19" x14ac:dyDescent="0.3">
      <c r="A1149" t="s">
        <v>2124</v>
      </c>
      <c r="B1149" s="1">
        <v>45704</v>
      </c>
      <c r="C1149" s="1">
        <v>45706</v>
      </c>
      <c r="D1149" t="s">
        <v>1293</v>
      </c>
      <c r="E1149" t="s">
        <v>1294</v>
      </c>
      <c r="F1149" t="s">
        <v>34</v>
      </c>
      <c r="G1149" t="s">
        <v>61</v>
      </c>
      <c r="H1149" t="s">
        <v>211</v>
      </c>
      <c r="I1149" t="s">
        <v>25</v>
      </c>
      <c r="J1149" t="s">
        <v>26</v>
      </c>
      <c r="K1149" t="s">
        <v>27</v>
      </c>
      <c r="L1149">
        <v>1</v>
      </c>
      <c r="M1149">
        <v>7000</v>
      </c>
      <c r="N1149">
        <v>20</v>
      </c>
      <c r="O1149">
        <v>5600</v>
      </c>
      <c r="P1149">
        <v>1143.94</v>
      </c>
      <c r="Q1149" t="s">
        <v>156</v>
      </c>
      <c r="R1149" t="s">
        <v>49</v>
      </c>
      <c r="S1149" t="s">
        <v>40</v>
      </c>
    </row>
    <row r="1150" spans="1:19" x14ac:dyDescent="0.3">
      <c r="A1150" t="s">
        <v>2125</v>
      </c>
      <c r="B1150" s="1">
        <v>45431</v>
      </c>
      <c r="C1150" s="2">
        <v>45439</v>
      </c>
      <c r="D1150" t="s">
        <v>223</v>
      </c>
      <c r="E1150" t="s">
        <v>224</v>
      </c>
      <c r="F1150" t="s">
        <v>34</v>
      </c>
      <c r="G1150" t="s">
        <v>35</v>
      </c>
      <c r="H1150" t="s">
        <v>85</v>
      </c>
      <c r="I1150" t="s">
        <v>37</v>
      </c>
      <c r="J1150" t="s">
        <v>38</v>
      </c>
      <c r="K1150" t="s">
        <v>27</v>
      </c>
      <c r="L1150">
        <v>10</v>
      </c>
      <c r="M1150">
        <v>9500</v>
      </c>
      <c r="N1150">
        <v>15</v>
      </c>
      <c r="O1150">
        <v>80750</v>
      </c>
      <c r="P1150">
        <v>17433.560000000001</v>
      </c>
      <c r="Q1150" t="s">
        <v>156</v>
      </c>
      <c r="R1150" t="s">
        <v>49</v>
      </c>
      <c r="S1150" t="s">
        <v>50</v>
      </c>
    </row>
    <row r="1151" spans="1:19" x14ac:dyDescent="0.3">
      <c r="A1151" t="s">
        <v>2126</v>
      </c>
      <c r="B1151" s="1">
        <v>45337</v>
      </c>
      <c r="C1151" s="2">
        <v>45341</v>
      </c>
      <c r="D1151" t="s">
        <v>779</v>
      </c>
      <c r="E1151" t="s">
        <v>780</v>
      </c>
      <c r="F1151" t="s">
        <v>23</v>
      </c>
      <c r="G1151" t="s">
        <v>35</v>
      </c>
      <c r="H1151" t="s">
        <v>258</v>
      </c>
      <c r="I1151" t="s">
        <v>114</v>
      </c>
      <c r="J1151" t="s">
        <v>115</v>
      </c>
      <c r="K1151" t="s">
        <v>65</v>
      </c>
      <c r="L1151">
        <v>2</v>
      </c>
      <c r="M1151">
        <v>55000</v>
      </c>
      <c r="N1151">
        <v>0</v>
      </c>
      <c r="O1151">
        <v>110000</v>
      </c>
      <c r="Q1151" t="s">
        <v>28</v>
      </c>
      <c r="R1151" t="s">
        <v>49</v>
      </c>
      <c r="S1151" t="s">
        <v>110</v>
      </c>
    </row>
    <row r="1152" spans="1:19" x14ac:dyDescent="0.3">
      <c r="A1152" t="s">
        <v>2127</v>
      </c>
      <c r="B1152" s="2">
        <v>45578</v>
      </c>
      <c r="C1152" t="s">
        <v>1666</v>
      </c>
      <c r="D1152" t="s">
        <v>450</v>
      </c>
      <c r="E1152" t="s">
        <v>451</v>
      </c>
      <c r="F1152" t="s">
        <v>55</v>
      </c>
      <c r="G1152" t="s">
        <v>61</v>
      </c>
      <c r="H1152" t="s">
        <v>62</v>
      </c>
      <c r="I1152" t="s">
        <v>103</v>
      </c>
      <c r="J1152" t="s">
        <v>104</v>
      </c>
      <c r="K1152" t="s">
        <v>65</v>
      </c>
      <c r="L1152">
        <v>1</v>
      </c>
      <c r="M1152">
        <v>8000</v>
      </c>
      <c r="N1152">
        <v>0</v>
      </c>
      <c r="O1152">
        <v>8000</v>
      </c>
      <c r="P1152">
        <v>1748.15</v>
      </c>
      <c r="Q1152" t="s">
        <v>28</v>
      </c>
      <c r="R1152" t="s">
        <v>29</v>
      </c>
      <c r="S1152" t="s">
        <v>50</v>
      </c>
    </row>
    <row r="1153" spans="1:19" x14ac:dyDescent="0.3">
      <c r="A1153" t="s">
        <v>2128</v>
      </c>
      <c r="B1153" s="1">
        <v>45737</v>
      </c>
      <c r="C1153" s="2">
        <v>45739</v>
      </c>
      <c r="D1153" t="s">
        <v>599</v>
      </c>
      <c r="E1153" t="s">
        <v>600</v>
      </c>
      <c r="F1153" t="s">
        <v>23</v>
      </c>
      <c r="G1153" t="s">
        <v>44</v>
      </c>
      <c r="H1153" t="s">
        <v>161</v>
      </c>
      <c r="I1153" t="s">
        <v>93</v>
      </c>
      <c r="J1153" t="s">
        <v>94</v>
      </c>
      <c r="K1153" t="s">
        <v>95</v>
      </c>
      <c r="L1153">
        <v>1</v>
      </c>
      <c r="M1153">
        <v>1800</v>
      </c>
      <c r="N1153">
        <v>20</v>
      </c>
      <c r="O1153">
        <v>1440</v>
      </c>
      <c r="P1153">
        <v>543.9</v>
      </c>
      <c r="Q1153" t="s">
        <v>156</v>
      </c>
      <c r="R1153" t="s">
        <v>56</v>
      </c>
      <c r="S1153" t="s">
        <v>30</v>
      </c>
    </row>
    <row r="1154" spans="1:19" x14ac:dyDescent="0.3">
      <c r="A1154" t="s">
        <v>2129</v>
      </c>
      <c r="B1154" s="1">
        <v>45724</v>
      </c>
      <c r="C1154" s="1">
        <v>45874</v>
      </c>
      <c r="D1154" t="s">
        <v>740</v>
      </c>
      <c r="E1154" t="s">
        <v>741</v>
      </c>
      <c r="F1154" t="s">
        <v>55</v>
      </c>
      <c r="G1154" t="s">
        <v>35</v>
      </c>
      <c r="H1154" t="s">
        <v>85</v>
      </c>
      <c r="I1154" t="s">
        <v>103</v>
      </c>
      <c r="J1154" t="s">
        <v>104</v>
      </c>
      <c r="K1154" t="s">
        <v>65</v>
      </c>
      <c r="L1154">
        <v>1</v>
      </c>
      <c r="M1154">
        <v>8000</v>
      </c>
      <c r="N1154">
        <v>15</v>
      </c>
      <c r="O1154">
        <v>6800</v>
      </c>
      <c r="P1154">
        <v>1833.25</v>
      </c>
      <c r="Q1154" t="s">
        <v>74</v>
      </c>
      <c r="R1154" t="s">
        <v>49</v>
      </c>
      <c r="S1154" t="s">
        <v>86</v>
      </c>
    </row>
    <row r="1155" spans="1:19" x14ac:dyDescent="0.3">
      <c r="A1155" t="s">
        <v>2130</v>
      </c>
      <c r="B1155" s="2">
        <v>45323</v>
      </c>
      <c r="C1155" s="1">
        <v>45327</v>
      </c>
      <c r="D1155" t="s">
        <v>864</v>
      </c>
      <c r="E1155" t="s">
        <v>865</v>
      </c>
      <c r="F1155" t="s">
        <v>34</v>
      </c>
      <c r="G1155" t="s">
        <v>44</v>
      </c>
      <c r="H1155" t="s">
        <v>155</v>
      </c>
      <c r="I1155" t="s">
        <v>126</v>
      </c>
      <c r="J1155" t="s">
        <v>127</v>
      </c>
      <c r="K1155" t="s">
        <v>95</v>
      </c>
      <c r="L1155">
        <v>4</v>
      </c>
      <c r="M1155">
        <v>600</v>
      </c>
      <c r="N1155">
        <v>10</v>
      </c>
      <c r="O1155">
        <v>2160</v>
      </c>
      <c r="P1155">
        <v>707.57</v>
      </c>
      <c r="Q1155" t="s">
        <v>66</v>
      </c>
      <c r="R1155" t="s">
        <v>56</v>
      </c>
      <c r="S1155" t="s">
        <v>110</v>
      </c>
    </row>
    <row r="1156" spans="1:19" x14ac:dyDescent="0.3">
      <c r="A1156" t="s">
        <v>2131</v>
      </c>
      <c r="B1156" s="2">
        <v>46002</v>
      </c>
      <c r="C1156" s="1">
        <v>46006</v>
      </c>
      <c r="D1156" t="s">
        <v>470</v>
      </c>
      <c r="E1156" t="s">
        <v>471</v>
      </c>
      <c r="F1156" t="s">
        <v>23</v>
      </c>
      <c r="G1156" t="s">
        <v>61</v>
      </c>
      <c r="I1156" t="s">
        <v>147</v>
      </c>
      <c r="J1156" t="s">
        <v>148</v>
      </c>
      <c r="K1156" t="s">
        <v>48</v>
      </c>
      <c r="L1156">
        <v>2</v>
      </c>
      <c r="M1156">
        <v>250</v>
      </c>
      <c r="N1156">
        <v>15</v>
      </c>
      <c r="O1156">
        <v>425</v>
      </c>
      <c r="P1156">
        <v>141.68</v>
      </c>
      <c r="Q1156" t="s">
        <v>28</v>
      </c>
      <c r="R1156" t="s">
        <v>49</v>
      </c>
      <c r="S1156" t="s">
        <v>40</v>
      </c>
    </row>
    <row r="1157" spans="1:19" x14ac:dyDescent="0.3">
      <c r="A1157" t="s">
        <v>2132</v>
      </c>
      <c r="B1157" s="1">
        <v>45402</v>
      </c>
      <c r="C1157" s="1">
        <v>45404</v>
      </c>
      <c r="D1157" t="s">
        <v>388</v>
      </c>
      <c r="E1157" t="s">
        <v>389</v>
      </c>
      <c r="F1157" t="s">
        <v>23</v>
      </c>
      <c r="G1157" t="s">
        <v>44</v>
      </c>
      <c r="H1157" t="s">
        <v>161</v>
      </c>
      <c r="I1157" t="s">
        <v>71</v>
      </c>
      <c r="J1157" t="s">
        <v>72</v>
      </c>
      <c r="K1157" t="s">
        <v>73</v>
      </c>
      <c r="L1157">
        <v>10</v>
      </c>
      <c r="M1157">
        <v>3500</v>
      </c>
      <c r="N1157">
        <v>15</v>
      </c>
      <c r="O1157">
        <v>29750</v>
      </c>
      <c r="P1157">
        <v>6895.54</v>
      </c>
      <c r="Q1157" t="s">
        <v>121</v>
      </c>
      <c r="R1157" t="s">
        <v>56</v>
      </c>
      <c r="S1157" t="s">
        <v>86</v>
      </c>
    </row>
    <row r="1158" spans="1:19" x14ac:dyDescent="0.3">
      <c r="A1158" t="s">
        <v>2133</v>
      </c>
      <c r="B1158" s="1">
        <v>46003</v>
      </c>
      <c r="C1158" s="1">
        <v>46004</v>
      </c>
      <c r="D1158" t="s">
        <v>546</v>
      </c>
      <c r="E1158" t="s">
        <v>547</v>
      </c>
      <c r="F1158" t="s">
        <v>34</v>
      </c>
      <c r="G1158" t="s">
        <v>91</v>
      </c>
      <c r="H1158" t="s">
        <v>92</v>
      </c>
      <c r="I1158" t="s">
        <v>126</v>
      </c>
      <c r="J1158" t="s">
        <v>127</v>
      </c>
      <c r="K1158" t="s">
        <v>95</v>
      </c>
      <c r="L1158">
        <v>1</v>
      </c>
      <c r="M1158">
        <v>600</v>
      </c>
      <c r="N1158">
        <v>0</v>
      </c>
      <c r="O1158">
        <v>600</v>
      </c>
      <c r="P1158">
        <v>239.96</v>
      </c>
      <c r="Q1158" t="s">
        <v>39</v>
      </c>
      <c r="R1158" t="s">
        <v>29</v>
      </c>
      <c r="S1158" t="s">
        <v>40</v>
      </c>
    </row>
    <row r="1159" spans="1:19" x14ac:dyDescent="0.3">
      <c r="A1159" t="s">
        <v>2134</v>
      </c>
      <c r="B1159" t="s">
        <v>811</v>
      </c>
      <c r="C1159" s="1">
        <v>45441</v>
      </c>
      <c r="D1159" t="s">
        <v>89</v>
      </c>
      <c r="E1159" t="s">
        <v>90</v>
      </c>
      <c r="F1159" t="s">
        <v>23</v>
      </c>
      <c r="G1159" t="s">
        <v>91</v>
      </c>
      <c r="H1159" t="s">
        <v>92</v>
      </c>
      <c r="I1159" t="s">
        <v>114</v>
      </c>
      <c r="J1159" t="s">
        <v>115</v>
      </c>
      <c r="K1159" t="s">
        <v>65</v>
      </c>
      <c r="L1159">
        <v>3</v>
      </c>
      <c r="M1159">
        <v>55000</v>
      </c>
      <c r="N1159">
        <v>0</v>
      </c>
      <c r="O1159">
        <v>165000</v>
      </c>
      <c r="P1159">
        <v>24450.02</v>
      </c>
      <c r="Q1159" t="s">
        <v>39</v>
      </c>
      <c r="R1159" t="s">
        <v>29</v>
      </c>
      <c r="S1159" t="s">
        <v>30</v>
      </c>
    </row>
    <row r="1160" spans="1:19" x14ac:dyDescent="0.3">
      <c r="A1160" t="s">
        <v>2135</v>
      </c>
      <c r="B1160" s="2">
        <v>45643</v>
      </c>
      <c r="C1160" s="2">
        <v>45644</v>
      </c>
      <c r="D1160" t="s">
        <v>1250</v>
      </c>
      <c r="E1160" t="s">
        <v>1251</v>
      </c>
      <c r="F1160" t="s">
        <v>55</v>
      </c>
      <c r="G1160" t="s">
        <v>35</v>
      </c>
      <c r="H1160" t="s">
        <v>258</v>
      </c>
      <c r="I1160" t="s">
        <v>63</v>
      </c>
      <c r="J1160" t="s">
        <v>64</v>
      </c>
      <c r="K1160" t="s">
        <v>65</v>
      </c>
      <c r="L1160">
        <v>2</v>
      </c>
      <c r="M1160">
        <v>25000</v>
      </c>
      <c r="N1160">
        <v>10</v>
      </c>
      <c r="O1160">
        <v>45000</v>
      </c>
      <c r="P1160">
        <v>6344.98</v>
      </c>
      <c r="Q1160" t="s">
        <v>121</v>
      </c>
      <c r="R1160" t="s">
        <v>56</v>
      </c>
      <c r="S1160" t="s">
        <v>110</v>
      </c>
    </row>
    <row r="1161" spans="1:19" x14ac:dyDescent="0.3">
      <c r="A1161" t="s">
        <v>2136</v>
      </c>
      <c r="B1161" s="1">
        <v>45940</v>
      </c>
      <c r="C1161" t="s">
        <v>2137</v>
      </c>
      <c r="D1161" t="s">
        <v>1218</v>
      </c>
      <c r="E1161" t="s">
        <v>1219</v>
      </c>
      <c r="F1161" t="s">
        <v>34</v>
      </c>
      <c r="G1161" t="s">
        <v>61</v>
      </c>
      <c r="H1161" t="s">
        <v>62</v>
      </c>
      <c r="I1161" t="s">
        <v>71</v>
      </c>
      <c r="J1161" t="s">
        <v>72</v>
      </c>
      <c r="K1161" t="s">
        <v>73</v>
      </c>
      <c r="L1161">
        <v>1</v>
      </c>
      <c r="M1161">
        <v>3500</v>
      </c>
      <c r="N1161">
        <v>5</v>
      </c>
      <c r="O1161">
        <v>3325</v>
      </c>
      <c r="P1161">
        <v>948.75</v>
      </c>
      <c r="Q1161" t="s">
        <v>156</v>
      </c>
      <c r="R1161" t="s">
        <v>29</v>
      </c>
      <c r="S1161" t="s">
        <v>110</v>
      </c>
    </row>
    <row r="1162" spans="1:19" x14ac:dyDescent="0.3">
      <c r="A1162" t="s">
        <v>2138</v>
      </c>
      <c r="B1162" s="1">
        <v>45747</v>
      </c>
      <c r="C1162" s="1">
        <v>45753</v>
      </c>
      <c r="D1162" t="s">
        <v>343</v>
      </c>
      <c r="E1162" t="s">
        <v>369</v>
      </c>
      <c r="F1162" t="s">
        <v>34</v>
      </c>
      <c r="G1162" t="s">
        <v>44</v>
      </c>
      <c r="H1162" t="s">
        <v>45</v>
      </c>
      <c r="I1162" t="s">
        <v>147</v>
      </c>
      <c r="J1162" t="s">
        <v>148</v>
      </c>
      <c r="K1162" t="s">
        <v>48</v>
      </c>
      <c r="L1162">
        <v>5</v>
      </c>
      <c r="M1162">
        <v>250</v>
      </c>
      <c r="N1162">
        <v>20</v>
      </c>
      <c r="O1162">
        <v>1000</v>
      </c>
      <c r="P1162">
        <v>338.03</v>
      </c>
      <c r="Q1162" t="s">
        <v>39</v>
      </c>
      <c r="R1162" t="s">
        <v>56</v>
      </c>
      <c r="S1162" t="s">
        <v>110</v>
      </c>
    </row>
    <row r="1163" spans="1:19" x14ac:dyDescent="0.3">
      <c r="A1163" t="s">
        <v>2139</v>
      </c>
      <c r="B1163" s="2">
        <v>45540</v>
      </c>
      <c r="C1163" s="1">
        <v>45547</v>
      </c>
      <c r="D1163" t="s">
        <v>1751</v>
      </c>
      <c r="E1163" t="s">
        <v>1752</v>
      </c>
      <c r="F1163" t="s">
        <v>34</v>
      </c>
      <c r="G1163" t="s">
        <v>44</v>
      </c>
      <c r="H1163" t="s">
        <v>161</v>
      </c>
      <c r="I1163" t="s">
        <v>25</v>
      </c>
      <c r="J1163" t="s">
        <v>26</v>
      </c>
      <c r="K1163" t="s">
        <v>27</v>
      </c>
      <c r="L1163">
        <v>1</v>
      </c>
      <c r="M1163">
        <v>7000</v>
      </c>
      <c r="N1163">
        <v>0</v>
      </c>
      <c r="O1163">
        <v>7000</v>
      </c>
      <c r="P1163">
        <v>1165.1600000000001</v>
      </c>
      <c r="Q1163" t="s">
        <v>39</v>
      </c>
      <c r="R1163" t="s">
        <v>56</v>
      </c>
      <c r="S1163" t="s">
        <v>110</v>
      </c>
    </row>
    <row r="1164" spans="1:19" x14ac:dyDescent="0.3">
      <c r="A1164" t="s">
        <v>2140</v>
      </c>
      <c r="B1164" s="1">
        <v>45347</v>
      </c>
      <c r="C1164" s="2">
        <v>45355</v>
      </c>
      <c r="D1164" t="s">
        <v>919</v>
      </c>
      <c r="E1164" t="s">
        <v>920</v>
      </c>
      <c r="F1164" t="s">
        <v>23</v>
      </c>
      <c r="G1164" t="s">
        <v>35</v>
      </c>
      <c r="H1164" t="s">
        <v>36</v>
      </c>
      <c r="I1164" t="s">
        <v>93</v>
      </c>
      <c r="J1164" t="s">
        <v>94</v>
      </c>
      <c r="K1164" t="s">
        <v>95</v>
      </c>
      <c r="L1164">
        <v>3</v>
      </c>
      <c r="M1164">
        <v>1800</v>
      </c>
      <c r="N1164">
        <v>0</v>
      </c>
      <c r="O1164">
        <v>5400</v>
      </c>
      <c r="P1164">
        <v>1673.47</v>
      </c>
      <c r="Q1164" t="s">
        <v>66</v>
      </c>
      <c r="R1164" t="s">
        <v>56</v>
      </c>
      <c r="S1164" t="s">
        <v>40</v>
      </c>
    </row>
    <row r="1165" spans="1:19" x14ac:dyDescent="0.3">
      <c r="A1165" t="s">
        <v>2141</v>
      </c>
      <c r="B1165" s="1">
        <v>45551</v>
      </c>
      <c r="C1165" s="2">
        <v>45553</v>
      </c>
      <c r="D1165" t="s">
        <v>261</v>
      </c>
      <c r="E1165" t="s">
        <v>262</v>
      </c>
      <c r="F1165" t="s">
        <v>23</v>
      </c>
      <c r="G1165" t="s">
        <v>35</v>
      </c>
      <c r="H1165" t="s">
        <v>85</v>
      </c>
      <c r="I1165" t="s">
        <v>46</v>
      </c>
      <c r="J1165" t="s">
        <v>47</v>
      </c>
      <c r="K1165" t="s">
        <v>48</v>
      </c>
      <c r="L1165">
        <v>1</v>
      </c>
      <c r="M1165">
        <v>180</v>
      </c>
      <c r="N1165">
        <v>0</v>
      </c>
      <c r="O1165">
        <v>180</v>
      </c>
      <c r="P1165">
        <v>85.42</v>
      </c>
      <c r="Q1165" t="s">
        <v>66</v>
      </c>
      <c r="R1165" t="s">
        <v>49</v>
      </c>
      <c r="S1165" t="s">
        <v>30</v>
      </c>
    </row>
    <row r="1166" spans="1:19" x14ac:dyDescent="0.3">
      <c r="A1166" t="s">
        <v>2142</v>
      </c>
      <c r="B1166" s="1">
        <v>45355</v>
      </c>
      <c r="C1166" s="2">
        <v>45390</v>
      </c>
      <c r="D1166" t="s">
        <v>112</v>
      </c>
      <c r="E1166" t="s">
        <v>113</v>
      </c>
      <c r="F1166" t="s">
        <v>23</v>
      </c>
      <c r="G1166" t="s">
        <v>35</v>
      </c>
      <c r="H1166" t="s">
        <v>36</v>
      </c>
      <c r="I1166" t="s">
        <v>63</v>
      </c>
      <c r="J1166" t="s">
        <v>64</v>
      </c>
      <c r="K1166" t="s">
        <v>65</v>
      </c>
      <c r="L1166">
        <v>1</v>
      </c>
      <c r="M1166">
        <v>25000</v>
      </c>
      <c r="N1166">
        <v>0</v>
      </c>
      <c r="O1166">
        <v>25000</v>
      </c>
      <c r="P1166">
        <v>3292.1</v>
      </c>
      <c r="Q1166" t="s">
        <v>66</v>
      </c>
      <c r="R1166" t="s">
        <v>29</v>
      </c>
      <c r="S1166" t="s">
        <v>86</v>
      </c>
    </row>
    <row r="1167" spans="1:19" x14ac:dyDescent="0.3">
      <c r="A1167" t="s">
        <v>2143</v>
      </c>
      <c r="B1167" s="1">
        <v>45323</v>
      </c>
      <c r="C1167" s="1">
        <v>45326</v>
      </c>
      <c r="D1167" t="s">
        <v>919</v>
      </c>
      <c r="E1167" t="s">
        <v>920</v>
      </c>
      <c r="F1167" t="s">
        <v>23</v>
      </c>
      <c r="G1167" t="s">
        <v>35</v>
      </c>
      <c r="H1167" t="s">
        <v>36</v>
      </c>
      <c r="I1167" t="s">
        <v>93</v>
      </c>
      <c r="J1167" t="s">
        <v>94</v>
      </c>
      <c r="K1167" t="s">
        <v>95</v>
      </c>
      <c r="L1167">
        <v>1</v>
      </c>
      <c r="M1167">
        <v>1800</v>
      </c>
      <c r="N1167">
        <v>0</v>
      </c>
      <c r="O1167">
        <v>1800</v>
      </c>
      <c r="P1167">
        <v>514.29999999999995</v>
      </c>
      <c r="Q1167" t="s">
        <v>39</v>
      </c>
      <c r="R1167" t="s">
        <v>29</v>
      </c>
      <c r="S1167" t="s">
        <v>86</v>
      </c>
    </row>
    <row r="1168" spans="1:19" x14ac:dyDescent="0.3">
      <c r="A1168" t="s">
        <v>2144</v>
      </c>
      <c r="B1168" s="1">
        <v>45886</v>
      </c>
      <c r="C1168" s="1">
        <v>45891</v>
      </c>
      <c r="D1168" t="s">
        <v>223</v>
      </c>
      <c r="E1168" t="s">
        <v>224</v>
      </c>
      <c r="F1168" t="s">
        <v>34</v>
      </c>
      <c r="G1168" t="s">
        <v>35</v>
      </c>
      <c r="H1168" t="s">
        <v>85</v>
      </c>
      <c r="I1168" t="s">
        <v>103</v>
      </c>
      <c r="J1168" t="s">
        <v>104</v>
      </c>
      <c r="K1168" t="s">
        <v>65</v>
      </c>
      <c r="L1168">
        <v>2</v>
      </c>
      <c r="M1168">
        <v>8000</v>
      </c>
      <c r="N1168">
        <v>0</v>
      </c>
      <c r="O1168">
        <v>16000</v>
      </c>
      <c r="P1168">
        <v>3793.42</v>
      </c>
      <c r="Q1168" t="s">
        <v>66</v>
      </c>
      <c r="R1168" t="s">
        <v>49</v>
      </c>
      <c r="S1168" t="s">
        <v>50</v>
      </c>
    </row>
    <row r="1169" spans="1:19" x14ac:dyDescent="0.3">
      <c r="A1169" t="s">
        <v>2145</v>
      </c>
      <c r="B1169" s="1">
        <v>45630</v>
      </c>
      <c r="C1169" s="1">
        <v>45398</v>
      </c>
      <c r="D1169" t="s">
        <v>1028</v>
      </c>
      <c r="E1169" t="s">
        <v>1029</v>
      </c>
      <c r="F1169" t="s">
        <v>34</v>
      </c>
      <c r="G1169" t="s">
        <v>91</v>
      </c>
      <c r="I1169" t="s">
        <v>79</v>
      </c>
      <c r="J1169" t="s">
        <v>80</v>
      </c>
      <c r="K1169" t="s">
        <v>65</v>
      </c>
      <c r="L1169">
        <v>3</v>
      </c>
      <c r="M1169">
        <v>3000</v>
      </c>
      <c r="N1169">
        <v>15</v>
      </c>
      <c r="O1169">
        <v>7650</v>
      </c>
      <c r="P1169">
        <v>2188.8000000000002</v>
      </c>
      <c r="Q1169" t="s">
        <v>156</v>
      </c>
      <c r="R1169" t="s">
        <v>29</v>
      </c>
      <c r="S1169" t="s">
        <v>40</v>
      </c>
    </row>
    <row r="1170" spans="1:19" x14ac:dyDescent="0.3">
      <c r="A1170" t="s">
        <v>2146</v>
      </c>
      <c r="B1170" s="1">
        <v>45785</v>
      </c>
      <c r="C1170" s="1">
        <v>45791</v>
      </c>
      <c r="D1170" t="s">
        <v>1132</v>
      </c>
      <c r="E1170" t="s">
        <v>1133</v>
      </c>
      <c r="F1170" t="s">
        <v>34</v>
      </c>
      <c r="G1170" t="s">
        <v>91</v>
      </c>
      <c r="H1170" t="s">
        <v>177</v>
      </c>
      <c r="I1170" t="s">
        <v>25</v>
      </c>
      <c r="J1170" t="s">
        <v>26</v>
      </c>
      <c r="K1170" t="s">
        <v>27</v>
      </c>
      <c r="L1170">
        <v>10</v>
      </c>
      <c r="M1170">
        <v>7000</v>
      </c>
      <c r="N1170">
        <v>0</v>
      </c>
      <c r="O1170">
        <v>70000</v>
      </c>
      <c r="P1170">
        <v>15378.81</v>
      </c>
      <c r="Q1170" t="s">
        <v>66</v>
      </c>
      <c r="R1170" t="s">
        <v>49</v>
      </c>
      <c r="S1170" t="s">
        <v>86</v>
      </c>
    </row>
    <row r="1171" spans="1:19" x14ac:dyDescent="0.3">
      <c r="A1171" t="s">
        <v>2147</v>
      </c>
      <c r="B1171" t="s">
        <v>2148</v>
      </c>
      <c r="C1171" s="1">
        <v>45771</v>
      </c>
      <c r="D1171" t="s">
        <v>1398</v>
      </c>
      <c r="E1171" t="s">
        <v>1399</v>
      </c>
      <c r="F1171" t="s">
        <v>34</v>
      </c>
      <c r="G1171" t="s">
        <v>91</v>
      </c>
      <c r="H1171" t="s">
        <v>92</v>
      </c>
      <c r="I1171" t="s">
        <v>126</v>
      </c>
      <c r="J1171" t="s">
        <v>127</v>
      </c>
      <c r="K1171" t="s">
        <v>95</v>
      </c>
      <c r="L1171">
        <v>2</v>
      </c>
      <c r="M1171">
        <v>600</v>
      </c>
      <c r="N1171">
        <v>0</v>
      </c>
      <c r="O1171">
        <v>1200</v>
      </c>
      <c r="P1171">
        <v>334.26</v>
      </c>
      <c r="Q1171" t="s">
        <v>156</v>
      </c>
      <c r="R1171" t="s">
        <v>49</v>
      </c>
      <c r="S1171" t="s">
        <v>50</v>
      </c>
    </row>
    <row r="1172" spans="1:19" x14ac:dyDescent="0.3">
      <c r="A1172" t="s">
        <v>2149</v>
      </c>
      <c r="B1172" s="2">
        <v>45536</v>
      </c>
      <c r="C1172" s="1">
        <v>45543</v>
      </c>
      <c r="D1172" t="s">
        <v>981</v>
      </c>
      <c r="E1172" t="s">
        <v>982</v>
      </c>
      <c r="F1172" t="s">
        <v>23</v>
      </c>
      <c r="G1172" t="s">
        <v>91</v>
      </c>
      <c r="H1172" t="s">
        <v>177</v>
      </c>
      <c r="I1172" t="s">
        <v>93</v>
      </c>
      <c r="J1172" t="s">
        <v>94</v>
      </c>
      <c r="K1172" t="s">
        <v>95</v>
      </c>
      <c r="L1172">
        <v>1</v>
      </c>
      <c r="M1172">
        <v>1800</v>
      </c>
      <c r="N1172">
        <v>0</v>
      </c>
      <c r="O1172">
        <v>1800</v>
      </c>
      <c r="P1172">
        <v>606.89</v>
      </c>
      <c r="Q1172" t="s">
        <v>121</v>
      </c>
      <c r="R1172" t="s">
        <v>56</v>
      </c>
      <c r="S1172" t="s">
        <v>30</v>
      </c>
    </row>
    <row r="1173" spans="1:19" x14ac:dyDescent="0.3">
      <c r="A1173" t="s">
        <v>2150</v>
      </c>
      <c r="B1173" t="s">
        <v>1494</v>
      </c>
      <c r="C1173" s="1">
        <v>45481</v>
      </c>
      <c r="D1173" t="s">
        <v>1048</v>
      </c>
      <c r="E1173" t="s">
        <v>1049</v>
      </c>
      <c r="F1173" t="s">
        <v>34</v>
      </c>
      <c r="G1173" t="s">
        <v>61</v>
      </c>
      <c r="H1173" t="s">
        <v>125</v>
      </c>
      <c r="I1173" t="s">
        <v>134</v>
      </c>
      <c r="J1173" t="s">
        <v>135</v>
      </c>
      <c r="K1173" t="s">
        <v>27</v>
      </c>
      <c r="L1173">
        <v>1</v>
      </c>
      <c r="M1173">
        <v>6000</v>
      </c>
      <c r="N1173">
        <v>0</v>
      </c>
      <c r="O1173">
        <v>6000</v>
      </c>
      <c r="P1173">
        <v>1186.42</v>
      </c>
      <c r="Q1173" t="s">
        <v>121</v>
      </c>
      <c r="R1173" t="s">
        <v>56</v>
      </c>
      <c r="S1173" t="s">
        <v>40</v>
      </c>
    </row>
    <row r="1174" spans="1:19" x14ac:dyDescent="0.3">
      <c r="A1174" t="s">
        <v>2151</v>
      </c>
      <c r="B1174" s="1">
        <v>45384</v>
      </c>
      <c r="C1174" s="1">
        <v>45355</v>
      </c>
      <c r="D1174" t="s">
        <v>413</v>
      </c>
      <c r="E1174" t="s">
        <v>414</v>
      </c>
      <c r="F1174" t="s">
        <v>55</v>
      </c>
      <c r="G1174" t="s">
        <v>91</v>
      </c>
      <c r="H1174" t="s">
        <v>120</v>
      </c>
      <c r="I1174" t="s">
        <v>63</v>
      </c>
      <c r="J1174" t="s">
        <v>64</v>
      </c>
      <c r="K1174" t="s">
        <v>65</v>
      </c>
      <c r="L1174">
        <v>1</v>
      </c>
      <c r="M1174">
        <v>25000</v>
      </c>
      <c r="N1174">
        <v>15</v>
      </c>
      <c r="O1174">
        <v>21250</v>
      </c>
      <c r="P1174">
        <v>2619.12</v>
      </c>
      <c r="Q1174" t="s">
        <v>121</v>
      </c>
      <c r="R1174" t="s">
        <v>49</v>
      </c>
      <c r="S1174" t="s">
        <v>50</v>
      </c>
    </row>
    <row r="1175" spans="1:19" x14ac:dyDescent="0.3">
      <c r="A1175" t="s">
        <v>2152</v>
      </c>
      <c r="B1175" s="2">
        <v>45484</v>
      </c>
      <c r="C1175" s="1">
        <v>45489</v>
      </c>
      <c r="D1175" t="s">
        <v>1100</v>
      </c>
      <c r="E1175" t="s">
        <v>1101</v>
      </c>
      <c r="F1175" t="s">
        <v>23</v>
      </c>
      <c r="G1175" t="s">
        <v>44</v>
      </c>
      <c r="H1175" t="s">
        <v>161</v>
      </c>
      <c r="I1175" t="s">
        <v>134</v>
      </c>
      <c r="J1175" t="s">
        <v>135</v>
      </c>
      <c r="K1175" t="s">
        <v>27</v>
      </c>
      <c r="L1175">
        <v>1</v>
      </c>
      <c r="M1175">
        <v>6000</v>
      </c>
      <c r="N1175">
        <v>5</v>
      </c>
      <c r="O1175">
        <v>5700</v>
      </c>
      <c r="P1175">
        <v>1047.45</v>
      </c>
      <c r="Q1175" t="s">
        <v>39</v>
      </c>
      <c r="R1175" t="s">
        <v>56</v>
      </c>
      <c r="S1175" t="s">
        <v>86</v>
      </c>
    </row>
    <row r="1176" spans="1:19" x14ac:dyDescent="0.3">
      <c r="A1176" t="s">
        <v>2153</v>
      </c>
      <c r="B1176" s="2">
        <v>45518</v>
      </c>
      <c r="C1176" s="1">
        <v>45519</v>
      </c>
      <c r="D1176" t="s">
        <v>713</v>
      </c>
      <c r="E1176" t="s">
        <v>714</v>
      </c>
      <c r="F1176" t="s">
        <v>34</v>
      </c>
      <c r="G1176" t="s">
        <v>35</v>
      </c>
      <c r="H1176" t="s">
        <v>258</v>
      </c>
      <c r="I1176" t="s">
        <v>71</v>
      </c>
      <c r="J1176" t="s">
        <v>72</v>
      </c>
      <c r="K1176" t="s">
        <v>73</v>
      </c>
      <c r="L1176">
        <v>1</v>
      </c>
      <c r="M1176">
        <v>3500</v>
      </c>
      <c r="N1176">
        <v>5</v>
      </c>
      <c r="O1176">
        <v>3325</v>
      </c>
      <c r="P1176">
        <v>1156.48</v>
      </c>
      <c r="Q1176" t="s">
        <v>74</v>
      </c>
      <c r="R1176" t="s">
        <v>49</v>
      </c>
      <c r="S1176" t="s">
        <v>40</v>
      </c>
    </row>
    <row r="1177" spans="1:19" x14ac:dyDescent="0.3">
      <c r="A1177" t="s">
        <v>2154</v>
      </c>
      <c r="B1177" s="2">
        <v>45660</v>
      </c>
      <c r="C1177" s="1">
        <v>45962</v>
      </c>
      <c r="D1177" t="s">
        <v>682</v>
      </c>
      <c r="E1177" t="s">
        <v>683</v>
      </c>
      <c r="F1177" t="s">
        <v>55</v>
      </c>
      <c r="G1177" t="s">
        <v>61</v>
      </c>
      <c r="H1177" t="s">
        <v>125</v>
      </c>
      <c r="I1177" t="s">
        <v>25</v>
      </c>
      <c r="J1177" t="s">
        <v>26</v>
      </c>
      <c r="K1177" t="s">
        <v>27</v>
      </c>
      <c r="L1177">
        <v>2</v>
      </c>
      <c r="M1177">
        <v>7000</v>
      </c>
      <c r="N1177">
        <v>5</v>
      </c>
      <c r="O1177">
        <v>13300</v>
      </c>
      <c r="P1177">
        <v>2593.61</v>
      </c>
      <c r="Q1177" t="s">
        <v>74</v>
      </c>
      <c r="R1177" t="s">
        <v>29</v>
      </c>
      <c r="S1177" t="s">
        <v>110</v>
      </c>
    </row>
    <row r="1178" spans="1:19" x14ac:dyDescent="0.3">
      <c r="A1178" t="s">
        <v>2155</v>
      </c>
      <c r="B1178" s="1">
        <v>45483</v>
      </c>
      <c r="C1178" s="2">
        <v>45485</v>
      </c>
      <c r="D1178" t="s">
        <v>275</v>
      </c>
      <c r="E1178" t="s">
        <v>276</v>
      </c>
      <c r="F1178" t="s">
        <v>34</v>
      </c>
      <c r="G1178" t="s">
        <v>91</v>
      </c>
      <c r="H1178" t="s">
        <v>120</v>
      </c>
      <c r="I1178" t="s">
        <v>79</v>
      </c>
      <c r="J1178" t="s">
        <v>80</v>
      </c>
      <c r="K1178" t="s">
        <v>65</v>
      </c>
      <c r="L1178">
        <v>1</v>
      </c>
      <c r="M1178">
        <v>3000</v>
      </c>
      <c r="N1178">
        <v>20</v>
      </c>
      <c r="O1178">
        <v>2400</v>
      </c>
      <c r="P1178">
        <v>550.51</v>
      </c>
      <c r="Q1178" t="s">
        <v>28</v>
      </c>
      <c r="R1178" t="s">
        <v>56</v>
      </c>
      <c r="S1178" t="s">
        <v>40</v>
      </c>
    </row>
    <row r="1179" spans="1:19" x14ac:dyDescent="0.3">
      <c r="A1179" t="s">
        <v>2156</v>
      </c>
      <c r="B1179" s="1">
        <v>45450</v>
      </c>
      <c r="C1179" s="1">
        <v>45603</v>
      </c>
      <c r="D1179" t="s">
        <v>2043</v>
      </c>
      <c r="E1179" t="s">
        <v>2044</v>
      </c>
      <c r="F1179" t="s">
        <v>55</v>
      </c>
      <c r="G1179" t="s">
        <v>61</v>
      </c>
      <c r="H1179" t="s">
        <v>125</v>
      </c>
      <c r="I1179" t="s">
        <v>134</v>
      </c>
      <c r="J1179" t="s">
        <v>135</v>
      </c>
      <c r="K1179" t="s">
        <v>27</v>
      </c>
      <c r="L1179">
        <v>1</v>
      </c>
      <c r="M1179">
        <v>6000</v>
      </c>
      <c r="N1179">
        <v>15</v>
      </c>
      <c r="O1179">
        <v>5100</v>
      </c>
      <c r="P1179">
        <v>1330.26</v>
      </c>
      <c r="Q1179" t="s">
        <v>39</v>
      </c>
      <c r="R1179" t="s">
        <v>56</v>
      </c>
      <c r="S1179" t="s">
        <v>86</v>
      </c>
    </row>
    <row r="1180" spans="1:19" x14ac:dyDescent="0.3">
      <c r="A1180" t="s">
        <v>2157</v>
      </c>
      <c r="B1180" s="1">
        <v>45532</v>
      </c>
      <c r="C1180" s="1">
        <v>45391</v>
      </c>
      <c r="D1180" t="s">
        <v>514</v>
      </c>
      <c r="E1180" t="s">
        <v>515</v>
      </c>
      <c r="F1180" t="s">
        <v>23</v>
      </c>
      <c r="G1180" t="s">
        <v>44</v>
      </c>
      <c r="H1180" t="s">
        <v>45</v>
      </c>
      <c r="I1180" t="s">
        <v>79</v>
      </c>
      <c r="J1180" t="s">
        <v>80</v>
      </c>
      <c r="K1180" t="s">
        <v>65</v>
      </c>
      <c r="L1180">
        <v>2</v>
      </c>
      <c r="M1180">
        <v>3000</v>
      </c>
      <c r="N1180">
        <v>5</v>
      </c>
      <c r="O1180">
        <v>5700</v>
      </c>
      <c r="P1180">
        <v>1746.68</v>
      </c>
      <c r="Q1180" t="s">
        <v>28</v>
      </c>
      <c r="R1180" t="s">
        <v>29</v>
      </c>
      <c r="S1180" t="s">
        <v>110</v>
      </c>
    </row>
    <row r="1181" spans="1:19" x14ac:dyDescent="0.3">
      <c r="A1181" t="s">
        <v>2158</v>
      </c>
      <c r="B1181" s="1">
        <v>45795</v>
      </c>
      <c r="C1181" s="1">
        <v>45801</v>
      </c>
      <c r="D1181" t="s">
        <v>578</v>
      </c>
      <c r="E1181" t="s">
        <v>579</v>
      </c>
      <c r="F1181" t="s">
        <v>23</v>
      </c>
      <c r="G1181" t="s">
        <v>91</v>
      </c>
      <c r="H1181" t="s">
        <v>177</v>
      </c>
      <c r="I1181" t="s">
        <v>114</v>
      </c>
      <c r="J1181" t="s">
        <v>115</v>
      </c>
      <c r="K1181" t="s">
        <v>65</v>
      </c>
      <c r="L1181">
        <v>5</v>
      </c>
      <c r="M1181">
        <v>55000</v>
      </c>
      <c r="N1181">
        <v>10</v>
      </c>
      <c r="O1181">
        <v>247500</v>
      </c>
      <c r="P1181">
        <v>37312.03</v>
      </c>
      <c r="Q1181" t="s">
        <v>66</v>
      </c>
      <c r="R1181" t="s">
        <v>49</v>
      </c>
      <c r="S1181" t="s">
        <v>86</v>
      </c>
    </row>
    <row r="1182" spans="1:19" x14ac:dyDescent="0.3">
      <c r="A1182" t="s">
        <v>2159</v>
      </c>
      <c r="B1182" s="1">
        <v>45301</v>
      </c>
      <c r="C1182" s="1">
        <v>45305</v>
      </c>
      <c r="D1182" t="s">
        <v>138</v>
      </c>
      <c r="E1182" t="s">
        <v>139</v>
      </c>
      <c r="F1182" t="s">
        <v>55</v>
      </c>
      <c r="G1182" t="s">
        <v>35</v>
      </c>
      <c r="H1182" t="s">
        <v>36</v>
      </c>
      <c r="I1182" t="s">
        <v>114</v>
      </c>
      <c r="J1182" t="s">
        <v>115</v>
      </c>
      <c r="K1182" t="s">
        <v>65</v>
      </c>
      <c r="L1182">
        <v>10</v>
      </c>
      <c r="M1182">
        <v>55000</v>
      </c>
      <c r="N1182">
        <v>0</v>
      </c>
      <c r="O1182">
        <v>550000</v>
      </c>
      <c r="P1182">
        <v>107212.75</v>
      </c>
      <c r="Q1182" t="s">
        <v>74</v>
      </c>
      <c r="R1182" t="s">
        <v>56</v>
      </c>
      <c r="S1182" t="s">
        <v>86</v>
      </c>
    </row>
    <row r="1183" spans="1:19" x14ac:dyDescent="0.3">
      <c r="A1183" t="s">
        <v>2160</v>
      </c>
      <c r="B1183" s="1">
        <v>45687</v>
      </c>
      <c r="C1183" s="2">
        <v>45692</v>
      </c>
      <c r="D1183" t="s">
        <v>409</v>
      </c>
      <c r="E1183" t="s">
        <v>410</v>
      </c>
      <c r="F1183" t="s">
        <v>23</v>
      </c>
      <c r="G1183" t="s">
        <v>61</v>
      </c>
      <c r="H1183" t="s">
        <v>125</v>
      </c>
      <c r="I1183" t="s">
        <v>147</v>
      </c>
      <c r="J1183" t="s">
        <v>148</v>
      </c>
      <c r="K1183" t="s">
        <v>48</v>
      </c>
      <c r="L1183">
        <v>4</v>
      </c>
      <c r="M1183">
        <v>250</v>
      </c>
      <c r="N1183">
        <v>20</v>
      </c>
      <c r="O1183">
        <v>800</v>
      </c>
      <c r="P1183">
        <v>279.47000000000003</v>
      </c>
      <c r="Q1183" t="s">
        <v>74</v>
      </c>
      <c r="R1183" t="s">
        <v>56</v>
      </c>
      <c r="S1183" t="s">
        <v>40</v>
      </c>
    </row>
    <row r="1184" spans="1:19" x14ac:dyDescent="0.3">
      <c r="A1184" t="s">
        <v>2161</v>
      </c>
      <c r="B1184" t="s">
        <v>2162</v>
      </c>
      <c r="C1184" s="1">
        <v>45439</v>
      </c>
      <c r="D1184" t="s">
        <v>1886</v>
      </c>
      <c r="E1184" t="s">
        <v>1887</v>
      </c>
      <c r="F1184" t="s">
        <v>23</v>
      </c>
      <c r="G1184" t="s">
        <v>91</v>
      </c>
      <c r="H1184" t="s">
        <v>120</v>
      </c>
      <c r="I1184" t="s">
        <v>126</v>
      </c>
      <c r="J1184" t="s">
        <v>127</v>
      </c>
      <c r="K1184" t="s">
        <v>95</v>
      </c>
      <c r="L1184">
        <v>1</v>
      </c>
      <c r="M1184">
        <v>600</v>
      </c>
      <c r="N1184">
        <v>0</v>
      </c>
      <c r="O1184">
        <v>600</v>
      </c>
      <c r="P1184">
        <v>196.87</v>
      </c>
      <c r="Q1184" t="s">
        <v>156</v>
      </c>
      <c r="R1184" t="s">
        <v>29</v>
      </c>
      <c r="S1184" t="s">
        <v>86</v>
      </c>
    </row>
    <row r="1185" spans="1:19" x14ac:dyDescent="0.3">
      <c r="A1185" t="s">
        <v>2163</v>
      </c>
      <c r="B1185" s="1">
        <v>45996</v>
      </c>
      <c r="C1185" s="1">
        <v>45881</v>
      </c>
      <c r="D1185" t="s">
        <v>634</v>
      </c>
      <c r="E1185" t="s">
        <v>635</v>
      </c>
      <c r="F1185" t="s">
        <v>23</v>
      </c>
      <c r="G1185" t="s">
        <v>91</v>
      </c>
      <c r="H1185" t="s">
        <v>177</v>
      </c>
      <c r="I1185" t="s">
        <v>79</v>
      </c>
      <c r="J1185" t="s">
        <v>80</v>
      </c>
      <c r="K1185" t="s">
        <v>65</v>
      </c>
      <c r="L1185">
        <v>5</v>
      </c>
      <c r="M1185">
        <v>3000</v>
      </c>
      <c r="N1185">
        <v>5</v>
      </c>
      <c r="O1185">
        <v>14250</v>
      </c>
      <c r="P1185">
        <v>3639.03</v>
      </c>
      <c r="Q1185" t="s">
        <v>74</v>
      </c>
      <c r="R1185" t="s">
        <v>29</v>
      </c>
      <c r="S1185" t="s">
        <v>40</v>
      </c>
    </row>
    <row r="1186" spans="1:19" x14ac:dyDescent="0.3">
      <c r="A1186" t="s">
        <v>2164</v>
      </c>
      <c r="B1186" s="1">
        <v>45656</v>
      </c>
      <c r="C1186" s="1">
        <v>45748</v>
      </c>
      <c r="D1186" t="s">
        <v>1855</v>
      </c>
      <c r="E1186" t="s">
        <v>1856</v>
      </c>
      <c r="F1186" t="s">
        <v>55</v>
      </c>
      <c r="G1186" t="s">
        <v>35</v>
      </c>
      <c r="H1186" t="s">
        <v>85</v>
      </c>
      <c r="I1186" t="s">
        <v>63</v>
      </c>
      <c r="J1186" t="s">
        <v>64</v>
      </c>
      <c r="K1186" t="s">
        <v>65</v>
      </c>
      <c r="L1186">
        <v>1</v>
      </c>
      <c r="M1186">
        <v>25000</v>
      </c>
      <c r="N1186">
        <v>5</v>
      </c>
      <c r="O1186">
        <v>23750</v>
      </c>
      <c r="P1186">
        <v>3643.16</v>
      </c>
      <c r="Q1186" t="s">
        <v>156</v>
      </c>
      <c r="R1186" t="s">
        <v>29</v>
      </c>
      <c r="S1186" t="s">
        <v>40</v>
      </c>
    </row>
    <row r="1187" spans="1:19" x14ac:dyDescent="0.3">
      <c r="A1187" t="s">
        <v>2165</v>
      </c>
      <c r="B1187" s="2">
        <v>45438</v>
      </c>
      <c r="C1187" s="1">
        <v>45442</v>
      </c>
      <c r="D1187" t="s">
        <v>278</v>
      </c>
      <c r="E1187" t="s">
        <v>279</v>
      </c>
      <c r="F1187" t="s">
        <v>23</v>
      </c>
      <c r="G1187" t="s">
        <v>91</v>
      </c>
      <c r="H1187" t="s">
        <v>177</v>
      </c>
      <c r="I1187" t="s">
        <v>147</v>
      </c>
      <c r="J1187" t="s">
        <v>148</v>
      </c>
      <c r="K1187" t="s">
        <v>48</v>
      </c>
      <c r="L1187">
        <v>2</v>
      </c>
      <c r="M1187">
        <v>250</v>
      </c>
      <c r="N1187">
        <v>20</v>
      </c>
      <c r="O1187">
        <v>16000</v>
      </c>
      <c r="P1187">
        <v>114.63</v>
      </c>
      <c r="Q1187" t="s">
        <v>121</v>
      </c>
      <c r="R1187" t="s">
        <v>56</v>
      </c>
      <c r="S1187" t="s">
        <v>110</v>
      </c>
    </row>
    <row r="1188" spans="1:19" x14ac:dyDescent="0.3">
      <c r="A1188" t="s">
        <v>2166</v>
      </c>
      <c r="B1188" s="2">
        <v>45463</v>
      </c>
      <c r="C1188" s="1">
        <v>45467</v>
      </c>
      <c r="D1188" t="s">
        <v>1301</v>
      </c>
      <c r="E1188" t="s">
        <v>1302</v>
      </c>
      <c r="F1188" t="s">
        <v>23</v>
      </c>
      <c r="G1188" t="s">
        <v>91</v>
      </c>
      <c r="H1188" t="s">
        <v>120</v>
      </c>
      <c r="I1188" t="s">
        <v>25</v>
      </c>
      <c r="J1188" t="s">
        <v>26</v>
      </c>
      <c r="K1188" t="s">
        <v>27</v>
      </c>
      <c r="L1188">
        <v>1</v>
      </c>
      <c r="M1188">
        <v>7000</v>
      </c>
      <c r="N1188">
        <v>0</v>
      </c>
      <c r="O1188">
        <v>7000</v>
      </c>
      <c r="P1188">
        <v>1665.2</v>
      </c>
      <c r="Q1188" t="s">
        <v>28</v>
      </c>
      <c r="R1188" t="s">
        <v>56</v>
      </c>
      <c r="S1188" t="s">
        <v>50</v>
      </c>
    </row>
    <row r="1189" spans="1:19" x14ac:dyDescent="0.3">
      <c r="A1189" t="s">
        <v>2167</v>
      </c>
      <c r="B1189" s="1">
        <v>45475</v>
      </c>
      <c r="C1189" s="2">
        <v>45331</v>
      </c>
      <c r="D1189" t="s">
        <v>1609</v>
      </c>
      <c r="E1189" t="s">
        <v>1610</v>
      </c>
      <c r="F1189" t="s">
        <v>55</v>
      </c>
      <c r="G1189" t="s">
        <v>44</v>
      </c>
      <c r="H1189" t="s">
        <v>24</v>
      </c>
      <c r="I1189" t="s">
        <v>147</v>
      </c>
      <c r="J1189" t="s">
        <v>148</v>
      </c>
      <c r="K1189" t="s">
        <v>48</v>
      </c>
      <c r="L1189">
        <v>1</v>
      </c>
      <c r="M1189">
        <v>250</v>
      </c>
      <c r="N1189">
        <v>10</v>
      </c>
      <c r="O1189">
        <v>225</v>
      </c>
      <c r="P1189">
        <v>74.95</v>
      </c>
      <c r="Q1189" t="s">
        <v>28</v>
      </c>
      <c r="R1189" t="s">
        <v>29</v>
      </c>
      <c r="S1189" t="s">
        <v>194</v>
      </c>
    </row>
    <row r="1190" spans="1:19" x14ac:dyDescent="0.3">
      <c r="A1190" t="s">
        <v>2168</v>
      </c>
      <c r="B1190" s="1">
        <v>45779</v>
      </c>
      <c r="C1190" s="2">
        <v>45784</v>
      </c>
      <c r="D1190" t="s">
        <v>98</v>
      </c>
      <c r="E1190" t="s">
        <v>99</v>
      </c>
      <c r="F1190" t="s">
        <v>34</v>
      </c>
      <c r="G1190" t="s">
        <v>91</v>
      </c>
      <c r="H1190" t="s">
        <v>92</v>
      </c>
      <c r="I1190" t="s">
        <v>126</v>
      </c>
      <c r="J1190" t="s">
        <v>127</v>
      </c>
      <c r="K1190" t="s">
        <v>95</v>
      </c>
      <c r="L1190">
        <v>5</v>
      </c>
      <c r="M1190">
        <v>600</v>
      </c>
      <c r="N1190">
        <v>15</v>
      </c>
      <c r="O1190">
        <v>2550</v>
      </c>
      <c r="P1190">
        <v>817.25</v>
      </c>
      <c r="Q1190" t="s">
        <v>121</v>
      </c>
      <c r="R1190" t="s">
        <v>56</v>
      </c>
      <c r="S1190" t="s">
        <v>40</v>
      </c>
    </row>
    <row r="1191" spans="1:19" x14ac:dyDescent="0.3">
      <c r="A1191" t="s">
        <v>2169</v>
      </c>
      <c r="B1191" s="1">
        <v>45853</v>
      </c>
      <c r="C1191" t="s">
        <v>1297</v>
      </c>
      <c r="D1191" t="s">
        <v>981</v>
      </c>
      <c r="E1191" t="s">
        <v>982</v>
      </c>
      <c r="F1191" t="s">
        <v>23</v>
      </c>
      <c r="G1191" t="s">
        <v>91</v>
      </c>
      <c r="H1191" t="s">
        <v>177</v>
      </c>
      <c r="I1191" t="s">
        <v>147</v>
      </c>
      <c r="J1191" t="s">
        <v>148</v>
      </c>
      <c r="K1191" t="s">
        <v>48</v>
      </c>
      <c r="L1191">
        <v>4</v>
      </c>
      <c r="M1191">
        <v>250</v>
      </c>
      <c r="N1191">
        <v>20</v>
      </c>
      <c r="O1191">
        <v>800</v>
      </c>
      <c r="P1191">
        <v>276.25</v>
      </c>
      <c r="Q1191" t="s">
        <v>121</v>
      </c>
      <c r="R1191" t="s">
        <v>49</v>
      </c>
      <c r="S1191" t="s">
        <v>50</v>
      </c>
    </row>
    <row r="1192" spans="1:19" x14ac:dyDescent="0.3">
      <c r="A1192" t="s">
        <v>2170</v>
      </c>
      <c r="B1192" t="s">
        <v>2171</v>
      </c>
      <c r="C1192" s="1">
        <v>45799</v>
      </c>
      <c r="D1192" t="s">
        <v>514</v>
      </c>
      <c r="E1192" t="s">
        <v>2172</v>
      </c>
      <c r="F1192" t="s">
        <v>23</v>
      </c>
      <c r="G1192" t="s">
        <v>44</v>
      </c>
      <c r="H1192" t="s">
        <v>45</v>
      </c>
      <c r="I1192" t="s">
        <v>46</v>
      </c>
      <c r="J1192" t="s">
        <v>47</v>
      </c>
      <c r="K1192" t="s">
        <v>48</v>
      </c>
      <c r="L1192">
        <v>1</v>
      </c>
      <c r="M1192">
        <v>180</v>
      </c>
      <c r="N1192">
        <v>20</v>
      </c>
      <c r="O1192">
        <v>144</v>
      </c>
      <c r="P1192">
        <v>53.19</v>
      </c>
      <c r="Q1192" t="s">
        <v>28</v>
      </c>
      <c r="R1192" t="s">
        <v>56</v>
      </c>
      <c r="S1192" t="s">
        <v>86</v>
      </c>
    </row>
    <row r="1193" spans="1:19" x14ac:dyDescent="0.3">
      <c r="A1193" t="s">
        <v>2173</v>
      </c>
      <c r="B1193" s="1">
        <v>45779</v>
      </c>
      <c r="C1193" s="2">
        <v>45783</v>
      </c>
      <c r="D1193" t="s">
        <v>498</v>
      </c>
      <c r="E1193" t="s">
        <v>499</v>
      </c>
      <c r="F1193" t="s">
        <v>55</v>
      </c>
      <c r="G1193" t="s">
        <v>91</v>
      </c>
      <c r="I1193" t="s">
        <v>126</v>
      </c>
      <c r="J1193" t="s">
        <v>127</v>
      </c>
      <c r="K1193" t="s">
        <v>95</v>
      </c>
      <c r="L1193">
        <v>1</v>
      </c>
      <c r="M1193">
        <v>600</v>
      </c>
      <c r="N1193">
        <v>0</v>
      </c>
      <c r="O1193">
        <v>600</v>
      </c>
      <c r="P1193">
        <v>249.1</v>
      </c>
      <c r="Q1193" t="s">
        <v>66</v>
      </c>
      <c r="R1193" t="s">
        <v>29</v>
      </c>
      <c r="S1193" t="s">
        <v>30</v>
      </c>
    </row>
    <row r="1194" spans="1:19" x14ac:dyDescent="0.3">
      <c r="A1194" t="s">
        <v>2174</v>
      </c>
      <c r="B1194" t="s">
        <v>1071</v>
      </c>
      <c r="C1194" s="2">
        <v>45868</v>
      </c>
      <c r="D1194" t="s">
        <v>409</v>
      </c>
      <c r="E1194" t="s">
        <v>410</v>
      </c>
      <c r="F1194" t="s">
        <v>23</v>
      </c>
      <c r="G1194" t="s">
        <v>61</v>
      </c>
      <c r="H1194" t="s">
        <v>125</v>
      </c>
      <c r="I1194" t="s">
        <v>126</v>
      </c>
      <c r="J1194" t="s">
        <v>127</v>
      </c>
      <c r="K1194" t="s">
        <v>95</v>
      </c>
      <c r="L1194">
        <v>4</v>
      </c>
      <c r="M1194">
        <v>600</v>
      </c>
      <c r="N1194">
        <v>0</v>
      </c>
      <c r="O1194">
        <v>2400</v>
      </c>
      <c r="P1194">
        <v>867.79</v>
      </c>
      <c r="R1194" t="s">
        <v>49</v>
      </c>
      <c r="S1194" t="s">
        <v>30</v>
      </c>
    </row>
    <row r="1195" spans="1:19" x14ac:dyDescent="0.3">
      <c r="A1195" t="s">
        <v>2175</v>
      </c>
      <c r="B1195" s="1">
        <v>45372</v>
      </c>
      <c r="C1195" s="1">
        <v>45380</v>
      </c>
      <c r="D1195" t="s">
        <v>767</v>
      </c>
      <c r="E1195" t="s">
        <v>768</v>
      </c>
      <c r="F1195" t="s">
        <v>23</v>
      </c>
      <c r="G1195" t="s">
        <v>35</v>
      </c>
      <c r="H1195" t="s">
        <v>258</v>
      </c>
      <c r="I1195" t="s">
        <v>25</v>
      </c>
      <c r="J1195" t="s">
        <v>26</v>
      </c>
      <c r="K1195" t="s">
        <v>27</v>
      </c>
      <c r="L1195">
        <v>1</v>
      </c>
      <c r="M1195">
        <v>7000</v>
      </c>
      <c r="N1195">
        <v>5</v>
      </c>
      <c r="O1195">
        <v>6650</v>
      </c>
      <c r="P1195">
        <v>1407.97</v>
      </c>
      <c r="Q1195" t="s">
        <v>121</v>
      </c>
      <c r="R1195" t="s">
        <v>29</v>
      </c>
      <c r="S1195" t="s">
        <v>40</v>
      </c>
    </row>
    <row r="1196" spans="1:19" x14ac:dyDescent="0.3">
      <c r="A1196" t="s">
        <v>2176</v>
      </c>
      <c r="B1196" s="1">
        <v>45604</v>
      </c>
      <c r="C1196" s="1">
        <v>45546</v>
      </c>
      <c r="D1196" t="s">
        <v>699</v>
      </c>
      <c r="E1196" t="s">
        <v>700</v>
      </c>
      <c r="F1196" t="s">
        <v>23</v>
      </c>
      <c r="G1196" t="s">
        <v>35</v>
      </c>
      <c r="H1196" t="s">
        <v>36</v>
      </c>
      <c r="I1196" t="s">
        <v>114</v>
      </c>
      <c r="J1196" t="s">
        <v>115</v>
      </c>
      <c r="K1196" t="s">
        <v>65</v>
      </c>
      <c r="L1196">
        <v>1</v>
      </c>
      <c r="M1196">
        <v>55000</v>
      </c>
      <c r="N1196">
        <v>20</v>
      </c>
      <c r="O1196">
        <v>44000</v>
      </c>
      <c r="P1196">
        <v>7887.24</v>
      </c>
      <c r="Q1196" t="s">
        <v>66</v>
      </c>
      <c r="R1196" t="s">
        <v>56</v>
      </c>
      <c r="S1196" t="s">
        <v>110</v>
      </c>
    </row>
    <row r="1197" spans="1:19" x14ac:dyDescent="0.3">
      <c r="A1197" t="s">
        <v>2177</v>
      </c>
      <c r="B1197" s="1">
        <v>45364</v>
      </c>
      <c r="C1197" s="2">
        <v>45365</v>
      </c>
      <c r="D1197" t="s">
        <v>2178</v>
      </c>
      <c r="E1197" t="s">
        <v>2179</v>
      </c>
      <c r="F1197" t="s">
        <v>55</v>
      </c>
      <c r="G1197" t="s">
        <v>44</v>
      </c>
      <c r="H1197" t="s">
        <v>24</v>
      </c>
      <c r="I1197" t="s">
        <v>63</v>
      </c>
      <c r="J1197" t="s">
        <v>64</v>
      </c>
      <c r="K1197" t="s">
        <v>65</v>
      </c>
      <c r="L1197">
        <v>2</v>
      </c>
      <c r="M1197">
        <v>25000</v>
      </c>
      <c r="N1197">
        <v>0</v>
      </c>
      <c r="O1197">
        <v>50000</v>
      </c>
      <c r="P1197">
        <v>7581.71</v>
      </c>
      <c r="Q1197" t="s">
        <v>28</v>
      </c>
      <c r="R1197" t="s">
        <v>29</v>
      </c>
      <c r="S1197" t="s">
        <v>86</v>
      </c>
    </row>
    <row r="1198" spans="1:19" x14ac:dyDescent="0.3">
      <c r="A1198" t="s">
        <v>2180</v>
      </c>
      <c r="B1198" s="1">
        <v>45473</v>
      </c>
      <c r="C1198" s="1">
        <v>45478</v>
      </c>
      <c r="D1198" t="s">
        <v>145</v>
      </c>
      <c r="E1198" t="s">
        <v>2181</v>
      </c>
      <c r="F1198" t="s">
        <v>34</v>
      </c>
      <c r="G1198" t="s">
        <v>91</v>
      </c>
      <c r="H1198" t="s">
        <v>92</v>
      </c>
      <c r="I1198" t="s">
        <v>25</v>
      </c>
      <c r="J1198" t="s">
        <v>26</v>
      </c>
      <c r="K1198" t="s">
        <v>27</v>
      </c>
      <c r="L1198">
        <v>1</v>
      </c>
      <c r="M1198">
        <v>7000</v>
      </c>
      <c r="N1198">
        <v>0</v>
      </c>
      <c r="O1198">
        <v>7000</v>
      </c>
      <c r="P1198">
        <v>1313.7</v>
      </c>
      <c r="Q1198" t="s">
        <v>28</v>
      </c>
      <c r="R1198" t="s">
        <v>29</v>
      </c>
      <c r="S1198" t="s">
        <v>40</v>
      </c>
    </row>
    <row r="1199" spans="1:19" x14ac:dyDescent="0.3">
      <c r="A1199" t="s">
        <v>2182</v>
      </c>
      <c r="B1199" s="1">
        <v>45356</v>
      </c>
      <c r="C1199" s="1">
        <v>45419</v>
      </c>
      <c r="D1199" t="s">
        <v>534</v>
      </c>
      <c r="E1199" t="s">
        <v>535</v>
      </c>
      <c r="F1199" t="s">
        <v>34</v>
      </c>
      <c r="G1199" t="s">
        <v>61</v>
      </c>
      <c r="H1199" t="s">
        <v>78</v>
      </c>
      <c r="I1199" t="s">
        <v>79</v>
      </c>
      <c r="J1199" t="s">
        <v>80</v>
      </c>
      <c r="K1199" t="s">
        <v>65</v>
      </c>
      <c r="L1199">
        <v>1</v>
      </c>
      <c r="M1199">
        <v>3000</v>
      </c>
      <c r="N1199">
        <v>0</v>
      </c>
      <c r="O1199">
        <v>3000</v>
      </c>
      <c r="P1199">
        <v>835.35</v>
      </c>
      <c r="Q1199" t="s">
        <v>28</v>
      </c>
      <c r="R1199" t="s">
        <v>56</v>
      </c>
      <c r="S1199" t="s">
        <v>40</v>
      </c>
    </row>
    <row r="1200" spans="1:19" x14ac:dyDescent="0.3">
      <c r="A1200" t="s">
        <v>2183</v>
      </c>
      <c r="B1200" s="1">
        <v>45993</v>
      </c>
      <c r="C1200" s="1">
        <v>45995</v>
      </c>
      <c r="D1200" t="s">
        <v>2043</v>
      </c>
      <c r="E1200" t="s">
        <v>2044</v>
      </c>
      <c r="F1200" t="s">
        <v>55</v>
      </c>
      <c r="G1200" t="s">
        <v>61</v>
      </c>
      <c r="H1200" t="s">
        <v>125</v>
      </c>
      <c r="I1200" t="s">
        <v>37</v>
      </c>
      <c r="J1200" t="s">
        <v>38</v>
      </c>
      <c r="K1200" t="s">
        <v>27</v>
      </c>
      <c r="L1200">
        <v>1</v>
      </c>
      <c r="M1200">
        <v>9500</v>
      </c>
      <c r="N1200">
        <v>15</v>
      </c>
      <c r="O1200">
        <v>8075</v>
      </c>
      <c r="P1200">
        <v>1575.17</v>
      </c>
      <c r="Q1200" t="s">
        <v>39</v>
      </c>
      <c r="R1200" t="s">
        <v>56</v>
      </c>
      <c r="S1200" t="s">
        <v>110</v>
      </c>
    </row>
    <row r="1201" spans="1:19" x14ac:dyDescent="0.3">
      <c r="A1201" t="s">
        <v>2184</v>
      </c>
      <c r="B1201" s="1">
        <v>45493</v>
      </c>
      <c r="C1201" s="1">
        <v>45498</v>
      </c>
      <c r="D1201" t="s">
        <v>53</v>
      </c>
      <c r="E1201" t="s">
        <v>54</v>
      </c>
      <c r="F1201" t="s">
        <v>55</v>
      </c>
      <c r="G1201" t="s">
        <v>44</v>
      </c>
      <c r="H1201" t="s">
        <v>24</v>
      </c>
      <c r="I1201" t="s">
        <v>25</v>
      </c>
      <c r="J1201" t="s">
        <v>26</v>
      </c>
      <c r="K1201" t="s">
        <v>27</v>
      </c>
      <c r="L1201">
        <v>2</v>
      </c>
      <c r="M1201">
        <v>7000</v>
      </c>
      <c r="N1201">
        <v>10</v>
      </c>
      <c r="O1201">
        <v>12600</v>
      </c>
      <c r="P1201">
        <v>2244.71</v>
      </c>
      <c r="Q1201" t="s">
        <v>39</v>
      </c>
      <c r="R1201" t="s">
        <v>56</v>
      </c>
      <c r="S1201" t="s">
        <v>86</v>
      </c>
    </row>
    <row r="1202" spans="1:19" x14ac:dyDescent="0.3">
      <c r="A1202" t="s">
        <v>2185</v>
      </c>
      <c r="B1202" s="1">
        <v>45849</v>
      </c>
      <c r="C1202" s="2">
        <v>45970</v>
      </c>
      <c r="D1202" t="s">
        <v>639</v>
      </c>
      <c r="E1202" t="s">
        <v>640</v>
      </c>
      <c r="F1202" t="s">
        <v>55</v>
      </c>
      <c r="G1202" t="s">
        <v>35</v>
      </c>
      <c r="H1202" t="s">
        <v>36</v>
      </c>
      <c r="I1202" t="s">
        <v>114</v>
      </c>
      <c r="J1202" t="s">
        <v>115</v>
      </c>
      <c r="K1202" t="s">
        <v>65</v>
      </c>
      <c r="L1202">
        <v>3</v>
      </c>
      <c r="M1202">
        <v>55000</v>
      </c>
      <c r="N1202">
        <v>0</v>
      </c>
      <c r="O1202">
        <v>165000</v>
      </c>
      <c r="P1202">
        <v>23649.119999999999</v>
      </c>
      <c r="Q1202" t="s">
        <v>66</v>
      </c>
      <c r="R1202" t="s">
        <v>56</v>
      </c>
      <c r="S1202" t="s">
        <v>86</v>
      </c>
    </row>
    <row r="1203" spans="1:19" x14ac:dyDescent="0.3">
      <c r="A1203" t="s">
        <v>2186</v>
      </c>
      <c r="B1203" s="1">
        <v>45548</v>
      </c>
      <c r="C1203" s="1">
        <v>45550</v>
      </c>
      <c r="D1203" t="s">
        <v>561</v>
      </c>
      <c r="E1203" t="s">
        <v>562</v>
      </c>
      <c r="F1203" t="s">
        <v>23</v>
      </c>
      <c r="G1203" t="s">
        <v>44</v>
      </c>
      <c r="H1203" t="s">
        <v>155</v>
      </c>
      <c r="I1203" t="s">
        <v>126</v>
      </c>
      <c r="J1203" t="s">
        <v>127</v>
      </c>
      <c r="K1203" t="s">
        <v>95</v>
      </c>
      <c r="L1203">
        <v>4</v>
      </c>
      <c r="M1203">
        <v>600</v>
      </c>
      <c r="N1203">
        <v>5</v>
      </c>
      <c r="O1203">
        <v>2280</v>
      </c>
      <c r="P1203">
        <v>769.5</v>
      </c>
      <c r="Q1203" t="s">
        <v>121</v>
      </c>
      <c r="R1203" t="s">
        <v>49</v>
      </c>
      <c r="S1203" t="s">
        <v>30</v>
      </c>
    </row>
    <row r="1204" spans="1:19" x14ac:dyDescent="0.3">
      <c r="A1204" t="s">
        <v>2187</v>
      </c>
      <c r="B1204" s="1">
        <v>45976</v>
      </c>
      <c r="C1204" s="2">
        <v>45984</v>
      </c>
      <c r="D1204" t="s">
        <v>731</v>
      </c>
      <c r="E1204" t="s">
        <v>732</v>
      </c>
      <c r="F1204" t="s">
        <v>34</v>
      </c>
      <c r="G1204" t="s">
        <v>44</v>
      </c>
      <c r="H1204" t="s">
        <v>155</v>
      </c>
      <c r="I1204" t="s">
        <v>126</v>
      </c>
      <c r="J1204" t="s">
        <v>127</v>
      </c>
      <c r="K1204" t="s">
        <v>95</v>
      </c>
      <c r="L1204">
        <v>1</v>
      </c>
      <c r="M1204">
        <v>600</v>
      </c>
      <c r="N1204">
        <v>10</v>
      </c>
      <c r="O1204">
        <v>540</v>
      </c>
      <c r="P1204">
        <v>190.67</v>
      </c>
      <c r="Q1204" t="s">
        <v>74</v>
      </c>
      <c r="R1204" t="s">
        <v>56</v>
      </c>
      <c r="S1204" t="s">
        <v>86</v>
      </c>
    </row>
    <row r="1205" spans="1:19" x14ac:dyDescent="0.3">
      <c r="A1205" t="s">
        <v>2188</v>
      </c>
      <c r="B1205" s="1">
        <v>46001</v>
      </c>
      <c r="C1205" s="1">
        <v>45973</v>
      </c>
      <c r="D1205" t="s">
        <v>643</v>
      </c>
      <c r="E1205" t="s">
        <v>644</v>
      </c>
      <c r="F1205" t="s">
        <v>34</v>
      </c>
      <c r="G1205" t="s">
        <v>61</v>
      </c>
      <c r="H1205" t="s">
        <v>78</v>
      </c>
      <c r="I1205" t="s">
        <v>103</v>
      </c>
      <c r="J1205" t="s">
        <v>104</v>
      </c>
      <c r="K1205" t="s">
        <v>65</v>
      </c>
      <c r="L1205">
        <v>1</v>
      </c>
      <c r="M1205">
        <v>8000</v>
      </c>
      <c r="N1205">
        <v>0</v>
      </c>
      <c r="O1205">
        <v>8000</v>
      </c>
      <c r="P1205">
        <v>1976.33</v>
      </c>
      <c r="Q1205" t="s">
        <v>28</v>
      </c>
      <c r="R1205" t="s">
        <v>49</v>
      </c>
      <c r="S1205" t="s">
        <v>30</v>
      </c>
    </row>
    <row r="1206" spans="1:19" x14ac:dyDescent="0.3">
      <c r="A1206" t="s">
        <v>2189</v>
      </c>
      <c r="B1206" s="1">
        <v>45315</v>
      </c>
      <c r="C1206" s="2">
        <v>45320</v>
      </c>
      <c r="D1206" t="s">
        <v>1346</v>
      </c>
      <c r="E1206" t="s">
        <v>1347</v>
      </c>
      <c r="F1206" t="s">
        <v>55</v>
      </c>
      <c r="G1206" t="s">
        <v>44</v>
      </c>
      <c r="H1206" t="s">
        <v>155</v>
      </c>
      <c r="I1206" t="s">
        <v>37</v>
      </c>
      <c r="J1206" t="s">
        <v>38</v>
      </c>
      <c r="K1206" t="s">
        <v>27</v>
      </c>
      <c r="L1206">
        <v>1</v>
      </c>
      <c r="M1206">
        <v>9500</v>
      </c>
      <c r="N1206">
        <v>0</v>
      </c>
      <c r="O1206">
        <v>9500</v>
      </c>
      <c r="P1206">
        <v>2030.93</v>
      </c>
      <c r="Q1206" t="s">
        <v>28</v>
      </c>
      <c r="R1206" t="s">
        <v>56</v>
      </c>
      <c r="S1206" t="s">
        <v>110</v>
      </c>
    </row>
    <row r="1207" spans="1:19" x14ac:dyDescent="0.3">
      <c r="A1207" t="s">
        <v>2190</v>
      </c>
      <c r="B1207" s="2">
        <v>45729</v>
      </c>
      <c r="C1207" s="2">
        <v>45736</v>
      </c>
      <c r="D1207" t="s">
        <v>494</v>
      </c>
      <c r="E1207" t="s">
        <v>495</v>
      </c>
      <c r="F1207" t="s">
        <v>34</v>
      </c>
      <c r="G1207" t="s">
        <v>35</v>
      </c>
      <c r="H1207" t="s">
        <v>258</v>
      </c>
      <c r="I1207" t="s">
        <v>103</v>
      </c>
      <c r="J1207" t="s">
        <v>104</v>
      </c>
      <c r="K1207" t="s">
        <v>65</v>
      </c>
      <c r="L1207">
        <v>2</v>
      </c>
      <c r="M1207">
        <v>8000</v>
      </c>
      <c r="N1207">
        <v>0</v>
      </c>
      <c r="O1207">
        <v>16000</v>
      </c>
      <c r="P1207">
        <v>3772.69</v>
      </c>
      <c r="Q1207" t="s">
        <v>156</v>
      </c>
      <c r="R1207" t="s">
        <v>49</v>
      </c>
      <c r="S1207" t="s">
        <v>30</v>
      </c>
    </row>
    <row r="1208" spans="1:19" x14ac:dyDescent="0.3">
      <c r="A1208" t="s">
        <v>2191</v>
      </c>
      <c r="B1208" s="2">
        <v>45649</v>
      </c>
      <c r="C1208" s="1">
        <v>45652</v>
      </c>
      <c r="D1208" t="s">
        <v>83</v>
      </c>
      <c r="E1208" t="s">
        <v>84</v>
      </c>
      <c r="F1208" t="s">
        <v>34</v>
      </c>
      <c r="G1208" t="s">
        <v>35</v>
      </c>
      <c r="H1208" t="s">
        <v>85</v>
      </c>
      <c r="I1208" t="s">
        <v>114</v>
      </c>
      <c r="J1208" t="s">
        <v>115</v>
      </c>
      <c r="K1208" t="s">
        <v>65</v>
      </c>
      <c r="L1208">
        <v>2</v>
      </c>
      <c r="M1208">
        <v>55000</v>
      </c>
      <c r="N1208">
        <v>0</v>
      </c>
      <c r="O1208">
        <v>110000</v>
      </c>
      <c r="P1208">
        <v>17892.46</v>
      </c>
      <c r="Q1208" t="s">
        <v>28</v>
      </c>
      <c r="R1208" t="s">
        <v>29</v>
      </c>
      <c r="S1208" t="s">
        <v>50</v>
      </c>
    </row>
    <row r="1209" spans="1:19" x14ac:dyDescent="0.3">
      <c r="A1209" t="s">
        <v>2192</v>
      </c>
      <c r="B1209" s="1">
        <v>45542</v>
      </c>
      <c r="C1209" s="2">
        <v>45484</v>
      </c>
      <c r="D1209" t="s">
        <v>1875</v>
      </c>
      <c r="E1209" t="s">
        <v>1876</v>
      </c>
      <c r="F1209" t="s">
        <v>34</v>
      </c>
      <c r="G1209" t="s">
        <v>91</v>
      </c>
      <c r="H1209" t="s">
        <v>109</v>
      </c>
      <c r="I1209" t="s">
        <v>114</v>
      </c>
      <c r="J1209" t="s">
        <v>115</v>
      </c>
      <c r="K1209" t="s">
        <v>65</v>
      </c>
      <c r="L1209">
        <v>2</v>
      </c>
      <c r="M1209">
        <v>55000</v>
      </c>
      <c r="N1209">
        <v>5</v>
      </c>
      <c r="O1209">
        <v>104500</v>
      </c>
      <c r="P1209">
        <v>20040.490000000002</v>
      </c>
      <c r="Q1209" t="s">
        <v>74</v>
      </c>
      <c r="R1209" t="s">
        <v>49</v>
      </c>
      <c r="S1209" t="s">
        <v>30</v>
      </c>
    </row>
    <row r="1210" spans="1:19" x14ac:dyDescent="0.3">
      <c r="A1210" t="s">
        <v>2193</v>
      </c>
      <c r="B1210" s="1">
        <v>45560</v>
      </c>
      <c r="C1210" s="1">
        <v>45301</v>
      </c>
      <c r="D1210" t="s">
        <v>494</v>
      </c>
      <c r="E1210" t="s">
        <v>495</v>
      </c>
      <c r="F1210" t="s">
        <v>34</v>
      </c>
      <c r="G1210" t="s">
        <v>35</v>
      </c>
      <c r="H1210" t="s">
        <v>258</v>
      </c>
      <c r="I1210" t="s">
        <v>63</v>
      </c>
      <c r="J1210" t="s">
        <v>64</v>
      </c>
      <c r="K1210" t="s">
        <v>65</v>
      </c>
      <c r="L1210">
        <v>3</v>
      </c>
      <c r="M1210">
        <v>25000</v>
      </c>
      <c r="N1210">
        <v>5</v>
      </c>
      <c r="O1210">
        <v>71250</v>
      </c>
      <c r="P1210">
        <v>9737.23</v>
      </c>
      <c r="Q1210" t="s">
        <v>39</v>
      </c>
      <c r="R1210" t="s">
        <v>49</v>
      </c>
      <c r="S1210" t="s">
        <v>40</v>
      </c>
    </row>
    <row r="1211" spans="1:19" x14ac:dyDescent="0.3">
      <c r="A1211" t="s">
        <v>2194</v>
      </c>
      <c r="B1211" s="1">
        <v>45325</v>
      </c>
      <c r="C1211" s="1">
        <v>45331</v>
      </c>
      <c r="D1211" t="s">
        <v>483</v>
      </c>
      <c r="E1211" t="s">
        <v>484</v>
      </c>
      <c r="F1211" t="s">
        <v>55</v>
      </c>
      <c r="G1211" t="s">
        <v>61</v>
      </c>
      <c r="H1211" t="s">
        <v>62</v>
      </c>
      <c r="I1211" t="s">
        <v>134</v>
      </c>
      <c r="J1211" t="s">
        <v>135</v>
      </c>
      <c r="K1211" t="s">
        <v>27</v>
      </c>
      <c r="L1211">
        <v>1</v>
      </c>
      <c r="M1211">
        <v>6000</v>
      </c>
      <c r="N1211">
        <v>0</v>
      </c>
      <c r="O1211">
        <v>6000</v>
      </c>
      <c r="P1211">
        <v>1463.33</v>
      </c>
      <c r="Q1211" t="s">
        <v>74</v>
      </c>
      <c r="R1211" t="s">
        <v>29</v>
      </c>
      <c r="S1211" t="s">
        <v>40</v>
      </c>
    </row>
    <row r="1212" spans="1:19" x14ac:dyDescent="0.3">
      <c r="A1212" t="s">
        <v>2195</v>
      </c>
      <c r="B1212" s="1">
        <v>45783</v>
      </c>
      <c r="C1212" s="2">
        <v>45791</v>
      </c>
      <c r="D1212" t="s">
        <v>1643</v>
      </c>
      <c r="E1212" t="s">
        <v>1644</v>
      </c>
      <c r="F1212" t="s">
        <v>55</v>
      </c>
      <c r="G1212" t="s">
        <v>91</v>
      </c>
      <c r="H1212" t="s">
        <v>120</v>
      </c>
      <c r="I1212" t="s">
        <v>147</v>
      </c>
      <c r="J1212" t="s">
        <v>148</v>
      </c>
      <c r="K1212" t="s">
        <v>48</v>
      </c>
      <c r="L1212">
        <v>1</v>
      </c>
      <c r="M1212">
        <v>250</v>
      </c>
      <c r="N1212">
        <v>15</v>
      </c>
      <c r="O1212">
        <v>212.5</v>
      </c>
      <c r="P1212">
        <v>62.9</v>
      </c>
      <c r="Q1212" t="s">
        <v>74</v>
      </c>
      <c r="R1212" t="s">
        <v>56</v>
      </c>
      <c r="S1212" t="s">
        <v>110</v>
      </c>
    </row>
    <row r="1213" spans="1:19" x14ac:dyDescent="0.3">
      <c r="A1213" t="s">
        <v>2196</v>
      </c>
      <c r="B1213" s="2">
        <v>45937</v>
      </c>
      <c r="C1213" s="1">
        <v>45940</v>
      </c>
      <c r="D1213" t="s">
        <v>1079</v>
      </c>
      <c r="E1213" t="s">
        <v>1080</v>
      </c>
      <c r="F1213" t="s">
        <v>23</v>
      </c>
      <c r="G1213" t="s">
        <v>44</v>
      </c>
      <c r="I1213" t="s">
        <v>37</v>
      </c>
      <c r="J1213" t="s">
        <v>38</v>
      </c>
      <c r="K1213" t="s">
        <v>27</v>
      </c>
      <c r="L1213">
        <v>2</v>
      </c>
      <c r="M1213">
        <v>9500</v>
      </c>
      <c r="N1213">
        <v>10</v>
      </c>
      <c r="O1213">
        <v>17100</v>
      </c>
      <c r="P1213">
        <v>2560.69</v>
      </c>
      <c r="Q1213" t="s">
        <v>39</v>
      </c>
      <c r="R1213" t="s">
        <v>49</v>
      </c>
      <c r="S1213" t="s">
        <v>110</v>
      </c>
    </row>
    <row r="1214" spans="1:19" x14ac:dyDescent="0.3">
      <c r="A1214" t="s">
        <v>2197</v>
      </c>
      <c r="B1214" s="1">
        <v>45820</v>
      </c>
      <c r="C1214" s="1">
        <v>46000</v>
      </c>
      <c r="D1214" t="s">
        <v>748</v>
      </c>
      <c r="E1214" t="s">
        <v>749</v>
      </c>
      <c r="F1214" t="s">
        <v>55</v>
      </c>
      <c r="G1214" t="s">
        <v>91</v>
      </c>
      <c r="H1214" t="s">
        <v>92</v>
      </c>
      <c r="I1214" t="s">
        <v>25</v>
      </c>
      <c r="J1214" t="s">
        <v>26</v>
      </c>
      <c r="K1214" t="s">
        <v>27</v>
      </c>
      <c r="L1214">
        <v>2</v>
      </c>
      <c r="M1214">
        <v>7000</v>
      </c>
      <c r="N1214">
        <v>0</v>
      </c>
      <c r="O1214">
        <v>14000</v>
      </c>
      <c r="P1214">
        <v>2685.84</v>
      </c>
      <c r="Q1214" t="s">
        <v>156</v>
      </c>
      <c r="R1214" t="s">
        <v>56</v>
      </c>
      <c r="S1214" t="s">
        <v>50</v>
      </c>
    </row>
    <row r="1215" spans="1:19" x14ac:dyDescent="0.3">
      <c r="A1215" t="s">
        <v>2198</v>
      </c>
      <c r="B1215" s="1">
        <v>45515</v>
      </c>
      <c r="C1215" s="2">
        <v>45522</v>
      </c>
      <c r="D1215" t="s">
        <v>582</v>
      </c>
      <c r="E1215" t="s">
        <v>583</v>
      </c>
      <c r="F1215" t="s">
        <v>34</v>
      </c>
      <c r="G1215" t="s">
        <v>61</v>
      </c>
      <c r="H1215" t="s">
        <v>78</v>
      </c>
      <c r="I1215" t="s">
        <v>25</v>
      </c>
      <c r="J1215" t="s">
        <v>26</v>
      </c>
      <c r="K1215" t="s">
        <v>27</v>
      </c>
      <c r="L1215">
        <v>2</v>
      </c>
      <c r="M1215">
        <v>7000</v>
      </c>
      <c r="N1215">
        <v>15</v>
      </c>
      <c r="O1215">
        <v>11900</v>
      </c>
      <c r="Q1215" t="s">
        <v>39</v>
      </c>
      <c r="R1215" t="s">
        <v>29</v>
      </c>
      <c r="S1215" t="s">
        <v>96</v>
      </c>
    </row>
    <row r="1216" spans="1:19" x14ac:dyDescent="0.3">
      <c r="A1216" t="s">
        <v>2199</v>
      </c>
      <c r="B1216" s="1">
        <v>45920</v>
      </c>
      <c r="C1216" t="s">
        <v>669</v>
      </c>
      <c r="D1216" t="s">
        <v>764</v>
      </c>
      <c r="E1216" t="s">
        <v>765</v>
      </c>
      <c r="F1216" t="s">
        <v>34</v>
      </c>
      <c r="G1216" t="s">
        <v>91</v>
      </c>
      <c r="H1216" t="s">
        <v>120</v>
      </c>
      <c r="I1216" t="s">
        <v>93</v>
      </c>
      <c r="J1216" t="s">
        <v>94</v>
      </c>
      <c r="K1216" t="s">
        <v>95</v>
      </c>
      <c r="L1216">
        <v>2</v>
      </c>
      <c r="M1216">
        <v>1800</v>
      </c>
      <c r="N1216">
        <v>10</v>
      </c>
      <c r="O1216">
        <v>3240</v>
      </c>
      <c r="P1216">
        <v>954.86</v>
      </c>
      <c r="Q1216" t="s">
        <v>39</v>
      </c>
      <c r="R1216" t="s">
        <v>56</v>
      </c>
      <c r="S1216" t="s">
        <v>40</v>
      </c>
    </row>
    <row r="1217" spans="1:19" x14ac:dyDescent="0.3">
      <c r="A1217" t="s">
        <v>2200</v>
      </c>
      <c r="B1217" s="2">
        <v>45351</v>
      </c>
      <c r="C1217" s="1">
        <v>45352</v>
      </c>
      <c r="D1217" t="s">
        <v>509</v>
      </c>
      <c r="E1217" t="s">
        <v>510</v>
      </c>
      <c r="F1217" t="s">
        <v>23</v>
      </c>
      <c r="G1217" t="s">
        <v>91</v>
      </c>
      <c r="H1217" t="s">
        <v>120</v>
      </c>
      <c r="I1217" t="s">
        <v>93</v>
      </c>
      <c r="J1217" t="s">
        <v>94</v>
      </c>
      <c r="K1217" t="s">
        <v>95</v>
      </c>
      <c r="L1217">
        <v>2</v>
      </c>
      <c r="M1217">
        <v>1800</v>
      </c>
      <c r="N1217">
        <v>15</v>
      </c>
      <c r="O1217">
        <v>3060</v>
      </c>
      <c r="P1217">
        <v>1095.3800000000001</v>
      </c>
      <c r="Q1217" t="s">
        <v>28</v>
      </c>
      <c r="R1217" t="s">
        <v>49</v>
      </c>
      <c r="S1217" t="s">
        <v>86</v>
      </c>
    </row>
    <row r="1218" spans="1:19" x14ac:dyDescent="0.3">
      <c r="A1218" t="s">
        <v>2201</v>
      </c>
      <c r="B1218" t="s">
        <v>377</v>
      </c>
      <c r="C1218" s="1">
        <v>46013</v>
      </c>
      <c r="D1218" t="s">
        <v>856</v>
      </c>
      <c r="E1218" t="s">
        <v>857</v>
      </c>
      <c r="F1218" t="s">
        <v>55</v>
      </c>
      <c r="G1218" t="s">
        <v>35</v>
      </c>
      <c r="H1218" t="s">
        <v>36</v>
      </c>
      <c r="I1218" t="s">
        <v>147</v>
      </c>
      <c r="J1218" t="s">
        <v>148</v>
      </c>
      <c r="K1218" t="s">
        <v>48</v>
      </c>
      <c r="L1218">
        <v>1</v>
      </c>
      <c r="M1218">
        <v>250</v>
      </c>
      <c r="N1218">
        <v>20</v>
      </c>
      <c r="O1218">
        <v>200</v>
      </c>
      <c r="P1218">
        <v>61.14</v>
      </c>
      <c r="Q1218" t="s">
        <v>156</v>
      </c>
      <c r="R1218" t="s">
        <v>49</v>
      </c>
      <c r="S1218" t="s">
        <v>110</v>
      </c>
    </row>
    <row r="1219" spans="1:19" x14ac:dyDescent="0.3">
      <c r="A1219" t="s">
        <v>2202</v>
      </c>
      <c r="B1219" s="2">
        <v>45965</v>
      </c>
      <c r="C1219" s="1">
        <v>45969</v>
      </c>
      <c r="D1219" t="s">
        <v>1609</v>
      </c>
      <c r="E1219" t="s">
        <v>1610</v>
      </c>
      <c r="F1219" t="s">
        <v>55</v>
      </c>
      <c r="G1219" t="s">
        <v>44</v>
      </c>
      <c r="I1219" t="s">
        <v>46</v>
      </c>
      <c r="J1219" t="s">
        <v>47</v>
      </c>
      <c r="K1219" t="s">
        <v>48</v>
      </c>
      <c r="L1219">
        <v>2</v>
      </c>
      <c r="M1219">
        <v>180</v>
      </c>
      <c r="N1219">
        <v>0</v>
      </c>
      <c r="O1219">
        <v>360</v>
      </c>
      <c r="P1219">
        <v>123.03</v>
      </c>
      <c r="Q1219" t="s">
        <v>121</v>
      </c>
      <c r="R1219" t="s">
        <v>29</v>
      </c>
      <c r="S1219" t="s">
        <v>30</v>
      </c>
    </row>
    <row r="1220" spans="1:19" x14ac:dyDescent="0.3">
      <c r="A1220" t="s">
        <v>2203</v>
      </c>
      <c r="B1220" s="1">
        <v>45589</v>
      </c>
      <c r="C1220" s="1">
        <v>45596</v>
      </c>
      <c r="D1220" t="s">
        <v>1346</v>
      </c>
      <c r="E1220" t="s">
        <v>1347</v>
      </c>
      <c r="F1220" t="s">
        <v>55</v>
      </c>
      <c r="G1220" t="s">
        <v>44</v>
      </c>
      <c r="H1220" t="s">
        <v>155</v>
      </c>
      <c r="I1220" t="s">
        <v>63</v>
      </c>
      <c r="J1220" t="s">
        <v>64</v>
      </c>
      <c r="K1220" t="s">
        <v>65</v>
      </c>
      <c r="L1220">
        <v>1</v>
      </c>
      <c r="M1220">
        <v>25000</v>
      </c>
      <c r="N1220">
        <v>0</v>
      </c>
      <c r="O1220">
        <v>25000</v>
      </c>
      <c r="P1220">
        <v>2628.35</v>
      </c>
      <c r="Q1220" t="s">
        <v>121</v>
      </c>
      <c r="R1220" t="s">
        <v>49</v>
      </c>
      <c r="S1220" t="s">
        <v>40</v>
      </c>
    </row>
    <row r="1221" spans="1:19" x14ac:dyDescent="0.3">
      <c r="A1221" t="s">
        <v>2204</v>
      </c>
      <c r="B1221" t="s">
        <v>1042</v>
      </c>
      <c r="C1221" s="1">
        <v>45652</v>
      </c>
      <c r="D1221" t="s">
        <v>1058</v>
      </c>
      <c r="E1221" t="s">
        <v>1059</v>
      </c>
      <c r="F1221" t="s">
        <v>55</v>
      </c>
      <c r="G1221" t="s">
        <v>91</v>
      </c>
      <c r="H1221" t="s">
        <v>92</v>
      </c>
      <c r="I1221" t="s">
        <v>46</v>
      </c>
      <c r="J1221" t="s">
        <v>47</v>
      </c>
      <c r="K1221" t="s">
        <v>48</v>
      </c>
      <c r="L1221">
        <v>1</v>
      </c>
      <c r="M1221">
        <v>180</v>
      </c>
      <c r="N1221">
        <v>15</v>
      </c>
      <c r="O1221">
        <v>153</v>
      </c>
      <c r="Q1221" t="s">
        <v>66</v>
      </c>
      <c r="R1221" t="s">
        <v>29</v>
      </c>
      <c r="S1221" t="s">
        <v>110</v>
      </c>
    </row>
    <row r="1222" spans="1:19" x14ac:dyDescent="0.3">
      <c r="A1222" t="s">
        <v>2205</v>
      </c>
      <c r="B1222" s="1">
        <v>45788</v>
      </c>
      <c r="C1222" s="2">
        <v>45793</v>
      </c>
      <c r="D1222" t="s">
        <v>740</v>
      </c>
      <c r="E1222" t="s">
        <v>741</v>
      </c>
      <c r="F1222" t="s">
        <v>55</v>
      </c>
      <c r="G1222" t="s">
        <v>35</v>
      </c>
      <c r="H1222" t="s">
        <v>85</v>
      </c>
      <c r="I1222" t="s">
        <v>25</v>
      </c>
      <c r="J1222" t="s">
        <v>26</v>
      </c>
      <c r="K1222" t="s">
        <v>27</v>
      </c>
      <c r="L1222">
        <v>1</v>
      </c>
      <c r="M1222">
        <v>7000</v>
      </c>
      <c r="N1222">
        <v>10</v>
      </c>
      <c r="O1222">
        <v>6300</v>
      </c>
      <c r="P1222">
        <v>1012.81</v>
      </c>
      <c r="Q1222" t="s">
        <v>74</v>
      </c>
      <c r="R1222" t="s">
        <v>29</v>
      </c>
      <c r="S1222" t="s">
        <v>40</v>
      </c>
    </row>
    <row r="1223" spans="1:19" x14ac:dyDescent="0.3">
      <c r="A1223" t="s">
        <v>2206</v>
      </c>
      <c r="B1223" s="1">
        <v>45881</v>
      </c>
      <c r="C1223" s="1">
        <v>45886</v>
      </c>
      <c r="D1223" t="s">
        <v>272</v>
      </c>
      <c r="E1223" t="s">
        <v>273</v>
      </c>
      <c r="F1223" t="s">
        <v>23</v>
      </c>
      <c r="G1223" t="s">
        <v>35</v>
      </c>
      <c r="H1223" t="s">
        <v>258</v>
      </c>
      <c r="I1223" t="s">
        <v>79</v>
      </c>
      <c r="J1223" t="s">
        <v>80</v>
      </c>
      <c r="K1223" t="s">
        <v>65</v>
      </c>
      <c r="L1223">
        <v>3</v>
      </c>
      <c r="M1223">
        <v>3000</v>
      </c>
      <c r="N1223">
        <v>20</v>
      </c>
      <c r="O1223">
        <v>7200</v>
      </c>
      <c r="P1223">
        <v>1598.29</v>
      </c>
      <c r="Q1223" t="s">
        <v>121</v>
      </c>
      <c r="R1223" t="s">
        <v>56</v>
      </c>
      <c r="S1223" t="s">
        <v>30</v>
      </c>
    </row>
    <row r="1224" spans="1:19" x14ac:dyDescent="0.3">
      <c r="A1224" t="s">
        <v>2207</v>
      </c>
      <c r="B1224" s="1">
        <v>45424</v>
      </c>
      <c r="C1224" s="2">
        <v>45634</v>
      </c>
      <c r="D1224" t="s">
        <v>2104</v>
      </c>
      <c r="E1224" t="s">
        <v>2105</v>
      </c>
      <c r="F1224" t="s">
        <v>34</v>
      </c>
      <c r="G1224" t="s">
        <v>91</v>
      </c>
      <c r="H1224" t="s">
        <v>92</v>
      </c>
      <c r="I1224" t="s">
        <v>71</v>
      </c>
      <c r="J1224" t="s">
        <v>72</v>
      </c>
      <c r="K1224" t="s">
        <v>73</v>
      </c>
      <c r="L1224">
        <v>10</v>
      </c>
      <c r="M1224">
        <v>3500</v>
      </c>
      <c r="N1224">
        <v>20</v>
      </c>
      <c r="O1224">
        <v>28000</v>
      </c>
      <c r="P1224">
        <v>7327.91</v>
      </c>
      <c r="Q1224" t="s">
        <v>66</v>
      </c>
      <c r="R1224" t="s">
        <v>56</v>
      </c>
      <c r="S1224" t="s">
        <v>40</v>
      </c>
    </row>
    <row r="1225" spans="1:19" x14ac:dyDescent="0.3">
      <c r="A1225" t="s">
        <v>2208</v>
      </c>
      <c r="B1225" s="2">
        <v>45988</v>
      </c>
      <c r="C1225" s="1">
        <v>45991</v>
      </c>
      <c r="D1225" t="s">
        <v>192</v>
      </c>
      <c r="E1225" t="s">
        <v>193</v>
      </c>
      <c r="F1225" t="s">
        <v>55</v>
      </c>
      <c r="G1225" t="s">
        <v>35</v>
      </c>
      <c r="H1225" t="s">
        <v>36</v>
      </c>
      <c r="I1225" t="s">
        <v>147</v>
      </c>
      <c r="J1225" t="s">
        <v>148</v>
      </c>
      <c r="K1225" t="s">
        <v>48</v>
      </c>
      <c r="L1225">
        <v>1</v>
      </c>
      <c r="M1225">
        <v>250</v>
      </c>
      <c r="N1225">
        <v>20</v>
      </c>
      <c r="O1225">
        <v>200</v>
      </c>
      <c r="P1225">
        <v>80.97</v>
      </c>
      <c r="Q1225" t="s">
        <v>121</v>
      </c>
      <c r="R1225" t="s">
        <v>49</v>
      </c>
      <c r="S1225" t="s">
        <v>40</v>
      </c>
    </row>
    <row r="1226" spans="1:19" x14ac:dyDescent="0.3">
      <c r="A1226" t="s">
        <v>2209</v>
      </c>
      <c r="B1226" t="s">
        <v>1982</v>
      </c>
      <c r="C1226" t="s">
        <v>2210</v>
      </c>
      <c r="D1226" t="s">
        <v>444</v>
      </c>
      <c r="E1226" t="s">
        <v>445</v>
      </c>
      <c r="F1226" t="s">
        <v>55</v>
      </c>
      <c r="G1226" t="s">
        <v>91</v>
      </c>
      <c r="H1226" t="s">
        <v>92</v>
      </c>
      <c r="I1226" t="s">
        <v>93</v>
      </c>
      <c r="J1226" t="s">
        <v>94</v>
      </c>
      <c r="K1226" t="s">
        <v>95</v>
      </c>
      <c r="L1226">
        <v>3</v>
      </c>
      <c r="M1226">
        <v>1800</v>
      </c>
      <c r="N1226">
        <v>0</v>
      </c>
      <c r="O1226">
        <v>5400</v>
      </c>
      <c r="P1226">
        <v>2076.96</v>
      </c>
      <c r="Q1226" t="s">
        <v>39</v>
      </c>
      <c r="R1226" t="s">
        <v>56</v>
      </c>
      <c r="S1226" t="s">
        <v>96</v>
      </c>
    </row>
    <row r="1227" spans="1:19" x14ac:dyDescent="0.3">
      <c r="A1227" t="s">
        <v>2211</v>
      </c>
      <c r="B1227" s="1">
        <v>45712</v>
      </c>
      <c r="C1227" s="1">
        <v>45715</v>
      </c>
      <c r="D1227" t="s">
        <v>89</v>
      </c>
      <c r="E1227" t="s">
        <v>90</v>
      </c>
      <c r="F1227" t="s">
        <v>23</v>
      </c>
      <c r="G1227" t="s">
        <v>91</v>
      </c>
      <c r="H1227" t="s">
        <v>92</v>
      </c>
      <c r="I1227" t="s">
        <v>46</v>
      </c>
      <c r="J1227" t="s">
        <v>47</v>
      </c>
      <c r="K1227" t="s">
        <v>48</v>
      </c>
      <c r="L1227">
        <v>3</v>
      </c>
      <c r="M1227">
        <v>180</v>
      </c>
      <c r="N1227">
        <v>20</v>
      </c>
      <c r="O1227">
        <v>432</v>
      </c>
      <c r="P1227">
        <v>180.78</v>
      </c>
      <c r="Q1227" t="s">
        <v>74</v>
      </c>
      <c r="R1227" t="s">
        <v>56</v>
      </c>
      <c r="S1227" t="s">
        <v>86</v>
      </c>
    </row>
    <row r="1228" spans="1:19" x14ac:dyDescent="0.3">
      <c r="A1228" t="s">
        <v>2212</v>
      </c>
      <c r="B1228" s="1">
        <v>45894</v>
      </c>
      <c r="D1228" t="s">
        <v>578</v>
      </c>
      <c r="E1228" t="s">
        <v>579</v>
      </c>
      <c r="F1228" t="s">
        <v>23</v>
      </c>
      <c r="G1228" t="s">
        <v>91</v>
      </c>
      <c r="H1228" t="s">
        <v>177</v>
      </c>
      <c r="I1228" t="s">
        <v>103</v>
      </c>
      <c r="J1228" t="s">
        <v>104</v>
      </c>
      <c r="K1228" t="s">
        <v>65</v>
      </c>
      <c r="L1228">
        <v>2</v>
      </c>
      <c r="M1228">
        <v>8000</v>
      </c>
      <c r="N1228">
        <v>15</v>
      </c>
      <c r="O1228">
        <v>13600</v>
      </c>
      <c r="P1228">
        <v>3735.18</v>
      </c>
      <c r="Q1228" t="s">
        <v>39</v>
      </c>
      <c r="R1228" t="s">
        <v>56</v>
      </c>
      <c r="S1228" t="s">
        <v>50</v>
      </c>
    </row>
    <row r="1229" spans="1:19" x14ac:dyDescent="0.3">
      <c r="A1229" t="s">
        <v>2213</v>
      </c>
      <c r="B1229" s="2">
        <v>45318</v>
      </c>
      <c r="C1229" s="2">
        <v>45320</v>
      </c>
      <c r="D1229" t="s">
        <v>200</v>
      </c>
      <c r="E1229" t="s">
        <v>201</v>
      </c>
      <c r="F1229" t="s">
        <v>23</v>
      </c>
      <c r="G1229" t="s">
        <v>35</v>
      </c>
      <c r="H1229" t="s">
        <v>187</v>
      </c>
      <c r="I1229" t="s">
        <v>134</v>
      </c>
      <c r="J1229" t="s">
        <v>135</v>
      </c>
      <c r="K1229" t="s">
        <v>27</v>
      </c>
      <c r="L1229">
        <v>10</v>
      </c>
      <c r="M1229">
        <v>6000</v>
      </c>
      <c r="N1229">
        <v>0</v>
      </c>
      <c r="O1229">
        <v>60000</v>
      </c>
      <c r="P1229">
        <v>10526.54</v>
      </c>
      <c r="Q1229" t="s">
        <v>39</v>
      </c>
      <c r="R1229" t="s">
        <v>29</v>
      </c>
      <c r="S1229" t="s">
        <v>40</v>
      </c>
    </row>
    <row r="1230" spans="1:19" x14ac:dyDescent="0.3">
      <c r="A1230" t="s">
        <v>2214</v>
      </c>
      <c r="B1230" s="2">
        <v>45670</v>
      </c>
      <c r="C1230" s="2">
        <v>45677</v>
      </c>
      <c r="D1230" t="s">
        <v>509</v>
      </c>
      <c r="E1230" t="s">
        <v>510</v>
      </c>
      <c r="F1230" t="s">
        <v>23</v>
      </c>
      <c r="G1230" t="s">
        <v>91</v>
      </c>
      <c r="H1230" t="s">
        <v>120</v>
      </c>
      <c r="I1230" t="s">
        <v>103</v>
      </c>
      <c r="J1230" t="s">
        <v>104</v>
      </c>
      <c r="K1230" t="s">
        <v>65</v>
      </c>
      <c r="L1230">
        <v>4</v>
      </c>
      <c r="M1230">
        <v>8000</v>
      </c>
      <c r="N1230">
        <v>15</v>
      </c>
      <c r="O1230">
        <v>27200</v>
      </c>
      <c r="P1230">
        <v>5226.1000000000004</v>
      </c>
      <c r="Q1230" t="s">
        <v>156</v>
      </c>
      <c r="R1230" t="s">
        <v>29</v>
      </c>
      <c r="S1230" t="s">
        <v>86</v>
      </c>
    </row>
    <row r="1231" spans="1:19" x14ac:dyDescent="0.3">
      <c r="A1231" t="s">
        <v>2215</v>
      </c>
      <c r="B1231" t="s">
        <v>1872</v>
      </c>
      <c r="C1231" s="2">
        <v>45405</v>
      </c>
      <c r="D1231" t="s">
        <v>473</v>
      </c>
      <c r="E1231" t="s">
        <v>474</v>
      </c>
      <c r="F1231" t="s">
        <v>34</v>
      </c>
      <c r="G1231" t="s">
        <v>61</v>
      </c>
      <c r="H1231" t="s">
        <v>62</v>
      </c>
      <c r="I1231" t="s">
        <v>63</v>
      </c>
      <c r="J1231" t="s">
        <v>64</v>
      </c>
      <c r="K1231" t="s">
        <v>65</v>
      </c>
      <c r="L1231">
        <v>1</v>
      </c>
      <c r="M1231">
        <v>25000</v>
      </c>
      <c r="N1231">
        <v>0</v>
      </c>
      <c r="O1231">
        <v>25000</v>
      </c>
      <c r="P1231">
        <v>3549.39</v>
      </c>
      <c r="Q1231" t="s">
        <v>66</v>
      </c>
      <c r="R1231" t="s">
        <v>49</v>
      </c>
      <c r="S1231" t="s">
        <v>40</v>
      </c>
    </row>
    <row r="1232" spans="1:19" x14ac:dyDescent="0.3">
      <c r="A1232" t="s">
        <v>2216</v>
      </c>
      <c r="B1232" s="2">
        <v>45425</v>
      </c>
      <c r="C1232" t="s">
        <v>1700</v>
      </c>
      <c r="D1232" t="s">
        <v>755</v>
      </c>
      <c r="E1232" t="s">
        <v>756</v>
      </c>
      <c r="F1232" t="s">
        <v>34</v>
      </c>
      <c r="G1232" t="s">
        <v>44</v>
      </c>
      <c r="H1232" t="s">
        <v>161</v>
      </c>
      <c r="I1232" t="s">
        <v>103</v>
      </c>
      <c r="J1232" t="s">
        <v>104</v>
      </c>
      <c r="K1232" t="s">
        <v>65</v>
      </c>
      <c r="L1232">
        <v>10</v>
      </c>
      <c r="M1232">
        <v>8000</v>
      </c>
      <c r="N1232">
        <v>5</v>
      </c>
      <c r="O1232">
        <v>76000</v>
      </c>
      <c r="P1232">
        <v>18550.22</v>
      </c>
      <c r="Q1232" t="s">
        <v>66</v>
      </c>
      <c r="R1232" t="s">
        <v>29</v>
      </c>
      <c r="S1232" t="s">
        <v>30</v>
      </c>
    </row>
    <row r="1233" spans="1:19" x14ac:dyDescent="0.3">
      <c r="A1233" t="s">
        <v>2217</v>
      </c>
      <c r="B1233" s="1">
        <v>45882</v>
      </c>
      <c r="C1233" s="2">
        <v>45887</v>
      </c>
      <c r="D1233" t="s">
        <v>838</v>
      </c>
      <c r="E1233" t="s">
        <v>839</v>
      </c>
      <c r="F1233" t="s">
        <v>23</v>
      </c>
      <c r="G1233" t="s">
        <v>35</v>
      </c>
      <c r="H1233" t="s">
        <v>258</v>
      </c>
      <c r="I1233" t="s">
        <v>114</v>
      </c>
      <c r="J1233" t="s">
        <v>115</v>
      </c>
      <c r="K1233" t="s">
        <v>65</v>
      </c>
      <c r="L1233">
        <v>3</v>
      </c>
      <c r="M1233">
        <v>55000</v>
      </c>
      <c r="N1233">
        <v>0</v>
      </c>
      <c r="O1233">
        <v>165000</v>
      </c>
      <c r="P1233">
        <v>22573.52</v>
      </c>
      <c r="Q1233" t="s">
        <v>28</v>
      </c>
      <c r="R1233" t="s">
        <v>29</v>
      </c>
      <c r="S1233" t="s">
        <v>86</v>
      </c>
    </row>
    <row r="1234" spans="1:19" x14ac:dyDescent="0.3">
      <c r="A1234" t="s">
        <v>2218</v>
      </c>
      <c r="B1234" s="1">
        <v>45724</v>
      </c>
      <c r="C1234" t="s">
        <v>985</v>
      </c>
      <c r="D1234" t="s">
        <v>98</v>
      </c>
      <c r="E1234" t="s">
        <v>99</v>
      </c>
      <c r="F1234" t="s">
        <v>34</v>
      </c>
      <c r="G1234" t="s">
        <v>91</v>
      </c>
      <c r="H1234" t="s">
        <v>92</v>
      </c>
      <c r="I1234" t="s">
        <v>25</v>
      </c>
      <c r="J1234" t="s">
        <v>26</v>
      </c>
      <c r="K1234" t="s">
        <v>27</v>
      </c>
      <c r="L1234">
        <v>4</v>
      </c>
      <c r="M1234">
        <v>7000</v>
      </c>
      <c r="N1234">
        <v>10</v>
      </c>
      <c r="O1234">
        <v>25200</v>
      </c>
      <c r="P1234">
        <v>4116.91</v>
      </c>
      <c r="Q1234" t="s">
        <v>121</v>
      </c>
      <c r="R1234" t="s">
        <v>29</v>
      </c>
      <c r="S1234" t="s">
        <v>86</v>
      </c>
    </row>
    <row r="1235" spans="1:19" x14ac:dyDescent="0.3">
      <c r="A1235" t="s">
        <v>2219</v>
      </c>
      <c r="B1235" s="2">
        <v>45819</v>
      </c>
      <c r="C1235" t="s">
        <v>2220</v>
      </c>
      <c r="D1235" t="s">
        <v>1426</v>
      </c>
      <c r="E1235" t="s">
        <v>1427</v>
      </c>
      <c r="F1235" t="s">
        <v>23</v>
      </c>
      <c r="G1235" t="s">
        <v>61</v>
      </c>
      <c r="H1235" t="s">
        <v>62</v>
      </c>
      <c r="I1235" t="s">
        <v>93</v>
      </c>
      <c r="J1235" t="s">
        <v>94</v>
      </c>
      <c r="K1235" t="s">
        <v>95</v>
      </c>
      <c r="L1235">
        <v>1</v>
      </c>
      <c r="M1235">
        <v>1800</v>
      </c>
      <c r="N1235">
        <v>10</v>
      </c>
      <c r="O1235">
        <v>1620</v>
      </c>
      <c r="P1235">
        <v>469.14</v>
      </c>
      <c r="Q1235" t="s">
        <v>39</v>
      </c>
      <c r="R1235" t="s">
        <v>56</v>
      </c>
      <c r="S1235" t="s">
        <v>110</v>
      </c>
    </row>
    <row r="1236" spans="1:19" x14ac:dyDescent="0.3">
      <c r="A1236" t="s">
        <v>2221</v>
      </c>
      <c r="B1236" s="1">
        <v>45842</v>
      </c>
      <c r="C1236" s="1">
        <v>45815</v>
      </c>
      <c r="D1236" t="s">
        <v>973</v>
      </c>
      <c r="E1236" t="s">
        <v>974</v>
      </c>
      <c r="F1236" t="s">
        <v>34</v>
      </c>
      <c r="G1236" t="s">
        <v>91</v>
      </c>
      <c r="H1236" t="s">
        <v>177</v>
      </c>
      <c r="I1236" t="s">
        <v>134</v>
      </c>
      <c r="J1236" t="s">
        <v>135</v>
      </c>
      <c r="K1236" t="s">
        <v>27</v>
      </c>
      <c r="L1236">
        <v>1</v>
      </c>
      <c r="M1236">
        <v>6000</v>
      </c>
      <c r="N1236">
        <v>10</v>
      </c>
      <c r="O1236">
        <v>5400</v>
      </c>
      <c r="P1236">
        <v>1399.07</v>
      </c>
      <c r="Q1236" t="s">
        <v>66</v>
      </c>
      <c r="R1236" t="s">
        <v>49</v>
      </c>
      <c r="S1236" t="s">
        <v>50</v>
      </c>
    </row>
    <row r="1237" spans="1:19" x14ac:dyDescent="0.3">
      <c r="A1237" t="s">
        <v>2222</v>
      </c>
      <c r="B1237" s="1">
        <v>45861</v>
      </c>
      <c r="C1237" s="1">
        <v>45864</v>
      </c>
      <c r="D1237" t="s">
        <v>520</v>
      </c>
      <c r="E1237" t="s">
        <v>521</v>
      </c>
      <c r="F1237" t="s">
        <v>23</v>
      </c>
      <c r="G1237" t="s">
        <v>91</v>
      </c>
      <c r="H1237" t="s">
        <v>109</v>
      </c>
      <c r="I1237" t="s">
        <v>79</v>
      </c>
      <c r="J1237" t="s">
        <v>80</v>
      </c>
      <c r="K1237" t="s">
        <v>65</v>
      </c>
      <c r="L1237">
        <v>2</v>
      </c>
      <c r="M1237">
        <v>3000</v>
      </c>
      <c r="N1237">
        <v>10</v>
      </c>
      <c r="O1237">
        <v>5400</v>
      </c>
      <c r="P1237">
        <v>1623.4</v>
      </c>
      <c r="Q1237" t="s">
        <v>121</v>
      </c>
      <c r="R1237" t="s">
        <v>49</v>
      </c>
      <c r="S1237" t="s">
        <v>30</v>
      </c>
    </row>
    <row r="1238" spans="1:19" x14ac:dyDescent="0.3">
      <c r="A1238" t="s">
        <v>2223</v>
      </c>
      <c r="B1238" s="2">
        <v>45558</v>
      </c>
      <c r="C1238" t="s">
        <v>954</v>
      </c>
      <c r="D1238" t="s">
        <v>990</v>
      </c>
      <c r="E1238" t="s">
        <v>991</v>
      </c>
      <c r="F1238" t="s">
        <v>23</v>
      </c>
      <c r="G1238" t="s">
        <v>61</v>
      </c>
      <c r="H1238" t="s">
        <v>62</v>
      </c>
      <c r="I1238" t="s">
        <v>134</v>
      </c>
      <c r="J1238" t="s">
        <v>135</v>
      </c>
      <c r="K1238" t="s">
        <v>27</v>
      </c>
      <c r="L1238">
        <v>1</v>
      </c>
      <c r="M1238">
        <v>6000</v>
      </c>
      <c r="N1238">
        <v>0</v>
      </c>
      <c r="O1238">
        <v>6000</v>
      </c>
      <c r="P1238">
        <v>1008.05</v>
      </c>
      <c r="Q1238" t="s">
        <v>74</v>
      </c>
      <c r="R1238" t="s">
        <v>49</v>
      </c>
      <c r="S1238" t="s">
        <v>30</v>
      </c>
    </row>
    <row r="1239" spans="1:19" x14ac:dyDescent="0.3">
      <c r="A1239" t="s">
        <v>2224</v>
      </c>
      <c r="B1239" s="2">
        <v>45397</v>
      </c>
      <c r="C1239" s="1">
        <v>45402</v>
      </c>
      <c r="D1239" t="s">
        <v>1003</v>
      </c>
      <c r="E1239" t="s">
        <v>1004</v>
      </c>
      <c r="F1239" t="s">
        <v>23</v>
      </c>
      <c r="G1239" t="s">
        <v>61</v>
      </c>
      <c r="H1239" t="s">
        <v>62</v>
      </c>
      <c r="I1239" t="s">
        <v>46</v>
      </c>
      <c r="J1239" t="s">
        <v>47</v>
      </c>
      <c r="K1239" t="s">
        <v>48</v>
      </c>
      <c r="L1239">
        <v>3</v>
      </c>
      <c r="M1239">
        <v>180</v>
      </c>
      <c r="N1239">
        <v>10</v>
      </c>
      <c r="O1239">
        <v>486</v>
      </c>
      <c r="P1239">
        <v>227.55</v>
      </c>
      <c r="Q1239" t="s">
        <v>66</v>
      </c>
      <c r="R1239" t="s">
        <v>29</v>
      </c>
      <c r="S1239" t="s">
        <v>110</v>
      </c>
    </row>
    <row r="1240" spans="1:19" x14ac:dyDescent="0.3">
      <c r="A1240" t="s">
        <v>2225</v>
      </c>
      <c r="B1240" s="1">
        <v>45467</v>
      </c>
      <c r="C1240" t="s">
        <v>2226</v>
      </c>
      <c r="D1240" t="s">
        <v>550</v>
      </c>
      <c r="E1240" t="s">
        <v>551</v>
      </c>
      <c r="F1240" t="s">
        <v>55</v>
      </c>
      <c r="G1240" t="s">
        <v>91</v>
      </c>
      <c r="H1240" t="s">
        <v>109</v>
      </c>
      <c r="I1240" t="s">
        <v>126</v>
      </c>
      <c r="J1240" t="s">
        <v>127</v>
      </c>
      <c r="K1240" t="s">
        <v>95</v>
      </c>
      <c r="L1240">
        <v>1</v>
      </c>
      <c r="M1240">
        <v>600</v>
      </c>
      <c r="N1240">
        <v>15</v>
      </c>
      <c r="O1240">
        <v>510</v>
      </c>
      <c r="P1240">
        <v>162.74</v>
      </c>
      <c r="Q1240" t="s">
        <v>66</v>
      </c>
      <c r="R1240" t="s">
        <v>49</v>
      </c>
      <c r="S1240" t="s">
        <v>110</v>
      </c>
    </row>
    <row r="1241" spans="1:19" x14ac:dyDescent="0.3">
      <c r="A1241" t="s">
        <v>2227</v>
      </c>
      <c r="B1241" s="1">
        <v>45336</v>
      </c>
      <c r="C1241" s="2">
        <v>45340</v>
      </c>
      <c r="D1241" t="s">
        <v>570</v>
      </c>
      <c r="E1241" t="s">
        <v>571</v>
      </c>
      <c r="F1241" t="s">
        <v>34</v>
      </c>
      <c r="G1241" t="s">
        <v>44</v>
      </c>
      <c r="H1241" t="s">
        <v>161</v>
      </c>
      <c r="I1241" t="s">
        <v>25</v>
      </c>
      <c r="J1241" t="s">
        <v>26</v>
      </c>
      <c r="K1241" t="s">
        <v>27</v>
      </c>
      <c r="L1241">
        <v>1</v>
      </c>
      <c r="M1241">
        <v>7000</v>
      </c>
      <c r="N1241">
        <v>10</v>
      </c>
      <c r="O1241">
        <v>6300</v>
      </c>
      <c r="P1241">
        <v>1333.45</v>
      </c>
      <c r="Q1241" t="s">
        <v>74</v>
      </c>
      <c r="R1241" t="s">
        <v>29</v>
      </c>
      <c r="S1241" t="s">
        <v>40</v>
      </c>
    </row>
    <row r="1242" spans="1:19" x14ac:dyDescent="0.3">
      <c r="A1242" t="s">
        <v>2228</v>
      </c>
      <c r="B1242" s="2">
        <v>45894</v>
      </c>
      <c r="C1242" s="2">
        <v>45895</v>
      </c>
      <c r="D1242" t="s">
        <v>904</v>
      </c>
      <c r="E1242" t="s">
        <v>905</v>
      </c>
      <c r="F1242" t="s">
        <v>23</v>
      </c>
      <c r="G1242" t="s">
        <v>91</v>
      </c>
      <c r="H1242" t="s">
        <v>92</v>
      </c>
      <c r="I1242" t="s">
        <v>71</v>
      </c>
      <c r="J1242" t="s">
        <v>72</v>
      </c>
      <c r="K1242" t="s">
        <v>73</v>
      </c>
      <c r="L1242">
        <v>1</v>
      </c>
      <c r="M1242">
        <v>3500</v>
      </c>
      <c r="N1242">
        <v>20</v>
      </c>
      <c r="O1242">
        <v>2800</v>
      </c>
      <c r="P1242">
        <v>653.91</v>
      </c>
      <c r="Q1242" t="s">
        <v>156</v>
      </c>
      <c r="R1242" t="s">
        <v>29</v>
      </c>
      <c r="S1242" t="s">
        <v>30</v>
      </c>
    </row>
    <row r="1243" spans="1:19" x14ac:dyDescent="0.3">
      <c r="A1243" t="s">
        <v>2229</v>
      </c>
      <c r="B1243" t="s">
        <v>317</v>
      </c>
      <c r="C1243" t="s">
        <v>2230</v>
      </c>
      <c r="D1243" t="s">
        <v>233</v>
      </c>
      <c r="E1243" t="s">
        <v>234</v>
      </c>
      <c r="F1243" t="s">
        <v>23</v>
      </c>
      <c r="G1243" t="s">
        <v>61</v>
      </c>
      <c r="H1243" t="s">
        <v>211</v>
      </c>
      <c r="I1243" t="s">
        <v>79</v>
      </c>
      <c r="J1243" t="s">
        <v>80</v>
      </c>
      <c r="K1243" t="s">
        <v>65</v>
      </c>
      <c r="L1243">
        <v>1</v>
      </c>
      <c r="M1243">
        <v>3000</v>
      </c>
      <c r="N1243">
        <v>15</v>
      </c>
      <c r="O1243">
        <v>2550</v>
      </c>
      <c r="P1243">
        <v>826.5</v>
      </c>
      <c r="R1243" t="s">
        <v>56</v>
      </c>
      <c r="S1243" t="s">
        <v>110</v>
      </c>
    </row>
    <row r="1244" spans="1:19" x14ac:dyDescent="0.3">
      <c r="A1244" t="s">
        <v>2231</v>
      </c>
      <c r="B1244" s="2">
        <v>45900</v>
      </c>
      <c r="C1244" s="1">
        <v>45725</v>
      </c>
      <c r="D1244" t="s">
        <v>457</v>
      </c>
      <c r="E1244" t="s">
        <v>458</v>
      </c>
      <c r="F1244" t="s">
        <v>55</v>
      </c>
      <c r="G1244" t="s">
        <v>44</v>
      </c>
      <c r="H1244" t="s">
        <v>24</v>
      </c>
      <c r="I1244" t="s">
        <v>63</v>
      </c>
      <c r="J1244" t="s">
        <v>64</v>
      </c>
      <c r="K1244" t="s">
        <v>65</v>
      </c>
      <c r="L1244">
        <v>2</v>
      </c>
      <c r="M1244">
        <v>25000</v>
      </c>
      <c r="N1244">
        <v>20</v>
      </c>
      <c r="O1244">
        <v>40000</v>
      </c>
      <c r="P1244">
        <v>4479.59</v>
      </c>
      <c r="Q1244" t="s">
        <v>28</v>
      </c>
      <c r="R1244" t="s">
        <v>49</v>
      </c>
      <c r="S1244" t="s">
        <v>40</v>
      </c>
    </row>
    <row r="1245" spans="1:19" x14ac:dyDescent="0.3">
      <c r="A1245" t="s">
        <v>2232</v>
      </c>
      <c r="B1245" s="2">
        <v>45538</v>
      </c>
      <c r="C1245" s="1">
        <v>45513</v>
      </c>
      <c r="D1245" t="s">
        <v>1191</v>
      </c>
      <c r="E1245" t="s">
        <v>1192</v>
      </c>
      <c r="F1245" t="s">
        <v>23</v>
      </c>
      <c r="G1245" t="s">
        <v>61</v>
      </c>
      <c r="H1245" t="s">
        <v>211</v>
      </c>
      <c r="I1245" t="s">
        <v>46</v>
      </c>
      <c r="J1245" t="s">
        <v>47</v>
      </c>
      <c r="K1245" t="s">
        <v>48</v>
      </c>
      <c r="L1245">
        <v>2</v>
      </c>
      <c r="M1245">
        <v>180</v>
      </c>
      <c r="N1245">
        <v>15</v>
      </c>
      <c r="O1245">
        <v>306</v>
      </c>
      <c r="P1245">
        <v>123.38</v>
      </c>
      <c r="Q1245" t="s">
        <v>74</v>
      </c>
      <c r="R1245" t="s">
        <v>56</v>
      </c>
      <c r="S1245" t="s">
        <v>30</v>
      </c>
    </row>
    <row r="1246" spans="1:19" x14ac:dyDescent="0.3">
      <c r="A1246" t="s">
        <v>2233</v>
      </c>
      <c r="B1246" s="1">
        <v>46016</v>
      </c>
      <c r="C1246" s="1">
        <v>46018</v>
      </c>
      <c r="D1246" t="s">
        <v>1579</v>
      </c>
      <c r="E1246" t="s">
        <v>1580</v>
      </c>
      <c r="F1246" t="s">
        <v>55</v>
      </c>
      <c r="G1246" t="s">
        <v>44</v>
      </c>
      <c r="H1246" t="s">
        <v>45</v>
      </c>
      <c r="I1246" t="s">
        <v>79</v>
      </c>
      <c r="J1246" t="s">
        <v>80</v>
      </c>
      <c r="K1246" t="s">
        <v>65</v>
      </c>
      <c r="L1246">
        <v>2</v>
      </c>
      <c r="M1246">
        <v>3000</v>
      </c>
      <c r="N1246">
        <v>20</v>
      </c>
      <c r="O1246">
        <v>4800</v>
      </c>
      <c r="P1246">
        <v>1415.46</v>
      </c>
      <c r="Q1246" t="s">
        <v>156</v>
      </c>
      <c r="R1246" t="s">
        <v>56</v>
      </c>
      <c r="S1246" t="s">
        <v>86</v>
      </c>
    </row>
    <row r="1247" spans="1:19" x14ac:dyDescent="0.3">
      <c r="A1247" t="s">
        <v>2234</v>
      </c>
      <c r="B1247" s="1">
        <v>45871</v>
      </c>
      <c r="C1247" s="2">
        <v>45873</v>
      </c>
      <c r="D1247" t="s">
        <v>444</v>
      </c>
      <c r="E1247" t="s">
        <v>445</v>
      </c>
      <c r="F1247" t="s">
        <v>55</v>
      </c>
      <c r="G1247" t="s">
        <v>91</v>
      </c>
      <c r="H1247" t="s">
        <v>92</v>
      </c>
      <c r="I1247" t="s">
        <v>126</v>
      </c>
      <c r="J1247" t="s">
        <v>127</v>
      </c>
      <c r="K1247" t="s">
        <v>95</v>
      </c>
      <c r="L1247">
        <v>1</v>
      </c>
      <c r="M1247">
        <v>600</v>
      </c>
      <c r="N1247">
        <v>5</v>
      </c>
      <c r="O1247">
        <v>570</v>
      </c>
      <c r="P1247">
        <v>163.81</v>
      </c>
      <c r="Q1247" t="s">
        <v>121</v>
      </c>
      <c r="R1247" t="s">
        <v>49</v>
      </c>
      <c r="S1247" t="s">
        <v>110</v>
      </c>
    </row>
    <row r="1248" spans="1:19" x14ac:dyDescent="0.3">
      <c r="A1248" t="s">
        <v>2235</v>
      </c>
      <c r="B1248" s="1">
        <v>45985</v>
      </c>
      <c r="C1248" t="s">
        <v>2236</v>
      </c>
      <c r="D1248" t="s">
        <v>1732</v>
      </c>
      <c r="E1248" t="s">
        <v>1733</v>
      </c>
      <c r="F1248" t="s">
        <v>34</v>
      </c>
      <c r="G1248" t="s">
        <v>35</v>
      </c>
      <c r="H1248" t="s">
        <v>85</v>
      </c>
      <c r="I1248" t="s">
        <v>25</v>
      </c>
      <c r="J1248" t="s">
        <v>26</v>
      </c>
      <c r="K1248" t="s">
        <v>1829</v>
      </c>
      <c r="L1248">
        <v>1</v>
      </c>
      <c r="M1248">
        <v>7000</v>
      </c>
      <c r="N1248">
        <v>0</v>
      </c>
      <c r="O1248">
        <v>7000</v>
      </c>
      <c r="P1248">
        <v>1686.39</v>
      </c>
      <c r="Q1248" t="s">
        <v>156</v>
      </c>
      <c r="R1248" t="s">
        <v>49</v>
      </c>
      <c r="S1248" t="s">
        <v>110</v>
      </c>
    </row>
    <row r="1249" spans="1:19" x14ac:dyDescent="0.3">
      <c r="A1249" t="s">
        <v>2237</v>
      </c>
      <c r="B1249" s="1">
        <v>45365</v>
      </c>
      <c r="C1249" t="s">
        <v>754</v>
      </c>
      <c r="D1249" t="s">
        <v>200</v>
      </c>
      <c r="E1249" t="s">
        <v>201</v>
      </c>
      <c r="F1249" t="s">
        <v>23</v>
      </c>
      <c r="G1249" t="s">
        <v>35</v>
      </c>
      <c r="H1249" t="s">
        <v>187</v>
      </c>
      <c r="I1249" t="s">
        <v>126</v>
      </c>
      <c r="J1249" t="s">
        <v>127</v>
      </c>
      <c r="K1249" t="s">
        <v>95</v>
      </c>
      <c r="L1249">
        <v>3</v>
      </c>
      <c r="M1249">
        <v>600</v>
      </c>
      <c r="N1249">
        <v>0</v>
      </c>
      <c r="O1249">
        <v>1800</v>
      </c>
      <c r="P1249">
        <v>485.3</v>
      </c>
      <c r="Q1249" t="s">
        <v>66</v>
      </c>
      <c r="R1249" t="s">
        <v>29</v>
      </c>
      <c r="S1249" t="s">
        <v>86</v>
      </c>
    </row>
    <row r="1250" spans="1:19" x14ac:dyDescent="0.3">
      <c r="A1250" t="s">
        <v>2238</v>
      </c>
      <c r="B1250" s="1">
        <v>45531</v>
      </c>
      <c r="C1250" s="2">
        <v>45537</v>
      </c>
      <c r="D1250" t="s">
        <v>172</v>
      </c>
      <c r="E1250" t="s">
        <v>173</v>
      </c>
      <c r="F1250" t="s">
        <v>55</v>
      </c>
      <c r="G1250" t="s">
        <v>91</v>
      </c>
      <c r="H1250" t="s">
        <v>177</v>
      </c>
      <c r="I1250" t="s">
        <v>126</v>
      </c>
      <c r="J1250" t="s">
        <v>127</v>
      </c>
      <c r="K1250" t="s">
        <v>95</v>
      </c>
      <c r="L1250">
        <v>2</v>
      </c>
      <c r="M1250">
        <v>600</v>
      </c>
      <c r="N1250">
        <v>10</v>
      </c>
      <c r="O1250">
        <v>1080</v>
      </c>
      <c r="P1250">
        <v>432.44</v>
      </c>
      <c r="Q1250" t="s">
        <v>39</v>
      </c>
      <c r="R1250" t="s">
        <v>29</v>
      </c>
      <c r="S1250" t="s">
        <v>86</v>
      </c>
    </row>
    <row r="1251" spans="1:19" x14ac:dyDescent="0.3">
      <c r="A1251" t="s">
        <v>2239</v>
      </c>
      <c r="B1251" s="1">
        <v>45775</v>
      </c>
      <c r="C1251" s="1">
        <v>45752</v>
      </c>
      <c r="D1251" t="s">
        <v>1414</v>
      </c>
      <c r="E1251" t="s">
        <v>1415</v>
      </c>
      <c r="F1251" t="s">
        <v>55</v>
      </c>
      <c r="G1251" t="s">
        <v>44</v>
      </c>
      <c r="H1251" t="s">
        <v>24</v>
      </c>
      <c r="I1251" t="s">
        <v>147</v>
      </c>
      <c r="J1251" t="s">
        <v>148</v>
      </c>
      <c r="K1251" t="s">
        <v>48</v>
      </c>
      <c r="L1251">
        <v>2</v>
      </c>
      <c r="M1251">
        <v>250</v>
      </c>
      <c r="N1251">
        <v>0</v>
      </c>
      <c r="O1251">
        <v>500</v>
      </c>
      <c r="P1251">
        <v>192.69</v>
      </c>
      <c r="Q1251" t="s">
        <v>156</v>
      </c>
      <c r="R1251" t="s">
        <v>56</v>
      </c>
      <c r="S1251" t="s">
        <v>40</v>
      </c>
    </row>
    <row r="1252" spans="1:19" x14ac:dyDescent="0.3">
      <c r="A1252" t="s">
        <v>2240</v>
      </c>
      <c r="B1252" s="1">
        <v>45979</v>
      </c>
      <c r="C1252" t="s">
        <v>1013</v>
      </c>
      <c r="D1252" t="s">
        <v>1736</v>
      </c>
      <c r="E1252" t="s">
        <v>1737</v>
      </c>
      <c r="F1252" t="s">
        <v>34</v>
      </c>
      <c r="G1252" t="s">
        <v>35</v>
      </c>
      <c r="H1252" t="s">
        <v>36</v>
      </c>
      <c r="I1252" t="s">
        <v>147</v>
      </c>
      <c r="J1252" t="s">
        <v>148</v>
      </c>
      <c r="K1252" t="s">
        <v>48</v>
      </c>
      <c r="L1252">
        <v>3</v>
      </c>
      <c r="M1252">
        <v>250</v>
      </c>
      <c r="N1252">
        <v>0</v>
      </c>
      <c r="O1252">
        <v>750</v>
      </c>
      <c r="P1252">
        <v>313.38</v>
      </c>
      <c r="R1252" t="s">
        <v>29</v>
      </c>
      <c r="S1252" t="s">
        <v>86</v>
      </c>
    </row>
    <row r="1253" spans="1:19" x14ac:dyDescent="0.3">
      <c r="A1253" t="s">
        <v>2241</v>
      </c>
      <c r="B1253" s="1">
        <v>46009</v>
      </c>
      <c r="C1253" s="1">
        <v>46015</v>
      </c>
      <c r="D1253" t="s">
        <v>288</v>
      </c>
      <c r="E1253" t="s">
        <v>289</v>
      </c>
      <c r="F1253" t="s">
        <v>34</v>
      </c>
      <c r="G1253" t="s">
        <v>44</v>
      </c>
      <c r="H1253" t="s">
        <v>155</v>
      </c>
      <c r="I1253" t="s">
        <v>25</v>
      </c>
      <c r="J1253" t="s">
        <v>26</v>
      </c>
      <c r="K1253" t="s">
        <v>27</v>
      </c>
      <c r="L1253">
        <v>1</v>
      </c>
      <c r="M1253">
        <v>7000</v>
      </c>
      <c r="N1253">
        <v>10</v>
      </c>
      <c r="O1253">
        <v>6300</v>
      </c>
      <c r="P1253">
        <v>1448.1</v>
      </c>
      <c r="Q1253" t="s">
        <v>66</v>
      </c>
      <c r="R1253" t="s">
        <v>29</v>
      </c>
      <c r="S1253" t="s">
        <v>40</v>
      </c>
    </row>
    <row r="1254" spans="1:19" x14ac:dyDescent="0.3">
      <c r="A1254" t="s">
        <v>2242</v>
      </c>
      <c r="B1254" s="1">
        <v>45315</v>
      </c>
      <c r="D1254" t="s">
        <v>919</v>
      </c>
      <c r="E1254" t="s">
        <v>2243</v>
      </c>
      <c r="F1254" t="s">
        <v>23</v>
      </c>
      <c r="G1254" t="s">
        <v>35</v>
      </c>
      <c r="H1254" t="s">
        <v>36</v>
      </c>
      <c r="I1254" t="s">
        <v>103</v>
      </c>
      <c r="J1254" t="s">
        <v>104</v>
      </c>
      <c r="K1254" t="s">
        <v>65</v>
      </c>
      <c r="L1254">
        <v>3</v>
      </c>
      <c r="M1254">
        <v>8000</v>
      </c>
      <c r="N1254">
        <v>5</v>
      </c>
      <c r="O1254">
        <v>22800</v>
      </c>
      <c r="P1254">
        <v>4850.18</v>
      </c>
      <c r="Q1254" t="s">
        <v>74</v>
      </c>
      <c r="R1254" t="s">
        <v>49</v>
      </c>
      <c r="S1254" t="s">
        <v>40</v>
      </c>
    </row>
    <row r="1255" spans="1:19" x14ac:dyDescent="0.3">
      <c r="A1255" t="s">
        <v>2244</v>
      </c>
      <c r="B1255" s="1">
        <v>45889</v>
      </c>
      <c r="C1255" s="1">
        <v>45890</v>
      </c>
      <c r="D1255" t="s">
        <v>1540</v>
      </c>
      <c r="E1255" t="s">
        <v>1541</v>
      </c>
      <c r="F1255" t="s">
        <v>23</v>
      </c>
      <c r="G1255" t="s">
        <v>61</v>
      </c>
      <c r="H1255" t="s">
        <v>78</v>
      </c>
      <c r="I1255" t="s">
        <v>134</v>
      </c>
      <c r="J1255" t="s">
        <v>135</v>
      </c>
      <c r="K1255" t="s">
        <v>27</v>
      </c>
      <c r="L1255">
        <v>1</v>
      </c>
      <c r="M1255">
        <v>6000</v>
      </c>
      <c r="N1255">
        <v>15</v>
      </c>
      <c r="O1255">
        <v>5100</v>
      </c>
      <c r="P1255">
        <v>1283.78</v>
      </c>
      <c r="Q1255" t="s">
        <v>39</v>
      </c>
      <c r="R1255" t="s">
        <v>49</v>
      </c>
      <c r="S1255" t="s">
        <v>110</v>
      </c>
    </row>
    <row r="1256" spans="1:19" x14ac:dyDescent="0.3">
      <c r="A1256" t="s">
        <v>2245</v>
      </c>
      <c r="B1256" s="1">
        <v>45774</v>
      </c>
      <c r="C1256" s="2">
        <v>45779</v>
      </c>
      <c r="D1256" t="s">
        <v>1031</v>
      </c>
      <c r="E1256" t="s">
        <v>1032</v>
      </c>
      <c r="F1256" t="s">
        <v>23</v>
      </c>
      <c r="G1256" t="s">
        <v>61</v>
      </c>
      <c r="H1256" t="s">
        <v>211</v>
      </c>
      <c r="I1256" t="s">
        <v>79</v>
      </c>
      <c r="J1256" t="s">
        <v>80</v>
      </c>
      <c r="K1256" t="s">
        <v>65</v>
      </c>
      <c r="L1256">
        <v>5</v>
      </c>
      <c r="M1256">
        <v>3000</v>
      </c>
      <c r="N1256">
        <v>5</v>
      </c>
      <c r="O1256">
        <v>14250</v>
      </c>
      <c r="P1256">
        <v>3143.22</v>
      </c>
      <c r="Q1256" t="s">
        <v>121</v>
      </c>
      <c r="R1256" t="s">
        <v>49</v>
      </c>
      <c r="S1256" t="s">
        <v>86</v>
      </c>
    </row>
    <row r="1257" spans="1:19" x14ac:dyDescent="0.3">
      <c r="A1257" t="s">
        <v>2246</v>
      </c>
      <c r="B1257" s="2">
        <v>45997</v>
      </c>
      <c r="C1257" s="1">
        <v>46000</v>
      </c>
      <c r="D1257" t="s">
        <v>1301</v>
      </c>
      <c r="E1257" t="s">
        <v>1302</v>
      </c>
      <c r="F1257" t="s">
        <v>23</v>
      </c>
      <c r="G1257" t="s">
        <v>91</v>
      </c>
      <c r="H1257" t="s">
        <v>120</v>
      </c>
      <c r="I1257" t="s">
        <v>147</v>
      </c>
      <c r="J1257" t="s">
        <v>148</v>
      </c>
      <c r="K1257" t="s">
        <v>48</v>
      </c>
      <c r="L1257">
        <v>2</v>
      </c>
      <c r="M1257">
        <v>250</v>
      </c>
      <c r="N1257">
        <v>5</v>
      </c>
      <c r="O1257">
        <v>475</v>
      </c>
      <c r="P1257">
        <v>195.61</v>
      </c>
      <c r="Q1257" t="s">
        <v>39</v>
      </c>
      <c r="R1257" t="s">
        <v>29</v>
      </c>
      <c r="S1257" t="s">
        <v>30</v>
      </c>
    </row>
    <row r="1258" spans="1:19" x14ac:dyDescent="0.3">
      <c r="A1258" t="s">
        <v>2247</v>
      </c>
      <c r="B1258" t="s">
        <v>2248</v>
      </c>
      <c r="C1258" s="1">
        <v>45715</v>
      </c>
      <c r="D1258" t="s">
        <v>453</v>
      </c>
      <c r="E1258" t="s">
        <v>454</v>
      </c>
      <c r="F1258" t="s">
        <v>55</v>
      </c>
      <c r="G1258" t="s">
        <v>35</v>
      </c>
      <c r="H1258" t="s">
        <v>187</v>
      </c>
      <c r="I1258" t="s">
        <v>63</v>
      </c>
      <c r="J1258" t="s">
        <v>64</v>
      </c>
      <c r="K1258" t="s">
        <v>65</v>
      </c>
      <c r="L1258">
        <v>1</v>
      </c>
      <c r="M1258">
        <v>25000</v>
      </c>
      <c r="N1258">
        <v>0</v>
      </c>
      <c r="O1258">
        <v>25000</v>
      </c>
      <c r="P1258">
        <v>3363.68</v>
      </c>
      <c r="Q1258" t="s">
        <v>39</v>
      </c>
      <c r="R1258" t="s">
        <v>49</v>
      </c>
      <c r="S1258" t="s">
        <v>30</v>
      </c>
    </row>
    <row r="1259" spans="1:19" x14ac:dyDescent="0.3">
      <c r="A1259" t="s">
        <v>2249</v>
      </c>
      <c r="B1259" s="1">
        <v>45728</v>
      </c>
      <c r="C1259" s="1">
        <v>46001</v>
      </c>
      <c r="D1259" t="s">
        <v>692</v>
      </c>
      <c r="E1259" t="s">
        <v>2006</v>
      </c>
      <c r="F1259" t="s">
        <v>55</v>
      </c>
      <c r="G1259" t="s">
        <v>91</v>
      </c>
      <c r="H1259" t="s">
        <v>120</v>
      </c>
      <c r="I1259" t="s">
        <v>93</v>
      </c>
      <c r="J1259" t="s">
        <v>94</v>
      </c>
      <c r="K1259" t="s">
        <v>95</v>
      </c>
      <c r="L1259">
        <v>1</v>
      </c>
      <c r="M1259">
        <v>1800</v>
      </c>
      <c r="N1259">
        <v>10</v>
      </c>
      <c r="O1259">
        <v>1620</v>
      </c>
      <c r="P1259">
        <v>420.99</v>
      </c>
      <c r="Q1259" t="s">
        <v>74</v>
      </c>
      <c r="R1259" t="s">
        <v>49</v>
      </c>
      <c r="S1259" t="s">
        <v>86</v>
      </c>
    </row>
    <row r="1260" spans="1:19" x14ac:dyDescent="0.3">
      <c r="A1260" t="s">
        <v>2250</v>
      </c>
      <c r="B1260" t="s">
        <v>624</v>
      </c>
      <c r="C1260" s="1">
        <v>45440</v>
      </c>
      <c r="D1260" t="s">
        <v>1889</v>
      </c>
      <c r="E1260" t="s">
        <v>1890</v>
      </c>
      <c r="F1260" t="s">
        <v>55</v>
      </c>
      <c r="G1260" t="s">
        <v>91</v>
      </c>
      <c r="H1260" t="s">
        <v>120</v>
      </c>
      <c r="I1260" t="s">
        <v>114</v>
      </c>
      <c r="J1260" t="s">
        <v>115</v>
      </c>
      <c r="K1260" t="s">
        <v>65</v>
      </c>
      <c r="L1260">
        <v>2</v>
      </c>
      <c r="M1260">
        <v>55000</v>
      </c>
      <c r="N1260">
        <v>5</v>
      </c>
      <c r="O1260">
        <v>104500</v>
      </c>
      <c r="P1260">
        <v>16367.75</v>
      </c>
      <c r="Q1260" t="s">
        <v>74</v>
      </c>
      <c r="R1260" t="s">
        <v>567</v>
      </c>
      <c r="S1260" t="s">
        <v>40</v>
      </c>
    </row>
    <row r="1261" spans="1:19" x14ac:dyDescent="0.3">
      <c r="A1261" t="s">
        <v>2251</v>
      </c>
      <c r="B1261" s="2">
        <v>45796</v>
      </c>
      <c r="C1261" s="2">
        <v>45802</v>
      </c>
      <c r="D1261" t="s">
        <v>428</v>
      </c>
      <c r="E1261" t="s">
        <v>429</v>
      </c>
      <c r="F1261" t="s">
        <v>34</v>
      </c>
      <c r="G1261" t="s">
        <v>44</v>
      </c>
      <c r="H1261" t="s">
        <v>45</v>
      </c>
      <c r="I1261" t="s">
        <v>46</v>
      </c>
      <c r="J1261" t="s">
        <v>47</v>
      </c>
      <c r="K1261" t="s">
        <v>48</v>
      </c>
      <c r="L1261">
        <v>5</v>
      </c>
      <c r="M1261">
        <v>180</v>
      </c>
      <c r="N1261">
        <v>5</v>
      </c>
      <c r="O1261">
        <v>855</v>
      </c>
      <c r="P1261">
        <v>289.63</v>
      </c>
      <c r="Q1261" t="s">
        <v>156</v>
      </c>
      <c r="R1261" t="s">
        <v>56</v>
      </c>
      <c r="S1261" t="s">
        <v>30</v>
      </c>
    </row>
    <row r="1262" spans="1:19" x14ac:dyDescent="0.3">
      <c r="A1262" t="s">
        <v>2252</v>
      </c>
      <c r="B1262" s="1">
        <v>45721</v>
      </c>
      <c r="C1262" s="1">
        <v>45725</v>
      </c>
      <c r="D1262" t="s">
        <v>1482</v>
      </c>
      <c r="E1262" t="s">
        <v>1483</v>
      </c>
      <c r="F1262" t="s">
        <v>23</v>
      </c>
      <c r="G1262" t="s">
        <v>44</v>
      </c>
      <c r="H1262" t="s">
        <v>161</v>
      </c>
      <c r="I1262" t="s">
        <v>37</v>
      </c>
      <c r="J1262" t="s">
        <v>38</v>
      </c>
      <c r="K1262" t="s">
        <v>27</v>
      </c>
      <c r="L1262">
        <v>1</v>
      </c>
      <c r="M1262">
        <v>9500</v>
      </c>
      <c r="N1262">
        <v>15</v>
      </c>
      <c r="O1262">
        <v>8075</v>
      </c>
      <c r="P1262">
        <v>1710.85</v>
      </c>
      <c r="Q1262" t="s">
        <v>66</v>
      </c>
      <c r="R1262" t="s">
        <v>49</v>
      </c>
      <c r="S1262" t="s">
        <v>50</v>
      </c>
    </row>
    <row r="1263" spans="1:19" x14ac:dyDescent="0.3">
      <c r="A1263" t="s">
        <v>2253</v>
      </c>
      <c r="B1263" s="1">
        <v>45456</v>
      </c>
      <c r="C1263" s="1">
        <v>45461</v>
      </c>
      <c r="D1263" t="s">
        <v>802</v>
      </c>
      <c r="E1263" t="s">
        <v>803</v>
      </c>
      <c r="F1263" t="s">
        <v>55</v>
      </c>
      <c r="G1263" t="s">
        <v>35</v>
      </c>
      <c r="H1263" t="s">
        <v>258</v>
      </c>
      <c r="I1263" t="s">
        <v>114</v>
      </c>
      <c r="J1263" t="s">
        <v>115</v>
      </c>
      <c r="K1263" t="s">
        <v>65</v>
      </c>
      <c r="L1263">
        <v>2</v>
      </c>
      <c r="M1263">
        <v>55000</v>
      </c>
      <c r="N1263">
        <v>10</v>
      </c>
      <c r="O1263">
        <v>99000</v>
      </c>
      <c r="P1263">
        <v>12950.11</v>
      </c>
      <c r="Q1263" t="s">
        <v>66</v>
      </c>
      <c r="R1263" t="s">
        <v>49</v>
      </c>
      <c r="S1263" t="s">
        <v>40</v>
      </c>
    </row>
    <row r="1264" spans="1:19" x14ac:dyDescent="0.3">
      <c r="A1264" t="s">
        <v>2254</v>
      </c>
      <c r="B1264" s="1">
        <v>45597</v>
      </c>
      <c r="C1264" s="1">
        <v>45600</v>
      </c>
      <c r="D1264" t="s">
        <v>721</v>
      </c>
      <c r="E1264" t="s">
        <v>722</v>
      </c>
      <c r="F1264" t="s">
        <v>34</v>
      </c>
      <c r="G1264" t="s">
        <v>35</v>
      </c>
      <c r="H1264" t="s">
        <v>258</v>
      </c>
      <c r="I1264" t="s">
        <v>25</v>
      </c>
      <c r="J1264" t="s">
        <v>26</v>
      </c>
      <c r="K1264" t="s">
        <v>27</v>
      </c>
      <c r="L1264">
        <v>2</v>
      </c>
      <c r="M1264">
        <v>7000</v>
      </c>
      <c r="N1264">
        <v>15</v>
      </c>
      <c r="O1264">
        <v>11900</v>
      </c>
      <c r="Q1264" t="s">
        <v>28</v>
      </c>
      <c r="R1264" t="s">
        <v>56</v>
      </c>
      <c r="S1264" t="s">
        <v>30</v>
      </c>
    </row>
    <row r="1265" spans="1:19" x14ac:dyDescent="0.3">
      <c r="A1265" t="s">
        <v>2255</v>
      </c>
      <c r="B1265" s="1">
        <v>45925</v>
      </c>
      <c r="C1265" s="1">
        <v>45927</v>
      </c>
      <c r="D1265" t="s">
        <v>606</v>
      </c>
      <c r="E1265" t="s">
        <v>607</v>
      </c>
      <c r="F1265" t="s">
        <v>23</v>
      </c>
      <c r="G1265" t="s">
        <v>35</v>
      </c>
      <c r="H1265" t="s">
        <v>36</v>
      </c>
      <c r="I1265" t="s">
        <v>134</v>
      </c>
      <c r="J1265" t="s">
        <v>135</v>
      </c>
      <c r="K1265" t="s">
        <v>27</v>
      </c>
      <c r="L1265">
        <v>1</v>
      </c>
      <c r="M1265">
        <v>6000</v>
      </c>
      <c r="N1265">
        <v>5</v>
      </c>
      <c r="O1265">
        <v>5700</v>
      </c>
      <c r="P1265">
        <v>1058.1199999999999</v>
      </c>
      <c r="Q1265" t="s">
        <v>156</v>
      </c>
      <c r="R1265" t="s">
        <v>49</v>
      </c>
      <c r="S1265" t="s">
        <v>30</v>
      </c>
    </row>
    <row r="1266" spans="1:19" x14ac:dyDescent="0.3">
      <c r="A1266" t="s">
        <v>2256</v>
      </c>
      <c r="B1266" s="1">
        <v>45669</v>
      </c>
      <c r="C1266" s="1">
        <v>45677</v>
      </c>
      <c r="D1266" t="s">
        <v>625</v>
      </c>
      <c r="E1266" t="s">
        <v>626</v>
      </c>
      <c r="F1266" t="s">
        <v>34</v>
      </c>
      <c r="G1266" t="s">
        <v>61</v>
      </c>
      <c r="H1266" t="s">
        <v>211</v>
      </c>
      <c r="I1266" t="s">
        <v>114</v>
      </c>
      <c r="J1266" t="s">
        <v>115</v>
      </c>
      <c r="K1266" t="s">
        <v>105</v>
      </c>
      <c r="M1266">
        <v>55000</v>
      </c>
      <c r="N1266">
        <v>0</v>
      </c>
      <c r="O1266">
        <v>55000</v>
      </c>
      <c r="P1266">
        <v>7999.68</v>
      </c>
      <c r="Q1266" t="s">
        <v>28</v>
      </c>
      <c r="R1266" t="s">
        <v>49</v>
      </c>
      <c r="S1266" t="s">
        <v>40</v>
      </c>
    </row>
    <row r="1267" spans="1:19" x14ac:dyDescent="0.3">
      <c r="A1267" t="s">
        <v>2257</v>
      </c>
      <c r="B1267" s="1">
        <v>45413</v>
      </c>
      <c r="C1267" s="1">
        <v>45421</v>
      </c>
      <c r="D1267" t="s">
        <v>431</v>
      </c>
      <c r="E1267" t="s">
        <v>432</v>
      </c>
      <c r="F1267" t="s">
        <v>23</v>
      </c>
      <c r="G1267" t="s">
        <v>91</v>
      </c>
      <c r="H1267" t="s">
        <v>120</v>
      </c>
      <c r="I1267" t="s">
        <v>134</v>
      </c>
      <c r="J1267" t="s">
        <v>135</v>
      </c>
      <c r="K1267" t="s">
        <v>27</v>
      </c>
      <c r="L1267">
        <v>2</v>
      </c>
      <c r="M1267">
        <v>6000</v>
      </c>
      <c r="N1267">
        <v>10</v>
      </c>
      <c r="O1267">
        <v>10800</v>
      </c>
      <c r="P1267">
        <v>2239.16</v>
      </c>
      <c r="Q1267" t="s">
        <v>156</v>
      </c>
      <c r="R1267" t="s">
        <v>49</v>
      </c>
      <c r="S1267" t="s">
        <v>50</v>
      </c>
    </row>
    <row r="1268" spans="1:19" x14ac:dyDescent="0.3">
      <c r="A1268" t="s">
        <v>2258</v>
      </c>
      <c r="B1268" s="2">
        <v>45317</v>
      </c>
      <c r="C1268" s="1">
        <v>45324</v>
      </c>
      <c r="D1268" t="s">
        <v>132</v>
      </c>
      <c r="E1268" t="s">
        <v>133</v>
      </c>
      <c r="F1268" t="s">
        <v>23</v>
      </c>
      <c r="G1268" t="s">
        <v>91</v>
      </c>
      <c r="H1268" t="s">
        <v>120</v>
      </c>
      <c r="I1268" t="s">
        <v>79</v>
      </c>
      <c r="J1268" t="s">
        <v>80</v>
      </c>
      <c r="K1268" t="s">
        <v>65</v>
      </c>
      <c r="L1268">
        <v>1</v>
      </c>
      <c r="M1268">
        <v>3000</v>
      </c>
      <c r="N1268">
        <v>20</v>
      </c>
      <c r="O1268">
        <v>2400</v>
      </c>
      <c r="P1268">
        <v>607.76</v>
      </c>
      <c r="Q1268" t="s">
        <v>156</v>
      </c>
      <c r="R1268" t="s">
        <v>49</v>
      </c>
      <c r="S1268" t="s">
        <v>30</v>
      </c>
    </row>
    <row r="1269" spans="1:19" x14ac:dyDescent="0.3">
      <c r="A1269" t="s">
        <v>2259</v>
      </c>
      <c r="B1269" s="1">
        <v>45567</v>
      </c>
      <c r="C1269" s="1">
        <v>45569</v>
      </c>
      <c r="D1269" t="s">
        <v>463</v>
      </c>
      <c r="E1269" t="s">
        <v>464</v>
      </c>
      <c r="F1269" t="s">
        <v>34</v>
      </c>
      <c r="G1269" t="s">
        <v>35</v>
      </c>
      <c r="H1269" t="s">
        <v>85</v>
      </c>
      <c r="I1269" t="s">
        <v>103</v>
      </c>
      <c r="J1269" t="s">
        <v>104</v>
      </c>
      <c r="K1269" t="s">
        <v>65</v>
      </c>
      <c r="L1269">
        <v>1</v>
      </c>
      <c r="M1269">
        <v>8000</v>
      </c>
      <c r="N1269">
        <v>15</v>
      </c>
      <c r="O1269">
        <v>6800</v>
      </c>
      <c r="P1269">
        <v>1643.88</v>
      </c>
      <c r="Q1269" t="s">
        <v>156</v>
      </c>
      <c r="R1269" t="s">
        <v>49</v>
      </c>
      <c r="S1269" t="s">
        <v>40</v>
      </c>
    </row>
    <row r="1270" spans="1:19" x14ac:dyDescent="0.3">
      <c r="A1270" t="s">
        <v>2260</v>
      </c>
      <c r="B1270" s="2">
        <v>46011</v>
      </c>
      <c r="C1270" s="1">
        <v>46015</v>
      </c>
      <c r="D1270" t="s">
        <v>1532</v>
      </c>
      <c r="E1270" t="s">
        <v>1533</v>
      </c>
      <c r="F1270" t="s">
        <v>34</v>
      </c>
      <c r="G1270" t="s">
        <v>44</v>
      </c>
      <c r="H1270" t="s">
        <v>24</v>
      </c>
      <c r="I1270" t="s">
        <v>71</v>
      </c>
      <c r="J1270" t="s">
        <v>72</v>
      </c>
      <c r="K1270" t="s">
        <v>73</v>
      </c>
      <c r="L1270">
        <v>2</v>
      </c>
      <c r="M1270">
        <v>3500</v>
      </c>
      <c r="N1270">
        <v>0</v>
      </c>
      <c r="O1270">
        <v>7000</v>
      </c>
      <c r="P1270">
        <v>2338.38</v>
      </c>
      <c r="Q1270" t="s">
        <v>121</v>
      </c>
      <c r="R1270" t="s">
        <v>49</v>
      </c>
      <c r="S1270" t="s">
        <v>40</v>
      </c>
    </row>
    <row r="1271" spans="1:19" x14ac:dyDescent="0.3">
      <c r="A1271" t="s">
        <v>2261</v>
      </c>
      <c r="B1271" s="2">
        <v>45772</v>
      </c>
      <c r="C1271" s="2">
        <v>45773</v>
      </c>
      <c r="D1271" t="s">
        <v>169</v>
      </c>
      <c r="E1271" t="s">
        <v>170</v>
      </c>
      <c r="F1271" t="s">
        <v>55</v>
      </c>
      <c r="G1271" t="s">
        <v>91</v>
      </c>
      <c r="H1271" t="s">
        <v>92</v>
      </c>
      <c r="I1271" t="s">
        <v>63</v>
      </c>
      <c r="J1271" t="s">
        <v>64</v>
      </c>
      <c r="K1271" t="s">
        <v>65</v>
      </c>
      <c r="L1271">
        <v>2</v>
      </c>
      <c r="M1271">
        <v>25000</v>
      </c>
      <c r="N1271">
        <v>0</v>
      </c>
      <c r="O1271">
        <v>50000</v>
      </c>
      <c r="P1271">
        <v>7638.99</v>
      </c>
      <c r="Q1271" t="s">
        <v>74</v>
      </c>
      <c r="R1271" t="s">
        <v>56</v>
      </c>
      <c r="S1271" t="s">
        <v>86</v>
      </c>
    </row>
    <row r="1272" spans="1:19" x14ac:dyDescent="0.3">
      <c r="A1272" t="s">
        <v>2262</v>
      </c>
      <c r="B1272" s="1">
        <v>45356</v>
      </c>
      <c r="C1272" s="1">
        <v>45419</v>
      </c>
      <c r="D1272" t="s">
        <v>388</v>
      </c>
      <c r="E1272" t="s">
        <v>389</v>
      </c>
      <c r="F1272" t="s">
        <v>23</v>
      </c>
      <c r="G1272" t="s">
        <v>44</v>
      </c>
      <c r="I1272" t="s">
        <v>103</v>
      </c>
      <c r="J1272" t="s">
        <v>104</v>
      </c>
      <c r="K1272" t="s">
        <v>65</v>
      </c>
      <c r="L1272">
        <v>2</v>
      </c>
      <c r="M1272">
        <v>8000</v>
      </c>
      <c r="N1272">
        <v>0</v>
      </c>
      <c r="O1272">
        <v>16000</v>
      </c>
      <c r="P1272">
        <v>3118.34</v>
      </c>
      <c r="Q1272" t="s">
        <v>39</v>
      </c>
      <c r="R1272" t="s">
        <v>49</v>
      </c>
      <c r="S1272" t="s">
        <v>50</v>
      </c>
    </row>
    <row r="1273" spans="1:19" x14ac:dyDescent="0.3">
      <c r="A1273" t="s">
        <v>2263</v>
      </c>
      <c r="B1273" s="1">
        <v>45841</v>
      </c>
      <c r="C1273" s="1">
        <v>45726</v>
      </c>
      <c r="D1273" t="s">
        <v>625</v>
      </c>
      <c r="E1273" t="s">
        <v>626</v>
      </c>
      <c r="F1273" t="s">
        <v>34</v>
      </c>
      <c r="G1273" t="s">
        <v>61</v>
      </c>
      <c r="H1273" t="s">
        <v>211</v>
      </c>
      <c r="I1273" t="s">
        <v>46</v>
      </c>
      <c r="J1273" t="s">
        <v>47</v>
      </c>
      <c r="K1273" t="s">
        <v>48</v>
      </c>
      <c r="L1273">
        <v>1</v>
      </c>
      <c r="M1273">
        <v>180</v>
      </c>
      <c r="N1273">
        <v>20</v>
      </c>
      <c r="O1273">
        <v>144</v>
      </c>
      <c r="P1273">
        <v>51.18</v>
      </c>
      <c r="Q1273" t="s">
        <v>66</v>
      </c>
      <c r="R1273" t="s">
        <v>56</v>
      </c>
      <c r="S1273" t="s">
        <v>50</v>
      </c>
    </row>
    <row r="1274" spans="1:19" x14ac:dyDescent="0.3">
      <c r="A1274" t="s">
        <v>2264</v>
      </c>
      <c r="B1274" s="1">
        <v>45715</v>
      </c>
      <c r="C1274" s="2">
        <v>45721</v>
      </c>
      <c r="D1274" t="s">
        <v>123</v>
      </c>
      <c r="E1274" t="s">
        <v>124</v>
      </c>
      <c r="F1274" t="s">
        <v>34</v>
      </c>
      <c r="G1274" t="s">
        <v>61</v>
      </c>
      <c r="H1274" t="s">
        <v>125</v>
      </c>
      <c r="I1274" t="s">
        <v>46</v>
      </c>
      <c r="J1274" t="s">
        <v>47</v>
      </c>
      <c r="K1274" t="s">
        <v>48</v>
      </c>
      <c r="L1274">
        <v>3</v>
      </c>
      <c r="M1274">
        <v>180</v>
      </c>
      <c r="N1274">
        <v>0</v>
      </c>
      <c r="O1274">
        <v>540</v>
      </c>
      <c r="P1274">
        <v>265.95999999999998</v>
      </c>
      <c r="Q1274" t="s">
        <v>66</v>
      </c>
      <c r="R1274" t="s">
        <v>56</v>
      </c>
      <c r="S1274" t="s">
        <v>110</v>
      </c>
    </row>
    <row r="1275" spans="1:19" x14ac:dyDescent="0.3">
      <c r="A1275" t="s">
        <v>2265</v>
      </c>
      <c r="B1275" t="s">
        <v>669</v>
      </c>
      <c r="C1275" t="s">
        <v>1307</v>
      </c>
      <c r="D1275" t="s">
        <v>527</v>
      </c>
      <c r="E1275" t="s">
        <v>528</v>
      </c>
      <c r="F1275" t="s">
        <v>23</v>
      </c>
      <c r="G1275" t="s">
        <v>44</v>
      </c>
      <c r="H1275" t="s">
        <v>161</v>
      </c>
      <c r="I1275" t="s">
        <v>126</v>
      </c>
      <c r="J1275" t="s">
        <v>127</v>
      </c>
      <c r="K1275" t="s">
        <v>95</v>
      </c>
      <c r="L1275">
        <v>2</v>
      </c>
      <c r="M1275">
        <v>600</v>
      </c>
      <c r="N1275">
        <v>15</v>
      </c>
      <c r="O1275">
        <v>1020</v>
      </c>
      <c r="P1275">
        <v>347.5</v>
      </c>
      <c r="Q1275" t="s">
        <v>28</v>
      </c>
      <c r="R1275" t="s">
        <v>49</v>
      </c>
      <c r="S1275" t="s">
        <v>110</v>
      </c>
    </row>
    <row r="1276" spans="1:19" x14ac:dyDescent="0.3">
      <c r="A1276" t="s">
        <v>2266</v>
      </c>
      <c r="B1276" s="1">
        <v>45989</v>
      </c>
      <c r="C1276" t="s">
        <v>2236</v>
      </c>
      <c r="D1276" t="s">
        <v>166</v>
      </c>
      <c r="E1276" t="s">
        <v>167</v>
      </c>
      <c r="F1276" t="s">
        <v>23</v>
      </c>
      <c r="G1276" t="s">
        <v>44</v>
      </c>
      <c r="H1276" t="s">
        <v>161</v>
      </c>
      <c r="I1276" t="s">
        <v>134</v>
      </c>
      <c r="J1276" t="s">
        <v>135</v>
      </c>
      <c r="K1276" t="s">
        <v>27</v>
      </c>
      <c r="L1276">
        <v>5</v>
      </c>
      <c r="M1276">
        <v>6000</v>
      </c>
      <c r="N1276">
        <v>0</v>
      </c>
      <c r="O1276">
        <v>30000</v>
      </c>
      <c r="P1276">
        <v>6851.99</v>
      </c>
      <c r="Q1276" t="s">
        <v>156</v>
      </c>
      <c r="R1276" t="s">
        <v>56</v>
      </c>
      <c r="S1276" t="s">
        <v>40</v>
      </c>
    </row>
    <row r="1277" spans="1:19" x14ac:dyDescent="0.3">
      <c r="A1277" t="s">
        <v>2267</v>
      </c>
      <c r="B1277" s="2">
        <v>45455</v>
      </c>
      <c r="C1277" s="1">
        <v>45462</v>
      </c>
      <c r="D1277" t="s">
        <v>163</v>
      </c>
      <c r="E1277" t="s">
        <v>164</v>
      </c>
      <c r="F1277" t="s">
        <v>55</v>
      </c>
      <c r="G1277" t="s">
        <v>44</v>
      </c>
      <c r="H1277" t="s">
        <v>45</v>
      </c>
      <c r="I1277" t="s">
        <v>126</v>
      </c>
      <c r="J1277" t="s">
        <v>127</v>
      </c>
      <c r="K1277" t="s">
        <v>95</v>
      </c>
      <c r="L1277">
        <v>10</v>
      </c>
      <c r="M1277">
        <v>600</v>
      </c>
      <c r="N1277">
        <v>10</v>
      </c>
      <c r="O1277">
        <v>5400</v>
      </c>
      <c r="Q1277" t="s">
        <v>156</v>
      </c>
      <c r="R1277" t="s">
        <v>49</v>
      </c>
      <c r="S1277" t="s">
        <v>110</v>
      </c>
    </row>
    <row r="1278" spans="1:19" x14ac:dyDescent="0.3">
      <c r="A1278" t="s">
        <v>2268</v>
      </c>
      <c r="B1278" s="2">
        <v>45464</v>
      </c>
      <c r="C1278" s="1">
        <v>45471</v>
      </c>
      <c r="D1278" t="s">
        <v>1184</v>
      </c>
      <c r="E1278" t="s">
        <v>1185</v>
      </c>
      <c r="F1278" t="s">
        <v>55</v>
      </c>
      <c r="G1278" t="s">
        <v>91</v>
      </c>
      <c r="H1278" t="s">
        <v>109</v>
      </c>
      <c r="I1278" t="s">
        <v>71</v>
      </c>
      <c r="J1278" t="s">
        <v>72</v>
      </c>
      <c r="K1278" t="s">
        <v>73</v>
      </c>
      <c r="L1278">
        <v>1</v>
      </c>
      <c r="M1278">
        <v>3500</v>
      </c>
      <c r="N1278">
        <v>0</v>
      </c>
      <c r="O1278">
        <v>3500</v>
      </c>
      <c r="P1278">
        <v>935.71</v>
      </c>
      <c r="Q1278" t="s">
        <v>66</v>
      </c>
      <c r="R1278" t="s">
        <v>29</v>
      </c>
      <c r="S1278" t="s">
        <v>30</v>
      </c>
    </row>
    <row r="1279" spans="1:19" x14ac:dyDescent="0.3">
      <c r="A1279" t="s">
        <v>2269</v>
      </c>
      <c r="B1279" s="1">
        <v>45484</v>
      </c>
      <c r="C1279" s="1">
        <v>45488</v>
      </c>
      <c r="D1279" t="s">
        <v>352</v>
      </c>
      <c r="E1279" t="s">
        <v>353</v>
      </c>
      <c r="F1279" t="s">
        <v>55</v>
      </c>
      <c r="G1279" t="s">
        <v>35</v>
      </c>
      <c r="H1279" t="s">
        <v>36</v>
      </c>
      <c r="I1279" t="s">
        <v>63</v>
      </c>
      <c r="J1279" t="s">
        <v>64</v>
      </c>
      <c r="K1279" t="s">
        <v>65</v>
      </c>
      <c r="L1279">
        <v>4</v>
      </c>
      <c r="M1279">
        <v>25000</v>
      </c>
      <c r="N1279">
        <v>10</v>
      </c>
      <c r="O1279">
        <v>90000</v>
      </c>
      <c r="P1279">
        <v>13361.25</v>
      </c>
      <c r="Q1279" t="s">
        <v>28</v>
      </c>
      <c r="R1279" t="s">
        <v>29</v>
      </c>
      <c r="S1279" t="s">
        <v>110</v>
      </c>
    </row>
    <row r="1280" spans="1:19" x14ac:dyDescent="0.3">
      <c r="A1280" t="s">
        <v>2270</v>
      </c>
      <c r="B1280" s="1">
        <v>45865</v>
      </c>
      <c r="C1280" s="1">
        <v>45866</v>
      </c>
      <c r="D1280" t="s">
        <v>689</v>
      </c>
      <c r="E1280" t="s">
        <v>690</v>
      </c>
      <c r="F1280" t="s">
        <v>55</v>
      </c>
      <c r="G1280" t="s">
        <v>61</v>
      </c>
      <c r="H1280" t="s">
        <v>62</v>
      </c>
      <c r="I1280" t="s">
        <v>93</v>
      </c>
      <c r="J1280" t="s">
        <v>94</v>
      </c>
      <c r="K1280" t="s">
        <v>95</v>
      </c>
      <c r="L1280">
        <v>10</v>
      </c>
      <c r="M1280">
        <v>1800</v>
      </c>
      <c r="N1280">
        <v>0</v>
      </c>
      <c r="O1280">
        <v>18000</v>
      </c>
      <c r="P1280">
        <v>5437.7</v>
      </c>
      <c r="Q1280" t="s">
        <v>39</v>
      </c>
      <c r="R1280" t="s">
        <v>49</v>
      </c>
      <c r="S1280" t="s">
        <v>50</v>
      </c>
    </row>
    <row r="1281" spans="1:19" x14ac:dyDescent="0.3">
      <c r="A1281" t="s">
        <v>2271</v>
      </c>
      <c r="B1281" t="s">
        <v>2272</v>
      </c>
      <c r="C1281" t="s">
        <v>2273</v>
      </c>
      <c r="D1281" t="s">
        <v>214</v>
      </c>
      <c r="E1281" t="s">
        <v>215</v>
      </c>
      <c r="F1281" t="s">
        <v>55</v>
      </c>
      <c r="G1281" t="s">
        <v>44</v>
      </c>
      <c r="H1281" t="s">
        <v>330</v>
      </c>
      <c r="I1281" t="s">
        <v>93</v>
      </c>
      <c r="J1281" t="s">
        <v>94</v>
      </c>
      <c r="K1281" t="s">
        <v>95</v>
      </c>
      <c r="L1281">
        <v>1</v>
      </c>
      <c r="M1281">
        <v>1800</v>
      </c>
      <c r="N1281">
        <v>10</v>
      </c>
      <c r="O1281">
        <v>1620</v>
      </c>
      <c r="P1281">
        <v>400.31</v>
      </c>
      <c r="Q1281" t="s">
        <v>28</v>
      </c>
      <c r="R1281" t="s">
        <v>49</v>
      </c>
      <c r="S1281" t="s">
        <v>40</v>
      </c>
    </row>
    <row r="1282" spans="1:19" x14ac:dyDescent="0.3">
      <c r="A1282" t="s">
        <v>2274</v>
      </c>
      <c r="B1282" s="1">
        <v>45399</v>
      </c>
      <c r="C1282" s="1">
        <v>45404</v>
      </c>
      <c r="D1282" t="s">
        <v>466</v>
      </c>
      <c r="E1282" t="s">
        <v>467</v>
      </c>
      <c r="F1282" t="s">
        <v>34</v>
      </c>
      <c r="G1282" t="s">
        <v>61</v>
      </c>
      <c r="H1282" t="s">
        <v>78</v>
      </c>
      <c r="I1282" t="s">
        <v>126</v>
      </c>
      <c r="J1282" t="s">
        <v>127</v>
      </c>
      <c r="K1282" t="s">
        <v>95</v>
      </c>
      <c r="L1282">
        <v>4</v>
      </c>
      <c r="M1282">
        <v>600</v>
      </c>
      <c r="N1282">
        <v>0</v>
      </c>
      <c r="O1282">
        <v>2400</v>
      </c>
      <c r="P1282">
        <v>945.68</v>
      </c>
      <c r="Q1282" t="s">
        <v>74</v>
      </c>
      <c r="R1282" t="s">
        <v>56</v>
      </c>
      <c r="S1282" t="s">
        <v>40</v>
      </c>
    </row>
    <row r="1283" spans="1:19" x14ac:dyDescent="0.3">
      <c r="A1283" t="s">
        <v>2275</v>
      </c>
      <c r="B1283" t="s">
        <v>1085</v>
      </c>
      <c r="C1283" s="1">
        <v>45591</v>
      </c>
      <c r="D1283" t="s">
        <v>196</v>
      </c>
      <c r="E1283" t="s">
        <v>197</v>
      </c>
      <c r="F1283" t="s">
        <v>34</v>
      </c>
      <c r="G1283" t="s">
        <v>91</v>
      </c>
      <c r="H1283" t="s">
        <v>120</v>
      </c>
      <c r="I1283" t="s">
        <v>79</v>
      </c>
      <c r="J1283" t="s">
        <v>80</v>
      </c>
      <c r="K1283" t="s">
        <v>375</v>
      </c>
      <c r="L1283">
        <v>2</v>
      </c>
      <c r="M1283">
        <v>3000</v>
      </c>
      <c r="N1283">
        <v>20</v>
      </c>
      <c r="O1283">
        <v>4800</v>
      </c>
      <c r="P1283">
        <v>1306.23</v>
      </c>
      <c r="Q1283" t="s">
        <v>28</v>
      </c>
      <c r="R1283" t="s">
        <v>56</v>
      </c>
      <c r="S1283" t="s">
        <v>86</v>
      </c>
    </row>
    <row r="1284" spans="1:19" x14ac:dyDescent="0.3">
      <c r="A1284" t="s">
        <v>2276</v>
      </c>
      <c r="B1284" s="2">
        <v>45513</v>
      </c>
      <c r="C1284" s="1">
        <v>45634</v>
      </c>
      <c r="D1284" t="s">
        <v>1184</v>
      </c>
      <c r="E1284" t="s">
        <v>1185</v>
      </c>
      <c r="F1284" t="s">
        <v>55</v>
      </c>
      <c r="G1284" t="s">
        <v>91</v>
      </c>
      <c r="I1284" t="s">
        <v>71</v>
      </c>
      <c r="J1284" t="s">
        <v>72</v>
      </c>
      <c r="K1284" t="s">
        <v>73</v>
      </c>
      <c r="L1284">
        <v>1</v>
      </c>
      <c r="M1284">
        <v>3500</v>
      </c>
      <c r="N1284">
        <v>0</v>
      </c>
      <c r="O1284">
        <v>3500</v>
      </c>
      <c r="P1284">
        <v>1036.52</v>
      </c>
      <c r="Q1284" t="s">
        <v>39</v>
      </c>
      <c r="R1284" t="s">
        <v>56</v>
      </c>
      <c r="S1284" t="s">
        <v>30</v>
      </c>
    </row>
    <row r="1285" spans="1:19" x14ac:dyDescent="0.3">
      <c r="A1285" t="s">
        <v>2277</v>
      </c>
      <c r="B1285" s="1">
        <v>45720</v>
      </c>
      <c r="C1285" s="1">
        <v>45841</v>
      </c>
      <c r="D1285" t="s">
        <v>798</v>
      </c>
      <c r="E1285" t="s">
        <v>799</v>
      </c>
      <c r="F1285" t="s">
        <v>23</v>
      </c>
      <c r="G1285" t="s">
        <v>44</v>
      </c>
      <c r="H1285" t="s">
        <v>330</v>
      </c>
      <c r="I1285" t="s">
        <v>134</v>
      </c>
      <c r="J1285" t="s">
        <v>135</v>
      </c>
      <c r="K1285" t="s">
        <v>27</v>
      </c>
      <c r="L1285">
        <v>2</v>
      </c>
      <c r="M1285">
        <v>6000</v>
      </c>
      <c r="N1285">
        <v>10</v>
      </c>
      <c r="O1285">
        <v>10800</v>
      </c>
      <c r="P1285">
        <v>2212.23</v>
      </c>
      <c r="Q1285" t="s">
        <v>28</v>
      </c>
      <c r="R1285" t="s">
        <v>56</v>
      </c>
      <c r="S1285" t="s">
        <v>40</v>
      </c>
    </row>
    <row r="1286" spans="1:19" x14ac:dyDescent="0.3">
      <c r="A1286" t="s">
        <v>2278</v>
      </c>
      <c r="B1286" s="2">
        <v>45408</v>
      </c>
      <c r="C1286" s="1">
        <v>45412</v>
      </c>
      <c r="D1286" t="s">
        <v>395</v>
      </c>
      <c r="E1286" t="s">
        <v>396</v>
      </c>
      <c r="F1286" t="s">
        <v>55</v>
      </c>
      <c r="G1286" t="s">
        <v>44</v>
      </c>
      <c r="H1286" t="s">
        <v>161</v>
      </c>
      <c r="I1286" t="s">
        <v>25</v>
      </c>
      <c r="J1286" t="s">
        <v>26</v>
      </c>
      <c r="K1286" t="s">
        <v>27</v>
      </c>
      <c r="L1286">
        <v>3</v>
      </c>
      <c r="M1286">
        <v>7000</v>
      </c>
      <c r="N1286">
        <v>5</v>
      </c>
      <c r="O1286">
        <v>19950</v>
      </c>
      <c r="P1286">
        <v>3421.04</v>
      </c>
      <c r="Q1286" t="s">
        <v>74</v>
      </c>
      <c r="R1286" t="s">
        <v>56</v>
      </c>
      <c r="S1286" t="s">
        <v>50</v>
      </c>
    </row>
    <row r="1287" spans="1:19" x14ac:dyDescent="0.3">
      <c r="A1287" t="s">
        <v>2279</v>
      </c>
      <c r="B1287" s="1">
        <v>45681</v>
      </c>
      <c r="C1287" s="1">
        <v>45684</v>
      </c>
      <c r="D1287" t="s">
        <v>318</v>
      </c>
      <c r="E1287" t="s">
        <v>319</v>
      </c>
      <c r="F1287" t="s">
        <v>55</v>
      </c>
      <c r="G1287" t="s">
        <v>35</v>
      </c>
      <c r="H1287" t="s">
        <v>36</v>
      </c>
      <c r="I1287" t="s">
        <v>147</v>
      </c>
      <c r="J1287" t="s">
        <v>148</v>
      </c>
      <c r="K1287" t="s">
        <v>48</v>
      </c>
      <c r="L1287">
        <v>1</v>
      </c>
      <c r="M1287">
        <v>250</v>
      </c>
      <c r="N1287">
        <v>0</v>
      </c>
      <c r="O1287">
        <v>250</v>
      </c>
      <c r="P1287">
        <v>88.98</v>
      </c>
      <c r="Q1287" t="s">
        <v>121</v>
      </c>
      <c r="R1287" t="s">
        <v>56</v>
      </c>
      <c r="S1287" t="s">
        <v>86</v>
      </c>
    </row>
    <row r="1288" spans="1:19" x14ac:dyDescent="0.3">
      <c r="A1288" t="s">
        <v>2280</v>
      </c>
      <c r="B1288" s="1">
        <v>45506</v>
      </c>
      <c r="C1288" s="1">
        <v>45567</v>
      </c>
      <c r="D1288" t="s">
        <v>639</v>
      </c>
      <c r="E1288" t="s">
        <v>2281</v>
      </c>
      <c r="F1288" t="s">
        <v>55</v>
      </c>
      <c r="G1288" t="s">
        <v>35</v>
      </c>
      <c r="H1288" t="s">
        <v>36</v>
      </c>
      <c r="I1288" t="s">
        <v>103</v>
      </c>
      <c r="J1288" t="s">
        <v>104</v>
      </c>
      <c r="K1288" t="s">
        <v>65</v>
      </c>
      <c r="L1288">
        <v>4</v>
      </c>
      <c r="M1288">
        <v>8000</v>
      </c>
      <c r="N1288">
        <v>0</v>
      </c>
      <c r="O1288">
        <v>32000</v>
      </c>
      <c r="P1288">
        <v>5867.55</v>
      </c>
      <c r="Q1288" t="s">
        <v>121</v>
      </c>
      <c r="R1288" t="s">
        <v>49</v>
      </c>
      <c r="S1288" t="s">
        <v>40</v>
      </c>
    </row>
    <row r="1289" spans="1:19" x14ac:dyDescent="0.3">
      <c r="A1289" t="s">
        <v>2282</v>
      </c>
      <c r="B1289" s="1">
        <v>45312</v>
      </c>
      <c r="C1289" s="1">
        <v>45320</v>
      </c>
      <c r="D1289" t="s">
        <v>956</v>
      </c>
      <c r="E1289" t="s">
        <v>1086</v>
      </c>
      <c r="F1289" t="s">
        <v>55</v>
      </c>
      <c r="G1289" t="s">
        <v>44</v>
      </c>
      <c r="H1289" t="s">
        <v>24</v>
      </c>
      <c r="I1289" t="s">
        <v>71</v>
      </c>
      <c r="J1289" t="s">
        <v>72</v>
      </c>
      <c r="K1289" t="s">
        <v>73</v>
      </c>
      <c r="M1289">
        <v>3500</v>
      </c>
      <c r="N1289">
        <v>0</v>
      </c>
      <c r="O1289">
        <v>3500</v>
      </c>
      <c r="P1289">
        <v>952.24</v>
      </c>
      <c r="Q1289" t="s">
        <v>66</v>
      </c>
      <c r="R1289" t="s">
        <v>56</v>
      </c>
      <c r="S1289" t="s">
        <v>86</v>
      </c>
    </row>
    <row r="1290" spans="1:19" x14ac:dyDescent="0.3">
      <c r="A1290" t="s">
        <v>2283</v>
      </c>
      <c r="B1290" s="1">
        <v>45390</v>
      </c>
      <c r="C1290" s="1">
        <v>45512</v>
      </c>
      <c r="D1290" t="s">
        <v>179</v>
      </c>
      <c r="E1290" t="s">
        <v>180</v>
      </c>
      <c r="F1290" t="s">
        <v>23</v>
      </c>
      <c r="G1290" t="s">
        <v>91</v>
      </c>
      <c r="H1290" t="s">
        <v>177</v>
      </c>
      <c r="I1290" t="s">
        <v>63</v>
      </c>
      <c r="J1290" t="s">
        <v>64</v>
      </c>
      <c r="K1290" t="s">
        <v>65</v>
      </c>
      <c r="L1290">
        <v>2</v>
      </c>
      <c r="M1290">
        <v>25000</v>
      </c>
      <c r="N1290">
        <v>20</v>
      </c>
      <c r="O1290">
        <v>40000</v>
      </c>
      <c r="Q1290" t="s">
        <v>39</v>
      </c>
      <c r="R1290" t="s">
        <v>29</v>
      </c>
      <c r="S1290" t="s">
        <v>86</v>
      </c>
    </row>
    <row r="1291" spans="1:19" x14ac:dyDescent="0.3">
      <c r="A1291" t="s">
        <v>2284</v>
      </c>
      <c r="B1291" s="1">
        <v>45562</v>
      </c>
      <c r="C1291" s="2">
        <v>45563</v>
      </c>
      <c r="D1291" t="s">
        <v>575</v>
      </c>
      <c r="E1291" t="s">
        <v>836</v>
      </c>
      <c r="F1291" t="s">
        <v>34</v>
      </c>
      <c r="G1291" t="s">
        <v>91</v>
      </c>
      <c r="H1291" t="s">
        <v>120</v>
      </c>
      <c r="I1291" t="s">
        <v>79</v>
      </c>
      <c r="J1291" t="s">
        <v>80</v>
      </c>
      <c r="K1291" t="s">
        <v>65</v>
      </c>
      <c r="L1291">
        <v>3</v>
      </c>
      <c r="M1291">
        <v>3000</v>
      </c>
      <c r="N1291">
        <v>20</v>
      </c>
      <c r="O1291">
        <v>7200</v>
      </c>
      <c r="P1291">
        <v>1860.41</v>
      </c>
      <c r="Q1291" t="s">
        <v>28</v>
      </c>
      <c r="R1291" t="s">
        <v>29</v>
      </c>
      <c r="S1291" t="s">
        <v>40</v>
      </c>
    </row>
    <row r="1292" spans="1:19" x14ac:dyDescent="0.3">
      <c r="A1292" t="s">
        <v>2285</v>
      </c>
      <c r="B1292" s="2">
        <v>45339</v>
      </c>
      <c r="C1292" s="1">
        <v>45340</v>
      </c>
      <c r="D1292" t="s">
        <v>123</v>
      </c>
      <c r="E1292" t="s">
        <v>124</v>
      </c>
      <c r="F1292" t="s">
        <v>34</v>
      </c>
      <c r="G1292" t="s">
        <v>61</v>
      </c>
      <c r="H1292" t="s">
        <v>125</v>
      </c>
      <c r="I1292" t="s">
        <v>25</v>
      </c>
      <c r="J1292" t="s">
        <v>26</v>
      </c>
      <c r="K1292" t="s">
        <v>27</v>
      </c>
      <c r="L1292">
        <v>5</v>
      </c>
      <c r="M1292">
        <v>7000</v>
      </c>
      <c r="N1292">
        <v>15</v>
      </c>
      <c r="O1292">
        <v>29750</v>
      </c>
      <c r="P1292">
        <v>7004.68</v>
      </c>
      <c r="Q1292" t="s">
        <v>121</v>
      </c>
      <c r="R1292" t="s">
        <v>49</v>
      </c>
      <c r="S1292" t="s">
        <v>86</v>
      </c>
    </row>
    <row r="1293" spans="1:19" x14ac:dyDescent="0.3">
      <c r="A1293" t="s">
        <v>2286</v>
      </c>
      <c r="B1293" s="1">
        <v>45870</v>
      </c>
      <c r="C1293" s="1">
        <v>45672</v>
      </c>
      <c r="D1293" t="s">
        <v>1107</v>
      </c>
      <c r="E1293" t="s">
        <v>1108</v>
      </c>
      <c r="F1293" t="s">
        <v>55</v>
      </c>
      <c r="G1293" t="s">
        <v>91</v>
      </c>
      <c r="H1293" t="s">
        <v>109</v>
      </c>
      <c r="I1293" t="s">
        <v>46</v>
      </c>
      <c r="J1293" t="s">
        <v>47</v>
      </c>
      <c r="K1293" t="s">
        <v>48</v>
      </c>
      <c r="L1293">
        <v>1</v>
      </c>
      <c r="M1293">
        <v>180</v>
      </c>
      <c r="N1293">
        <v>0</v>
      </c>
      <c r="O1293">
        <v>180</v>
      </c>
      <c r="P1293">
        <v>88.48</v>
      </c>
      <c r="Q1293" t="s">
        <v>156</v>
      </c>
      <c r="R1293" t="s">
        <v>29</v>
      </c>
      <c r="S1293" t="s">
        <v>50</v>
      </c>
    </row>
    <row r="1294" spans="1:19" x14ac:dyDescent="0.3">
      <c r="A1294" t="s">
        <v>2287</v>
      </c>
      <c r="B1294" s="1">
        <v>45312</v>
      </c>
      <c r="C1294" s="2">
        <v>45320</v>
      </c>
      <c r="D1294" t="s">
        <v>514</v>
      </c>
      <c r="E1294" t="s">
        <v>515</v>
      </c>
      <c r="F1294" t="s">
        <v>23</v>
      </c>
      <c r="G1294" t="s">
        <v>44</v>
      </c>
      <c r="H1294" t="s">
        <v>45</v>
      </c>
      <c r="I1294" t="s">
        <v>103</v>
      </c>
      <c r="J1294" t="s">
        <v>104</v>
      </c>
      <c r="K1294" t="s">
        <v>65</v>
      </c>
      <c r="L1294">
        <v>2</v>
      </c>
      <c r="M1294">
        <v>8000</v>
      </c>
      <c r="N1294">
        <v>0</v>
      </c>
      <c r="O1294">
        <v>16000</v>
      </c>
      <c r="P1294">
        <v>4184.6899999999996</v>
      </c>
      <c r="Q1294" t="s">
        <v>39</v>
      </c>
      <c r="R1294" t="s">
        <v>56</v>
      </c>
      <c r="S1294" t="s">
        <v>86</v>
      </c>
    </row>
    <row r="1295" spans="1:19" x14ac:dyDescent="0.3">
      <c r="A1295" t="s">
        <v>2288</v>
      </c>
      <c r="B1295" s="1">
        <v>45458</v>
      </c>
      <c r="C1295" s="1">
        <v>45464</v>
      </c>
      <c r="D1295" t="s">
        <v>301</v>
      </c>
      <c r="E1295" t="s">
        <v>302</v>
      </c>
      <c r="F1295" t="s">
        <v>34</v>
      </c>
      <c r="G1295" t="s">
        <v>44</v>
      </c>
      <c r="H1295" t="s">
        <v>24</v>
      </c>
      <c r="I1295" t="s">
        <v>93</v>
      </c>
      <c r="J1295" t="s">
        <v>94</v>
      </c>
      <c r="K1295" t="s">
        <v>95</v>
      </c>
      <c r="L1295">
        <v>1</v>
      </c>
      <c r="M1295">
        <v>1800</v>
      </c>
      <c r="N1295">
        <v>5</v>
      </c>
      <c r="O1295">
        <v>1710</v>
      </c>
      <c r="P1295">
        <v>648.08000000000004</v>
      </c>
      <c r="Q1295" t="s">
        <v>39</v>
      </c>
      <c r="R1295" t="s">
        <v>56</v>
      </c>
      <c r="S1295" t="s">
        <v>30</v>
      </c>
    </row>
    <row r="1296" spans="1:19" x14ac:dyDescent="0.3">
      <c r="A1296" t="s">
        <v>2289</v>
      </c>
      <c r="B1296" s="2">
        <v>46010</v>
      </c>
      <c r="C1296" s="1">
        <v>46016</v>
      </c>
      <c r="D1296" t="s">
        <v>2290</v>
      </c>
      <c r="E1296" t="s">
        <v>2291</v>
      </c>
      <c r="F1296" t="s">
        <v>55</v>
      </c>
      <c r="G1296" t="s">
        <v>35</v>
      </c>
      <c r="H1296" t="s">
        <v>85</v>
      </c>
      <c r="I1296" t="s">
        <v>46</v>
      </c>
      <c r="J1296" t="s">
        <v>47</v>
      </c>
      <c r="K1296" t="s">
        <v>48</v>
      </c>
      <c r="L1296">
        <v>1</v>
      </c>
      <c r="M1296">
        <v>180</v>
      </c>
      <c r="N1296">
        <v>0</v>
      </c>
      <c r="O1296">
        <v>180</v>
      </c>
      <c r="P1296">
        <v>85.14</v>
      </c>
      <c r="Q1296" t="s">
        <v>28</v>
      </c>
      <c r="R1296" t="s">
        <v>49</v>
      </c>
      <c r="S1296" t="s">
        <v>40</v>
      </c>
    </row>
    <row r="1297" spans="1:19" x14ac:dyDescent="0.3">
      <c r="A1297" t="s">
        <v>2292</v>
      </c>
      <c r="B1297" s="1">
        <v>45753</v>
      </c>
      <c r="C1297" s="1">
        <v>45873</v>
      </c>
      <c r="D1297" t="s">
        <v>784</v>
      </c>
      <c r="E1297" t="s">
        <v>785</v>
      </c>
      <c r="F1297" t="s">
        <v>23</v>
      </c>
      <c r="G1297" t="s">
        <v>91</v>
      </c>
      <c r="H1297" t="s">
        <v>92</v>
      </c>
      <c r="I1297" t="s">
        <v>46</v>
      </c>
      <c r="J1297" t="s">
        <v>47</v>
      </c>
      <c r="K1297" t="s">
        <v>48</v>
      </c>
      <c r="L1297">
        <v>1</v>
      </c>
      <c r="M1297">
        <v>180</v>
      </c>
      <c r="N1297">
        <v>10</v>
      </c>
      <c r="O1297">
        <v>162</v>
      </c>
      <c r="P1297">
        <v>76.13</v>
      </c>
      <c r="Q1297" t="s">
        <v>121</v>
      </c>
      <c r="R1297" t="s">
        <v>56</v>
      </c>
      <c r="S1297" t="s">
        <v>40</v>
      </c>
    </row>
    <row r="1298" spans="1:19" x14ac:dyDescent="0.3">
      <c r="A1298" t="s">
        <v>2293</v>
      </c>
      <c r="B1298" s="1">
        <v>45789</v>
      </c>
      <c r="C1298" s="2">
        <v>46003</v>
      </c>
      <c r="D1298" t="s">
        <v>98</v>
      </c>
      <c r="E1298" t="s">
        <v>304</v>
      </c>
      <c r="F1298" t="s">
        <v>34</v>
      </c>
      <c r="G1298" t="s">
        <v>91</v>
      </c>
      <c r="H1298" t="s">
        <v>92</v>
      </c>
      <c r="I1298" t="s">
        <v>114</v>
      </c>
      <c r="J1298" t="s">
        <v>115</v>
      </c>
      <c r="K1298" t="s">
        <v>65</v>
      </c>
      <c r="L1298">
        <v>5</v>
      </c>
      <c r="M1298">
        <v>55000</v>
      </c>
      <c r="N1298">
        <v>5</v>
      </c>
      <c r="O1298">
        <v>261250</v>
      </c>
      <c r="P1298">
        <v>38553.17</v>
      </c>
      <c r="Q1298" t="s">
        <v>74</v>
      </c>
      <c r="R1298" t="s">
        <v>56</v>
      </c>
      <c r="S1298" t="s">
        <v>50</v>
      </c>
    </row>
    <row r="1299" spans="1:19" x14ac:dyDescent="0.3">
      <c r="A1299" t="s">
        <v>2294</v>
      </c>
      <c r="B1299" s="1">
        <v>45673</v>
      </c>
      <c r="C1299" t="s">
        <v>2295</v>
      </c>
      <c r="D1299" t="s">
        <v>206</v>
      </c>
      <c r="E1299" t="s">
        <v>207</v>
      </c>
      <c r="F1299" t="s">
        <v>55</v>
      </c>
      <c r="G1299" t="s">
        <v>44</v>
      </c>
      <c r="H1299" t="s">
        <v>24</v>
      </c>
      <c r="I1299" t="s">
        <v>71</v>
      </c>
      <c r="J1299" t="s">
        <v>72</v>
      </c>
      <c r="K1299" t="s">
        <v>73</v>
      </c>
      <c r="L1299">
        <v>2</v>
      </c>
      <c r="M1299">
        <v>3500</v>
      </c>
      <c r="N1299">
        <v>15</v>
      </c>
      <c r="O1299">
        <v>5950</v>
      </c>
      <c r="P1299">
        <v>1957.7</v>
      </c>
      <c r="Q1299" t="s">
        <v>28</v>
      </c>
      <c r="R1299" t="s">
        <v>29</v>
      </c>
      <c r="S1299" t="s">
        <v>110</v>
      </c>
    </row>
    <row r="1300" spans="1:19" x14ac:dyDescent="0.3">
      <c r="A1300" t="s">
        <v>2296</v>
      </c>
      <c r="B1300" s="1">
        <v>45873</v>
      </c>
      <c r="C1300" s="1">
        <v>45880</v>
      </c>
      <c r="D1300" t="s">
        <v>838</v>
      </c>
      <c r="E1300" t="s">
        <v>839</v>
      </c>
      <c r="F1300" t="s">
        <v>23</v>
      </c>
      <c r="G1300" t="s">
        <v>35</v>
      </c>
      <c r="H1300" t="s">
        <v>258</v>
      </c>
      <c r="I1300" t="s">
        <v>25</v>
      </c>
      <c r="J1300" t="s">
        <v>26</v>
      </c>
      <c r="K1300" t="s">
        <v>1829</v>
      </c>
      <c r="L1300">
        <v>3</v>
      </c>
      <c r="M1300">
        <v>7000</v>
      </c>
      <c r="N1300">
        <v>0</v>
      </c>
      <c r="O1300">
        <v>21000</v>
      </c>
      <c r="P1300">
        <v>3558.31</v>
      </c>
      <c r="Q1300" t="s">
        <v>28</v>
      </c>
      <c r="R1300" t="s">
        <v>56</v>
      </c>
      <c r="S1300" t="s">
        <v>110</v>
      </c>
    </row>
    <row r="1301" spans="1:19" x14ac:dyDescent="0.3">
      <c r="A1301" t="s">
        <v>2297</v>
      </c>
      <c r="B1301" s="1">
        <v>45652</v>
      </c>
      <c r="C1301" s="2">
        <v>45660</v>
      </c>
      <c r="D1301" t="s">
        <v>864</v>
      </c>
      <c r="E1301" t="s">
        <v>865</v>
      </c>
      <c r="F1301" t="s">
        <v>34</v>
      </c>
      <c r="G1301" t="s">
        <v>44</v>
      </c>
      <c r="H1301" t="s">
        <v>155</v>
      </c>
      <c r="I1301" t="s">
        <v>63</v>
      </c>
      <c r="J1301" t="s">
        <v>64</v>
      </c>
      <c r="K1301" t="s">
        <v>65</v>
      </c>
      <c r="L1301">
        <v>3</v>
      </c>
      <c r="M1301">
        <v>25000</v>
      </c>
      <c r="N1301">
        <v>10</v>
      </c>
      <c r="O1301">
        <v>67500</v>
      </c>
      <c r="P1301">
        <v>10075.530000000001</v>
      </c>
      <c r="Q1301" t="s">
        <v>156</v>
      </c>
      <c r="R1301" t="s">
        <v>29</v>
      </c>
      <c r="S1301" t="s">
        <v>86</v>
      </c>
    </row>
    <row r="1302" spans="1:19" x14ac:dyDescent="0.3">
      <c r="A1302" t="s">
        <v>2298</v>
      </c>
      <c r="B1302" s="1">
        <v>45576</v>
      </c>
      <c r="C1302" s="2">
        <v>45580</v>
      </c>
      <c r="D1302" t="s">
        <v>1202</v>
      </c>
      <c r="E1302" t="s">
        <v>1203</v>
      </c>
      <c r="F1302" t="s">
        <v>34</v>
      </c>
      <c r="G1302" t="s">
        <v>44</v>
      </c>
      <c r="H1302" t="s">
        <v>24</v>
      </c>
      <c r="I1302" t="s">
        <v>114</v>
      </c>
      <c r="J1302" t="s">
        <v>115</v>
      </c>
      <c r="K1302" t="s">
        <v>65</v>
      </c>
      <c r="L1302">
        <v>2</v>
      </c>
      <c r="M1302">
        <v>55000</v>
      </c>
      <c r="N1302">
        <v>0</v>
      </c>
      <c r="O1302">
        <v>110000</v>
      </c>
      <c r="Q1302" t="s">
        <v>74</v>
      </c>
      <c r="R1302" t="s">
        <v>29</v>
      </c>
      <c r="S1302" t="s">
        <v>40</v>
      </c>
    </row>
    <row r="1303" spans="1:19" x14ac:dyDescent="0.3">
      <c r="A1303" t="s">
        <v>2299</v>
      </c>
      <c r="B1303" s="2">
        <v>45455</v>
      </c>
      <c r="C1303" s="1">
        <v>45456</v>
      </c>
      <c r="D1303" t="s">
        <v>1188</v>
      </c>
      <c r="E1303" t="s">
        <v>1189</v>
      </c>
      <c r="F1303" t="s">
        <v>55</v>
      </c>
      <c r="G1303" t="s">
        <v>61</v>
      </c>
      <c r="H1303" t="s">
        <v>125</v>
      </c>
      <c r="I1303" t="s">
        <v>103</v>
      </c>
      <c r="J1303" t="s">
        <v>104</v>
      </c>
      <c r="K1303" t="s">
        <v>65</v>
      </c>
      <c r="L1303">
        <v>1</v>
      </c>
      <c r="M1303">
        <v>8000</v>
      </c>
      <c r="N1303">
        <v>15</v>
      </c>
      <c r="O1303">
        <v>6800</v>
      </c>
      <c r="P1303">
        <v>1353.98</v>
      </c>
      <c r="Q1303" t="s">
        <v>121</v>
      </c>
      <c r="R1303" t="s">
        <v>56</v>
      </c>
      <c r="S1303" t="s">
        <v>30</v>
      </c>
    </row>
    <row r="1304" spans="1:19" x14ac:dyDescent="0.3">
      <c r="A1304" t="s">
        <v>2300</v>
      </c>
      <c r="B1304" t="s">
        <v>1013</v>
      </c>
      <c r="C1304" s="2">
        <v>45987</v>
      </c>
      <c r="D1304" t="s">
        <v>244</v>
      </c>
      <c r="E1304" t="s">
        <v>245</v>
      </c>
      <c r="F1304" t="s">
        <v>23</v>
      </c>
      <c r="G1304" t="s">
        <v>61</v>
      </c>
      <c r="H1304" t="s">
        <v>62</v>
      </c>
      <c r="I1304" t="s">
        <v>114</v>
      </c>
      <c r="J1304" t="s">
        <v>115</v>
      </c>
      <c r="K1304" t="s">
        <v>65</v>
      </c>
      <c r="L1304">
        <v>1</v>
      </c>
      <c r="M1304">
        <v>55000</v>
      </c>
      <c r="N1304">
        <v>10</v>
      </c>
      <c r="O1304">
        <v>49500</v>
      </c>
      <c r="P1304">
        <v>6863.93</v>
      </c>
      <c r="Q1304" t="s">
        <v>74</v>
      </c>
      <c r="R1304" t="s">
        <v>49</v>
      </c>
      <c r="S1304" t="s">
        <v>110</v>
      </c>
    </row>
    <row r="1305" spans="1:19" x14ac:dyDescent="0.3">
      <c r="A1305" t="s">
        <v>2301</v>
      </c>
      <c r="B1305" s="2">
        <v>45886</v>
      </c>
      <c r="C1305" s="1">
        <v>45893</v>
      </c>
      <c r="D1305" t="s">
        <v>179</v>
      </c>
      <c r="E1305" t="s">
        <v>180</v>
      </c>
      <c r="F1305" t="s">
        <v>23</v>
      </c>
      <c r="G1305" t="s">
        <v>91</v>
      </c>
      <c r="H1305" t="s">
        <v>177</v>
      </c>
      <c r="I1305" t="s">
        <v>147</v>
      </c>
      <c r="J1305" t="s">
        <v>148</v>
      </c>
      <c r="K1305" t="s">
        <v>48</v>
      </c>
      <c r="L1305">
        <v>3</v>
      </c>
      <c r="M1305">
        <v>250</v>
      </c>
      <c r="N1305">
        <v>20</v>
      </c>
      <c r="O1305">
        <v>600</v>
      </c>
      <c r="P1305">
        <v>231.23</v>
      </c>
      <c r="Q1305" t="s">
        <v>121</v>
      </c>
      <c r="R1305" t="s">
        <v>49</v>
      </c>
      <c r="S1305" t="s">
        <v>86</v>
      </c>
    </row>
    <row r="1306" spans="1:19" x14ac:dyDescent="0.3">
      <c r="A1306" t="s">
        <v>2302</v>
      </c>
      <c r="B1306" t="s">
        <v>449</v>
      </c>
      <c r="C1306" s="1">
        <v>45888</v>
      </c>
      <c r="D1306" t="s">
        <v>463</v>
      </c>
      <c r="E1306" t="s">
        <v>464</v>
      </c>
      <c r="F1306" t="s">
        <v>34</v>
      </c>
      <c r="G1306" t="s">
        <v>35</v>
      </c>
      <c r="H1306" t="s">
        <v>85</v>
      </c>
      <c r="I1306" t="s">
        <v>71</v>
      </c>
      <c r="J1306" t="s">
        <v>72</v>
      </c>
      <c r="K1306" t="s">
        <v>73</v>
      </c>
      <c r="L1306">
        <v>2</v>
      </c>
      <c r="M1306">
        <v>3500</v>
      </c>
      <c r="N1306">
        <v>5</v>
      </c>
      <c r="O1306">
        <v>6650</v>
      </c>
      <c r="P1306">
        <v>1877.06</v>
      </c>
      <c r="Q1306" t="s">
        <v>66</v>
      </c>
      <c r="R1306" t="s">
        <v>49</v>
      </c>
      <c r="S1306" t="s">
        <v>40</v>
      </c>
    </row>
    <row r="1307" spans="1:19" x14ac:dyDescent="0.3">
      <c r="A1307" t="s">
        <v>2303</v>
      </c>
      <c r="B1307" s="1">
        <v>45361</v>
      </c>
      <c r="C1307" t="s">
        <v>2304</v>
      </c>
      <c r="D1307" t="s">
        <v>628</v>
      </c>
      <c r="E1307" t="s">
        <v>629</v>
      </c>
      <c r="F1307" t="s">
        <v>55</v>
      </c>
      <c r="G1307" t="s">
        <v>91</v>
      </c>
      <c r="H1307" t="s">
        <v>120</v>
      </c>
      <c r="I1307" t="s">
        <v>63</v>
      </c>
      <c r="J1307" t="s">
        <v>64</v>
      </c>
      <c r="K1307" t="s">
        <v>65</v>
      </c>
      <c r="L1307">
        <v>1</v>
      </c>
      <c r="M1307">
        <v>25000</v>
      </c>
      <c r="N1307">
        <v>0</v>
      </c>
      <c r="O1307">
        <v>25000</v>
      </c>
      <c r="P1307">
        <v>3409.17</v>
      </c>
      <c r="Q1307" t="s">
        <v>66</v>
      </c>
      <c r="R1307" t="s">
        <v>49</v>
      </c>
      <c r="S1307" t="s">
        <v>110</v>
      </c>
    </row>
    <row r="1308" spans="1:19" x14ac:dyDescent="0.3">
      <c r="A1308" t="s">
        <v>2305</v>
      </c>
      <c r="B1308" s="1">
        <v>45575</v>
      </c>
      <c r="C1308" s="2">
        <v>45580</v>
      </c>
      <c r="D1308" t="s">
        <v>1394</v>
      </c>
      <c r="E1308" t="s">
        <v>1395</v>
      </c>
      <c r="F1308" t="s">
        <v>55</v>
      </c>
      <c r="G1308" t="s">
        <v>61</v>
      </c>
      <c r="H1308" t="s">
        <v>211</v>
      </c>
      <c r="I1308" t="s">
        <v>37</v>
      </c>
      <c r="J1308" t="s">
        <v>38</v>
      </c>
      <c r="K1308" t="s">
        <v>27</v>
      </c>
      <c r="L1308">
        <v>4</v>
      </c>
      <c r="M1308">
        <v>9500</v>
      </c>
      <c r="N1308">
        <v>0</v>
      </c>
      <c r="O1308">
        <v>38000</v>
      </c>
      <c r="P1308">
        <v>7314.6</v>
      </c>
      <c r="Q1308" t="s">
        <v>121</v>
      </c>
      <c r="R1308" t="s">
        <v>29</v>
      </c>
      <c r="S1308" t="s">
        <v>40</v>
      </c>
    </row>
    <row r="1309" spans="1:19" x14ac:dyDescent="0.3">
      <c r="A1309" t="s">
        <v>2306</v>
      </c>
      <c r="B1309" s="1">
        <v>45824</v>
      </c>
      <c r="C1309" s="1">
        <v>45826</v>
      </c>
      <c r="D1309" t="s">
        <v>206</v>
      </c>
      <c r="E1309" t="s">
        <v>207</v>
      </c>
      <c r="F1309" t="s">
        <v>55</v>
      </c>
      <c r="G1309" t="s">
        <v>44</v>
      </c>
      <c r="H1309" t="s">
        <v>24</v>
      </c>
      <c r="I1309" t="s">
        <v>114</v>
      </c>
      <c r="J1309" t="s">
        <v>115</v>
      </c>
      <c r="K1309" t="s">
        <v>65</v>
      </c>
      <c r="L1309">
        <v>4</v>
      </c>
      <c r="M1309">
        <v>55000</v>
      </c>
      <c r="N1309">
        <v>0</v>
      </c>
      <c r="O1309">
        <v>220000</v>
      </c>
      <c r="Q1309" t="s">
        <v>66</v>
      </c>
      <c r="R1309" t="s">
        <v>49</v>
      </c>
      <c r="S1309" t="s">
        <v>50</v>
      </c>
    </row>
    <row r="1310" spans="1:19" x14ac:dyDescent="0.3">
      <c r="A1310" t="s">
        <v>2307</v>
      </c>
      <c r="B1310" s="2">
        <v>45475</v>
      </c>
      <c r="C1310" s="1">
        <v>45482</v>
      </c>
      <c r="D1310" t="s">
        <v>1031</v>
      </c>
      <c r="E1310" t="s">
        <v>1032</v>
      </c>
      <c r="F1310" t="s">
        <v>23</v>
      </c>
      <c r="G1310" t="s">
        <v>61</v>
      </c>
      <c r="H1310" t="s">
        <v>211</v>
      </c>
      <c r="I1310" t="s">
        <v>37</v>
      </c>
      <c r="J1310" t="s">
        <v>38</v>
      </c>
      <c r="K1310" t="s">
        <v>27</v>
      </c>
      <c r="L1310">
        <v>1</v>
      </c>
      <c r="M1310">
        <v>9500</v>
      </c>
      <c r="N1310">
        <v>10</v>
      </c>
      <c r="O1310">
        <v>8550</v>
      </c>
      <c r="P1310">
        <v>1471.73</v>
      </c>
      <c r="Q1310" t="s">
        <v>28</v>
      </c>
      <c r="R1310" t="s">
        <v>29</v>
      </c>
      <c r="S1310" t="s">
        <v>40</v>
      </c>
    </row>
    <row r="1311" spans="1:19" x14ac:dyDescent="0.3">
      <c r="A1311" t="s">
        <v>2308</v>
      </c>
      <c r="B1311" s="2">
        <v>45759</v>
      </c>
      <c r="C1311" s="1">
        <v>45767</v>
      </c>
      <c r="D1311" t="s">
        <v>301</v>
      </c>
      <c r="E1311" t="s">
        <v>302</v>
      </c>
      <c r="F1311" t="s">
        <v>34</v>
      </c>
      <c r="G1311" t="s">
        <v>44</v>
      </c>
      <c r="H1311" t="s">
        <v>24</v>
      </c>
      <c r="I1311" t="s">
        <v>25</v>
      </c>
      <c r="J1311" t="s">
        <v>26</v>
      </c>
      <c r="K1311" t="s">
        <v>27</v>
      </c>
      <c r="L1311">
        <v>2</v>
      </c>
      <c r="M1311">
        <v>7000</v>
      </c>
      <c r="N1311">
        <v>0</v>
      </c>
      <c r="O1311">
        <v>14000</v>
      </c>
      <c r="P1311">
        <v>3002.44</v>
      </c>
      <c r="Q1311" t="s">
        <v>121</v>
      </c>
      <c r="R1311" t="s">
        <v>56</v>
      </c>
      <c r="S1311" t="s">
        <v>30</v>
      </c>
    </row>
    <row r="1312" spans="1:19" x14ac:dyDescent="0.3">
      <c r="A1312" t="s">
        <v>2309</v>
      </c>
      <c r="B1312" s="2">
        <v>45974</v>
      </c>
      <c r="C1312" s="2">
        <v>45982</v>
      </c>
      <c r="D1312" t="s">
        <v>904</v>
      </c>
      <c r="E1312" t="s">
        <v>905</v>
      </c>
      <c r="F1312" t="s">
        <v>23</v>
      </c>
      <c r="G1312" t="s">
        <v>91</v>
      </c>
      <c r="H1312" t="s">
        <v>92</v>
      </c>
      <c r="I1312" t="s">
        <v>134</v>
      </c>
      <c r="J1312" t="s">
        <v>135</v>
      </c>
      <c r="K1312" t="s">
        <v>27</v>
      </c>
      <c r="L1312">
        <v>10</v>
      </c>
      <c r="M1312">
        <v>6000</v>
      </c>
      <c r="N1312">
        <v>0</v>
      </c>
      <c r="O1312">
        <v>60000</v>
      </c>
      <c r="P1312">
        <v>10154.450000000001</v>
      </c>
      <c r="Q1312" t="s">
        <v>121</v>
      </c>
      <c r="R1312" t="s">
        <v>56</v>
      </c>
      <c r="S1312" t="s">
        <v>30</v>
      </c>
    </row>
    <row r="1313" spans="1:19" x14ac:dyDescent="0.3">
      <c r="A1313" t="s">
        <v>2310</v>
      </c>
      <c r="B1313" s="1">
        <v>45350</v>
      </c>
      <c r="C1313" s="1">
        <v>45357</v>
      </c>
      <c r="D1313" t="s">
        <v>798</v>
      </c>
      <c r="E1313" t="s">
        <v>799</v>
      </c>
      <c r="F1313" t="s">
        <v>23</v>
      </c>
      <c r="G1313" t="s">
        <v>44</v>
      </c>
      <c r="H1313" t="s">
        <v>330</v>
      </c>
      <c r="I1313" t="s">
        <v>103</v>
      </c>
      <c r="J1313" t="s">
        <v>104</v>
      </c>
      <c r="K1313" t="s">
        <v>375</v>
      </c>
      <c r="L1313">
        <v>2</v>
      </c>
      <c r="M1313">
        <v>8000</v>
      </c>
      <c r="N1313">
        <v>0</v>
      </c>
      <c r="O1313">
        <v>16000</v>
      </c>
      <c r="P1313">
        <v>4258.6499999999996</v>
      </c>
      <c r="Q1313" t="s">
        <v>28</v>
      </c>
      <c r="R1313" t="s">
        <v>29</v>
      </c>
      <c r="S1313" t="s">
        <v>50</v>
      </c>
    </row>
    <row r="1314" spans="1:19" x14ac:dyDescent="0.3">
      <c r="A1314" t="s">
        <v>2311</v>
      </c>
      <c r="B1314" s="1">
        <v>45820</v>
      </c>
      <c r="C1314" t="s">
        <v>1082</v>
      </c>
      <c r="D1314" t="s">
        <v>602</v>
      </c>
      <c r="E1314" t="s">
        <v>603</v>
      </c>
      <c r="F1314" t="s">
        <v>34</v>
      </c>
      <c r="G1314" t="s">
        <v>61</v>
      </c>
      <c r="H1314" t="s">
        <v>125</v>
      </c>
      <c r="I1314" t="s">
        <v>37</v>
      </c>
      <c r="J1314" t="s">
        <v>38</v>
      </c>
      <c r="K1314" t="s">
        <v>27</v>
      </c>
      <c r="L1314">
        <v>2</v>
      </c>
      <c r="M1314">
        <v>9500</v>
      </c>
      <c r="N1314">
        <v>5</v>
      </c>
      <c r="O1314">
        <v>18050</v>
      </c>
      <c r="P1314">
        <v>3962.61</v>
      </c>
      <c r="Q1314" t="s">
        <v>156</v>
      </c>
      <c r="R1314" t="s">
        <v>56</v>
      </c>
      <c r="S1314" t="s">
        <v>110</v>
      </c>
    </row>
    <row r="1315" spans="1:19" x14ac:dyDescent="0.3">
      <c r="A1315" t="s">
        <v>2312</v>
      </c>
      <c r="B1315" s="1">
        <v>45975</v>
      </c>
      <c r="C1315" s="1">
        <v>45978</v>
      </c>
      <c r="D1315" t="s">
        <v>578</v>
      </c>
      <c r="E1315" t="s">
        <v>579</v>
      </c>
      <c r="F1315" t="s">
        <v>23</v>
      </c>
      <c r="G1315" t="s">
        <v>91</v>
      </c>
      <c r="H1315" t="s">
        <v>177</v>
      </c>
      <c r="I1315" t="s">
        <v>63</v>
      </c>
      <c r="J1315" t="s">
        <v>64</v>
      </c>
      <c r="K1315" t="s">
        <v>65</v>
      </c>
      <c r="L1315">
        <v>1</v>
      </c>
      <c r="M1315">
        <v>25000</v>
      </c>
      <c r="N1315">
        <v>10</v>
      </c>
      <c r="O1315">
        <v>22500</v>
      </c>
      <c r="P1315">
        <v>2428.9</v>
      </c>
      <c r="Q1315" t="s">
        <v>39</v>
      </c>
      <c r="R1315" t="s">
        <v>49</v>
      </c>
      <c r="S1315" t="s">
        <v>86</v>
      </c>
    </row>
    <row r="1316" spans="1:19" x14ac:dyDescent="0.3">
      <c r="A1316" t="s">
        <v>2313</v>
      </c>
      <c r="B1316" s="1">
        <v>45428</v>
      </c>
      <c r="C1316" s="1">
        <v>45434</v>
      </c>
      <c r="D1316" t="s">
        <v>217</v>
      </c>
      <c r="E1316" t="s">
        <v>2314</v>
      </c>
      <c r="F1316" t="s">
        <v>23</v>
      </c>
      <c r="G1316" t="s">
        <v>91</v>
      </c>
      <c r="H1316" t="s">
        <v>109</v>
      </c>
      <c r="I1316" t="s">
        <v>147</v>
      </c>
      <c r="J1316" t="s">
        <v>148</v>
      </c>
      <c r="K1316" t="s">
        <v>48</v>
      </c>
      <c r="M1316">
        <v>250</v>
      </c>
      <c r="N1316">
        <v>0</v>
      </c>
      <c r="O1316">
        <v>1250</v>
      </c>
      <c r="Q1316" t="s">
        <v>121</v>
      </c>
      <c r="R1316" t="s">
        <v>49</v>
      </c>
      <c r="S1316" t="s">
        <v>30</v>
      </c>
    </row>
    <row r="1317" spans="1:19" x14ac:dyDescent="0.3">
      <c r="A1317" t="s">
        <v>2315</v>
      </c>
      <c r="B1317" s="1">
        <v>45483</v>
      </c>
      <c r="C1317" s="1">
        <v>45579</v>
      </c>
      <c r="D1317" t="s">
        <v>735</v>
      </c>
      <c r="E1317" t="s">
        <v>736</v>
      </c>
      <c r="F1317" t="s">
        <v>23</v>
      </c>
      <c r="G1317" t="s">
        <v>44</v>
      </c>
      <c r="H1317" t="s">
        <v>24</v>
      </c>
      <c r="I1317" t="s">
        <v>25</v>
      </c>
      <c r="J1317" t="s">
        <v>26</v>
      </c>
      <c r="K1317" t="s">
        <v>27</v>
      </c>
      <c r="L1317">
        <v>1</v>
      </c>
      <c r="M1317">
        <v>7000</v>
      </c>
      <c r="N1317">
        <v>15</v>
      </c>
      <c r="O1317">
        <v>5950</v>
      </c>
      <c r="P1317">
        <v>1218</v>
      </c>
      <c r="Q1317" t="s">
        <v>74</v>
      </c>
      <c r="R1317" t="s">
        <v>49</v>
      </c>
      <c r="S1317" t="s">
        <v>86</v>
      </c>
    </row>
    <row r="1318" spans="1:19" x14ac:dyDescent="0.3">
      <c r="A1318" t="s">
        <v>2316</v>
      </c>
      <c r="B1318" s="1">
        <v>45711</v>
      </c>
      <c r="C1318" s="1">
        <v>45715</v>
      </c>
      <c r="D1318" t="s">
        <v>517</v>
      </c>
      <c r="E1318" t="s">
        <v>518</v>
      </c>
      <c r="F1318" t="s">
        <v>34</v>
      </c>
      <c r="G1318" t="s">
        <v>61</v>
      </c>
      <c r="H1318" t="s">
        <v>125</v>
      </c>
      <c r="I1318" t="s">
        <v>71</v>
      </c>
      <c r="J1318" t="s">
        <v>72</v>
      </c>
      <c r="K1318" t="s">
        <v>73</v>
      </c>
      <c r="L1318">
        <v>1</v>
      </c>
      <c r="M1318">
        <v>3500</v>
      </c>
      <c r="N1318">
        <v>0</v>
      </c>
      <c r="O1318">
        <v>3500</v>
      </c>
      <c r="P1318">
        <v>1029.57</v>
      </c>
      <c r="Q1318" t="s">
        <v>156</v>
      </c>
      <c r="R1318" t="s">
        <v>49</v>
      </c>
      <c r="S1318" t="s">
        <v>110</v>
      </c>
    </row>
    <row r="1319" spans="1:19" x14ac:dyDescent="0.3">
      <c r="A1319" t="s">
        <v>2317</v>
      </c>
      <c r="B1319" s="2">
        <v>45574</v>
      </c>
      <c r="C1319" s="2">
        <v>45582</v>
      </c>
      <c r="D1319" t="s">
        <v>138</v>
      </c>
      <c r="E1319" t="s">
        <v>139</v>
      </c>
      <c r="F1319" t="s">
        <v>55</v>
      </c>
      <c r="G1319" t="s">
        <v>35</v>
      </c>
      <c r="H1319" t="s">
        <v>36</v>
      </c>
      <c r="I1319" t="s">
        <v>71</v>
      </c>
      <c r="J1319" t="s">
        <v>72</v>
      </c>
      <c r="K1319" t="s">
        <v>73</v>
      </c>
      <c r="L1319">
        <v>5</v>
      </c>
      <c r="M1319">
        <v>3500</v>
      </c>
      <c r="N1319">
        <v>15</v>
      </c>
      <c r="O1319">
        <v>14875</v>
      </c>
      <c r="P1319">
        <v>3384.51</v>
      </c>
      <c r="Q1319" t="s">
        <v>28</v>
      </c>
      <c r="R1319" t="s">
        <v>56</v>
      </c>
      <c r="S1319" t="s">
        <v>50</v>
      </c>
    </row>
    <row r="1320" spans="1:19" x14ac:dyDescent="0.3">
      <c r="A1320" t="s">
        <v>2318</v>
      </c>
      <c r="B1320" s="1">
        <v>45646</v>
      </c>
      <c r="C1320" s="2">
        <v>45653</v>
      </c>
      <c r="D1320" t="s">
        <v>314</v>
      </c>
      <c r="E1320" t="s">
        <v>315</v>
      </c>
      <c r="F1320" t="s">
        <v>55</v>
      </c>
      <c r="G1320" t="s">
        <v>44</v>
      </c>
      <c r="H1320" t="s">
        <v>161</v>
      </c>
      <c r="I1320" t="s">
        <v>71</v>
      </c>
      <c r="J1320" t="s">
        <v>72</v>
      </c>
      <c r="K1320" t="s">
        <v>73</v>
      </c>
      <c r="L1320">
        <v>2</v>
      </c>
      <c r="M1320">
        <v>3500</v>
      </c>
      <c r="N1320">
        <v>20</v>
      </c>
      <c r="O1320">
        <v>5600</v>
      </c>
      <c r="P1320">
        <v>1308.8900000000001</v>
      </c>
      <c r="Q1320" t="s">
        <v>74</v>
      </c>
      <c r="R1320" t="s">
        <v>29</v>
      </c>
      <c r="S1320" t="s">
        <v>110</v>
      </c>
    </row>
    <row r="1321" spans="1:19" x14ac:dyDescent="0.3">
      <c r="A1321" t="s">
        <v>2319</v>
      </c>
      <c r="B1321" s="1">
        <v>45351</v>
      </c>
      <c r="C1321" s="2">
        <v>45353</v>
      </c>
      <c r="D1321" t="s">
        <v>1414</v>
      </c>
      <c r="E1321" t="s">
        <v>1415</v>
      </c>
      <c r="F1321" t="s">
        <v>55</v>
      </c>
      <c r="G1321" t="s">
        <v>44</v>
      </c>
      <c r="H1321" t="s">
        <v>24</v>
      </c>
      <c r="I1321" t="s">
        <v>71</v>
      </c>
      <c r="J1321" t="s">
        <v>72</v>
      </c>
      <c r="K1321" t="s">
        <v>73</v>
      </c>
      <c r="L1321">
        <v>4</v>
      </c>
      <c r="M1321">
        <v>3500</v>
      </c>
      <c r="N1321">
        <v>0</v>
      </c>
      <c r="O1321">
        <v>14000</v>
      </c>
      <c r="P1321">
        <v>4084.01</v>
      </c>
      <c r="Q1321" t="s">
        <v>74</v>
      </c>
      <c r="R1321" t="s">
        <v>29</v>
      </c>
      <c r="S1321" t="s">
        <v>50</v>
      </c>
    </row>
    <row r="1322" spans="1:19" x14ac:dyDescent="0.3">
      <c r="A1322" t="s">
        <v>2320</v>
      </c>
      <c r="B1322" s="1">
        <v>45964</v>
      </c>
      <c r="C1322" s="1">
        <v>45734</v>
      </c>
      <c r="D1322" t="s">
        <v>1090</v>
      </c>
      <c r="E1322" t="s">
        <v>1091</v>
      </c>
      <c r="F1322" t="s">
        <v>23</v>
      </c>
      <c r="G1322" t="s">
        <v>61</v>
      </c>
      <c r="H1322" t="s">
        <v>78</v>
      </c>
      <c r="I1322" t="s">
        <v>71</v>
      </c>
      <c r="J1322" t="s">
        <v>72</v>
      </c>
      <c r="K1322" t="s">
        <v>73</v>
      </c>
      <c r="L1322">
        <v>4</v>
      </c>
      <c r="M1322">
        <v>3500</v>
      </c>
      <c r="N1322">
        <v>0</v>
      </c>
      <c r="O1322">
        <v>14000</v>
      </c>
      <c r="P1322">
        <v>3301.31</v>
      </c>
      <c r="Q1322" t="s">
        <v>121</v>
      </c>
      <c r="R1322" t="s">
        <v>49</v>
      </c>
      <c r="S1322" t="s">
        <v>50</v>
      </c>
    </row>
    <row r="1323" spans="1:19" x14ac:dyDescent="0.3">
      <c r="A1323" t="s">
        <v>2321</v>
      </c>
      <c r="B1323" s="1">
        <v>46016</v>
      </c>
      <c r="C1323" s="1">
        <v>46054</v>
      </c>
      <c r="D1323" t="s">
        <v>531</v>
      </c>
      <c r="E1323" t="s">
        <v>532</v>
      </c>
      <c r="F1323" t="s">
        <v>23</v>
      </c>
      <c r="G1323" t="s">
        <v>44</v>
      </c>
      <c r="H1323" t="s">
        <v>161</v>
      </c>
      <c r="I1323" t="s">
        <v>37</v>
      </c>
      <c r="J1323" t="s">
        <v>38</v>
      </c>
      <c r="K1323" t="s">
        <v>27</v>
      </c>
      <c r="L1323">
        <v>-1</v>
      </c>
      <c r="M1323">
        <v>9500</v>
      </c>
      <c r="N1323">
        <v>20</v>
      </c>
      <c r="O1323">
        <v>7600</v>
      </c>
      <c r="P1323">
        <v>1437.63</v>
      </c>
      <c r="Q1323" t="s">
        <v>28</v>
      </c>
      <c r="R1323" t="s">
        <v>29</v>
      </c>
      <c r="S1323" t="s">
        <v>30</v>
      </c>
    </row>
    <row r="1324" spans="1:19" x14ac:dyDescent="0.3">
      <c r="A1324" t="s">
        <v>2322</v>
      </c>
      <c r="B1324" s="1">
        <v>45946</v>
      </c>
      <c r="C1324" s="1">
        <v>45952</v>
      </c>
      <c r="D1324" t="s">
        <v>2323</v>
      </c>
      <c r="E1324" t="s">
        <v>2324</v>
      </c>
      <c r="F1324" t="s">
        <v>23</v>
      </c>
      <c r="G1324" t="s">
        <v>91</v>
      </c>
      <c r="H1324" t="s">
        <v>177</v>
      </c>
      <c r="I1324" t="s">
        <v>37</v>
      </c>
      <c r="J1324" t="s">
        <v>38</v>
      </c>
      <c r="K1324" t="s">
        <v>27</v>
      </c>
      <c r="L1324">
        <v>1</v>
      </c>
      <c r="M1324">
        <v>9500</v>
      </c>
      <c r="N1324">
        <v>5</v>
      </c>
      <c r="O1324">
        <v>9025</v>
      </c>
      <c r="P1324">
        <v>1532.16</v>
      </c>
      <c r="Q1324" t="s">
        <v>74</v>
      </c>
      <c r="R1324" t="s">
        <v>29</v>
      </c>
      <c r="S1324" t="s">
        <v>30</v>
      </c>
    </row>
    <row r="1325" spans="1:19" x14ac:dyDescent="0.3">
      <c r="A1325" t="s">
        <v>2325</v>
      </c>
      <c r="B1325" s="1">
        <v>45444</v>
      </c>
      <c r="C1325" t="s">
        <v>260</v>
      </c>
      <c r="D1325" t="s">
        <v>498</v>
      </c>
      <c r="E1325" t="s">
        <v>499</v>
      </c>
      <c r="F1325" t="s">
        <v>55</v>
      </c>
      <c r="G1325" t="s">
        <v>91</v>
      </c>
      <c r="H1325" t="s">
        <v>120</v>
      </c>
      <c r="I1325" t="s">
        <v>46</v>
      </c>
      <c r="J1325" t="s">
        <v>47</v>
      </c>
      <c r="K1325" t="s">
        <v>48</v>
      </c>
      <c r="L1325">
        <v>2</v>
      </c>
      <c r="M1325">
        <v>180</v>
      </c>
      <c r="N1325">
        <v>5</v>
      </c>
      <c r="O1325">
        <v>342</v>
      </c>
      <c r="P1325">
        <v>122.37</v>
      </c>
      <c r="Q1325" t="s">
        <v>28</v>
      </c>
      <c r="R1325" t="s">
        <v>49</v>
      </c>
      <c r="S1325" t="s">
        <v>30</v>
      </c>
    </row>
    <row r="1326" spans="1:19" x14ac:dyDescent="0.3">
      <c r="A1326" t="s">
        <v>2326</v>
      </c>
      <c r="B1326" s="1">
        <v>45333</v>
      </c>
      <c r="C1326" s="1">
        <v>45335</v>
      </c>
      <c r="D1326" t="s">
        <v>1732</v>
      </c>
      <c r="E1326" t="s">
        <v>1733</v>
      </c>
      <c r="F1326" t="s">
        <v>34</v>
      </c>
      <c r="G1326" t="s">
        <v>35</v>
      </c>
      <c r="H1326" t="s">
        <v>85</v>
      </c>
      <c r="I1326" t="s">
        <v>93</v>
      </c>
      <c r="J1326" t="s">
        <v>94</v>
      </c>
      <c r="K1326" t="s">
        <v>95</v>
      </c>
      <c r="L1326">
        <v>1</v>
      </c>
      <c r="M1326">
        <v>1800</v>
      </c>
      <c r="N1326">
        <v>0</v>
      </c>
      <c r="O1326">
        <v>1800</v>
      </c>
      <c r="P1326">
        <v>604.34</v>
      </c>
      <c r="Q1326" t="s">
        <v>39</v>
      </c>
      <c r="R1326" t="s">
        <v>56</v>
      </c>
      <c r="S1326" t="s">
        <v>50</v>
      </c>
    </row>
    <row r="1327" spans="1:19" x14ac:dyDescent="0.3">
      <c r="A1327" t="s">
        <v>2327</v>
      </c>
      <c r="B1327" t="s">
        <v>1354</v>
      </c>
      <c r="C1327" t="s">
        <v>2328</v>
      </c>
      <c r="D1327" t="s">
        <v>378</v>
      </c>
      <c r="E1327" t="s">
        <v>379</v>
      </c>
      <c r="F1327" t="s">
        <v>34</v>
      </c>
      <c r="G1327" t="s">
        <v>44</v>
      </c>
      <c r="H1327" t="s">
        <v>24</v>
      </c>
      <c r="I1327" t="s">
        <v>63</v>
      </c>
      <c r="J1327" t="s">
        <v>64</v>
      </c>
      <c r="K1327" t="s">
        <v>65</v>
      </c>
      <c r="L1327">
        <v>1</v>
      </c>
      <c r="M1327">
        <v>25000</v>
      </c>
      <c r="N1327">
        <v>5</v>
      </c>
      <c r="O1327">
        <v>23750</v>
      </c>
      <c r="P1327">
        <v>3631.04</v>
      </c>
      <c r="Q1327" t="s">
        <v>39</v>
      </c>
      <c r="R1327" t="s">
        <v>49</v>
      </c>
      <c r="S1327" t="s">
        <v>86</v>
      </c>
    </row>
    <row r="1328" spans="1:19" x14ac:dyDescent="0.3">
      <c r="A1328" t="s">
        <v>2329</v>
      </c>
      <c r="B1328" s="1">
        <v>45562</v>
      </c>
      <c r="C1328" s="1">
        <v>45566</v>
      </c>
      <c r="D1328" t="s">
        <v>588</v>
      </c>
      <c r="E1328" t="s">
        <v>589</v>
      </c>
      <c r="F1328" t="s">
        <v>23</v>
      </c>
      <c r="G1328" t="s">
        <v>61</v>
      </c>
      <c r="I1328" t="s">
        <v>63</v>
      </c>
      <c r="J1328" t="s">
        <v>64</v>
      </c>
      <c r="K1328" t="s">
        <v>65</v>
      </c>
      <c r="L1328">
        <v>3</v>
      </c>
      <c r="M1328">
        <v>25000</v>
      </c>
      <c r="N1328">
        <v>15</v>
      </c>
      <c r="O1328">
        <v>63750</v>
      </c>
      <c r="P1328">
        <v>7010.44</v>
      </c>
      <c r="Q1328" t="s">
        <v>156</v>
      </c>
      <c r="R1328" t="s">
        <v>49</v>
      </c>
      <c r="S1328" t="s">
        <v>50</v>
      </c>
    </row>
    <row r="1329" spans="1:19" x14ac:dyDescent="0.3">
      <c r="A1329" t="s">
        <v>2330</v>
      </c>
      <c r="B1329" s="1">
        <v>45525</v>
      </c>
      <c r="C1329" s="1">
        <v>45532</v>
      </c>
      <c r="D1329" t="s">
        <v>192</v>
      </c>
      <c r="E1329" t="s">
        <v>193</v>
      </c>
      <c r="F1329" t="s">
        <v>55</v>
      </c>
      <c r="G1329" t="s">
        <v>35</v>
      </c>
      <c r="I1329" t="s">
        <v>147</v>
      </c>
      <c r="J1329" t="s">
        <v>148</v>
      </c>
      <c r="K1329" t="s">
        <v>48</v>
      </c>
      <c r="L1329">
        <v>1</v>
      </c>
      <c r="M1329">
        <v>250</v>
      </c>
      <c r="N1329">
        <v>5</v>
      </c>
      <c r="O1329">
        <v>237.5</v>
      </c>
      <c r="P1329">
        <v>82.91</v>
      </c>
      <c r="Q1329" t="s">
        <v>66</v>
      </c>
      <c r="R1329" t="s">
        <v>56</v>
      </c>
      <c r="S1329" t="s">
        <v>110</v>
      </c>
    </row>
    <row r="1330" spans="1:19" x14ac:dyDescent="0.3">
      <c r="A1330" t="s">
        <v>2331</v>
      </c>
      <c r="B1330" s="1">
        <v>45676</v>
      </c>
      <c r="C1330" s="1">
        <v>45683</v>
      </c>
      <c r="D1330" t="s">
        <v>425</v>
      </c>
      <c r="E1330" t="s">
        <v>426</v>
      </c>
      <c r="F1330" t="s">
        <v>34</v>
      </c>
      <c r="G1330" t="s">
        <v>61</v>
      </c>
      <c r="H1330" t="s">
        <v>125</v>
      </c>
      <c r="I1330" t="s">
        <v>114</v>
      </c>
      <c r="J1330" t="s">
        <v>115</v>
      </c>
      <c r="K1330" t="s">
        <v>65</v>
      </c>
      <c r="L1330">
        <v>3</v>
      </c>
      <c r="M1330">
        <v>55000</v>
      </c>
      <c r="N1330">
        <v>15</v>
      </c>
      <c r="O1330">
        <v>140250</v>
      </c>
      <c r="P1330">
        <v>25793.19</v>
      </c>
      <c r="Q1330" t="s">
        <v>74</v>
      </c>
      <c r="R1330" t="s">
        <v>29</v>
      </c>
      <c r="S1330" t="s">
        <v>50</v>
      </c>
    </row>
    <row r="1331" spans="1:19" x14ac:dyDescent="0.3">
      <c r="A1331" t="s">
        <v>2332</v>
      </c>
      <c r="B1331" s="1">
        <v>45770</v>
      </c>
      <c r="C1331" s="1">
        <v>45775</v>
      </c>
      <c r="D1331" t="s">
        <v>256</v>
      </c>
      <c r="E1331" t="s">
        <v>257</v>
      </c>
      <c r="F1331" t="s">
        <v>55</v>
      </c>
      <c r="G1331" t="s">
        <v>35</v>
      </c>
      <c r="H1331" t="s">
        <v>258</v>
      </c>
      <c r="I1331" t="s">
        <v>37</v>
      </c>
      <c r="J1331" t="s">
        <v>38</v>
      </c>
      <c r="K1331" t="s">
        <v>27</v>
      </c>
      <c r="L1331">
        <v>4</v>
      </c>
      <c r="M1331">
        <v>9500</v>
      </c>
      <c r="N1331">
        <v>0</v>
      </c>
      <c r="O1331">
        <v>1520000</v>
      </c>
      <c r="P1331">
        <v>6902.56</v>
      </c>
      <c r="Q1331" t="s">
        <v>66</v>
      </c>
      <c r="R1331" t="s">
        <v>56</v>
      </c>
      <c r="S1331" t="s">
        <v>110</v>
      </c>
    </row>
    <row r="1332" spans="1:19" x14ac:dyDescent="0.3">
      <c r="A1332" t="s">
        <v>2333</v>
      </c>
      <c r="B1332" s="2">
        <v>45344</v>
      </c>
      <c r="C1332" t="s">
        <v>2334</v>
      </c>
      <c r="D1332" t="s">
        <v>602</v>
      </c>
      <c r="E1332" t="s">
        <v>603</v>
      </c>
      <c r="F1332" t="s">
        <v>34</v>
      </c>
      <c r="G1332" t="s">
        <v>61</v>
      </c>
      <c r="H1332" t="s">
        <v>125</v>
      </c>
      <c r="I1332" t="s">
        <v>134</v>
      </c>
      <c r="J1332" t="s">
        <v>135</v>
      </c>
      <c r="K1332" t="s">
        <v>27</v>
      </c>
      <c r="L1332">
        <v>1</v>
      </c>
      <c r="M1332">
        <v>6000</v>
      </c>
      <c r="N1332">
        <v>0</v>
      </c>
      <c r="O1332">
        <v>6000</v>
      </c>
      <c r="P1332">
        <v>1524.69</v>
      </c>
      <c r="Q1332" t="s">
        <v>74</v>
      </c>
      <c r="R1332" t="s">
        <v>49</v>
      </c>
      <c r="S1332" t="s">
        <v>86</v>
      </c>
    </row>
    <row r="1333" spans="1:19" x14ac:dyDescent="0.3">
      <c r="A1333" t="s">
        <v>2335</v>
      </c>
      <c r="B1333" s="1">
        <v>45841</v>
      </c>
      <c r="C1333" s="1">
        <v>45784</v>
      </c>
      <c r="D1333" t="s">
        <v>494</v>
      </c>
      <c r="E1333" t="s">
        <v>495</v>
      </c>
      <c r="F1333" t="s">
        <v>34</v>
      </c>
      <c r="G1333" t="s">
        <v>35</v>
      </c>
      <c r="H1333" t="s">
        <v>258</v>
      </c>
      <c r="I1333" t="s">
        <v>126</v>
      </c>
      <c r="J1333" t="s">
        <v>127</v>
      </c>
      <c r="K1333" t="s">
        <v>95</v>
      </c>
      <c r="L1333">
        <v>1</v>
      </c>
      <c r="M1333">
        <v>600</v>
      </c>
      <c r="N1333">
        <v>10</v>
      </c>
      <c r="O1333">
        <v>540</v>
      </c>
      <c r="P1333">
        <v>162.76</v>
      </c>
      <c r="Q1333" t="s">
        <v>66</v>
      </c>
      <c r="R1333" t="s">
        <v>56</v>
      </c>
      <c r="S1333" t="s">
        <v>50</v>
      </c>
    </row>
    <row r="1334" spans="1:19" x14ac:dyDescent="0.3">
      <c r="A1334" t="s">
        <v>2336</v>
      </c>
      <c r="B1334" s="2">
        <v>45335</v>
      </c>
      <c r="C1334" s="2">
        <v>45341</v>
      </c>
      <c r="D1334" t="s">
        <v>142</v>
      </c>
      <c r="E1334" t="s">
        <v>143</v>
      </c>
      <c r="F1334" t="s">
        <v>34</v>
      </c>
      <c r="G1334" t="s">
        <v>44</v>
      </c>
      <c r="H1334" t="s">
        <v>24</v>
      </c>
      <c r="I1334" t="s">
        <v>134</v>
      </c>
      <c r="J1334" t="s">
        <v>135</v>
      </c>
      <c r="K1334" t="s">
        <v>27</v>
      </c>
      <c r="L1334">
        <v>2</v>
      </c>
      <c r="M1334">
        <v>6000</v>
      </c>
      <c r="N1334">
        <v>5</v>
      </c>
      <c r="O1334">
        <v>11400</v>
      </c>
      <c r="P1334">
        <v>2923.32</v>
      </c>
      <c r="Q1334" t="s">
        <v>39</v>
      </c>
      <c r="R1334" t="s">
        <v>49</v>
      </c>
      <c r="S1334" t="s">
        <v>40</v>
      </c>
    </row>
    <row r="1335" spans="1:19" x14ac:dyDescent="0.3">
      <c r="A1335" t="s">
        <v>2337</v>
      </c>
      <c r="B1335" s="1">
        <v>45827</v>
      </c>
      <c r="C1335" t="s">
        <v>704</v>
      </c>
      <c r="D1335" t="s">
        <v>657</v>
      </c>
      <c r="E1335" t="s">
        <v>658</v>
      </c>
      <c r="F1335" t="s">
        <v>34</v>
      </c>
      <c r="G1335" t="s">
        <v>91</v>
      </c>
      <c r="H1335" t="s">
        <v>120</v>
      </c>
      <c r="I1335" t="s">
        <v>25</v>
      </c>
      <c r="J1335" t="s">
        <v>26</v>
      </c>
      <c r="K1335" t="s">
        <v>27</v>
      </c>
      <c r="L1335">
        <v>3</v>
      </c>
      <c r="M1335">
        <v>7000</v>
      </c>
      <c r="N1335">
        <v>20</v>
      </c>
      <c r="O1335">
        <v>16800</v>
      </c>
      <c r="P1335">
        <v>3494.94</v>
      </c>
      <c r="Q1335" t="s">
        <v>39</v>
      </c>
      <c r="R1335" t="s">
        <v>56</v>
      </c>
      <c r="S1335" t="s">
        <v>110</v>
      </c>
    </row>
    <row r="1336" spans="1:19" x14ac:dyDescent="0.3">
      <c r="A1336" t="s">
        <v>2338</v>
      </c>
      <c r="B1336" s="1">
        <v>45302</v>
      </c>
      <c r="C1336" s="1">
        <v>45603</v>
      </c>
      <c r="D1336" t="s">
        <v>321</v>
      </c>
      <c r="E1336" t="s">
        <v>322</v>
      </c>
      <c r="F1336" t="s">
        <v>34</v>
      </c>
      <c r="G1336" t="s">
        <v>91</v>
      </c>
      <c r="H1336" t="s">
        <v>109</v>
      </c>
      <c r="I1336" t="s">
        <v>71</v>
      </c>
      <c r="J1336" t="s">
        <v>72</v>
      </c>
      <c r="K1336" t="s">
        <v>73</v>
      </c>
      <c r="L1336">
        <v>3</v>
      </c>
      <c r="M1336">
        <v>3500</v>
      </c>
      <c r="N1336">
        <v>10</v>
      </c>
      <c r="O1336">
        <v>9450</v>
      </c>
      <c r="P1336">
        <v>3106.08</v>
      </c>
      <c r="Q1336" t="s">
        <v>28</v>
      </c>
      <c r="R1336" t="s">
        <v>29</v>
      </c>
      <c r="S1336" t="s">
        <v>50</v>
      </c>
    </row>
    <row r="1337" spans="1:19" x14ac:dyDescent="0.3">
      <c r="A1337" t="s">
        <v>2339</v>
      </c>
      <c r="B1337" s="1">
        <v>45496</v>
      </c>
      <c r="C1337" t="s">
        <v>2340</v>
      </c>
      <c r="D1337" t="s">
        <v>1346</v>
      </c>
      <c r="E1337" t="s">
        <v>1347</v>
      </c>
      <c r="F1337" t="s">
        <v>55</v>
      </c>
      <c r="G1337" t="s">
        <v>44</v>
      </c>
      <c r="H1337" t="s">
        <v>155</v>
      </c>
      <c r="I1337" t="s">
        <v>37</v>
      </c>
      <c r="J1337" t="s">
        <v>38</v>
      </c>
      <c r="K1337" t="s">
        <v>27</v>
      </c>
      <c r="L1337">
        <v>2</v>
      </c>
      <c r="M1337">
        <v>9500</v>
      </c>
      <c r="N1337">
        <v>0</v>
      </c>
      <c r="O1337">
        <v>19000</v>
      </c>
      <c r="P1337">
        <v>3609.95</v>
      </c>
      <c r="Q1337" t="s">
        <v>156</v>
      </c>
      <c r="R1337" t="s">
        <v>56</v>
      </c>
      <c r="S1337" t="s">
        <v>50</v>
      </c>
    </row>
    <row r="1338" spans="1:19" x14ac:dyDescent="0.3">
      <c r="A1338" t="s">
        <v>2341</v>
      </c>
      <c r="B1338" s="1">
        <v>45529</v>
      </c>
      <c r="C1338" s="1">
        <v>45532</v>
      </c>
      <c r="D1338" t="s">
        <v>425</v>
      </c>
      <c r="E1338" t="s">
        <v>426</v>
      </c>
      <c r="F1338" t="s">
        <v>34</v>
      </c>
      <c r="G1338" t="s">
        <v>61</v>
      </c>
      <c r="H1338" t="s">
        <v>125</v>
      </c>
      <c r="I1338" t="s">
        <v>63</v>
      </c>
      <c r="J1338" t="s">
        <v>64</v>
      </c>
      <c r="K1338" t="s">
        <v>65</v>
      </c>
      <c r="L1338">
        <v>4</v>
      </c>
      <c r="M1338">
        <v>25000</v>
      </c>
      <c r="N1338">
        <v>10</v>
      </c>
      <c r="O1338">
        <v>90000</v>
      </c>
      <c r="P1338">
        <v>9731.59</v>
      </c>
      <c r="Q1338" t="s">
        <v>74</v>
      </c>
      <c r="R1338" t="s">
        <v>56</v>
      </c>
      <c r="S1338" t="s">
        <v>30</v>
      </c>
    </row>
    <row r="1339" spans="1:19" x14ac:dyDescent="0.3">
      <c r="A1339" t="s">
        <v>2342</v>
      </c>
      <c r="B1339" s="1">
        <v>45428</v>
      </c>
      <c r="C1339" t="s">
        <v>506</v>
      </c>
      <c r="D1339" t="s">
        <v>942</v>
      </c>
      <c r="E1339" t="s">
        <v>943</v>
      </c>
      <c r="F1339" t="s">
        <v>23</v>
      </c>
      <c r="G1339" t="s">
        <v>44</v>
      </c>
      <c r="H1339" t="s">
        <v>155</v>
      </c>
      <c r="I1339" t="s">
        <v>63</v>
      </c>
      <c r="J1339" t="s">
        <v>64</v>
      </c>
      <c r="K1339" t="s">
        <v>65</v>
      </c>
      <c r="L1339">
        <v>1</v>
      </c>
      <c r="M1339">
        <v>25000</v>
      </c>
      <c r="N1339">
        <v>0</v>
      </c>
      <c r="O1339">
        <v>25000</v>
      </c>
      <c r="P1339">
        <v>2814.44</v>
      </c>
      <c r="Q1339" t="s">
        <v>156</v>
      </c>
      <c r="R1339" t="s">
        <v>29</v>
      </c>
      <c r="S1339" t="s">
        <v>110</v>
      </c>
    </row>
    <row r="1340" spans="1:19" x14ac:dyDescent="0.3">
      <c r="A1340" t="s">
        <v>2343</v>
      </c>
      <c r="B1340" t="s">
        <v>1300</v>
      </c>
      <c r="C1340" s="1">
        <v>45331</v>
      </c>
      <c r="D1340" t="s">
        <v>524</v>
      </c>
      <c r="E1340" t="s">
        <v>525</v>
      </c>
      <c r="F1340" t="s">
        <v>34</v>
      </c>
      <c r="G1340" t="s">
        <v>35</v>
      </c>
      <c r="H1340" t="s">
        <v>187</v>
      </c>
      <c r="I1340" t="s">
        <v>79</v>
      </c>
      <c r="J1340" t="s">
        <v>80</v>
      </c>
      <c r="K1340" t="s">
        <v>65</v>
      </c>
      <c r="M1340">
        <v>3000</v>
      </c>
      <c r="N1340">
        <v>5</v>
      </c>
      <c r="O1340">
        <v>11400</v>
      </c>
      <c r="P1340">
        <v>2517.35</v>
      </c>
      <c r="Q1340" t="s">
        <v>121</v>
      </c>
      <c r="R1340" t="s">
        <v>56</v>
      </c>
      <c r="S1340" t="s">
        <v>40</v>
      </c>
    </row>
    <row r="1341" spans="1:19" x14ac:dyDescent="0.3">
      <c r="A1341" t="s">
        <v>2344</v>
      </c>
      <c r="B1341" s="1">
        <v>46009</v>
      </c>
      <c r="C1341" s="1">
        <v>46011</v>
      </c>
      <c r="D1341" t="s">
        <v>388</v>
      </c>
      <c r="E1341" t="s">
        <v>389</v>
      </c>
      <c r="F1341" t="s">
        <v>23</v>
      </c>
      <c r="G1341" t="s">
        <v>44</v>
      </c>
      <c r="H1341" t="s">
        <v>161</v>
      </c>
      <c r="I1341" t="s">
        <v>25</v>
      </c>
      <c r="J1341" t="s">
        <v>26</v>
      </c>
      <c r="K1341" t="s">
        <v>27</v>
      </c>
      <c r="L1341">
        <v>3</v>
      </c>
      <c r="M1341">
        <v>7000</v>
      </c>
      <c r="N1341">
        <v>20</v>
      </c>
      <c r="O1341">
        <v>16800</v>
      </c>
      <c r="P1341">
        <v>3384.08</v>
      </c>
      <c r="Q1341" t="s">
        <v>28</v>
      </c>
      <c r="R1341" t="s">
        <v>56</v>
      </c>
      <c r="S1341" t="s">
        <v>40</v>
      </c>
    </row>
    <row r="1342" spans="1:19" x14ac:dyDescent="0.3">
      <c r="A1342" t="s">
        <v>2345</v>
      </c>
      <c r="B1342" s="1">
        <v>45664</v>
      </c>
      <c r="C1342" s="1">
        <v>45668</v>
      </c>
      <c r="D1342" t="s">
        <v>1540</v>
      </c>
      <c r="E1342" t="s">
        <v>1541</v>
      </c>
      <c r="F1342" t="s">
        <v>23</v>
      </c>
      <c r="G1342" t="s">
        <v>61</v>
      </c>
      <c r="H1342" t="s">
        <v>78</v>
      </c>
      <c r="I1342" t="s">
        <v>25</v>
      </c>
      <c r="J1342" t="s">
        <v>26</v>
      </c>
      <c r="K1342" t="s">
        <v>27</v>
      </c>
      <c r="L1342">
        <v>1</v>
      </c>
      <c r="M1342">
        <v>7000</v>
      </c>
      <c r="N1342">
        <v>0</v>
      </c>
      <c r="O1342">
        <v>7000</v>
      </c>
      <c r="P1342">
        <v>1516.34</v>
      </c>
      <c r="Q1342" t="s">
        <v>74</v>
      </c>
      <c r="R1342" t="s">
        <v>29</v>
      </c>
      <c r="S1342" t="s">
        <v>50</v>
      </c>
    </row>
    <row r="1343" spans="1:19" x14ac:dyDescent="0.3">
      <c r="A1343" t="s">
        <v>2346</v>
      </c>
      <c r="B1343" s="1">
        <v>45838</v>
      </c>
      <c r="C1343" s="1">
        <v>45846</v>
      </c>
      <c r="D1343" t="s">
        <v>546</v>
      </c>
      <c r="E1343" t="s">
        <v>547</v>
      </c>
      <c r="F1343" t="s">
        <v>34</v>
      </c>
      <c r="G1343" t="s">
        <v>91</v>
      </c>
      <c r="H1343" t="s">
        <v>92</v>
      </c>
      <c r="I1343" t="s">
        <v>63</v>
      </c>
      <c r="J1343" t="s">
        <v>64</v>
      </c>
      <c r="K1343" t="s">
        <v>65</v>
      </c>
      <c r="L1343">
        <v>2</v>
      </c>
      <c r="M1343">
        <v>25000</v>
      </c>
      <c r="N1343">
        <v>5</v>
      </c>
      <c r="O1343">
        <v>47500</v>
      </c>
      <c r="P1343">
        <v>6665.85</v>
      </c>
      <c r="Q1343" t="s">
        <v>66</v>
      </c>
      <c r="R1343" t="s">
        <v>49</v>
      </c>
      <c r="S1343" t="s">
        <v>30</v>
      </c>
    </row>
    <row r="1344" spans="1:19" x14ac:dyDescent="0.3">
      <c r="A1344" t="s">
        <v>2347</v>
      </c>
      <c r="B1344" s="1">
        <v>45938</v>
      </c>
      <c r="C1344" t="s">
        <v>1613</v>
      </c>
      <c r="D1344" t="s">
        <v>1450</v>
      </c>
      <c r="E1344" t="s">
        <v>1451</v>
      </c>
      <c r="F1344" t="s">
        <v>23</v>
      </c>
      <c r="G1344" t="s">
        <v>61</v>
      </c>
      <c r="H1344" t="s">
        <v>78</v>
      </c>
      <c r="I1344" t="s">
        <v>71</v>
      </c>
      <c r="J1344" t="s">
        <v>72</v>
      </c>
      <c r="K1344" t="s">
        <v>73</v>
      </c>
      <c r="L1344">
        <v>2</v>
      </c>
      <c r="M1344">
        <v>3500</v>
      </c>
      <c r="N1344">
        <v>20</v>
      </c>
      <c r="O1344">
        <v>5600</v>
      </c>
      <c r="P1344">
        <v>1409.02</v>
      </c>
      <c r="Q1344" t="s">
        <v>156</v>
      </c>
      <c r="R1344" t="s">
        <v>49</v>
      </c>
      <c r="S1344" t="s">
        <v>86</v>
      </c>
    </row>
    <row r="1345" spans="1:19" x14ac:dyDescent="0.3">
      <c r="A1345" t="s">
        <v>2348</v>
      </c>
      <c r="B1345" s="1">
        <v>45340</v>
      </c>
      <c r="C1345" t="s">
        <v>1672</v>
      </c>
      <c r="D1345" t="s">
        <v>1464</v>
      </c>
      <c r="E1345" t="s">
        <v>1465</v>
      </c>
      <c r="F1345" t="s">
        <v>23</v>
      </c>
      <c r="G1345" t="s">
        <v>91</v>
      </c>
      <c r="H1345" t="s">
        <v>109</v>
      </c>
      <c r="I1345" t="s">
        <v>63</v>
      </c>
      <c r="J1345" t="s">
        <v>64</v>
      </c>
      <c r="K1345" t="s">
        <v>65</v>
      </c>
      <c r="L1345">
        <v>3</v>
      </c>
      <c r="M1345">
        <v>25000</v>
      </c>
      <c r="N1345">
        <v>0</v>
      </c>
      <c r="O1345">
        <v>75000</v>
      </c>
      <c r="P1345">
        <v>9894.32</v>
      </c>
      <c r="R1345" t="s">
        <v>49</v>
      </c>
      <c r="S1345" t="s">
        <v>50</v>
      </c>
    </row>
    <row r="1346" spans="1:19" x14ac:dyDescent="0.3">
      <c r="A1346" t="s">
        <v>2349</v>
      </c>
      <c r="B1346" s="1">
        <v>45993</v>
      </c>
      <c r="C1346" s="1">
        <v>46001</v>
      </c>
      <c r="D1346" t="s">
        <v>896</v>
      </c>
      <c r="E1346" t="s">
        <v>897</v>
      </c>
      <c r="F1346" t="s">
        <v>55</v>
      </c>
      <c r="G1346" t="s">
        <v>35</v>
      </c>
      <c r="H1346" t="s">
        <v>258</v>
      </c>
      <c r="I1346" t="s">
        <v>93</v>
      </c>
      <c r="J1346" t="s">
        <v>94</v>
      </c>
      <c r="K1346" t="s">
        <v>95</v>
      </c>
      <c r="L1346">
        <v>2</v>
      </c>
      <c r="M1346">
        <v>1800</v>
      </c>
      <c r="N1346">
        <v>20</v>
      </c>
      <c r="O1346">
        <v>2880</v>
      </c>
      <c r="P1346">
        <v>993.97</v>
      </c>
      <c r="Q1346" t="s">
        <v>121</v>
      </c>
      <c r="R1346" t="s">
        <v>49</v>
      </c>
      <c r="S1346" t="s">
        <v>30</v>
      </c>
    </row>
    <row r="1347" spans="1:19" x14ac:dyDescent="0.3">
      <c r="A1347" t="s">
        <v>2350</v>
      </c>
      <c r="B1347" s="1">
        <v>45295</v>
      </c>
      <c r="C1347" s="1">
        <v>45296</v>
      </c>
      <c r="D1347" t="s">
        <v>882</v>
      </c>
      <c r="E1347" t="s">
        <v>1545</v>
      </c>
      <c r="F1347" t="s">
        <v>55</v>
      </c>
      <c r="G1347" t="s">
        <v>44</v>
      </c>
      <c r="H1347" t="s">
        <v>24</v>
      </c>
      <c r="I1347" t="s">
        <v>79</v>
      </c>
      <c r="J1347" t="s">
        <v>80</v>
      </c>
      <c r="K1347" t="s">
        <v>65</v>
      </c>
      <c r="L1347">
        <v>1</v>
      </c>
      <c r="M1347">
        <v>3000</v>
      </c>
      <c r="N1347">
        <v>0</v>
      </c>
      <c r="O1347">
        <v>3000</v>
      </c>
      <c r="P1347">
        <v>843.16</v>
      </c>
      <c r="Q1347" t="s">
        <v>39</v>
      </c>
      <c r="R1347" t="s">
        <v>49</v>
      </c>
      <c r="S1347" t="s">
        <v>40</v>
      </c>
    </row>
    <row r="1348" spans="1:19" x14ac:dyDescent="0.3">
      <c r="A1348" t="s">
        <v>2351</v>
      </c>
      <c r="B1348" s="2">
        <v>45739</v>
      </c>
      <c r="C1348" s="1">
        <v>45744</v>
      </c>
      <c r="D1348" t="s">
        <v>470</v>
      </c>
      <c r="E1348" t="s">
        <v>471</v>
      </c>
      <c r="F1348" t="s">
        <v>23</v>
      </c>
      <c r="G1348" t="s">
        <v>61</v>
      </c>
      <c r="H1348" t="s">
        <v>62</v>
      </c>
      <c r="I1348" t="s">
        <v>63</v>
      </c>
      <c r="J1348" t="s">
        <v>64</v>
      </c>
      <c r="K1348" t="s">
        <v>65</v>
      </c>
      <c r="L1348">
        <v>1</v>
      </c>
      <c r="M1348">
        <v>25000</v>
      </c>
      <c r="N1348">
        <v>0</v>
      </c>
      <c r="O1348">
        <v>25000</v>
      </c>
      <c r="P1348">
        <v>3028.68</v>
      </c>
      <c r="Q1348" t="s">
        <v>28</v>
      </c>
      <c r="R1348" t="s">
        <v>29</v>
      </c>
      <c r="S1348" t="s">
        <v>50</v>
      </c>
    </row>
    <row r="1349" spans="1:19" x14ac:dyDescent="0.3">
      <c r="A1349" t="s">
        <v>2352</v>
      </c>
      <c r="B1349" s="1">
        <v>45765</v>
      </c>
      <c r="C1349" s="1">
        <v>45766</v>
      </c>
      <c r="D1349" t="s">
        <v>1796</v>
      </c>
      <c r="E1349" t="s">
        <v>1797</v>
      </c>
      <c r="F1349" t="s">
        <v>55</v>
      </c>
      <c r="G1349" t="s">
        <v>44</v>
      </c>
      <c r="H1349" t="s">
        <v>330</v>
      </c>
      <c r="I1349" t="s">
        <v>37</v>
      </c>
      <c r="J1349" t="s">
        <v>38</v>
      </c>
      <c r="K1349" t="s">
        <v>27</v>
      </c>
      <c r="L1349">
        <v>3</v>
      </c>
      <c r="M1349">
        <v>9500</v>
      </c>
      <c r="N1349">
        <v>5</v>
      </c>
      <c r="O1349">
        <v>27075</v>
      </c>
      <c r="P1349">
        <v>5800.09</v>
      </c>
      <c r="R1349" t="s">
        <v>49</v>
      </c>
      <c r="S1349" t="s">
        <v>40</v>
      </c>
    </row>
    <row r="1350" spans="1:19" x14ac:dyDescent="0.3">
      <c r="A1350" t="s">
        <v>2353</v>
      </c>
      <c r="B1350" s="1">
        <v>45756</v>
      </c>
      <c r="C1350" s="1">
        <v>45764</v>
      </c>
      <c r="D1350" t="s">
        <v>1015</v>
      </c>
      <c r="E1350" t="s">
        <v>1016</v>
      </c>
      <c r="F1350" t="s">
        <v>23</v>
      </c>
      <c r="G1350" t="s">
        <v>44</v>
      </c>
      <c r="H1350" t="s">
        <v>45</v>
      </c>
      <c r="I1350" t="s">
        <v>79</v>
      </c>
      <c r="J1350" t="s">
        <v>80</v>
      </c>
      <c r="K1350" t="s">
        <v>65</v>
      </c>
      <c r="L1350">
        <v>2</v>
      </c>
      <c r="M1350">
        <v>3000</v>
      </c>
      <c r="N1350">
        <v>15</v>
      </c>
      <c r="O1350">
        <v>5100</v>
      </c>
      <c r="P1350">
        <v>1619.23</v>
      </c>
      <c r="Q1350" t="s">
        <v>66</v>
      </c>
      <c r="R1350" t="s">
        <v>49</v>
      </c>
      <c r="S1350" t="s">
        <v>110</v>
      </c>
    </row>
    <row r="1351" spans="1:19" x14ac:dyDescent="0.3">
      <c r="A1351" t="s">
        <v>2354</v>
      </c>
      <c r="B1351" s="2">
        <v>45300</v>
      </c>
      <c r="C1351" s="1">
        <v>45307</v>
      </c>
      <c r="D1351" t="s">
        <v>546</v>
      </c>
      <c r="E1351" t="s">
        <v>547</v>
      </c>
      <c r="F1351" t="s">
        <v>34</v>
      </c>
      <c r="G1351" t="s">
        <v>91</v>
      </c>
      <c r="H1351" t="s">
        <v>92</v>
      </c>
      <c r="I1351" t="s">
        <v>114</v>
      </c>
      <c r="J1351" t="s">
        <v>115</v>
      </c>
      <c r="K1351" t="s">
        <v>65</v>
      </c>
      <c r="L1351">
        <v>3</v>
      </c>
      <c r="M1351">
        <v>55000</v>
      </c>
      <c r="N1351">
        <v>20</v>
      </c>
      <c r="O1351">
        <v>132000</v>
      </c>
      <c r="P1351">
        <v>17778.12</v>
      </c>
      <c r="Q1351" t="s">
        <v>156</v>
      </c>
      <c r="R1351" t="s">
        <v>29</v>
      </c>
      <c r="S1351" t="s">
        <v>30</v>
      </c>
    </row>
    <row r="1352" spans="1:19" x14ac:dyDescent="0.3">
      <c r="A1352" t="s">
        <v>2355</v>
      </c>
      <c r="B1352" t="s">
        <v>818</v>
      </c>
      <c r="C1352" s="2">
        <v>45805</v>
      </c>
      <c r="D1352" t="s">
        <v>787</v>
      </c>
      <c r="E1352" t="s">
        <v>788</v>
      </c>
      <c r="F1352" t="s">
        <v>34</v>
      </c>
      <c r="G1352" t="s">
        <v>35</v>
      </c>
      <c r="H1352" t="s">
        <v>36</v>
      </c>
      <c r="I1352" t="s">
        <v>103</v>
      </c>
      <c r="J1352" t="s">
        <v>104</v>
      </c>
      <c r="K1352" t="s">
        <v>65</v>
      </c>
      <c r="L1352">
        <v>10</v>
      </c>
      <c r="M1352">
        <v>8000</v>
      </c>
      <c r="N1352">
        <v>10</v>
      </c>
      <c r="O1352">
        <v>72000</v>
      </c>
      <c r="P1352">
        <v>19269.72</v>
      </c>
      <c r="Q1352" t="s">
        <v>66</v>
      </c>
      <c r="R1352" t="s">
        <v>29</v>
      </c>
      <c r="S1352" t="s">
        <v>40</v>
      </c>
    </row>
    <row r="1353" spans="1:19" x14ac:dyDescent="0.3">
      <c r="A1353" t="s">
        <v>2356</v>
      </c>
      <c r="B1353" s="1">
        <v>45646</v>
      </c>
      <c r="C1353" s="2">
        <v>45650</v>
      </c>
      <c r="D1353" t="s">
        <v>1875</v>
      </c>
      <c r="E1353" t="s">
        <v>1876</v>
      </c>
      <c r="F1353" t="s">
        <v>34</v>
      </c>
      <c r="G1353" t="s">
        <v>91</v>
      </c>
      <c r="H1353" t="s">
        <v>109</v>
      </c>
      <c r="I1353" t="s">
        <v>126</v>
      </c>
      <c r="J1353" t="s">
        <v>127</v>
      </c>
      <c r="K1353" t="s">
        <v>95</v>
      </c>
      <c r="L1353">
        <v>5</v>
      </c>
      <c r="M1353">
        <v>600</v>
      </c>
      <c r="N1353">
        <v>10</v>
      </c>
      <c r="O1353">
        <v>2700</v>
      </c>
      <c r="P1353">
        <v>1095.2</v>
      </c>
      <c r="Q1353" t="s">
        <v>66</v>
      </c>
      <c r="R1353" t="s">
        <v>56</v>
      </c>
      <c r="S1353" t="s">
        <v>110</v>
      </c>
    </row>
    <row r="1354" spans="1:19" x14ac:dyDescent="0.3">
      <c r="A1354" t="s">
        <v>2357</v>
      </c>
      <c r="B1354" s="1">
        <v>45914</v>
      </c>
      <c r="C1354" s="2">
        <v>45915</v>
      </c>
      <c r="D1354" t="s">
        <v>1695</v>
      </c>
      <c r="E1354" t="s">
        <v>1696</v>
      </c>
      <c r="F1354" t="s">
        <v>34</v>
      </c>
      <c r="G1354" t="s">
        <v>35</v>
      </c>
      <c r="H1354" t="s">
        <v>85</v>
      </c>
      <c r="I1354" t="s">
        <v>46</v>
      </c>
      <c r="J1354" t="s">
        <v>47</v>
      </c>
      <c r="K1354" t="s">
        <v>48</v>
      </c>
      <c r="L1354">
        <v>4</v>
      </c>
      <c r="M1354">
        <v>180</v>
      </c>
      <c r="N1354">
        <v>15</v>
      </c>
      <c r="O1354">
        <v>612</v>
      </c>
      <c r="P1354">
        <v>268.08</v>
      </c>
      <c r="Q1354" t="s">
        <v>39</v>
      </c>
      <c r="R1354" t="s">
        <v>49</v>
      </c>
      <c r="S1354" t="s">
        <v>86</v>
      </c>
    </row>
    <row r="1355" spans="1:19" x14ac:dyDescent="0.3">
      <c r="A1355" t="s">
        <v>2358</v>
      </c>
      <c r="B1355" s="1">
        <v>45877</v>
      </c>
      <c r="C1355" s="1">
        <v>45999</v>
      </c>
      <c r="D1355" t="s">
        <v>1209</v>
      </c>
      <c r="E1355" t="s">
        <v>1210</v>
      </c>
      <c r="F1355" t="s">
        <v>23</v>
      </c>
      <c r="G1355" t="s">
        <v>91</v>
      </c>
      <c r="H1355" t="s">
        <v>92</v>
      </c>
      <c r="I1355" t="s">
        <v>79</v>
      </c>
      <c r="J1355" t="s">
        <v>80</v>
      </c>
      <c r="K1355" t="s">
        <v>65</v>
      </c>
      <c r="L1355">
        <v>3</v>
      </c>
      <c r="M1355">
        <v>3000</v>
      </c>
      <c r="N1355">
        <v>0</v>
      </c>
      <c r="O1355">
        <v>9000</v>
      </c>
      <c r="P1355">
        <v>2815.68</v>
      </c>
      <c r="Q1355" t="s">
        <v>156</v>
      </c>
      <c r="R1355" t="s">
        <v>29</v>
      </c>
      <c r="S1355" t="s">
        <v>110</v>
      </c>
    </row>
    <row r="1356" spans="1:19" x14ac:dyDescent="0.3">
      <c r="A1356" t="s">
        <v>2359</v>
      </c>
      <c r="B1356" s="1">
        <v>45521</v>
      </c>
      <c r="C1356" s="1">
        <v>45525</v>
      </c>
      <c r="D1356" t="s">
        <v>2360</v>
      </c>
      <c r="E1356" t="s">
        <v>2361</v>
      </c>
      <c r="F1356" t="s">
        <v>23</v>
      </c>
      <c r="G1356" t="s">
        <v>44</v>
      </c>
      <c r="H1356" t="s">
        <v>330</v>
      </c>
      <c r="I1356" t="s">
        <v>46</v>
      </c>
      <c r="J1356" t="s">
        <v>47</v>
      </c>
      <c r="K1356" t="s">
        <v>48</v>
      </c>
      <c r="L1356">
        <v>1</v>
      </c>
      <c r="M1356">
        <v>180</v>
      </c>
      <c r="N1356">
        <v>0</v>
      </c>
      <c r="O1356">
        <v>180</v>
      </c>
      <c r="P1356">
        <v>82.36</v>
      </c>
      <c r="Q1356" t="s">
        <v>28</v>
      </c>
      <c r="R1356" t="s">
        <v>29</v>
      </c>
      <c r="S1356" t="s">
        <v>110</v>
      </c>
    </row>
    <row r="1357" spans="1:19" x14ac:dyDescent="0.3">
      <c r="A1357" t="s">
        <v>2362</v>
      </c>
      <c r="B1357" s="1">
        <v>45564</v>
      </c>
      <c r="C1357" s="2">
        <v>45568</v>
      </c>
      <c r="D1357" t="s">
        <v>847</v>
      </c>
      <c r="E1357" t="s">
        <v>848</v>
      </c>
      <c r="F1357" t="s">
        <v>23</v>
      </c>
      <c r="G1357" t="s">
        <v>44</v>
      </c>
      <c r="H1357" t="s">
        <v>161</v>
      </c>
      <c r="I1357" t="s">
        <v>63</v>
      </c>
      <c r="J1357" t="s">
        <v>64</v>
      </c>
      <c r="K1357" t="s">
        <v>65</v>
      </c>
      <c r="L1357">
        <v>-1</v>
      </c>
      <c r="M1357">
        <v>25000</v>
      </c>
      <c r="N1357">
        <v>20</v>
      </c>
      <c r="O1357">
        <v>20000</v>
      </c>
      <c r="P1357">
        <v>2598.0100000000002</v>
      </c>
      <c r="Q1357" t="s">
        <v>121</v>
      </c>
      <c r="R1357" t="s">
        <v>56</v>
      </c>
      <c r="S1357" t="s">
        <v>30</v>
      </c>
    </row>
    <row r="1358" spans="1:19" x14ac:dyDescent="0.3">
      <c r="A1358" t="s">
        <v>2363</v>
      </c>
      <c r="B1358" t="s">
        <v>663</v>
      </c>
      <c r="C1358" t="s">
        <v>1455</v>
      </c>
      <c r="D1358" t="s">
        <v>1055</v>
      </c>
      <c r="E1358" t="s">
        <v>1056</v>
      </c>
      <c r="F1358" t="s">
        <v>55</v>
      </c>
      <c r="G1358" t="s">
        <v>61</v>
      </c>
      <c r="H1358" t="s">
        <v>62</v>
      </c>
      <c r="I1358" t="s">
        <v>79</v>
      </c>
      <c r="J1358" t="s">
        <v>80</v>
      </c>
      <c r="K1358" t="s">
        <v>65</v>
      </c>
      <c r="L1358">
        <v>2</v>
      </c>
      <c r="M1358">
        <v>3000</v>
      </c>
      <c r="N1358">
        <v>15</v>
      </c>
      <c r="O1358">
        <v>5100</v>
      </c>
      <c r="P1358">
        <v>1458.64</v>
      </c>
      <c r="Q1358" t="s">
        <v>28</v>
      </c>
      <c r="R1358" t="s">
        <v>56</v>
      </c>
      <c r="S1358" t="s">
        <v>110</v>
      </c>
    </row>
    <row r="1359" spans="1:19" x14ac:dyDescent="0.3">
      <c r="A1359" t="s">
        <v>2364</v>
      </c>
      <c r="B1359" t="s">
        <v>2365</v>
      </c>
      <c r="C1359" s="1">
        <v>45896</v>
      </c>
      <c r="D1359" t="s">
        <v>1950</v>
      </c>
      <c r="E1359" t="s">
        <v>1951</v>
      </c>
      <c r="F1359" t="s">
        <v>55</v>
      </c>
      <c r="G1359" t="s">
        <v>35</v>
      </c>
      <c r="H1359" t="s">
        <v>85</v>
      </c>
      <c r="I1359" t="s">
        <v>93</v>
      </c>
      <c r="J1359" t="s">
        <v>94</v>
      </c>
      <c r="K1359" t="s">
        <v>95</v>
      </c>
      <c r="L1359">
        <v>1</v>
      </c>
      <c r="M1359">
        <v>1800</v>
      </c>
      <c r="N1359">
        <v>10</v>
      </c>
      <c r="O1359">
        <v>1620</v>
      </c>
      <c r="P1359">
        <v>463.62</v>
      </c>
      <c r="Q1359" t="s">
        <v>74</v>
      </c>
      <c r="R1359" t="s">
        <v>29</v>
      </c>
      <c r="S1359" t="s">
        <v>86</v>
      </c>
    </row>
    <row r="1360" spans="1:19" x14ac:dyDescent="0.3">
      <c r="A1360" t="s">
        <v>2366</v>
      </c>
      <c r="B1360" t="s">
        <v>1446</v>
      </c>
      <c r="C1360" s="2">
        <v>45796</v>
      </c>
      <c r="D1360" t="s">
        <v>129</v>
      </c>
      <c r="E1360" t="s">
        <v>130</v>
      </c>
      <c r="F1360" t="s">
        <v>34</v>
      </c>
      <c r="G1360" t="s">
        <v>61</v>
      </c>
      <c r="H1360" t="s">
        <v>78</v>
      </c>
      <c r="I1360" t="s">
        <v>134</v>
      </c>
      <c r="J1360" t="s">
        <v>135</v>
      </c>
      <c r="K1360" t="s">
        <v>27</v>
      </c>
      <c r="L1360">
        <v>2</v>
      </c>
      <c r="M1360">
        <v>6000</v>
      </c>
      <c r="N1360">
        <v>0</v>
      </c>
      <c r="O1360">
        <v>12000</v>
      </c>
      <c r="P1360">
        <v>2238.64</v>
      </c>
      <c r="Q1360" t="s">
        <v>28</v>
      </c>
      <c r="R1360" t="s">
        <v>29</v>
      </c>
      <c r="S1360" t="s">
        <v>110</v>
      </c>
    </row>
    <row r="1361" spans="1:19" x14ac:dyDescent="0.3">
      <c r="A1361" t="s">
        <v>2367</v>
      </c>
      <c r="B1361" s="1">
        <v>45608</v>
      </c>
      <c r="C1361" s="2">
        <v>45641</v>
      </c>
      <c r="D1361" t="s">
        <v>1028</v>
      </c>
      <c r="E1361" t="s">
        <v>1029</v>
      </c>
      <c r="F1361" t="s">
        <v>34</v>
      </c>
      <c r="G1361" t="s">
        <v>91</v>
      </c>
      <c r="H1361" t="s">
        <v>120</v>
      </c>
      <c r="I1361" t="s">
        <v>93</v>
      </c>
      <c r="J1361" t="s">
        <v>94</v>
      </c>
      <c r="K1361" t="s">
        <v>95</v>
      </c>
      <c r="L1361">
        <v>2</v>
      </c>
      <c r="M1361">
        <v>1800</v>
      </c>
      <c r="N1361">
        <v>0</v>
      </c>
      <c r="O1361">
        <v>3600</v>
      </c>
      <c r="P1361">
        <v>1371.27</v>
      </c>
      <c r="Q1361" t="s">
        <v>39</v>
      </c>
      <c r="R1361" t="s">
        <v>29</v>
      </c>
      <c r="S1361" t="s">
        <v>30</v>
      </c>
    </row>
    <row r="1362" spans="1:19" x14ac:dyDescent="0.3">
      <c r="A1362" t="s">
        <v>2368</v>
      </c>
      <c r="B1362" s="2">
        <v>45662</v>
      </c>
      <c r="C1362" s="1">
        <v>45670</v>
      </c>
      <c r="D1362" t="s">
        <v>1090</v>
      </c>
      <c r="E1362" t="s">
        <v>1091</v>
      </c>
      <c r="F1362" t="s">
        <v>23</v>
      </c>
      <c r="G1362" t="s">
        <v>61</v>
      </c>
      <c r="I1362" t="s">
        <v>114</v>
      </c>
      <c r="J1362" t="s">
        <v>115</v>
      </c>
      <c r="K1362" t="s">
        <v>65</v>
      </c>
      <c r="L1362">
        <v>1</v>
      </c>
      <c r="M1362">
        <v>55000</v>
      </c>
      <c r="N1362">
        <v>0</v>
      </c>
      <c r="O1362">
        <v>55000</v>
      </c>
      <c r="P1362">
        <v>7164.93</v>
      </c>
      <c r="Q1362" t="s">
        <v>39</v>
      </c>
      <c r="R1362" t="s">
        <v>56</v>
      </c>
      <c r="S1362" t="s">
        <v>86</v>
      </c>
    </row>
    <row r="1363" spans="1:19" x14ac:dyDescent="0.3">
      <c r="A1363" t="s">
        <v>2369</v>
      </c>
      <c r="B1363" s="1">
        <v>45312</v>
      </c>
      <c r="C1363" s="2">
        <v>45320</v>
      </c>
      <c r="D1363" t="s">
        <v>182</v>
      </c>
      <c r="E1363" t="s">
        <v>183</v>
      </c>
      <c r="F1363" t="s">
        <v>55</v>
      </c>
      <c r="G1363" t="s">
        <v>44</v>
      </c>
      <c r="H1363" t="s">
        <v>45</v>
      </c>
      <c r="I1363" t="s">
        <v>46</v>
      </c>
      <c r="J1363" t="s">
        <v>47</v>
      </c>
      <c r="K1363" t="s">
        <v>48</v>
      </c>
      <c r="L1363">
        <v>4</v>
      </c>
      <c r="M1363">
        <v>180</v>
      </c>
      <c r="N1363">
        <v>20</v>
      </c>
      <c r="O1363">
        <v>576</v>
      </c>
      <c r="P1363">
        <v>252.17</v>
      </c>
      <c r="Q1363" t="s">
        <v>121</v>
      </c>
      <c r="R1363" t="s">
        <v>56</v>
      </c>
      <c r="S1363" t="s">
        <v>50</v>
      </c>
    </row>
    <row r="1364" spans="1:19" x14ac:dyDescent="0.3">
      <c r="A1364" t="s">
        <v>2370</v>
      </c>
      <c r="B1364" s="1">
        <v>46009</v>
      </c>
      <c r="C1364" t="s">
        <v>1635</v>
      </c>
      <c r="D1364" t="s">
        <v>1250</v>
      </c>
      <c r="E1364" t="s">
        <v>1251</v>
      </c>
      <c r="F1364" t="s">
        <v>55</v>
      </c>
      <c r="G1364" t="s">
        <v>35</v>
      </c>
      <c r="H1364" t="s">
        <v>258</v>
      </c>
      <c r="I1364" t="s">
        <v>93</v>
      </c>
      <c r="J1364" t="s">
        <v>94</v>
      </c>
      <c r="K1364" t="s">
        <v>95</v>
      </c>
      <c r="L1364">
        <v>1</v>
      </c>
      <c r="M1364">
        <v>1800</v>
      </c>
      <c r="N1364">
        <v>0</v>
      </c>
      <c r="O1364">
        <v>1800</v>
      </c>
      <c r="P1364">
        <v>546.53</v>
      </c>
      <c r="Q1364" t="s">
        <v>156</v>
      </c>
      <c r="R1364" t="s">
        <v>29</v>
      </c>
      <c r="S1364" t="s">
        <v>30</v>
      </c>
    </row>
    <row r="1365" spans="1:19" x14ac:dyDescent="0.3">
      <c r="A1365" t="s">
        <v>2371</v>
      </c>
      <c r="B1365" s="2">
        <v>45394</v>
      </c>
      <c r="C1365" s="2">
        <v>45399</v>
      </c>
      <c r="D1365" t="s">
        <v>1019</v>
      </c>
      <c r="E1365" t="s">
        <v>2372</v>
      </c>
      <c r="F1365" t="s">
        <v>55</v>
      </c>
      <c r="G1365" t="s">
        <v>35</v>
      </c>
      <c r="H1365" t="s">
        <v>187</v>
      </c>
      <c r="I1365" t="s">
        <v>71</v>
      </c>
      <c r="J1365" t="s">
        <v>72</v>
      </c>
      <c r="K1365" t="s">
        <v>73</v>
      </c>
      <c r="L1365">
        <v>1</v>
      </c>
      <c r="M1365">
        <v>3500</v>
      </c>
      <c r="N1365">
        <v>20</v>
      </c>
      <c r="O1365">
        <v>2800</v>
      </c>
      <c r="P1365">
        <v>807.6</v>
      </c>
      <c r="Q1365" t="s">
        <v>39</v>
      </c>
      <c r="R1365" t="s">
        <v>56</v>
      </c>
      <c r="S1365" t="s">
        <v>30</v>
      </c>
    </row>
    <row r="1366" spans="1:19" x14ac:dyDescent="0.3">
      <c r="A1366" t="s">
        <v>2373</v>
      </c>
      <c r="B1366" s="1">
        <v>45503</v>
      </c>
      <c r="C1366" t="s">
        <v>2340</v>
      </c>
      <c r="D1366" t="s">
        <v>2374</v>
      </c>
      <c r="E1366" t="s">
        <v>2375</v>
      </c>
      <c r="F1366" t="s">
        <v>23</v>
      </c>
      <c r="G1366" t="s">
        <v>35</v>
      </c>
      <c r="H1366" t="s">
        <v>36</v>
      </c>
      <c r="I1366" t="s">
        <v>79</v>
      </c>
      <c r="J1366" t="s">
        <v>80</v>
      </c>
      <c r="K1366" t="s">
        <v>65</v>
      </c>
      <c r="L1366">
        <v>1</v>
      </c>
      <c r="M1366">
        <v>3000</v>
      </c>
      <c r="N1366">
        <v>0</v>
      </c>
      <c r="O1366">
        <v>3000</v>
      </c>
      <c r="P1366">
        <v>639.44000000000005</v>
      </c>
      <c r="Q1366" t="s">
        <v>121</v>
      </c>
      <c r="R1366" t="s">
        <v>56</v>
      </c>
      <c r="S1366" t="s">
        <v>110</v>
      </c>
    </row>
    <row r="1367" spans="1:19" x14ac:dyDescent="0.3">
      <c r="A1367" t="s">
        <v>2376</v>
      </c>
      <c r="B1367" s="1">
        <v>45321</v>
      </c>
      <c r="C1367" s="1">
        <v>45353</v>
      </c>
      <c r="D1367" t="s">
        <v>153</v>
      </c>
      <c r="E1367" t="s">
        <v>154</v>
      </c>
      <c r="F1367" t="s">
        <v>23</v>
      </c>
      <c r="G1367" t="s">
        <v>44</v>
      </c>
      <c r="H1367" t="s">
        <v>155</v>
      </c>
      <c r="I1367" t="s">
        <v>79</v>
      </c>
      <c r="J1367" t="s">
        <v>80</v>
      </c>
      <c r="K1367" t="s">
        <v>65</v>
      </c>
      <c r="L1367">
        <v>2</v>
      </c>
      <c r="M1367">
        <v>3000</v>
      </c>
      <c r="N1367">
        <v>0</v>
      </c>
      <c r="O1367">
        <v>6000</v>
      </c>
      <c r="P1367">
        <v>1311.02</v>
      </c>
      <c r="Q1367" t="s">
        <v>156</v>
      </c>
      <c r="R1367" t="s">
        <v>49</v>
      </c>
      <c r="S1367" t="s">
        <v>40</v>
      </c>
    </row>
    <row r="1368" spans="1:19" x14ac:dyDescent="0.3">
      <c r="A1368" t="s">
        <v>2377</v>
      </c>
      <c r="B1368" s="1">
        <v>45772</v>
      </c>
      <c r="C1368" s="1">
        <v>45778</v>
      </c>
      <c r="D1368" t="s">
        <v>830</v>
      </c>
      <c r="E1368" t="s">
        <v>831</v>
      </c>
      <c r="F1368" t="s">
        <v>23</v>
      </c>
      <c r="G1368" t="s">
        <v>61</v>
      </c>
      <c r="H1368" t="s">
        <v>125</v>
      </c>
      <c r="I1368" t="s">
        <v>147</v>
      </c>
      <c r="J1368" t="s">
        <v>148</v>
      </c>
      <c r="K1368" t="s">
        <v>48</v>
      </c>
      <c r="L1368">
        <v>4</v>
      </c>
      <c r="M1368">
        <v>250</v>
      </c>
      <c r="N1368">
        <v>0</v>
      </c>
      <c r="O1368">
        <v>1000</v>
      </c>
      <c r="P1368">
        <v>300.51</v>
      </c>
      <c r="Q1368" t="s">
        <v>39</v>
      </c>
      <c r="R1368" t="s">
        <v>56</v>
      </c>
      <c r="S1368" t="s">
        <v>57</v>
      </c>
    </row>
    <row r="1369" spans="1:19" x14ac:dyDescent="0.3">
      <c r="A1369" t="s">
        <v>2378</v>
      </c>
      <c r="B1369" s="1">
        <v>45506</v>
      </c>
      <c r="C1369" s="1">
        <v>45390</v>
      </c>
      <c r="D1369" t="s">
        <v>2379</v>
      </c>
      <c r="E1369" t="s">
        <v>2380</v>
      </c>
      <c r="F1369" t="s">
        <v>34</v>
      </c>
      <c r="G1369" t="s">
        <v>61</v>
      </c>
      <c r="H1369" t="s">
        <v>211</v>
      </c>
      <c r="I1369" t="s">
        <v>71</v>
      </c>
      <c r="J1369" t="s">
        <v>72</v>
      </c>
      <c r="K1369" t="s">
        <v>73</v>
      </c>
      <c r="L1369">
        <v>2</v>
      </c>
      <c r="M1369">
        <v>3500</v>
      </c>
      <c r="N1369">
        <v>0</v>
      </c>
      <c r="O1369">
        <v>7000</v>
      </c>
      <c r="P1369">
        <v>2312.83</v>
      </c>
      <c r="Q1369" t="s">
        <v>28</v>
      </c>
      <c r="R1369" t="s">
        <v>56</v>
      </c>
      <c r="S1369" t="s">
        <v>30</v>
      </c>
    </row>
    <row r="1370" spans="1:19" x14ac:dyDescent="0.3">
      <c r="A1370" t="s">
        <v>2381</v>
      </c>
      <c r="B1370" s="1">
        <v>45905</v>
      </c>
      <c r="C1370" s="2">
        <v>45792</v>
      </c>
      <c r="D1370" t="s">
        <v>1265</v>
      </c>
      <c r="E1370" t="s">
        <v>1266</v>
      </c>
      <c r="F1370" t="s">
        <v>23</v>
      </c>
      <c r="G1370" t="s">
        <v>35</v>
      </c>
      <c r="H1370" t="s">
        <v>36</v>
      </c>
      <c r="I1370" t="s">
        <v>93</v>
      </c>
      <c r="J1370" t="s">
        <v>94</v>
      </c>
      <c r="K1370" t="s">
        <v>95</v>
      </c>
      <c r="L1370">
        <v>2</v>
      </c>
      <c r="M1370">
        <v>1800</v>
      </c>
      <c r="N1370">
        <v>20</v>
      </c>
      <c r="O1370">
        <v>2880</v>
      </c>
      <c r="P1370">
        <v>815.58</v>
      </c>
      <c r="Q1370" t="s">
        <v>28</v>
      </c>
      <c r="R1370" t="s">
        <v>49</v>
      </c>
      <c r="S1370" t="s">
        <v>40</v>
      </c>
    </row>
    <row r="1371" spans="1:19" x14ac:dyDescent="0.3">
      <c r="A1371" t="s">
        <v>2382</v>
      </c>
      <c r="B1371" t="s">
        <v>591</v>
      </c>
      <c r="C1371" s="2">
        <v>45411</v>
      </c>
      <c r="D1371" t="s">
        <v>1191</v>
      </c>
      <c r="E1371" t="s">
        <v>1192</v>
      </c>
      <c r="F1371" t="s">
        <v>23</v>
      </c>
      <c r="G1371" t="s">
        <v>61</v>
      </c>
      <c r="H1371" t="s">
        <v>211</v>
      </c>
      <c r="I1371" t="s">
        <v>37</v>
      </c>
      <c r="J1371" t="s">
        <v>38</v>
      </c>
      <c r="K1371" t="s">
        <v>27</v>
      </c>
      <c r="L1371">
        <v>5</v>
      </c>
      <c r="M1371">
        <v>9500</v>
      </c>
      <c r="N1371">
        <v>5</v>
      </c>
      <c r="O1371">
        <v>45125</v>
      </c>
      <c r="P1371">
        <v>7863.96</v>
      </c>
      <c r="Q1371" t="s">
        <v>39</v>
      </c>
      <c r="R1371" t="s">
        <v>56</v>
      </c>
      <c r="S1371" t="s">
        <v>50</v>
      </c>
    </row>
    <row r="1372" spans="1:19" x14ac:dyDescent="0.3">
      <c r="A1372" t="s">
        <v>2383</v>
      </c>
      <c r="B1372" s="1">
        <v>45574</v>
      </c>
      <c r="C1372" t="s">
        <v>2384</v>
      </c>
      <c r="D1372" t="s">
        <v>112</v>
      </c>
      <c r="E1372" t="s">
        <v>113</v>
      </c>
      <c r="F1372" t="s">
        <v>23</v>
      </c>
      <c r="G1372" t="s">
        <v>35</v>
      </c>
      <c r="H1372" t="s">
        <v>36</v>
      </c>
      <c r="I1372" t="s">
        <v>46</v>
      </c>
      <c r="J1372" t="s">
        <v>47</v>
      </c>
      <c r="K1372" t="s">
        <v>48</v>
      </c>
      <c r="L1372">
        <v>1</v>
      </c>
      <c r="M1372">
        <v>180</v>
      </c>
      <c r="N1372">
        <v>5</v>
      </c>
      <c r="O1372">
        <v>171</v>
      </c>
      <c r="P1372">
        <v>59.25</v>
      </c>
      <c r="Q1372" t="s">
        <v>66</v>
      </c>
      <c r="R1372" t="s">
        <v>29</v>
      </c>
      <c r="S1372" t="s">
        <v>40</v>
      </c>
    </row>
    <row r="1373" spans="1:19" x14ac:dyDescent="0.3">
      <c r="A1373" t="s">
        <v>2385</v>
      </c>
      <c r="B1373" s="1">
        <v>45454</v>
      </c>
      <c r="C1373" t="s">
        <v>2386</v>
      </c>
      <c r="D1373" t="s">
        <v>1031</v>
      </c>
      <c r="E1373" t="s">
        <v>1032</v>
      </c>
      <c r="F1373" t="s">
        <v>23</v>
      </c>
      <c r="G1373" t="s">
        <v>61</v>
      </c>
      <c r="H1373" t="s">
        <v>211</v>
      </c>
      <c r="I1373" t="s">
        <v>71</v>
      </c>
      <c r="J1373" t="s">
        <v>72</v>
      </c>
      <c r="K1373" t="s">
        <v>73</v>
      </c>
      <c r="L1373">
        <v>1</v>
      </c>
      <c r="M1373">
        <v>3500</v>
      </c>
      <c r="N1373">
        <v>15</v>
      </c>
      <c r="O1373">
        <v>2975</v>
      </c>
      <c r="P1373">
        <v>876.92</v>
      </c>
      <c r="Q1373" t="s">
        <v>66</v>
      </c>
      <c r="R1373" t="s">
        <v>56</v>
      </c>
      <c r="S1373" t="s">
        <v>110</v>
      </c>
    </row>
    <row r="1374" spans="1:19" x14ac:dyDescent="0.3">
      <c r="A1374" t="s">
        <v>2387</v>
      </c>
      <c r="B1374" s="1">
        <v>45517</v>
      </c>
      <c r="C1374" s="2">
        <v>45518</v>
      </c>
      <c r="D1374" t="s">
        <v>1090</v>
      </c>
      <c r="E1374" t="s">
        <v>1091</v>
      </c>
      <c r="F1374" t="s">
        <v>23</v>
      </c>
      <c r="G1374" t="s">
        <v>61</v>
      </c>
      <c r="H1374" t="s">
        <v>78</v>
      </c>
      <c r="I1374" t="s">
        <v>134</v>
      </c>
      <c r="J1374" t="s">
        <v>135</v>
      </c>
      <c r="K1374" t="s">
        <v>27</v>
      </c>
      <c r="L1374">
        <v>3</v>
      </c>
      <c r="M1374">
        <v>6000</v>
      </c>
      <c r="N1374">
        <v>0</v>
      </c>
      <c r="O1374">
        <v>18000</v>
      </c>
      <c r="P1374">
        <v>3641.23</v>
      </c>
      <c r="Q1374" t="s">
        <v>121</v>
      </c>
      <c r="R1374" t="s">
        <v>56</v>
      </c>
      <c r="S1374" t="s">
        <v>30</v>
      </c>
    </row>
    <row r="1375" spans="1:19" x14ac:dyDescent="0.3">
      <c r="A1375" t="s">
        <v>2388</v>
      </c>
      <c r="B1375" s="1">
        <v>45601</v>
      </c>
      <c r="C1375" s="1">
        <v>45605</v>
      </c>
      <c r="D1375" t="s">
        <v>896</v>
      </c>
      <c r="E1375" t="s">
        <v>897</v>
      </c>
      <c r="F1375" t="s">
        <v>55</v>
      </c>
      <c r="G1375" t="s">
        <v>35</v>
      </c>
      <c r="H1375" t="s">
        <v>258</v>
      </c>
      <c r="I1375" t="s">
        <v>147</v>
      </c>
      <c r="J1375" t="s">
        <v>148</v>
      </c>
      <c r="K1375" t="s">
        <v>48</v>
      </c>
      <c r="L1375">
        <v>3</v>
      </c>
      <c r="M1375">
        <v>250</v>
      </c>
      <c r="N1375">
        <v>0</v>
      </c>
      <c r="O1375">
        <v>750</v>
      </c>
      <c r="P1375">
        <v>314.27999999999997</v>
      </c>
      <c r="Q1375" t="s">
        <v>39</v>
      </c>
      <c r="R1375" t="s">
        <v>49</v>
      </c>
      <c r="S1375" t="s">
        <v>110</v>
      </c>
    </row>
    <row r="1376" spans="1:19" x14ac:dyDescent="0.3">
      <c r="A1376" t="s">
        <v>2389</v>
      </c>
      <c r="B1376" s="1">
        <v>45490</v>
      </c>
      <c r="C1376" s="1">
        <v>45496</v>
      </c>
      <c r="D1376" t="s">
        <v>343</v>
      </c>
      <c r="E1376" t="s">
        <v>369</v>
      </c>
      <c r="F1376" t="s">
        <v>34</v>
      </c>
      <c r="G1376" t="s">
        <v>44</v>
      </c>
      <c r="H1376" t="s">
        <v>45</v>
      </c>
      <c r="I1376" t="s">
        <v>126</v>
      </c>
      <c r="J1376" t="s">
        <v>127</v>
      </c>
      <c r="K1376" t="s">
        <v>95</v>
      </c>
      <c r="L1376">
        <v>2</v>
      </c>
      <c r="M1376">
        <v>600</v>
      </c>
      <c r="N1376">
        <v>0</v>
      </c>
      <c r="O1376">
        <v>1200</v>
      </c>
      <c r="P1376">
        <v>375.15</v>
      </c>
      <c r="Q1376" t="s">
        <v>121</v>
      </c>
      <c r="R1376" t="s">
        <v>29</v>
      </c>
      <c r="S1376" t="s">
        <v>86</v>
      </c>
    </row>
    <row r="1377" spans="1:19" x14ac:dyDescent="0.3">
      <c r="A1377" t="s">
        <v>2390</v>
      </c>
      <c r="B1377" s="1">
        <v>45514</v>
      </c>
      <c r="C1377" t="s">
        <v>2391</v>
      </c>
      <c r="D1377" t="s">
        <v>1751</v>
      </c>
      <c r="E1377" t="s">
        <v>1752</v>
      </c>
      <c r="F1377" t="s">
        <v>34</v>
      </c>
      <c r="G1377" t="s">
        <v>44</v>
      </c>
      <c r="H1377" t="s">
        <v>161</v>
      </c>
      <c r="I1377" t="s">
        <v>93</v>
      </c>
      <c r="J1377" t="s">
        <v>94</v>
      </c>
      <c r="K1377" t="s">
        <v>95</v>
      </c>
      <c r="L1377">
        <v>3</v>
      </c>
      <c r="M1377">
        <v>1800</v>
      </c>
      <c r="N1377">
        <v>15</v>
      </c>
      <c r="O1377">
        <v>4590</v>
      </c>
      <c r="P1377">
        <v>1333.2</v>
      </c>
      <c r="Q1377" t="s">
        <v>121</v>
      </c>
      <c r="R1377" t="s">
        <v>49</v>
      </c>
      <c r="S1377" t="s">
        <v>40</v>
      </c>
    </row>
    <row r="1378" spans="1:19" x14ac:dyDescent="0.3">
      <c r="A1378" t="s">
        <v>2392</v>
      </c>
      <c r="B1378" s="1">
        <v>45609</v>
      </c>
      <c r="C1378" t="s">
        <v>2393</v>
      </c>
      <c r="D1378" t="s">
        <v>352</v>
      </c>
      <c r="E1378" t="s">
        <v>353</v>
      </c>
      <c r="F1378" t="s">
        <v>55</v>
      </c>
      <c r="G1378" t="s">
        <v>35</v>
      </c>
      <c r="H1378" t="s">
        <v>36</v>
      </c>
      <c r="I1378" t="s">
        <v>79</v>
      </c>
      <c r="J1378" t="s">
        <v>80</v>
      </c>
      <c r="K1378" t="s">
        <v>65</v>
      </c>
      <c r="L1378">
        <v>1</v>
      </c>
      <c r="M1378">
        <v>3000</v>
      </c>
      <c r="N1378">
        <v>10</v>
      </c>
      <c r="O1378">
        <v>2700</v>
      </c>
      <c r="P1378">
        <v>593.67999999999995</v>
      </c>
      <c r="Q1378" t="s">
        <v>39</v>
      </c>
      <c r="R1378" t="s">
        <v>29</v>
      </c>
      <c r="S1378" t="s">
        <v>50</v>
      </c>
    </row>
    <row r="1379" spans="1:19" x14ac:dyDescent="0.3">
      <c r="A1379" t="s">
        <v>2394</v>
      </c>
      <c r="B1379" s="2">
        <v>45484</v>
      </c>
      <c r="C1379" s="2">
        <v>45486</v>
      </c>
      <c r="D1379" t="s">
        <v>214</v>
      </c>
      <c r="E1379" t="s">
        <v>215</v>
      </c>
      <c r="F1379" t="s">
        <v>55</v>
      </c>
      <c r="G1379" t="s">
        <v>44</v>
      </c>
      <c r="H1379" t="s">
        <v>330</v>
      </c>
      <c r="I1379" t="s">
        <v>134</v>
      </c>
      <c r="J1379" t="s">
        <v>135</v>
      </c>
      <c r="K1379" t="s">
        <v>27</v>
      </c>
      <c r="L1379">
        <v>4</v>
      </c>
      <c r="M1379">
        <v>6000</v>
      </c>
      <c r="N1379">
        <v>0</v>
      </c>
      <c r="O1379">
        <v>24000</v>
      </c>
      <c r="P1379">
        <v>4346.78</v>
      </c>
      <c r="Q1379" t="s">
        <v>156</v>
      </c>
      <c r="R1379" t="s">
        <v>49</v>
      </c>
      <c r="S1379" t="s">
        <v>40</v>
      </c>
    </row>
    <row r="1380" spans="1:19" x14ac:dyDescent="0.3">
      <c r="A1380" t="s">
        <v>2395</v>
      </c>
      <c r="B1380" s="2">
        <v>45818</v>
      </c>
      <c r="C1380" s="1">
        <v>45823</v>
      </c>
      <c r="D1380" t="s">
        <v>787</v>
      </c>
      <c r="E1380" t="s">
        <v>788</v>
      </c>
      <c r="F1380" t="s">
        <v>34</v>
      </c>
      <c r="G1380" t="s">
        <v>35</v>
      </c>
      <c r="H1380" t="s">
        <v>36</v>
      </c>
      <c r="I1380" t="s">
        <v>79</v>
      </c>
      <c r="J1380" t="s">
        <v>80</v>
      </c>
      <c r="K1380" t="s">
        <v>65</v>
      </c>
      <c r="L1380">
        <v>1</v>
      </c>
      <c r="M1380">
        <v>3000</v>
      </c>
      <c r="N1380">
        <v>0</v>
      </c>
      <c r="O1380">
        <v>3000</v>
      </c>
      <c r="P1380">
        <v>784.26</v>
      </c>
      <c r="Q1380" t="s">
        <v>121</v>
      </c>
      <c r="R1380" t="s">
        <v>29</v>
      </c>
      <c r="S1380" t="s">
        <v>40</v>
      </c>
    </row>
    <row r="1381" spans="1:19" x14ac:dyDescent="0.3">
      <c r="A1381" t="s">
        <v>2396</v>
      </c>
      <c r="B1381" s="2">
        <v>45587</v>
      </c>
      <c r="C1381" s="1">
        <v>45595</v>
      </c>
      <c r="D1381" t="s">
        <v>588</v>
      </c>
      <c r="E1381" t="s">
        <v>589</v>
      </c>
      <c r="F1381" t="s">
        <v>23</v>
      </c>
      <c r="G1381" t="s">
        <v>61</v>
      </c>
      <c r="H1381" t="s">
        <v>62</v>
      </c>
      <c r="I1381" t="s">
        <v>46</v>
      </c>
      <c r="J1381" t="s">
        <v>47</v>
      </c>
      <c r="K1381" t="s">
        <v>48</v>
      </c>
      <c r="L1381">
        <v>2</v>
      </c>
      <c r="M1381">
        <v>180</v>
      </c>
      <c r="N1381">
        <v>15</v>
      </c>
      <c r="O1381">
        <v>306</v>
      </c>
      <c r="P1381">
        <v>138.94</v>
      </c>
      <c r="Q1381" t="s">
        <v>39</v>
      </c>
      <c r="R1381" t="s">
        <v>56</v>
      </c>
      <c r="S1381" t="s">
        <v>86</v>
      </c>
    </row>
    <row r="1382" spans="1:19" x14ac:dyDescent="0.3">
      <c r="A1382" t="s">
        <v>2397</v>
      </c>
      <c r="B1382" s="1">
        <v>45952</v>
      </c>
      <c r="C1382" t="s">
        <v>620</v>
      </c>
      <c r="D1382" t="s">
        <v>896</v>
      </c>
      <c r="E1382" t="s">
        <v>897</v>
      </c>
      <c r="F1382" t="s">
        <v>55</v>
      </c>
      <c r="G1382" t="s">
        <v>35</v>
      </c>
      <c r="H1382" t="s">
        <v>258</v>
      </c>
      <c r="I1382" t="s">
        <v>93</v>
      </c>
      <c r="J1382" t="s">
        <v>94</v>
      </c>
      <c r="K1382" t="s">
        <v>95</v>
      </c>
      <c r="L1382">
        <v>2</v>
      </c>
      <c r="M1382">
        <v>1800</v>
      </c>
      <c r="N1382">
        <v>0</v>
      </c>
      <c r="O1382">
        <v>3600</v>
      </c>
      <c r="P1382">
        <v>1308.33</v>
      </c>
      <c r="Q1382" t="s">
        <v>74</v>
      </c>
      <c r="R1382" t="s">
        <v>29</v>
      </c>
      <c r="S1382" t="s">
        <v>50</v>
      </c>
    </row>
    <row r="1383" spans="1:19" x14ac:dyDescent="0.3">
      <c r="A1383" t="s">
        <v>2398</v>
      </c>
      <c r="B1383" s="1">
        <v>45327</v>
      </c>
      <c r="C1383" s="1">
        <v>45506</v>
      </c>
      <c r="D1383" t="s">
        <v>609</v>
      </c>
      <c r="E1383" t="s">
        <v>610</v>
      </c>
      <c r="F1383" t="s">
        <v>23</v>
      </c>
      <c r="G1383" t="s">
        <v>44</v>
      </c>
      <c r="H1383" t="s">
        <v>155</v>
      </c>
      <c r="I1383" t="s">
        <v>114</v>
      </c>
      <c r="J1383" t="s">
        <v>115</v>
      </c>
      <c r="K1383" t="s">
        <v>65</v>
      </c>
      <c r="L1383">
        <v>10</v>
      </c>
      <c r="M1383">
        <v>55000</v>
      </c>
      <c r="N1383">
        <v>10</v>
      </c>
      <c r="O1383">
        <v>495000</v>
      </c>
      <c r="P1383">
        <v>62951.02</v>
      </c>
      <c r="Q1383" t="s">
        <v>74</v>
      </c>
      <c r="R1383" t="s">
        <v>29</v>
      </c>
      <c r="S1383" t="s">
        <v>110</v>
      </c>
    </row>
    <row r="1384" spans="1:19" x14ac:dyDescent="0.3">
      <c r="A1384" t="s">
        <v>2399</v>
      </c>
      <c r="B1384" s="1">
        <v>45632</v>
      </c>
      <c r="C1384" s="2">
        <v>45459</v>
      </c>
      <c r="D1384" t="s">
        <v>301</v>
      </c>
      <c r="E1384" t="s">
        <v>302</v>
      </c>
      <c r="F1384" t="s">
        <v>34</v>
      </c>
      <c r="G1384" t="s">
        <v>44</v>
      </c>
      <c r="H1384" t="s">
        <v>24</v>
      </c>
      <c r="I1384" t="s">
        <v>79</v>
      </c>
      <c r="J1384" t="s">
        <v>80</v>
      </c>
      <c r="K1384" t="s">
        <v>65</v>
      </c>
      <c r="L1384">
        <v>10</v>
      </c>
      <c r="M1384">
        <v>3000</v>
      </c>
      <c r="N1384">
        <v>0</v>
      </c>
      <c r="O1384">
        <v>30000</v>
      </c>
      <c r="P1384">
        <v>8387.99</v>
      </c>
      <c r="Q1384" t="s">
        <v>156</v>
      </c>
      <c r="R1384" t="s">
        <v>49</v>
      </c>
      <c r="S1384" t="s">
        <v>110</v>
      </c>
    </row>
    <row r="1385" spans="1:19" x14ac:dyDescent="0.3">
      <c r="A1385" t="s">
        <v>2400</v>
      </c>
      <c r="B1385" s="1">
        <v>45820</v>
      </c>
      <c r="C1385" t="s">
        <v>2401</v>
      </c>
      <c r="D1385" t="s">
        <v>1579</v>
      </c>
      <c r="E1385" t="s">
        <v>1580</v>
      </c>
      <c r="F1385" t="s">
        <v>55</v>
      </c>
      <c r="G1385" t="s">
        <v>44</v>
      </c>
      <c r="H1385" t="s">
        <v>45</v>
      </c>
      <c r="I1385" t="s">
        <v>37</v>
      </c>
      <c r="J1385" t="s">
        <v>38</v>
      </c>
      <c r="K1385" t="s">
        <v>27</v>
      </c>
      <c r="L1385">
        <v>1</v>
      </c>
      <c r="M1385">
        <v>9500</v>
      </c>
      <c r="N1385">
        <v>0</v>
      </c>
      <c r="O1385">
        <v>9500</v>
      </c>
      <c r="P1385">
        <v>1637.94</v>
      </c>
      <c r="Q1385" t="s">
        <v>121</v>
      </c>
      <c r="R1385" t="s">
        <v>49</v>
      </c>
      <c r="S1385" t="s">
        <v>50</v>
      </c>
    </row>
    <row r="1386" spans="1:19" x14ac:dyDescent="0.3">
      <c r="A1386" t="s">
        <v>2402</v>
      </c>
      <c r="B1386" s="1">
        <v>45546</v>
      </c>
      <c r="C1386" s="1">
        <v>45635</v>
      </c>
      <c r="D1386" t="s">
        <v>1058</v>
      </c>
      <c r="E1386" t="s">
        <v>1059</v>
      </c>
      <c r="F1386" t="s">
        <v>55</v>
      </c>
      <c r="G1386" t="s">
        <v>91</v>
      </c>
      <c r="H1386" t="s">
        <v>92</v>
      </c>
      <c r="I1386" t="s">
        <v>126</v>
      </c>
      <c r="J1386" t="s">
        <v>127</v>
      </c>
      <c r="K1386" t="s">
        <v>95</v>
      </c>
      <c r="L1386">
        <v>1</v>
      </c>
      <c r="M1386">
        <v>600</v>
      </c>
      <c r="N1386">
        <v>0</v>
      </c>
      <c r="O1386">
        <v>600</v>
      </c>
      <c r="P1386">
        <v>240.26</v>
      </c>
      <c r="Q1386" t="s">
        <v>39</v>
      </c>
      <c r="R1386" t="s">
        <v>29</v>
      </c>
      <c r="S1386" t="s">
        <v>86</v>
      </c>
    </row>
    <row r="1387" spans="1:19" x14ac:dyDescent="0.3">
      <c r="A1387" t="s">
        <v>2403</v>
      </c>
      <c r="B1387" s="1">
        <v>45648</v>
      </c>
      <c r="C1387" s="1">
        <v>45654</v>
      </c>
      <c r="D1387" t="s">
        <v>761</v>
      </c>
      <c r="E1387" t="s">
        <v>762</v>
      </c>
      <c r="F1387" t="s">
        <v>23</v>
      </c>
      <c r="G1387" t="s">
        <v>44</v>
      </c>
      <c r="H1387" t="s">
        <v>330</v>
      </c>
      <c r="I1387" t="s">
        <v>126</v>
      </c>
      <c r="J1387" t="s">
        <v>127</v>
      </c>
      <c r="K1387" t="s">
        <v>95</v>
      </c>
      <c r="L1387">
        <v>1</v>
      </c>
      <c r="M1387">
        <v>600</v>
      </c>
      <c r="N1387">
        <v>0</v>
      </c>
      <c r="O1387">
        <v>600</v>
      </c>
      <c r="P1387">
        <v>249.47</v>
      </c>
      <c r="Q1387" t="s">
        <v>74</v>
      </c>
      <c r="R1387" t="s">
        <v>29</v>
      </c>
      <c r="S1387" t="s">
        <v>30</v>
      </c>
    </row>
    <row r="1388" spans="1:19" x14ac:dyDescent="0.3">
      <c r="A1388" t="s">
        <v>2404</v>
      </c>
      <c r="B1388" s="1">
        <v>45359</v>
      </c>
      <c r="C1388" s="1">
        <v>45360</v>
      </c>
      <c r="D1388" t="s">
        <v>2405</v>
      </c>
      <c r="E1388" t="s">
        <v>2406</v>
      </c>
      <c r="F1388" t="s">
        <v>55</v>
      </c>
      <c r="G1388" t="s">
        <v>61</v>
      </c>
      <c r="H1388" t="s">
        <v>78</v>
      </c>
      <c r="I1388" t="s">
        <v>79</v>
      </c>
      <c r="J1388" t="s">
        <v>80</v>
      </c>
      <c r="K1388" t="s">
        <v>65</v>
      </c>
      <c r="L1388">
        <v>1</v>
      </c>
      <c r="M1388">
        <v>3000</v>
      </c>
      <c r="N1388">
        <v>10</v>
      </c>
      <c r="O1388">
        <v>2700</v>
      </c>
      <c r="P1388">
        <v>697.7</v>
      </c>
      <c r="Q1388" t="s">
        <v>121</v>
      </c>
      <c r="R1388" t="s">
        <v>29</v>
      </c>
      <c r="S1388" t="s">
        <v>50</v>
      </c>
    </row>
    <row r="1389" spans="1:19" x14ac:dyDescent="0.3">
      <c r="A1389" t="s">
        <v>2407</v>
      </c>
      <c r="B1389" s="1">
        <v>45996</v>
      </c>
      <c r="C1389" s="1">
        <v>45998</v>
      </c>
      <c r="D1389" t="s">
        <v>660</v>
      </c>
      <c r="E1389" t="s">
        <v>661</v>
      </c>
      <c r="F1389" t="s">
        <v>23</v>
      </c>
      <c r="G1389" t="s">
        <v>44</v>
      </c>
      <c r="H1389" t="s">
        <v>330</v>
      </c>
      <c r="I1389" t="s">
        <v>93</v>
      </c>
      <c r="J1389" t="s">
        <v>94</v>
      </c>
      <c r="K1389" t="s">
        <v>95</v>
      </c>
      <c r="L1389">
        <v>1</v>
      </c>
      <c r="M1389">
        <v>1800</v>
      </c>
      <c r="N1389">
        <v>0</v>
      </c>
      <c r="O1389">
        <v>1800</v>
      </c>
      <c r="P1389">
        <v>593.16</v>
      </c>
      <c r="Q1389" t="s">
        <v>39</v>
      </c>
      <c r="R1389" t="s">
        <v>29</v>
      </c>
      <c r="S1389" t="s">
        <v>50</v>
      </c>
    </row>
    <row r="1390" spans="1:19" x14ac:dyDescent="0.3">
      <c r="A1390" t="s">
        <v>2408</v>
      </c>
      <c r="B1390" s="1">
        <v>45942</v>
      </c>
      <c r="C1390" s="1">
        <v>45949</v>
      </c>
      <c r="D1390" t="s">
        <v>169</v>
      </c>
      <c r="E1390" t="s">
        <v>170</v>
      </c>
      <c r="F1390" t="s">
        <v>55</v>
      </c>
      <c r="G1390" t="s">
        <v>91</v>
      </c>
      <c r="H1390" t="s">
        <v>92</v>
      </c>
      <c r="I1390" t="s">
        <v>71</v>
      </c>
      <c r="J1390" t="s">
        <v>72</v>
      </c>
      <c r="K1390" t="s">
        <v>73</v>
      </c>
      <c r="L1390">
        <v>1</v>
      </c>
      <c r="M1390">
        <v>3500</v>
      </c>
      <c r="N1390">
        <v>0</v>
      </c>
      <c r="O1390">
        <v>3500</v>
      </c>
      <c r="P1390">
        <v>825.75</v>
      </c>
      <c r="Q1390" t="s">
        <v>74</v>
      </c>
      <c r="R1390" t="s">
        <v>49</v>
      </c>
      <c r="S1390" t="s">
        <v>50</v>
      </c>
    </row>
    <row r="1391" spans="1:19" x14ac:dyDescent="0.3">
      <c r="A1391" t="s">
        <v>2409</v>
      </c>
      <c r="B1391" s="1">
        <v>45387</v>
      </c>
      <c r="C1391" s="1">
        <v>45570</v>
      </c>
      <c r="D1391" t="s">
        <v>132</v>
      </c>
      <c r="E1391" t="s">
        <v>133</v>
      </c>
      <c r="F1391" t="s">
        <v>23</v>
      </c>
      <c r="G1391" t="s">
        <v>91</v>
      </c>
      <c r="H1391" t="s">
        <v>120</v>
      </c>
      <c r="I1391" t="s">
        <v>114</v>
      </c>
      <c r="J1391" t="s">
        <v>115</v>
      </c>
      <c r="K1391" t="s">
        <v>65</v>
      </c>
      <c r="L1391">
        <v>4</v>
      </c>
      <c r="M1391">
        <v>55000</v>
      </c>
      <c r="N1391">
        <v>5</v>
      </c>
      <c r="O1391">
        <v>209000</v>
      </c>
      <c r="P1391">
        <v>31858.18</v>
      </c>
      <c r="Q1391" t="s">
        <v>74</v>
      </c>
      <c r="R1391" t="s">
        <v>49</v>
      </c>
      <c r="S1391" t="s">
        <v>110</v>
      </c>
    </row>
    <row r="1392" spans="1:19" x14ac:dyDescent="0.3">
      <c r="A1392" t="s">
        <v>2410</v>
      </c>
      <c r="B1392" s="2">
        <v>45677</v>
      </c>
      <c r="C1392" s="1">
        <v>45680</v>
      </c>
      <c r="D1392" t="s">
        <v>1315</v>
      </c>
      <c r="E1392" t="s">
        <v>1316</v>
      </c>
      <c r="F1392" t="s">
        <v>34</v>
      </c>
      <c r="G1392" t="s">
        <v>91</v>
      </c>
      <c r="H1392" t="s">
        <v>92</v>
      </c>
      <c r="I1392" t="s">
        <v>93</v>
      </c>
      <c r="J1392" t="s">
        <v>94</v>
      </c>
      <c r="K1392" t="s">
        <v>95</v>
      </c>
      <c r="L1392">
        <v>1</v>
      </c>
      <c r="M1392">
        <v>1800</v>
      </c>
      <c r="N1392">
        <v>0</v>
      </c>
      <c r="O1392">
        <v>1800</v>
      </c>
      <c r="P1392">
        <v>650.5</v>
      </c>
      <c r="Q1392" t="s">
        <v>156</v>
      </c>
      <c r="R1392" t="s">
        <v>49</v>
      </c>
      <c r="S1392" t="s">
        <v>86</v>
      </c>
    </row>
    <row r="1393" spans="1:19" x14ac:dyDescent="0.3">
      <c r="A1393" t="s">
        <v>2411</v>
      </c>
      <c r="B1393" s="1">
        <v>45800</v>
      </c>
      <c r="C1393" t="s">
        <v>2412</v>
      </c>
      <c r="D1393" t="s">
        <v>460</v>
      </c>
      <c r="E1393" t="s">
        <v>461</v>
      </c>
      <c r="F1393" t="s">
        <v>34</v>
      </c>
      <c r="G1393" t="s">
        <v>61</v>
      </c>
      <c r="H1393" t="s">
        <v>62</v>
      </c>
      <c r="I1393" t="s">
        <v>25</v>
      </c>
      <c r="J1393" t="s">
        <v>26</v>
      </c>
      <c r="K1393" t="s">
        <v>27</v>
      </c>
      <c r="L1393">
        <v>4</v>
      </c>
      <c r="M1393">
        <v>7000</v>
      </c>
      <c r="N1393">
        <v>0</v>
      </c>
      <c r="O1393">
        <v>28000</v>
      </c>
      <c r="P1393">
        <v>5789.96</v>
      </c>
      <c r="Q1393" t="s">
        <v>74</v>
      </c>
      <c r="R1393" t="s">
        <v>56</v>
      </c>
      <c r="S1393" t="s">
        <v>30</v>
      </c>
    </row>
    <row r="1394" spans="1:19" x14ac:dyDescent="0.3">
      <c r="A1394" t="s">
        <v>2413</v>
      </c>
      <c r="B1394" s="1">
        <v>45294</v>
      </c>
      <c r="C1394" s="1">
        <v>45597</v>
      </c>
      <c r="D1394" t="s">
        <v>1202</v>
      </c>
      <c r="E1394" t="s">
        <v>1203</v>
      </c>
      <c r="F1394" t="s">
        <v>34</v>
      </c>
      <c r="G1394" t="s">
        <v>44</v>
      </c>
      <c r="H1394" t="s">
        <v>24</v>
      </c>
      <c r="I1394" t="s">
        <v>114</v>
      </c>
      <c r="J1394" t="s">
        <v>115</v>
      </c>
      <c r="K1394" t="s">
        <v>65</v>
      </c>
      <c r="L1394">
        <v>1</v>
      </c>
      <c r="M1394">
        <v>55000</v>
      </c>
      <c r="N1394">
        <v>0</v>
      </c>
      <c r="O1394">
        <v>55000</v>
      </c>
      <c r="P1394">
        <v>10715.87</v>
      </c>
      <c r="Q1394" t="s">
        <v>66</v>
      </c>
      <c r="R1394" t="s">
        <v>56</v>
      </c>
      <c r="S1394" t="s">
        <v>110</v>
      </c>
    </row>
    <row r="1395" spans="1:19" x14ac:dyDescent="0.3">
      <c r="A1395" t="s">
        <v>2414</v>
      </c>
      <c r="B1395" s="1">
        <v>45521</v>
      </c>
      <c r="C1395" t="s">
        <v>2415</v>
      </c>
      <c r="D1395" t="s">
        <v>1796</v>
      </c>
      <c r="E1395" t="s">
        <v>1797</v>
      </c>
      <c r="F1395" t="s">
        <v>55</v>
      </c>
      <c r="G1395" t="s">
        <v>44</v>
      </c>
      <c r="H1395" t="s">
        <v>330</v>
      </c>
      <c r="I1395" t="s">
        <v>37</v>
      </c>
      <c r="J1395" t="s">
        <v>38</v>
      </c>
      <c r="K1395" t="s">
        <v>27</v>
      </c>
      <c r="L1395">
        <v>1</v>
      </c>
      <c r="M1395">
        <v>9500</v>
      </c>
      <c r="N1395">
        <v>15</v>
      </c>
      <c r="O1395">
        <v>8075</v>
      </c>
      <c r="P1395">
        <v>1602.71</v>
      </c>
      <c r="Q1395" t="s">
        <v>74</v>
      </c>
      <c r="R1395" t="s">
        <v>29</v>
      </c>
      <c r="S1395" t="s">
        <v>110</v>
      </c>
    </row>
    <row r="1396" spans="1:19" x14ac:dyDescent="0.3">
      <c r="A1396" t="s">
        <v>2416</v>
      </c>
      <c r="B1396" s="1">
        <v>45554</v>
      </c>
      <c r="C1396" s="1">
        <v>45557</v>
      </c>
      <c r="D1396" t="s">
        <v>438</v>
      </c>
      <c r="E1396" t="s">
        <v>439</v>
      </c>
      <c r="F1396" t="s">
        <v>34</v>
      </c>
      <c r="G1396" t="s">
        <v>35</v>
      </c>
      <c r="H1396" t="s">
        <v>85</v>
      </c>
      <c r="I1396" t="s">
        <v>147</v>
      </c>
      <c r="J1396" t="s">
        <v>148</v>
      </c>
      <c r="K1396" t="s">
        <v>48</v>
      </c>
      <c r="L1396">
        <v>3</v>
      </c>
      <c r="M1396">
        <v>250</v>
      </c>
      <c r="N1396">
        <v>5</v>
      </c>
      <c r="O1396">
        <v>712.5</v>
      </c>
      <c r="P1396">
        <v>273.63</v>
      </c>
      <c r="Q1396" t="s">
        <v>66</v>
      </c>
      <c r="R1396" t="s">
        <v>56</v>
      </c>
      <c r="S1396" t="s">
        <v>30</v>
      </c>
    </row>
    <row r="1397" spans="1:19" x14ac:dyDescent="0.3">
      <c r="A1397" t="s">
        <v>2417</v>
      </c>
      <c r="B1397" s="1">
        <v>45625</v>
      </c>
      <c r="C1397" s="1">
        <v>45627</v>
      </c>
      <c r="D1397" t="s">
        <v>1950</v>
      </c>
      <c r="E1397" t="s">
        <v>2418</v>
      </c>
      <c r="F1397" t="s">
        <v>55</v>
      </c>
      <c r="G1397" t="s">
        <v>35</v>
      </c>
      <c r="H1397" t="s">
        <v>85</v>
      </c>
      <c r="I1397" t="s">
        <v>71</v>
      </c>
      <c r="J1397" t="s">
        <v>72</v>
      </c>
      <c r="K1397" t="s">
        <v>73</v>
      </c>
      <c r="L1397">
        <v>1</v>
      </c>
      <c r="M1397">
        <v>3500</v>
      </c>
      <c r="N1397">
        <v>5</v>
      </c>
      <c r="O1397">
        <v>3325</v>
      </c>
      <c r="P1397">
        <v>915.11</v>
      </c>
      <c r="Q1397" t="s">
        <v>74</v>
      </c>
      <c r="R1397" t="s">
        <v>49</v>
      </c>
      <c r="S1397" t="s">
        <v>30</v>
      </c>
    </row>
    <row r="1398" spans="1:19" x14ac:dyDescent="0.3">
      <c r="A1398" t="s">
        <v>2419</v>
      </c>
      <c r="B1398" s="1">
        <v>45599</v>
      </c>
      <c r="C1398" s="1">
        <v>45603</v>
      </c>
      <c r="D1398" t="s">
        <v>182</v>
      </c>
      <c r="E1398" t="s">
        <v>183</v>
      </c>
      <c r="F1398" t="s">
        <v>55</v>
      </c>
      <c r="G1398" t="s">
        <v>44</v>
      </c>
      <c r="H1398" t="s">
        <v>45</v>
      </c>
      <c r="I1398" t="s">
        <v>79</v>
      </c>
      <c r="J1398" t="s">
        <v>80</v>
      </c>
      <c r="K1398" t="s">
        <v>65</v>
      </c>
      <c r="L1398">
        <v>3</v>
      </c>
      <c r="M1398">
        <v>3000</v>
      </c>
      <c r="N1398">
        <v>5</v>
      </c>
      <c r="O1398">
        <v>8550</v>
      </c>
      <c r="P1398">
        <v>2042.73</v>
      </c>
      <c r="Q1398" t="s">
        <v>74</v>
      </c>
      <c r="R1398" t="s">
        <v>56</v>
      </c>
      <c r="S1398" t="s">
        <v>50</v>
      </c>
    </row>
    <row r="1399" spans="1:19" x14ac:dyDescent="0.3">
      <c r="A1399" t="s">
        <v>2420</v>
      </c>
      <c r="B1399" s="1">
        <v>45515</v>
      </c>
      <c r="C1399" s="1">
        <v>45520</v>
      </c>
      <c r="D1399" t="s">
        <v>973</v>
      </c>
      <c r="E1399" t="s">
        <v>974</v>
      </c>
      <c r="F1399" t="s">
        <v>34</v>
      </c>
      <c r="G1399" t="s">
        <v>91</v>
      </c>
      <c r="H1399" t="s">
        <v>177</v>
      </c>
      <c r="I1399" t="s">
        <v>134</v>
      </c>
      <c r="J1399" t="s">
        <v>135</v>
      </c>
      <c r="K1399" t="s">
        <v>27</v>
      </c>
      <c r="L1399">
        <v>1</v>
      </c>
      <c r="M1399">
        <v>6000</v>
      </c>
      <c r="N1399">
        <v>0</v>
      </c>
      <c r="O1399">
        <v>6000</v>
      </c>
      <c r="P1399">
        <v>1131.33</v>
      </c>
      <c r="Q1399" t="s">
        <v>28</v>
      </c>
      <c r="R1399" t="s">
        <v>49</v>
      </c>
      <c r="S1399" t="s">
        <v>110</v>
      </c>
    </row>
    <row r="1400" spans="1:19" x14ac:dyDescent="0.3">
      <c r="A1400" t="s">
        <v>2421</v>
      </c>
      <c r="B1400" t="s">
        <v>2422</v>
      </c>
      <c r="C1400" s="1">
        <v>45897</v>
      </c>
      <c r="D1400" t="s">
        <v>1588</v>
      </c>
      <c r="E1400" t="s">
        <v>1589</v>
      </c>
      <c r="F1400" t="s">
        <v>34</v>
      </c>
      <c r="G1400" t="s">
        <v>61</v>
      </c>
      <c r="H1400" t="s">
        <v>78</v>
      </c>
      <c r="I1400" t="s">
        <v>114</v>
      </c>
      <c r="J1400" t="s">
        <v>115</v>
      </c>
      <c r="K1400" t="s">
        <v>65</v>
      </c>
      <c r="L1400">
        <v>1</v>
      </c>
      <c r="M1400">
        <v>55000</v>
      </c>
      <c r="N1400">
        <v>0</v>
      </c>
      <c r="O1400">
        <v>55000</v>
      </c>
      <c r="P1400">
        <v>10537.72</v>
      </c>
      <c r="Q1400" t="s">
        <v>39</v>
      </c>
      <c r="R1400" t="s">
        <v>29</v>
      </c>
      <c r="S1400" t="s">
        <v>40</v>
      </c>
    </row>
    <row r="1401" spans="1:19" x14ac:dyDescent="0.3">
      <c r="A1401" t="s">
        <v>2423</v>
      </c>
      <c r="B1401" s="1">
        <v>45555</v>
      </c>
      <c r="C1401" s="1">
        <v>45562</v>
      </c>
      <c r="D1401" t="s">
        <v>129</v>
      </c>
      <c r="E1401" t="s">
        <v>130</v>
      </c>
      <c r="F1401" t="s">
        <v>34</v>
      </c>
      <c r="G1401" t="s">
        <v>61</v>
      </c>
      <c r="H1401" t="s">
        <v>78</v>
      </c>
      <c r="I1401" t="s">
        <v>71</v>
      </c>
      <c r="J1401" t="s">
        <v>72</v>
      </c>
      <c r="K1401" t="s">
        <v>73</v>
      </c>
      <c r="L1401">
        <v>3</v>
      </c>
      <c r="M1401">
        <v>3500</v>
      </c>
      <c r="N1401">
        <v>15</v>
      </c>
      <c r="O1401">
        <v>8925</v>
      </c>
      <c r="P1401">
        <v>3007.85</v>
      </c>
      <c r="Q1401" t="s">
        <v>66</v>
      </c>
      <c r="R1401" t="s">
        <v>29</v>
      </c>
      <c r="S1401" t="s">
        <v>40</v>
      </c>
    </row>
    <row r="1402" spans="1:19" x14ac:dyDescent="0.3">
      <c r="A1402" t="s">
        <v>2424</v>
      </c>
      <c r="B1402" s="1">
        <v>45315</v>
      </c>
      <c r="C1402" s="1">
        <v>45319</v>
      </c>
      <c r="D1402" t="s">
        <v>192</v>
      </c>
      <c r="E1402" t="s">
        <v>193</v>
      </c>
      <c r="F1402" t="s">
        <v>55</v>
      </c>
      <c r="G1402" t="s">
        <v>35</v>
      </c>
      <c r="H1402" t="s">
        <v>36</v>
      </c>
      <c r="I1402" t="s">
        <v>147</v>
      </c>
      <c r="J1402" t="s">
        <v>148</v>
      </c>
      <c r="K1402" t="s">
        <v>48</v>
      </c>
      <c r="L1402">
        <v>1</v>
      </c>
      <c r="M1402">
        <v>250</v>
      </c>
      <c r="N1402">
        <v>15</v>
      </c>
      <c r="O1402">
        <v>212.5</v>
      </c>
      <c r="P1402">
        <v>77.790000000000006</v>
      </c>
      <c r="Q1402" t="s">
        <v>39</v>
      </c>
      <c r="R1402" t="s">
        <v>56</v>
      </c>
      <c r="S1402" t="s">
        <v>110</v>
      </c>
    </row>
    <row r="1403" spans="1:19" x14ac:dyDescent="0.3">
      <c r="A1403" t="s">
        <v>2425</v>
      </c>
      <c r="B1403" t="s">
        <v>284</v>
      </c>
      <c r="C1403" s="1">
        <v>45916</v>
      </c>
      <c r="D1403" t="s">
        <v>217</v>
      </c>
      <c r="E1403" t="s">
        <v>218</v>
      </c>
      <c r="F1403" t="s">
        <v>23</v>
      </c>
      <c r="G1403" t="s">
        <v>91</v>
      </c>
      <c r="H1403" t="s">
        <v>109</v>
      </c>
      <c r="I1403" t="s">
        <v>114</v>
      </c>
      <c r="J1403" t="s">
        <v>115</v>
      </c>
      <c r="K1403" t="s">
        <v>65</v>
      </c>
      <c r="L1403">
        <v>5</v>
      </c>
      <c r="M1403">
        <v>55000</v>
      </c>
      <c r="N1403">
        <v>20</v>
      </c>
      <c r="O1403">
        <v>220000</v>
      </c>
      <c r="P1403">
        <v>38704.58</v>
      </c>
      <c r="Q1403" t="s">
        <v>121</v>
      </c>
      <c r="R1403" t="s">
        <v>49</v>
      </c>
      <c r="S1403" t="s">
        <v>110</v>
      </c>
    </row>
    <row r="1404" spans="1:19" x14ac:dyDescent="0.3">
      <c r="A1404" t="s">
        <v>2426</v>
      </c>
      <c r="B1404" s="1">
        <v>45483</v>
      </c>
      <c r="C1404" s="2">
        <v>45490</v>
      </c>
      <c r="D1404" t="s">
        <v>1729</v>
      </c>
      <c r="E1404" t="s">
        <v>1730</v>
      </c>
      <c r="F1404" t="s">
        <v>34</v>
      </c>
      <c r="G1404" t="s">
        <v>35</v>
      </c>
      <c r="H1404" t="s">
        <v>258</v>
      </c>
      <c r="I1404" t="s">
        <v>103</v>
      </c>
      <c r="J1404" t="s">
        <v>104</v>
      </c>
      <c r="K1404" t="s">
        <v>65</v>
      </c>
      <c r="L1404">
        <v>1</v>
      </c>
      <c r="M1404">
        <v>8000</v>
      </c>
      <c r="N1404">
        <v>0</v>
      </c>
      <c r="O1404">
        <v>8000</v>
      </c>
      <c r="P1404">
        <v>1976.7</v>
      </c>
      <c r="Q1404" t="s">
        <v>74</v>
      </c>
      <c r="R1404" t="s">
        <v>56</v>
      </c>
      <c r="S1404" t="s">
        <v>110</v>
      </c>
    </row>
    <row r="1405" spans="1:19" x14ac:dyDescent="0.3">
      <c r="A1405" t="s">
        <v>2427</v>
      </c>
      <c r="B1405" s="1">
        <v>45977</v>
      </c>
      <c r="C1405" s="2">
        <v>45978</v>
      </c>
      <c r="D1405" t="s">
        <v>936</v>
      </c>
      <c r="E1405" t="s">
        <v>937</v>
      </c>
      <c r="F1405" t="s">
        <v>23</v>
      </c>
      <c r="G1405" t="s">
        <v>44</v>
      </c>
      <c r="H1405" t="s">
        <v>161</v>
      </c>
      <c r="I1405" t="s">
        <v>114</v>
      </c>
      <c r="J1405" t="s">
        <v>115</v>
      </c>
      <c r="K1405" t="s">
        <v>65</v>
      </c>
      <c r="L1405">
        <v>2</v>
      </c>
      <c r="M1405">
        <v>55000</v>
      </c>
      <c r="N1405">
        <v>0</v>
      </c>
      <c r="O1405">
        <v>110000</v>
      </c>
      <c r="P1405">
        <v>14177.83</v>
      </c>
      <c r="Q1405" t="s">
        <v>121</v>
      </c>
      <c r="R1405" t="s">
        <v>29</v>
      </c>
      <c r="S1405" t="s">
        <v>40</v>
      </c>
    </row>
    <row r="1406" spans="1:19" x14ac:dyDescent="0.3">
      <c r="A1406" t="s">
        <v>2428</v>
      </c>
      <c r="B1406" s="1">
        <v>45455</v>
      </c>
      <c r="C1406" t="s">
        <v>649</v>
      </c>
      <c r="D1406" t="s">
        <v>1132</v>
      </c>
      <c r="E1406" t="s">
        <v>1133</v>
      </c>
      <c r="F1406" t="s">
        <v>34</v>
      </c>
      <c r="G1406" t="s">
        <v>91</v>
      </c>
      <c r="H1406" t="s">
        <v>177</v>
      </c>
      <c r="I1406" t="s">
        <v>37</v>
      </c>
      <c r="J1406" t="s">
        <v>38</v>
      </c>
      <c r="K1406" t="s">
        <v>27</v>
      </c>
      <c r="L1406">
        <v>2</v>
      </c>
      <c r="M1406">
        <v>9500</v>
      </c>
      <c r="N1406">
        <v>10</v>
      </c>
      <c r="O1406">
        <v>17100</v>
      </c>
      <c r="P1406">
        <v>2909.53</v>
      </c>
      <c r="Q1406" t="s">
        <v>66</v>
      </c>
      <c r="R1406" t="s">
        <v>29</v>
      </c>
      <c r="S1406" t="s">
        <v>86</v>
      </c>
    </row>
    <row r="1407" spans="1:19" x14ac:dyDescent="0.3">
      <c r="A1407" t="s">
        <v>2429</v>
      </c>
      <c r="B1407" s="1">
        <v>45439</v>
      </c>
      <c r="C1407" s="2">
        <v>45441</v>
      </c>
      <c r="D1407" t="s">
        <v>76</v>
      </c>
      <c r="E1407" t="s">
        <v>666</v>
      </c>
      <c r="F1407" t="s">
        <v>23</v>
      </c>
      <c r="G1407" t="s">
        <v>61</v>
      </c>
      <c r="H1407" t="s">
        <v>78</v>
      </c>
      <c r="I1407" t="s">
        <v>93</v>
      </c>
      <c r="J1407" t="s">
        <v>94</v>
      </c>
      <c r="K1407" t="s">
        <v>95</v>
      </c>
      <c r="L1407">
        <v>3</v>
      </c>
      <c r="M1407">
        <v>1800</v>
      </c>
      <c r="N1407">
        <v>15</v>
      </c>
      <c r="O1407">
        <v>4590</v>
      </c>
      <c r="P1407">
        <v>1652.06</v>
      </c>
      <c r="Q1407" t="s">
        <v>74</v>
      </c>
      <c r="R1407" t="s">
        <v>29</v>
      </c>
      <c r="S1407" t="s">
        <v>40</v>
      </c>
    </row>
    <row r="1408" spans="1:19" x14ac:dyDescent="0.3">
      <c r="A1408" t="s">
        <v>2430</v>
      </c>
      <c r="B1408" s="1">
        <v>45496</v>
      </c>
      <c r="C1408" s="1">
        <v>45498</v>
      </c>
      <c r="D1408" t="s">
        <v>592</v>
      </c>
      <c r="E1408" t="s">
        <v>593</v>
      </c>
      <c r="F1408" t="s">
        <v>55</v>
      </c>
      <c r="G1408" t="s">
        <v>35</v>
      </c>
      <c r="H1408" t="s">
        <v>258</v>
      </c>
      <c r="I1408" t="s">
        <v>103</v>
      </c>
      <c r="J1408" t="s">
        <v>104</v>
      </c>
      <c r="K1408" t="s">
        <v>65</v>
      </c>
      <c r="L1408">
        <v>3</v>
      </c>
      <c r="M1408">
        <v>8000</v>
      </c>
      <c r="N1408">
        <v>0</v>
      </c>
      <c r="O1408">
        <v>24000</v>
      </c>
      <c r="P1408">
        <v>6018.56</v>
      </c>
      <c r="Q1408" t="s">
        <v>66</v>
      </c>
      <c r="R1408" t="s">
        <v>56</v>
      </c>
      <c r="S1408" t="s">
        <v>86</v>
      </c>
    </row>
    <row r="1409" spans="1:19" x14ac:dyDescent="0.3">
      <c r="A1409" t="s">
        <v>2431</v>
      </c>
      <c r="B1409" t="s">
        <v>1671</v>
      </c>
      <c r="C1409" s="1">
        <v>45345</v>
      </c>
      <c r="D1409" t="s">
        <v>172</v>
      </c>
      <c r="E1409" t="s">
        <v>173</v>
      </c>
      <c r="F1409" t="s">
        <v>55</v>
      </c>
      <c r="G1409" t="s">
        <v>91</v>
      </c>
      <c r="I1409" t="s">
        <v>71</v>
      </c>
      <c r="J1409" t="s">
        <v>72</v>
      </c>
      <c r="K1409" t="s">
        <v>73</v>
      </c>
      <c r="L1409">
        <v>1</v>
      </c>
      <c r="M1409">
        <v>3500</v>
      </c>
      <c r="N1409">
        <v>0</v>
      </c>
      <c r="O1409">
        <v>3500</v>
      </c>
      <c r="P1409">
        <v>1209.56</v>
      </c>
      <c r="Q1409" t="s">
        <v>156</v>
      </c>
      <c r="R1409" t="s">
        <v>49</v>
      </c>
      <c r="S1409" t="s">
        <v>30</v>
      </c>
    </row>
    <row r="1410" spans="1:19" x14ac:dyDescent="0.3">
      <c r="A1410" t="s">
        <v>2432</v>
      </c>
      <c r="B1410" s="2">
        <v>45312</v>
      </c>
      <c r="C1410" s="1">
        <v>45320</v>
      </c>
      <c r="D1410" t="s">
        <v>527</v>
      </c>
      <c r="E1410" t="s">
        <v>528</v>
      </c>
      <c r="F1410" t="s">
        <v>23</v>
      </c>
      <c r="G1410" t="s">
        <v>44</v>
      </c>
      <c r="I1410" t="s">
        <v>79</v>
      </c>
      <c r="J1410" t="s">
        <v>80</v>
      </c>
      <c r="K1410" t="s">
        <v>65</v>
      </c>
      <c r="L1410">
        <v>2</v>
      </c>
      <c r="M1410">
        <v>3000</v>
      </c>
      <c r="N1410">
        <v>20</v>
      </c>
      <c r="O1410">
        <v>4800</v>
      </c>
      <c r="P1410">
        <v>1216.73</v>
      </c>
      <c r="Q1410" t="s">
        <v>39</v>
      </c>
      <c r="R1410" t="s">
        <v>56</v>
      </c>
      <c r="S1410" t="s">
        <v>50</v>
      </c>
    </row>
    <row r="1411" spans="1:19" x14ac:dyDescent="0.3">
      <c r="A1411" t="s">
        <v>2433</v>
      </c>
      <c r="B1411" s="1">
        <v>45587</v>
      </c>
      <c r="C1411" s="1">
        <v>45593</v>
      </c>
      <c r="D1411" t="s">
        <v>588</v>
      </c>
      <c r="E1411" t="s">
        <v>589</v>
      </c>
      <c r="F1411" t="s">
        <v>23</v>
      </c>
      <c r="G1411" t="s">
        <v>61</v>
      </c>
      <c r="H1411" t="s">
        <v>62</v>
      </c>
      <c r="I1411" t="s">
        <v>25</v>
      </c>
      <c r="J1411" t="s">
        <v>26</v>
      </c>
      <c r="K1411" t="s">
        <v>27</v>
      </c>
      <c r="L1411">
        <v>3</v>
      </c>
      <c r="M1411">
        <v>7000</v>
      </c>
      <c r="N1411">
        <v>5</v>
      </c>
      <c r="O1411">
        <v>19950</v>
      </c>
      <c r="P1411">
        <v>3628.9</v>
      </c>
      <c r="Q1411" t="s">
        <v>39</v>
      </c>
      <c r="R1411" t="s">
        <v>56</v>
      </c>
      <c r="S1411" t="s">
        <v>110</v>
      </c>
    </row>
    <row r="1412" spans="1:19" x14ac:dyDescent="0.3">
      <c r="A1412" t="s">
        <v>2434</v>
      </c>
      <c r="B1412" s="1">
        <v>45646</v>
      </c>
      <c r="C1412" s="2">
        <v>45650</v>
      </c>
      <c r="D1412" t="s">
        <v>1592</v>
      </c>
      <c r="E1412" t="s">
        <v>1593</v>
      </c>
      <c r="F1412" t="s">
        <v>34</v>
      </c>
      <c r="G1412" t="s">
        <v>44</v>
      </c>
      <c r="H1412" t="s">
        <v>155</v>
      </c>
      <c r="I1412" t="s">
        <v>37</v>
      </c>
      <c r="J1412" t="s">
        <v>38</v>
      </c>
      <c r="K1412" t="s">
        <v>27</v>
      </c>
      <c r="L1412">
        <v>1</v>
      </c>
      <c r="M1412">
        <v>9500</v>
      </c>
      <c r="N1412">
        <v>20</v>
      </c>
      <c r="O1412">
        <v>7600</v>
      </c>
      <c r="P1412">
        <v>1515.48</v>
      </c>
      <c r="Q1412" t="s">
        <v>39</v>
      </c>
      <c r="R1412" t="s">
        <v>56</v>
      </c>
      <c r="S1412" t="s">
        <v>50</v>
      </c>
    </row>
    <row r="1413" spans="1:19" x14ac:dyDescent="0.3">
      <c r="A1413" t="s">
        <v>2435</v>
      </c>
      <c r="B1413" s="1">
        <v>45305</v>
      </c>
      <c r="C1413" s="1">
        <v>45309</v>
      </c>
      <c r="D1413" t="s">
        <v>1262</v>
      </c>
      <c r="E1413" t="s">
        <v>1263</v>
      </c>
      <c r="F1413" t="s">
        <v>23</v>
      </c>
      <c r="G1413" t="s">
        <v>91</v>
      </c>
      <c r="H1413" t="s">
        <v>120</v>
      </c>
      <c r="I1413" t="s">
        <v>79</v>
      </c>
      <c r="J1413" t="s">
        <v>80</v>
      </c>
      <c r="K1413" t="s">
        <v>65</v>
      </c>
      <c r="L1413">
        <v>1</v>
      </c>
      <c r="M1413">
        <v>3000</v>
      </c>
      <c r="N1413">
        <v>15</v>
      </c>
      <c r="O1413">
        <v>2550</v>
      </c>
      <c r="P1413">
        <v>572.66999999999996</v>
      </c>
      <c r="Q1413" t="s">
        <v>28</v>
      </c>
      <c r="R1413" t="s">
        <v>49</v>
      </c>
      <c r="S1413" t="s">
        <v>86</v>
      </c>
    </row>
    <row r="1414" spans="1:19" x14ac:dyDescent="0.3">
      <c r="A1414" t="s">
        <v>2436</v>
      </c>
      <c r="B1414" s="1">
        <v>45902</v>
      </c>
      <c r="C1414" s="1">
        <v>45905</v>
      </c>
      <c r="D1414" t="s">
        <v>904</v>
      </c>
      <c r="E1414" t="s">
        <v>905</v>
      </c>
      <c r="F1414" t="s">
        <v>23</v>
      </c>
      <c r="G1414" t="s">
        <v>91</v>
      </c>
      <c r="H1414" t="s">
        <v>92</v>
      </c>
      <c r="I1414" t="s">
        <v>79</v>
      </c>
      <c r="J1414" t="s">
        <v>80</v>
      </c>
      <c r="K1414" t="s">
        <v>65</v>
      </c>
      <c r="L1414">
        <v>1</v>
      </c>
      <c r="M1414">
        <v>3000</v>
      </c>
      <c r="N1414">
        <v>20</v>
      </c>
      <c r="O1414">
        <v>2400</v>
      </c>
      <c r="P1414">
        <v>787.4</v>
      </c>
      <c r="Q1414" t="s">
        <v>39</v>
      </c>
      <c r="R1414" t="s">
        <v>49</v>
      </c>
      <c r="S1414" t="s">
        <v>50</v>
      </c>
    </row>
    <row r="1415" spans="1:19" x14ac:dyDescent="0.3">
      <c r="A1415" t="s">
        <v>2437</v>
      </c>
      <c r="B1415" t="s">
        <v>573</v>
      </c>
      <c r="C1415" s="1">
        <v>45862</v>
      </c>
      <c r="D1415" t="s">
        <v>1265</v>
      </c>
      <c r="E1415" t="s">
        <v>1266</v>
      </c>
      <c r="F1415" t="s">
        <v>23</v>
      </c>
      <c r="G1415" t="s">
        <v>35</v>
      </c>
      <c r="H1415" t="s">
        <v>36</v>
      </c>
      <c r="I1415" t="s">
        <v>147</v>
      </c>
      <c r="J1415" t="s">
        <v>148</v>
      </c>
      <c r="K1415" t="s">
        <v>48</v>
      </c>
      <c r="L1415">
        <v>3</v>
      </c>
      <c r="M1415">
        <v>250</v>
      </c>
      <c r="N1415">
        <v>0</v>
      </c>
      <c r="O1415">
        <v>750</v>
      </c>
      <c r="P1415">
        <v>298.67</v>
      </c>
      <c r="R1415" t="s">
        <v>49</v>
      </c>
      <c r="S1415" t="s">
        <v>50</v>
      </c>
    </row>
    <row r="1416" spans="1:19" x14ac:dyDescent="0.3">
      <c r="A1416" t="s">
        <v>2438</v>
      </c>
      <c r="B1416" s="1">
        <v>45744</v>
      </c>
      <c r="C1416" s="1">
        <v>45746</v>
      </c>
      <c r="D1416" t="s">
        <v>150</v>
      </c>
      <c r="E1416" t="s">
        <v>151</v>
      </c>
      <c r="F1416" t="s">
        <v>34</v>
      </c>
      <c r="G1416" t="s">
        <v>35</v>
      </c>
      <c r="H1416" t="s">
        <v>36</v>
      </c>
      <c r="I1416" t="s">
        <v>114</v>
      </c>
      <c r="J1416" t="s">
        <v>115</v>
      </c>
      <c r="K1416" t="s">
        <v>65</v>
      </c>
      <c r="L1416">
        <v>1</v>
      </c>
      <c r="M1416">
        <v>55000</v>
      </c>
      <c r="N1416">
        <v>10</v>
      </c>
      <c r="O1416">
        <v>49500</v>
      </c>
      <c r="P1416">
        <v>8468.7199999999993</v>
      </c>
      <c r="Q1416" t="s">
        <v>66</v>
      </c>
      <c r="R1416" t="s">
        <v>56</v>
      </c>
      <c r="S1416" t="s">
        <v>86</v>
      </c>
    </row>
    <row r="1417" spans="1:19" x14ac:dyDescent="0.3">
      <c r="A1417" t="s">
        <v>2439</v>
      </c>
      <c r="B1417" s="1">
        <v>45621</v>
      </c>
      <c r="C1417" t="s">
        <v>1725</v>
      </c>
      <c r="D1417" t="s">
        <v>2374</v>
      </c>
      <c r="E1417" t="s">
        <v>2375</v>
      </c>
      <c r="F1417" t="s">
        <v>23</v>
      </c>
      <c r="G1417" t="s">
        <v>35</v>
      </c>
      <c r="H1417" t="s">
        <v>36</v>
      </c>
      <c r="I1417" t="s">
        <v>79</v>
      </c>
      <c r="J1417" t="s">
        <v>80</v>
      </c>
      <c r="K1417" t="s">
        <v>65</v>
      </c>
      <c r="L1417">
        <v>-1</v>
      </c>
      <c r="M1417">
        <v>3000</v>
      </c>
      <c r="N1417">
        <v>5</v>
      </c>
      <c r="O1417">
        <v>2850</v>
      </c>
      <c r="P1417">
        <v>815.77</v>
      </c>
      <c r="Q1417" t="s">
        <v>39</v>
      </c>
      <c r="R1417" t="s">
        <v>49</v>
      </c>
      <c r="S1417" t="s">
        <v>40</v>
      </c>
    </row>
    <row r="1418" spans="1:19" x14ac:dyDescent="0.3">
      <c r="A1418" t="s">
        <v>2440</v>
      </c>
      <c r="B1418" s="1">
        <v>45811</v>
      </c>
      <c r="C1418" s="1">
        <v>45724</v>
      </c>
      <c r="D1418" t="s">
        <v>288</v>
      </c>
      <c r="E1418" t="s">
        <v>289</v>
      </c>
      <c r="F1418" t="s">
        <v>34</v>
      </c>
      <c r="G1418" t="s">
        <v>44</v>
      </c>
      <c r="H1418" t="s">
        <v>155</v>
      </c>
      <c r="I1418" t="s">
        <v>126</v>
      </c>
      <c r="J1418" t="s">
        <v>127</v>
      </c>
      <c r="K1418" t="s">
        <v>95</v>
      </c>
      <c r="L1418">
        <v>1</v>
      </c>
      <c r="M1418">
        <v>600</v>
      </c>
      <c r="N1418">
        <v>20</v>
      </c>
      <c r="O1418">
        <v>480</v>
      </c>
      <c r="P1418">
        <v>139.16999999999999</v>
      </c>
      <c r="Q1418" t="s">
        <v>121</v>
      </c>
      <c r="R1418" t="s">
        <v>49</v>
      </c>
      <c r="S1418" t="s">
        <v>86</v>
      </c>
    </row>
    <row r="1419" spans="1:19" x14ac:dyDescent="0.3">
      <c r="A1419" t="s">
        <v>2441</v>
      </c>
      <c r="B1419" s="1">
        <v>45912</v>
      </c>
      <c r="C1419" s="1">
        <v>45915</v>
      </c>
      <c r="D1419" t="s">
        <v>1659</v>
      </c>
      <c r="E1419" t="s">
        <v>1660</v>
      </c>
      <c r="F1419" t="s">
        <v>34</v>
      </c>
      <c r="G1419" t="s">
        <v>44</v>
      </c>
      <c r="H1419" t="s">
        <v>24</v>
      </c>
      <c r="I1419" t="s">
        <v>103</v>
      </c>
      <c r="J1419" t="s">
        <v>104</v>
      </c>
      <c r="K1419" t="s">
        <v>65</v>
      </c>
      <c r="L1419">
        <v>1</v>
      </c>
      <c r="M1419">
        <v>8000</v>
      </c>
      <c r="N1419">
        <v>0</v>
      </c>
      <c r="O1419">
        <v>8000</v>
      </c>
      <c r="P1419">
        <v>1814.4</v>
      </c>
      <c r="Q1419" t="s">
        <v>121</v>
      </c>
      <c r="R1419" t="s">
        <v>49</v>
      </c>
      <c r="S1419" t="s">
        <v>86</v>
      </c>
    </row>
    <row r="1420" spans="1:19" x14ac:dyDescent="0.3">
      <c r="A1420" t="s">
        <v>2442</v>
      </c>
      <c r="B1420" s="1">
        <v>45502</v>
      </c>
      <c r="C1420" s="2">
        <v>45503</v>
      </c>
      <c r="D1420" t="s">
        <v>682</v>
      </c>
      <c r="E1420" t="s">
        <v>683</v>
      </c>
      <c r="F1420" t="s">
        <v>55</v>
      </c>
      <c r="G1420" t="s">
        <v>61</v>
      </c>
      <c r="H1420" t="s">
        <v>125</v>
      </c>
      <c r="I1420" t="s">
        <v>63</v>
      </c>
      <c r="J1420" t="s">
        <v>64</v>
      </c>
      <c r="K1420" t="s">
        <v>65</v>
      </c>
      <c r="L1420">
        <v>2</v>
      </c>
      <c r="M1420">
        <v>25000</v>
      </c>
      <c r="N1420">
        <v>0</v>
      </c>
      <c r="O1420">
        <v>50000</v>
      </c>
      <c r="P1420">
        <v>6509.45</v>
      </c>
      <c r="Q1420" t="s">
        <v>121</v>
      </c>
      <c r="R1420" t="s">
        <v>56</v>
      </c>
      <c r="S1420" t="s">
        <v>110</v>
      </c>
    </row>
    <row r="1421" spans="1:19" x14ac:dyDescent="0.3">
      <c r="A1421" t="s">
        <v>2443</v>
      </c>
      <c r="B1421" s="1">
        <v>45396</v>
      </c>
      <c r="C1421" t="s">
        <v>2444</v>
      </c>
      <c r="D1421" t="s">
        <v>182</v>
      </c>
      <c r="E1421" t="s">
        <v>183</v>
      </c>
      <c r="F1421" t="s">
        <v>55</v>
      </c>
      <c r="G1421" t="s">
        <v>44</v>
      </c>
      <c r="H1421" t="s">
        <v>45</v>
      </c>
      <c r="I1421" t="s">
        <v>147</v>
      </c>
      <c r="J1421" t="s">
        <v>148</v>
      </c>
      <c r="K1421" t="s">
        <v>48</v>
      </c>
      <c r="L1421">
        <v>1</v>
      </c>
      <c r="M1421">
        <v>250</v>
      </c>
      <c r="N1421">
        <v>5</v>
      </c>
      <c r="O1421">
        <v>237.5</v>
      </c>
      <c r="P1421">
        <v>93.58</v>
      </c>
      <c r="Q1421" t="s">
        <v>66</v>
      </c>
      <c r="R1421" t="s">
        <v>29</v>
      </c>
      <c r="S1421" t="s">
        <v>110</v>
      </c>
    </row>
    <row r="1422" spans="1:19" x14ac:dyDescent="0.3">
      <c r="A1422" t="s">
        <v>2445</v>
      </c>
      <c r="B1422" s="2">
        <v>45909</v>
      </c>
      <c r="C1422" s="1">
        <v>45916</v>
      </c>
      <c r="D1422" t="s">
        <v>1736</v>
      </c>
      <c r="E1422" t="s">
        <v>1737</v>
      </c>
      <c r="F1422" t="s">
        <v>34</v>
      </c>
      <c r="G1422" t="s">
        <v>35</v>
      </c>
      <c r="H1422" t="s">
        <v>36</v>
      </c>
      <c r="I1422" t="s">
        <v>37</v>
      </c>
      <c r="J1422" t="s">
        <v>38</v>
      </c>
      <c r="K1422" t="s">
        <v>27</v>
      </c>
      <c r="L1422">
        <v>10</v>
      </c>
      <c r="M1422">
        <v>9500</v>
      </c>
      <c r="N1422">
        <v>5</v>
      </c>
      <c r="O1422">
        <v>90250</v>
      </c>
      <c r="P1422">
        <v>12750.2</v>
      </c>
      <c r="Q1422" t="s">
        <v>121</v>
      </c>
      <c r="R1422" t="s">
        <v>49</v>
      </c>
      <c r="S1422" t="s">
        <v>110</v>
      </c>
    </row>
    <row r="1423" spans="1:19" x14ac:dyDescent="0.3">
      <c r="A1423" t="s">
        <v>2446</v>
      </c>
      <c r="B1423" s="2">
        <v>45805</v>
      </c>
      <c r="C1423" s="1">
        <v>45813</v>
      </c>
      <c r="D1423" t="s">
        <v>288</v>
      </c>
      <c r="E1423" t="s">
        <v>289</v>
      </c>
      <c r="F1423" t="s">
        <v>34</v>
      </c>
      <c r="G1423" t="s">
        <v>44</v>
      </c>
      <c r="H1423" t="s">
        <v>155</v>
      </c>
      <c r="I1423" t="s">
        <v>25</v>
      </c>
      <c r="J1423" t="s">
        <v>26</v>
      </c>
      <c r="K1423" t="s">
        <v>27</v>
      </c>
      <c r="L1423">
        <v>2</v>
      </c>
      <c r="M1423">
        <v>7000</v>
      </c>
      <c r="N1423">
        <v>0</v>
      </c>
      <c r="O1423">
        <v>14000</v>
      </c>
      <c r="P1423">
        <v>2542.9899999999998</v>
      </c>
      <c r="Q1423" t="s">
        <v>66</v>
      </c>
      <c r="R1423" t="s">
        <v>56</v>
      </c>
      <c r="S1423" t="s">
        <v>30</v>
      </c>
    </row>
    <row r="1424" spans="1:19" x14ac:dyDescent="0.3">
      <c r="A1424" t="s">
        <v>2447</v>
      </c>
      <c r="B1424" s="1">
        <v>45954</v>
      </c>
      <c r="C1424" s="1">
        <v>45961</v>
      </c>
      <c r="D1424" t="s">
        <v>460</v>
      </c>
      <c r="E1424" t="s">
        <v>461</v>
      </c>
      <c r="F1424" t="s">
        <v>34</v>
      </c>
      <c r="G1424" t="s">
        <v>61</v>
      </c>
      <c r="H1424" t="s">
        <v>62</v>
      </c>
      <c r="I1424" t="s">
        <v>147</v>
      </c>
      <c r="J1424" t="s">
        <v>148</v>
      </c>
      <c r="K1424" t="s">
        <v>48</v>
      </c>
      <c r="L1424">
        <v>1</v>
      </c>
      <c r="M1424">
        <v>250</v>
      </c>
      <c r="N1424">
        <v>10</v>
      </c>
      <c r="O1424">
        <v>225</v>
      </c>
      <c r="P1424">
        <v>83.79</v>
      </c>
      <c r="Q1424" t="s">
        <v>74</v>
      </c>
      <c r="R1424" t="s">
        <v>56</v>
      </c>
      <c r="S1424" t="s">
        <v>30</v>
      </c>
    </row>
    <row r="1425" spans="1:19" x14ac:dyDescent="0.3">
      <c r="A1425" t="s">
        <v>2448</v>
      </c>
      <c r="B1425" s="2">
        <v>45770</v>
      </c>
      <c r="C1425" s="1">
        <v>45777</v>
      </c>
      <c r="D1425" t="s">
        <v>297</v>
      </c>
      <c r="E1425" t="s">
        <v>1110</v>
      </c>
      <c r="F1425" t="s">
        <v>23</v>
      </c>
      <c r="G1425" t="s">
        <v>91</v>
      </c>
      <c r="I1425" t="s">
        <v>71</v>
      </c>
      <c r="J1425" t="s">
        <v>72</v>
      </c>
      <c r="K1425" t="s">
        <v>73</v>
      </c>
      <c r="L1425">
        <v>1</v>
      </c>
      <c r="M1425">
        <v>3500</v>
      </c>
      <c r="N1425">
        <v>15</v>
      </c>
      <c r="O1425">
        <v>2975</v>
      </c>
      <c r="P1425">
        <v>741.62</v>
      </c>
      <c r="Q1425" t="s">
        <v>121</v>
      </c>
      <c r="R1425" t="s">
        <v>56</v>
      </c>
      <c r="S1425" t="s">
        <v>50</v>
      </c>
    </row>
    <row r="1426" spans="1:19" x14ac:dyDescent="0.3">
      <c r="A1426" t="s">
        <v>2449</v>
      </c>
      <c r="B1426" s="2">
        <v>45630</v>
      </c>
      <c r="C1426" s="1">
        <v>45636</v>
      </c>
      <c r="D1426" t="s">
        <v>716</v>
      </c>
      <c r="E1426" t="s">
        <v>717</v>
      </c>
      <c r="F1426" t="s">
        <v>23</v>
      </c>
      <c r="G1426" t="s">
        <v>35</v>
      </c>
      <c r="H1426" t="s">
        <v>85</v>
      </c>
      <c r="I1426" t="s">
        <v>114</v>
      </c>
      <c r="J1426" t="s">
        <v>115</v>
      </c>
      <c r="K1426" t="s">
        <v>65</v>
      </c>
      <c r="L1426">
        <v>5</v>
      </c>
      <c r="M1426">
        <v>55000</v>
      </c>
      <c r="N1426">
        <v>0</v>
      </c>
      <c r="O1426">
        <v>275000</v>
      </c>
      <c r="P1426">
        <v>37693.33</v>
      </c>
      <c r="Q1426" t="s">
        <v>39</v>
      </c>
      <c r="R1426" t="s">
        <v>29</v>
      </c>
      <c r="S1426" t="s">
        <v>40</v>
      </c>
    </row>
    <row r="1427" spans="1:19" x14ac:dyDescent="0.3">
      <c r="A1427" t="s">
        <v>2450</v>
      </c>
      <c r="B1427" s="1">
        <v>45741</v>
      </c>
      <c r="C1427" s="1">
        <v>45745</v>
      </c>
      <c r="D1427" t="s">
        <v>2451</v>
      </c>
      <c r="E1427" t="s">
        <v>2452</v>
      </c>
      <c r="F1427" t="s">
        <v>34</v>
      </c>
      <c r="G1427" t="s">
        <v>91</v>
      </c>
      <c r="H1427" t="s">
        <v>92</v>
      </c>
      <c r="I1427" t="s">
        <v>63</v>
      </c>
      <c r="J1427" t="s">
        <v>64</v>
      </c>
      <c r="K1427" t="s">
        <v>65</v>
      </c>
      <c r="L1427">
        <v>4</v>
      </c>
      <c r="M1427">
        <v>25000</v>
      </c>
      <c r="N1427">
        <v>0</v>
      </c>
      <c r="O1427">
        <v>100000</v>
      </c>
      <c r="P1427">
        <v>15153.79</v>
      </c>
      <c r="Q1427" t="s">
        <v>121</v>
      </c>
      <c r="R1427" t="s">
        <v>56</v>
      </c>
      <c r="S1427" t="s">
        <v>40</v>
      </c>
    </row>
    <row r="1428" spans="1:19" x14ac:dyDescent="0.3">
      <c r="A1428" t="s">
        <v>2453</v>
      </c>
      <c r="B1428" s="1">
        <v>45449</v>
      </c>
      <c r="C1428" s="1">
        <v>45454</v>
      </c>
      <c r="D1428" t="s">
        <v>32</v>
      </c>
      <c r="E1428" t="s">
        <v>33</v>
      </c>
      <c r="F1428" t="s">
        <v>34</v>
      </c>
      <c r="G1428" t="s">
        <v>35</v>
      </c>
      <c r="H1428" t="s">
        <v>36</v>
      </c>
      <c r="I1428" t="s">
        <v>46</v>
      </c>
      <c r="J1428" t="s">
        <v>47</v>
      </c>
      <c r="K1428" t="s">
        <v>48</v>
      </c>
      <c r="L1428">
        <v>1</v>
      </c>
      <c r="M1428">
        <v>180</v>
      </c>
      <c r="N1428">
        <v>5</v>
      </c>
      <c r="O1428">
        <v>171</v>
      </c>
      <c r="P1428">
        <v>76.41</v>
      </c>
      <c r="Q1428" t="s">
        <v>74</v>
      </c>
      <c r="R1428" t="s">
        <v>29</v>
      </c>
      <c r="S1428" t="s">
        <v>86</v>
      </c>
    </row>
    <row r="1429" spans="1:19" x14ac:dyDescent="0.3">
      <c r="A1429" t="s">
        <v>2454</v>
      </c>
      <c r="B1429" s="1">
        <v>45377</v>
      </c>
      <c r="C1429" s="2">
        <v>45380</v>
      </c>
      <c r="D1429" t="s">
        <v>159</v>
      </c>
      <c r="E1429" t="s">
        <v>160</v>
      </c>
      <c r="F1429" t="s">
        <v>34</v>
      </c>
      <c r="G1429" t="s">
        <v>44</v>
      </c>
      <c r="I1429" t="s">
        <v>134</v>
      </c>
      <c r="J1429" t="s">
        <v>135</v>
      </c>
      <c r="K1429" t="s">
        <v>27</v>
      </c>
      <c r="L1429">
        <v>3</v>
      </c>
      <c r="M1429">
        <v>6000</v>
      </c>
      <c r="N1429">
        <v>0</v>
      </c>
      <c r="O1429">
        <v>18000</v>
      </c>
      <c r="P1429">
        <v>4052.48</v>
      </c>
      <c r="Q1429" t="s">
        <v>39</v>
      </c>
      <c r="R1429" t="s">
        <v>56</v>
      </c>
      <c r="S1429" t="s">
        <v>50</v>
      </c>
    </row>
    <row r="1430" spans="1:19" x14ac:dyDescent="0.3">
      <c r="A1430" t="s">
        <v>2455</v>
      </c>
      <c r="B1430" s="1">
        <v>45772</v>
      </c>
      <c r="C1430" s="2">
        <v>45780</v>
      </c>
      <c r="D1430" t="s">
        <v>101</v>
      </c>
      <c r="E1430" t="s">
        <v>102</v>
      </c>
      <c r="F1430" t="s">
        <v>55</v>
      </c>
      <c r="G1430" t="s">
        <v>35</v>
      </c>
      <c r="H1430" t="s">
        <v>36</v>
      </c>
      <c r="I1430" t="s">
        <v>93</v>
      </c>
      <c r="J1430" t="s">
        <v>94</v>
      </c>
      <c r="K1430" t="s">
        <v>95</v>
      </c>
      <c r="L1430">
        <v>1</v>
      </c>
      <c r="M1430">
        <v>1800</v>
      </c>
      <c r="N1430">
        <v>0</v>
      </c>
      <c r="O1430">
        <v>1800</v>
      </c>
      <c r="P1430">
        <v>580.26</v>
      </c>
      <c r="Q1430" t="s">
        <v>121</v>
      </c>
      <c r="R1430" t="s">
        <v>56</v>
      </c>
      <c r="S1430" t="s">
        <v>30</v>
      </c>
    </row>
    <row r="1431" spans="1:19" x14ac:dyDescent="0.3">
      <c r="A1431" t="s">
        <v>2456</v>
      </c>
      <c r="B1431" t="s">
        <v>1179</v>
      </c>
      <c r="C1431" t="s">
        <v>869</v>
      </c>
      <c r="D1431" t="s">
        <v>159</v>
      </c>
      <c r="E1431" t="s">
        <v>160</v>
      </c>
      <c r="F1431" t="s">
        <v>34</v>
      </c>
      <c r="G1431" t="s">
        <v>44</v>
      </c>
      <c r="H1431" t="s">
        <v>161</v>
      </c>
      <c r="I1431" t="s">
        <v>46</v>
      </c>
      <c r="J1431" t="s">
        <v>47</v>
      </c>
      <c r="K1431" t="s">
        <v>48</v>
      </c>
      <c r="L1431">
        <v>2</v>
      </c>
      <c r="M1431">
        <v>180</v>
      </c>
      <c r="N1431">
        <v>0</v>
      </c>
      <c r="O1431">
        <v>360</v>
      </c>
      <c r="P1431">
        <v>169.77</v>
      </c>
      <c r="Q1431" t="s">
        <v>121</v>
      </c>
      <c r="R1431" t="s">
        <v>29</v>
      </c>
      <c r="S1431" t="s">
        <v>96</v>
      </c>
    </row>
    <row r="1432" spans="1:19" x14ac:dyDescent="0.3">
      <c r="A1432" t="s">
        <v>2457</v>
      </c>
      <c r="B1432" t="s">
        <v>2041</v>
      </c>
      <c r="C1432" s="2">
        <v>45420</v>
      </c>
      <c r="D1432" t="s">
        <v>1191</v>
      </c>
      <c r="E1432" t="s">
        <v>1192</v>
      </c>
      <c r="F1432" t="s">
        <v>23</v>
      </c>
      <c r="G1432" t="s">
        <v>61</v>
      </c>
      <c r="I1432" t="s">
        <v>79</v>
      </c>
      <c r="J1432" t="s">
        <v>80</v>
      </c>
      <c r="K1432" t="s">
        <v>65</v>
      </c>
      <c r="L1432">
        <v>1</v>
      </c>
      <c r="M1432">
        <v>3000</v>
      </c>
      <c r="N1432">
        <v>0</v>
      </c>
      <c r="O1432">
        <v>3000</v>
      </c>
      <c r="P1432">
        <v>739.17</v>
      </c>
      <c r="Q1432" t="s">
        <v>66</v>
      </c>
      <c r="R1432" t="s">
        <v>29</v>
      </c>
      <c r="S1432" t="s">
        <v>50</v>
      </c>
    </row>
    <row r="1433" spans="1:19" x14ac:dyDescent="0.3">
      <c r="A1433" t="s">
        <v>2458</v>
      </c>
      <c r="B1433" t="s">
        <v>2459</v>
      </c>
      <c r="C1433" s="1">
        <v>45475</v>
      </c>
      <c r="D1433" t="s">
        <v>653</v>
      </c>
      <c r="E1433" t="s">
        <v>654</v>
      </c>
      <c r="F1433" t="s">
        <v>23</v>
      </c>
      <c r="G1433" t="s">
        <v>44</v>
      </c>
      <c r="H1433" t="s">
        <v>330</v>
      </c>
      <c r="I1433" t="s">
        <v>79</v>
      </c>
      <c r="J1433" t="s">
        <v>80</v>
      </c>
      <c r="K1433" t="s">
        <v>65</v>
      </c>
      <c r="L1433">
        <v>4</v>
      </c>
      <c r="M1433">
        <v>3000</v>
      </c>
      <c r="N1433">
        <v>15</v>
      </c>
      <c r="O1433">
        <v>10200</v>
      </c>
      <c r="P1433">
        <v>2885.97</v>
      </c>
      <c r="Q1433" t="s">
        <v>121</v>
      </c>
      <c r="R1433" t="s">
        <v>29</v>
      </c>
      <c r="S1433" t="s">
        <v>30</v>
      </c>
    </row>
    <row r="1434" spans="1:19" x14ac:dyDescent="0.3">
      <c r="A1434" t="s">
        <v>2460</v>
      </c>
      <c r="B1434" s="1">
        <v>45384</v>
      </c>
      <c r="C1434" s="2">
        <v>45390</v>
      </c>
      <c r="D1434" t="s">
        <v>409</v>
      </c>
      <c r="E1434" t="s">
        <v>2461</v>
      </c>
      <c r="F1434" t="s">
        <v>23</v>
      </c>
      <c r="G1434" t="s">
        <v>61</v>
      </c>
      <c r="H1434" t="s">
        <v>125</v>
      </c>
      <c r="I1434" t="s">
        <v>114</v>
      </c>
      <c r="J1434" t="s">
        <v>115</v>
      </c>
      <c r="K1434" t="s">
        <v>65</v>
      </c>
      <c r="L1434">
        <v>1</v>
      </c>
      <c r="M1434">
        <v>55000</v>
      </c>
      <c r="N1434">
        <v>15</v>
      </c>
      <c r="O1434">
        <v>46750</v>
      </c>
      <c r="P1434">
        <v>9060.75</v>
      </c>
      <c r="Q1434" t="s">
        <v>74</v>
      </c>
      <c r="R1434" t="s">
        <v>29</v>
      </c>
      <c r="S1434" t="s">
        <v>40</v>
      </c>
    </row>
    <row r="1435" spans="1:19" x14ac:dyDescent="0.3">
      <c r="A1435" t="s">
        <v>2462</v>
      </c>
      <c r="B1435" t="s">
        <v>811</v>
      </c>
      <c r="C1435" s="1">
        <v>45441</v>
      </c>
      <c r="D1435" t="s">
        <v>1079</v>
      </c>
      <c r="E1435" t="s">
        <v>1080</v>
      </c>
      <c r="F1435" t="s">
        <v>23</v>
      </c>
      <c r="G1435" t="s">
        <v>44</v>
      </c>
      <c r="H1435" t="s">
        <v>155</v>
      </c>
      <c r="I1435" t="s">
        <v>93</v>
      </c>
      <c r="J1435" t="s">
        <v>94</v>
      </c>
      <c r="K1435" t="s">
        <v>95</v>
      </c>
      <c r="L1435">
        <v>10</v>
      </c>
      <c r="M1435">
        <v>1800</v>
      </c>
      <c r="N1435">
        <v>20</v>
      </c>
      <c r="O1435">
        <v>14400</v>
      </c>
      <c r="P1435">
        <v>3942.92</v>
      </c>
      <c r="Q1435" t="s">
        <v>66</v>
      </c>
      <c r="R1435" t="s">
        <v>49</v>
      </c>
      <c r="S1435" t="s">
        <v>86</v>
      </c>
    </row>
    <row r="1436" spans="1:19" x14ac:dyDescent="0.3">
      <c r="A1436" t="s">
        <v>2463</v>
      </c>
      <c r="B1436" s="1">
        <v>45751</v>
      </c>
      <c r="C1436" s="1">
        <v>45781</v>
      </c>
      <c r="D1436" t="s">
        <v>787</v>
      </c>
      <c r="E1436" t="s">
        <v>788</v>
      </c>
      <c r="F1436" t="s">
        <v>34</v>
      </c>
      <c r="G1436" t="s">
        <v>35</v>
      </c>
      <c r="H1436" t="s">
        <v>36</v>
      </c>
      <c r="I1436" t="s">
        <v>134</v>
      </c>
      <c r="J1436" t="s">
        <v>135</v>
      </c>
      <c r="K1436" t="s">
        <v>27</v>
      </c>
      <c r="L1436">
        <v>2</v>
      </c>
      <c r="M1436">
        <v>6000</v>
      </c>
      <c r="N1436">
        <v>10</v>
      </c>
      <c r="O1436">
        <v>10800</v>
      </c>
      <c r="P1436">
        <v>2237.46</v>
      </c>
      <c r="Q1436" t="s">
        <v>66</v>
      </c>
      <c r="R1436" t="s">
        <v>49</v>
      </c>
      <c r="S1436" t="s">
        <v>40</v>
      </c>
    </row>
    <row r="1437" spans="1:19" x14ac:dyDescent="0.3">
      <c r="A1437" t="s">
        <v>2464</v>
      </c>
      <c r="B1437" t="s">
        <v>2465</v>
      </c>
      <c r="C1437" t="s">
        <v>1054</v>
      </c>
      <c r="D1437" t="s">
        <v>813</v>
      </c>
      <c r="E1437" t="s">
        <v>814</v>
      </c>
      <c r="F1437" t="s">
        <v>34</v>
      </c>
      <c r="G1437" t="s">
        <v>35</v>
      </c>
      <c r="H1437" t="s">
        <v>187</v>
      </c>
      <c r="I1437" t="s">
        <v>114</v>
      </c>
      <c r="J1437" t="s">
        <v>115</v>
      </c>
      <c r="K1437" t="s">
        <v>65</v>
      </c>
      <c r="L1437">
        <v>4</v>
      </c>
      <c r="M1437">
        <v>55000</v>
      </c>
      <c r="N1437">
        <v>5</v>
      </c>
      <c r="O1437">
        <v>209000</v>
      </c>
      <c r="P1437">
        <v>35245.47</v>
      </c>
      <c r="Q1437" t="s">
        <v>66</v>
      </c>
      <c r="R1437" t="s">
        <v>56</v>
      </c>
      <c r="S1437" t="s">
        <v>50</v>
      </c>
    </row>
    <row r="1438" spans="1:19" x14ac:dyDescent="0.3">
      <c r="A1438" t="s">
        <v>2466</v>
      </c>
      <c r="B1438" s="1">
        <v>45375</v>
      </c>
      <c r="C1438" s="2">
        <v>45376</v>
      </c>
      <c r="D1438" t="s">
        <v>1075</v>
      </c>
      <c r="E1438" t="s">
        <v>1076</v>
      </c>
      <c r="F1438" t="s">
        <v>55</v>
      </c>
      <c r="G1438" t="s">
        <v>61</v>
      </c>
      <c r="I1438" t="s">
        <v>46</v>
      </c>
      <c r="J1438" t="s">
        <v>47</v>
      </c>
      <c r="K1438" t="s">
        <v>48</v>
      </c>
      <c r="L1438">
        <v>3</v>
      </c>
      <c r="M1438">
        <v>180</v>
      </c>
      <c r="N1438">
        <v>15</v>
      </c>
      <c r="O1438">
        <v>459</v>
      </c>
      <c r="P1438">
        <v>198.39</v>
      </c>
      <c r="Q1438" t="s">
        <v>156</v>
      </c>
      <c r="R1438" t="s">
        <v>49</v>
      </c>
      <c r="S1438" t="s">
        <v>86</v>
      </c>
    </row>
    <row r="1439" spans="1:19" x14ac:dyDescent="0.3">
      <c r="A1439" t="s">
        <v>2467</v>
      </c>
      <c r="B1439" s="2">
        <v>45474</v>
      </c>
      <c r="C1439" s="2">
        <v>45477</v>
      </c>
      <c r="D1439" t="s">
        <v>172</v>
      </c>
      <c r="E1439" t="s">
        <v>173</v>
      </c>
      <c r="F1439" t="s">
        <v>55</v>
      </c>
      <c r="G1439" t="s">
        <v>91</v>
      </c>
      <c r="H1439" t="s">
        <v>177</v>
      </c>
      <c r="I1439" t="s">
        <v>134</v>
      </c>
      <c r="J1439" t="s">
        <v>135</v>
      </c>
      <c r="K1439" t="s">
        <v>27</v>
      </c>
      <c r="L1439">
        <v>1</v>
      </c>
      <c r="M1439">
        <v>6000</v>
      </c>
      <c r="N1439">
        <v>0</v>
      </c>
      <c r="O1439">
        <v>6000</v>
      </c>
      <c r="P1439">
        <v>1359.99</v>
      </c>
      <c r="Q1439" t="s">
        <v>28</v>
      </c>
      <c r="R1439" t="s">
        <v>56</v>
      </c>
      <c r="S1439" t="s">
        <v>40</v>
      </c>
    </row>
    <row r="1440" spans="1:19" x14ac:dyDescent="0.3">
      <c r="A1440" t="s">
        <v>2468</v>
      </c>
      <c r="B1440" s="1">
        <v>45507</v>
      </c>
      <c r="C1440" s="1">
        <v>45508</v>
      </c>
      <c r="D1440" t="s">
        <v>1402</v>
      </c>
      <c r="E1440" t="s">
        <v>1403</v>
      </c>
      <c r="F1440" t="s">
        <v>23</v>
      </c>
      <c r="G1440" t="s">
        <v>91</v>
      </c>
      <c r="H1440" t="s">
        <v>177</v>
      </c>
      <c r="I1440" t="s">
        <v>79</v>
      </c>
      <c r="J1440" t="s">
        <v>80</v>
      </c>
      <c r="K1440" t="s">
        <v>65</v>
      </c>
      <c r="L1440">
        <v>4</v>
      </c>
      <c r="M1440">
        <v>3000</v>
      </c>
      <c r="N1440">
        <v>20</v>
      </c>
      <c r="O1440">
        <v>9600</v>
      </c>
      <c r="P1440">
        <v>2275.2800000000002</v>
      </c>
      <c r="Q1440" t="s">
        <v>121</v>
      </c>
      <c r="R1440" t="s">
        <v>49</v>
      </c>
      <c r="S1440" t="s">
        <v>30</v>
      </c>
    </row>
    <row r="1441" spans="1:19" x14ac:dyDescent="0.3">
      <c r="A1441" t="s">
        <v>2469</v>
      </c>
      <c r="B1441" s="1">
        <v>45455</v>
      </c>
      <c r="C1441" s="1">
        <v>45458</v>
      </c>
      <c r="D1441" t="s">
        <v>798</v>
      </c>
      <c r="E1441" t="s">
        <v>799</v>
      </c>
      <c r="F1441" t="s">
        <v>23</v>
      </c>
      <c r="G1441" t="s">
        <v>44</v>
      </c>
      <c r="I1441" t="s">
        <v>93</v>
      </c>
      <c r="J1441" t="s">
        <v>94</v>
      </c>
      <c r="K1441" t="s">
        <v>95</v>
      </c>
      <c r="L1441">
        <v>1</v>
      </c>
      <c r="M1441">
        <v>1800</v>
      </c>
      <c r="N1441">
        <v>5</v>
      </c>
      <c r="O1441">
        <v>1710</v>
      </c>
      <c r="P1441">
        <v>429.46</v>
      </c>
      <c r="Q1441" t="s">
        <v>74</v>
      </c>
      <c r="R1441" t="s">
        <v>56</v>
      </c>
      <c r="S1441" t="s">
        <v>50</v>
      </c>
    </row>
    <row r="1442" spans="1:19" x14ac:dyDescent="0.3">
      <c r="A1442" t="s">
        <v>2470</v>
      </c>
      <c r="B1442" s="1">
        <v>45880</v>
      </c>
      <c r="C1442" t="s">
        <v>2471</v>
      </c>
      <c r="D1442" t="s">
        <v>947</v>
      </c>
      <c r="E1442" t="s">
        <v>948</v>
      </c>
      <c r="F1442" t="s">
        <v>55</v>
      </c>
      <c r="G1442" t="s">
        <v>35</v>
      </c>
      <c r="H1442" t="s">
        <v>36</v>
      </c>
      <c r="I1442" t="s">
        <v>46</v>
      </c>
      <c r="J1442" t="s">
        <v>47</v>
      </c>
      <c r="K1442" t="s">
        <v>48</v>
      </c>
      <c r="L1442">
        <v>1</v>
      </c>
      <c r="M1442">
        <v>180</v>
      </c>
      <c r="N1442">
        <v>5</v>
      </c>
      <c r="O1442">
        <v>171</v>
      </c>
      <c r="P1442">
        <v>83.6</v>
      </c>
      <c r="Q1442" t="s">
        <v>121</v>
      </c>
      <c r="R1442" t="s">
        <v>49</v>
      </c>
      <c r="S1442" t="s">
        <v>30</v>
      </c>
    </row>
    <row r="1443" spans="1:19" x14ac:dyDescent="0.3">
      <c r="A1443" t="s">
        <v>2472</v>
      </c>
      <c r="B1443" s="2">
        <v>45825</v>
      </c>
      <c r="C1443" t="s">
        <v>2473</v>
      </c>
      <c r="D1443" t="s">
        <v>1604</v>
      </c>
      <c r="E1443" t="s">
        <v>1605</v>
      </c>
      <c r="F1443" t="s">
        <v>55</v>
      </c>
      <c r="G1443" t="s">
        <v>44</v>
      </c>
      <c r="H1443" t="s">
        <v>45</v>
      </c>
      <c r="I1443" t="s">
        <v>134</v>
      </c>
      <c r="J1443" t="s">
        <v>135</v>
      </c>
      <c r="K1443" t="s">
        <v>27</v>
      </c>
      <c r="L1443">
        <v>5</v>
      </c>
      <c r="M1443">
        <v>6000</v>
      </c>
      <c r="N1443">
        <v>20</v>
      </c>
      <c r="O1443">
        <v>24000</v>
      </c>
      <c r="Q1443" t="s">
        <v>74</v>
      </c>
      <c r="R1443" t="s">
        <v>49</v>
      </c>
      <c r="S1443" t="s">
        <v>110</v>
      </c>
    </row>
    <row r="1444" spans="1:19" x14ac:dyDescent="0.3">
      <c r="A1444" t="s">
        <v>2474</v>
      </c>
      <c r="B1444" t="s">
        <v>649</v>
      </c>
      <c r="C1444" s="1">
        <v>45460</v>
      </c>
      <c r="D1444" t="s">
        <v>1388</v>
      </c>
      <c r="E1444" t="s">
        <v>1389</v>
      </c>
      <c r="F1444" t="s">
        <v>34</v>
      </c>
      <c r="G1444" t="s">
        <v>61</v>
      </c>
      <c r="H1444" t="s">
        <v>78</v>
      </c>
      <c r="I1444" t="s">
        <v>25</v>
      </c>
      <c r="J1444" t="s">
        <v>26</v>
      </c>
      <c r="K1444" t="s">
        <v>27</v>
      </c>
      <c r="L1444">
        <v>1</v>
      </c>
      <c r="M1444">
        <v>7000</v>
      </c>
      <c r="N1444">
        <v>0</v>
      </c>
      <c r="O1444">
        <v>7000</v>
      </c>
      <c r="P1444">
        <v>1451.9</v>
      </c>
      <c r="Q1444" t="s">
        <v>74</v>
      </c>
      <c r="R1444" t="s">
        <v>29</v>
      </c>
      <c r="S1444" t="s">
        <v>40</v>
      </c>
    </row>
    <row r="1445" spans="1:19" x14ac:dyDescent="0.3">
      <c r="A1445" t="s">
        <v>2475</v>
      </c>
      <c r="B1445" s="1">
        <v>45684</v>
      </c>
      <c r="C1445" s="2">
        <v>45690</v>
      </c>
      <c r="D1445" t="s">
        <v>142</v>
      </c>
      <c r="E1445" t="s">
        <v>143</v>
      </c>
      <c r="F1445" t="s">
        <v>34</v>
      </c>
      <c r="G1445" t="s">
        <v>44</v>
      </c>
      <c r="H1445" t="s">
        <v>24</v>
      </c>
      <c r="I1445" t="s">
        <v>103</v>
      </c>
      <c r="J1445" t="s">
        <v>104</v>
      </c>
      <c r="K1445" t="s">
        <v>65</v>
      </c>
      <c r="L1445">
        <v>1</v>
      </c>
      <c r="M1445">
        <v>8000</v>
      </c>
      <c r="N1445">
        <v>20</v>
      </c>
      <c r="O1445">
        <v>6400</v>
      </c>
      <c r="P1445">
        <v>1185.55</v>
      </c>
      <c r="Q1445" t="s">
        <v>74</v>
      </c>
      <c r="R1445" t="s">
        <v>49</v>
      </c>
      <c r="S1445" t="s">
        <v>50</v>
      </c>
    </row>
    <row r="1446" spans="1:19" x14ac:dyDescent="0.3">
      <c r="A1446" t="s">
        <v>2476</v>
      </c>
      <c r="B1446" s="1">
        <v>45415</v>
      </c>
      <c r="C1446" s="1">
        <v>45362</v>
      </c>
      <c r="D1446" t="s">
        <v>1293</v>
      </c>
      <c r="E1446" t="s">
        <v>1294</v>
      </c>
      <c r="F1446" t="s">
        <v>34</v>
      </c>
      <c r="G1446" t="s">
        <v>61</v>
      </c>
      <c r="H1446" t="s">
        <v>211</v>
      </c>
      <c r="I1446" t="s">
        <v>46</v>
      </c>
      <c r="J1446" t="s">
        <v>47</v>
      </c>
      <c r="K1446" t="s">
        <v>48</v>
      </c>
      <c r="L1446">
        <v>1</v>
      </c>
      <c r="M1446">
        <v>180</v>
      </c>
      <c r="N1446">
        <v>0</v>
      </c>
      <c r="O1446">
        <v>180</v>
      </c>
      <c r="P1446">
        <v>68.099999999999994</v>
      </c>
      <c r="Q1446" t="s">
        <v>28</v>
      </c>
      <c r="R1446" t="s">
        <v>56</v>
      </c>
      <c r="S1446" t="s">
        <v>50</v>
      </c>
    </row>
    <row r="1447" spans="1:19" x14ac:dyDescent="0.3">
      <c r="A1447" t="s">
        <v>2477</v>
      </c>
      <c r="B1447" s="1">
        <v>45516</v>
      </c>
      <c r="C1447" s="1">
        <v>45522</v>
      </c>
      <c r="D1447" t="s">
        <v>517</v>
      </c>
      <c r="E1447" t="s">
        <v>518</v>
      </c>
      <c r="F1447" t="s">
        <v>34</v>
      </c>
      <c r="G1447" t="s">
        <v>61</v>
      </c>
      <c r="H1447" t="s">
        <v>125</v>
      </c>
      <c r="I1447" t="s">
        <v>114</v>
      </c>
      <c r="J1447" t="s">
        <v>115</v>
      </c>
      <c r="K1447" t="s">
        <v>65</v>
      </c>
      <c r="L1447">
        <v>3</v>
      </c>
      <c r="M1447">
        <v>55000</v>
      </c>
      <c r="N1447">
        <v>0</v>
      </c>
      <c r="O1447">
        <v>165000</v>
      </c>
      <c r="P1447">
        <v>21536.79</v>
      </c>
      <c r="Q1447" t="s">
        <v>121</v>
      </c>
      <c r="R1447" t="s">
        <v>29</v>
      </c>
      <c r="S1447" t="s">
        <v>50</v>
      </c>
    </row>
    <row r="1448" spans="1:19" x14ac:dyDescent="0.3">
      <c r="A1448" t="s">
        <v>2478</v>
      </c>
      <c r="B1448" s="1">
        <v>45578</v>
      </c>
      <c r="C1448" s="2">
        <v>45580</v>
      </c>
      <c r="D1448" t="s">
        <v>896</v>
      </c>
      <c r="E1448" t="s">
        <v>897</v>
      </c>
      <c r="F1448" t="s">
        <v>55</v>
      </c>
      <c r="G1448" t="s">
        <v>35</v>
      </c>
      <c r="H1448" t="s">
        <v>258</v>
      </c>
      <c r="I1448" t="s">
        <v>71</v>
      </c>
      <c r="J1448" t="s">
        <v>72</v>
      </c>
      <c r="K1448" t="s">
        <v>73</v>
      </c>
      <c r="L1448">
        <v>10</v>
      </c>
      <c r="M1448">
        <v>3500</v>
      </c>
      <c r="N1448">
        <v>10</v>
      </c>
      <c r="O1448">
        <v>31500</v>
      </c>
      <c r="P1448">
        <v>9706.2999999999993</v>
      </c>
      <c r="Q1448" t="s">
        <v>156</v>
      </c>
      <c r="R1448" t="s">
        <v>56</v>
      </c>
      <c r="S1448" t="s">
        <v>30</v>
      </c>
    </row>
    <row r="1449" spans="1:19" x14ac:dyDescent="0.3">
      <c r="A1449" t="s">
        <v>2479</v>
      </c>
      <c r="B1449" s="1">
        <v>45551</v>
      </c>
      <c r="C1449" s="2">
        <v>45556</v>
      </c>
      <c r="D1449" t="s">
        <v>237</v>
      </c>
      <c r="E1449" t="s">
        <v>238</v>
      </c>
      <c r="F1449" t="s">
        <v>55</v>
      </c>
      <c r="G1449" t="s">
        <v>44</v>
      </c>
      <c r="H1449" t="s">
        <v>155</v>
      </c>
      <c r="I1449" t="s">
        <v>37</v>
      </c>
      <c r="J1449" t="s">
        <v>38</v>
      </c>
      <c r="K1449" t="s">
        <v>366</v>
      </c>
      <c r="M1449">
        <v>9500</v>
      </c>
      <c r="N1449">
        <v>20</v>
      </c>
      <c r="O1449">
        <v>7600</v>
      </c>
      <c r="P1449">
        <v>1659.81</v>
      </c>
      <c r="Q1449" t="s">
        <v>66</v>
      </c>
      <c r="R1449" t="s">
        <v>29</v>
      </c>
      <c r="S1449" t="s">
        <v>30</v>
      </c>
    </row>
    <row r="1450" spans="1:19" x14ac:dyDescent="0.3">
      <c r="A1450" t="s">
        <v>2480</v>
      </c>
      <c r="B1450" s="2">
        <v>45308</v>
      </c>
      <c r="C1450" s="1">
        <v>45312</v>
      </c>
      <c r="D1450" t="s">
        <v>1643</v>
      </c>
      <c r="E1450" t="s">
        <v>1644</v>
      </c>
      <c r="F1450" t="s">
        <v>55</v>
      </c>
      <c r="G1450" t="s">
        <v>91</v>
      </c>
      <c r="H1450" t="s">
        <v>120</v>
      </c>
      <c r="I1450" t="s">
        <v>63</v>
      </c>
      <c r="J1450" t="s">
        <v>64</v>
      </c>
      <c r="K1450" t="s">
        <v>65</v>
      </c>
      <c r="L1450">
        <v>2</v>
      </c>
      <c r="M1450">
        <v>25000</v>
      </c>
      <c r="N1450">
        <v>0</v>
      </c>
      <c r="O1450">
        <v>50000</v>
      </c>
      <c r="P1450">
        <v>6261.35</v>
      </c>
      <c r="Q1450" t="s">
        <v>156</v>
      </c>
      <c r="R1450" t="s">
        <v>56</v>
      </c>
      <c r="S1450" t="s">
        <v>86</v>
      </c>
    </row>
    <row r="1451" spans="1:19" x14ac:dyDescent="0.3">
      <c r="A1451" t="s">
        <v>2481</v>
      </c>
      <c r="B1451" s="1">
        <v>45637</v>
      </c>
      <c r="C1451" s="2">
        <v>45639</v>
      </c>
      <c r="D1451" t="s">
        <v>1875</v>
      </c>
      <c r="E1451" t="s">
        <v>1876</v>
      </c>
      <c r="F1451" t="s">
        <v>34</v>
      </c>
      <c r="G1451" t="s">
        <v>91</v>
      </c>
      <c r="H1451" t="s">
        <v>109</v>
      </c>
      <c r="I1451" t="s">
        <v>147</v>
      </c>
      <c r="J1451" t="s">
        <v>148</v>
      </c>
      <c r="K1451" t="s">
        <v>48</v>
      </c>
      <c r="L1451">
        <v>3</v>
      </c>
      <c r="M1451">
        <v>250</v>
      </c>
      <c r="N1451">
        <v>20</v>
      </c>
      <c r="O1451">
        <v>600</v>
      </c>
      <c r="P1451">
        <v>219.32</v>
      </c>
      <c r="Q1451" t="s">
        <v>28</v>
      </c>
      <c r="R1451" t="s">
        <v>56</v>
      </c>
      <c r="S1451" t="s">
        <v>40</v>
      </c>
    </row>
    <row r="1452" spans="1:19" x14ac:dyDescent="0.3">
      <c r="A1452" t="s">
        <v>2482</v>
      </c>
      <c r="B1452" s="1">
        <v>45535</v>
      </c>
      <c r="C1452" s="1">
        <v>45543</v>
      </c>
      <c r="D1452" t="s">
        <v>336</v>
      </c>
      <c r="E1452" t="s">
        <v>337</v>
      </c>
      <c r="F1452" t="s">
        <v>34</v>
      </c>
      <c r="G1452" t="s">
        <v>61</v>
      </c>
      <c r="H1452" t="s">
        <v>211</v>
      </c>
      <c r="I1452" t="s">
        <v>147</v>
      </c>
      <c r="J1452" t="s">
        <v>148</v>
      </c>
      <c r="K1452" t="s">
        <v>611</v>
      </c>
      <c r="L1452">
        <v>3</v>
      </c>
      <c r="M1452">
        <v>250</v>
      </c>
      <c r="N1452">
        <v>10</v>
      </c>
      <c r="O1452">
        <v>675</v>
      </c>
      <c r="P1452">
        <v>216</v>
      </c>
      <c r="Q1452" t="s">
        <v>28</v>
      </c>
      <c r="R1452" t="s">
        <v>29</v>
      </c>
      <c r="S1452" t="s">
        <v>30</v>
      </c>
    </row>
    <row r="1453" spans="1:19" x14ac:dyDescent="0.3">
      <c r="A1453" t="s">
        <v>2483</v>
      </c>
      <c r="B1453" s="2">
        <v>45833</v>
      </c>
      <c r="C1453" t="s">
        <v>226</v>
      </c>
      <c r="D1453" t="s">
        <v>731</v>
      </c>
      <c r="E1453" t="s">
        <v>732</v>
      </c>
      <c r="F1453" t="s">
        <v>34</v>
      </c>
      <c r="G1453" t="s">
        <v>44</v>
      </c>
      <c r="H1453" t="s">
        <v>155</v>
      </c>
      <c r="I1453" t="s">
        <v>63</v>
      </c>
      <c r="J1453" t="s">
        <v>64</v>
      </c>
      <c r="K1453" t="s">
        <v>65</v>
      </c>
      <c r="L1453">
        <v>1</v>
      </c>
      <c r="M1453">
        <v>25000</v>
      </c>
      <c r="N1453">
        <v>10</v>
      </c>
      <c r="O1453">
        <v>22500</v>
      </c>
      <c r="P1453">
        <v>3530.79</v>
      </c>
      <c r="Q1453" t="s">
        <v>39</v>
      </c>
      <c r="R1453" t="s">
        <v>29</v>
      </c>
      <c r="S1453" t="s">
        <v>86</v>
      </c>
    </row>
    <row r="1454" spans="1:19" x14ac:dyDescent="0.3">
      <c r="A1454" t="s">
        <v>2484</v>
      </c>
      <c r="B1454" s="1">
        <v>45334</v>
      </c>
      <c r="C1454" s="1">
        <v>45337</v>
      </c>
      <c r="D1454" t="s">
        <v>596</v>
      </c>
      <c r="E1454" t="s">
        <v>597</v>
      </c>
      <c r="F1454" t="s">
        <v>34</v>
      </c>
      <c r="G1454" t="s">
        <v>91</v>
      </c>
      <c r="H1454" t="s">
        <v>120</v>
      </c>
      <c r="I1454" t="s">
        <v>46</v>
      </c>
      <c r="J1454" t="s">
        <v>47</v>
      </c>
      <c r="K1454" t="s">
        <v>48</v>
      </c>
      <c r="L1454">
        <v>1</v>
      </c>
      <c r="M1454">
        <v>180</v>
      </c>
      <c r="N1454">
        <v>0</v>
      </c>
      <c r="O1454">
        <v>180</v>
      </c>
      <c r="P1454">
        <v>66.650000000000006</v>
      </c>
      <c r="Q1454" t="s">
        <v>156</v>
      </c>
      <c r="R1454" t="s">
        <v>49</v>
      </c>
      <c r="S1454" t="s">
        <v>86</v>
      </c>
    </row>
    <row r="1455" spans="1:19" x14ac:dyDescent="0.3">
      <c r="A1455" t="s">
        <v>2485</v>
      </c>
      <c r="B1455" s="1">
        <v>45325</v>
      </c>
      <c r="C1455" s="1">
        <v>45355</v>
      </c>
      <c r="D1455" t="s">
        <v>453</v>
      </c>
      <c r="E1455" t="s">
        <v>454</v>
      </c>
      <c r="F1455" t="s">
        <v>55</v>
      </c>
      <c r="G1455" t="s">
        <v>35</v>
      </c>
      <c r="H1455" t="s">
        <v>187</v>
      </c>
      <c r="I1455" t="s">
        <v>126</v>
      </c>
      <c r="J1455" t="s">
        <v>127</v>
      </c>
      <c r="K1455" t="s">
        <v>95</v>
      </c>
      <c r="L1455">
        <v>1</v>
      </c>
      <c r="M1455">
        <v>600</v>
      </c>
      <c r="N1455">
        <v>15</v>
      </c>
      <c r="O1455">
        <v>510</v>
      </c>
      <c r="P1455">
        <v>147.59</v>
      </c>
      <c r="Q1455" t="s">
        <v>121</v>
      </c>
      <c r="R1455" t="s">
        <v>49</v>
      </c>
      <c r="S1455" t="s">
        <v>50</v>
      </c>
    </row>
    <row r="1456" spans="1:19" x14ac:dyDescent="0.3">
      <c r="A1456" t="s">
        <v>2486</v>
      </c>
      <c r="B1456" t="s">
        <v>918</v>
      </c>
      <c r="C1456" s="1">
        <v>45699</v>
      </c>
      <c r="D1456" t="s">
        <v>1019</v>
      </c>
      <c r="E1456" t="s">
        <v>1020</v>
      </c>
      <c r="F1456" t="s">
        <v>55</v>
      </c>
      <c r="G1456" t="s">
        <v>35</v>
      </c>
      <c r="H1456" t="s">
        <v>187</v>
      </c>
      <c r="I1456" t="s">
        <v>147</v>
      </c>
      <c r="J1456" t="s">
        <v>148</v>
      </c>
      <c r="K1456" t="s">
        <v>48</v>
      </c>
      <c r="L1456">
        <v>5</v>
      </c>
      <c r="M1456">
        <v>250</v>
      </c>
      <c r="N1456">
        <v>0</v>
      </c>
      <c r="O1456">
        <v>1250</v>
      </c>
      <c r="P1456">
        <v>517.26</v>
      </c>
      <c r="Q1456" t="s">
        <v>74</v>
      </c>
      <c r="R1456" t="s">
        <v>49</v>
      </c>
      <c r="S1456" t="s">
        <v>40</v>
      </c>
    </row>
    <row r="1457" spans="1:19" x14ac:dyDescent="0.3">
      <c r="A1457" t="s">
        <v>2487</v>
      </c>
      <c r="B1457" s="1">
        <v>45459</v>
      </c>
      <c r="C1457" s="1">
        <v>45465</v>
      </c>
      <c r="D1457" t="s">
        <v>189</v>
      </c>
      <c r="E1457" t="s">
        <v>190</v>
      </c>
      <c r="F1457" t="s">
        <v>23</v>
      </c>
      <c r="G1457" t="s">
        <v>91</v>
      </c>
      <c r="H1457" t="s">
        <v>120</v>
      </c>
      <c r="I1457" t="s">
        <v>37</v>
      </c>
      <c r="J1457" t="s">
        <v>38</v>
      </c>
      <c r="K1457" t="s">
        <v>27</v>
      </c>
      <c r="L1457">
        <v>1</v>
      </c>
      <c r="M1457">
        <v>9500</v>
      </c>
      <c r="N1457">
        <v>0</v>
      </c>
      <c r="O1457">
        <v>9500</v>
      </c>
      <c r="P1457">
        <v>1648.83</v>
      </c>
      <c r="Q1457" t="s">
        <v>66</v>
      </c>
      <c r="R1457" t="s">
        <v>49</v>
      </c>
      <c r="S1457" t="s">
        <v>110</v>
      </c>
    </row>
    <row r="1458" spans="1:19" x14ac:dyDescent="0.3">
      <c r="A1458" t="s">
        <v>2488</v>
      </c>
      <c r="B1458" s="1">
        <v>45630</v>
      </c>
      <c r="C1458" s="2">
        <v>45401</v>
      </c>
      <c r="D1458" t="s">
        <v>1184</v>
      </c>
      <c r="E1458" t="s">
        <v>1185</v>
      </c>
      <c r="F1458" t="s">
        <v>55</v>
      </c>
      <c r="G1458" t="s">
        <v>91</v>
      </c>
      <c r="H1458" t="s">
        <v>109</v>
      </c>
      <c r="I1458" t="s">
        <v>103</v>
      </c>
      <c r="J1458" t="s">
        <v>104</v>
      </c>
      <c r="K1458" t="s">
        <v>65</v>
      </c>
      <c r="L1458">
        <v>5</v>
      </c>
      <c r="M1458">
        <v>8000</v>
      </c>
      <c r="N1458">
        <v>0</v>
      </c>
      <c r="O1458">
        <v>40000</v>
      </c>
      <c r="Q1458" t="s">
        <v>66</v>
      </c>
      <c r="R1458" t="s">
        <v>56</v>
      </c>
      <c r="S1458" t="s">
        <v>86</v>
      </c>
    </row>
    <row r="1459" spans="1:19" x14ac:dyDescent="0.3">
      <c r="A1459" t="s">
        <v>2489</v>
      </c>
      <c r="B1459" s="1">
        <v>45988</v>
      </c>
      <c r="C1459" t="s">
        <v>2490</v>
      </c>
      <c r="D1459" t="s">
        <v>192</v>
      </c>
      <c r="E1459" t="s">
        <v>193</v>
      </c>
      <c r="F1459" t="s">
        <v>55</v>
      </c>
      <c r="G1459" t="s">
        <v>35</v>
      </c>
      <c r="H1459" t="s">
        <v>36</v>
      </c>
      <c r="I1459" t="s">
        <v>46</v>
      </c>
      <c r="J1459" t="s">
        <v>47</v>
      </c>
      <c r="K1459" t="s">
        <v>48</v>
      </c>
      <c r="M1459">
        <v>180</v>
      </c>
      <c r="N1459">
        <v>10</v>
      </c>
      <c r="O1459">
        <v>162</v>
      </c>
      <c r="P1459">
        <v>77.81</v>
      </c>
      <c r="Q1459" t="s">
        <v>39</v>
      </c>
      <c r="R1459" t="s">
        <v>49</v>
      </c>
      <c r="S1459" t="s">
        <v>40</v>
      </c>
    </row>
    <row r="1460" spans="1:19" x14ac:dyDescent="0.3">
      <c r="A1460" t="s">
        <v>2491</v>
      </c>
      <c r="B1460" s="1">
        <v>45969</v>
      </c>
      <c r="C1460" s="1">
        <v>45884</v>
      </c>
      <c r="D1460" t="s">
        <v>767</v>
      </c>
      <c r="E1460" t="s">
        <v>768</v>
      </c>
      <c r="F1460" t="s">
        <v>23</v>
      </c>
      <c r="G1460" t="s">
        <v>35</v>
      </c>
      <c r="H1460" t="s">
        <v>258</v>
      </c>
      <c r="I1460" t="s">
        <v>37</v>
      </c>
      <c r="J1460" t="s">
        <v>38</v>
      </c>
      <c r="K1460" t="s">
        <v>27</v>
      </c>
      <c r="L1460">
        <v>1</v>
      </c>
      <c r="M1460">
        <v>9500</v>
      </c>
      <c r="N1460">
        <v>0</v>
      </c>
      <c r="O1460">
        <v>9500</v>
      </c>
      <c r="P1460">
        <v>1610.95</v>
      </c>
      <c r="Q1460" t="s">
        <v>39</v>
      </c>
      <c r="R1460" t="s">
        <v>56</v>
      </c>
      <c r="S1460" t="s">
        <v>86</v>
      </c>
    </row>
    <row r="1461" spans="1:19" x14ac:dyDescent="0.3">
      <c r="A1461" t="s">
        <v>2492</v>
      </c>
      <c r="B1461" s="2">
        <v>45490</v>
      </c>
      <c r="C1461" s="2">
        <v>45495</v>
      </c>
      <c r="D1461" t="s">
        <v>674</v>
      </c>
      <c r="E1461" t="s">
        <v>675</v>
      </c>
      <c r="F1461" t="s">
        <v>55</v>
      </c>
      <c r="G1461" t="s">
        <v>91</v>
      </c>
      <c r="H1461" t="s">
        <v>109</v>
      </c>
      <c r="I1461" t="s">
        <v>93</v>
      </c>
      <c r="J1461" t="s">
        <v>94</v>
      </c>
      <c r="K1461" t="s">
        <v>95</v>
      </c>
      <c r="L1461">
        <v>1</v>
      </c>
      <c r="M1461">
        <v>1800</v>
      </c>
      <c r="N1461">
        <v>0</v>
      </c>
      <c r="O1461">
        <v>1800</v>
      </c>
      <c r="P1461">
        <v>458.77</v>
      </c>
      <c r="Q1461" t="s">
        <v>121</v>
      </c>
      <c r="R1461" t="s">
        <v>49</v>
      </c>
      <c r="S1461" t="s">
        <v>86</v>
      </c>
    </row>
    <row r="1462" spans="1:19" x14ac:dyDescent="0.3">
      <c r="A1462" t="s">
        <v>2493</v>
      </c>
      <c r="B1462" s="1">
        <v>45710</v>
      </c>
      <c r="C1462" s="1">
        <v>45717</v>
      </c>
      <c r="D1462" t="s">
        <v>965</v>
      </c>
      <c r="E1462" t="s">
        <v>966</v>
      </c>
      <c r="F1462" t="s">
        <v>34</v>
      </c>
      <c r="G1462" t="s">
        <v>44</v>
      </c>
      <c r="H1462" t="s">
        <v>45</v>
      </c>
      <c r="I1462" t="s">
        <v>79</v>
      </c>
      <c r="J1462" t="s">
        <v>80</v>
      </c>
      <c r="K1462" t="s">
        <v>65</v>
      </c>
      <c r="L1462">
        <v>3</v>
      </c>
      <c r="M1462">
        <v>3000</v>
      </c>
      <c r="N1462">
        <v>20</v>
      </c>
      <c r="O1462">
        <v>7200</v>
      </c>
      <c r="P1462">
        <v>1653.79</v>
      </c>
      <c r="Q1462" t="s">
        <v>66</v>
      </c>
      <c r="R1462" t="s">
        <v>29</v>
      </c>
      <c r="S1462" t="s">
        <v>86</v>
      </c>
    </row>
    <row r="1463" spans="1:19" x14ac:dyDescent="0.3">
      <c r="A1463" t="s">
        <v>2494</v>
      </c>
      <c r="B1463" s="1">
        <v>45993</v>
      </c>
      <c r="C1463" s="1">
        <v>46001</v>
      </c>
      <c r="D1463" t="s">
        <v>1886</v>
      </c>
      <c r="E1463" t="s">
        <v>1887</v>
      </c>
      <c r="F1463" t="s">
        <v>23</v>
      </c>
      <c r="G1463" t="s">
        <v>91</v>
      </c>
      <c r="H1463" t="s">
        <v>120</v>
      </c>
      <c r="I1463" t="s">
        <v>126</v>
      </c>
      <c r="J1463" t="s">
        <v>127</v>
      </c>
      <c r="K1463" t="s">
        <v>95</v>
      </c>
      <c r="L1463">
        <v>3</v>
      </c>
      <c r="M1463">
        <v>600</v>
      </c>
      <c r="N1463">
        <v>5</v>
      </c>
      <c r="O1463">
        <v>1710</v>
      </c>
      <c r="P1463">
        <v>706.07</v>
      </c>
      <c r="Q1463" t="s">
        <v>28</v>
      </c>
      <c r="R1463" t="s">
        <v>29</v>
      </c>
      <c r="S1463" t="s">
        <v>110</v>
      </c>
    </row>
    <row r="1464" spans="1:19" x14ac:dyDescent="0.3">
      <c r="A1464" t="s">
        <v>2495</v>
      </c>
      <c r="B1464" s="2">
        <v>45406</v>
      </c>
      <c r="C1464" s="1">
        <v>45411</v>
      </c>
      <c r="D1464" t="s">
        <v>392</v>
      </c>
      <c r="E1464" t="s">
        <v>393</v>
      </c>
      <c r="F1464" t="s">
        <v>55</v>
      </c>
      <c r="G1464" t="s">
        <v>91</v>
      </c>
      <c r="H1464" t="s">
        <v>92</v>
      </c>
      <c r="I1464" t="s">
        <v>114</v>
      </c>
      <c r="J1464" t="s">
        <v>115</v>
      </c>
      <c r="K1464" t="s">
        <v>65</v>
      </c>
      <c r="L1464">
        <v>1</v>
      </c>
      <c r="M1464">
        <v>55000</v>
      </c>
      <c r="N1464">
        <v>10</v>
      </c>
      <c r="O1464">
        <v>49500</v>
      </c>
      <c r="P1464">
        <v>8801.5499999999993</v>
      </c>
      <c r="Q1464" t="s">
        <v>28</v>
      </c>
      <c r="R1464" t="s">
        <v>29</v>
      </c>
      <c r="S1464" t="s">
        <v>50</v>
      </c>
    </row>
    <row r="1465" spans="1:19" x14ac:dyDescent="0.3">
      <c r="A1465" t="s">
        <v>2496</v>
      </c>
      <c r="B1465" s="1">
        <v>45970</v>
      </c>
      <c r="C1465" s="1">
        <v>45913</v>
      </c>
      <c r="D1465" t="s">
        <v>220</v>
      </c>
      <c r="E1465" t="s">
        <v>221</v>
      </c>
      <c r="F1465" t="s">
        <v>34</v>
      </c>
      <c r="G1465" t="s">
        <v>44</v>
      </c>
      <c r="H1465" t="s">
        <v>161</v>
      </c>
      <c r="I1465" t="s">
        <v>134</v>
      </c>
      <c r="J1465" t="s">
        <v>135</v>
      </c>
      <c r="K1465" t="s">
        <v>27</v>
      </c>
      <c r="L1465">
        <v>3</v>
      </c>
      <c r="M1465">
        <v>6000</v>
      </c>
      <c r="N1465">
        <v>0</v>
      </c>
      <c r="O1465">
        <v>18000</v>
      </c>
      <c r="P1465">
        <v>3547.16</v>
      </c>
      <c r="Q1465" t="s">
        <v>66</v>
      </c>
      <c r="R1465" t="s">
        <v>56</v>
      </c>
      <c r="S1465" t="s">
        <v>40</v>
      </c>
    </row>
    <row r="1466" spans="1:19" x14ac:dyDescent="0.3">
      <c r="A1466" t="s">
        <v>2497</v>
      </c>
      <c r="B1466" t="s">
        <v>2498</v>
      </c>
      <c r="C1466" s="2">
        <v>45808</v>
      </c>
      <c r="D1466" t="s">
        <v>550</v>
      </c>
      <c r="E1466" t="s">
        <v>551</v>
      </c>
      <c r="F1466" t="s">
        <v>55</v>
      </c>
      <c r="G1466" t="s">
        <v>91</v>
      </c>
      <c r="H1466" t="s">
        <v>109</v>
      </c>
      <c r="I1466" t="s">
        <v>134</v>
      </c>
      <c r="J1466" t="s">
        <v>135</v>
      </c>
      <c r="K1466" t="s">
        <v>27</v>
      </c>
      <c r="L1466">
        <v>2</v>
      </c>
      <c r="M1466">
        <v>6000</v>
      </c>
      <c r="N1466">
        <v>15</v>
      </c>
      <c r="O1466">
        <v>10200</v>
      </c>
      <c r="P1466">
        <v>1841.26</v>
      </c>
      <c r="Q1466" t="s">
        <v>28</v>
      </c>
      <c r="R1466" t="s">
        <v>56</v>
      </c>
      <c r="S1466" t="s">
        <v>50</v>
      </c>
    </row>
    <row r="1467" spans="1:19" x14ac:dyDescent="0.3">
      <c r="A1467" t="s">
        <v>2499</v>
      </c>
      <c r="B1467" s="1">
        <v>46000</v>
      </c>
      <c r="C1467" s="1">
        <v>45914</v>
      </c>
      <c r="D1467" t="s">
        <v>1009</v>
      </c>
      <c r="E1467" t="s">
        <v>1010</v>
      </c>
      <c r="F1467" t="s">
        <v>23</v>
      </c>
      <c r="G1467" t="s">
        <v>61</v>
      </c>
      <c r="H1467" t="s">
        <v>62</v>
      </c>
      <c r="I1467" t="s">
        <v>63</v>
      </c>
      <c r="J1467" t="s">
        <v>64</v>
      </c>
      <c r="K1467" t="s">
        <v>65</v>
      </c>
      <c r="L1467">
        <v>3</v>
      </c>
      <c r="M1467">
        <v>25000</v>
      </c>
      <c r="N1467">
        <v>15</v>
      </c>
      <c r="O1467">
        <v>63750</v>
      </c>
      <c r="P1467">
        <v>7035.08</v>
      </c>
      <c r="Q1467" t="s">
        <v>28</v>
      </c>
      <c r="R1467" t="s">
        <v>49</v>
      </c>
      <c r="S1467" t="s">
        <v>86</v>
      </c>
    </row>
    <row r="1468" spans="1:19" x14ac:dyDescent="0.3">
      <c r="A1468" t="s">
        <v>2500</v>
      </c>
      <c r="B1468" t="s">
        <v>2501</v>
      </c>
      <c r="C1468" s="1">
        <v>45984</v>
      </c>
      <c r="D1468" t="s">
        <v>237</v>
      </c>
      <c r="E1468" t="s">
        <v>238</v>
      </c>
      <c r="F1468" t="s">
        <v>55</v>
      </c>
      <c r="G1468" t="s">
        <v>44</v>
      </c>
      <c r="H1468" t="s">
        <v>155</v>
      </c>
      <c r="I1468" t="s">
        <v>71</v>
      </c>
      <c r="J1468" t="s">
        <v>72</v>
      </c>
      <c r="K1468" t="s">
        <v>73</v>
      </c>
      <c r="L1468">
        <v>5</v>
      </c>
      <c r="M1468">
        <v>3500</v>
      </c>
      <c r="N1468">
        <v>0</v>
      </c>
      <c r="O1468">
        <v>17500</v>
      </c>
      <c r="P1468">
        <v>4159.72</v>
      </c>
      <c r="Q1468" t="s">
        <v>39</v>
      </c>
      <c r="R1468" t="s">
        <v>29</v>
      </c>
      <c r="S1468" t="s">
        <v>50</v>
      </c>
    </row>
    <row r="1469" spans="1:19" x14ac:dyDescent="0.3">
      <c r="A1469" t="s">
        <v>2502</v>
      </c>
      <c r="B1469" s="1">
        <v>45722</v>
      </c>
      <c r="C1469" s="1">
        <v>45729</v>
      </c>
      <c r="D1469" t="s">
        <v>838</v>
      </c>
      <c r="E1469" t="s">
        <v>839</v>
      </c>
      <c r="F1469" t="s">
        <v>23</v>
      </c>
      <c r="G1469" t="s">
        <v>35</v>
      </c>
      <c r="H1469" t="s">
        <v>258</v>
      </c>
      <c r="I1469" t="s">
        <v>79</v>
      </c>
      <c r="J1469" t="s">
        <v>80</v>
      </c>
      <c r="K1469" t="s">
        <v>65</v>
      </c>
      <c r="L1469">
        <v>2</v>
      </c>
      <c r="M1469">
        <v>3000</v>
      </c>
      <c r="N1469">
        <v>5</v>
      </c>
      <c r="O1469">
        <v>5700</v>
      </c>
      <c r="P1469">
        <v>1786.64</v>
      </c>
      <c r="Q1469" t="s">
        <v>66</v>
      </c>
      <c r="R1469" t="s">
        <v>56</v>
      </c>
      <c r="S1469" t="s">
        <v>30</v>
      </c>
    </row>
    <row r="1470" spans="1:19" x14ac:dyDescent="0.3">
      <c r="A1470" t="s">
        <v>2503</v>
      </c>
      <c r="B1470" s="1">
        <v>45473</v>
      </c>
      <c r="C1470" s="1">
        <v>45478</v>
      </c>
      <c r="D1470" t="s">
        <v>621</v>
      </c>
      <c r="E1470" t="s">
        <v>622</v>
      </c>
      <c r="F1470" t="s">
        <v>55</v>
      </c>
      <c r="G1470" t="s">
        <v>91</v>
      </c>
      <c r="H1470" t="s">
        <v>109</v>
      </c>
      <c r="I1470" t="s">
        <v>103</v>
      </c>
      <c r="J1470" t="s">
        <v>104</v>
      </c>
      <c r="K1470" t="s">
        <v>65</v>
      </c>
      <c r="L1470">
        <v>10</v>
      </c>
      <c r="M1470">
        <v>8000</v>
      </c>
      <c r="N1470">
        <v>0</v>
      </c>
      <c r="O1470">
        <v>80000</v>
      </c>
      <c r="P1470">
        <v>19580.47</v>
      </c>
      <c r="Q1470" t="s">
        <v>66</v>
      </c>
      <c r="R1470" t="s">
        <v>49</v>
      </c>
      <c r="S1470" t="s">
        <v>110</v>
      </c>
    </row>
    <row r="1471" spans="1:19" x14ac:dyDescent="0.3">
      <c r="A1471" t="s">
        <v>2504</v>
      </c>
      <c r="B1471" s="2">
        <v>45340</v>
      </c>
      <c r="C1471" s="2">
        <v>45346</v>
      </c>
      <c r="D1471" t="s">
        <v>1058</v>
      </c>
      <c r="E1471" t="s">
        <v>1059</v>
      </c>
      <c r="F1471" t="s">
        <v>55</v>
      </c>
      <c r="G1471" t="s">
        <v>91</v>
      </c>
      <c r="H1471" t="s">
        <v>92</v>
      </c>
      <c r="I1471" t="s">
        <v>37</v>
      </c>
      <c r="J1471" t="s">
        <v>38</v>
      </c>
      <c r="K1471" t="s">
        <v>27</v>
      </c>
      <c r="M1471">
        <v>9500</v>
      </c>
      <c r="N1471">
        <v>0</v>
      </c>
      <c r="O1471">
        <v>38000</v>
      </c>
      <c r="P1471">
        <v>6150.58</v>
      </c>
      <c r="Q1471" t="s">
        <v>28</v>
      </c>
      <c r="R1471" t="s">
        <v>49</v>
      </c>
      <c r="S1471" t="s">
        <v>30</v>
      </c>
    </row>
    <row r="1472" spans="1:19" x14ac:dyDescent="0.3">
      <c r="A1472" t="s">
        <v>2505</v>
      </c>
      <c r="B1472" s="1">
        <v>45790</v>
      </c>
      <c r="C1472" s="2">
        <v>45794</v>
      </c>
      <c r="D1472" t="s">
        <v>457</v>
      </c>
      <c r="E1472" t="s">
        <v>458</v>
      </c>
      <c r="F1472" t="s">
        <v>55</v>
      </c>
      <c r="G1472" t="s">
        <v>44</v>
      </c>
      <c r="H1472" t="s">
        <v>24</v>
      </c>
      <c r="I1472" t="s">
        <v>103</v>
      </c>
      <c r="J1472" t="s">
        <v>104</v>
      </c>
      <c r="K1472" t="s">
        <v>65</v>
      </c>
      <c r="L1472">
        <v>1</v>
      </c>
      <c r="M1472">
        <v>8000</v>
      </c>
      <c r="N1472">
        <v>0</v>
      </c>
      <c r="O1472">
        <v>8000</v>
      </c>
      <c r="P1472">
        <v>1760.53</v>
      </c>
      <c r="Q1472" t="s">
        <v>121</v>
      </c>
      <c r="R1472" t="s">
        <v>29</v>
      </c>
      <c r="S1472" t="s">
        <v>86</v>
      </c>
    </row>
    <row r="1473" spans="1:19" x14ac:dyDescent="0.3">
      <c r="A1473" t="s">
        <v>2506</v>
      </c>
      <c r="B1473" s="1">
        <v>45602</v>
      </c>
      <c r="C1473" s="1">
        <v>45462</v>
      </c>
      <c r="D1473" t="s">
        <v>682</v>
      </c>
      <c r="E1473" t="s">
        <v>683</v>
      </c>
      <c r="F1473" t="s">
        <v>55</v>
      </c>
      <c r="G1473" t="s">
        <v>61</v>
      </c>
      <c r="H1473" t="s">
        <v>125</v>
      </c>
      <c r="I1473" t="s">
        <v>71</v>
      </c>
      <c r="J1473" t="s">
        <v>72</v>
      </c>
      <c r="K1473" t="s">
        <v>73</v>
      </c>
      <c r="L1473">
        <v>2</v>
      </c>
      <c r="M1473">
        <v>3500</v>
      </c>
      <c r="N1473">
        <v>0</v>
      </c>
      <c r="O1473">
        <v>7000</v>
      </c>
      <c r="P1473">
        <v>1993.86</v>
      </c>
      <c r="Q1473" t="s">
        <v>156</v>
      </c>
      <c r="R1473" t="s">
        <v>49</v>
      </c>
      <c r="S1473" t="s">
        <v>50</v>
      </c>
    </row>
    <row r="1474" spans="1:19" x14ac:dyDescent="0.3">
      <c r="A1474" t="s">
        <v>2507</v>
      </c>
      <c r="B1474" s="2">
        <v>45360</v>
      </c>
      <c r="C1474" s="1">
        <v>45364</v>
      </c>
      <c r="D1474" t="s">
        <v>98</v>
      </c>
      <c r="E1474" t="s">
        <v>99</v>
      </c>
      <c r="F1474" t="s">
        <v>34</v>
      </c>
      <c r="G1474" t="s">
        <v>91</v>
      </c>
      <c r="H1474" t="s">
        <v>92</v>
      </c>
      <c r="I1474" t="s">
        <v>25</v>
      </c>
      <c r="J1474" t="s">
        <v>26</v>
      </c>
      <c r="K1474" t="s">
        <v>27</v>
      </c>
      <c r="L1474">
        <v>10</v>
      </c>
      <c r="M1474">
        <v>7000</v>
      </c>
      <c r="N1474">
        <v>0</v>
      </c>
      <c r="O1474">
        <v>70000</v>
      </c>
      <c r="P1474">
        <v>12028.43</v>
      </c>
      <c r="Q1474" t="s">
        <v>66</v>
      </c>
      <c r="R1474" t="s">
        <v>29</v>
      </c>
      <c r="S1474" t="s">
        <v>110</v>
      </c>
    </row>
    <row r="1475" spans="1:19" x14ac:dyDescent="0.3">
      <c r="A1475" t="s">
        <v>2508</v>
      </c>
      <c r="B1475" s="1">
        <v>45433</v>
      </c>
      <c r="D1475" t="s">
        <v>460</v>
      </c>
      <c r="E1475" t="s">
        <v>461</v>
      </c>
      <c r="F1475" t="s">
        <v>34</v>
      </c>
      <c r="G1475" t="s">
        <v>61</v>
      </c>
      <c r="H1475" t="s">
        <v>62</v>
      </c>
      <c r="I1475" t="s">
        <v>103</v>
      </c>
      <c r="J1475" t="s">
        <v>104</v>
      </c>
      <c r="K1475" t="s">
        <v>65</v>
      </c>
      <c r="L1475">
        <v>3</v>
      </c>
      <c r="M1475">
        <v>8000</v>
      </c>
      <c r="N1475">
        <v>5</v>
      </c>
      <c r="O1475">
        <v>22800</v>
      </c>
      <c r="P1475">
        <v>4033.28</v>
      </c>
      <c r="Q1475" t="s">
        <v>74</v>
      </c>
      <c r="R1475" t="s">
        <v>49</v>
      </c>
      <c r="S1475" t="s">
        <v>30</v>
      </c>
    </row>
    <row r="1476" spans="1:19" x14ac:dyDescent="0.3">
      <c r="A1476" t="s">
        <v>2509</v>
      </c>
      <c r="B1476" s="1">
        <v>45765</v>
      </c>
      <c r="C1476" s="1">
        <v>45766</v>
      </c>
      <c r="D1476" t="s">
        <v>1115</v>
      </c>
      <c r="E1476" t="s">
        <v>1116</v>
      </c>
      <c r="F1476" t="s">
        <v>23</v>
      </c>
      <c r="G1476" t="s">
        <v>44</v>
      </c>
      <c r="H1476" t="s">
        <v>45</v>
      </c>
      <c r="I1476" t="s">
        <v>63</v>
      </c>
      <c r="J1476" t="s">
        <v>64</v>
      </c>
      <c r="K1476" t="s">
        <v>65</v>
      </c>
      <c r="L1476">
        <v>1</v>
      </c>
      <c r="M1476">
        <v>25000</v>
      </c>
      <c r="N1476">
        <v>15</v>
      </c>
      <c r="O1476">
        <v>21250</v>
      </c>
      <c r="P1476">
        <v>3317.33</v>
      </c>
      <c r="Q1476" t="s">
        <v>28</v>
      </c>
      <c r="R1476" t="s">
        <v>56</v>
      </c>
      <c r="S1476" t="s">
        <v>30</v>
      </c>
    </row>
    <row r="1477" spans="1:19" x14ac:dyDescent="0.3">
      <c r="A1477" t="s">
        <v>2510</v>
      </c>
      <c r="B1477" s="1">
        <v>45714</v>
      </c>
      <c r="C1477" s="2">
        <v>45716</v>
      </c>
      <c r="D1477" t="s">
        <v>473</v>
      </c>
      <c r="E1477" t="s">
        <v>474</v>
      </c>
      <c r="F1477" t="s">
        <v>34</v>
      </c>
      <c r="G1477" t="s">
        <v>61</v>
      </c>
      <c r="H1477" t="s">
        <v>62</v>
      </c>
      <c r="I1477" t="s">
        <v>103</v>
      </c>
      <c r="J1477" t="s">
        <v>104</v>
      </c>
      <c r="K1477" t="s">
        <v>65</v>
      </c>
      <c r="L1477">
        <v>4</v>
      </c>
      <c r="M1477">
        <v>8000</v>
      </c>
      <c r="N1477">
        <v>5</v>
      </c>
      <c r="O1477">
        <v>30400</v>
      </c>
      <c r="Q1477" t="s">
        <v>28</v>
      </c>
      <c r="R1477" t="s">
        <v>56</v>
      </c>
      <c r="S1477" t="s">
        <v>30</v>
      </c>
    </row>
    <row r="1478" spans="1:19" x14ac:dyDescent="0.3">
      <c r="A1478" t="s">
        <v>2511</v>
      </c>
      <c r="B1478" s="1">
        <v>46014</v>
      </c>
      <c r="C1478" t="s">
        <v>1039</v>
      </c>
      <c r="D1478" t="s">
        <v>808</v>
      </c>
      <c r="E1478" t="s">
        <v>2512</v>
      </c>
      <c r="F1478" t="s">
        <v>55</v>
      </c>
      <c r="G1478" t="s">
        <v>35</v>
      </c>
      <c r="H1478" t="s">
        <v>258</v>
      </c>
      <c r="I1478" t="s">
        <v>79</v>
      </c>
      <c r="J1478" t="s">
        <v>80</v>
      </c>
      <c r="K1478" t="s">
        <v>65</v>
      </c>
      <c r="L1478">
        <v>1</v>
      </c>
      <c r="M1478">
        <v>3000</v>
      </c>
      <c r="N1478">
        <v>5</v>
      </c>
      <c r="O1478">
        <v>2850</v>
      </c>
      <c r="P1478">
        <v>612.45000000000005</v>
      </c>
      <c r="Q1478" t="s">
        <v>156</v>
      </c>
      <c r="R1478" t="s">
        <v>56</v>
      </c>
      <c r="S1478" t="s">
        <v>30</v>
      </c>
    </row>
    <row r="1479" spans="1:19" x14ac:dyDescent="0.3">
      <c r="A1479" t="s">
        <v>2513</v>
      </c>
      <c r="B1479" s="1">
        <v>45691</v>
      </c>
      <c r="C1479" s="1">
        <v>45750</v>
      </c>
      <c r="D1479" t="s">
        <v>272</v>
      </c>
      <c r="E1479" t="s">
        <v>273</v>
      </c>
      <c r="F1479" t="s">
        <v>23</v>
      </c>
      <c r="G1479" t="s">
        <v>35</v>
      </c>
      <c r="H1479" t="s">
        <v>258</v>
      </c>
      <c r="I1479" t="s">
        <v>79</v>
      </c>
      <c r="J1479" t="s">
        <v>80</v>
      </c>
      <c r="K1479" t="s">
        <v>65</v>
      </c>
      <c r="M1479">
        <v>3000</v>
      </c>
      <c r="N1479">
        <v>0</v>
      </c>
      <c r="O1479">
        <v>15000</v>
      </c>
      <c r="P1479">
        <v>4532.8599999999997</v>
      </c>
      <c r="Q1479" t="s">
        <v>74</v>
      </c>
      <c r="R1479" t="s">
        <v>29</v>
      </c>
      <c r="S1479" t="s">
        <v>110</v>
      </c>
    </row>
    <row r="1480" spans="1:19" x14ac:dyDescent="0.3">
      <c r="A1480" t="s">
        <v>2514</v>
      </c>
      <c r="B1480" t="s">
        <v>2076</v>
      </c>
      <c r="C1480" s="1">
        <v>45719</v>
      </c>
      <c r="D1480" t="s">
        <v>32</v>
      </c>
      <c r="E1480" t="s">
        <v>33</v>
      </c>
      <c r="F1480" t="s">
        <v>34</v>
      </c>
      <c r="G1480" t="s">
        <v>35</v>
      </c>
      <c r="H1480" t="s">
        <v>36</v>
      </c>
      <c r="I1480" t="s">
        <v>147</v>
      </c>
      <c r="J1480" t="s">
        <v>148</v>
      </c>
      <c r="K1480" t="s">
        <v>48</v>
      </c>
      <c r="L1480">
        <v>2</v>
      </c>
      <c r="M1480">
        <v>250</v>
      </c>
      <c r="N1480">
        <v>10</v>
      </c>
      <c r="O1480">
        <v>450</v>
      </c>
      <c r="P1480">
        <v>139.84</v>
      </c>
      <c r="Q1480" t="s">
        <v>39</v>
      </c>
      <c r="R1480" t="s">
        <v>56</v>
      </c>
      <c r="S1480" t="s">
        <v>30</v>
      </c>
    </row>
    <row r="1481" spans="1:19" x14ac:dyDescent="0.3">
      <c r="A1481" t="s">
        <v>2515</v>
      </c>
      <c r="B1481" s="1">
        <v>45982</v>
      </c>
      <c r="C1481" t="s">
        <v>616</v>
      </c>
      <c r="D1481" t="s">
        <v>965</v>
      </c>
      <c r="E1481" t="s">
        <v>966</v>
      </c>
      <c r="F1481" t="s">
        <v>34</v>
      </c>
      <c r="G1481" t="s">
        <v>44</v>
      </c>
      <c r="H1481" t="s">
        <v>45</v>
      </c>
      <c r="I1481" t="s">
        <v>114</v>
      </c>
      <c r="J1481" t="s">
        <v>115</v>
      </c>
      <c r="K1481" t="s">
        <v>65</v>
      </c>
      <c r="L1481">
        <v>2</v>
      </c>
      <c r="M1481">
        <v>55000</v>
      </c>
      <c r="N1481">
        <v>0</v>
      </c>
      <c r="O1481">
        <v>110000</v>
      </c>
      <c r="Q1481" t="s">
        <v>39</v>
      </c>
      <c r="R1481" t="s">
        <v>49</v>
      </c>
      <c r="S1481" t="s">
        <v>110</v>
      </c>
    </row>
    <row r="1482" spans="1:19" x14ac:dyDescent="0.3">
      <c r="A1482" t="s">
        <v>2516</v>
      </c>
      <c r="B1482" s="2">
        <v>45643</v>
      </c>
      <c r="C1482" s="2">
        <v>45644</v>
      </c>
      <c r="D1482" t="s">
        <v>599</v>
      </c>
      <c r="E1482" t="s">
        <v>600</v>
      </c>
      <c r="F1482" t="s">
        <v>23</v>
      </c>
      <c r="G1482" t="s">
        <v>44</v>
      </c>
      <c r="H1482" t="s">
        <v>161</v>
      </c>
      <c r="I1482" t="s">
        <v>103</v>
      </c>
      <c r="J1482" t="s">
        <v>104</v>
      </c>
      <c r="K1482" t="s">
        <v>65</v>
      </c>
      <c r="L1482">
        <v>1</v>
      </c>
      <c r="M1482">
        <v>8000</v>
      </c>
      <c r="N1482">
        <v>0</v>
      </c>
      <c r="O1482">
        <v>8000</v>
      </c>
      <c r="P1482">
        <v>1473.59</v>
      </c>
      <c r="Q1482" t="s">
        <v>121</v>
      </c>
      <c r="R1482" t="s">
        <v>49</v>
      </c>
      <c r="S1482" t="s">
        <v>40</v>
      </c>
    </row>
    <row r="1483" spans="1:19" x14ac:dyDescent="0.3">
      <c r="A1483" t="s">
        <v>2517</v>
      </c>
      <c r="B1483" s="1">
        <v>45986</v>
      </c>
      <c r="C1483" s="1">
        <v>45700</v>
      </c>
      <c r="D1483" t="s">
        <v>1346</v>
      </c>
      <c r="E1483" t="s">
        <v>1347</v>
      </c>
      <c r="F1483" t="s">
        <v>55</v>
      </c>
      <c r="G1483" t="s">
        <v>44</v>
      </c>
      <c r="H1483" t="s">
        <v>155</v>
      </c>
      <c r="I1483" t="s">
        <v>114</v>
      </c>
      <c r="J1483" t="s">
        <v>115</v>
      </c>
      <c r="K1483" t="s">
        <v>65</v>
      </c>
      <c r="L1483">
        <v>2</v>
      </c>
      <c r="M1483">
        <v>55000</v>
      </c>
      <c r="N1483">
        <v>0</v>
      </c>
      <c r="O1483">
        <v>110000</v>
      </c>
      <c r="P1483">
        <v>20788.61</v>
      </c>
      <c r="Q1483" t="s">
        <v>121</v>
      </c>
      <c r="R1483" t="s">
        <v>49</v>
      </c>
      <c r="S1483" t="s">
        <v>30</v>
      </c>
    </row>
    <row r="1484" spans="1:19" x14ac:dyDescent="0.3">
      <c r="A1484" t="s">
        <v>2518</v>
      </c>
      <c r="B1484" s="1">
        <v>45652</v>
      </c>
      <c r="C1484" s="1">
        <v>45717</v>
      </c>
      <c r="D1484" t="s">
        <v>400</v>
      </c>
      <c r="E1484" t="s">
        <v>401</v>
      </c>
      <c r="F1484" t="s">
        <v>34</v>
      </c>
      <c r="G1484" t="s">
        <v>44</v>
      </c>
      <c r="H1484" t="s">
        <v>24</v>
      </c>
      <c r="I1484" t="s">
        <v>93</v>
      </c>
      <c r="J1484" t="s">
        <v>94</v>
      </c>
      <c r="K1484" t="s">
        <v>95</v>
      </c>
      <c r="L1484">
        <v>2</v>
      </c>
      <c r="M1484">
        <v>1800</v>
      </c>
      <c r="N1484">
        <v>5</v>
      </c>
      <c r="O1484">
        <v>3420</v>
      </c>
      <c r="P1484">
        <v>1256</v>
      </c>
      <c r="Q1484" t="s">
        <v>66</v>
      </c>
      <c r="R1484" t="s">
        <v>29</v>
      </c>
      <c r="S1484" t="s">
        <v>86</v>
      </c>
    </row>
    <row r="1485" spans="1:19" x14ac:dyDescent="0.3">
      <c r="A1485" t="s">
        <v>2519</v>
      </c>
      <c r="B1485" s="1">
        <v>45474</v>
      </c>
      <c r="C1485" s="1">
        <v>45478</v>
      </c>
      <c r="D1485" t="s">
        <v>592</v>
      </c>
      <c r="E1485" t="s">
        <v>593</v>
      </c>
      <c r="F1485" t="s">
        <v>55</v>
      </c>
      <c r="G1485" t="s">
        <v>35</v>
      </c>
      <c r="H1485" t="s">
        <v>258</v>
      </c>
      <c r="I1485" t="s">
        <v>79</v>
      </c>
      <c r="J1485" t="s">
        <v>80</v>
      </c>
      <c r="K1485" t="s">
        <v>65</v>
      </c>
      <c r="L1485">
        <v>4</v>
      </c>
      <c r="M1485">
        <v>3000</v>
      </c>
      <c r="N1485">
        <v>0</v>
      </c>
      <c r="O1485">
        <v>12000</v>
      </c>
      <c r="P1485">
        <v>2674.16</v>
      </c>
      <c r="Q1485" t="s">
        <v>66</v>
      </c>
      <c r="R1485" t="s">
        <v>29</v>
      </c>
      <c r="S1485" t="s">
        <v>40</v>
      </c>
    </row>
    <row r="1486" spans="1:19" x14ac:dyDescent="0.3">
      <c r="A1486" t="s">
        <v>2520</v>
      </c>
      <c r="B1486" s="1">
        <v>45386</v>
      </c>
      <c r="C1486" s="1">
        <v>45391</v>
      </c>
      <c r="D1486" t="s">
        <v>1376</v>
      </c>
      <c r="E1486" t="s">
        <v>1377</v>
      </c>
      <c r="F1486" t="s">
        <v>34</v>
      </c>
      <c r="G1486" t="s">
        <v>61</v>
      </c>
      <c r="H1486" t="s">
        <v>125</v>
      </c>
      <c r="I1486" t="s">
        <v>63</v>
      </c>
      <c r="J1486" t="s">
        <v>64</v>
      </c>
      <c r="K1486" t="s">
        <v>65</v>
      </c>
      <c r="L1486">
        <v>1</v>
      </c>
      <c r="M1486">
        <v>25000</v>
      </c>
      <c r="N1486">
        <v>0</v>
      </c>
      <c r="O1486">
        <v>25000</v>
      </c>
      <c r="P1486">
        <v>3668.13</v>
      </c>
      <c r="Q1486" t="s">
        <v>121</v>
      </c>
      <c r="R1486" t="s">
        <v>56</v>
      </c>
      <c r="S1486" t="s">
        <v>40</v>
      </c>
    </row>
    <row r="1487" spans="1:19" x14ac:dyDescent="0.3">
      <c r="A1487" t="s">
        <v>2521</v>
      </c>
      <c r="B1487" t="s">
        <v>1179</v>
      </c>
      <c r="C1487" s="1">
        <v>45625</v>
      </c>
      <c r="D1487" t="s">
        <v>384</v>
      </c>
      <c r="E1487" t="s">
        <v>385</v>
      </c>
      <c r="F1487" t="s">
        <v>55</v>
      </c>
      <c r="G1487" t="s">
        <v>61</v>
      </c>
      <c r="H1487" t="s">
        <v>125</v>
      </c>
      <c r="I1487" t="s">
        <v>71</v>
      </c>
      <c r="J1487" t="s">
        <v>72</v>
      </c>
      <c r="K1487" t="s">
        <v>73</v>
      </c>
      <c r="L1487">
        <v>2</v>
      </c>
      <c r="M1487">
        <v>3500</v>
      </c>
      <c r="N1487">
        <v>0</v>
      </c>
      <c r="O1487">
        <v>7000</v>
      </c>
      <c r="P1487">
        <v>2341.16</v>
      </c>
      <c r="Q1487" t="s">
        <v>39</v>
      </c>
      <c r="R1487" t="s">
        <v>49</v>
      </c>
      <c r="S1487" t="s">
        <v>30</v>
      </c>
    </row>
    <row r="1488" spans="1:19" x14ac:dyDescent="0.3">
      <c r="A1488" t="s">
        <v>2522</v>
      </c>
      <c r="B1488" t="s">
        <v>2523</v>
      </c>
      <c r="C1488" s="1">
        <v>45409</v>
      </c>
      <c r="D1488" t="s">
        <v>1090</v>
      </c>
      <c r="E1488" t="s">
        <v>1091</v>
      </c>
      <c r="F1488" t="s">
        <v>23</v>
      </c>
      <c r="G1488" t="s">
        <v>61</v>
      </c>
      <c r="H1488" t="s">
        <v>78</v>
      </c>
      <c r="I1488" t="s">
        <v>147</v>
      </c>
      <c r="J1488" t="s">
        <v>148</v>
      </c>
      <c r="K1488" t="s">
        <v>48</v>
      </c>
      <c r="L1488">
        <v>3</v>
      </c>
      <c r="M1488">
        <v>250</v>
      </c>
      <c r="N1488">
        <v>0</v>
      </c>
      <c r="O1488">
        <v>750</v>
      </c>
      <c r="P1488">
        <v>211.99</v>
      </c>
      <c r="Q1488" t="s">
        <v>121</v>
      </c>
      <c r="R1488" t="s">
        <v>49</v>
      </c>
      <c r="S1488" t="s">
        <v>86</v>
      </c>
    </row>
    <row r="1489" spans="1:19" x14ac:dyDescent="0.3">
      <c r="A1489" t="s">
        <v>2524</v>
      </c>
      <c r="B1489" s="1">
        <v>45559</v>
      </c>
      <c r="C1489" s="1">
        <v>45560</v>
      </c>
      <c r="D1489" t="s">
        <v>554</v>
      </c>
      <c r="E1489" t="s">
        <v>555</v>
      </c>
      <c r="F1489" t="s">
        <v>55</v>
      </c>
      <c r="G1489" t="s">
        <v>61</v>
      </c>
      <c r="H1489" t="s">
        <v>62</v>
      </c>
      <c r="I1489" t="s">
        <v>25</v>
      </c>
      <c r="J1489" t="s">
        <v>26</v>
      </c>
      <c r="K1489" t="s">
        <v>27</v>
      </c>
      <c r="L1489">
        <v>1</v>
      </c>
      <c r="M1489">
        <v>7000</v>
      </c>
      <c r="N1489">
        <v>0</v>
      </c>
      <c r="O1489">
        <v>7000</v>
      </c>
      <c r="P1489">
        <v>1588.12</v>
      </c>
      <c r="Q1489" t="s">
        <v>28</v>
      </c>
      <c r="R1489" t="s">
        <v>49</v>
      </c>
      <c r="S1489" t="s">
        <v>50</v>
      </c>
    </row>
    <row r="1490" spans="1:19" x14ac:dyDescent="0.3">
      <c r="A1490" t="s">
        <v>2525</v>
      </c>
      <c r="B1490" s="2">
        <v>45906</v>
      </c>
      <c r="C1490" s="2">
        <v>45914</v>
      </c>
      <c r="D1490" t="s">
        <v>230</v>
      </c>
      <c r="E1490" t="s">
        <v>231</v>
      </c>
      <c r="F1490" t="s">
        <v>55</v>
      </c>
      <c r="G1490" t="s">
        <v>44</v>
      </c>
      <c r="H1490" t="s">
        <v>161</v>
      </c>
      <c r="I1490" t="s">
        <v>25</v>
      </c>
      <c r="J1490" t="s">
        <v>26</v>
      </c>
      <c r="K1490" t="s">
        <v>27</v>
      </c>
      <c r="L1490">
        <v>1</v>
      </c>
      <c r="M1490">
        <v>7000</v>
      </c>
      <c r="N1490">
        <v>15</v>
      </c>
      <c r="O1490">
        <v>5950</v>
      </c>
      <c r="P1490">
        <v>1123.3699999999999</v>
      </c>
      <c r="Q1490" t="s">
        <v>121</v>
      </c>
      <c r="R1490" t="s">
        <v>56</v>
      </c>
      <c r="S1490" t="s">
        <v>50</v>
      </c>
    </row>
    <row r="1491" spans="1:19" x14ac:dyDescent="0.3">
      <c r="A1491" t="s">
        <v>2526</v>
      </c>
      <c r="B1491" s="2">
        <v>45851</v>
      </c>
      <c r="C1491" s="1">
        <v>45853</v>
      </c>
      <c r="D1491" t="s">
        <v>699</v>
      </c>
      <c r="E1491" t="s">
        <v>700</v>
      </c>
      <c r="F1491" t="s">
        <v>23</v>
      </c>
      <c r="G1491" t="s">
        <v>35</v>
      </c>
      <c r="H1491" t="s">
        <v>36</v>
      </c>
      <c r="I1491" t="s">
        <v>37</v>
      </c>
      <c r="J1491" t="s">
        <v>38</v>
      </c>
      <c r="K1491" t="s">
        <v>27</v>
      </c>
      <c r="L1491">
        <v>3</v>
      </c>
      <c r="M1491">
        <v>9500</v>
      </c>
      <c r="N1491">
        <v>20</v>
      </c>
      <c r="O1491">
        <v>22800</v>
      </c>
      <c r="P1491">
        <v>4051.13</v>
      </c>
      <c r="Q1491" t="s">
        <v>66</v>
      </c>
      <c r="R1491" t="s">
        <v>56</v>
      </c>
      <c r="S1491" t="s">
        <v>86</v>
      </c>
    </row>
    <row r="1492" spans="1:19" x14ac:dyDescent="0.3">
      <c r="A1492" t="s">
        <v>2527</v>
      </c>
      <c r="B1492" t="s">
        <v>2528</v>
      </c>
      <c r="C1492" s="2">
        <v>45715</v>
      </c>
      <c r="D1492" t="s">
        <v>1376</v>
      </c>
      <c r="E1492" t="s">
        <v>1377</v>
      </c>
      <c r="F1492" t="s">
        <v>34</v>
      </c>
      <c r="G1492" t="s">
        <v>61</v>
      </c>
      <c r="H1492" t="s">
        <v>125</v>
      </c>
      <c r="I1492" t="s">
        <v>79</v>
      </c>
      <c r="J1492" t="s">
        <v>80</v>
      </c>
      <c r="K1492" t="s">
        <v>65</v>
      </c>
      <c r="L1492">
        <v>3</v>
      </c>
      <c r="M1492">
        <v>3000</v>
      </c>
      <c r="N1492">
        <v>0</v>
      </c>
      <c r="O1492">
        <v>9000</v>
      </c>
      <c r="P1492">
        <v>2203.41</v>
      </c>
      <c r="Q1492" t="s">
        <v>121</v>
      </c>
      <c r="R1492" t="s">
        <v>56</v>
      </c>
      <c r="S1492" t="s">
        <v>30</v>
      </c>
    </row>
    <row r="1493" spans="1:19" x14ac:dyDescent="0.3">
      <c r="A1493" t="s">
        <v>2529</v>
      </c>
      <c r="B1493" s="1">
        <v>45933</v>
      </c>
      <c r="C1493" s="1">
        <v>45971</v>
      </c>
      <c r="D1493" t="s">
        <v>716</v>
      </c>
      <c r="E1493" t="s">
        <v>717</v>
      </c>
      <c r="F1493" t="s">
        <v>23</v>
      </c>
      <c r="G1493" t="s">
        <v>35</v>
      </c>
      <c r="H1493" t="s">
        <v>85</v>
      </c>
      <c r="I1493" t="s">
        <v>63</v>
      </c>
      <c r="J1493" t="s">
        <v>64</v>
      </c>
      <c r="K1493" t="s">
        <v>65</v>
      </c>
      <c r="L1493">
        <v>2</v>
      </c>
      <c r="M1493">
        <v>25000</v>
      </c>
      <c r="N1493">
        <v>15</v>
      </c>
      <c r="O1493">
        <v>42500</v>
      </c>
      <c r="P1493">
        <v>6225.66</v>
      </c>
      <c r="Q1493" t="s">
        <v>74</v>
      </c>
      <c r="R1493" t="s">
        <v>29</v>
      </c>
      <c r="S1493" t="s">
        <v>40</v>
      </c>
    </row>
    <row r="1494" spans="1:19" x14ac:dyDescent="0.3">
      <c r="A1494" t="s">
        <v>2530</v>
      </c>
      <c r="B1494" s="2">
        <v>45765</v>
      </c>
      <c r="C1494" t="s">
        <v>2148</v>
      </c>
      <c r="D1494" t="s">
        <v>1506</v>
      </c>
      <c r="E1494" t="s">
        <v>1507</v>
      </c>
      <c r="F1494" t="s">
        <v>55</v>
      </c>
      <c r="G1494" t="s">
        <v>61</v>
      </c>
      <c r="H1494" t="s">
        <v>78</v>
      </c>
      <c r="I1494" t="s">
        <v>147</v>
      </c>
      <c r="J1494" t="s">
        <v>148</v>
      </c>
      <c r="K1494" t="s">
        <v>48</v>
      </c>
      <c r="L1494">
        <v>2</v>
      </c>
      <c r="M1494">
        <v>250</v>
      </c>
      <c r="N1494">
        <v>20</v>
      </c>
      <c r="O1494">
        <v>400</v>
      </c>
      <c r="P1494">
        <v>131.55000000000001</v>
      </c>
      <c r="Q1494" t="s">
        <v>121</v>
      </c>
      <c r="R1494" t="s">
        <v>56</v>
      </c>
      <c r="S1494" t="s">
        <v>40</v>
      </c>
    </row>
    <row r="1495" spans="1:19" x14ac:dyDescent="0.3">
      <c r="A1495" t="s">
        <v>2531</v>
      </c>
      <c r="B1495" s="1">
        <v>45725</v>
      </c>
      <c r="C1495" s="1">
        <v>45731</v>
      </c>
      <c r="D1495" t="s">
        <v>830</v>
      </c>
      <c r="E1495" t="s">
        <v>831</v>
      </c>
      <c r="F1495" t="s">
        <v>23</v>
      </c>
      <c r="G1495" t="s">
        <v>61</v>
      </c>
      <c r="H1495" t="s">
        <v>125</v>
      </c>
      <c r="I1495" t="s">
        <v>37</v>
      </c>
      <c r="J1495" t="s">
        <v>38</v>
      </c>
      <c r="K1495" t="s">
        <v>27</v>
      </c>
      <c r="L1495">
        <v>4</v>
      </c>
      <c r="M1495">
        <v>9500</v>
      </c>
      <c r="N1495">
        <v>5</v>
      </c>
      <c r="O1495">
        <v>36100</v>
      </c>
      <c r="P1495">
        <v>7238.1</v>
      </c>
      <c r="Q1495" t="s">
        <v>39</v>
      </c>
      <c r="R1495" t="s">
        <v>29</v>
      </c>
      <c r="S1495" t="s">
        <v>40</v>
      </c>
    </row>
    <row r="1496" spans="1:19" x14ac:dyDescent="0.3">
      <c r="A1496" t="s">
        <v>2532</v>
      </c>
      <c r="B1496" s="1">
        <v>45698</v>
      </c>
      <c r="C1496" t="s">
        <v>2533</v>
      </c>
      <c r="D1496" t="s">
        <v>241</v>
      </c>
      <c r="E1496" t="s">
        <v>242</v>
      </c>
      <c r="F1496" t="s">
        <v>55</v>
      </c>
      <c r="G1496" t="s">
        <v>91</v>
      </c>
      <c r="H1496" t="s">
        <v>120</v>
      </c>
      <c r="I1496" t="s">
        <v>37</v>
      </c>
      <c r="J1496" t="s">
        <v>38</v>
      </c>
      <c r="K1496" t="s">
        <v>27</v>
      </c>
      <c r="L1496">
        <v>1</v>
      </c>
      <c r="M1496">
        <v>9500</v>
      </c>
      <c r="N1496">
        <v>5</v>
      </c>
      <c r="O1496">
        <v>9025</v>
      </c>
      <c r="P1496">
        <v>1338.32</v>
      </c>
      <c r="Q1496" t="s">
        <v>39</v>
      </c>
      <c r="R1496" t="s">
        <v>56</v>
      </c>
      <c r="S1496" t="s">
        <v>86</v>
      </c>
    </row>
    <row r="1497" spans="1:19" x14ac:dyDescent="0.3">
      <c r="A1497" t="s">
        <v>2534</v>
      </c>
      <c r="B1497" s="1">
        <v>45391</v>
      </c>
      <c r="C1497" s="2">
        <v>45398</v>
      </c>
      <c r="D1497" t="s">
        <v>343</v>
      </c>
      <c r="E1497" t="s">
        <v>369</v>
      </c>
      <c r="F1497" t="s">
        <v>34</v>
      </c>
      <c r="G1497" t="s">
        <v>44</v>
      </c>
      <c r="H1497" t="s">
        <v>45</v>
      </c>
      <c r="I1497" t="s">
        <v>37</v>
      </c>
      <c r="J1497" t="s">
        <v>38</v>
      </c>
      <c r="K1497" t="s">
        <v>27</v>
      </c>
      <c r="L1497">
        <v>1</v>
      </c>
      <c r="M1497">
        <v>9500</v>
      </c>
      <c r="N1497">
        <v>0</v>
      </c>
      <c r="O1497">
        <v>9500</v>
      </c>
      <c r="P1497">
        <v>2027.83</v>
      </c>
      <c r="Q1497" t="s">
        <v>66</v>
      </c>
      <c r="R1497" t="s">
        <v>49</v>
      </c>
      <c r="S1497" t="s">
        <v>40</v>
      </c>
    </row>
    <row r="1498" spans="1:19" x14ac:dyDescent="0.3">
      <c r="A1498" t="s">
        <v>2535</v>
      </c>
      <c r="B1498" s="1">
        <v>45906</v>
      </c>
      <c r="C1498" s="1">
        <v>45909</v>
      </c>
      <c r="D1498" t="s">
        <v>805</v>
      </c>
      <c r="E1498" t="s">
        <v>806</v>
      </c>
      <c r="F1498" t="s">
        <v>34</v>
      </c>
      <c r="G1498" t="s">
        <v>61</v>
      </c>
      <c r="H1498" t="s">
        <v>78</v>
      </c>
      <c r="I1498" t="s">
        <v>79</v>
      </c>
      <c r="J1498" t="s">
        <v>80</v>
      </c>
      <c r="K1498" t="s">
        <v>65</v>
      </c>
      <c r="L1498">
        <v>3</v>
      </c>
      <c r="M1498">
        <v>3000</v>
      </c>
      <c r="N1498">
        <v>10</v>
      </c>
      <c r="O1498">
        <v>8100</v>
      </c>
      <c r="P1498">
        <v>2579.5</v>
      </c>
      <c r="R1498" t="s">
        <v>56</v>
      </c>
      <c r="S1498" t="s">
        <v>30</v>
      </c>
    </row>
    <row r="1499" spans="1:19" x14ac:dyDescent="0.3">
      <c r="A1499" t="s">
        <v>2536</v>
      </c>
      <c r="B1499" s="2">
        <v>45405</v>
      </c>
      <c r="C1499" s="1">
        <v>45407</v>
      </c>
      <c r="D1499" t="s">
        <v>200</v>
      </c>
      <c r="E1499" t="s">
        <v>201</v>
      </c>
      <c r="F1499" t="s">
        <v>23</v>
      </c>
      <c r="G1499" t="s">
        <v>35</v>
      </c>
      <c r="H1499" t="s">
        <v>187</v>
      </c>
      <c r="I1499" t="s">
        <v>114</v>
      </c>
      <c r="J1499" t="s">
        <v>115</v>
      </c>
      <c r="K1499" t="s">
        <v>65</v>
      </c>
      <c r="L1499">
        <v>1</v>
      </c>
      <c r="M1499">
        <v>55000</v>
      </c>
      <c r="N1499">
        <v>0</v>
      </c>
      <c r="O1499">
        <v>55000</v>
      </c>
      <c r="P1499">
        <v>9975.86</v>
      </c>
      <c r="Q1499" t="s">
        <v>66</v>
      </c>
      <c r="R1499" t="s">
        <v>29</v>
      </c>
      <c r="S1499" t="s">
        <v>86</v>
      </c>
    </row>
    <row r="1500" spans="1:19" x14ac:dyDescent="0.3">
      <c r="A1500" t="s">
        <v>2537</v>
      </c>
      <c r="B1500" s="2">
        <v>45640</v>
      </c>
      <c r="C1500" t="s">
        <v>2023</v>
      </c>
      <c r="D1500" t="s">
        <v>802</v>
      </c>
      <c r="E1500" t="s">
        <v>803</v>
      </c>
      <c r="F1500" t="s">
        <v>55</v>
      </c>
      <c r="G1500" t="s">
        <v>35</v>
      </c>
      <c r="H1500" t="s">
        <v>258</v>
      </c>
      <c r="I1500" t="s">
        <v>63</v>
      </c>
      <c r="J1500" t="s">
        <v>64</v>
      </c>
      <c r="K1500" t="s">
        <v>65</v>
      </c>
      <c r="L1500">
        <v>3</v>
      </c>
      <c r="M1500">
        <v>25000</v>
      </c>
      <c r="N1500">
        <v>5</v>
      </c>
      <c r="O1500">
        <v>71250</v>
      </c>
      <c r="P1500">
        <v>10834.19</v>
      </c>
      <c r="Q1500" t="s">
        <v>39</v>
      </c>
      <c r="R1500" t="s">
        <v>49</v>
      </c>
      <c r="S1500" t="s">
        <v>40</v>
      </c>
    </row>
    <row r="1501" spans="1:19" x14ac:dyDescent="0.3">
      <c r="A1501" t="s">
        <v>2538</v>
      </c>
      <c r="B1501" s="2">
        <v>45813</v>
      </c>
      <c r="C1501" s="1">
        <v>45819</v>
      </c>
      <c r="D1501" t="s">
        <v>896</v>
      </c>
      <c r="E1501" t="s">
        <v>897</v>
      </c>
      <c r="F1501" t="s">
        <v>55</v>
      </c>
      <c r="G1501" t="s">
        <v>35</v>
      </c>
      <c r="H1501" t="s">
        <v>258</v>
      </c>
      <c r="I1501" t="s">
        <v>46</v>
      </c>
      <c r="J1501" t="s">
        <v>47</v>
      </c>
      <c r="K1501" t="s">
        <v>48</v>
      </c>
      <c r="L1501">
        <v>2</v>
      </c>
      <c r="M1501">
        <v>180</v>
      </c>
      <c r="N1501">
        <v>0</v>
      </c>
      <c r="O1501">
        <v>360</v>
      </c>
      <c r="P1501">
        <v>120.52</v>
      </c>
      <c r="Q1501" t="s">
        <v>39</v>
      </c>
      <c r="R1501" t="s">
        <v>49</v>
      </c>
      <c r="S1501" t="s">
        <v>86</v>
      </c>
    </row>
    <row r="1502" spans="1:19" x14ac:dyDescent="0.3">
      <c r="A1502" t="s">
        <v>2539</v>
      </c>
      <c r="B1502" s="2">
        <v>45755</v>
      </c>
      <c r="C1502" s="1">
        <v>45762</v>
      </c>
      <c r="D1502" t="s">
        <v>1171</v>
      </c>
      <c r="E1502" t="s">
        <v>1172</v>
      </c>
      <c r="F1502" t="s">
        <v>34</v>
      </c>
      <c r="G1502" t="s">
        <v>35</v>
      </c>
      <c r="H1502" t="s">
        <v>85</v>
      </c>
      <c r="I1502" t="s">
        <v>71</v>
      </c>
      <c r="J1502" t="s">
        <v>72</v>
      </c>
      <c r="K1502" t="s">
        <v>73</v>
      </c>
      <c r="L1502">
        <v>10</v>
      </c>
      <c r="M1502">
        <v>3500</v>
      </c>
      <c r="N1502">
        <v>10</v>
      </c>
      <c r="O1502">
        <v>31500</v>
      </c>
      <c r="P1502">
        <v>10311.129999999999</v>
      </c>
      <c r="Q1502" t="s">
        <v>39</v>
      </c>
      <c r="R1502" t="s">
        <v>56</v>
      </c>
      <c r="S1502" t="s">
        <v>40</v>
      </c>
    </row>
    <row r="1503" spans="1:19" x14ac:dyDescent="0.3">
      <c r="A1503" t="s">
        <v>2540</v>
      </c>
      <c r="B1503" s="1">
        <v>46004</v>
      </c>
      <c r="C1503" t="s">
        <v>377</v>
      </c>
      <c r="D1503" t="s">
        <v>639</v>
      </c>
      <c r="E1503" t="s">
        <v>640</v>
      </c>
      <c r="F1503" t="s">
        <v>55</v>
      </c>
      <c r="G1503" t="s">
        <v>35</v>
      </c>
      <c r="H1503" t="s">
        <v>36</v>
      </c>
      <c r="I1503" t="s">
        <v>114</v>
      </c>
      <c r="J1503" t="s">
        <v>115</v>
      </c>
      <c r="K1503" t="s">
        <v>65</v>
      </c>
      <c r="L1503">
        <v>4</v>
      </c>
      <c r="M1503">
        <v>55000</v>
      </c>
      <c r="N1503">
        <v>0</v>
      </c>
      <c r="O1503">
        <v>220000</v>
      </c>
      <c r="P1503">
        <v>35340.9</v>
      </c>
      <c r="Q1503" t="s">
        <v>156</v>
      </c>
      <c r="R1503" t="s">
        <v>29</v>
      </c>
      <c r="S1503" t="s">
        <v>30</v>
      </c>
    </row>
    <row r="1504" spans="1:19" x14ac:dyDescent="0.3">
      <c r="A1504" t="s">
        <v>2541</v>
      </c>
      <c r="B1504" s="2">
        <v>45389</v>
      </c>
      <c r="C1504" s="2">
        <v>45390</v>
      </c>
      <c r="D1504" t="s">
        <v>1398</v>
      </c>
      <c r="E1504" t="s">
        <v>1399</v>
      </c>
      <c r="F1504" t="s">
        <v>34</v>
      </c>
      <c r="G1504" t="s">
        <v>91</v>
      </c>
      <c r="H1504" t="s">
        <v>92</v>
      </c>
      <c r="I1504" t="s">
        <v>134</v>
      </c>
      <c r="J1504" t="s">
        <v>135</v>
      </c>
      <c r="K1504" t="s">
        <v>27</v>
      </c>
      <c r="L1504">
        <v>2</v>
      </c>
      <c r="M1504">
        <v>6000</v>
      </c>
      <c r="N1504">
        <v>10</v>
      </c>
      <c r="O1504">
        <v>270000</v>
      </c>
      <c r="P1504">
        <v>2704.37</v>
      </c>
      <c r="Q1504" t="s">
        <v>66</v>
      </c>
      <c r="R1504" t="s">
        <v>29</v>
      </c>
      <c r="S1504" t="s">
        <v>50</v>
      </c>
    </row>
    <row r="1505" spans="1:19" x14ac:dyDescent="0.3">
      <c r="A1505" t="s">
        <v>2542</v>
      </c>
      <c r="B1505" s="1">
        <v>45940</v>
      </c>
      <c r="C1505" s="2">
        <v>45948</v>
      </c>
      <c r="D1505" t="s">
        <v>520</v>
      </c>
      <c r="E1505" t="s">
        <v>521</v>
      </c>
      <c r="F1505" t="s">
        <v>23</v>
      </c>
      <c r="G1505" t="s">
        <v>91</v>
      </c>
      <c r="H1505" t="s">
        <v>109</v>
      </c>
      <c r="I1505" t="s">
        <v>114</v>
      </c>
      <c r="J1505" t="s">
        <v>115</v>
      </c>
      <c r="K1505" t="s">
        <v>65</v>
      </c>
      <c r="L1505">
        <v>2</v>
      </c>
      <c r="M1505">
        <v>55000</v>
      </c>
      <c r="N1505">
        <v>20</v>
      </c>
      <c r="O1505">
        <v>88000</v>
      </c>
      <c r="Q1505" t="s">
        <v>156</v>
      </c>
      <c r="R1505" t="s">
        <v>56</v>
      </c>
      <c r="S1505" t="s">
        <v>40</v>
      </c>
    </row>
    <row r="1506" spans="1:19" x14ac:dyDescent="0.3">
      <c r="A1506" t="s">
        <v>2543</v>
      </c>
      <c r="B1506" s="1">
        <v>45714</v>
      </c>
      <c r="C1506" s="1">
        <v>45717</v>
      </c>
      <c r="D1506" t="s">
        <v>1532</v>
      </c>
      <c r="E1506" t="s">
        <v>2544</v>
      </c>
      <c r="F1506" t="s">
        <v>34</v>
      </c>
      <c r="G1506" t="s">
        <v>44</v>
      </c>
      <c r="H1506" t="s">
        <v>24</v>
      </c>
      <c r="I1506" t="s">
        <v>147</v>
      </c>
      <c r="J1506" t="s">
        <v>148</v>
      </c>
      <c r="K1506" t="s">
        <v>48</v>
      </c>
      <c r="L1506">
        <v>3</v>
      </c>
      <c r="M1506">
        <v>250</v>
      </c>
      <c r="N1506">
        <v>0</v>
      </c>
      <c r="O1506">
        <v>750</v>
      </c>
      <c r="P1506">
        <v>289.27999999999997</v>
      </c>
      <c r="Q1506" t="s">
        <v>121</v>
      </c>
      <c r="R1506" t="s">
        <v>56</v>
      </c>
      <c r="S1506" t="s">
        <v>110</v>
      </c>
    </row>
    <row r="1507" spans="1:19" x14ac:dyDescent="0.3">
      <c r="A1507" t="s">
        <v>2545</v>
      </c>
      <c r="B1507" s="1">
        <v>45545</v>
      </c>
      <c r="C1507" s="2">
        <v>45548</v>
      </c>
      <c r="D1507" t="s">
        <v>450</v>
      </c>
      <c r="E1507" t="s">
        <v>451</v>
      </c>
      <c r="F1507" t="s">
        <v>55</v>
      </c>
      <c r="G1507" t="s">
        <v>61</v>
      </c>
      <c r="H1507" t="s">
        <v>62</v>
      </c>
      <c r="I1507" t="s">
        <v>114</v>
      </c>
      <c r="J1507" t="s">
        <v>115</v>
      </c>
      <c r="K1507" t="s">
        <v>65</v>
      </c>
      <c r="L1507">
        <v>3</v>
      </c>
      <c r="M1507">
        <v>55000</v>
      </c>
      <c r="N1507">
        <v>5</v>
      </c>
      <c r="O1507">
        <v>156750</v>
      </c>
      <c r="P1507">
        <v>25665.14</v>
      </c>
      <c r="Q1507" t="s">
        <v>74</v>
      </c>
      <c r="R1507" t="s">
        <v>49</v>
      </c>
      <c r="S1507" t="s">
        <v>110</v>
      </c>
    </row>
    <row r="1508" spans="1:19" x14ac:dyDescent="0.3">
      <c r="A1508" t="s">
        <v>2546</v>
      </c>
      <c r="B1508" s="1">
        <v>45519</v>
      </c>
      <c r="C1508" s="1">
        <v>45525</v>
      </c>
      <c r="D1508" t="s">
        <v>1464</v>
      </c>
      <c r="E1508" t="s">
        <v>1465</v>
      </c>
      <c r="F1508" t="s">
        <v>23</v>
      </c>
      <c r="G1508" t="s">
        <v>91</v>
      </c>
      <c r="H1508" t="s">
        <v>109</v>
      </c>
      <c r="I1508" t="s">
        <v>63</v>
      </c>
      <c r="J1508" t="s">
        <v>64</v>
      </c>
      <c r="K1508" t="s">
        <v>65</v>
      </c>
      <c r="L1508">
        <v>3</v>
      </c>
      <c r="M1508">
        <v>25000</v>
      </c>
      <c r="N1508">
        <v>0</v>
      </c>
      <c r="O1508">
        <v>75000</v>
      </c>
      <c r="P1508">
        <v>8580.27</v>
      </c>
      <c r="Q1508" t="s">
        <v>74</v>
      </c>
      <c r="R1508" t="s">
        <v>49</v>
      </c>
      <c r="S1508" t="s">
        <v>40</v>
      </c>
    </row>
    <row r="1509" spans="1:19" x14ac:dyDescent="0.3">
      <c r="A1509" t="s">
        <v>2547</v>
      </c>
      <c r="B1509" s="2">
        <v>45609</v>
      </c>
      <c r="C1509" s="1">
        <v>45615</v>
      </c>
      <c r="D1509" t="s">
        <v>634</v>
      </c>
      <c r="E1509" t="s">
        <v>635</v>
      </c>
      <c r="F1509" t="s">
        <v>23</v>
      </c>
      <c r="G1509" t="s">
        <v>91</v>
      </c>
      <c r="H1509" t="s">
        <v>177</v>
      </c>
      <c r="I1509" t="s">
        <v>71</v>
      </c>
      <c r="J1509" t="s">
        <v>72</v>
      </c>
      <c r="K1509" t="s">
        <v>73</v>
      </c>
      <c r="L1509">
        <v>2</v>
      </c>
      <c r="M1509">
        <v>3500</v>
      </c>
      <c r="N1509">
        <v>0</v>
      </c>
      <c r="O1509">
        <v>7000</v>
      </c>
      <c r="P1509">
        <v>2164.31</v>
      </c>
      <c r="Q1509" t="s">
        <v>39</v>
      </c>
      <c r="R1509" t="s">
        <v>29</v>
      </c>
      <c r="S1509" t="s">
        <v>30</v>
      </c>
    </row>
    <row r="1510" spans="1:19" x14ac:dyDescent="0.3">
      <c r="A1510" t="s">
        <v>2548</v>
      </c>
      <c r="B1510" t="s">
        <v>1539</v>
      </c>
      <c r="C1510" s="1">
        <v>45320</v>
      </c>
      <c r="D1510" t="s">
        <v>373</v>
      </c>
      <c r="E1510" t="s">
        <v>374</v>
      </c>
      <c r="F1510" t="s">
        <v>55</v>
      </c>
      <c r="G1510" t="s">
        <v>35</v>
      </c>
      <c r="H1510" t="s">
        <v>85</v>
      </c>
      <c r="I1510" t="s">
        <v>114</v>
      </c>
      <c r="J1510" t="s">
        <v>115</v>
      </c>
      <c r="K1510" t="s">
        <v>65</v>
      </c>
      <c r="L1510">
        <v>10</v>
      </c>
      <c r="M1510">
        <v>55000</v>
      </c>
      <c r="N1510">
        <v>0</v>
      </c>
      <c r="O1510">
        <v>550000</v>
      </c>
      <c r="P1510">
        <v>76617.14</v>
      </c>
      <c r="Q1510" t="s">
        <v>121</v>
      </c>
      <c r="R1510" t="s">
        <v>56</v>
      </c>
      <c r="S1510" t="s">
        <v>40</v>
      </c>
    </row>
    <row r="1511" spans="1:19" x14ac:dyDescent="0.3">
      <c r="A1511" t="s">
        <v>2549</v>
      </c>
      <c r="B1511" s="1">
        <v>45341</v>
      </c>
      <c r="C1511" t="s">
        <v>2334</v>
      </c>
      <c r="D1511" t="s">
        <v>1107</v>
      </c>
      <c r="E1511" t="s">
        <v>1108</v>
      </c>
      <c r="F1511" t="s">
        <v>55</v>
      </c>
      <c r="G1511" t="s">
        <v>91</v>
      </c>
      <c r="H1511" t="s">
        <v>109</v>
      </c>
      <c r="I1511" t="s">
        <v>114</v>
      </c>
      <c r="J1511" t="s">
        <v>115</v>
      </c>
      <c r="K1511" t="s">
        <v>65</v>
      </c>
      <c r="L1511">
        <v>5</v>
      </c>
      <c r="M1511">
        <v>55000</v>
      </c>
      <c r="N1511">
        <v>5</v>
      </c>
      <c r="O1511">
        <v>261250</v>
      </c>
      <c r="P1511">
        <v>42845.65</v>
      </c>
      <c r="Q1511" t="s">
        <v>66</v>
      </c>
      <c r="R1511" t="s">
        <v>49</v>
      </c>
      <c r="S1511" t="s">
        <v>40</v>
      </c>
    </row>
    <row r="1512" spans="1:19" x14ac:dyDescent="0.3">
      <c r="A1512" t="s">
        <v>2550</v>
      </c>
      <c r="B1512" s="1">
        <v>45744</v>
      </c>
      <c r="C1512" s="1">
        <v>45752</v>
      </c>
      <c r="D1512" t="s">
        <v>1579</v>
      </c>
      <c r="E1512" t="s">
        <v>1580</v>
      </c>
      <c r="F1512" t="s">
        <v>55</v>
      </c>
      <c r="G1512" t="s">
        <v>44</v>
      </c>
      <c r="H1512" t="s">
        <v>45</v>
      </c>
      <c r="I1512" t="s">
        <v>103</v>
      </c>
      <c r="J1512" t="s">
        <v>104</v>
      </c>
      <c r="K1512" t="s">
        <v>65</v>
      </c>
      <c r="L1512">
        <v>1</v>
      </c>
      <c r="M1512">
        <v>8000</v>
      </c>
      <c r="N1512">
        <v>20</v>
      </c>
      <c r="O1512">
        <v>6400</v>
      </c>
      <c r="P1512">
        <v>1380.59</v>
      </c>
      <c r="Q1512" t="s">
        <v>39</v>
      </c>
      <c r="R1512" t="s">
        <v>49</v>
      </c>
      <c r="S1512" t="s">
        <v>86</v>
      </c>
    </row>
    <row r="1513" spans="1:19" x14ac:dyDescent="0.3">
      <c r="A1513" t="s">
        <v>2551</v>
      </c>
      <c r="B1513" s="1">
        <v>45512</v>
      </c>
      <c r="C1513" s="1">
        <v>45519</v>
      </c>
      <c r="D1513" t="s">
        <v>332</v>
      </c>
      <c r="E1513" t="s">
        <v>333</v>
      </c>
      <c r="F1513" t="s">
        <v>23</v>
      </c>
      <c r="G1513" t="s">
        <v>91</v>
      </c>
      <c r="H1513" t="s">
        <v>177</v>
      </c>
      <c r="I1513" t="s">
        <v>25</v>
      </c>
      <c r="J1513" t="s">
        <v>26</v>
      </c>
      <c r="K1513" t="s">
        <v>27</v>
      </c>
      <c r="L1513">
        <v>1</v>
      </c>
      <c r="M1513">
        <v>7000</v>
      </c>
      <c r="N1513">
        <v>0</v>
      </c>
      <c r="O1513">
        <v>7000</v>
      </c>
      <c r="P1513">
        <v>1662.39</v>
      </c>
      <c r="Q1513" t="s">
        <v>39</v>
      </c>
      <c r="R1513" t="s">
        <v>49</v>
      </c>
      <c r="S1513" t="s">
        <v>40</v>
      </c>
    </row>
    <row r="1514" spans="1:19" x14ac:dyDescent="0.3">
      <c r="A1514" t="s">
        <v>2552</v>
      </c>
      <c r="B1514" s="1">
        <v>45301</v>
      </c>
      <c r="C1514" s="1">
        <v>45567</v>
      </c>
      <c r="D1514" t="s">
        <v>2104</v>
      </c>
      <c r="E1514" t="s">
        <v>2105</v>
      </c>
      <c r="F1514" t="s">
        <v>34</v>
      </c>
      <c r="G1514" t="s">
        <v>91</v>
      </c>
      <c r="H1514" t="s">
        <v>92</v>
      </c>
      <c r="I1514" t="s">
        <v>63</v>
      </c>
      <c r="J1514" t="s">
        <v>64</v>
      </c>
      <c r="K1514" t="s">
        <v>65</v>
      </c>
      <c r="L1514">
        <v>4</v>
      </c>
      <c r="M1514">
        <v>25000</v>
      </c>
      <c r="N1514">
        <v>0</v>
      </c>
      <c r="O1514">
        <v>100000</v>
      </c>
      <c r="P1514">
        <v>13752.26</v>
      </c>
      <c r="Q1514" t="s">
        <v>156</v>
      </c>
      <c r="R1514" t="s">
        <v>49</v>
      </c>
      <c r="S1514" t="s">
        <v>40</v>
      </c>
    </row>
    <row r="1515" spans="1:19" x14ac:dyDescent="0.3">
      <c r="A1515" t="s">
        <v>2553</v>
      </c>
      <c r="B1515" t="s">
        <v>240</v>
      </c>
      <c r="C1515" s="2">
        <v>45689</v>
      </c>
      <c r="D1515" t="s">
        <v>965</v>
      </c>
      <c r="E1515" t="s">
        <v>966</v>
      </c>
      <c r="F1515" t="s">
        <v>34</v>
      </c>
      <c r="G1515" t="s">
        <v>44</v>
      </c>
      <c r="H1515" t="s">
        <v>45</v>
      </c>
      <c r="I1515" t="s">
        <v>126</v>
      </c>
      <c r="J1515" t="s">
        <v>127</v>
      </c>
      <c r="K1515" t="s">
        <v>95</v>
      </c>
      <c r="L1515">
        <v>2</v>
      </c>
      <c r="M1515">
        <v>600</v>
      </c>
      <c r="N1515">
        <v>10</v>
      </c>
      <c r="O1515">
        <v>1080</v>
      </c>
      <c r="P1515">
        <v>360.19</v>
      </c>
      <c r="Q1515" t="s">
        <v>66</v>
      </c>
      <c r="R1515" t="s">
        <v>49</v>
      </c>
      <c r="S1515" t="s">
        <v>30</v>
      </c>
    </row>
    <row r="1516" spans="1:19" x14ac:dyDescent="0.3">
      <c r="A1516" t="s">
        <v>2554</v>
      </c>
      <c r="B1516" t="s">
        <v>1479</v>
      </c>
      <c r="C1516" s="1">
        <v>45794</v>
      </c>
      <c r="D1516" t="s">
        <v>233</v>
      </c>
      <c r="E1516" t="s">
        <v>234</v>
      </c>
      <c r="F1516" t="s">
        <v>23</v>
      </c>
      <c r="G1516" t="s">
        <v>61</v>
      </c>
      <c r="H1516" t="s">
        <v>211</v>
      </c>
      <c r="I1516" t="s">
        <v>103</v>
      </c>
      <c r="J1516" t="s">
        <v>104</v>
      </c>
      <c r="K1516" t="s">
        <v>65</v>
      </c>
      <c r="L1516">
        <v>2</v>
      </c>
      <c r="M1516">
        <v>8000</v>
      </c>
      <c r="N1516">
        <v>0</v>
      </c>
      <c r="O1516">
        <v>16000</v>
      </c>
      <c r="P1516">
        <v>3301.54</v>
      </c>
      <c r="Q1516" t="s">
        <v>28</v>
      </c>
      <c r="R1516" t="s">
        <v>29</v>
      </c>
      <c r="S1516" t="s">
        <v>40</v>
      </c>
    </row>
    <row r="1517" spans="1:19" x14ac:dyDescent="0.3">
      <c r="A1517" t="s">
        <v>2555</v>
      </c>
      <c r="B1517" s="1">
        <v>45851</v>
      </c>
      <c r="C1517" s="2">
        <v>45852</v>
      </c>
      <c r="D1517" t="s">
        <v>428</v>
      </c>
      <c r="E1517" t="s">
        <v>429</v>
      </c>
      <c r="F1517" t="s">
        <v>34</v>
      </c>
      <c r="G1517" t="s">
        <v>44</v>
      </c>
      <c r="H1517" t="s">
        <v>45</v>
      </c>
      <c r="I1517" t="s">
        <v>79</v>
      </c>
      <c r="J1517" t="s">
        <v>80</v>
      </c>
      <c r="K1517" t="s">
        <v>65</v>
      </c>
      <c r="L1517">
        <v>2</v>
      </c>
      <c r="M1517">
        <v>3000</v>
      </c>
      <c r="N1517">
        <v>10</v>
      </c>
      <c r="O1517">
        <v>5400</v>
      </c>
      <c r="P1517">
        <v>1775.73</v>
      </c>
      <c r="Q1517" t="s">
        <v>39</v>
      </c>
      <c r="R1517" t="s">
        <v>29</v>
      </c>
      <c r="S1517" t="s">
        <v>86</v>
      </c>
    </row>
    <row r="1518" spans="1:19" x14ac:dyDescent="0.3">
      <c r="A1518" t="s">
        <v>2556</v>
      </c>
      <c r="B1518" s="2">
        <v>45777</v>
      </c>
      <c r="C1518" s="1">
        <v>45780</v>
      </c>
      <c r="D1518" t="s">
        <v>1950</v>
      </c>
      <c r="E1518" t="s">
        <v>1951</v>
      </c>
      <c r="F1518" t="s">
        <v>55</v>
      </c>
      <c r="G1518" t="s">
        <v>35</v>
      </c>
      <c r="H1518" t="s">
        <v>85</v>
      </c>
      <c r="I1518" t="s">
        <v>134</v>
      </c>
      <c r="J1518" t="s">
        <v>135</v>
      </c>
      <c r="K1518" t="s">
        <v>27</v>
      </c>
      <c r="L1518">
        <v>1</v>
      </c>
      <c r="M1518">
        <v>6000</v>
      </c>
      <c r="N1518">
        <v>15</v>
      </c>
      <c r="O1518">
        <v>5100</v>
      </c>
      <c r="P1518">
        <v>902.67</v>
      </c>
      <c r="Q1518" t="s">
        <v>121</v>
      </c>
      <c r="R1518" t="s">
        <v>49</v>
      </c>
      <c r="S1518" t="s">
        <v>40</v>
      </c>
    </row>
    <row r="1519" spans="1:19" x14ac:dyDescent="0.3">
      <c r="A1519" t="s">
        <v>2557</v>
      </c>
      <c r="B1519" s="1">
        <v>45729</v>
      </c>
      <c r="C1519" s="1">
        <v>45734</v>
      </c>
      <c r="D1519" t="s">
        <v>692</v>
      </c>
      <c r="E1519" t="s">
        <v>2006</v>
      </c>
      <c r="F1519" t="s">
        <v>55</v>
      </c>
      <c r="G1519" t="s">
        <v>91</v>
      </c>
      <c r="H1519" t="s">
        <v>120</v>
      </c>
      <c r="I1519" t="s">
        <v>147</v>
      </c>
      <c r="J1519" t="s">
        <v>148</v>
      </c>
      <c r="K1519" t="s">
        <v>48</v>
      </c>
      <c r="L1519">
        <v>1</v>
      </c>
      <c r="M1519">
        <v>250</v>
      </c>
      <c r="N1519">
        <v>20</v>
      </c>
      <c r="O1519">
        <v>200</v>
      </c>
      <c r="P1519">
        <v>58.45</v>
      </c>
      <c r="Q1519" t="s">
        <v>39</v>
      </c>
      <c r="R1519" t="s">
        <v>49</v>
      </c>
      <c r="S1519" t="s">
        <v>30</v>
      </c>
    </row>
    <row r="1520" spans="1:19" x14ac:dyDescent="0.3">
      <c r="A1520" t="s">
        <v>2558</v>
      </c>
      <c r="B1520" t="s">
        <v>1524</v>
      </c>
      <c r="C1520" s="1">
        <v>45520</v>
      </c>
      <c r="D1520" t="s">
        <v>1152</v>
      </c>
      <c r="E1520" t="s">
        <v>1153</v>
      </c>
      <c r="F1520" t="s">
        <v>55</v>
      </c>
      <c r="G1520" t="s">
        <v>61</v>
      </c>
      <c r="H1520" t="s">
        <v>211</v>
      </c>
      <c r="I1520" t="s">
        <v>63</v>
      </c>
      <c r="J1520" t="s">
        <v>64</v>
      </c>
      <c r="K1520" t="s">
        <v>65</v>
      </c>
      <c r="L1520">
        <v>1</v>
      </c>
      <c r="M1520">
        <v>25000</v>
      </c>
      <c r="N1520">
        <v>15</v>
      </c>
      <c r="O1520">
        <v>21250</v>
      </c>
      <c r="P1520">
        <v>2645.13</v>
      </c>
      <c r="Q1520" t="s">
        <v>39</v>
      </c>
      <c r="R1520" t="s">
        <v>49</v>
      </c>
      <c r="S1520" t="s">
        <v>40</v>
      </c>
    </row>
    <row r="1521" spans="1:19" x14ac:dyDescent="0.3">
      <c r="A1521" t="s">
        <v>2559</v>
      </c>
      <c r="B1521" s="2">
        <v>45892</v>
      </c>
      <c r="C1521" s="1">
        <v>45897</v>
      </c>
      <c r="D1521" t="s">
        <v>726</v>
      </c>
      <c r="E1521" t="s">
        <v>727</v>
      </c>
      <c r="F1521" t="s">
        <v>34</v>
      </c>
      <c r="G1521" t="s">
        <v>35</v>
      </c>
      <c r="H1521" t="s">
        <v>258</v>
      </c>
      <c r="I1521" t="s">
        <v>71</v>
      </c>
      <c r="J1521" t="s">
        <v>72</v>
      </c>
      <c r="K1521" t="s">
        <v>73</v>
      </c>
      <c r="L1521">
        <v>3</v>
      </c>
      <c r="M1521">
        <v>3500</v>
      </c>
      <c r="N1521">
        <v>15</v>
      </c>
      <c r="O1521">
        <v>8925</v>
      </c>
      <c r="P1521">
        <v>2026.65</v>
      </c>
      <c r="Q1521" t="s">
        <v>121</v>
      </c>
      <c r="R1521" t="s">
        <v>49</v>
      </c>
      <c r="S1521" t="s">
        <v>110</v>
      </c>
    </row>
    <row r="1522" spans="1:19" x14ac:dyDescent="0.3">
      <c r="A1522" t="s">
        <v>2560</v>
      </c>
      <c r="B1522" s="1">
        <v>45442</v>
      </c>
      <c r="D1522" t="s">
        <v>1205</v>
      </c>
      <c r="E1522" t="s">
        <v>1206</v>
      </c>
      <c r="F1522" t="s">
        <v>34</v>
      </c>
      <c r="G1522" t="s">
        <v>44</v>
      </c>
      <c r="H1522" t="s">
        <v>45</v>
      </c>
      <c r="I1522" t="s">
        <v>103</v>
      </c>
      <c r="J1522" t="s">
        <v>104</v>
      </c>
      <c r="K1522" t="s">
        <v>65</v>
      </c>
      <c r="L1522">
        <v>1</v>
      </c>
      <c r="M1522">
        <v>8000</v>
      </c>
      <c r="N1522">
        <v>15</v>
      </c>
      <c r="O1522">
        <v>6800</v>
      </c>
      <c r="P1522">
        <v>1667</v>
      </c>
      <c r="Q1522" t="s">
        <v>74</v>
      </c>
      <c r="R1522" t="s">
        <v>29</v>
      </c>
      <c r="S1522" t="s">
        <v>40</v>
      </c>
    </row>
    <row r="1523" spans="1:19" x14ac:dyDescent="0.3">
      <c r="A1523" t="s">
        <v>2561</v>
      </c>
      <c r="B1523" s="1">
        <v>45793</v>
      </c>
      <c r="C1523" s="1">
        <v>45794</v>
      </c>
      <c r="D1523" t="s">
        <v>336</v>
      </c>
      <c r="E1523" t="s">
        <v>337</v>
      </c>
      <c r="F1523" t="s">
        <v>34</v>
      </c>
      <c r="G1523" t="s">
        <v>61</v>
      </c>
      <c r="H1523" t="s">
        <v>211</v>
      </c>
      <c r="I1523" t="s">
        <v>126</v>
      </c>
      <c r="J1523" t="s">
        <v>127</v>
      </c>
      <c r="K1523" t="s">
        <v>95</v>
      </c>
      <c r="L1523">
        <v>2</v>
      </c>
      <c r="M1523">
        <v>600</v>
      </c>
      <c r="N1523">
        <v>15</v>
      </c>
      <c r="O1523">
        <v>1020</v>
      </c>
      <c r="Q1523" t="s">
        <v>74</v>
      </c>
      <c r="R1523" t="s">
        <v>29</v>
      </c>
      <c r="S1523" t="s">
        <v>40</v>
      </c>
    </row>
    <row r="1524" spans="1:19" x14ac:dyDescent="0.3">
      <c r="A1524" t="s">
        <v>2562</v>
      </c>
      <c r="B1524" s="1">
        <v>45633</v>
      </c>
      <c r="C1524" t="s">
        <v>2563</v>
      </c>
      <c r="D1524" t="s">
        <v>1048</v>
      </c>
      <c r="E1524" t="s">
        <v>1049</v>
      </c>
      <c r="F1524" t="s">
        <v>34</v>
      </c>
      <c r="G1524" t="s">
        <v>61</v>
      </c>
      <c r="H1524" t="s">
        <v>125</v>
      </c>
      <c r="I1524" t="s">
        <v>79</v>
      </c>
      <c r="J1524" t="s">
        <v>80</v>
      </c>
      <c r="K1524" t="s">
        <v>65</v>
      </c>
      <c r="L1524">
        <v>2</v>
      </c>
      <c r="M1524">
        <v>3000</v>
      </c>
      <c r="N1524">
        <v>5</v>
      </c>
      <c r="O1524">
        <v>5700</v>
      </c>
      <c r="P1524">
        <v>1321.34</v>
      </c>
      <c r="Q1524" t="s">
        <v>74</v>
      </c>
      <c r="R1524" t="s">
        <v>29</v>
      </c>
      <c r="S1524" t="s">
        <v>50</v>
      </c>
    </row>
    <row r="1525" spans="1:19" x14ac:dyDescent="0.3">
      <c r="A1525" t="s">
        <v>2564</v>
      </c>
      <c r="B1525" s="2">
        <v>45659</v>
      </c>
      <c r="C1525" s="1">
        <v>45663</v>
      </c>
      <c r="D1525" t="s">
        <v>509</v>
      </c>
      <c r="E1525" t="s">
        <v>510</v>
      </c>
      <c r="F1525" t="s">
        <v>23</v>
      </c>
      <c r="G1525" t="s">
        <v>91</v>
      </c>
      <c r="H1525" t="s">
        <v>120</v>
      </c>
      <c r="I1525" t="s">
        <v>25</v>
      </c>
      <c r="J1525" t="s">
        <v>26</v>
      </c>
      <c r="K1525" t="s">
        <v>27</v>
      </c>
      <c r="L1525">
        <v>4</v>
      </c>
      <c r="M1525">
        <v>7000</v>
      </c>
      <c r="N1525">
        <v>0</v>
      </c>
      <c r="O1525">
        <v>28000</v>
      </c>
      <c r="P1525">
        <v>5180.26</v>
      </c>
      <c r="Q1525" t="s">
        <v>74</v>
      </c>
      <c r="R1525" t="s">
        <v>49</v>
      </c>
      <c r="S1525" t="s">
        <v>86</v>
      </c>
    </row>
    <row r="1526" spans="1:19" x14ac:dyDescent="0.3">
      <c r="A1526" t="s">
        <v>2565</v>
      </c>
      <c r="B1526" s="1">
        <v>45484</v>
      </c>
      <c r="C1526" s="2">
        <v>45492</v>
      </c>
      <c r="D1526" t="s">
        <v>1369</v>
      </c>
      <c r="E1526" t="s">
        <v>1370</v>
      </c>
      <c r="F1526" t="s">
        <v>55</v>
      </c>
      <c r="G1526" t="s">
        <v>44</v>
      </c>
      <c r="H1526" t="s">
        <v>155</v>
      </c>
      <c r="I1526" t="s">
        <v>147</v>
      </c>
      <c r="J1526" t="s">
        <v>148</v>
      </c>
      <c r="K1526" t="s">
        <v>48</v>
      </c>
      <c r="L1526">
        <v>3</v>
      </c>
      <c r="M1526">
        <v>250</v>
      </c>
      <c r="N1526">
        <v>0</v>
      </c>
      <c r="O1526">
        <v>750</v>
      </c>
      <c r="P1526">
        <v>253</v>
      </c>
      <c r="Q1526" t="s">
        <v>156</v>
      </c>
      <c r="R1526" t="s">
        <v>56</v>
      </c>
      <c r="S1526" t="s">
        <v>40</v>
      </c>
    </row>
    <row r="1527" spans="1:19" x14ac:dyDescent="0.3">
      <c r="A1527" t="s">
        <v>2566</v>
      </c>
      <c r="B1527" s="1">
        <v>45833</v>
      </c>
      <c r="C1527" t="s">
        <v>581</v>
      </c>
      <c r="D1527" t="s">
        <v>428</v>
      </c>
      <c r="E1527" t="s">
        <v>429</v>
      </c>
      <c r="F1527" t="s">
        <v>34</v>
      </c>
      <c r="G1527" t="s">
        <v>44</v>
      </c>
      <c r="H1527" t="s">
        <v>45</v>
      </c>
      <c r="I1527" t="s">
        <v>114</v>
      </c>
      <c r="J1527" t="s">
        <v>115</v>
      </c>
      <c r="K1527" t="s">
        <v>65</v>
      </c>
      <c r="L1527">
        <v>1</v>
      </c>
      <c r="M1527">
        <v>55000</v>
      </c>
      <c r="N1527">
        <v>0</v>
      </c>
      <c r="O1527">
        <v>55000</v>
      </c>
      <c r="P1527">
        <v>8453.6200000000008</v>
      </c>
      <c r="Q1527" t="s">
        <v>39</v>
      </c>
      <c r="R1527" t="s">
        <v>56</v>
      </c>
      <c r="S1527" t="s">
        <v>110</v>
      </c>
    </row>
    <row r="1528" spans="1:19" x14ac:dyDescent="0.3">
      <c r="A1528" t="s">
        <v>2567</v>
      </c>
      <c r="B1528" s="1">
        <v>45970</v>
      </c>
      <c r="C1528" t="s">
        <v>880</v>
      </c>
      <c r="D1528" t="s">
        <v>973</v>
      </c>
      <c r="E1528" t="s">
        <v>974</v>
      </c>
      <c r="F1528" t="s">
        <v>34</v>
      </c>
      <c r="G1528" t="s">
        <v>91</v>
      </c>
      <c r="H1528" t="s">
        <v>177</v>
      </c>
      <c r="I1528" t="s">
        <v>79</v>
      </c>
      <c r="J1528" t="s">
        <v>80</v>
      </c>
      <c r="K1528" t="s">
        <v>65</v>
      </c>
      <c r="L1528">
        <v>3</v>
      </c>
      <c r="M1528">
        <v>3000</v>
      </c>
      <c r="N1528">
        <v>15</v>
      </c>
      <c r="O1528">
        <v>7650</v>
      </c>
      <c r="P1528">
        <v>2133.6</v>
      </c>
      <c r="Q1528" t="s">
        <v>66</v>
      </c>
      <c r="R1528" t="s">
        <v>56</v>
      </c>
      <c r="S1528" t="s">
        <v>40</v>
      </c>
    </row>
    <row r="1529" spans="1:19" x14ac:dyDescent="0.3">
      <c r="A1529" t="s">
        <v>2568</v>
      </c>
      <c r="B1529" t="s">
        <v>2210</v>
      </c>
      <c r="C1529" s="1">
        <v>45746</v>
      </c>
      <c r="D1529" t="s">
        <v>2290</v>
      </c>
      <c r="E1529" t="s">
        <v>2291</v>
      </c>
      <c r="F1529" t="s">
        <v>55</v>
      </c>
      <c r="G1529" t="s">
        <v>35</v>
      </c>
      <c r="H1529" t="s">
        <v>85</v>
      </c>
      <c r="I1529" t="s">
        <v>46</v>
      </c>
      <c r="J1529" t="s">
        <v>47</v>
      </c>
      <c r="K1529" t="s">
        <v>48</v>
      </c>
      <c r="L1529">
        <v>2</v>
      </c>
      <c r="M1529">
        <v>180</v>
      </c>
      <c r="N1529">
        <v>20</v>
      </c>
      <c r="O1529">
        <v>288</v>
      </c>
      <c r="P1529">
        <v>103.71</v>
      </c>
      <c r="Q1529" t="s">
        <v>39</v>
      </c>
      <c r="R1529" t="s">
        <v>49</v>
      </c>
      <c r="S1529" t="s">
        <v>110</v>
      </c>
    </row>
    <row r="1530" spans="1:19" x14ac:dyDescent="0.3">
      <c r="A1530" t="s">
        <v>2569</v>
      </c>
      <c r="B1530" t="s">
        <v>985</v>
      </c>
      <c r="C1530" s="2">
        <v>45734</v>
      </c>
      <c r="D1530" t="s">
        <v>660</v>
      </c>
      <c r="E1530" t="s">
        <v>661</v>
      </c>
      <c r="F1530" t="s">
        <v>23</v>
      </c>
      <c r="G1530" t="s">
        <v>44</v>
      </c>
      <c r="H1530" t="s">
        <v>330</v>
      </c>
      <c r="I1530" t="s">
        <v>63</v>
      </c>
      <c r="J1530" t="s">
        <v>64</v>
      </c>
      <c r="K1530" t="s">
        <v>65</v>
      </c>
      <c r="L1530">
        <v>1</v>
      </c>
      <c r="M1530">
        <v>25000</v>
      </c>
      <c r="N1530">
        <v>0</v>
      </c>
      <c r="O1530">
        <v>25000</v>
      </c>
      <c r="P1530">
        <v>3718.87</v>
      </c>
      <c r="Q1530" t="s">
        <v>121</v>
      </c>
      <c r="R1530" t="s">
        <v>49</v>
      </c>
      <c r="S1530" t="s">
        <v>86</v>
      </c>
    </row>
    <row r="1531" spans="1:19" x14ac:dyDescent="0.3">
      <c r="A1531" t="s">
        <v>2570</v>
      </c>
      <c r="B1531" s="1">
        <v>45977</v>
      </c>
      <c r="C1531" s="1">
        <v>45981</v>
      </c>
      <c r="D1531" t="s">
        <v>256</v>
      </c>
      <c r="E1531" t="s">
        <v>257</v>
      </c>
      <c r="F1531" t="s">
        <v>55</v>
      </c>
      <c r="G1531" t="s">
        <v>35</v>
      </c>
      <c r="H1531" t="s">
        <v>258</v>
      </c>
      <c r="I1531" t="s">
        <v>134</v>
      </c>
      <c r="J1531" t="s">
        <v>135</v>
      </c>
      <c r="K1531" t="s">
        <v>27</v>
      </c>
      <c r="L1531">
        <v>10</v>
      </c>
      <c r="M1531">
        <v>6000</v>
      </c>
      <c r="N1531">
        <v>5</v>
      </c>
      <c r="O1531">
        <v>57000</v>
      </c>
      <c r="P1531">
        <v>11346.75</v>
      </c>
      <c r="Q1531" t="s">
        <v>66</v>
      </c>
      <c r="R1531" t="s">
        <v>49</v>
      </c>
      <c r="S1531" t="s">
        <v>30</v>
      </c>
    </row>
    <row r="1532" spans="1:19" x14ac:dyDescent="0.3">
      <c r="A1532" t="s">
        <v>2571</v>
      </c>
      <c r="B1532" s="1">
        <v>45745</v>
      </c>
      <c r="C1532" s="1">
        <v>45751</v>
      </c>
      <c r="D1532" t="s">
        <v>98</v>
      </c>
      <c r="E1532" t="s">
        <v>99</v>
      </c>
      <c r="F1532" t="s">
        <v>34</v>
      </c>
      <c r="G1532" t="s">
        <v>91</v>
      </c>
      <c r="H1532" t="s">
        <v>92</v>
      </c>
      <c r="I1532" t="s">
        <v>93</v>
      </c>
      <c r="J1532" t="s">
        <v>94</v>
      </c>
      <c r="K1532" t="s">
        <v>95</v>
      </c>
      <c r="L1532">
        <v>5</v>
      </c>
      <c r="M1532">
        <v>1800</v>
      </c>
      <c r="N1532">
        <v>0</v>
      </c>
      <c r="O1532">
        <v>9000</v>
      </c>
      <c r="P1532">
        <v>2898.1</v>
      </c>
      <c r="Q1532" t="s">
        <v>74</v>
      </c>
      <c r="R1532" t="s">
        <v>49</v>
      </c>
      <c r="S1532" t="s">
        <v>30</v>
      </c>
    </row>
    <row r="1533" spans="1:19" x14ac:dyDescent="0.3">
      <c r="A1533" t="s">
        <v>2572</v>
      </c>
      <c r="B1533" s="2">
        <v>45710</v>
      </c>
      <c r="C1533" s="1">
        <v>45660</v>
      </c>
      <c r="D1533" t="s">
        <v>861</v>
      </c>
      <c r="E1533" t="s">
        <v>862</v>
      </c>
      <c r="F1533" t="s">
        <v>55</v>
      </c>
      <c r="G1533" t="s">
        <v>44</v>
      </c>
      <c r="H1533" t="s">
        <v>24</v>
      </c>
      <c r="I1533" t="s">
        <v>63</v>
      </c>
      <c r="J1533" t="s">
        <v>64</v>
      </c>
      <c r="K1533" t="s">
        <v>65</v>
      </c>
      <c r="L1533">
        <v>3</v>
      </c>
      <c r="M1533">
        <v>25000</v>
      </c>
      <c r="N1533">
        <v>5</v>
      </c>
      <c r="O1533">
        <v>71250</v>
      </c>
      <c r="P1533">
        <v>8124.15</v>
      </c>
      <c r="Q1533" t="s">
        <v>39</v>
      </c>
      <c r="R1533" t="s">
        <v>49</v>
      </c>
      <c r="S1533" t="s">
        <v>86</v>
      </c>
    </row>
    <row r="1534" spans="1:19" x14ac:dyDescent="0.3">
      <c r="A1534" t="s">
        <v>2573</v>
      </c>
      <c r="B1534" s="1">
        <v>45565</v>
      </c>
      <c r="C1534" s="1">
        <v>45514</v>
      </c>
      <c r="D1534" t="s">
        <v>1125</v>
      </c>
      <c r="E1534" t="s">
        <v>1126</v>
      </c>
      <c r="F1534" t="s">
        <v>55</v>
      </c>
      <c r="G1534" t="s">
        <v>61</v>
      </c>
      <c r="H1534" t="s">
        <v>125</v>
      </c>
      <c r="I1534" t="s">
        <v>71</v>
      </c>
      <c r="J1534" t="s">
        <v>72</v>
      </c>
      <c r="K1534" t="s">
        <v>73</v>
      </c>
      <c r="L1534">
        <v>2</v>
      </c>
      <c r="M1534">
        <v>3500</v>
      </c>
      <c r="N1534">
        <v>5</v>
      </c>
      <c r="O1534">
        <v>6650</v>
      </c>
      <c r="P1534">
        <v>1720.49</v>
      </c>
      <c r="Q1534" t="s">
        <v>74</v>
      </c>
      <c r="R1534" t="s">
        <v>56</v>
      </c>
      <c r="S1534" t="s">
        <v>40</v>
      </c>
    </row>
    <row r="1535" spans="1:19" x14ac:dyDescent="0.3">
      <c r="A1535" t="s">
        <v>2574</v>
      </c>
      <c r="B1535" s="2">
        <v>45784</v>
      </c>
      <c r="C1535" s="1">
        <v>45792</v>
      </c>
      <c r="D1535" t="s">
        <v>2360</v>
      </c>
      <c r="E1535" t="s">
        <v>2361</v>
      </c>
      <c r="F1535" t="s">
        <v>23</v>
      </c>
      <c r="G1535" t="s">
        <v>44</v>
      </c>
      <c r="H1535" t="s">
        <v>330</v>
      </c>
      <c r="I1535" t="s">
        <v>93</v>
      </c>
      <c r="J1535" t="s">
        <v>94</v>
      </c>
      <c r="K1535" t="s">
        <v>95</v>
      </c>
      <c r="L1535">
        <v>2</v>
      </c>
      <c r="M1535">
        <v>1800</v>
      </c>
      <c r="N1535">
        <v>20</v>
      </c>
      <c r="O1535">
        <v>2880</v>
      </c>
      <c r="P1535">
        <v>809.59</v>
      </c>
      <c r="Q1535" t="s">
        <v>156</v>
      </c>
      <c r="R1535" t="s">
        <v>29</v>
      </c>
      <c r="S1535" t="s">
        <v>110</v>
      </c>
    </row>
    <row r="1536" spans="1:19" x14ac:dyDescent="0.3">
      <c r="A1536" t="s">
        <v>2575</v>
      </c>
      <c r="B1536" s="1">
        <v>45648</v>
      </c>
      <c r="C1536" s="1">
        <v>45650</v>
      </c>
      <c r="D1536" t="s">
        <v>425</v>
      </c>
      <c r="E1536" t="s">
        <v>426</v>
      </c>
      <c r="F1536" t="s">
        <v>34</v>
      </c>
      <c r="G1536" t="s">
        <v>61</v>
      </c>
      <c r="H1536" t="s">
        <v>125</v>
      </c>
      <c r="I1536" t="s">
        <v>147</v>
      </c>
      <c r="J1536" t="s">
        <v>148</v>
      </c>
      <c r="K1536" t="s">
        <v>48</v>
      </c>
      <c r="M1536">
        <v>250</v>
      </c>
      <c r="N1536">
        <v>15</v>
      </c>
      <c r="O1536">
        <v>425</v>
      </c>
      <c r="P1536">
        <v>149.77000000000001</v>
      </c>
      <c r="Q1536" t="s">
        <v>74</v>
      </c>
      <c r="R1536" t="s">
        <v>29</v>
      </c>
      <c r="S1536" t="s">
        <v>86</v>
      </c>
    </row>
    <row r="1537" spans="1:19" x14ac:dyDescent="0.3">
      <c r="A1537" t="s">
        <v>2576</v>
      </c>
      <c r="B1537" t="s">
        <v>68</v>
      </c>
      <c r="C1537" s="1">
        <v>45809</v>
      </c>
      <c r="D1537" t="s">
        <v>726</v>
      </c>
      <c r="E1537" t="s">
        <v>727</v>
      </c>
      <c r="F1537" t="s">
        <v>34</v>
      </c>
      <c r="G1537" t="s">
        <v>35</v>
      </c>
      <c r="H1537" t="s">
        <v>258</v>
      </c>
      <c r="I1537" t="s">
        <v>46</v>
      </c>
      <c r="J1537" t="s">
        <v>47</v>
      </c>
      <c r="K1537" t="s">
        <v>48</v>
      </c>
      <c r="L1537">
        <v>1</v>
      </c>
      <c r="M1537">
        <v>180</v>
      </c>
      <c r="N1537">
        <v>0</v>
      </c>
      <c r="O1537">
        <v>180</v>
      </c>
      <c r="P1537">
        <v>63.4</v>
      </c>
      <c r="Q1537" t="s">
        <v>74</v>
      </c>
      <c r="R1537" t="s">
        <v>29</v>
      </c>
      <c r="S1537" t="s">
        <v>40</v>
      </c>
    </row>
    <row r="1538" spans="1:19" x14ac:dyDescent="0.3">
      <c r="A1538" t="s">
        <v>2577</v>
      </c>
      <c r="B1538" s="1">
        <v>45775</v>
      </c>
      <c r="C1538" s="2">
        <v>45779</v>
      </c>
      <c r="D1538" t="s">
        <v>942</v>
      </c>
      <c r="E1538" t="s">
        <v>943</v>
      </c>
      <c r="F1538" t="s">
        <v>23</v>
      </c>
      <c r="G1538" t="s">
        <v>44</v>
      </c>
      <c r="H1538" t="s">
        <v>155</v>
      </c>
      <c r="I1538" t="s">
        <v>46</v>
      </c>
      <c r="J1538" t="s">
        <v>47</v>
      </c>
      <c r="K1538" t="s">
        <v>48</v>
      </c>
      <c r="L1538">
        <v>3</v>
      </c>
      <c r="M1538">
        <v>180</v>
      </c>
      <c r="N1538">
        <v>0</v>
      </c>
      <c r="O1538">
        <v>540</v>
      </c>
      <c r="P1538">
        <v>205.66</v>
      </c>
      <c r="Q1538" t="s">
        <v>39</v>
      </c>
      <c r="R1538" t="s">
        <v>56</v>
      </c>
      <c r="S1538" t="s">
        <v>110</v>
      </c>
    </row>
    <row r="1539" spans="1:19" x14ac:dyDescent="0.3">
      <c r="A1539" t="s">
        <v>2578</v>
      </c>
      <c r="B1539" t="s">
        <v>777</v>
      </c>
      <c r="C1539" s="1">
        <v>45767</v>
      </c>
      <c r="D1539" t="s">
        <v>1075</v>
      </c>
      <c r="E1539" t="s">
        <v>1076</v>
      </c>
      <c r="F1539" t="s">
        <v>55</v>
      </c>
      <c r="G1539" t="s">
        <v>61</v>
      </c>
      <c r="H1539" t="s">
        <v>125</v>
      </c>
      <c r="I1539" t="s">
        <v>147</v>
      </c>
      <c r="J1539" t="s">
        <v>148</v>
      </c>
      <c r="K1539" t="s">
        <v>48</v>
      </c>
      <c r="L1539">
        <v>1</v>
      </c>
      <c r="M1539">
        <v>250</v>
      </c>
      <c r="N1539">
        <v>20</v>
      </c>
      <c r="O1539">
        <v>200</v>
      </c>
      <c r="P1539">
        <v>83.09</v>
      </c>
      <c r="Q1539" t="s">
        <v>74</v>
      </c>
      <c r="R1539" t="s">
        <v>29</v>
      </c>
      <c r="S1539" t="s">
        <v>50</v>
      </c>
    </row>
    <row r="1540" spans="1:19" x14ac:dyDescent="0.3">
      <c r="A1540" t="s">
        <v>2579</v>
      </c>
      <c r="B1540" s="2">
        <v>45353</v>
      </c>
      <c r="C1540" s="2">
        <v>45361</v>
      </c>
      <c r="D1540" t="s">
        <v>166</v>
      </c>
      <c r="E1540" t="s">
        <v>167</v>
      </c>
      <c r="F1540" t="s">
        <v>23</v>
      </c>
      <c r="G1540" t="s">
        <v>44</v>
      </c>
      <c r="H1540" t="s">
        <v>161</v>
      </c>
      <c r="I1540" t="s">
        <v>46</v>
      </c>
      <c r="J1540" t="s">
        <v>47</v>
      </c>
      <c r="K1540" t="s">
        <v>48</v>
      </c>
      <c r="L1540">
        <v>2</v>
      </c>
      <c r="M1540">
        <v>180</v>
      </c>
      <c r="N1540">
        <v>20</v>
      </c>
      <c r="O1540">
        <v>288</v>
      </c>
      <c r="P1540">
        <v>97.54</v>
      </c>
      <c r="Q1540" t="s">
        <v>66</v>
      </c>
      <c r="R1540" t="s">
        <v>49</v>
      </c>
      <c r="S1540" t="s">
        <v>110</v>
      </c>
    </row>
    <row r="1541" spans="1:19" x14ac:dyDescent="0.3">
      <c r="A1541" t="s">
        <v>2580</v>
      </c>
      <c r="B1541" s="1">
        <v>45733</v>
      </c>
      <c r="C1541" s="1">
        <v>45738</v>
      </c>
      <c r="D1541" t="s">
        <v>159</v>
      </c>
      <c r="E1541" t="s">
        <v>160</v>
      </c>
      <c r="F1541" t="s">
        <v>34</v>
      </c>
      <c r="G1541" t="s">
        <v>44</v>
      </c>
      <c r="H1541" t="s">
        <v>161</v>
      </c>
      <c r="I1541" t="s">
        <v>79</v>
      </c>
      <c r="J1541" t="s">
        <v>80</v>
      </c>
      <c r="K1541" t="s">
        <v>65</v>
      </c>
      <c r="L1541">
        <v>4</v>
      </c>
      <c r="M1541">
        <v>3000</v>
      </c>
      <c r="N1541">
        <v>10</v>
      </c>
      <c r="O1541">
        <v>10800</v>
      </c>
      <c r="P1541">
        <v>2547.37</v>
      </c>
      <c r="Q1541" t="s">
        <v>156</v>
      </c>
      <c r="R1541" t="s">
        <v>56</v>
      </c>
      <c r="S1541" t="s">
        <v>50</v>
      </c>
    </row>
    <row r="1542" spans="1:19" x14ac:dyDescent="0.3">
      <c r="A1542" t="s">
        <v>2581</v>
      </c>
      <c r="B1542" s="1">
        <v>45807</v>
      </c>
      <c r="C1542" s="1">
        <v>45783</v>
      </c>
      <c r="D1542" t="s">
        <v>599</v>
      </c>
      <c r="E1542" t="s">
        <v>600</v>
      </c>
      <c r="F1542" t="s">
        <v>23</v>
      </c>
      <c r="G1542" t="s">
        <v>44</v>
      </c>
      <c r="H1542" t="s">
        <v>161</v>
      </c>
      <c r="I1542" t="s">
        <v>25</v>
      </c>
      <c r="J1542" t="s">
        <v>26</v>
      </c>
      <c r="K1542" t="s">
        <v>27</v>
      </c>
      <c r="L1542">
        <v>3</v>
      </c>
      <c r="M1542">
        <v>7000</v>
      </c>
      <c r="N1542">
        <v>0</v>
      </c>
      <c r="O1542">
        <v>21000</v>
      </c>
      <c r="P1542">
        <v>3334.64</v>
      </c>
      <c r="R1542" t="s">
        <v>49</v>
      </c>
      <c r="S1542" t="s">
        <v>30</v>
      </c>
    </row>
    <row r="1543" spans="1:19" x14ac:dyDescent="0.3">
      <c r="A1543" t="s">
        <v>2582</v>
      </c>
      <c r="B1543" s="1">
        <v>46019</v>
      </c>
      <c r="C1543" s="1">
        <v>46025</v>
      </c>
      <c r="D1543" t="s">
        <v>444</v>
      </c>
      <c r="E1543" t="s">
        <v>445</v>
      </c>
      <c r="F1543" t="s">
        <v>55</v>
      </c>
      <c r="G1543" t="s">
        <v>91</v>
      </c>
      <c r="H1543" t="s">
        <v>92</v>
      </c>
      <c r="I1543" t="s">
        <v>71</v>
      </c>
      <c r="J1543" t="s">
        <v>72</v>
      </c>
      <c r="K1543" t="s">
        <v>73</v>
      </c>
      <c r="L1543">
        <v>1</v>
      </c>
      <c r="M1543">
        <v>3500</v>
      </c>
      <c r="N1543">
        <v>0</v>
      </c>
      <c r="O1543">
        <v>3500</v>
      </c>
      <c r="P1543">
        <v>839.86</v>
      </c>
      <c r="Q1543" t="s">
        <v>28</v>
      </c>
      <c r="R1543" t="s">
        <v>49</v>
      </c>
      <c r="S1543" t="s">
        <v>40</v>
      </c>
    </row>
    <row r="1544" spans="1:19" x14ac:dyDescent="0.3">
      <c r="A1544" t="s">
        <v>2583</v>
      </c>
      <c r="B1544" s="2">
        <v>45542</v>
      </c>
      <c r="C1544" s="1">
        <v>45546</v>
      </c>
      <c r="D1544" t="s">
        <v>1191</v>
      </c>
      <c r="E1544" t="s">
        <v>1192</v>
      </c>
      <c r="F1544" t="s">
        <v>23</v>
      </c>
      <c r="G1544" t="s">
        <v>61</v>
      </c>
      <c r="H1544" t="s">
        <v>211</v>
      </c>
      <c r="I1544" t="s">
        <v>103</v>
      </c>
      <c r="J1544" t="s">
        <v>104</v>
      </c>
      <c r="K1544" t="s">
        <v>65</v>
      </c>
      <c r="L1544">
        <v>1</v>
      </c>
      <c r="M1544">
        <v>8000</v>
      </c>
      <c r="N1544">
        <v>15</v>
      </c>
      <c r="O1544">
        <v>6800</v>
      </c>
      <c r="P1544">
        <v>1314.23</v>
      </c>
      <c r="Q1544" t="s">
        <v>121</v>
      </c>
      <c r="R1544" t="s">
        <v>56</v>
      </c>
      <c r="S1544" t="s">
        <v>30</v>
      </c>
    </row>
    <row r="1545" spans="1:19" x14ac:dyDescent="0.3">
      <c r="A1545" t="s">
        <v>2584</v>
      </c>
      <c r="B1545" s="1">
        <v>45860</v>
      </c>
      <c r="C1545" t="s">
        <v>1071</v>
      </c>
      <c r="D1545" t="s">
        <v>179</v>
      </c>
      <c r="E1545" t="s">
        <v>180</v>
      </c>
      <c r="F1545" t="s">
        <v>23</v>
      </c>
      <c r="G1545" t="s">
        <v>91</v>
      </c>
      <c r="H1545" t="s">
        <v>177</v>
      </c>
      <c r="I1545" t="s">
        <v>79</v>
      </c>
      <c r="J1545" t="s">
        <v>80</v>
      </c>
      <c r="K1545" t="s">
        <v>65</v>
      </c>
      <c r="L1545">
        <v>1</v>
      </c>
      <c r="M1545">
        <v>3000</v>
      </c>
      <c r="N1545">
        <v>20</v>
      </c>
      <c r="O1545">
        <v>2400</v>
      </c>
      <c r="P1545">
        <v>567.05999999999995</v>
      </c>
      <c r="Q1545" t="s">
        <v>28</v>
      </c>
      <c r="R1545" t="s">
        <v>29</v>
      </c>
      <c r="S1545" t="s">
        <v>86</v>
      </c>
    </row>
    <row r="1546" spans="1:19" x14ac:dyDescent="0.3">
      <c r="A1546" t="s">
        <v>2585</v>
      </c>
      <c r="B1546" s="2">
        <v>45340</v>
      </c>
      <c r="C1546" s="2">
        <v>45341</v>
      </c>
      <c r="D1546" t="s">
        <v>98</v>
      </c>
      <c r="E1546" t="s">
        <v>99</v>
      </c>
      <c r="F1546" t="s">
        <v>34</v>
      </c>
      <c r="G1546" t="s">
        <v>91</v>
      </c>
      <c r="H1546" t="s">
        <v>92</v>
      </c>
      <c r="I1546" t="s">
        <v>114</v>
      </c>
      <c r="J1546" t="s">
        <v>115</v>
      </c>
      <c r="K1546" t="s">
        <v>65</v>
      </c>
      <c r="L1546">
        <v>10</v>
      </c>
      <c r="M1546">
        <v>55000</v>
      </c>
      <c r="N1546">
        <v>5</v>
      </c>
      <c r="O1546">
        <v>522500</v>
      </c>
      <c r="P1546">
        <v>72916.55</v>
      </c>
      <c r="Q1546" t="s">
        <v>156</v>
      </c>
      <c r="R1546" t="s">
        <v>49</v>
      </c>
      <c r="S1546" t="s">
        <v>40</v>
      </c>
    </row>
    <row r="1547" spans="1:19" x14ac:dyDescent="0.3">
      <c r="A1547" t="s">
        <v>2586</v>
      </c>
      <c r="B1547" s="1">
        <v>45796</v>
      </c>
      <c r="C1547" s="1">
        <v>45798</v>
      </c>
      <c r="D1547" t="s">
        <v>726</v>
      </c>
      <c r="E1547" t="s">
        <v>727</v>
      </c>
      <c r="F1547" t="s">
        <v>34</v>
      </c>
      <c r="G1547" t="s">
        <v>35</v>
      </c>
      <c r="H1547" t="s">
        <v>258</v>
      </c>
      <c r="I1547" t="s">
        <v>134</v>
      </c>
      <c r="J1547" t="s">
        <v>135</v>
      </c>
      <c r="K1547" t="s">
        <v>27</v>
      </c>
      <c r="L1547">
        <v>4</v>
      </c>
      <c r="M1547">
        <v>6000</v>
      </c>
      <c r="N1547">
        <v>0</v>
      </c>
      <c r="O1547">
        <v>24000</v>
      </c>
      <c r="P1547">
        <v>5290.04</v>
      </c>
      <c r="Q1547" t="s">
        <v>28</v>
      </c>
      <c r="R1547" t="s">
        <v>56</v>
      </c>
      <c r="S1547" t="s">
        <v>50</v>
      </c>
    </row>
    <row r="1548" spans="1:19" x14ac:dyDescent="0.3">
      <c r="A1548" t="s">
        <v>2587</v>
      </c>
      <c r="B1548" s="1">
        <v>45523</v>
      </c>
      <c r="C1548" s="1">
        <v>45524</v>
      </c>
      <c r="D1548" t="s">
        <v>896</v>
      </c>
      <c r="E1548" t="s">
        <v>897</v>
      </c>
      <c r="F1548" t="s">
        <v>55</v>
      </c>
      <c r="G1548" t="s">
        <v>35</v>
      </c>
      <c r="H1548" t="s">
        <v>258</v>
      </c>
      <c r="I1548" t="s">
        <v>103</v>
      </c>
      <c r="J1548" t="s">
        <v>104</v>
      </c>
      <c r="K1548" t="s">
        <v>65</v>
      </c>
      <c r="L1548">
        <v>2</v>
      </c>
      <c r="M1548">
        <v>8000</v>
      </c>
      <c r="N1548">
        <v>20</v>
      </c>
      <c r="O1548">
        <v>12800</v>
      </c>
      <c r="P1548">
        <v>2516.44</v>
      </c>
      <c r="Q1548" t="s">
        <v>74</v>
      </c>
      <c r="R1548" t="s">
        <v>29</v>
      </c>
      <c r="S1548" t="s">
        <v>86</v>
      </c>
    </row>
    <row r="1549" spans="1:19" x14ac:dyDescent="0.3">
      <c r="A1549" t="s">
        <v>2588</v>
      </c>
      <c r="B1549" s="1">
        <v>45748</v>
      </c>
      <c r="C1549" s="2">
        <v>45662</v>
      </c>
      <c r="D1549" t="s">
        <v>550</v>
      </c>
      <c r="E1549" t="s">
        <v>551</v>
      </c>
      <c r="F1549" t="s">
        <v>55</v>
      </c>
      <c r="G1549" t="s">
        <v>91</v>
      </c>
      <c r="H1549" t="s">
        <v>109</v>
      </c>
      <c r="I1549" t="s">
        <v>46</v>
      </c>
      <c r="J1549" t="s">
        <v>47</v>
      </c>
      <c r="K1549" t="s">
        <v>48</v>
      </c>
      <c r="L1549">
        <v>1</v>
      </c>
      <c r="M1549">
        <v>180</v>
      </c>
      <c r="N1549">
        <v>10</v>
      </c>
      <c r="O1549">
        <v>162</v>
      </c>
      <c r="P1549">
        <v>66.900000000000006</v>
      </c>
      <c r="Q1549" t="s">
        <v>28</v>
      </c>
      <c r="R1549" t="s">
        <v>49</v>
      </c>
      <c r="S1549" t="s">
        <v>86</v>
      </c>
    </row>
    <row r="1550" spans="1:19" x14ac:dyDescent="0.3">
      <c r="A1550" t="s">
        <v>2589</v>
      </c>
      <c r="B1550" s="1">
        <v>45818</v>
      </c>
      <c r="C1550" s="1">
        <v>45944</v>
      </c>
      <c r="D1550" t="s">
        <v>1965</v>
      </c>
      <c r="E1550" t="s">
        <v>1966</v>
      </c>
      <c r="F1550" t="s">
        <v>23</v>
      </c>
      <c r="G1550" t="s">
        <v>61</v>
      </c>
      <c r="H1550" t="s">
        <v>125</v>
      </c>
      <c r="I1550" t="s">
        <v>46</v>
      </c>
      <c r="J1550" t="s">
        <v>47</v>
      </c>
      <c r="K1550" t="s">
        <v>48</v>
      </c>
      <c r="L1550">
        <v>1</v>
      </c>
      <c r="M1550">
        <v>180</v>
      </c>
      <c r="N1550">
        <v>5</v>
      </c>
      <c r="O1550">
        <v>171</v>
      </c>
      <c r="P1550">
        <v>67.33</v>
      </c>
      <c r="Q1550" t="s">
        <v>74</v>
      </c>
      <c r="R1550" t="s">
        <v>29</v>
      </c>
      <c r="S1550" t="s">
        <v>50</v>
      </c>
    </row>
    <row r="1551" spans="1:19" x14ac:dyDescent="0.3">
      <c r="A1551" t="s">
        <v>2590</v>
      </c>
      <c r="B1551" s="2">
        <v>45693</v>
      </c>
      <c r="C1551" s="1">
        <v>45902</v>
      </c>
      <c r="D1551" t="s">
        <v>2374</v>
      </c>
      <c r="E1551" t="s">
        <v>2591</v>
      </c>
      <c r="F1551" t="s">
        <v>23</v>
      </c>
      <c r="G1551" t="s">
        <v>35</v>
      </c>
      <c r="H1551" t="s">
        <v>36</v>
      </c>
      <c r="I1551" t="s">
        <v>71</v>
      </c>
      <c r="J1551" t="s">
        <v>72</v>
      </c>
      <c r="K1551" t="s">
        <v>73</v>
      </c>
      <c r="L1551">
        <v>1</v>
      </c>
      <c r="M1551">
        <v>3500</v>
      </c>
      <c r="N1551">
        <v>0</v>
      </c>
      <c r="O1551">
        <v>3500</v>
      </c>
      <c r="P1551">
        <v>1135.1400000000001</v>
      </c>
      <c r="Q1551" t="s">
        <v>28</v>
      </c>
      <c r="R1551" t="s">
        <v>49</v>
      </c>
      <c r="S1551" t="s">
        <v>86</v>
      </c>
    </row>
    <row r="1552" spans="1:19" x14ac:dyDescent="0.3">
      <c r="A1552" t="s">
        <v>2592</v>
      </c>
      <c r="B1552" s="2">
        <v>45874</v>
      </c>
      <c r="C1552" s="1">
        <v>45879</v>
      </c>
      <c r="D1552" t="s">
        <v>856</v>
      </c>
      <c r="E1552" t="s">
        <v>857</v>
      </c>
      <c r="F1552" t="s">
        <v>55</v>
      </c>
      <c r="G1552" t="s">
        <v>35</v>
      </c>
      <c r="H1552" t="s">
        <v>36</v>
      </c>
      <c r="I1552" t="s">
        <v>71</v>
      </c>
      <c r="J1552" t="s">
        <v>72</v>
      </c>
      <c r="K1552" t="s">
        <v>73</v>
      </c>
      <c r="L1552">
        <v>1</v>
      </c>
      <c r="M1552">
        <v>3500</v>
      </c>
      <c r="N1552">
        <v>20</v>
      </c>
      <c r="O1552">
        <v>2800</v>
      </c>
      <c r="P1552">
        <v>644.65</v>
      </c>
      <c r="Q1552" t="s">
        <v>74</v>
      </c>
      <c r="R1552" t="s">
        <v>29</v>
      </c>
      <c r="S1552" t="s">
        <v>86</v>
      </c>
    </row>
    <row r="1553" spans="1:19" x14ac:dyDescent="0.3">
      <c r="A1553" t="s">
        <v>2593</v>
      </c>
      <c r="B1553" t="s">
        <v>2594</v>
      </c>
      <c r="C1553" s="2">
        <v>45929</v>
      </c>
      <c r="D1553" t="s">
        <v>1592</v>
      </c>
      <c r="E1553" t="s">
        <v>1593</v>
      </c>
      <c r="F1553" t="s">
        <v>34</v>
      </c>
      <c r="G1553" t="s">
        <v>44</v>
      </c>
      <c r="I1553" t="s">
        <v>71</v>
      </c>
      <c r="J1553" t="s">
        <v>72</v>
      </c>
      <c r="K1553" t="s">
        <v>73</v>
      </c>
      <c r="L1553">
        <v>2</v>
      </c>
      <c r="M1553">
        <v>3500</v>
      </c>
      <c r="N1553">
        <v>5</v>
      </c>
      <c r="O1553">
        <v>6650</v>
      </c>
      <c r="P1553">
        <v>2155.7600000000002</v>
      </c>
      <c r="Q1553" t="s">
        <v>66</v>
      </c>
      <c r="R1553" t="s">
        <v>56</v>
      </c>
      <c r="S1553" t="s">
        <v>30</v>
      </c>
    </row>
    <row r="1554" spans="1:19" x14ac:dyDescent="0.3">
      <c r="A1554" t="s">
        <v>2595</v>
      </c>
      <c r="B1554" s="1">
        <v>45435</v>
      </c>
      <c r="C1554" t="s">
        <v>2596</v>
      </c>
      <c r="D1554" t="s">
        <v>609</v>
      </c>
      <c r="E1554" t="s">
        <v>610</v>
      </c>
      <c r="F1554" t="s">
        <v>23</v>
      </c>
      <c r="G1554" t="s">
        <v>44</v>
      </c>
      <c r="I1554" t="s">
        <v>71</v>
      </c>
      <c r="J1554" t="s">
        <v>72</v>
      </c>
      <c r="K1554" t="s">
        <v>73</v>
      </c>
      <c r="L1554">
        <v>1</v>
      </c>
      <c r="M1554">
        <v>3500</v>
      </c>
      <c r="N1554">
        <v>10</v>
      </c>
      <c r="O1554">
        <v>3150</v>
      </c>
      <c r="P1554">
        <v>1001.74</v>
      </c>
      <c r="Q1554" t="s">
        <v>39</v>
      </c>
      <c r="R1554" t="s">
        <v>56</v>
      </c>
      <c r="S1554" t="s">
        <v>40</v>
      </c>
    </row>
    <row r="1555" spans="1:19" x14ac:dyDescent="0.3">
      <c r="A1555" t="s">
        <v>2597</v>
      </c>
      <c r="B1555" s="1">
        <v>45779</v>
      </c>
      <c r="C1555" s="1">
        <v>45780</v>
      </c>
      <c r="D1555" t="s">
        <v>2104</v>
      </c>
      <c r="E1555" t="s">
        <v>2105</v>
      </c>
      <c r="F1555" t="s">
        <v>34</v>
      </c>
      <c r="G1555" t="s">
        <v>91</v>
      </c>
      <c r="H1555" t="s">
        <v>92</v>
      </c>
      <c r="I1555" t="s">
        <v>103</v>
      </c>
      <c r="J1555" t="s">
        <v>104</v>
      </c>
      <c r="K1555" t="s">
        <v>65</v>
      </c>
      <c r="L1555">
        <v>1</v>
      </c>
      <c r="M1555">
        <v>8000</v>
      </c>
      <c r="N1555">
        <v>5</v>
      </c>
      <c r="O1555">
        <v>7600</v>
      </c>
      <c r="P1555">
        <v>2016.11</v>
      </c>
      <c r="Q1555" t="s">
        <v>39</v>
      </c>
      <c r="R1555" t="s">
        <v>56</v>
      </c>
      <c r="S1555" t="s">
        <v>40</v>
      </c>
    </row>
    <row r="1556" spans="1:19" x14ac:dyDescent="0.3">
      <c r="A1556" t="s">
        <v>2598</v>
      </c>
      <c r="B1556" t="s">
        <v>1118</v>
      </c>
      <c r="C1556" s="1">
        <v>45679</v>
      </c>
      <c r="D1556" t="s">
        <v>392</v>
      </c>
      <c r="E1556" t="s">
        <v>393</v>
      </c>
      <c r="F1556" t="s">
        <v>55</v>
      </c>
      <c r="G1556" t="s">
        <v>91</v>
      </c>
      <c r="H1556" t="s">
        <v>92</v>
      </c>
      <c r="I1556" t="s">
        <v>79</v>
      </c>
      <c r="J1556" t="s">
        <v>80</v>
      </c>
      <c r="K1556" t="s">
        <v>65</v>
      </c>
      <c r="L1556">
        <v>2</v>
      </c>
      <c r="M1556">
        <v>3000</v>
      </c>
      <c r="N1556">
        <v>0</v>
      </c>
      <c r="O1556">
        <v>6000</v>
      </c>
      <c r="P1556">
        <v>1369.2</v>
      </c>
      <c r="Q1556" t="s">
        <v>156</v>
      </c>
      <c r="R1556" t="s">
        <v>29</v>
      </c>
      <c r="S1556" t="s">
        <v>50</v>
      </c>
    </row>
    <row r="1557" spans="1:19" x14ac:dyDescent="0.3">
      <c r="A1557" t="s">
        <v>2599</v>
      </c>
      <c r="B1557" s="2">
        <v>45401</v>
      </c>
      <c r="C1557" s="1">
        <v>45409</v>
      </c>
      <c r="D1557" t="s">
        <v>403</v>
      </c>
      <c r="E1557" t="s">
        <v>404</v>
      </c>
      <c r="F1557" t="s">
        <v>55</v>
      </c>
      <c r="G1557" t="s">
        <v>35</v>
      </c>
      <c r="H1557" t="s">
        <v>36</v>
      </c>
      <c r="I1557" t="s">
        <v>93</v>
      </c>
      <c r="J1557" t="s">
        <v>94</v>
      </c>
      <c r="K1557" t="s">
        <v>95</v>
      </c>
      <c r="L1557">
        <v>5</v>
      </c>
      <c r="M1557">
        <v>1800</v>
      </c>
      <c r="N1557">
        <v>0</v>
      </c>
      <c r="O1557">
        <v>9000</v>
      </c>
      <c r="P1557">
        <v>2563.5500000000002</v>
      </c>
      <c r="Q1557" t="s">
        <v>121</v>
      </c>
      <c r="R1557" t="s">
        <v>56</v>
      </c>
      <c r="S1557" t="s">
        <v>30</v>
      </c>
    </row>
    <row r="1558" spans="1:19" x14ac:dyDescent="0.3">
      <c r="A1558" t="s">
        <v>2600</v>
      </c>
      <c r="B1558" s="1">
        <v>45916</v>
      </c>
      <c r="C1558" t="s">
        <v>669</v>
      </c>
      <c r="D1558" t="s">
        <v>53</v>
      </c>
      <c r="E1558" t="s">
        <v>54</v>
      </c>
      <c r="F1558" t="s">
        <v>55</v>
      </c>
      <c r="G1558" t="s">
        <v>44</v>
      </c>
      <c r="H1558" t="s">
        <v>24</v>
      </c>
      <c r="I1558" t="s">
        <v>25</v>
      </c>
      <c r="J1558" t="s">
        <v>26</v>
      </c>
      <c r="K1558" t="s">
        <v>27</v>
      </c>
      <c r="L1558">
        <v>2</v>
      </c>
      <c r="M1558">
        <v>7000</v>
      </c>
      <c r="N1558">
        <v>0</v>
      </c>
      <c r="O1558">
        <v>14000</v>
      </c>
      <c r="P1558">
        <v>2698.62</v>
      </c>
      <c r="Q1558" t="s">
        <v>74</v>
      </c>
      <c r="R1558" t="s">
        <v>49</v>
      </c>
      <c r="S1558" t="s">
        <v>30</v>
      </c>
    </row>
    <row r="1559" spans="1:19" x14ac:dyDescent="0.3">
      <c r="A1559" t="s">
        <v>2601</v>
      </c>
      <c r="B1559" s="1">
        <v>45318</v>
      </c>
      <c r="C1559" s="2">
        <v>45322</v>
      </c>
      <c r="D1559" t="s">
        <v>1315</v>
      </c>
      <c r="E1559" t="s">
        <v>1316</v>
      </c>
      <c r="F1559" t="s">
        <v>34</v>
      </c>
      <c r="G1559" t="s">
        <v>91</v>
      </c>
      <c r="H1559" t="s">
        <v>92</v>
      </c>
      <c r="I1559" t="s">
        <v>79</v>
      </c>
      <c r="J1559" t="s">
        <v>80</v>
      </c>
      <c r="K1559" t="s">
        <v>65</v>
      </c>
      <c r="L1559">
        <v>3</v>
      </c>
      <c r="M1559">
        <v>3000</v>
      </c>
      <c r="N1559">
        <v>10</v>
      </c>
      <c r="O1559">
        <v>8100</v>
      </c>
      <c r="P1559">
        <v>2300.67</v>
      </c>
      <c r="Q1559" t="s">
        <v>39</v>
      </c>
      <c r="R1559" t="s">
        <v>29</v>
      </c>
      <c r="S1559" t="s">
        <v>50</v>
      </c>
    </row>
    <row r="1560" spans="1:19" x14ac:dyDescent="0.3">
      <c r="A1560" t="s">
        <v>2602</v>
      </c>
      <c r="B1560" s="2">
        <v>45541</v>
      </c>
      <c r="D1560" t="s">
        <v>2360</v>
      </c>
      <c r="E1560" t="s">
        <v>2361</v>
      </c>
      <c r="F1560" t="s">
        <v>23</v>
      </c>
      <c r="G1560" t="s">
        <v>44</v>
      </c>
      <c r="H1560" t="s">
        <v>330</v>
      </c>
      <c r="I1560" t="s">
        <v>126</v>
      </c>
      <c r="J1560" t="s">
        <v>127</v>
      </c>
      <c r="K1560" t="s">
        <v>95</v>
      </c>
      <c r="L1560">
        <v>4</v>
      </c>
      <c r="M1560">
        <v>600</v>
      </c>
      <c r="N1560">
        <v>10</v>
      </c>
      <c r="O1560">
        <v>2160</v>
      </c>
      <c r="P1560">
        <v>620.04</v>
      </c>
      <c r="Q1560" t="s">
        <v>74</v>
      </c>
      <c r="R1560" t="s">
        <v>29</v>
      </c>
      <c r="S1560" t="s">
        <v>110</v>
      </c>
    </row>
    <row r="1561" spans="1:19" x14ac:dyDescent="0.3">
      <c r="A1561" t="s">
        <v>2603</v>
      </c>
      <c r="B1561" t="s">
        <v>2401</v>
      </c>
      <c r="C1561" t="s">
        <v>1468</v>
      </c>
      <c r="D1561" t="s">
        <v>570</v>
      </c>
      <c r="E1561" t="s">
        <v>571</v>
      </c>
      <c r="F1561" t="s">
        <v>34</v>
      </c>
      <c r="G1561" t="s">
        <v>44</v>
      </c>
      <c r="H1561" t="s">
        <v>161</v>
      </c>
      <c r="I1561" t="s">
        <v>93</v>
      </c>
      <c r="J1561" t="s">
        <v>94</v>
      </c>
      <c r="K1561" t="s">
        <v>95</v>
      </c>
      <c r="L1561">
        <v>1</v>
      </c>
      <c r="M1561">
        <v>1800</v>
      </c>
      <c r="N1561">
        <v>0</v>
      </c>
      <c r="O1561">
        <v>1800</v>
      </c>
      <c r="P1561">
        <v>566.41</v>
      </c>
      <c r="Q1561" t="s">
        <v>39</v>
      </c>
      <c r="R1561" t="s">
        <v>49</v>
      </c>
      <c r="S1561" t="s">
        <v>30</v>
      </c>
    </row>
    <row r="1562" spans="1:19" x14ac:dyDescent="0.3">
      <c r="A1562" t="s">
        <v>2604</v>
      </c>
      <c r="B1562" s="1">
        <v>45325</v>
      </c>
      <c r="C1562" s="2">
        <v>45333</v>
      </c>
      <c r="D1562" t="s">
        <v>531</v>
      </c>
      <c r="E1562" t="s">
        <v>532</v>
      </c>
      <c r="F1562" t="s">
        <v>23</v>
      </c>
      <c r="G1562" t="s">
        <v>44</v>
      </c>
      <c r="H1562" t="s">
        <v>161</v>
      </c>
      <c r="I1562" t="s">
        <v>71</v>
      </c>
      <c r="J1562" t="s">
        <v>72</v>
      </c>
      <c r="K1562" t="s">
        <v>73</v>
      </c>
      <c r="L1562">
        <v>3</v>
      </c>
      <c r="M1562">
        <v>3500</v>
      </c>
      <c r="N1562">
        <v>5</v>
      </c>
      <c r="O1562">
        <v>9975</v>
      </c>
      <c r="P1562">
        <v>3341.47</v>
      </c>
      <c r="Q1562" t="s">
        <v>28</v>
      </c>
      <c r="R1562" t="s">
        <v>29</v>
      </c>
      <c r="S1562" t="s">
        <v>30</v>
      </c>
    </row>
    <row r="1563" spans="1:19" x14ac:dyDescent="0.3">
      <c r="A1563" t="s">
        <v>2605</v>
      </c>
      <c r="B1563" s="1">
        <v>45594</v>
      </c>
      <c r="C1563" s="1">
        <v>45597</v>
      </c>
      <c r="D1563" t="s">
        <v>657</v>
      </c>
      <c r="E1563" t="s">
        <v>658</v>
      </c>
      <c r="F1563" t="s">
        <v>34</v>
      </c>
      <c r="G1563" t="s">
        <v>91</v>
      </c>
      <c r="H1563" t="s">
        <v>120</v>
      </c>
      <c r="I1563" t="s">
        <v>37</v>
      </c>
      <c r="J1563" t="s">
        <v>38</v>
      </c>
      <c r="K1563" t="s">
        <v>27</v>
      </c>
      <c r="L1563">
        <v>2</v>
      </c>
      <c r="M1563">
        <v>9500</v>
      </c>
      <c r="N1563">
        <v>5</v>
      </c>
      <c r="O1563">
        <v>18050</v>
      </c>
      <c r="P1563">
        <v>2604.9499999999998</v>
      </c>
      <c r="Q1563" t="s">
        <v>121</v>
      </c>
      <c r="R1563" t="s">
        <v>56</v>
      </c>
      <c r="S1563" t="s">
        <v>86</v>
      </c>
    </row>
    <row r="1564" spans="1:19" x14ac:dyDescent="0.3">
      <c r="A1564" t="s">
        <v>2606</v>
      </c>
      <c r="B1564" s="2">
        <v>45532</v>
      </c>
      <c r="C1564" s="1">
        <v>45533</v>
      </c>
      <c r="D1564" t="s">
        <v>871</v>
      </c>
      <c r="E1564" t="s">
        <v>872</v>
      </c>
      <c r="F1564" t="s">
        <v>34</v>
      </c>
      <c r="G1564" t="s">
        <v>61</v>
      </c>
      <c r="H1564" t="s">
        <v>78</v>
      </c>
      <c r="I1564" t="s">
        <v>37</v>
      </c>
      <c r="J1564" t="s">
        <v>38</v>
      </c>
      <c r="K1564" t="s">
        <v>27</v>
      </c>
      <c r="L1564">
        <v>2</v>
      </c>
      <c r="M1564">
        <v>9500</v>
      </c>
      <c r="N1564">
        <v>0</v>
      </c>
      <c r="O1564">
        <v>19000</v>
      </c>
      <c r="P1564">
        <v>4175.04</v>
      </c>
      <c r="Q1564" t="s">
        <v>66</v>
      </c>
      <c r="R1564" t="s">
        <v>49</v>
      </c>
      <c r="S1564" t="s">
        <v>40</v>
      </c>
    </row>
    <row r="1565" spans="1:19" x14ac:dyDescent="0.3">
      <c r="A1565" t="s">
        <v>2607</v>
      </c>
      <c r="B1565" s="1">
        <v>45980</v>
      </c>
      <c r="C1565" s="1">
        <v>45986</v>
      </c>
      <c r="D1565" t="s">
        <v>297</v>
      </c>
      <c r="E1565" t="s">
        <v>1110</v>
      </c>
      <c r="F1565" t="s">
        <v>23</v>
      </c>
      <c r="G1565" t="s">
        <v>91</v>
      </c>
      <c r="H1565" t="s">
        <v>177</v>
      </c>
      <c r="I1565" t="s">
        <v>63</v>
      </c>
      <c r="J1565" t="s">
        <v>64</v>
      </c>
      <c r="K1565" t="s">
        <v>65</v>
      </c>
      <c r="L1565">
        <v>4</v>
      </c>
      <c r="M1565">
        <v>25000</v>
      </c>
      <c r="N1565">
        <v>20</v>
      </c>
      <c r="O1565">
        <v>80000</v>
      </c>
      <c r="P1565">
        <v>9313.3799999999992</v>
      </c>
      <c r="Q1565" t="s">
        <v>39</v>
      </c>
      <c r="R1565" t="s">
        <v>49</v>
      </c>
      <c r="S1565" t="s">
        <v>86</v>
      </c>
    </row>
    <row r="1566" spans="1:19" x14ac:dyDescent="0.3">
      <c r="A1566" t="s">
        <v>2608</v>
      </c>
      <c r="B1566" s="1">
        <v>45667</v>
      </c>
      <c r="C1566" s="1">
        <v>45669</v>
      </c>
      <c r="D1566" t="s">
        <v>1588</v>
      </c>
      <c r="E1566" t="s">
        <v>2609</v>
      </c>
      <c r="F1566" t="s">
        <v>34</v>
      </c>
      <c r="G1566" t="s">
        <v>61</v>
      </c>
      <c r="H1566" t="s">
        <v>78</v>
      </c>
      <c r="I1566" t="s">
        <v>71</v>
      </c>
      <c r="J1566" t="s">
        <v>72</v>
      </c>
      <c r="K1566" t="s">
        <v>73</v>
      </c>
      <c r="L1566">
        <v>10</v>
      </c>
      <c r="M1566">
        <v>3500</v>
      </c>
      <c r="N1566">
        <v>0</v>
      </c>
      <c r="O1566">
        <v>35000</v>
      </c>
      <c r="P1566">
        <v>11072.65</v>
      </c>
      <c r="Q1566" t="s">
        <v>156</v>
      </c>
      <c r="R1566" t="s">
        <v>56</v>
      </c>
      <c r="S1566" t="s">
        <v>86</v>
      </c>
    </row>
    <row r="1567" spans="1:19" x14ac:dyDescent="0.3">
      <c r="A1567" t="s">
        <v>2610</v>
      </c>
      <c r="B1567" t="s">
        <v>2611</v>
      </c>
      <c r="C1567" s="2">
        <v>45809</v>
      </c>
      <c r="D1567" t="s">
        <v>343</v>
      </c>
      <c r="E1567" t="s">
        <v>369</v>
      </c>
      <c r="F1567" t="s">
        <v>34</v>
      </c>
      <c r="G1567" t="s">
        <v>44</v>
      </c>
      <c r="H1567" t="s">
        <v>45</v>
      </c>
      <c r="I1567" t="s">
        <v>79</v>
      </c>
      <c r="J1567" t="s">
        <v>80</v>
      </c>
      <c r="K1567" t="s">
        <v>65</v>
      </c>
      <c r="L1567">
        <v>1</v>
      </c>
      <c r="M1567">
        <v>3000</v>
      </c>
      <c r="N1567">
        <v>0</v>
      </c>
      <c r="O1567">
        <v>3000</v>
      </c>
      <c r="P1567">
        <v>916.24</v>
      </c>
      <c r="Q1567" t="s">
        <v>28</v>
      </c>
      <c r="R1567" t="s">
        <v>49</v>
      </c>
      <c r="S1567" t="s">
        <v>86</v>
      </c>
    </row>
    <row r="1568" spans="1:19" x14ac:dyDescent="0.3">
      <c r="A1568" t="s">
        <v>2612</v>
      </c>
      <c r="B1568" s="2">
        <v>45968</v>
      </c>
      <c r="C1568" s="1">
        <v>45973</v>
      </c>
      <c r="D1568" t="s">
        <v>596</v>
      </c>
      <c r="E1568" t="s">
        <v>1503</v>
      </c>
      <c r="F1568" t="s">
        <v>34</v>
      </c>
      <c r="G1568" t="s">
        <v>91</v>
      </c>
      <c r="H1568" t="s">
        <v>120</v>
      </c>
      <c r="I1568" t="s">
        <v>79</v>
      </c>
      <c r="J1568" t="s">
        <v>80</v>
      </c>
      <c r="K1568" t="s">
        <v>65</v>
      </c>
      <c r="L1568">
        <v>1</v>
      </c>
      <c r="M1568">
        <v>3000</v>
      </c>
      <c r="N1568">
        <v>20</v>
      </c>
      <c r="O1568">
        <v>2400</v>
      </c>
      <c r="P1568">
        <v>694.21</v>
      </c>
      <c r="Q1568" t="s">
        <v>66</v>
      </c>
      <c r="R1568" t="s">
        <v>56</v>
      </c>
      <c r="S1568" t="s">
        <v>86</v>
      </c>
    </row>
    <row r="1569" spans="1:19" x14ac:dyDescent="0.3">
      <c r="A1569" t="s">
        <v>2613</v>
      </c>
      <c r="B1569" s="1">
        <v>45429</v>
      </c>
      <c r="C1569" s="1">
        <v>45435</v>
      </c>
      <c r="D1569" t="s">
        <v>473</v>
      </c>
      <c r="E1569" t="s">
        <v>474</v>
      </c>
      <c r="F1569" t="s">
        <v>34</v>
      </c>
      <c r="G1569" t="s">
        <v>61</v>
      </c>
      <c r="I1569" t="s">
        <v>103</v>
      </c>
      <c r="J1569" t="s">
        <v>104</v>
      </c>
      <c r="K1569" t="s">
        <v>65</v>
      </c>
      <c r="L1569">
        <v>1</v>
      </c>
      <c r="M1569">
        <v>8000</v>
      </c>
      <c r="N1569">
        <v>15</v>
      </c>
      <c r="O1569">
        <v>6800</v>
      </c>
      <c r="P1569">
        <v>1491.32</v>
      </c>
      <c r="Q1569" t="s">
        <v>74</v>
      </c>
      <c r="R1569" t="s">
        <v>56</v>
      </c>
      <c r="S1569" t="s">
        <v>86</v>
      </c>
    </row>
    <row r="1570" spans="1:19" x14ac:dyDescent="0.3">
      <c r="A1570" t="s">
        <v>2614</v>
      </c>
      <c r="B1570" s="1">
        <v>45300</v>
      </c>
      <c r="C1570" s="1">
        <v>45307</v>
      </c>
      <c r="D1570" t="s">
        <v>554</v>
      </c>
      <c r="E1570" t="s">
        <v>555</v>
      </c>
      <c r="F1570" t="s">
        <v>55</v>
      </c>
      <c r="G1570" t="s">
        <v>61</v>
      </c>
      <c r="H1570" t="s">
        <v>62</v>
      </c>
      <c r="I1570" t="s">
        <v>25</v>
      </c>
      <c r="J1570" t="s">
        <v>26</v>
      </c>
      <c r="K1570" t="s">
        <v>27</v>
      </c>
      <c r="L1570">
        <v>10</v>
      </c>
      <c r="M1570">
        <v>7000</v>
      </c>
      <c r="N1570">
        <v>20</v>
      </c>
      <c r="O1570">
        <v>56000</v>
      </c>
      <c r="P1570">
        <v>10015.68</v>
      </c>
      <c r="Q1570" t="s">
        <v>39</v>
      </c>
      <c r="R1570" t="s">
        <v>29</v>
      </c>
      <c r="S1570" t="s">
        <v>110</v>
      </c>
    </row>
    <row r="1571" spans="1:19" x14ac:dyDescent="0.3">
      <c r="A1571" t="s">
        <v>2615</v>
      </c>
      <c r="B1571" s="1">
        <v>45660</v>
      </c>
      <c r="C1571" s="1">
        <v>45663</v>
      </c>
      <c r="D1571" t="s">
        <v>265</v>
      </c>
      <c r="E1571" t="s">
        <v>266</v>
      </c>
      <c r="F1571" t="s">
        <v>55</v>
      </c>
      <c r="G1571" t="s">
        <v>44</v>
      </c>
      <c r="H1571" t="s">
        <v>45</v>
      </c>
      <c r="I1571" t="s">
        <v>134</v>
      </c>
      <c r="J1571" t="s">
        <v>135</v>
      </c>
      <c r="K1571" t="s">
        <v>27</v>
      </c>
      <c r="L1571">
        <v>10</v>
      </c>
      <c r="M1571">
        <v>6000</v>
      </c>
      <c r="N1571">
        <v>0</v>
      </c>
      <c r="O1571">
        <v>60000</v>
      </c>
      <c r="P1571">
        <v>13548.39</v>
      </c>
      <c r="R1571" t="s">
        <v>49</v>
      </c>
      <c r="S1571" t="s">
        <v>30</v>
      </c>
    </row>
    <row r="1572" spans="1:19" x14ac:dyDescent="0.3">
      <c r="A1572" t="s">
        <v>2616</v>
      </c>
      <c r="B1572" s="2">
        <v>45643</v>
      </c>
      <c r="C1572" t="s">
        <v>2023</v>
      </c>
      <c r="D1572" t="s">
        <v>32</v>
      </c>
      <c r="E1572" t="s">
        <v>33</v>
      </c>
      <c r="F1572" t="s">
        <v>34</v>
      </c>
      <c r="G1572" t="s">
        <v>35</v>
      </c>
      <c r="H1572" t="s">
        <v>36</v>
      </c>
      <c r="I1572" t="s">
        <v>79</v>
      </c>
      <c r="J1572" t="s">
        <v>80</v>
      </c>
      <c r="K1572" t="s">
        <v>65</v>
      </c>
      <c r="L1572">
        <v>10</v>
      </c>
      <c r="M1572">
        <v>3000</v>
      </c>
      <c r="N1572">
        <v>0</v>
      </c>
      <c r="O1572">
        <v>30000</v>
      </c>
      <c r="P1572">
        <v>7753.15</v>
      </c>
      <c r="Q1572" t="s">
        <v>156</v>
      </c>
      <c r="R1572" t="s">
        <v>29</v>
      </c>
      <c r="S1572" t="s">
        <v>110</v>
      </c>
    </row>
    <row r="1573" spans="1:19" x14ac:dyDescent="0.3">
      <c r="A1573" t="s">
        <v>2617</v>
      </c>
      <c r="B1573" s="1">
        <v>45550</v>
      </c>
      <c r="C1573" s="1">
        <v>45552</v>
      </c>
      <c r="D1573" t="s">
        <v>575</v>
      </c>
      <c r="E1573" t="s">
        <v>836</v>
      </c>
      <c r="F1573" t="s">
        <v>34</v>
      </c>
      <c r="G1573" t="s">
        <v>91</v>
      </c>
      <c r="H1573" t="s">
        <v>120</v>
      </c>
      <c r="I1573" t="s">
        <v>79</v>
      </c>
      <c r="J1573" t="s">
        <v>80</v>
      </c>
      <c r="K1573" t="s">
        <v>65</v>
      </c>
      <c r="L1573">
        <v>5</v>
      </c>
      <c r="M1573">
        <v>3000</v>
      </c>
      <c r="N1573">
        <v>0</v>
      </c>
      <c r="O1573">
        <v>15000</v>
      </c>
      <c r="P1573">
        <v>3751.71</v>
      </c>
      <c r="Q1573" t="s">
        <v>66</v>
      </c>
      <c r="R1573" t="s">
        <v>56</v>
      </c>
      <c r="S1573" t="s">
        <v>86</v>
      </c>
    </row>
    <row r="1574" spans="1:19" x14ac:dyDescent="0.3">
      <c r="A1574" t="s">
        <v>2618</v>
      </c>
      <c r="B1574" s="1">
        <v>45465</v>
      </c>
      <c r="D1574" t="s">
        <v>1171</v>
      </c>
      <c r="E1574" t="s">
        <v>1172</v>
      </c>
      <c r="F1574" t="s">
        <v>34</v>
      </c>
      <c r="G1574" t="s">
        <v>35</v>
      </c>
      <c r="H1574" t="s">
        <v>85</v>
      </c>
      <c r="I1574" t="s">
        <v>93</v>
      </c>
      <c r="J1574" t="s">
        <v>94</v>
      </c>
      <c r="K1574" t="s">
        <v>95</v>
      </c>
      <c r="L1574">
        <v>3</v>
      </c>
      <c r="M1574">
        <v>1800</v>
      </c>
      <c r="N1574">
        <v>0</v>
      </c>
      <c r="O1574">
        <v>5400</v>
      </c>
      <c r="P1574">
        <v>1603</v>
      </c>
      <c r="Q1574" t="s">
        <v>66</v>
      </c>
      <c r="R1574" t="s">
        <v>56</v>
      </c>
      <c r="S1574" t="s">
        <v>50</v>
      </c>
    </row>
    <row r="1575" spans="1:19" x14ac:dyDescent="0.3">
      <c r="A1575" t="s">
        <v>2619</v>
      </c>
      <c r="B1575" s="2">
        <v>45619</v>
      </c>
      <c r="C1575" s="1">
        <v>45624</v>
      </c>
      <c r="D1575" t="s">
        <v>256</v>
      </c>
      <c r="E1575" t="s">
        <v>257</v>
      </c>
      <c r="F1575" t="s">
        <v>55</v>
      </c>
      <c r="G1575" t="s">
        <v>35</v>
      </c>
      <c r="H1575" t="s">
        <v>258</v>
      </c>
      <c r="I1575" t="s">
        <v>126</v>
      </c>
      <c r="J1575" t="s">
        <v>127</v>
      </c>
      <c r="K1575" t="s">
        <v>95</v>
      </c>
      <c r="L1575">
        <v>3</v>
      </c>
      <c r="M1575">
        <v>600</v>
      </c>
      <c r="N1575">
        <v>10</v>
      </c>
      <c r="O1575">
        <v>1620</v>
      </c>
      <c r="P1575">
        <v>564.41999999999996</v>
      </c>
      <c r="Q1575" t="s">
        <v>121</v>
      </c>
      <c r="R1575" t="s">
        <v>56</v>
      </c>
      <c r="S1575" t="s">
        <v>50</v>
      </c>
    </row>
    <row r="1576" spans="1:19" x14ac:dyDescent="0.3">
      <c r="A1576" t="s">
        <v>2620</v>
      </c>
      <c r="B1576" t="s">
        <v>2621</v>
      </c>
      <c r="C1576" s="1">
        <v>45622</v>
      </c>
      <c r="D1576" t="s">
        <v>425</v>
      </c>
      <c r="E1576" t="s">
        <v>426</v>
      </c>
      <c r="F1576" t="s">
        <v>34</v>
      </c>
      <c r="G1576" t="s">
        <v>61</v>
      </c>
      <c r="H1576" t="s">
        <v>125</v>
      </c>
      <c r="I1576" t="s">
        <v>147</v>
      </c>
      <c r="J1576" t="s">
        <v>148</v>
      </c>
      <c r="K1576" t="s">
        <v>611</v>
      </c>
      <c r="L1576">
        <v>4</v>
      </c>
      <c r="M1576">
        <v>250</v>
      </c>
      <c r="N1576">
        <v>0</v>
      </c>
      <c r="O1576">
        <v>1000</v>
      </c>
      <c r="P1576">
        <v>425.77</v>
      </c>
      <c r="Q1576" t="s">
        <v>121</v>
      </c>
      <c r="R1576" t="s">
        <v>49</v>
      </c>
      <c r="S1576" t="s">
        <v>50</v>
      </c>
    </row>
    <row r="1577" spans="1:19" x14ac:dyDescent="0.3">
      <c r="A1577" t="s">
        <v>2622</v>
      </c>
      <c r="B1577" s="1">
        <v>45542</v>
      </c>
      <c r="C1577" s="1">
        <v>45605</v>
      </c>
      <c r="D1577" t="s">
        <v>981</v>
      </c>
      <c r="E1577" t="s">
        <v>982</v>
      </c>
      <c r="F1577" t="s">
        <v>23</v>
      </c>
      <c r="G1577" t="s">
        <v>91</v>
      </c>
      <c r="H1577" t="s">
        <v>177</v>
      </c>
      <c r="I1577" t="s">
        <v>71</v>
      </c>
      <c r="J1577" t="s">
        <v>72</v>
      </c>
      <c r="K1577" t="s">
        <v>73</v>
      </c>
      <c r="L1577">
        <v>3</v>
      </c>
      <c r="M1577">
        <v>3500</v>
      </c>
      <c r="N1577">
        <v>20</v>
      </c>
      <c r="O1577">
        <v>8400</v>
      </c>
      <c r="P1577">
        <v>2843.39</v>
      </c>
      <c r="Q1577" t="s">
        <v>74</v>
      </c>
      <c r="R1577" t="s">
        <v>56</v>
      </c>
      <c r="S1577" t="s">
        <v>110</v>
      </c>
    </row>
    <row r="1578" spans="1:19" x14ac:dyDescent="0.3">
      <c r="A1578" t="s">
        <v>2623</v>
      </c>
      <c r="B1578" s="1">
        <v>45693</v>
      </c>
      <c r="C1578" s="2">
        <v>45701</v>
      </c>
      <c r="D1578" t="s">
        <v>1028</v>
      </c>
      <c r="E1578" t="s">
        <v>1029</v>
      </c>
      <c r="F1578" t="s">
        <v>34</v>
      </c>
      <c r="G1578" t="s">
        <v>91</v>
      </c>
      <c r="H1578" t="s">
        <v>120</v>
      </c>
      <c r="I1578" t="s">
        <v>103</v>
      </c>
      <c r="J1578" t="s">
        <v>104</v>
      </c>
      <c r="K1578" t="s">
        <v>65</v>
      </c>
      <c r="L1578">
        <v>2</v>
      </c>
      <c r="M1578">
        <v>8000</v>
      </c>
      <c r="N1578">
        <v>0</v>
      </c>
      <c r="O1578">
        <v>16000</v>
      </c>
      <c r="P1578">
        <v>4291.97</v>
      </c>
      <c r="Q1578" t="s">
        <v>39</v>
      </c>
      <c r="R1578" t="s">
        <v>49</v>
      </c>
      <c r="S1578" t="s">
        <v>50</v>
      </c>
    </row>
    <row r="1579" spans="1:19" x14ac:dyDescent="0.3">
      <c r="A1579" t="s">
        <v>2624</v>
      </c>
      <c r="B1579" s="1">
        <v>45509</v>
      </c>
      <c r="C1579" s="1">
        <v>45512</v>
      </c>
      <c r="D1579" t="s">
        <v>682</v>
      </c>
      <c r="E1579" t="s">
        <v>683</v>
      </c>
      <c r="F1579" t="s">
        <v>55</v>
      </c>
      <c r="G1579" t="s">
        <v>61</v>
      </c>
      <c r="H1579" t="s">
        <v>125</v>
      </c>
      <c r="I1579" t="s">
        <v>79</v>
      </c>
      <c r="J1579" t="s">
        <v>80</v>
      </c>
      <c r="K1579" t="s">
        <v>65</v>
      </c>
      <c r="L1579">
        <v>4</v>
      </c>
      <c r="M1579">
        <v>3000</v>
      </c>
      <c r="N1579">
        <v>0</v>
      </c>
      <c r="O1579">
        <v>12000</v>
      </c>
      <c r="P1579">
        <v>3875.78</v>
      </c>
      <c r="Q1579" t="s">
        <v>66</v>
      </c>
      <c r="R1579" t="s">
        <v>29</v>
      </c>
      <c r="S1579" t="s">
        <v>30</v>
      </c>
    </row>
    <row r="1580" spans="1:19" x14ac:dyDescent="0.3">
      <c r="A1580" t="s">
        <v>2625</v>
      </c>
      <c r="B1580" s="2">
        <v>45590</v>
      </c>
      <c r="C1580" s="1">
        <v>45596</v>
      </c>
      <c r="D1580" t="s">
        <v>395</v>
      </c>
      <c r="E1580" t="s">
        <v>396</v>
      </c>
      <c r="F1580" t="s">
        <v>55</v>
      </c>
      <c r="G1580" t="s">
        <v>44</v>
      </c>
      <c r="H1580" t="s">
        <v>161</v>
      </c>
      <c r="I1580" t="s">
        <v>71</v>
      </c>
      <c r="J1580" t="s">
        <v>72</v>
      </c>
      <c r="K1580" t="s">
        <v>73</v>
      </c>
      <c r="L1580">
        <v>1</v>
      </c>
      <c r="M1580">
        <v>3500</v>
      </c>
      <c r="N1580">
        <v>20</v>
      </c>
      <c r="O1580">
        <v>2800</v>
      </c>
      <c r="P1580">
        <v>854.23</v>
      </c>
      <c r="Q1580" t="s">
        <v>121</v>
      </c>
      <c r="R1580" t="s">
        <v>56</v>
      </c>
      <c r="S1580" t="s">
        <v>30</v>
      </c>
    </row>
    <row r="1581" spans="1:19" x14ac:dyDescent="0.3">
      <c r="A1581" t="s">
        <v>2626</v>
      </c>
      <c r="B1581" s="1">
        <v>45336</v>
      </c>
      <c r="C1581" s="1">
        <v>45344</v>
      </c>
      <c r="D1581" t="s">
        <v>524</v>
      </c>
      <c r="E1581" t="s">
        <v>525</v>
      </c>
      <c r="F1581" t="s">
        <v>34</v>
      </c>
      <c r="G1581" t="s">
        <v>35</v>
      </c>
      <c r="H1581" t="s">
        <v>187</v>
      </c>
      <c r="I1581" t="s">
        <v>71</v>
      </c>
      <c r="J1581" t="s">
        <v>72</v>
      </c>
      <c r="K1581" t="s">
        <v>73</v>
      </c>
      <c r="L1581">
        <v>3</v>
      </c>
      <c r="M1581">
        <v>3500</v>
      </c>
      <c r="N1581">
        <v>0</v>
      </c>
      <c r="O1581">
        <v>262500</v>
      </c>
      <c r="P1581">
        <v>3624.77</v>
      </c>
      <c r="Q1581" t="s">
        <v>66</v>
      </c>
      <c r="R1581" t="s">
        <v>56</v>
      </c>
      <c r="S1581" t="s">
        <v>50</v>
      </c>
    </row>
    <row r="1582" spans="1:19" x14ac:dyDescent="0.3">
      <c r="A1582" t="s">
        <v>2627</v>
      </c>
      <c r="B1582" s="1">
        <v>45877</v>
      </c>
      <c r="C1582" t="s">
        <v>1613</v>
      </c>
      <c r="D1582" t="s">
        <v>847</v>
      </c>
      <c r="E1582" t="s">
        <v>848</v>
      </c>
      <c r="F1582" t="s">
        <v>23</v>
      </c>
      <c r="G1582" t="s">
        <v>44</v>
      </c>
      <c r="I1582" t="s">
        <v>46</v>
      </c>
      <c r="J1582" t="s">
        <v>47</v>
      </c>
      <c r="K1582" t="s">
        <v>48</v>
      </c>
      <c r="L1582">
        <v>2</v>
      </c>
      <c r="M1582">
        <v>180</v>
      </c>
      <c r="N1582">
        <v>15</v>
      </c>
      <c r="O1582">
        <v>306</v>
      </c>
      <c r="P1582">
        <v>136.63</v>
      </c>
      <c r="Q1582" t="s">
        <v>74</v>
      </c>
      <c r="R1582" t="s">
        <v>29</v>
      </c>
      <c r="S1582" t="s">
        <v>86</v>
      </c>
    </row>
    <row r="1583" spans="1:19" x14ac:dyDescent="0.3">
      <c r="A1583" t="s">
        <v>2628</v>
      </c>
      <c r="B1583" s="1">
        <v>45685</v>
      </c>
      <c r="C1583" s="1">
        <v>45690</v>
      </c>
      <c r="D1583" t="s">
        <v>244</v>
      </c>
      <c r="E1583" t="s">
        <v>2629</v>
      </c>
      <c r="F1583" t="s">
        <v>23</v>
      </c>
      <c r="G1583" t="s">
        <v>61</v>
      </c>
      <c r="H1583" t="s">
        <v>62</v>
      </c>
      <c r="I1583" t="s">
        <v>71</v>
      </c>
      <c r="J1583" t="s">
        <v>72</v>
      </c>
      <c r="K1583" t="s">
        <v>1746</v>
      </c>
      <c r="L1583">
        <v>5</v>
      </c>
      <c r="M1583">
        <v>3500</v>
      </c>
      <c r="N1583">
        <v>5</v>
      </c>
      <c r="O1583">
        <v>16625</v>
      </c>
      <c r="P1583">
        <v>5030.5200000000004</v>
      </c>
      <c r="Q1583" t="s">
        <v>156</v>
      </c>
      <c r="R1583" t="s">
        <v>56</v>
      </c>
      <c r="S1583" t="s">
        <v>86</v>
      </c>
    </row>
    <row r="1584" spans="1:19" x14ac:dyDescent="0.3">
      <c r="A1584" t="s">
        <v>2630</v>
      </c>
      <c r="B1584" s="1">
        <v>45425</v>
      </c>
      <c r="C1584" s="1">
        <v>45431</v>
      </c>
      <c r="D1584" t="s">
        <v>539</v>
      </c>
      <c r="E1584" t="s">
        <v>540</v>
      </c>
      <c r="F1584" t="s">
        <v>34</v>
      </c>
      <c r="G1584" t="s">
        <v>61</v>
      </c>
      <c r="H1584" t="s">
        <v>211</v>
      </c>
      <c r="I1584" t="s">
        <v>134</v>
      </c>
      <c r="J1584" t="s">
        <v>135</v>
      </c>
      <c r="K1584" t="s">
        <v>27</v>
      </c>
      <c r="L1584">
        <v>3</v>
      </c>
      <c r="M1584">
        <v>6000</v>
      </c>
      <c r="N1584">
        <v>10</v>
      </c>
      <c r="O1584">
        <v>16200</v>
      </c>
      <c r="P1584">
        <v>3595.08</v>
      </c>
      <c r="Q1584" t="s">
        <v>121</v>
      </c>
      <c r="R1584" t="s">
        <v>49</v>
      </c>
      <c r="S1584" t="s">
        <v>86</v>
      </c>
    </row>
    <row r="1585" spans="1:19" x14ac:dyDescent="0.3">
      <c r="A1585" t="s">
        <v>2631</v>
      </c>
      <c r="B1585" s="1">
        <v>45953</v>
      </c>
      <c r="C1585" s="1">
        <v>45956</v>
      </c>
      <c r="D1585" t="s">
        <v>203</v>
      </c>
      <c r="E1585" t="s">
        <v>204</v>
      </c>
      <c r="F1585" t="s">
        <v>23</v>
      </c>
      <c r="G1585" t="s">
        <v>44</v>
      </c>
      <c r="H1585" t="s">
        <v>45</v>
      </c>
      <c r="I1585" t="s">
        <v>126</v>
      </c>
      <c r="J1585" t="s">
        <v>127</v>
      </c>
      <c r="K1585" t="s">
        <v>95</v>
      </c>
      <c r="L1585">
        <v>3</v>
      </c>
      <c r="M1585">
        <v>600</v>
      </c>
      <c r="N1585">
        <v>0</v>
      </c>
      <c r="O1585">
        <v>1800</v>
      </c>
      <c r="Q1585" t="s">
        <v>66</v>
      </c>
      <c r="R1585" t="s">
        <v>49</v>
      </c>
      <c r="S1585" t="s">
        <v>110</v>
      </c>
    </row>
    <row r="1586" spans="1:19" x14ac:dyDescent="0.3">
      <c r="A1586" t="s">
        <v>2632</v>
      </c>
      <c r="B1586" s="1">
        <v>45303</v>
      </c>
      <c r="C1586" s="1">
        <v>45635</v>
      </c>
      <c r="D1586" t="s">
        <v>336</v>
      </c>
      <c r="E1586" t="s">
        <v>337</v>
      </c>
      <c r="F1586" t="s">
        <v>34</v>
      </c>
      <c r="G1586" t="s">
        <v>61</v>
      </c>
      <c r="H1586" t="s">
        <v>211</v>
      </c>
      <c r="I1586" t="s">
        <v>71</v>
      </c>
      <c r="J1586" t="s">
        <v>72</v>
      </c>
      <c r="K1586" t="s">
        <v>73</v>
      </c>
      <c r="L1586">
        <v>1</v>
      </c>
      <c r="M1586">
        <v>3500</v>
      </c>
      <c r="N1586">
        <v>20</v>
      </c>
      <c r="O1586">
        <v>2800</v>
      </c>
      <c r="Q1586" t="s">
        <v>28</v>
      </c>
      <c r="R1586" t="s">
        <v>56</v>
      </c>
      <c r="S1586" t="s">
        <v>40</v>
      </c>
    </row>
    <row r="1587" spans="1:19" x14ac:dyDescent="0.3">
      <c r="A1587" t="s">
        <v>2633</v>
      </c>
      <c r="B1587" s="1">
        <v>45519</v>
      </c>
      <c r="C1587" s="2">
        <v>45524</v>
      </c>
      <c r="D1587" t="s">
        <v>203</v>
      </c>
      <c r="E1587" t="s">
        <v>204</v>
      </c>
      <c r="F1587" t="s">
        <v>23</v>
      </c>
      <c r="G1587" t="s">
        <v>44</v>
      </c>
      <c r="H1587" t="s">
        <v>45</v>
      </c>
      <c r="I1587" t="s">
        <v>126</v>
      </c>
      <c r="J1587" t="s">
        <v>127</v>
      </c>
      <c r="K1587" t="s">
        <v>95</v>
      </c>
      <c r="L1587">
        <v>1</v>
      </c>
      <c r="M1587">
        <v>600</v>
      </c>
      <c r="N1587">
        <v>0</v>
      </c>
      <c r="O1587">
        <v>600</v>
      </c>
      <c r="P1587">
        <v>235.29</v>
      </c>
      <c r="Q1587" t="s">
        <v>39</v>
      </c>
      <c r="R1587" t="s">
        <v>56</v>
      </c>
      <c r="S1587" t="s">
        <v>110</v>
      </c>
    </row>
    <row r="1588" spans="1:19" x14ac:dyDescent="0.3">
      <c r="A1588" t="s">
        <v>2634</v>
      </c>
      <c r="B1588" s="1">
        <v>45926</v>
      </c>
      <c r="C1588" s="2">
        <v>45928</v>
      </c>
      <c r="D1588" t="s">
        <v>123</v>
      </c>
      <c r="E1588" t="s">
        <v>124</v>
      </c>
      <c r="F1588" t="s">
        <v>34</v>
      </c>
      <c r="G1588" t="s">
        <v>61</v>
      </c>
      <c r="H1588" t="s">
        <v>125</v>
      </c>
      <c r="I1588" t="s">
        <v>93</v>
      </c>
      <c r="J1588" t="s">
        <v>94</v>
      </c>
      <c r="K1588" t="s">
        <v>95</v>
      </c>
      <c r="L1588">
        <v>1</v>
      </c>
      <c r="M1588">
        <v>1800</v>
      </c>
      <c r="N1588">
        <v>15</v>
      </c>
      <c r="O1588">
        <v>1530</v>
      </c>
      <c r="P1588">
        <v>542.84</v>
      </c>
      <c r="Q1588" t="s">
        <v>66</v>
      </c>
      <c r="R1588" t="s">
        <v>56</v>
      </c>
      <c r="S1588" t="s">
        <v>110</v>
      </c>
    </row>
    <row r="1589" spans="1:19" x14ac:dyDescent="0.3">
      <c r="A1589" t="s">
        <v>2635</v>
      </c>
      <c r="B1589" s="1">
        <v>45812</v>
      </c>
      <c r="C1589" s="1">
        <v>45814</v>
      </c>
      <c r="D1589" t="s">
        <v>1019</v>
      </c>
      <c r="E1589" t="s">
        <v>1020</v>
      </c>
      <c r="F1589" t="s">
        <v>55</v>
      </c>
      <c r="G1589" t="s">
        <v>35</v>
      </c>
      <c r="H1589" t="s">
        <v>187</v>
      </c>
      <c r="I1589" t="s">
        <v>79</v>
      </c>
      <c r="J1589" t="s">
        <v>80</v>
      </c>
      <c r="K1589" t="s">
        <v>65</v>
      </c>
      <c r="L1589">
        <v>10</v>
      </c>
      <c r="M1589">
        <v>3000</v>
      </c>
      <c r="N1589">
        <v>5</v>
      </c>
      <c r="O1589">
        <v>28500</v>
      </c>
      <c r="P1589">
        <v>6700.59</v>
      </c>
      <c r="Q1589" t="s">
        <v>28</v>
      </c>
      <c r="R1589" t="s">
        <v>56</v>
      </c>
      <c r="S1589" t="s">
        <v>40</v>
      </c>
    </row>
    <row r="1590" spans="1:19" x14ac:dyDescent="0.3">
      <c r="A1590" t="s">
        <v>2636</v>
      </c>
      <c r="B1590" s="1">
        <v>45378</v>
      </c>
      <c r="C1590" s="2">
        <v>45386</v>
      </c>
      <c r="D1590" t="s">
        <v>2290</v>
      </c>
      <c r="E1590" t="s">
        <v>2291</v>
      </c>
      <c r="F1590" t="s">
        <v>55</v>
      </c>
      <c r="G1590" t="s">
        <v>35</v>
      </c>
      <c r="H1590" t="s">
        <v>85</v>
      </c>
      <c r="I1590" t="s">
        <v>79</v>
      </c>
      <c r="J1590" t="s">
        <v>80</v>
      </c>
      <c r="K1590" t="s">
        <v>65</v>
      </c>
      <c r="L1590">
        <v>1</v>
      </c>
      <c r="M1590">
        <v>3000</v>
      </c>
      <c r="N1590">
        <v>20</v>
      </c>
      <c r="O1590">
        <v>2400</v>
      </c>
      <c r="P1590">
        <v>623.77</v>
      </c>
      <c r="Q1590" t="s">
        <v>156</v>
      </c>
      <c r="R1590" t="s">
        <v>56</v>
      </c>
      <c r="S1590" t="s">
        <v>30</v>
      </c>
    </row>
    <row r="1591" spans="1:19" x14ac:dyDescent="0.3">
      <c r="A1591" t="s">
        <v>2637</v>
      </c>
      <c r="B1591" t="s">
        <v>2638</v>
      </c>
      <c r="C1591" s="2">
        <v>45861</v>
      </c>
      <c r="D1591" t="s">
        <v>269</v>
      </c>
      <c r="E1591" t="s">
        <v>270</v>
      </c>
      <c r="F1591" t="s">
        <v>23</v>
      </c>
      <c r="G1591" t="s">
        <v>35</v>
      </c>
      <c r="H1591" t="s">
        <v>36</v>
      </c>
      <c r="I1591" t="s">
        <v>147</v>
      </c>
      <c r="J1591" t="s">
        <v>148</v>
      </c>
      <c r="K1591" t="s">
        <v>48</v>
      </c>
      <c r="L1591">
        <v>1</v>
      </c>
      <c r="M1591">
        <v>250</v>
      </c>
      <c r="N1591">
        <v>0</v>
      </c>
      <c r="O1591">
        <v>250</v>
      </c>
      <c r="P1591">
        <v>73.180000000000007</v>
      </c>
      <c r="Q1591" t="s">
        <v>28</v>
      </c>
      <c r="R1591" t="s">
        <v>56</v>
      </c>
      <c r="S1591" t="s">
        <v>86</v>
      </c>
    </row>
    <row r="1592" spans="1:19" x14ac:dyDescent="0.3">
      <c r="A1592" t="s">
        <v>2639</v>
      </c>
      <c r="B1592" s="1">
        <v>45661</v>
      </c>
      <c r="C1592" s="2">
        <v>45669</v>
      </c>
      <c r="D1592" t="s">
        <v>1506</v>
      </c>
      <c r="E1592" t="s">
        <v>1507</v>
      </c>
      <c r="F1592" t="s">
        <v>55</v>
      </c>
      <c r="G1592" t="s">
        <v>61</v>
      </c>
      <c r="H1592" t="s">
        <v>78</v>
      </c>
      <c r="I1592" t="s">
        <v>37</v>
      </c>
      <c r="J1592" t="s">
        <v>38</v>
      </c>
      <c r="K1592" t="s">
        <v>27</v>
      </c>
      <c r="L1592">
        <v>1</v>
      </c>
      <c r="M1592">
        <v>9500</v>
      </c>
      <c r="N1592">
        <v>20</v>
      </c>
      <c r="O1592">
        <v>7600</v>
      </c>
      <c r="P1592">
        <v>1439.91</v>
      </c>
      <c r="Q1592" t="s">
        <v>39</v>
      </c>
      <c r="R1592" t="s">
        <v>56</v>
      </c>
      <c r="S1592" t="s">
        <v>86</v>
      </c>
    </row>
    <row r="1593" spans="1:19" x14ac:dyDescent="0.3">
      <c r="A1593" t="s">
        <v>2640</v>
      </c>
      <c r="B1593" s="1">
        <v>45372</v>
      </c>
      <c r="C1593" s="1">
        <v>45375</v>
      </c>
      <c r="D1593" t="s">
        <v>1152</v>
      </c>
      <c r="E1593" t="s">
        <v>1153</v>
      </c>
      <c r="F1593" t="s">
        <v>55</v>
      </c>
      <c r="G1593" t="s">
        <v>61</v>
      </c>
      <c r="H1593" t="s">
        <v>211</v>
      </c>
      <c r="I1593" t="s">
        <v>46</v>
      </c>
      <c r="J1593" t="s">
        <v>47</v>
      </c>
      <c r="K1593" t="s">
        <v>48</v>
      </c>
      <c r="L1593">
        <v>4</v>
      </c>
      <c r="M1593">
        <v>180</v>
      </c>
      <c r="N1593">
        <v>20</v>
      </c>
      <c r="O1593">
        <v>576</v>
      </c>
      <c r="P1593">
        <v>203.62</v>
      </c>
      <c r="Q1593" t="s">
        <v>156</v>
      </c>
      <c r="R1593" t="s">
        <v>49</v>
      </c>
      <c r="S1593" t="s">
        <v>50</v>
      </c>
    </row>
    <row r="1594" spans="1:19" x14ac:dyDescent="0.3">
      <c r="A1594" t="s">
        <v>2641</v>
      </c>
      <c r="B1594" s="1">
        <v>45371</v>
      </c>
      <c r="C1594" s="2">
        <v>45372</v>
      </c>
      <c r="D1594" t="s">
        <v>748</v>
      </c>
      <c r="E1594" t="s">
        <v>749</v>
      </c>
      <c r="F1594" t="s">
        <v>55</v>
      </c>
      <c r="G1594" t="s">
        <v>91</v>
      </c>
      <c r="H1594" t="s">
        <v>92</v>
      </c>
      <c r="I1594" t="s">
        <v>79</v>
      </c>
      <c r="J1594" t="s">
        <v>80</v>
      </c>
      <c r="K1594" t="s">
        <v>65</v>
      </c>
      <c r="L1594">
        <v>1</v>
      </c>
      <c r="M1594">
        <v>3000</v>
      </c>
      <c r="N1594">
        <v>20</v>
      </c>
      <c r="O1594">
        <v>2400</v>
      </c>
      <c r="P1594">
        <v>533.13</v>
      </c>
      <c r="Q1594" t="s">
        <v>156</v>
      </c>
      <c r="R1594" t="s">
        <v>49</v>
      </c>
      <c r="S1594" t="s">
        <v>40</v>
      </c>
    </row>
    <row r="1595" spans="1:19" x14ac:dyDescent="0.3">
      <c r="A1595" t="s">
        <v>2642</v>
      </c>
      <c r="B1595" s="1">
        <v>46007</v>
      </c>
      <c r="C1595" s="1">
        <v>46011</v>
      </c>
      <c r="D1595" t="s">
        <v>381</v>
      </c>
      <c r="E1595" t="s">
        <v>382</v>
      </c>
      <c r="F1595" t="s">
        <v>55</v>
      </c>
      <c r="G1595" t="s">
        <v>61</v>
      </c>
      <c r="H1595" t="s">
        <v>78</v>
      </c>
      <c r="I1595" t="s">
        <v>37</v>
      </c>
      <c r="J1595" t="s">
        <v>38</v>
      </c>
      <c r="K1595" t="s">
        <v>27</v>
      </c>
      <c r="L1595">
        <v>1</v>
      </c>
      <c r="M1595">
        <v>9500</v>
      </c>
      <c r="N1595">
        <v>0</v>
      </c>
      <c r="O1595">
        <v>9500</v>
      </c>
      <c r="P1595">
        <v>1924.01</v>
      </c>
      <c r="Q1595" t="s">
        <v>156</v>
      </c>
      <c r="R1595" t="s">
        <v>56</v>
      </c>
      <c r="S1595" t="s">
        <v>40</v>
      </c>
    </row>
    <row r="1596" spans="1:19" x14ac:dyDescent="0.3">
      <c r="A1596" t="s">
        <v>2643</v>
      </c>
      <c r="B1596" s="1">
        <v>45725</v>
      </c>
      <c r="C1596" s="1">
        <v>45731</v>
      </c>
      <c r="D1596" t="s">
        <v>362</v>
      </c>
      <c r="E1596" t="s">
        <v>363</v>
      </c>
      <c r="F1596" t="s">
        <v>55</v>
      </c>
      <c r="G1596" t="s">
        <v>35</v>
      </c>
      <c r="H1596" t="s">
        <v>36</v>
      </c>
      <c r="I1596" t="s">
        <v>37</v>
      </c>
      <c r="J1596" t="s">
        <v>38</v>
      </c>
      <c r="K1596" t="s">
        <v>366</v>
      </c>
      <c r="L1596">
        <v>4</v>
      </c>
      <c r="M1596">
        <v>9500</v>
      </c>
      <c r="N1596">
        <v>0</v>
      </c>
      <c r="O1596">
        <v>38000</v>
      </c>
      <c r="P1596">
        <v>7213.64</v>
      </c>
      <c r="R1596" t="s">
        <v>56</v>
      </c>
      <c r="S1596" t="s">
        <v>110</v>
      </c>
    </row>
    <row r="1597" spans="1:19" x14ac:dyDescent="0.3">
      <c r="A1597" t="s">
        <v>2644</v>
      </c>
      <c r="B1597" s="1">
        <v>45879</v>
      </c>
      <c r="C1597" s="2">
        <v>45886</v>
      </c>
      <c r="D1597" t="s">
        <v>285</v>
      </c>
      <c r="E1597" t="s">
        <v>286</v>
      </c>
      <c r="F1597" t="s">
        <v>23</v>
      </c>
      <c r="G1597" t="s">
        <v>61</v>
      </c>
      <c r="H1597" t="s">
        <v>78</v>
      </c>
      <c r="I1597" t="s">
        <v>63</v>
      </c>
      <c r="J1597" t="s">
        <v>64</v>
      </c>
      <c r="K1597" t="s">
        <v>65</v>
      </c>
      <c r="L1597">
        <v>3</v>
      </c>
      <c r="M1597">
        <v>25000</v>
      </c>
      <c r="N1597">
        <v>5</v>
      </c>
      <c r="O1597">
        <v>71250</v>
      </c>
      <c r="P1597">
        <v>11310.63</v>
      </c>
      <c r="Q1597" t="s">
        <v>74</v>
      </c>
      <c r="R1597" t="s">
        <v>29</v>
      </c>
      <c r="S1597" t="s">
        <v>110</v>
      </c>
    </row>
    <row r="1598" spans="1:19" x14ac:dyDescent="0.3">
      <c r="A1598" t="s">
        <v>2645</v>
      </c>
      <c r="B1598" s="2">
        <v>45895</v>
      </c>
      <c r="C1598" s="1">
        <v>45898</v>
      </c>
      <c r="D1598" t="s">
        <v>990</v>
      </c>
      <c r="E1598" t="s">
        <v>991</v>
      </c>
      <c r="F1598" t="s">
        <v>23</v>
      </c>
      <c r="G1598" t="s">
        <v>61</v>
      </c>
      <c r="H1598" t="s">
        <v>62</v>
      </c>
      <c r="I1598" t="s">
        <v>71</v>
      </c>
      <c r="J1598" t="s">
        <v>72</v>
      </c>
      <c r="K1598" t="s">
        <v>73</v>
      </c>
      <c r="L1598">
        <v>1</v>
      </c>
      <c r="M1598">
        <v>3500</v>
      </c>
      <c r="N1598">
        <v>15</v>
      </c>
      <c r="O1598">
        <v>2975</v>
      </c>
      <c r="Q1598" t="s">
        <v>74</v>
      </c>
      <c r="R1598" t="s">
        <v>49</v>
      </c>
      <c r="S1598" t="s">
        <v>30</v>
      </c>
    </row>
    <row r="1599" spans="1:19" x14ac:dyDescent="0.3">
      <c r="A1599" t="s">
        <v>2646</v>
      </c>
      <c r="B1599" s="2">
        <v>45761</v>
      </c>
      <c r="C1599" s="1">
        <v>45767</v>
      </c>
      <c r="D1599" t="s">
        <v>498</v>
      </c>
      <c r="E1599" t="s">
        <v>499</v>
      </c>
      <c r="F1599" t="s">
        <v>55</v>
      </c>
      <c r="G1599" t="s">
        <v>91</v>
      </c>
      <c r="H1599" t="s">
        <v>120</v>
      </c>
      <c r="I1599" t="s">
        <v>79</v>
      </c>
      <c r="J1599" t="s">
        <v>80</v>
      </c>
      <c r="K1599" t="s">
        <v>65</v>
      </c>
      <c r="L1599">
        <v>5</v>
      </c>
      <c r="M1599">
        <v>3000</v>
      </c>
      <c r="N1599">
        <v>0</v>
      </c>
      <c r="O1599">
        <v>15000</v>
      </c>
      <c r="P1599">
        <v>3157.73</v>
      </c>
      <c r="Q1599" t="s">
        <v>156</v>
      </c>
      <c r="R1599" t="s">
        <v>56</v>
      </c>
      <c r="S1599" t="s">
        <v>110</v>
      </c>
    </row>
    <row r="1600" spans="1:19" x14ac:dyDescent="0.3">
      <c r="A1600" t="s">
        <v>2647</v>
      </c>
      <c r="B1600" s="1">
        <v>45435</v>
      </c>
      <c r="C1600" t="s">
        <v>1197</v>
      </c>
      <c r="D1600" t="s">
        <v>1090</v>
      </c>
      <c r="E1600" t="s">
        <v>2648</v>
      </c>
      <c r="F1600" t="s">
        <v>23</v>
      </c>
      <c r="G1600" t="s">
        <v>61</v>
      </c>
      <c r="H1600" t="s">
        <v>78</v>
      </c>
      <c r="I1600" t="s">
        <v>114</v>
      </c>
      <c r="J1600" t="s">
        <v>115</v>
      </c>
      <c r="K1600" t="s">
        <v>65</v>
      </c>
      <c r="L1600">
        <v>1</v>
      </c>
      <c r="M1600">
        <v>55000</v>
      </c>
      <c r="N1600">
        <v>10</v>
      </c>
      <c r="O1600">
        <v>49500</v>
      </c>
      <c r="P1600">
        <v>8002.45</v>
      </c>
      <c r="Q1600" t="s">
        <v>121</v>
      </c>
      <c r="R1600" t="s">
        <v>56</v>
      </c>
      <c r="S1600" t="s">
        <v>50</v>
      </c>
    </row>
    <row r="1601" spans="1:19" x14ac:dyDescent="0.3">
      <c r="A1601" t="s">
        <v>2649</v>
      </c>
      <c r="B1601" s="1">
        <v>45605</v>
      </c>
      <c r="C1601" s="1">
        <v>45635</v>
      </c>
      <c r="D1601" t="s">
        <v>2650</v>
      </c>
      <c r="E1601" t="s">
        <v>2651</v>
      </c>
      <c r="F1601" t="s">
        <v>55</v>
      </c>
      <c r="G1601" t="s">
        <v>61</v>
      </c>
      <c r="H1601" t="s">
        <v>78</v>
      </c>
      <c r="I1601" t="s">
        <v>25</v>
      </c>
      <c r="J1601" t="s">
        <v>26</v>
      </c>
      <c r="K1601" t="s">
        <v>27</v>
      </c>
      <c r="L1601">
        <v>3</v>
      </c>
      <c r="M1601">
        <v>7000</v>
      </c>
      <c r="N1601">
        <v>5</v>
      </c>
      <c r="O1601">
        <v>19950</v>
      </c>
      <c r="P1601">
        <v>4302.3500000000004</v>
      </c>
      <c r="Q1601" t="s">
        <v>74</v>
      </c>
      <c r="R1601" t="s">
        <v>49</v>
      </c>
      <c r="S1601" t="s">
        <v>50</v>
      </c>
    </row>
    <row r="1602" spans="1:19" x14ac:dyDescent="0.3">
      <c r="A1602" t="s">
        <v>2652</v>
      </c>
      <c r="B1602" s="1">
        <v>45419</v>
      </c>
      <c r="C1602" s="1">
        <v>45423</v>
      </c>
      <c r="D1602" t="s">
        <v>805</v>
      </c>
      <c r="E1602" t="s">
        <v>806</v>
      </c>
      <c r="F1602" t="s">
        <v>34</v>
      </c>
      <c r="G1602" t="s">
        <v>61</v>
      </c>
      <c r="H1602" t="s">
        <v>78</v>
      </c>
      <c r="I1602" t="s">
        <v>147</v>
      </c>
      <c r="J1602" t="s">
        <v>148</v>
      </c>
      <c r="K1602" t="s">
        <v>48</v>
      </c>
      <c r="L1602">
        <v>1</v>
      </c>
      <c r="M1602">
        <v>250</v>
      </c>
      <c r="N1602">
        <v>20</v>
      </c>
      <c r="O1602">
        <v>200</v>
      </c>
      <c r="P1602">
        <v>69</v>
      </c>
      <c r="Q1602" t="s">
        <v>28</v>
      </c>
      <c r="R1602" t="s">
        <v>56</v>
      </c>
      <c r="S1602" t="s">
        <v>50</v>
      </c>
    </row>
    <row r="1603" spans="1:19" x14ac:dyDescent="0.3">
      <c r="A1603" t="s">
        <v>2653</v>
      </c>
      <c r="B1603" t="s">
        <v>2654</v>
      </c>
      <c r="C1603" s="1">
        <v>45736</v>
      </c>
      <c r="D1603" t="s">
        <v>531</v>
      </c>
      <c r="E1603" t="s">
        <v>532</v>
      </c>
      <c r="F1603" t="s">
        <v>23</v>
      </c>
      <c r="G1603" t="s">
        <v>44</v>
      </c>
      <c r="H1603" t="s">
        <v>161</v>
      </c>
      <c r="I1603" t="s">
        <v>147</v>
      </c>
      <c r="J1603" t="s">
        <v>148</v>
      </c>
      <c r="K1603" t="s">
        <v>48</v>
      </c>
      <c r="L1603">
        <v>1</v>
      </c>
      <c r="M1603">
        <v>250</v>
      </c>
      <c r="N1603">
        <v>5</v>
      </c>
      <c r="O1603">
        <v>237.5</v>
      </c>
      <c r="P1603">
        <v>86.74</v>
      </c>
      <c r="Q1603" t="s">
        <v>39</v>
      </c>
      <c r="R1603" t="s">
        <v>56</v>
      </c>
      <c r="S1603" t="s">
        <v>110</v>
      </c>
    </row>
    <row r="1604" spans="1:19" x14ac:dyDescent="0.3">
      <c r="A1604" t="s">
        <v>2655</v>
      </c>
      <c r="B1604" s="2">
        <v>45310</v>
      </c>
      <c r="C1604" t="s">
        <v>1674</v>
      </c>
      <c r="D1604" t="s">
        <v>819</v>
      </c>
      <c r="E1604" t="s">
        <v>820</v>
      </c>
      <c r="F1604" t="s">
        <v>34</v>
      </c>
      <c r="G1604" t="s">
        <v>61</v>
      </c>
      <c r="H1604" t="s">
        <v>62</v>
      </c>
      <c r="I1604" t="s">
        <v>37</v>
      </c>
      <c r="J1604" t="s">
        <v>38</v>
      </c>
      <c r="K1604" t="s">
        <v>27</v>
      </c>
      <c r="L1604">
        <v>1</v>
      </c>
      <c r="M1604">
        <v>9500</v>
      </c>
      <c r="N1604">
        <v>0</v>
      </c>
      <c r="O1604">
        <v>9500</v>
      </c>
      <c r="P1604">
        <v>2052.89</v>
      </c>
      <c r="Q1604" t="s">
        <v>28</v>
      </c>
      <c r="R1604" t="s">
        <v>29</v>
      </c>
      <c r="S1604" t="s">
        <v>50</v>
      </c>
    </row>
    <row r="1605" spans="1:19" x14ac:dyDescent="0.3">
      <c r="A1605" t="s">
        <v>2656</v>
      </c>
      <c r="B1605" s="1">
        <v>45750</v>
      </c>
      <c r="C1605" s="1">
        <v>45965</v>
      </c>
      <c r="D1605" t="s">
        <v>1588</v>
      </c>
      <c r="E1605" t="s">
        <v>1589</v>
      </c>
      <c r="F1605" t="s">
        <v>34</v>
      </c>
      <c r="G1605" t="s">
        <v>61</v>
      </c>
      <c r="H1605" t="s">
        <v>78</v>
      </c>
      <c r="I1605" t="s">
        <v>79</v>
      </c>
      <c r="J1605" t="s">
        <v>80</v>
      </c>
      <c r="K1605" t="s">
        <v>65</v>
      </c>
      <c r="L1605">
        <v>1</v>
      </c>
      <c r="M1605">
        <v>3000</v>
      </c>
      <c r="N1605">
        <v>10</v>
      </c>
      <c r="O1605">
        <v>2700</v>
      </c>
      <c r="P1605">
        <v>766.19</v>
      </c>
      <c r="Q1605" t="s">
        <v>156</v>
      </c>
      <c r="R1605" t="s">
        <v>56</v>
      </c>
      <c r="S1605" t="s">
        <v>86</v>
      </c>
    </row>
    <row r="1606" spans="1:19" x14ac:dyDescent="0.3">
      <c r="A1606" t="s">
        <v>2657</v>
      </c>
      <c r="B1606" s="1">
        <v>45809</v>
      </c>
      <c r="C1606" s="1">
        <v>45839</v>
      </c>
      <c r="D1606" t="s">
        <v>1855</v>
      </c>
      <c r="E1606" t="s">
        <v>1856</v>
      </c>
      <c r="F1606" t="s">
        <v>55</v>
      </c>
      <c r="G1606" t="s">
        <v>35</v>
      </c>
      <c r="H1606" t="s">
        <v>85</v>
      </c>
      <c r="I1606" t="s">
        <v>79</v>
      </c>
      <c r="J1606" t="s">
        <v>80</v>
      </c>
      <c r="K1606" t="s">
        <v>65</v>
      </c>
      <c r="L1606">
        <v>2</v>
      </c>
      <c r="M1606">
        <v>3000</v>
      </c>
      <c r="N1606">
        <v>0</v>
      </c>
      <c r="O1606">
        <v>6000</v>
      </c>
      <c r="P1606">
        <v>1851.38</v>
      </c>
      <c r="Q1606" t="s">
        <v>156</v>
      </c>
      <c r="R1606" t="s">
        <v>56</v>
      </c>
      <c r="S1606" t="s">
        <v>86</v>
      </c>
    </row>
    <row r="1607" spans="1:19" x14ac:dyDescent="0.3">
      <c r="A1607" t="s">
        <v>2658</v>
      </c>
      <c r="B1607" s="1">
        <v>45296</v>
      </c>
      <c r="C1607" s="2">
        <v>45302</v>
      </c>
      <c r="D1607" t="s">
        <v>557</v>
      </c>
      <c r="E1607" t="s">
        <v>558</v>
      </c>
      <c r="F1607" t="s">
        <v>23</v>
      </c>
      <c r="G1607" t="s">
        <v>61</v>
      </c>
      <c r="H1607" t="s">
        <v>62</v>
      </c>
      <c r="I1607" t="s">
        <v>25</v>
      </c>
      <c r="J1607" t="s">
        <v>26</v>
      </c>
      <c r="K1607" t="s">
        <v>27</v>
      </c>
      <c r="L1607">
        <v>5</v>
      </c>
      <c r="M1607">
        <v>7000</v>
      </c>
      <c r="N1607">
        <v>15</v>
      </c>
      <c r="O1607">
        <v>29750</v>
      </c>
      <c r="P1607">
        <v>6711.6</v>
      </c>
      <c r="Q1607" t="s">
        <v>121</v>
      </c>
      <c r="R1607" t="s">
        <v>49</v>
      </c>
      <c r="S1607" t="s">
        <v>50</v>
      </c>
    </row>
    <row r="1608" spans="1:19" x14ac:dyDescent="0.3">
      <c r="A1608" t="s">
        <v>2659</v>
      </c>
      <c r="B1608" s="1">
        <v>45901</v>
      </c>
      <c r="C1608" s="2">
        <v>45673</v>
      </c>
      <c r="D1608" t="s">
        <v>220</v>
      </c>
      <c r="E1608" t="s">
        <v>221</v>
      </c>
      <c r="F1608" t="s">
        <v>34</v>
      </c>
      <c r="G1608" t="s">
        <v>44</v>
      </c>
      <c r="H1608" t="s">
        <v>161</v>
      </c>
      <c r="I1608" t="s">
        <v>114</v>
      </c>
      <c r="J1608" t="s">
        <v>115</v>
      </c>
      <c r="K1608" t="s">
        <v>65</v>
      </c>
      <c r="L1608">
        <v>4</v>
      </c>
      <c r="M1608">
        <v>55000</v>
      </c>
      <c r="N1608">
        <v>20</v>
      </c>
      <c r="O1608">
        <v>176000</v>
      </c>
      <c r="P1608">
        <v>30666.74</v>
      </c>
      <c r="Q1608" t="s">
        <v>121</v>
      </c>
      <c r="R1608" t="s">
        <v>56</v>
      </c>
      <c r="S1608" t="s">
        <v>40</v>
      </c>
    </row>
    <row r="1609" spans="1:19" x14ac:dyDescent="0.3">
      <c r="A1609" t="s">
        <v>2660</v>
      </c>
      <c r="B1609" s="1">
        <v>45332</v>
      </c>
      <c r="C1609" s="2">
        <v>45568</v>
      </c>
      <c r="D1609" t="s">
        <v>539</v>
      </c>
      <c r="E1609" t="s">
        <v>540</v>
      </c>
      <c r="F1609" t="s">
        <v>34</v>
      </c>
      <c r="G1609" t="s">
        <v>61</v>
      </c>
      <c r="H1609" t="s">
        <v>211</v>
      </c>
      <c r="I1609" t="s">
        <v>79</v>
      </c>
      <c r="J1609" t="s">
        <v>80</v>
      </c>
      <c r="K1609" t="s">
        <v>65</v>
      </c>
      <c r="L1609">
        <v>5</v>
      </c>
      <c r="M1609">
        <v>3000</v>
      </c>
      <c r="N1609">
        <v>5</v>
      </c>
      <c r="O1609">
        <v>14250</v>
      </c>
      <c r="P1609">
        <v>4187.8100000000004</v>
      </c>
      <c r="Q1609" t="s">
        <v>121</v>
      </c>
      <c r="R1609" t="s">
        <v>49</v>
      </c>
      <c r="S1609" t="s">
        <v>86</v>
      </c>
    </row>
    <row r="1610" spans="1:19" x14ac:dyDescent="0.3">
      <c r="A1610" t="s">
        <v>2661</v>
      </c>
      <c r="B1610" s="2">
        <v>45634</v>
      </c>
      <c r="C1610" s="2">
        <v>45641</v>
      </c>
      <c r="D1610" t="s">
        <v>209</v>
      </c>
      <c r="E1610" t="s">
        <v>210</v>
      </c>
      <c r="F1610" t="s">
        <v>34</v>
      </c>
      <c r="G1610" t="s">
        <v>61</v>
      </c>
      <c r="H1610" t="s">
        <v>211</v>
      </c>
      <c r="I1610" t="s">
        <v>37</v>
      </c>
      <c r="J1610" t="s">
        <v>38</v>
      </c>
      <c r="K1610" t="s">
        <v>27</v>
      </c>
      <c r="L1610">
        <v>4</v>
      </c>
      <c r="M1610">
        <v>9500</v>
      </c>
      <c r="N1610">
        <v>0</v>
      </c>
      <c r="O1610">
        <v>38000</v>
      </c>
      <c r="P1610">
        <v>7462.25</v>
      </c>
      <c r="Q1610" t="s">
        <v>74</v>
      </c>
      <c r="R1610" t="s">
        <v>49</v>
      </c>
      <c r="S1610" t="s">
        <v>40</v>
      </c>
    </row>
    <row r="1611" spans="1:19" x14ac:dyDescent="0.3">
      <c r="A1611" t="s">
        <v>2662</v>
      </c>
      <c r="B1611" s="1">
        <v>45417</v>
      </c>
      <c r="C1611" s="1">
        <v>45422</v>
      </c>
      <c r="D1611" t="s">
        <v>314</v>
      </c>
      <c r="E1611" t="s">
        <v>315</v>
      </c>
      <c r="F1611" t="s">
        <v>55</v>
      </c>
      <c r="G1611" t="s">
        <v>44</v>
      </c>
      <c r="H1611" t="s">
        <v>161</v>
      </c>
      <c r="I1611" t="s">
        <v>46</v>
      </c>
      <c r="J1611" t="s">
        <v>47</v>
      </c>
      <c r="K1611" t="s">
        <v>48</v>
      </c>
      <c r="L1611">
        <v>2</v>
      </c>
      <c r="M1611">
        <v>180</v>
      </c>
      <c r="N1611">
        <v>10</v>
      </c>
      <c r="O1611">
        <v>324</v>
      </c>
      <c r="P1611">
        <v>141.62</v>
      </c>
      <c r="Q1611" t="s">
        <v>28</v>
      </c>
      <c r="R1611" t="s">
        <v>56</v>
      </c>
      <c r="S1611" t="s">
        <v>110</v>
      </c>
    </row>
    <row r="1612" spans="1:19" x14ac:dyDescent="0.3">
      <c r="A1612" t="s">
        <v>2663</v>
      </c>
      <c r="B1612" s="1">
        <v>45506</v>
      </c>
      <c r="C1612" s="2">
        <v>45508</v>
      </c>
      <c r="D1612" t="s">
        <v>643</v>
      </c>
      <c r="E1612" t="s">
        <v>644</v>
      </c>
      <c r="F1612" t="s">
        <v>34</v>
      </c>
      <c r="G1612" t="s">
        <v>61</v>
      </c>
      <c r="H1612" t="s">
        <v>78</v>
      </c>
      <c r="I1612" t="s">
        <v>71</v>
      </c>
      <c r="J1612" t="s">
        <v>72</v>
      </c>
      <c r="K1612" t="s">
        <v>73</v>
      </c>
      <c r="L1612">
        <v>2</v>
      </c>
      <c r="M1612">
        <v>3500</v>
      </c>
      <c r="N1612">
        <v>0</v>
      </c>
      <c r="O1612">
        <v>7000</v>
      </c>
      <c r="P1612">
        <v>2079.94</v>
      </c>
      <c r="Q1612" t="s">
        <v>28</v>
      </c>
      <c r="R1612" t="s">
        <v>56</v>
      </c>
      <c r="S1612" t="s">
        <v>40</v>
      </c>
    </row>
    <row r="1613" spans="1:19" x14ac:dyDescent="0.3">
      <c r="A1613" t="s">
        <v>2664</v>
      </c>
      <c r="B1613" s="1">
        <v>45478</v>
      </c>
      <c r="C1613" s="1">
        <v>45485</v>
      </c>
      <c r="D1613" t="s">
        <v>1506</v>
      </c>
      <c r="E1613" t="s">
        <v>1507</v>
      </c>
      <c r="F1613" t="s">
        <v>55</v>
      </c>
      <c r="G1613" t="s">
        <v>61</v>
      </c>
      <c r="H1613" t="s">
        <v>78</v>
      </c>
      <c r="I1613" t="s">
        <v>63</v>
      </c>
      <c r="J1613" t="s">
        <v>64</v>
      </c>
      <c r="K1613" t="s">
        <v>65</v>
      </c>
      <c r="L1613">
        <v>2</v>
      </c>
      <c r="M1613">
        <v>25000</v>
      </c>
      <c r="N1613">
        <v>0</v>
      </c>
      <c r="O1613">
        <v>50000</v>
      </c>
      <c r="P1613">
        <v>6612.14</v>
      </c>
      <c r="Q1613" t="s">
        <v>66</v>
      </c>
      <c r="R1613" t="s">
        <v>49</v>
      </c>
      <c r="S1613" t="s">
        <v>40</v>
      </c>
    </row>
    <row r="1614" spans="1:19" x14ac:dyDescent="0.3">
      <c r="A1614" t="s">
        <v>2665</v>
      </c>
      <c r="B1614" s="1">
        <v>45767</v>
      </c>
      <c r="C1614" s="1">
        <v>45775</v>
      </c>
      <c r="D1614" t="s">
        <v>639</v>
      </c>
      <c r="E1614" t="s">
        <v>2281</v>
      </c>
      <c r="F1614" t="s">
        <v>55</v>
      </c>
      <c r="G1614" t="s">
        <v>35</v>
      </c>
      <c r="H1614" t="s">
        <v>36</v>
      </c>
      <c r="I1614" t="s">
        <v>147</v>
      </c>
      <c r="J1614" t="s">
        <v>148</v>
      </c>
      <c r="K1614" t="s">
        <v>364</v>
      </c>
      <c r="L1614">
        <v>10</v>
      </c>
      <c r="M1614">
        <v>250</v>
      </c>
      <c r="N1614">
        <v>20</v>
      </c>
      <c r="O1614">
        <v>2000</v>
      </c>
      <c r="P1614">
        <v>847.41</v>
      </c>
      <c r="Q1614" t="s">
        <v>121</v>
      </c>
      <c r="R1614" t="s">
        <v>56</v>
      </c>
      <c r="S1614" t="s">
        <v>86</v>
      </c>
    </row>
    <row r="1615" spans="1:19" x14ac:dyDescent="0.3">
      <c r="A1615" t="s">
        <v>2666</v>
      </c>
      <c r="B1615" s="1">
        <v>45843</v>
      </c>
      <c r="C1615" s="1">
        <v>45785</v>
      </c>
      <c r="D1615" t="s">
        <v>1659</v>
      </c>
      <c r="E1615" t="s">
        <v>1660</v>
      </c>
      <c r="F1615" t="s">
        <v>34</v>
      </c>
      <c r="G1615" t="s">
        <v>44</v>
      </c>
      <c r="H1615" t="s">
        <v>24</v>
      </c>
      <c r="I1615" t="s">
        <v>25</v>
      </c>
      <c r="J1615" t="s">
        <v>26</v>
      </c>
      <c r="K1615" t="s">
        <v>27</v>
      </c>
      <c r="L1615">
        <v>2</v>
      </c>
      <c r="M1615">
        <v>7000</v>
      </c>
      <c r="N1615">
        <v>0</v>
      </c>
      <c r="O1615">
        <v>14000</v>
      </c>
      <c r="P1615">
        <v>2600.0500000000002</v>
      </c>
      <c r="Q1615" t="s">
        <v>156</v>
      </c>
      <c r="R1615" t="s">
        <v>29</v>
      </c>
      <c r="S1615" t="s">
        <v>86</v>
      </c>
    </row>
    <row r="1616" spans="1:19" x14ac:dyDescent="0.3">
      <c r="A1616" t="s">
        <v>2667</v>
      </c>
      <c r="B1616" s="2">
        <v>45436</v>
      </c>
      <c r="C1616" s="2">
        <v>45438</v>
      </c>
      <c r="D1616" t="s">
        <v>400</v>
      </c>
      <c r="E1616" t="s">
        <v>401</v>
      </c>
      <c r="F1616" t="s">
        <v>34</v>
      </c>
      <c r="G1616" t="s">
        <v>44</v>
      </c>
      <c r="H1616" t="s">
        <v>24</v>
      </c>
      <c r="I1616" t="s">
        <v>71</v>
      </c>
      <c r="J1616" t="s">
        <v>72</v>
      </c>
      <c r="K1616" t="s">
        <v>73</v>
      </c>
      <c r="L1616">
        <v>2</v>
      </c>
      <c r="M1616">
        <v>3500</v>
      </c>
      <c r="N1616">
        <v>0</v>
      </c>
      <c r="O1616">
        <v>7000</v>
      </c>
      <c r="P1616">
        <v>2034.51</v>
      </c>
      <c r="Q1616" t="s">
        <v>74</v>
      </c>
      <c r="R1616" t="s">
        <v>49</v>
      </c>
      <c r="S1616" t="s">
        <v>30</v>
      </c>
    </row>
    <row r="1617" spans="1:19" x14ac:dyDescent="0.3">
      <c r="A1617" t="s">
        <v>2668</v>
      </c>
      <c r="B1617" s="1">
        <v>45721</v>
      </c>
      <c r="C1617" s="1">
        <v>45787</v>
      </c>
      <c r="D1617" t="s">
        <v>1028</v>
      </c>
      <c r="E1617" t="s">
        <v>1029</v>
      </c>
      <c r="F1617" t="s">
        <v>34</v>
      </c>
      <c r="G1617" t="s">
        <v>91</v>
      </c>
      <c r="H1617" t="s">
        <v>120</v>
      </c>
      <c r="I1617" t="s">
        <v>114</v>
      </c>
      <c r="J1617" t="s">
        <v>115</v>
      </c>
      <c r="K1617" t="s">
        <v>65</v>
      </c>
      <c r="M1617">
        <v>55000</v>
      </c>
      <c r="N1617">
        <v>0</v>
      </c>
      <c r="O1617">
        <v>55000</v>
      </c>
      <c r="P1617">
        <v>8794.3700000000008</v>
      </c>
      <c r="Q1617" t="s">
        <v>156</v>
      </c>
      <c r="R1617" t="s">
        <v>29</v>
      </c>
      <c r="S1617" t="s">
        <v>30</v>
      </c>
    </row>
    <row r="1618" spans="1:19" x14ac:dyDescent="0.3">
      <c r="A1618" t="s">
        <v>2669</v>
      </c>
      <c r="B1618" s="1">
        <v>45345</v>
      </c>
      <c r="C1618" s="1">
        <v>45346</v>
      </c>
      <c r="D1618" t="s">
        <v>1402</v>
      </c>
      <c r="E1618" t="s">
        <v>1403</v>
      </c>
      <c r="F1618" t="s">
        <v>23</v>
      </c>
      <c r="G1618" t="s">
        <v>91</v>
      </c>
      <c r="H1618" t="s">
        <v>177</v>
      </c>
      <c r="I1618" t="s">
        <v>25</v>
      </c>
      <c r="J1618" t="s">
        <v>26</v>
      </c>
      <c r="K1618" t="s">
        <v>27</v>
      </c>
      <c r="L1618">
        <v>1</v>
      </c>
      <c r="M1618">
        <v>7000</v>
      </c>
      <c r="N1618">
        <v>0</v>
      </c>
      <c r="O1618">
        <v>7000</v>
      </c>
      <c r="P1618">
        <v>1662.57</v>
      </c>
      <c r="R1618" t="s">
        <v>49</v>
      </c>
      <c r="S1618" t="s">
        <v>86</v>
      </c>
    </row>
    <row r="1619" spans="1:19" x14ac:dyDescent="0.3">
      <c r="A1619" t="s">
        <v>2670</v>
      </c>
      <c r="B1619" t="s">
        <v>1096</v>
      </c>
      <c r="C1619" s="1">
        <v>45472</v>
      </c>
      <c r="D1619" t="s">
        <v>491</v>
      </c>
      <c r="E1619" t="s">
        <v>492</v>
      </c>
      <c r="F1619" t="s">
        <v>34</v>
      </c>
      <c r="G1619" t="s">
        <v>44</v>
      </c>
      <c r="H1619" t="s">
        <v>330</v>
      </c>
      <c r="I1619" t="s">
        <v>147</v>
      </c>
      <c r="J1619" t="s">
        <v>148</v>
      </c>
      <c r="K1619" t="s">
        <v>48</v>
      </c>
      <c r="L1619">
        <v>3</v>
      </c>
      <c r="M1619">
        <v>250</v>
      </c>
      <c r="N1619">
        <v>15</v>
      </c>
      <c r="O1619">
        <v>637.5</v>
      </c>
      <c r="P1619">
        <v>203.82</v>
      </c>
      <c r="Q1619" t="s">
        <v>66</v>
      </c>
      <c r="R1619" t="s">
        <v>49</v>
      </c>
      <c r="S1619" t="s">
        <v>50</v>
      </c>
    </row>
    <row r="1620" spans="1:19" x14ac:dyDescent="0.3">
      <c r="A1620" t="s">
        <v>2671</v>
      </c>
      <c r="B1620" s="2">
        <v>45434</v>
      </c>
      <c r="C1620" s="2">
        <v>45441</v>
      </c>
      <c r="D1620" t="s">
        <v>403</v>
      </c>
      <c r="E1620" t="s">
        <v>404</v>
      </c>
      <c r="F1620" t="s">
        <v>55</v>
      </c>
      <c r="G1620" t="s">
        <v>35</v>
      </c>
      <c r="H1620" t="s">
        <v>36</v>
      </c>
      <c r="I1620" t="s">
        <v>114</v>
      </c>
      <c r="J1620" t="s">
        <v>115</v>
      </c>
      <c r="K1620" t="s">
        <v>65</v>
      </c>
      <c r="L1620">
        <v>1</v>
      </c>
      <c r="M1620">
        <v>55000</v>
      </c>
      <c r="N1620">
        <v>0</v>
      </c>
      <c r="O1620">
        <v>55000</v>
      </c>
      <c r="P1620">
        <v>9180.0400000000009</v>
      </c>
      <c r="Q1620" t="s">
        <v>28</v>
      </c>
      <c r="R1620" t="s">
        <v>29</v>
      </c>
      <c r="S1620" t="s">
        <v>30</v>
      </c>
    </row>
    <row r="1621" spans="1:19" x14ac:dyDescent="0.3">
      <c r="A1621" t="s">
        <v>2672</v>
      </c>
      <c r="B1621" s="1">
        <v>45614</v>
      </c>
      <c r="C1621" s="1">
        <v>45621</v>
      </c>
      <c r="D1621" t="s">
        <v>1048</v>
      </c>
      <c r="E1621" t="s">
        <v>1049</v>
      </c>
      <c r="F1621" t="s">
        <v>34</v>
      </c>
      <c r="G1621" t="s">
        <v>61</v>
      </c>
      <c r="H1621" t="s">
        <v>125</v>
      </c>
      <c r="I1621" t="s">
        <v>37</v>
      </c>
      <c r="J1621" t="s">
        <v>38</v>
      </c>
      <c r="K1621" t="s">
        <v>27</v>
      </c>
      <c r="L1621">
        <v>3</v>
      </c>
      <c r="M1621">
        <v>9500</v>
      </c>
      <c r="N1621">
        <v>0</v>
      </c>
      <c r="O1621">
        <v>28500</v>
      </c>
      <c r="P1621">
        <v>4680.68</v>
      </c>
      <c r="Q1621" t="s">
        <v>74</v>
      </c>
      <c r="R1621" t="s">
        <v>29</v>
      </c>
      <c r="S1621" t="s">
        <v>50</v>
      </c>
    </row>
    <row r="1622" spans="1:19" x14ac:dyDescent="0.3">
      <c r="A1622" t="s">
        <v>2673</v>
      </c>
      <c r="B1622" s="2">
        <v>45420</v>
      </c>
      <c r="C1622" s="2">
        <v>45424</v>
      </c>
      <c r="D1622" t="s">
        <v>265</v>
      </c>
      <c r="E1622" t="s">
        <v>266</v>
      </c>
      <c r="F1622" t="s">
        <v>55</v>
      </c>
      <c r="G1622" t="s">
        <v>44</v>
      </c>
      <c r="H1622" t="s">
        <v>45</v>
      </c>
      <c r="I1622" t="s">
        <v>46</v>
      </c>
      <c r="J1622" t="s">
        <v>47</v>
      </c>
      <c r="K1622" t="s">
        <v>48</v>
      </c>
      <c r="L1622">
        <v>1</v>
      </c>
      <c r="M1622">
        <v>180</v>
      </c>
      <c r="N1622">
        <v>10</v>
      </c>
      <c r="O1622">
        <v>162</v>
      </c>
      <c r="P1622">
        <v>79.03</v>
      </c>
      <c r="Q1622" t="s">
        <v>74</v>
      </c>
      <c r="R1622" t="s">
        <v>56</v>
      </c>
      <c r="S1622" t="s">
        <v>30</v>
      </c>
    </row>
    <row r="1623" spans="1:19" x14ac:dyDescent="0.3">
      <c r="A1623" t="s">
        <v>2674</v>
      </c>
      <c r="B1623" s="2">
        <v>45867</v>
      </c>
      <c r="C1623" s="1">
        <v>45869</v>
      </c>
      <c r="D1623" t="s">
        <v>392</v>
      </c>
      <c r="E1623" t="s">
        <v>393</v>
      </c>
      <c r="F1623" t="s">
        <v>55</v>
      </c>
      <c r="G1623" t="s">
        <v>91</v>
      </c>
      <c r="H1623" t="s">
        <v>92</v>
      </c>
      <c r="I1623" t="s">
        <v>37</v>
      </c>
      <c r="J1623" t="s">
        <v>38</v>
      </c>
      <c r="K1623" t="s">
        <v>27</v>
      </c>
      <c r="L1623">
        <v>2</v>
      </c>
      <c r="M1623">
        <v>9500</v>
      </c>
      <c r="N1623">
        <v>20</v>
      </c>
      <c r="O1623">
        <v>15200</v>
      </c>
      <c r="P1623">
        <v>3281.73</v>
      </c>
      <c r="Q1623" t="s">
        <v>66</v>
      </c>
      <c r="R1623" t="s">
        <v>56</v>
      </c>
      <c r="S1623" t="s">
        <v>110</v>
      </c>
    </row>
    <row r="1624" spans="1:19" x14ac:dyDescent="0.3">
      <c r="A1624" t="s">
        <v>2675</v>
      </c>
      <c r="B1624" s="2">
        <v>45841</v>
      </c>
      <c r="C1624" s="1">
        <v>45784</v>
      </c>
      <c r="D1624" t="s">
        <v>272</v>
      </c>
      <c r="E1624" t="s">
        <v>273</v>
      </c>
      <c r="F1624" t="s">
        <v>23</v>
      </c>
      <c r="G1624" t="s">
        <v>35</v>
      </c>
      <c r="H1624" t="s">
        <v>258</v>
      </c>
      <c r="I1624" t="s">
        <v>93</v>
      </c>
      <c r="J1624" t="s">
        <v>94</v>
      </c>
      <c r="K1624" t="s">
        <v>95</v>
      </c>
      <c r="L1624">
        <v>2</v>
      </c>
      <c r="M1624">
        <v>1800</v>
      </c>
      <c r="N1624">
        <v>15</v>
      </c>
      <c r="O1624">
        <v>76500</v>
      </c>
      <c r="P1624">
        <v>1086.82</v>
      </c>
      <c r="Q1624" t="s">
        <v>28</v>
      </c>
      <c r="R1624" t="s">
        <v>49</v>
      </c>
      <c r="S1624" t="s">
        <v>86</v>
      </c>
    </row>
    <row r="1625" spans="1:19" x14ac:dyDescent="0.3">
      <c r="A1625" t="s">
        <v>2676</v>
      </c>
      <c r="B1625" s="1">
        <v>45747</v>
      </c>
      <c r="C1625" s="2">
        <v>45749</v>
      </c>
      <c r="D1625" t="s">
        <v>1609</v>
      </c>
      <c r="E1625" t="s">
        <v>1610</v>
      </c>
      <c r="F1625" t="s">
        <v>55</v>
      </c>
      <c r="G1625" t="s">
        <v>44</v>
      </c>
      <c r="H1625" t="s">
        <v>24</v>
      </c>
      <c r="I1625" t="s">
        <v>46</v>
      </c>
      <c r="J1625" t="s">
        <v>47</v>
      </c>
      <c r="K1625" t="s">
        <v>48</v>
      </c>
      <c r="L1625">
        <v>2</v>
      </c>
      <c r="M1625">
        <v>180</v>
      </c>
      <c r="N1625">
        <v>0</v>
      </c>
      <c r="O1625">
        <v>360</v>
      </c>
      <c r="P1625">
        <v>140.93</v>
      </c>
      <c r="Q1625" t="s">
        <v>66</v>
      </c>
      <c r="R1625" t="s">
        <v>49</v>
      </c>
      <c r="S1625" t="s">
        <v>86</v>
      </c>
    </row>
    <row r="1626" spans="1:19" x14ac:dyDescent="0.3">
      <c r="A1626" t="s">
        <v>2677</v>
      </c>
      <c r="B1626" s="1">
        <v>45727</v>
      </c>
      <c r="C1626" s="1">
        <v>45730</v>
      </c>
      <c r="D1626" t="s">
        <v>403</v>
      </c>
      <c r="E1626" t="s">
        <v>404</v>
      </c>
      <c r="F1626" t="s">
        <v>55</v>
      </c>
      <c r="G1626" t="s">
        <v>35</v>
      </c>
      <c r="H1626" t="s">
        <v>36</v>
      </c>
      <c r="I1626" t="s">
        <v>93</v>
      </c>
      <c r="J1626" t="s">
        <v>94</v>
      </c>
      <c r="K1626" t="s">
        <v>95</v>
      </c>
      <c r="L1626">
        <v>10</v>
      </c>
      <c r="M1626">
        <v>1800</v>
      </c>
      <c r="N1626">
        <v>10</v>
      </c>
      <c r="O1626">
        <v>16200</v>
      </c>
      <c r="P1626">
        <v>5135.87</v>
      </c>
      <c r="Q1626" t="s">
        <v>156</v>
      </c>
      <c r="R1626" t="s">
        <v>49</v>
      </c>
      <c r="S1626" t="s">
        <v>86</v>
      </c>
    </row>
    <row r="1627" spans="1:19" x14ac:dyDescent="0.3">
      <c r="A1627" t="s">
        <v>2678</v>
      </c>
      <c r="B1627" s="1">
        <v>45960</v>
      </c>
      <c r="C1627" s="1">
        <v>45967</v>
      </c>
      <c r="D1627" t="s">
        <v>787</v>
      </c>
      <c r="E1627" t="s">
        <v>788</v>
      </c>
      <c r="F1627" t="s">
        <v>34</v>
      </c>
      <c r="G1627" t="s">
        <v>35</v>
      </c>
      <c r="H1627" t="s">
        <v>36</v>
      </c>
      <c r="I1627" t="s">
        <v>103</v>
      </c>
      <c r="J1627" t="s">
        <v>104</v>
      </c>
      <c r="K1627" t="s">
        <v>65</v>
      </c>
      <c r="L1627">
        <v>1</v>
      </c>
      <c r="M1627">
        <v>8000</v>
      </c>
      <c r="N1627">
        <v>10</v>
      </c>
      <c r="O1627">
        <v>7200</v>
      </c>
      <c r="P1627">
        <v>1865.13</v>
      </c>
      <c r="Q1627" t="s">
        <v>74</v>
      </c>
      <c r="R1627" t="s">
        <v>56</v>
      </c>
      <c r="S1627" t="s">
        <v>86</v>
      </c>
    </row>
    <row r="1628" spans="1:19" x14ac:dyDescent="0.3">
      <c r="A1628" t="s">
        <v>2679</v>
      </c>
      <c r="B1628" s="1">
        <v>45940</v>
      </c>
      <c r="C1628" s="1">
        <v>45941</v>
      </c>
      <c r="D1628" t="s">
        <v>200</v>
      </c>
      <c r="E1628" t="s">
        <v>201</v>
      </c>
      <c r="F1628" t="s">
        <v>23</v>
      </c>
      <c r="G1628" t="s">
        <v>35</v>
      </c>
      <c r="H1628" t="s">
        <v>187</v>
      </c>
      <c r="I1628" t="s">
        <v>63</v>
      </c>
      <c r="J1628" t="s">
        <v>64</v>
      </c>
      <c r="K1628" t="s">
        <v>65</v>
      </c>
      <c r="L1628">
        <v>1</v>
      </c>
      <c r="M1628">
        <v>25000</v>
      </c>
      <c r="N1628">
        <v>0</v>
      </c>
      <c r="O1628">
        <v>25000</v>
      </c>
      <c r="P1628">
        <v>3666</v>
      </c>
      <c r="R1628" t="s">
        <v>49</v>
      </c>
      <c r="S1628" t="s">
        <v>86</v>
      </c>
    </row>
    <row r="1629" spans="1:19" x14ac:dyDescent="0.3">
      <c r="A1629" t="s">
        <v>2680</v>
      </c>
      <c r="B1629" t="s">
        <v>2681</v>
      </c>
      <c r="C1629" s="1">
        <v>45375</v>
      </c>
      <c r="D1629" t="s">
        <v>241</v>
      </c>
      <c r="E1629" t="s">
        <v>242</v>
      </c>
      <c r="F1629" t="s">
        <v>55</v>
      </c>
      <c r="G1629" t="s">
        <v>91</v>
      </c>
      <c r="H1629" t="s">
        <v>120</v>
      </c>
      <c r="I1629" t="s">
        <v>46</v>
      </c>
      <c r="J1629" t="s">
        <v>47</v>
      </c>
      <c r="K1629" t="s">
        <v>48</v>
      </c>
      <c r="L1629">
        <v>1</v>
      </c>
      <c r="M1629">
        <v>180</v>
      </c>
      <c r="N1629">
        <v>20</v>
      </c>
      <c r="O1629">
        <v>144</v>
      </c>
      <c r="P1629">
        <v>58.56</v>
      </c>
      <c r="Q1629" t="s">
        <v>28</v>
      </c>
      <c r="R1629" t="s">
        <v>56</v>
      </c>
      <c r="S1629" t="s">
        <v>110</v>
      </c>
    </row>
    <row r="1630" spans="1:19" x14ac:dyDescent="0.3">
      <c r="A1630" t="s">
        <v>2682</v>
      </c>
      <c r="B1630" s="1">
        <v>45806</v>
      </c>
      <c r="C1630" s="1">
        <v>45811</v>
      </c>
      <c r="D1630" t="s">
        <v>1609</v>
      </c>
      <c r="E1630" t="s">
        <v>1610</v>
      </c>
      <c r="F1630" t="s">
        <v>55</v>
      </c>
      <c r="G1630" t="s">
        <v>44</v>
      </c>
      <c r="H1630" t="s">
        <v>24</v>
      </c>
      <c r="I1630" t="s">
        <v>134</v>
      </c>
      <c r="J1630" t="s">
        <v>135</v>
      </c>
      <c r="K1630" t="s">
        <v>27</v>
      </c>
      <c r="L1630">
        <v>2</v>
      </c>
      <c r="M1630">
        <v>6000</v>
      </c>
      <c r="N1630">
        <v>0</v>
      </c>
      <c r="O1630">
        <v>12000</v>
      </c>
      <c r="P1630">
        <v>2077.2399999999998</v>
      </c>
      <c r="Q1630" t="s">
        <v>74</v>
      </c>
      <c r="R1630" t="s">
        <v>29</v>
      </c>
      <c r="S1630" t="s">
        <v>86</v>
      </c>
    </row>
    <row r="1631" spans="1:19" x14ac:dyDescent="0.3">
      <c r="A1631" t="s">
        <v>2683</v>
      </c>
      <c r="B1631" s="2">
        <v>45334</v>
      </c>
      <c r="C1631" s="1">
        <v>45338</v>
      </c>
      <c r="D1631" t="s">
        <v>1184</v>
      </c>
      <c r="E1631" t="s">
        <v>1185</v>
      </c>
      <c r="F1631" t="s">
        <v>55</v>
      </c>
      <c r="G1631" t="s">
        <v>91</v>
      </c>
      <c r="H1631" t="s">
        <v>109</v>
      </c>
      <c r="I1631" t="s">
        <v>46</v>
      </c>
      <c r="J1631" t="s">
        <v>47</v>
      </c>
      <c r="K1631" t="s">
        <v>48</v>
      </c>
      <c r="M1631">
        <v>180</v>
      </c>
      <c r="N1631">
        <v>0</v>
      </c>
      <c r="O1631">
        <v>360</v>
      </c>
      <c r="P1631">
        <v>154.22</v>
      </c>
      <c r="Q1631" t="s">
        <v>74</v>
      </c>
      <c r="R1631" t="s">
        <v>29</v>
      </c>
      <c r="S1631" t="s">
        <v>194</v>
      </c>
    </row>
    <row r="1632" spans="1:19" x14ac:dyDescent="0.3">
      <c r="A1632" t="s">
        <v>2684</v>
      </c>
      <c r="B1632" s="1">
        <v>45410</v>
      </c>
      <c r="C1632" s="1">
        <v>45416</v>
      </c>
      <c r="D1632" t="s">
        <v>643</v>
      </c>
      <c r="E1632" t="s">
        <v>644</v>
      </c>
      <c r="F1632" t="s">
        <v>34</v>
      </c>
      <c r="G1632" t="s">
        <v>61</v>
      </c>
      <c r="H1632" t="s">
        <v>78</v>
      </c>
      <c r="I1632" t="s">
        <v>46</v>
      </c>
      <c r="J1632" t="s">
        <v>47</v>
      </c>
      <c r="K1632" t="s">
        <v>48</v>
      </c>
      <c r="L1632">
        <v>1</v>
      </c>
      <c r="M1632">
        <v>180</v>
      </c>
      <c r="N1632">
        <v>0</v>
      </c>
      <c r="O1632">
        <v>180</v>
      </c>
      <c r="P1632">
        <v>77.2</v>
      </c>
      <c r="Q1632" t="s">
        <v>74</v>
      </c>
      <c r="R1632" t="s">
        <v>29</v>
      </c>
      <c r="S1632" t="s">
        <v>40</v>
      </c>
    </row>
    <row r="1633" spans="1:19" x14ac:dyDescent="0.3">
      <c r="A1633" t="s">
        <v>2685</v>
      </c>
      <c r="B1633" s="2">
        <v>45449</v>
      </c>
      <c r="C1633" s="2">
        <v>45454</v>
      </c>
      <c r="D1633" t="s">
        <v>910</v>
      </c>
      <c r="E1633" t="s">
        <v>911</v>
      </c>
      <c r="F1633" t="s">
        <v>34</v>
      </c>
      <c r="G1633" t="s">
        <v>35</v>
      </c>
      <c r="H1633" t="s">
        <v>36</v>
      </c>
      <c r="I1633" t="s">
        <v>46</v>
      </c>
      <c r="J1633" t="s">
        <v>47</v>
      </c>
      <c r="K1633" t="s">
        <v>48</v>
      </c>
      <c r="L1633">
        <v>2</v>
      </c>
      <c r="M1633">
        <v>180</v>
      </c>
      <c r="N1633">
        <v>5</v>
      </c>
      <c r="O1633">
        <v>342</v>
      </c>
      <c r="P1633">
        <v>108.16</v>
      </c>
      <c r="Q1633" t="s">
        <v>121</v>
      </c>
      <c r="R1633" t="s">
        <v>49</v>
      </c>
      <c r="S1633" t="s">
        <v>30</v>
      </c>
    </row>
    <row r="1634" spans="1:19" x14ac:dyDescent="0.3">
      <c r="A1634" t="s">
        <v>2686</v>
      </c>
      <c r="B1634" s="1">
        <v>45361</v>
      </c>
      <c r="C1634" s="1">
        <v>45572</v>
      </c>
      <c r="D1634" t="s">
        <v>527</v>
      </c>
      <c r="E1634" t="s">
        <v>528</v>
      </c>
      <c r="F1634" t="s">
        <v>23</v>
      </c>
      <c r="G1634" t="s">
        <v>44</v>
      </c>
      <c r="H1634" t="s">
        <v>161</v>
      </c>
      <c r="I1634" t="s">
        <v>134</v>
      </c>
      <c r="J1634" t="s">
        <v>135</v>
      </c>
      <c r="K1634" t="s">
        <v>27</v>
      </c>
      <c r="L1634">
        <v>1</v>
      </c>
      <c r="M1634">
        <v>6000</v>
      </c>
      <c r="N1634">
        <v>0</v>
      </c>
      <c r="O1634">
        <v>6000</v>
      </c>
      <c r="P1634">
        <v>1017.88</v>
      </c>
      <c r="R1634" t="s">
        <v>49</v>
      </c>
      <c r="S1634" t="s">
        <v>30</v>
      </c>
    </row>
    <row r="1635" spans="1:19" x14ac:dyDescent="0.3">
      <c r="A1635" t="s">
        <v>2687</v>
      </c>
      <c r="B1635" s="1">
        <v>45334</v>
      </c>
      <c r="C1635" t="s">
        <v>2688</v>
      </c>
      <c r="D1635" t="s">
        <v>1262</v>
      </c>
      <c r="E1635" t="s">
        <v>1263</v>
      </c>
      <c r="F1635" t="s">
        <v>23</v>
      </c>
      <c r="G1635" t="s">
        <v>91</v>
      </c>
      <c r="H1635" t="s">
        <v>120</v>
      </c>
      <c r="I1635" t="s">
        <v>71</v>
      </c>
      <c r="J1635" t="s">
        <v>72</v>
      </c>
      <c r="K1635" t="s">
        <v>73</v>
      </c>
      <c r="L1635">
        <v>2</v>
      </c>
      <c r="M1635">
        <v>3500</v>
      </c>
      <c r="N1635">
        <v>0</v>
      </c>
      <c r="O1635">
        <v>7000</v>
      </c>
      <c r="Q1635" t="s">
        <v>28</v>
      </c>
      <c r="R1635" t="s">
        <v>29</v>
      </c>
      <c r="S1635" t="s">
        <v>50</v>
      </c>
    </row>
    <row r="1636" spans="1:19" x14ac:dyDescent="0.3">
      <c r="A1636" t="s">
        <v>2689</v>
      </c>
      <c r="B1636" t="s">
        <v>1197</v>
      </c>
      <c r="C1636" s="1">
        <v>45446</v>
      </c>
      <c r="D1636" t="s">
        <v>223</v>
      </c>
      <c r="E1636" t="s">
        <v>2690</v>
      </c>
      <c r="F1636" t="s">
        <v>34</v>
      </c>
      <c r="G1636" t="s">
        <v>35</v>
      </c>
      <c r="H1636" t="s">
        <v>85</v>
      </c>
      <c r="I1636" t="s">
        <v>147</v>
      </c>
      <c r="J1636" t="s">
        <v>148</v>
      </c>
      <c r="K1636" t="s">
        <v>48</v>
      </c>
      <c r="L1636">
        <v>1</v>
      </c>
      <c r="M1636">
        <v>250</v>
      </c>
      <c r="N1636">
        <v>10</v>
      </c>
      <c r="O1636">
        <v>225</v>
      </c>
      <c r="P1636">
        <v>66.510000000000005</v>
      </c>
      <c r="Q1636" t="s">
        <v>156</v>
      </c>
      <c r="R1636" t="s">
        <v>29</v>
      </c>
      <c r="S1636" t="s">
        <v>50</v>
      </c>
    </row>
    <row r="1637" spans="1:19" x14ac:dyDescent="0.3">
      <c r="A1637" t="s">
        <v>2691</v>
      </c>
      <c r="B1637" s="1">
        <v>45484</v>
      </c>
      <c r="C1637" t="s">
        <v>300</v>
      </c>
      <c r="D1637" t="s">
        <v>731</v>
      </c>
      <c r="E1637" t="s">
        <v>732</v>
      </c>
      <c r="F1637" t="s">
        <v>34</v>
      </c>
      <c r="G1637" t="s">
        <v>44</v>
      </c>
      <c r="H1637" t="s">
        <v>155</v>
      </c>
      <c r="I1637" t="s">
        <v>37</v>
      </c>
      <c r="J1637" t="s">
        <v>38</v>
      </c>
      <c r="K1637" t="s">
        <v>27</v>
      </c>
      <c r="L1637">
        <v>1</v>
      </c>
      <c r="M1637">
        <v>9500</v>
      </c>
      <c r="N1637">
        <v>20</v>
      </c>
      <c r="O1637">
        <v>7600</v>
      </c>
      <c r="P1637">
        <v>1309.26</v>
      </c>
      <c r="Q1637" t="s">
        <v>121</v>
      </c>
      <c r="R1637" t="s">
        <v>56</v>
      </c>
      <c r="S1637" t="s">
        <v>50</v>
      </c>
    </row>
    <row r="1638" spans="1:19" x14ac:dyDescent="0.3">
      <c r="A1638" t="s">
        <v>2692</v>
      </c>
      <c r="B1638" s="2">
        <v>45862</v>
      </c>
      <c r="C1638" s="1">
        <v>45868</v>
      </c>
      <c r="D1638" t="s">
        <v>1152</v>
      </c>
      <c r="E1638" t="s">
        <v>1153</v>
      </c>
      <c r="F1638" t="s">
        <v>55</v>
      </c>
      <c r="G1638" t="s">
        <v>61</v>
      </c>
      <c r="H1638" t="s">
        <v>211</v>
      </c>
      <c r="I1638" t="s">
        <v>63</v>
      </c>
      <c r="J1638" t="s">
        <v>64</v>
      </c>
      <c r="K1638" t="s">
        <v>65</v>
      </c>
      <c r="L1638">
        <v>2</v>
      </c>
      <c r="M1638">
        <v>25000</v>
      </c>
      <c r="N1638">
        <v>15</v>
      </c>
      <c r="O1638">
        <v>42500</v>
      </c>
      <c r="P1638">
        <v>4764.3900000000003</v>
      </c>
      <c r="Q1638" t="s">
        <v>121</v>
      </c>
      <c r="R1638" t="s">
        <v>56</v>
      </c>
      <c r="S1638" t="s">
        <v>86</v>
      </c>
    </row>
    <row r="1639" spans="1:19" x14ac:dyDescent="0.3">
      <c r="A1639" t="s">
        <v>2693</v>
      </c>
      <c r="B1639" t="s">
        <v>2694</v>
      </c>
      <c r="C1639" s="2">
        <v>45372</v>
      </c>
      <c r="D1639" t="s">
        <v>692</v>
      </c>
      <c r="E1639" t="s">
        <v>2006</v>
      </c>
      <c r="F1639" t="s">
        <v>55</v>
      </c>
      <c r="G1639" t="s">
        <v>91</v>
      </c>
      <c r="H1639" t="s">
        <v>120</v>
      </c>
      <c r="I1639" t="s">
        <v>126</v>
      </c>
      <c r="J1639" t="s">
        <v>127</v>
      </c>
      <c r="K1639" t="s">
        <v>95</v>
      </c>
      <c r="L1639">
        <v>2</v>
      </c>
      <c r="M1639">
        <v>600</v>
      </c>
      <c r="N1639">
        <v>20</v>
      </c>
      <c r="O1639">
        <v>960</v>
      </c>
      <c r="P1639">
        <v>347</v>
      </c>
      <c r="Q1639" t="s">
        <v>39</v>
      </c>
      <c r="R1639" t="s">
        <v>29</v>
      </c>
      <c r="S1639" t="s">
        <v>40</v>
      </c>
    </row>
    <row r="1640" spans="1:19" x14ac:dyDescent="0.3">
      <c r="A1640" t="s">
        <v>2695</v>
      </c>
      <c r="B1640" s="1">
        <v>45477</v>
      </c>
      <c r="C1640" s="2">
        <v>45394</v>
      </c>
      <c r="D1640" t="s">
        <v>1048</v>
      </c>
      <c r="E1640" t="s">
        <v>1049</v>
      </c>
      <c r="F1640" t="s">
        <v>34</v>
      </c>
      <c r="G1640" t="s">
        <v>61</v>
      </c>
      <c r="H1640" t="s">
        <v>125</v>
      </c>
      <c r="I1640" t="s">
        <v>147</v>
      </c>
      <c r="J1640" t="s">
        <v>148</v>
      </c>
      <c r="K1640" t="s">
        <v>48</v>
      </c>
      <c r="L1640">
        <v>4</v>
      </c>
      <c r="M1640">
        <v>250</v>
      </c>
      <c r="N1640">
        <v>5</v>
      </c>
      <c r="O1640">
        <v>950</v>
      </c>
      <c r="P1640">
        <v>375.93</v>
      </c>
      <c r="R1640" t="s">
        <v>49</v>
      </c>
      <c r="S1640" t="s">
        <v>30</v>
      </c>
    </row>
    <row r="1641" spans="1:19" x14ac:dyDescent="0.3">
      <c r="A1641" t="s">
        <v>2696</v>
      </c>
      <c r="B1641" s="1">
        <v>45300</v>
      </c>
      <c r="C1641" s="2">
        <v>45540</v>
      </c>
      <c r="D1641" t="s">
        <v>748</v>
      </c>
      <c r="E1641" t="s">
        <v>749</v>
      </c>
      <c r="F1641" t="s">
        <v>55</v>
      </c>
      <c r="G1641" t="s">
        <v>91</v>
      </c>
      <c r="H1641" t="s">
        <v>92</v>
      </c>
      <c r="I1641" t="s">
        <v>37</v>
      </c>
      <c r="J1641" t="s">
        <v>38</v>
      </c>
      <c r="K1641" t="s">
        <v>27</v>
      </c>
      <c r="L1641">
        <v>2</v>
      </c>
      <c r="M1641">
        <v>9500</v>
      </c>
      <c r="N1641">
        <v>15</v>
      </c>
      <c r="O1641">
        <v>16150</v>
      </c>
      <c r="P1641">
        <v>2879.21</v>
      </c>
      <c r="Q1641" t="s">
        <v>156</v>
      </c>
      <c r="R1641" t="s">
        <v>29</v>
      </c>
      <c r="S1641" t="s">
        <v>110</v>
      </c>
    </row>
    <row r="1642" spans="1:19" x14ac:dyDescent="0.3">
      <c r="A1642" t="s">
        <v>2697</v>
      </c>
      <c r="B1642" s="1">
        <v>45749</v>
      </c>
      <c r="C1642" s="2">
        <v>45750</v>
      </c>
      <c r="D1642" t="s">
        <v>890</v>
      </c>
      <c r="E1642" t="s">
        <v>891</v>
      </c>
      <c r="F1642" t="s">
        <v>34</v>
      </c>
      <c r="G1642" t="s">
        <v>35</v>
      </c>
      <c r="H1642" t="s">
        <v>36</v>
      </c>
      <c r="I1642" t="s">
        <v>126</v>
      </c>
      <c r="J1642" t="s">
        <v>127</v>
      </c>
      <c r="K1642" t="s">
        <v>95</v>
      </c>
      <c r="L1642">
        <v>2</v>
      </c>
      <c r="M1642">
        <v>600</v>
      </c>
      <c r="N1642">
        <v>0</v>
      </c>
      <c r="O1642">
        <v>1200</v>
      </c>
      <c r="P1642">
        <v>496.95</v>
      </c>
      <c r="Q1642" t="s">
        <v>28</v>
      </c>
      <c r="R1642" t="s">
        <v>49</v>
      </c>
      <c r="S1642" t="s">
        <v>86</v>
      </c>
    </row>
    <row r="1643" spans="1:19" x14ac:dyDescent="0.3">
      <c r="A1643" t="s">
        <v>2698</v>
      </c>
      <c r="B1643" s="1">
        <v>45350</v>
      </c>
      <c r="C1643" s="1">
        <v>45352</v>
      </c>
      <c r="D1643" t="s">
        <v>617</v>
      </c>
      <c r="E1643" t="s">
        <v>618</v>
      </c>
      <c r="F1643" t="s">
        <v>23</v>
      </c>
      <c r="G1643" t="s">
        <v>91</v>
      </c>
      <c r="H1643" t="s">
        <v>120</v>
      </c>
      <c r="I1643" t="s">
        <v>93</v>
      </c>
      <c r="J1643" t="s">
        <v>94</v>
      </c>
      <c r="K1643" t="s">
        <v>95</v>
      </c>
      <c r="M1643">
        <v>1800</v>
      </c>
      <c r="N1643">
        <v>20</v>
      </c>
      <c r="O1643">
        <v>14400</v>
      </c>
      <c r="P1643">
        <v>4193.79</v>
      </c>
      <c r="Q1643" t="s">
        <v>66</v>
      </c>
      <c r="R1643" t="s">
        <v>49</v>
      </c>
      <c r="S1643" t="s">
        <v>30</v>
      </c>
    </row>
    <row r="1644" spans="1:19" x14ac:dyDescent="0.3">
      <c r="A1644" t="s">
        <v>2699</v>
      </c>
      <c r="B1644" t="s">
        <v>1225</v>
      </c>
      <c r="C1644" s="1">
        <v>45741</v>
      </c>
      <c r="D1644" t="s">
        <v>214</v>
      </c>
      <c r="E1644" t="s">
        <v>215</v>
      </c>
      <c r="F1644" t="s">
        <v>55</v>
      </c>
      <c r="G1644" t="s">
        <v>44</v>
      </c>
      <c r="H1644" t="s">
        <v>330</v>
      </c>
      <c r="I1644" t="s">
        <v>79</v>
      </c>
      <c r="J1644" t="s">
        <v>80</v>
      </c>
      <c r="K1644" t="s">
        <v>65</v>
      </c>
      <c r="L1644">
        <v>3</v>
      </c>
      <c r="M1644">
        <v>3000</v>
      </c>
      <c r="N1644">
        <v>0</v>
      </c>
      <c r="O1644">
        <v>9000</v>
      </c>
      <c r="P1644">
        <v>1987.41</v>
      </c>
      <c r="Q1644" t="s">
        <v>28</v>
      </c>
      <c r="R1644" t="s">
        <v>29</v>
      </c>
      <c r="S1644" t="s">
        <v>110</v>
      </c>
    </row>
    <row r="1645" spans="1:19" x14ac:dyDescent="0.3">
      <c r="A1645" t="s">
        <v>2700</v>
      </c>
      <c r="B1645" s="1">
        <v>45585</v>
      </c>
      <c r="C1645" s="2">
        <v>45591</v>
      </c>
      <c r="D1645" t="s">
        <v>352</v>
      </c>
      <c r="E1645" t="s">
        <v>353</v>
      </c>
      <c r="F1645" t="s">
        <v>55</v>
      </c>
      <c r="G1645" t="s">
        <v>35</v>
      </c>
      <c r="H1645" t="s">
        <v>36</v>
      </c>
      <c r="I1645" t="s">
        <v>37</v>
      </c>
      <c r="J1645" t="s">
        <v>38</v>
      </c>
      <c r="K1645" t="s">
        <v>27</v>
      </c>
      <c r="L1645">
        <v>4</v>
      </c>
      <c r="M1645">
        <v>9500</v>
      </c>
      <c r="N1645">
        <v>15</v>
      </c>
      <c r="O1645">
        <v>32300</v>
      </c>
      <c r="P1645">
        <v>4855.3</v>
      </c>
      <c r="Q1645" t="s">
        <v>39</v>
      </c>
      <c r="R1645" t="s">
        <v>56</v>
      </c>
      <c r="S1645" t="s">
        <v>110</v>
      </c>
    </row>
    <row r="1646" spans="1:19" x14ac:dyDescent="0.3">
      <c r="A1646" t="s">
        <v>2701</v>
      </c>
      <c r="B1646" s="2">
        <v>45371</v>
      </c>
      <c r="C1646" s="1">
        <v>45374</v>
      </c>
      <c r="D1646" t="s">
        <v>674</v>
      </c>
      <c r="E1646" t="s">
        <v>675</v>
      </c>
      <c r="F1646" t="s">
        <v>55</v>
      </c>
      <c r="G1646" t="s">
        <v>91</v>
      </c>
      <c r="H1646" t="s">
        <v>109</v>
      </c>
      <c r="I1646" t="s">
        <v>79</v>
      </c>
      <c r="J1646" t="s">
        <v>80</v>
      </c>
      <c r="K1646" t="s">
        <v>65</v>
      </c>
      <c r="L1646">
        <v>3</v>
      </c>
      <c r="M1646">
        <v>3000</v>
      </c>
      <c r="N1646">
        <v>0</v>
      </c>
      <c r="O1646">
        <v>9000</v>
      </c>
      <c r="P1646">
        <v>2621.57</v>
      </c>
      <c r="Q1646" t="s">
        <v>28</v>
      </c>
      <c r="R1646" t="s">
        <v>49</v>
      </c>
      <c r="S1646" t="s">
        <v>50</v>
      </c>
    </row>
    <row r="1647" spans="1:19" x14ac:dyDescent="0.3">
      <c r="A1647" t="s">
        <v>2702</v>
      </c>
      <c r="B1647" s="1">
        <v>45781</v>
      </c>
      <c r="C1647" s="1">
        <v>45784</v>
      </c>
      <c r="D1647" t="s">
        <v>301</v>
      </c>
      <c r="E1647" t="s">
        <v>302</v>
      </c>
      <c r="F1647" t="s">
        <v>34</v>
      </c>
      <c r="G1647" t="s">
        <v>44</v>
      </c>
      <c r="I1647" t="s">
        <v>71</v>
      </c>
      <c r="J1647" t="s">
        <v>72</v>
      </c>
      <c r="K1647" t="s">
        <v>73</v>
      </c>
      <c r="L1647">
        <v>3</v>
      </c>
      <c r="M1647">
        <v>3500</v>
      </c>
      <c r="N1647">
        <v>15</v>
      </c>
      <c r="O1647">
        <v>8925</v>
      </c>
      <c r="P1647">
        <v>3011.51</v>
      </c>
      <c r="Q1647" t="s">
        <v>66</v>
      </c>
      <c r="R1647" t="s">
        <v>29</v>
      </c>
      <c r="S1647" t="s">
        <v>86</v>
      </c>
    </row>
    <row r="1648" spans="1:19" x14ac:dyDescent="0.3">
      <c r="A1648" t="s">
        <v>2703</v>
      </c>
      <c r="B1648" s="1">
        <v>45885</v>
      </c>
      <c r="C1648" t="s">
        <v>1956</v>
      </c>
      <c r="D1648" t="s">
        <v>2323</v>
      </c>
      <c r="E1648" t="s">
        <v>2324</v>
      </c>
      <c r="F1648" t="s">
        <v>23</v>
      </c>
      <c r="G1648" t="s">
        <v>91</v>
      </c>
      <c r="H1648" t="s">
        <v>177</v>
      </c>
      <c r="I1648" t="s">
        <v>25</v>
      </c>
      <c r="J1648" t="s">
        <v>26</v>
      </c>
      <c r="K1648" t="s">
        <v>27</v>
      </c>
      <c r="L1648">
        <v>3</v>
      </c>
      <c r="M1648">
        <v>7000</v>
      </c>
      <c r="N1648">
        <v>0</v>
      </c>
      <c r="O1648">
        <v>21000</v>
      </c>
      <c r="P1648">
        <v>4568.25</v>
      </c>
      <c r="Q1648" t="s">
        <v>28</v>
      </c>
      <c r="R1648" t="s">
        <v>56</v>
      </c>
      <c r="S1648" t="s">
        <v>110</v>
      </c>
    </row>
    <row r="1649" spans="1:19" x14ac:dyDescent="0.3">
      <c r="A1649" t="s">
        <v>2704</v>
      </c>
      <c r="B1649" t="s">
        <v>704</v>
      </c>
      <c r="C1649" s="2">
        <v>45838</v>
      </c>
      <c r="D1649" t="s">
        <v>69</v>
      </c>
      <c r="E1649" t="s">
        <v>70</v>
      </c>
      <c r="F1649" t="s">
        <v>23</v>
      </c>
      <c r="G1649" t="s">
        <v>44</v>
      </c>
      <c r="H1649" t="s">
        <v>24</v>
      </c>
      <c r="I1649" t="s">
        <v>46</v>
      </c>
      <c r="J1649" t="s">
        <v>47</v>
      </c>
      <c r="K1649" t="s">
        <v>48</v>
      </c>
      <c r="L1649">
        <v>3</v>
      </c>
      <c r="M1649">
        <v>180</v>
      </c>
      <c r="N1649">
        <v>0</v>
      </c>
      <c r="O1649">
        <v>540</v>
      </c>
      <c r="P1649">
        <v>230.91</v>
      </c>
      <c r="Q1649" t="s">
        <v>156</v>
      </c>
      <c r="R1649" t="s">
        <v>29</v>
      </c>
      <c r="S1649" t="s">
        <v>40</v>
      </c>
    </row>
    <row r="1650" spans="1:19" x14ac:dyDescent="0.3">
      <c r="A1650" t="s">
        <v>2705</v>
      </c>
      <c r="B1650" t="s">
        <v>2706</v>
      </c>
      <c r="C1650" s="1">
        <v>45588</v>
      </c>
      <c r="D1650" t="s">
        <v>281</v>
      </c>
      <c r="E1650" t="s">
        <v>282</v>
      </c>
      <c r="F1650" t="s">
        <v>34</v>
      </c>
      <c r="G1650" t="s">
        <v>61</v>
      </c>
      <c r="H1650" t="s">
        <v>62</v>
      </c>
      <c r="I1650" t="s">
        <v>126</v>
      </c>
      <c r="J1650" t="s">
        <v>127</v>
      </c>
      <c r="K1650" t="s">
        <v>95</v>
      </c>
      <c r="L1650">
        <v>3</v>
      </c>
      <c r="M1650">
        <v>600</v>
      </c>
      <c r="N1650">
        <v>5</v>
      </c>
      <c r="O1650">
        <v>1710</v>
      </c>
      <c r="P1650">
        <v>666.39</v>
      </c>
      <c r="Q1650" t="s">
        <v>66</v>
      </c>
      <c r="R1650" t="s">
        <v>56</v>
      </c>
      <c r="S1650" t="s">
        <v>86</v>
      </c>
    </row>
    <row r="1651" spans="1:19" x14ac:dyDescent="0.3">
      <c r="A1651" t="s">
        <v>2707</v>
      </c>
      <c r="B1651" s="1">
        <v>45468</v>
      </c>
      <c r="C1651" t="s">
        <v>1096</v>
      </c>
      <c r="D1651" t="s">
        <v>670</v>
      </c>
      <c r="E1651" t="s">
        <v>1308</v>
      </c>
      <c r="F1651" t="s">
        <v>23</v>
      </c>
      <c r="G1651" t="s">
        <v>91</v>
      </c>
      <c r="H1651" t="s">
        <v>177</v>
      </c>
      <c r="I1651" t="s">
        <v>134</v>
      </c>
      <c r="J1651" t="s">
        <v>135</v>
      </c>
      <c r="K1651" t="s">
        <v>27</v>
      </c>
      <c r="L1651">
        <v>1</v>
      </c>
      <c r="M1651">
        <v>6000</v>
      </c>
      <c r="N1651">
        <v>10</v>
      </c>
      <c r="O1651">
        <v>5400</v>
      </c>
      <c r="P1651">
        <v>1407.61</v>
      </c>
      <c r="Q1651" t="s">
        <v>74</v>
      </c>
      <c r="R1651" t="s">
        <v>29</v>
      </c>
      <c r="S1651" t="s">
        <v>50</v>
      </c>
    </row>
    <row r="1652" spans="1:19" x14ac:dyDescent="0.3">
      <c r="A1652" t="s">
        <v>2708</v>
      </c>
      <c r="B1652" s="1">
        <v>45779</v>
      </c>
      <c r="C1652" s="1">
        <v>45786</v>
      </c>
      <c r="D1652" t="s">
        <v>965</v>
      </c>
      <c r="E1652" t="s">
        <v>966</v>
      </c>
      <c r="F1652" t="s">
        <v>34</v>
      </c>
      <c r="G1652" t="s">
        <v>44</v>
      </c>
      <c r="H1652" t="s">
        <v>45</v>
      </c>
      <c r="I1652" t="s">
        <v>134</v>
      </c>
      <c r="J1652" t="s">
        <v>135</v>
      </c>
      <c r="K1652" t="s">
        <v>27</v>
      </c>
      <c r="L1652">
        <v>1</v>
      </c>
      <c r="M1652">
        <v>6000</v>
      </c>
      <c r="N1652">
        <v>10</v>
      </c>
      <c r="O1652">
        <v>5400</v>
      </c>
      <c r="P1652">
        <v>1126.52</v>
      </c>
      <c r="Q1652" t="s">
        <v>74</v>
      </c>
      <c r="R1652" t="s">
        <v>56</v>
      </c>
      <c r="S1652" t="s">
        <v>50</v>
      </c>
    </row>
    <row r="1653" spans="1:19" x14ac:dyDescent="0.3">
      <c r="A1653" t="s">
        <v>2709</v>
      </c>
      <c r="B1653" s="1">
        <v>45728</v>
      </c>
      <c r="C1653" t="s">
        <v>1766</v>
      </c>
      <c r="D1653" t="s">
        <v>203</v>
      </c>
      <c r="E1653" t="s">
        <v>204</v>
      </c>
      <c r="F1653" t="s">
        <v>23</v>
      </c>
      <c r="G1653" t="s">
        <v>44</v>
      </c>
      <c r="H1653" t="s">
        <v>45</v>
      </c>
      <c r="I1653" t="s">
        <v>103</v>
      </c>
      <c r="J1653" t="s">
        <v>104</v>
      </c>
      <c r="K1653" t="s">
        <v>65</v>
      </c>
      <c r="L1653">
        <v>2</v>
      </c>
      <c r="M1653">
        <v>8000</v>
      </c>
      <c r="N1653">
        <v>0</v>
      </c>
      <c r="O1653">
        <v>16000</v>
      </c>
      <c r="P1653">
        <v>2873.27</v>
      </c>
      <c r="R1653" t="s">
        <v>56</v>
      </c>
      <c r="S1653" t="s">
        <v>86</v>
      </c>
    </row>
    <row r="1654" spans="1:19" x14ac:dyDescent="0.3">
      <c r="A1654" t="s">
        <v>2710</v>
      </c>
      <c r="B1654" s="2">
        <v>45433</v>
      </c>
      <c r="C1654" s="1">
        <v>45438</v>
      </c>
      <c r="D1654" t="s">
        <v>1265</v>
      </c>
      <c r="E1654" t="s">
        <v>1266</v>
      </c>
      <c r="F1654" t="s">
        <v>23</v>
      </c>
      <c r="G1654" t="s">
        <v>35</v>
      </c>
      <c r="H1654" t="s">
        <v>36</v>
      </c>
      <c r="I1654" t="s">
        <v>79</v>
      </c>
      <c r="J1654" t="s">
        <v>80</v>
      </c>
      <c r="K1654" t="s">
        <v>65</v>
      </c>
      <c r="L1654">
        <v>1</v>
      </c>
      <c r="M1654">
        <v>3000</v>
      </c>
      <c r="N1654">
        <v>10</v>
      </c>
      <c r="O1654">
        <v>2700</v>
      </c>
      <c r="P1654">
        <v>647.95000000000005</v>
      </c>
      <c r="Q1654" t="s">
        <v>74</v>
      </c>
      <c r="R1654" t="s">
        <v>29</v>
      </c>
      <c r="S1654" t="s">
        <v>40</v>
      </c>
    </row>
    <row r="1655" spans="1:19" x14ac:dyDescent="0.3">
      <c r="A1655" t="s">
        <v>2711</v>
      </c>
      <c r="B1655" s="2">
        <v>45769</v>
      </c>
      <c r="C1655" s="1">
        <v>45773</v>
      </c>
      <c r="D1655" t="s">
        <v>169</v>
      </c>
      <c r="E1655" t="s">
        <v>170</v>
      </c>
      <c r="F1655" t="s">
        <v>55</v>
      </c>
      <c r="G1655" t="s">
        <v>91</v>
      </c>
      <c r="H1655" t="s">
        <v>92</v>
      </c>
      <c r="I1655" t="s">
        <v>114</v>
      </c>
      <c r="J1655" t="s">
        <v>115</v>
      </c>
      <c r="K1655" t="s">
        <v>65</v>
      </c>
      <c r="L1655">
        <v>1</v>
      </c>
      <c r="M1655">
        <v>55000</v>
      </c>
      <c r="N1655">
        <v>0</v>
      </c>
      <c r="O1655">
        <v>55000</v>
      </c>
      <c r="P1655">
        <v>8831.6200000000008</v>
      </c>
      <c r="Q1655" t="s">
        <v>28</v>
      </c>
      <c r="R1655" t="s">
        <v>29</v>
      </c>
      <c r="S1655" t="s">
        <v>40</v>
      </c>
    </row>
    <row r="1656" spans="1:19" x14ac:dyDescent="0.3">
      <c r="A1656" t="s">
        <v>2712</v>
      </c>
      <c r="B1656" t="s">
        <v>2713</v>
      </c>
      <c r="C1656" s="1">
        <v>45307</v>
      </c>
      <c r="D1656" t="s">
        <v>1736</v>
      </c>
      <c r="E1656" t="s">
        <v>1737</v>
      </c>
      <c r="F1656" t="s">
        <v>34</v>
      </c>
      <c r="G1656" t="s">
        <v>35</v>
      </c>
      <c r="H1656" t="s">
        <v>36</v>
      </c>
      <c r="I1656" t="s">
        <v>46</v>
      </c>
      <c r="J1656" t="s">
        <v>47</v>
      </c>
      <c r="K1656" t="s">
        <v>48</v>
      </c>
      <c r="L1656">
        <v>3</v>
      </c>
      <c r="M1656">
        <v>180</v>
      </c>
      <c r="N1656">
        <v>5</v>
      </c>
      <c r="O1656">
        <v>513</v>
      </c>
      <c r="P1656">
        <v>249.31</v>
      </c>
      <c r="Q1656" t="s">
        <v>74</v>
      </c>
      <c r="R1656" t="s">
        <v>49</v>
      </c>
      <c r="S1656" t="s">
        <v>50</v>
      </c>
    </row>
    <row r="1657" spans="1:19" x14ac:dyDescent="0.3">
      <c r="A1657" t="s">
        <v>2714</v>
      </c>
      <c r="B1657" s="1">
        <v>45810</v>
      </c>
      <c r="C1657" s="1">
        <v>45702</v>
      </c>
      <c r="D1657" t="s">
        <v>924</v>
      </c>
      <c r="E1657" t="s">
        <v>925</v>
      </c>
      <c r="F1657" t="s">
        <v>34</v>
      </c>
      <c r="G1657" t="s">
        <v>35</v>
      </c>
      <c r="H1657" t="s">
        <v>258</v>
      </c>
      <c r="I1657" t="s">
        <v>114</v>
      </c>
      <c r="J1657" t="s">
        <v>115</v>
      </c>
      <c r="K1657" t="s">
        <v>65</v>
      </c>
      <c r="L1657">
        <v>4</v>
      </c>
      <c r="M1657">
        <v>55000</v>
      </c>
      <c r="N1657">
        <v>15</v>
      </c>
      <c r="O1657">
        <v>187000</v>
      </c>
      <c r="P1657">
        <v>25754.03</v>
      </c>
      <c r="Q1657" t="s">
        <v>28</v>
      </c>
      <c r="R1657" t="s">
        <v>49</v>
      </c>
      <c r="S1657" t="s">
        <v>40</v>
      </c>
    </row>
    <row r="1658" spans="1:19" x14ac:dyDescent="0.3">
      <c r="A1658" t="s">
        <v>2715</v>
      </c>
      <c r="B1658" s="2">
        <v>45906</v>
      </c>
      <c r="C1658" s="1">
        <v>45914</v>
      </c>
      <c r="D1658" t="s">
        <v>118</v>
      </c>
      <c r="E1658" t="s">
        <v>119</v>
      </c>
      <c r="F1658" t="s">
        <v>34</v>
      </c>
      <c r="G1658" t="s">
        <v>91</v>
      </c>
      <c r="I1658" t="s">
        <v>79</v>
      </c>
      <c r="J1658" t="s">
        <v>80</v>
      </c>
      <c r="K1658" t="s">
        <v>65</v>
      </c>
      <c r="L1658">
        <v>3</v>
      </c>
      <c r="M1658">
        <v>3000</v>
      </c>
      <c r="N1658">
        <v>10</v>
      </c>
      <c r="O1658">
        <v>8100</v>
      </c>
      <c r="P1658">
        <v>2164.4299999999998</v>
      </c>
      <c r="Q1658" t="s">
        <v>39</v>
      </c>
      <c r="R1658" t="s">
        <v>29</v>
      </c>
      <c r="S1658" t="s">
        <v>50</v>
      </c>
    </row>
    <row r="1659" spans="1:19" x14ac:dyDescent="0.3">
      <c r="A1659" t="s">
        <v>2716</v>
      </c>
      <c r="B1659" t="s">
        <v>2717</v>
      </c>
      <c r="C1659" s="1">
        <v>46113</v>
      </c>
      <c r="D1659" t="s">
        <v>1205</v>
      </c>
      <c r="E1659" t="s">
        <v>1206</v>
      </c>
      <c r="F1659" t="s">
        <v>34</v>
      </c>
      <c r="G1659" t="s">
        <v>44</v>
      </c>
      <c r="H1659" t="s">
        <v>45</v>
      </c>
      <c r="I1659" t="s">
        <v>63</v>
      </c>
      <c r="J1659" t="s">
        <v>64</v>
      </c>
      <c r="K1659" t="s">
        <v>65</v>
      </c>
      <c r="L1659">
        <v>2</v>
      </c>
      <c r="M1659">
        <v>25000</v>
      </c>
      <c r="N1659">
        <v>15</v>
      </c>
      <c r="O1659">
        <v>42500</v>
      </c>
      <c r="P1659">
        <v>5933.68</v>
      </c>
      <c r="Q1659" t="s">
        <v>156</v>
      </c>
      <c r="R1659" t="s">
        <v>49</v>
      </c>
      <c r="S1659" t="s">
        <v>40</v>
      </c>
    </row>
    <row r="1660" spans="1:19" x14ac:dyDescent="0.3">
      <c r="A1660" t="s">
        <v>2718</v>
      </c>
      <c r="B1660" t="s">
        <v>1818</v>
      </c>
      <c r="C1660" t="s">
        <v>1085</v>
      </c>
      <c r="D1660" t="s">
        <v>517</v>
      </c>
      <c r="E1660" t="s">
        <v>518</v>
      </c>
      <c r="F1660" t="s">
        <v>34</v>
      </c>
      <c r="G1660" t="s">
        <v>61</v>
      </c>
      <c r="I1660" t="s">
        <v>63</v>
      </c>
      <c r="J1660" t="s">
        <v>64</v>
      </c>
      <c r="K1660" t="s">
        <v>65</v>
      </c>
      <c r="L1660">
        <v>1</v>
      </c>
      <c r="M1660">
        <v>25000</v>
      </c>
      <c r="N1660">
        <v>15</v>
      </c>
      <c r="O1660">
        <v>21250</v>
      </c>
      <c r="P1660">
        <v>2983.71</v>
      </c>
      <c r="Q1660" t="s">
        <v>156</v>
      </c>
      <c r="R1660" t="s">
        <v>49</v>
      </c>
      <c r="S1660" t="s">
        <v>30</v>
      </c>
    </row>
    <row r="1661" spans="1:19" x14ac:dyDescent="0.3">
      <c r="A1661" t="s">
        <v>2719</v>
      </c>
      <c r="B1661" s="1">
        <v>45995</v>
      </c>
      <c r="C1661" s="1">
        <v>45999</v>
      </c>
      <c r="D1661" t="s">
        <v>297</v>
      </c>
      <c r="E1661" t="s">
        <v>1110</v>
      </c>
      <c r="F1661" t="s">
        <v>23</v>
      </c>
      <c r="G1661" t="s">
        <v>91</v>
      </c>
      <c r="H1661" t="s">
        <v>177</v>
      </c>
      <c r="I1661" t="s">
        <v>63</v>
      </c>
      <c r="J1661" t="s">
        <v>64</v>
      </c>
      <c r="K1661" t="s">
        <v>65</v>
      </c>
      <c r="L1661">
        <v>4</v>
      </c>
      <c r="M1661">
        <v>25000</v>
      </c>
      <c r="N1661">
        <v>0</v>
      </c>
      <c r="O1661">
        <v>100000</v>
      </c>
      <c r="P1661">
        <v>13392.88</v>
      </c>
      <c r="Q1661" t="s">
        <v>66</v>
      </c>
      <c r="R1661" t="s">
        <v>49</v>
      </c>
      <c r="S1661" t="s">
        <v>50</v>
      </c>
    </row>
    <row r="1662" spans="1:19" x14ac:dyDescent="0.3">
      <c r="A1662" t="s">
        <v>2720</v>
      </c>
      <c r="B1662" s="1">
        <v>45388</v>
      </c>
      <c r="C1662" s="1">
        <v>45571</v>
      </c>
      <c r="D1662" t="s">
        <v>1188</v>
      </c>
      <c r="E1662" t="s">
        <v>1189</v>
      </c>
      <c r="F1662" t="s">
        <v>55</v>
      </c>
      <c r="G1662" t="s">
        <v>61</v>
      </c>
      <c r="H1662" t="s">
        <v>125</v>
      </c>
      <c r="I1662" t="s">
        <v>126</v>
      </c>
      <c r="J1662" t="s">
        <v>127</v>
      </c>
      <c r="K1662" t="s">
        <v>95</v>
      </c>
      <c r="L1662">
        <v>1</v>
      </c>
      <c r="M1662">
        <v>600</v>
      </c>
      <c r="N1662">
        <v>0</v>
      </c>
      <c r="O1662">
        <v>600</v>
      </c>
      <c r="P1662">
        <v>220.91</v>
      </c>
      <c r="Q1662" t="s">
        <v>66</v>
      </c>
      <c r="R1662" t="s">
        <v>56</v>
      </c>
      <c r="S1662" t="s">
        <v>86</v>
      </c>
    </row>
    <row r="1663" spans="1:19" x14ac:dyDescent="0.3">
      <c r="A1663" t="s">
        <v>2721</v>
      </c>
      <c r="B1663" s="1">
        <v>45977</v>
      </c>
      <c r="C1663" s="1">
        <v>45979</v>
      </c>
      <c r="D1663" t="s">
        <v>1751</v>
      </c>
      <c r="E1663" t="s">
        <v>1752</v>
      </c>
      <c r="F1663" t="s">
        <v>34</v>
      </c>
      <c r="G1663" t="s">
        <v>44</v>
      </c>
      <c r="H1663" t="s">
        <v>161</v>
      </c>
      <c r="I1663" t="s">
        <v>37</v>
      </c>
      <c r="J1663" t="s">
        <v>38</v>
      </c>
      <c r="K1663" t="s">
        <v>27</v>
      </c>
      <c r="L1663">
        <v>2</v>
      </c>
      <c r="M1663">
        <v>9500</v>
      </c>
      <c r="N1663">
        <v>10</v>
      </c>
      <c r="O1663">
        <v>17100</v>
      </c>
      <c r="Q1663" t="s">
        <v>66</v>
      </c>
      <c r="R1663" t="s">
        <v>56</v>
      </c>
      <c r="S1663" t="s">
        <v>110</v>
      </c>
    </row>
    <row r="1664" spans="1:19" x14ac:dyDescent="0.3">
      <c r="A1664" t="s">
        <v>2722</v>
      </c>
      <c r="B1664" s="1">
        <v>45326</v>
      </c>
      <c r="C1664" s="1">
        <v>45331</v>
      </c>
      <c r="D1664" t="s">
        <v>192</v>
      </c>
      <c r="E1664" t="s">
        <v>193</v>
      </c>
      <c r="F1664" t="s">
        <v>55</v>
      </c>
      <c r="G1664" t="s">
        <v>35</v>
      </c>
      <c r="H1664" t="s">
        <v>36</v>
      </c>
      <c r="I1664" t="s">
        <v>79</v>
      </c>
      <c r="J1664" t="s">
        <v>80</v>
      </c>
      <c r="K1664" t="s">
        <v>65</v>
      </c>
      <c r="L1664">
        <v>5</v>
      </c>
      <c r="M1664">
        <v>3000</v>
      </c>
      <c r="N1664">
        <v>0</v>
      </c>
      <c r="O1664">
        <v>15000</v>
      </c>
      <c r="P1664">
        <v>4206.3599999999997</v>
      </c>
      <c r="Q1664" t="s">
        <v>39</v>
      </c>
      <c r="R1664" t="s">
        <v>56</v>
      </c>
      <c r="S1664" t="s">
        <v>40</v>
      </c>
    </row>
    <row r="1665" spans="1:19" x14ac:dyDescent="0.3">
      <c r="A1665" t="s">
        <v>2723</v>
      </c>
      <c r="B1665" s="1">
        <v>45728</v>
      </c>
      <c r="C1665" s="1">
        <v>45736</v>
      </c>
      <c r="D1665" t="s">
        <v>200</v>
      </c>
      <c r="E1665" t="s">
        <v>201</v>
      </c>
      <c r="F1665" t="s">
        <v>23</v>
      </c>
      <c r="G1665" t="s">
        <v>35</v>
      </c>
      <c r="H1665" t="s">
        <v>187</v>
      </c>
      <c r="I1665" t="s">
        <v>126</v>
      </c>
      <c r="J1665" t="s">
        <v>127</v>
      </c>
      <c r="K1665" t="s">
        <v>95</v>
      </c>
      <c r="L1665">
        <v>1</v>
      </c>
      <c r="M1665">
        <v>600</v>
      </c>
      <c r="N1665">
        <v>10</v>
      </c>
      <c r="O1665">
        <v>540</v>
      </c>
      <c r="P1665">
        <v>171.69</v>
      </c>
      <c r="Q1665" t="s">
        <v>156</v>
      </c>
      <c r="R1665" t="s">
        <v>29</v>
      </c>
      <c r="S1665" t="s">
        <v>50</v>
      </c>
    </row>
    <row r="1666" spans="1:19" x14ac:dyDescent="0.3">
      <c r="A1666" t="s">
        <v>2724</v>
      </c>
      <c r="B1666" s="2">
        <v>45696</v>
      </c>
      <c r="C1666" s="1">
        <v>45698</v>
      </c>
      <c r="D1666" t="s">
        <v>76</v>
      </c>
      <c r="E1666" t="s">
        <v>666</v>
      </c>
      <c r="F1666" t="s">
        <v>23</v>
      </c>
      <c r="G1666" t="s">
        <v>61</v>
      </c>
      <c r="H1666" t="s">
        <v>78</v>
      </c>
      <c r="I1666" t="s">
        <v>46</v>
      </c>
      <c r="J1666" t="s">
        <v>47</v>
      </c>
      <c r="K1666" t="s">
        <v>48</v>
      </c>
      <c r="L1666">
        <v>5</v>
      </c>
      <c r="M1666">
        <v>180</v>
      </c>
      <c r="N1666">
        <v>0</v>
      </c>
      <c r="O1666">
        <v>900</v>
      </c>
      <c r="P1666">
        <v>321.14999999999998</v>
      </c>
      <c r="Q1666" t="s">
        <v>74</v>
      </c>
      <c r="R1666" t="s">
        <v>49</v>
      </c>
      <c r="S1666" t="s">
        <v>50</v>
      </c>
    </row>
    <row r="1667" spans="1:19" x14ac:dyDescent="0.3">
      <c r="A1667" t="s">
        <v>2725</v>
      </c>
      <c r="B1667" s="1">
        <v>45430</v>
      </c>
      <c r="C1667" s="1">
        <v>45434</v>
      </c>
      <c r="D1667" t="s">
        <v>827</v>
      </c>
      <c r="E1667" t="s">
        <v>828</v>
      </c>
      <c r="F1667" t="s">
        <v>34</v>
      </c>
      <c r="G1667" t="s">
        <v>44</v>
      </c>
      <c r="H1667" t="s">
        <v>155</v>
      </c>
      <c r="I1667" t="s">
        <v>71</v>
      </c>
      <c r="J1667" t="s">
        <v>72</v>
      </c>
      <c r="K1667" t="s">
        <v>73</v>
      </c>
      <c r="L1667">
        <v>1</v>
      </c>
      <c r="M1667">
        <v>3500</v>
      </c>
      <c r="N1667">
        <v>0</v>
      </c>
      <c r="O1667">
        <v>3500</v>
      </c>
      <c r="P1667">
        <v>1025.48</v>
      </c>
      <c r="Q1667" t="s">
        <v>121</v>
      </c>
      <c r="R1667" t="s">
        <v>29</v>
      </c>
      <c r="S1667" t="s">
        <v>86</v>
      </c>
    </row>
    <row r="1668" spans="1:19" x14ac:dyDescent="0.3">
      <c r="A1668" t="s">
        <v>2726</v>
      </c>
      <c r="B1668" s="1">
        <v>45519</v>
      </c>
      <c r="C1668" s="2">
        <v>45525</v>
      </c>
      <c r="D1668" t="s">
        <v>657</v>
      </c>
      <c r="E1668" t="s">
        <v>658</v>
      </c>
      <c r="F1668" t="s">
        <v>34</v>
      </c>
      <c r="G1668" t="s">
        <v>91</v>
      </c>
      <c r="H1668" t="s">
        <v>120</v>
      </c>
      <c r="I1668" t="s">
        <v>126</v>
      </c>
      <c r="J1668" t="s">
        <v>127</v>
      </c>
      <c r="K1668" t="s">
        <v>95</v>
      </c>
      <c r="L1668">
        <v>3</v>
      </c>
      <c r="M1668">
        <v>600</v>
      </c>
      <c r="N1668">
        <v>0</v>
      </c>
      <c r="O1668">
        <v>1800</v>
      </c>
      <c r="P1668">
        <v>679.46</v>
      </c>
      <c r="Q1668" t="s">
        <v>39</v>
      </c>
      <c r="R1668" t="s">
        <v>56</v>
      </c>
      <c r="S1668" t="s">
        <v>50</v>
      </c>
    </row>
    <row r="1669" spans="1:19" x14ac:dyDescent="0.3">
      <c r="A1669" t="s">
        <v>2727</v>
      </c>
      <c r="B1669" s="1">
        <v>45433</v>
      </c>
      <c r="C1669" t="s">
        <v>507</v>
      </c>
      <c r="D1669" t="s">
        <v>2290</v>
      </c>
      <c r="E1669" t="s">
        <v>2291</v>
      </c>
      <c r="F1669" t="s">
        <v>55</v>
      </c>
      <c r="G1669" t="s">
        <v>35</v>
      </c>
      <c r="I1669" t="s">
        <v>63</v>
      </c>
      <c r="J1669" t="s">
        <v>64</v>
      </c>
      <c r="K1669" t="s">
        <v>65</v>
      </c>
      <c r="L1669">
        <v>2</v>
      </c>
      <c r="M1669">
        <v>25000</v>
      </c>
      <c r="N1669">
        <v>15</v>
      </c>
      <c r="O1669">
        <v>42500</v>
      </c>
      <c r="P1669">
        <v>5261.31</v>
      </c>
      <c r="Q1669" t="s">
        <v>28</v>
      </c>
      <c r="R1669" t="s">
        <v>49</v>
      </c>
      <c r="S1669" t="s">
        <v>30</v>
      </c>
    </row>
    <row r="1670" spans="1:19" x14ac:dyDescent="0.3">
      <c r="A1670" t="s">
        <v>2728</v>
      </c>
      <c r="B1670" s="1">
        <v>45884</v>
      </c>
      <c r="C1670" t="s">
        <v>2729</v>
      </c>
      <c r="D1670" t="s">
        <v>561</v>
      </c>
      <c r="E1670" t="s">
        <v>562</v>
      </c>
      <c r="F1670" t="s">
        <v>23</v>
      </c>
      <c r="G1670" t="s">
        <v>44</v>
      </c>
      <c r="H1670" t="s">
        <v>155</v>
      </c>
      <c r="I1670" t="s">
        <v>71</v>
      </c>
      <c r="J1670" t="s">
        <v>72</v>
      </c>
      <c r="K1670" t="s">
        <v>73</v>
      </c>
      <c r="L1670">
        <v>1</v>
      </c>
      <c r="M1670">
        <v>3500</v>
      </c>
      <c r="N1670">
        <v>0</v>
      </c>
      <c r="O1670">
        <v>3500</v>
      </c>
      <c r="P1670">
        <v>940</v>
      </c>
      <c r="Q1670" t="s">
        <v>121</v>
      </c>
      <c r="R1670" t="s">
        <v>49</v>
      </c>
      <c r="S1670" t="s">
        <v>86</v>
      </c>
    </row>
    <row r="1671" spans="1:19" x14ac:dyDescent="0.3">
      <c r="A1671" t="s">
        <v>2730</v>
      </c>
      <c r="B1671" t="s">
        <v>649</v>
      </c>
      <c r="C1671" t="s">
        <v>1145</v>
      </c>
      <c r="D1671" t="s">
        <v>1482</v>
      </c>
      <c r="E1671" t="s">
        <v>1483</v>
      </c>
      <c r="F1671" t="s">
        <v>23</v>
      </c>
      <c r="G1671" t="s">
        <v>44</v>
      </c>
      <c r="H1671" t="s">
        <v>161</v>
      </c>
      <c r="I1671" t="s">
        <v>126</v>
      </c>
      <c r="J1671" t="s">
        <v>127</v>
      </c>
      <c r="K1671" t="s">
        <v>95</v>
      </c>
      <c r="L1671">
        <v>1</v>
      </c>
      <c r="M1671">
        <v>600</v>
      </c>
      <c r="N1671">
        <v>20</v>
      </c>
      <c r="O1671">
        <v>480</v>
      </c>
      <c r="P1671">
        <v>134.41</v>
      </c>
      <c r="Q1671" t="s">
        <v>28</v>
      </c>
      <c r="R1671" t="s">
        <v>56</v>
      </c>
      <c r="S1671" t="s">
        <v>40</v>
      </c>
    </row>
    <row r="1672" spans="1:19" x14ac:dyDescent="0.3">
      <c r="A1672" t="s">
        <v>2731</v>
      </c>
      <c r="B1672" s="2">
        <v>45500</v>
      </c>
      <c r="C1672" s="1">
        <v>45505</v>
      </c>
      <c r="D1672" t="s">
        <v>388</v>
      </c>
      <c r="E1672" t="s">
        <v>389</v>
      </c>
      <c r="F1672" t="s">
        <v>23</v>
      </c>
      <c r="G1672" t="s">
        <v>44</v>
      </c>
      <c r="H1672" t="s">
        <v>161</v>
      </c>
      <c r="I1672" t="s">
        <v>147</v>
      </c>
      <c r="J1672" t="s">
        <v>148</v>
      </c>
      <c r="K1672" t="s">
        <v>48</v>
      </c>
      <c r="L1672">
        <v>1</v>
      </c>
      <c r="M1672">
        <v>250</v>
      </c>
      <c r="N1672">
        <v>15</v>
      </c>
      <c r="O1672">
        <v>212.5</v>
      </c>
      <c r="P1672">
        <v>72.19</v>
      </c>
      <c r="Q1672" t="s">
        <v>39</v>
      </c>
      <c r="R1672" t="s">
        <v>49</v>
      </c>
      <c r="S1672" t="s">
        <v>86</v>
      </c>
    </row>
    <row r="1673" spans="1:19" x14ac:dyDescent="0.3">
      <c r="A1673" t="s">
        <v>2732</v>
      </c>
      <c r="B1673" s="1">
        <v>45660</v>
      </c>
      <c r="C1673" s="2">
        <v>45724</v>
      </c>
      <c r="D1673" t="s">
        <v>421</v>
      </c>
      <c r="E1673" t="s">
        <v>422</v>
      </c>
      <c r="F1673" t="s">
        <v>34</v>
      </c>
      <c r="G1673" t="s">
        <v>61</v>
      </c>
      <c r="H1673" t="s">
        <v>211</v>
      </c>
      <c r="I1673" t="s">
        <v>71</v>
      </c>
      <c r="J1673" t="s">
        <v>72</v>
      </c>
      <c r="K1673" t="s">
        <v>73</v>
      </c>
      <c r="L1673">
        <v>5</v>
      </c>
      <c r="M1673">
        <v>3500</v>
      </c>
      <c r="N1673">
        <v>10</v>
      </c>
      <c r="O1673">
        <v>15750</v>
      </c>
      <c r="P1673">
        <v>4899.12</v>
      </c>
      <c r="Q1673" t="s">
        <v>74</v>
      </c>
      <c r="R1673" t="s">
        <v>56</v>
      </c>
      <c r="S1673" t="s">
        <v>110</v>
      </c>
    </row>
    <row r="1674" spans="1:19" x14ac:dyDescent="0.3">
      <c r="A1674" t="s">
        <v>2733</v>
      </c>
      <c r="B1674" s="1">
        <v>45733</v>
      </c>
      <c r="C1674" t="s">
        <v>1106</v>
      </c>
      <c r="D1674" t="s">
        <v>625</v>
      </c>
      <c r="E1674" t="s">
        <v>626</v>
      </c>
      <c r="F1674" t="s">
        <v>34</v>
      </c>
      <c r="G1674" t="s">
        <v>61</v>
      </c>
      <c r="H1674" t="s">
        <v>211</v>
      </c>
      <c r="I1674" t="s">
        <v>46</v>
      </c>
      <c r="J1674" t="s">
        <v>47</v>
      </c>
      <c r="K1674" t="s">
        <v>48</v>
      </c>
      <c r="L1674">
        <v>1</v>
      </c>
      <c r="M1674">
        <v>180</v>
      </c>
      <c r="N1674">
        <v>15</v>
      </c>
      <c r="O1674">
        <v>153</v>
      </c>
      <c r="P1674">
        <v>51.12</v>
      </c>
      <c r="Q1674" t="s">
        <v>156</v>
      </c>
      <c r="R1674" t="s">
        <v>49</v>
      </c>
      <c r="S1674" t="s">
        <v>86</v>
      </c>
    </row>
    <row r="1675" spans="1:19" x14ac:dyDescent="0.3">
      <c r="A1675" t="s">
        <v>2734</v>
      </c>
      <c r="B1675" s="1">
        <v>45975</v>
      </c>
      <c r="C1675" s="1">
        <v>45980</v>
      </c>
      <c r="D1675" t="s">
        <v>973</v>
      </c>
      <c r="E1675" t="s">
        <v>974</v>
      </c>
      <c r="F1675" t="s">
        <v>34</v>
      </c>
      <c r="G1675" t="s">
        <v>91</v>
      </c>
      <c r="I1675" t="s">
        <v>114</v>
      </c>
      <c r="J1675" t="s">
        <v>115</v>
      </c>
      <c r="K1675" t="s">
        <v>65</v>
      </c>
      <c r="L1675">
        <v>1</v>
      </c>
      <c r="M1675">
        <v>55000</v>
      </c>
      <c r="N1675">
        <v>5</v>
      </c>
      <c r="O1675">
        <v>52250</v>
      </c>
      <c r="P1675">
        <v>9164.51</v>
      </c>
      <c r="Q1675" t="s">
        <v>156</v>
      </c>
      <c r="R1675" t="s">
        <v>29</v>
      </c>
      <c r="S1675" t="s">
        <v>110</v>
      </c>
    </row>
    <row r="1676" spans="1:19" x14ac:dyDescent="0.3">
      <c r="A1676" t="s">
        <v>2735</v>
      </c>
      <c r="B1676" s="1">
        <v>45317</v>
      </c>
      <c r="C1676" s="1">
        <v>45319</v>
      </c>
      <c r="D1676" t="s">
        <v>625</v>
      </c>
      <c r="E1676" t="s">
        <v>626</v>
      </c>
      <c r="F1676" t="s">
        <v>34</v>
      </c>
      <c r="G1676" t="s">
        <v>61</v>
      </c>
      <c r="H1676" t="s">
        <v>211</v>
      </c>
      <c r="I1676" t="s">
        <v>25</v>
      </c>
      <c r="J1676" t="s">
        <v>26</v>
      </c>
      <c r="K1676" t="s">
        <v>27</v>
      </c>
      <c r="L1676">
        <v>1</v>
      </c>
      <c r="M1676">
        <v>7000</v>
      </c>
      <c r="N1676">
        <v>15</v>
      </c>
      <c r="O1676">
        <v>5950</v>
      </c>
      <c r="P1676">
        <v>1315.48</v>
      </c>
      <c r="Q1676" t="s">
        <v>74</v>
      </c>
      <c r="R1676" t="s">
        <v>49</v>
      </c>
      <c r="S1676" t="s">
        <v>50</v>
      </c>
    </row>
    <row r="1677" spans="1:19" x14ac:dyDescent="0.3">
      <c r="A1677" t="s">
        <v>2736</v>
      </c>
      <c r="B1677" s="1">
        <v>45931</v>
      </c>
      <c r="C1677" s="2">
        <v>45937</v>
      </c>
      <c r="D1677" t="s">
        <v>269</v>
      </c>
      <c r="E1677" t="s">
        <v>2737</v>
      </c>
      <c r="F1677" t="s">
        <v>23</v>
      </c>
      <c r="G1677" t="s">
        <v>35</v>
      </c>
      <c r="I1677" t="s">
        <v>103</v>
      </c>
      <c r="J1677" t="s">
        <v>104</v>
      </c>
      <c r="K1677" t="s">
        <v>65</v>
      </c>
      <c r="L1677">
        <v>1</v>
      </c>
      <c r="M1677">
        <v>8000</v>
      </c>
      <c r="N1677">
        <v>20</v>
      </c>
      <c r="O1677">
        <v>6400</v>
      </c>
      <c r="P1677">
        <v>1490.04</v>
      </c>
      <c r="Q1677" t="s">
        <v>74</v>
      </c>
      <c r="R1677" t="s">
        <v>29</v>
      </c>
      <c r="S1677" t="s">
        <v>40</v>
      </c>
    </row>
    <row r="1678" spans="1:19" x14ac:dyDescent="0.3">
      <c r="A1678" t="s">
        <v>2738</v>
      </c>
      <c r="B1678" s="2">
        <v>45298</v>
      </c>
      <c r="C1678" s="2">
        <v>45299</v>
      </c>
      <c r="D1678" t="s">
        <v>1886</v>
      </c>
      <c r="E1678" t="s">
        <v>1887</v>
      </c>
      <c r="F1678" t="s">
        <v>23</v>
      </c>
      <c r="G1678" t="s">
        <v>91</v>
      </c>
      <c r="H1678" t="s">
        <v>120</v>
      </c>
      <c r="I1678" t="s">
        <v>37</v>
      </c>
      <c r="J1678" t="s">
        <v>38</v>
      </c>
      <c r="K1678" t="s">
        <v>27</v>
      </c>
      <c r="L1678">
        <v>1</v>
      </c>
      <c r="M1678">
        <v>9500</v>
      </c>
      <c r="N1678">
        <v>0</v>
      </c>
      <c r="O1678">
        <v>9500</v>
      </c>
      <c r="P1678">
        <v>1589.43</v>
      </c>
      <c r="Q1678" t="s">
        <v>121</v>
      </c>
      <c r="R1678" t="s">
        <v>29</v>
      </c>
      <c r="S1678" t="s">
        <v>110</v>
      </c>
    </row>
    <row r="1679" spans="1:19" x14ac:dyDescent="0.3">
      <c r="A1679" t="s">
        <v>2739</v>
      </c>
      <c r="B1679" t="s">
        <v>1982</v>
      </c>
      <c r="C1679" t="s">
        <v>688</v>
      </c>
      <c r="D1679" t="s">
        <v>973</v>
      </c>
      <c r="E1679" t="s">
        <v>974</v>
      </c>
      <c r="F1679" t="s">
        <v>34</v>
      </c>
      <c r="G1679" t="s">
        <v>91</v>
      </c>
      <c r="H1679" t="s">
        <v>177</v>
      </c>
      <c r="I1679" t="s">
        <v>126</v>
      </c>
      <c r="J1679" t="s">
        <v>127</v>
      </c>
      <c r="K1679" t="s">
        <v>95</v>
      </c>
      <c r="L1679">
        <v>1</v>
      </c>
      <c r="M1679">
        <v>600</v>
      </c>
      <c r="N1679">
        <v>0</v>
      </c>
      <c r="O1679">
        <v>600</v>
      </c>
      <c r="P1679">
        <v>232.05</v>
      </c>
      <c r="Q1679" t="s">
        <v>28</v>
      </c>
      <c r="R1679" t="s">
        <v>29</v>
      </c>
      <c r="S1679" t="s">
        <v>86</v>
      </c>
    </row>
    <row r="1680" spans="1:19" x14ac:dyDescent="0.3">
      <c r="A1680" t="s">
        <v>2740</v>
      </c>
      <c r="B1680" s="1">
        <v>45670</v>
      </c>
      <c r="C1680" s="1">
        <v>45677</v>
      </c>
      <c r="D1680" t="s">
        <v>965</v>
      </c>
      <c r="E1680" t="s">
        <v>966</v>
      </c>
      <c r="F1680" t="s">
        <v>34</v>
      </c>
      <c r="G1680" t="s">
        <v>44</v>
      </c>
      <c r="H1680" t="s">
        <v>45</v>
      </c>
      <c r="I1680" t="s">
        <v>63</v>
      </c>
      <c r="J1680" t="s">
        <v>64</v>
      </c>
      <c r="K1680" t="s">
        <v>65</v>
      </c>
      <c r="L1680">
        <v>3</v>
      </c>
      <c r="M1680">
        <v>25000</v>
      </c>
      <c r="N1680">
        <v>5</v>
      </c>
      <c r="O1680">
        <v>71250</v>
      </c>
      <c r="P1680">
        <v>9995.9699999999993</v>
      </c>
      <c r="Q1680" t="s">
        <v>74</v>
      </c>
      <c r="R1680" t="s">
        <v>56</v>
      </c>
      <c r="S1680" t="s">
        <v>30</v>
      </c>
    </row>
    <row r="1681" spans="1:19" x14ac:dyDescent="0.3">
      <c r="A1681" t="s">
        <v>2741</v>
      </c>
      <c r="B1681" s="1">
        <v>45932</v>
      </c>
      <c r="C1681" s="1">
        <v>45939</v>
      </c>
      <c r="D1681" t="s">
        <v>1015</v>
      </c>
      <c r="E1681" t="s">
        <v>1016</v>
      </c>
      <c r="F1681" t="s">
        <v>23</v>
      </c>
      <c r="G1681" t="s">
        <v>44</v>
      </c>
      <c r="H1681" t="s">
        <v>45</v>
      </c>
      <c r="I1681" t="s">
        <v>147</v>
      </c>
      <c r="J1681" t="s">
        <v>148</v>
      </c>
      <c r="K1681" t="s">
        <v>48</v>
      </c>
      <c r="L1681">
        <v>3</v>
      </c>
      <c r="M1681">
        <v>250</v>
      </c>
      <c r="N1681">
        <v>0</v>
      </c>
      <c r="O1681">
        <v>750</v>
      </c>
      <c r="P1681">
        <v>305.95</v>
      </c>
      <c r="Q1681" t="s">
        <v>28</v>
      </c>
      <c r="R1681" t="s">
        <v>29</v>
      </c>
      <c r="S1681" t="s">
        <v>110</v>
      </c>
    </row>
    <row r="1682" spans="1:19" x14ac:dyDescent="0.3">
      <c r="A1682" t="s">
        <v>2742</v>
      </c>
      <c r="B1682" s="1">
        <v>45471</v>
      </c>
      <c r="C1682" s="1">
        <v>45298</v>
      </c>
      <c r="D1682" t="s">
        <v>1058</v>
      </c>
      <c r="E1682" t="s">
        <v>1059</v>
      </c>
      <c r="F1682" t="s">
        <v>55</v>
      </c>
      <c r="G1682" t="s">
        <v>91</v>
      </c>
      <c r="H1682" t="s">
        <v>92</v>
      </c>
      <c r="I1682" t="s">
        <v>79</v>
      </c>
      <c r="J1682" t="s">
        <v>80</v>
      </c>
      <c r="K1682" t="s">
        <v>65</v>
      </c>
      <c r="L1682">
        <v>4</v>
      </c>
      <c r="M1682">
        <v>3000</v>
      </c>
      <c r="N1682">
        <v>15</v>
      </c>
      <c r="O1682">
        <v>10200</v>
      </c>
      <c r="P1682">
        <v>3249.37</v>
      </c>
      <c r="Q1682" t="s">
        <v>121</v>
      </c>
      <c r="R1682" t="s">
        <v>29</v>
      </c>
      <c r="S1682" t="s">
        <v>86</v>
      </c>
    </row>
    <row r="1683" spans="1:19" x14ac:dyDescent="0.3">
      <c r="A1683" t="s">
        <v>2743</v>
      </c>
      <c r="B1683" s="2">
        <v>45361</v>
      </c>
      <c r="C1683" t="s">
        <v>2744</v>
      </c>
      <c r="D1683" t="s">
        <v>735</v>
      </c>
      <c r="E1683" t="s">
        <v>2745</v>
      </c>
      <c r="F1683" t="s">
        <v>23</v>
      </c>
      <c r="G1683" t="s">
        <v>44</v>
      </c>
      <c r="H1683" t="s">
        <v>24</v>
      </c>
      <c r="I1683" t="s">
        <v>79</v>
      </c>
      <c r="J1683" t="s">
        <v>80</v>
      </c>
      <c r="K1683" t="s">
        <v>65</v>
      </c>
      <c r="L1683">
        <v>4</v>
      </c>
      <c r="M1683">
        <v>3000</v>
      </c>
      <c r="N1683">
        <v>15</v>
      </c>
      <c r="O1683">
        <v>10200</v>
      </c>
      <c r="P1683">
        <v>3012.76</v>
      </c>
      <c r="Q1683" t="s">
        <v>74</v>
      </c>
      <c r="R1683" t="s">
        <v>49</v>
      </c>
      <c r="S1683" t="s">
        <v>50</v>
      </c>
    </row>
    <row r="1684" spans="1:19" x14ac:dyDescent="0.3">
      <c r="A1684" t="s">
        <v>2746</v>
      </c>
      <c r="B1684" s="1">
        <v>45960</v>
      </c>
      <c r="C1684" s="1">
        <v>45699</v>
      </c>
      <c r="D1684" t="s">
        <v>318</v>
      </c>
      <c r="E1684" t="s">
        <v>319</v>
      </c>
      <c r="F1684" t="s">
        <v>55</v>
      </c>
      <c r="G1684" t="s">
        <v>35</v>
      </c>
      <c r="H1684" t="s">
        <v>36</v>
      </c>
      <c r="I1684" t="s">
        <v>126</v>
      </c>
      <c r="J1684" t="s">
        <v>127</v>
      </c>
      <c r="K1684" t="s">
        <v>95</v>
      </c>
      <c r="L1684">
        <v>3</v>
      </c>
      <c r="M1684">
        <v>600</v>
      </c>
      <c r="N1684">
        <v>20</v>
      </c>
      <c r="O1684">
        <v>1440</v>
      </c>
      <c r="P1684">
        <v>595.55999999999995</v>
      </c>
      <c r="Q1684" t="s">
        <v>39</v>
      </c>
      <c r="R1684" t="s">
        <v>29</v>
      </c>
      <c r="S1684" t="s">
        <v>110</v>
      </c>
    </row>
    <row r="1685" spans="1:19" x14ac:dyDescent="0.3">
      <c r="A1685" t="s">
        <v>2747</v>
      </c>
      <c r="B1685" t="s">
        <v>916</v>
      </c>
      <c r="C1685" s="2">
        <v>45990</v>
      </c>
      <c r="D1685" t="s">
        <v>1659</v>
      </c>
      <c r="E1685" t="s">
        <v>1660</v>
      </c>
      <c r="F1685" t="s">
        <v>34</v>
      </c>
      <c r="G1685" t="s">
        <v>44</v>
      </c>
      <c r="H1685" t="s">
        <v>24</v>
      </c>
      <c r="I1685" t="s">
        <v>37</v>
      </c>
      <c r="J1685" t="s">
        <v>38</v>
      </c>
      <c r="K1685" t="s">
        <v>27</v>
      </c>
      <c r="L1685">
        <v>1</v>
      </c>
      <c r="M1685">
        <v>9500</v>
      </c>
      <c r="N1685">
        <v>10</v>
      </c>
      <c r="O1685">
        <v>8550</v>
      </c>
      <c r="P1685">
        <v>1641.51</v>
      </c>
      <c r="R1685" t="s">
        <v>49</v>
      </c>
      <c r="S1685" t="s">
        <v>110</v>
      </c>
    </row>
    <row r="1686" spans="1:19" x14ac:dyDescent="0.3">
      <c r="A1686" t="s">
        <v>2748</v>
      </c>
      <c r="B1686" s="2">
        <v>45438</v>
      </c>
      <c r="C1686" s="1">
        <v>45440</v>
      </c>
      <c r="D1686" t="s">
        <v>203</v>
      </c>
      <c r="E1686" t="s">
        <v>204</v>
      </c>
      <c r="F1686" t="s">
        <v>23</v>
      </c>
      <c r="G1686" t="s">
        <v>44</v>
      </c>
      <c r="H1686" t="s">
        <v>45</v>
      </c>
      <c r="I1686" t="s">
        <v>114</v>
      </c>
      <c r="J1686" t="s">
        <v>115</v>
      </c>
      <c r="K1686" t="s">
        <v>65</v>
      </c>
      <c r="L1686">
        <v>3</v>
      </c>
      <c r="M1686">
        <v>55000</v>
      </c>
      <c r="N1686">
        <v>0</v>
      </c>
      <c r="O1686">
        <v>165000</v>
      </c>
      <c r="P1686">
        <v>27289.98</v>
      </c>
      <c r="Q1686" t="s">
        <v>28</v>
      </c>
      <c r="R1686" t="s">
        <v>29</v>
      </c>
      <c r="S1686" t="s">
        <v>30</v>
      </c>
    </row>
    <row r="1687" spans="1:19" x14ac:dyDescent="0.3">
      <c r="A1687" t="s">
        <v>2749</v>
      </c>
      <c r="B1687" s="1">
        <v>45337</v>
      </c>
      <c r="C1687" s="2">
        <v>45342</v>
      </c>
      <c r="D1687" t="s">
        <v>527</v>
      </c>
      <c r="E1687" t="s">
        <v>528</v>
      </c>
      <c r="F1687" t="s">
        <v>23</v>
      </c>
      <c r="G1687" t="s">
        <v>44</v>
      </c>
      <c r="H1687" t="s">
        <v>161</v>
      </c>
      <c r="I1687" t="s">
        <v>25</v>
      </c>
      <c r="J1687" t="s">
        <v>26</v>
      </c>
      <c r="K1687" t="s">
        <v>27</v>
      </c>
      <c r="L1687">
        <v>3</v>
      </c>
      <c r="M1687">
        <v>7000</v>
      </c>
      <c r="N1687">
        <v>0</v>
      </c>
      <c r="O1687">
        <v>21000</v>
      </c>
      <c r="P1687">
        <v>5074.82</v>
      </c>
      <c r="Q1687" t="s">
        <v>156</v>
      </c>
      <c r="R1687" t="s">
        <v>56</v>
      </c>
      <c r="S1687" t="s">
        <v>50</v>
      </c>
    </row>
    <row r="1688" spans="1:19" x14ac:dyDescent="0.3">
      <c r="A1688" t="s">
        <v>2750</v>
      </c>
      <c r="B1688" s="2">
        <v>45415</v>
      </c>
      <c r="C1688" s="1">
        <v>45478</v>
      </c>
      <c r="D1688" t="s">
        <v>438</v>
      </c>
      <c r="E1688" t="s">
        <v>439</v>
      </c>
      <c r="F1688" t="s">
        <v>34</v>
      </c>
      <c r="G1688" t="s">
        <v>35</v>
      </c>
      <c r="H1688" t="s">
        <v>85</v>
      </c>
      <c r="I1688" t="s">
        <v>134</v>
      </c>
      <c r="J1688" t="s">
        <v>135</v>
      </c>
      <c r="K1688" t="s">
        <v>27</v>
      </c>
      <c r="L1688">
        <v>1</v>
      </c>
      <c r="M1688">
        <v>6000</v>
      </c>
      <c r="N1688">
        <v>0</v>
      </c>
      <c r="O1688">
        <v>6000</v>
      </c>
      <c r="P1688">
        <v>1441.23</v>
      </c>
      <c r="Q1688" t="s">
        <v>28</v>
      </c>
      <c r="R1688" t="s">
        <v>56</v>
      </c>
      <c r="S1688" t="s">
        <v>40</v>
      </c>
    </row>
    <row r="1689" spans="1:19" x14ac:dyDescent="0.3">
      <c r="A1689" t="s">
        <v>2751</v>
      </c>
      <c r="B1689" s="1">
        <v>45996</v>
      </c>
      <c r="C1689" t="s">
        <v>2752</v>
      </c>
      <c r="D1689" t="s">
        <v>643</v>
      </c>
      <c r="E1689" t="s">
        <v>644</v>
      </c>
      <c r="F1689" t="s">
        <v>34</v>
      </c>
      <c r="G1689" t="s">
        <v>61</v>
      </c>
      <c r="H1689" t="s">
        <v>78</v>
      </c>
      <c r="I1689" t="s">
        <v>37</v>
      </c>
      <c r="J1689" t="s">
        <v>38</v>
      </c>
      <c r="K1689" t="s">
        <v>27</v>
      </c>
      <c r="L1689">
        <v>4</v>
      </c>
      <c r="M1689">
        <v>9500</v>
      </c>
      <c r="N1689">
        <v>0</v>
      </c>
      <c r="O1689">
        <v>38000</v>
      </c>
      <c r="P1689">
        <v>7246.97</v>
      </c>
      <c r="Q1689" t="s">
        <v>74</v>
      </c>
      <c r="R1689" t="s">
        <v>56</v>
      </c>
      <c r="S1689" t="s">
        <v>86</v>
      </c>
    </row>
    <row r="1690" spans="1:19" x14ac:dyDescent="0.3">
      <c r="A1690" t="s">
        <v>2753</v>
      </c>
      <c r="B1690" s="1">
        <v>45649</v>
      </c>
      <c r="C1690" s="1">
        <v>45655</v>
      </c>
      <c r="D1690" t="s">
        <v>321</v>
      </c>
      <c r="E1690" t="s">
        <v>322</v>
      </c>
      <c r="F1690" t="s">
        <v>34</v>
      </c>
      <c r="G1690" t="s">
        <v>91</v>
      </c>
      <c r="H1690" t="s">
        <v>109</v>
      </c>
      <c r="I1690" t="s">
        <v>147</v>
      </c>
      <c r="J1690" t="s">
        <v>148</v>
      </c>
      <c r="K1690" t="s">
        <v>48</v>
      </c>
      <c r="L1690">
        <v>3</v>
      </c>
      <c r="M1690">
        <v>250</v>
      </c>
      <c r="N1690">
        <v>15</v>
      </c>
      <c r="O1690">
        <v>637.5</v>
      </c>
      <c r="P1690">
        <v>250.41</v>
      </c>
      <c r="Q1690" t="s">
        <v>156</v>
      </c>
      <c r="R1690" t="s">
        <v>56</v>
      </c>
      <c r="S1690" t="s">
        <v>110</v>
      </c>
    </row>
    <row r="1691" spans="1:19" x14ac:dyDescent="0.3">
      <c r="A1691" t="s">
        <v>2754</v>
      </c>
      <c r="B1691" s="2">
        <v>45840</v>
      </c>
      <c r="C1691" s="2">
        <v>45846</v>
      </c>
      <c r="D1691" t="s">
        <v>435</v>
      </c>
      <c r="E1691" t="s">
        <v>436</v>
      </c>
      <c r="F1691" t="s">
        <v>23</v>
      </c>
      <c r="G1691" t="s">
        <v>44</v>
      </c>
      <c r="I1691" t="s">
        <v>46</v>
      </c>
      <c r="J1691" t="s">
        <v>47</v>
      </c>
      <c r="K1691" t="s">
        <v>48</v>
      </c>
      <c r="L1691">
        <v>1</v>
      </c>
      <c r="M1691">
        <v>180</v>
      </c>
      <c r="N1691">
        <v>10</v>
      </c>
      <c r="O1691">
        <v>162</v>
      </c>
      <c r="P1691">
        <v>71.02</v>
      </c>
      <c r="Q1691" t="s">
        <v>66</v>
      </c>
      <c r="R1691" t="s">
        <v>29</v>
      </c>
      <c r="S1691" t="s">
        <v>110</v>
      </c>
    </row>
    <row r="1692" spans="1:19" x14ac:dyDescent="0.3">
      <c r="A1692" t="s">
        <v>2755</v>
      </c>
      <c r="B1692" s="1">
        <v>45618</v>
      </c>
      <c r="C1692" s="1">
        <v>45619</v>
      </c>
      <c r="D1692" t="s">
        <v>192</v>
      </c>
      <c r="E1692" t="s">
        <v>193</v>
      </c>
      <c r="F1692" t="s">
        <v>55</v>
      </c>
      <c r="G1692" t="s">
        <v>35</v>
      </c>
      <c r="I1692" t="s">
        <v>25</v>
      </c>
      <c r="J1692" t="s">
        <v>26</v>
      </c>
      <c r="K1692" t="s">
        <v>27</v>
      </c>
      <c r="L1692">
        <v>1</v>
      </c>
      <c r="M1692">
        <v>7000</v>
      </c>
      <c r="N1692">
        <v>10</v>
      </c>
      <c r="O1692">
        <v>6300</v>
      </c>
      <c r="P1692">
        <v>1416.64</v>
      </c>
      <c r="Q1692" t="s">
        <v>28</v>
      </c>
      <c r="R1692" t="s">
        <v>29</v>
      </c>
      <c r="S1692" t="s">
        <v>50</v>
      </c>
    </row>
    <row r="1693" spans="1:19" x14ac:dyDescent="0.3">
      <c r="A1693" t="s">
        <v>2756</v>
      </c>
      <c r="B1693" s="2">
        <v>45735</v>
      </c>
      <c r="C1693" s="1">
        <v>45737</v>
      </c>
      <c r="D1693" t="s">
        <v>281</v>
      </c>
      <c r="E1693" t="s">
        <v>282</v>
      </c>
      <c r="F1693" t="s">
        <v>34</v>
      </c>
      <c r="G1693" t="s">
        <v>61</v>
      </c>
      <c r="H1693" t="s">
        <v>62</v>
      </c>
      <c r="I1693" t="s">
        <v>147</v>
      </c>
      <c r="J1693" t="s">
        <v>148</v>
      </c>
      <c r="K1693" t="s">
        <v>48</v>
      </c>
      <c r="L1693">
        <v>3</v>
      </c>
      <c r="M1693">
        <v>250</v>
      </c>
      <c r="N1693">
        <v>0</v>
      </c>
      <c r="O1693">
        <v>750</v>
      </c>
      <c r="P1693">
        <v>289.95999999999998</v>
      </c>
      <c r="Q1693" t="s">
        <v>121</v>
      </c>
      <c r="R1693" t="s">
        <v>49</v>
      </c>
      <c r="S1693" t="s">
        <v>110</v>
      </c>
    </row>
    <row r="1694" spans="1:19" x14ac:dyDescent="0.3">
      <c r="A1694" t="s">
        <v>2757</v>
      </c>
      <c r="B1694" s="2">
        <v>46017</v>
      </c>
      <c r="C1694" s="2">
        <v>46021</v>
      </c>
      <c r="D1694" t="s">
        <v>203</v>
      </c>
      <c r="E1694" t="s">
        <v>204</v>
      </c>
      <c r="F1694" t="s">
        <v>23</v>
      </c>
      <c r="G1694" t="s">
        <v>44</v>
      </c>
      <c r="H1694" t="s">
        <v>45</v>
      </c>
      <c r="I1694" t="s">
        <v>46</v>
      </c>
      <c r="J1694" t="s">
        <v>47</v>
      </c>
      <c r="K1694" t="s">
        <v>48</v>
      </c>
      <c r="L1694">
        <v>1</v>
      </c>
      <c r="M1694">
        <v>180</v>
      </c>
      <c r="N1694">
        <v>20</v>
      </c>
      <c r="O1694">
        <v>144</v>
      </c>
      <c r="P1694">
        <v>66.78</v>
      </c>
      <c r="Q1694" t="s">
        <v>156</v>
      </c>
      <c r="R1694" t="s">
        <v>49</v>
      </c>
      <c r="S1694" t="s">
        <v>40</v>
      </c>
    </row>
    <row r="1695" spans="1:19" x14ac:dyDescent="0.3">
      <c r="A1695" t="s">
        <v>2758</v>
      </c>
      <c r="B1695" t="s">
        <v>1524</v>
      </c>
      <c r="C1695" s="1">
        <v>45519</v>
      </c>
      <c r="D1695" t="s">
        <v>1426</v>
      </c>
      <c r="E1695" t="s">
        <v>1427</v>
      </c>
      <c r="F1695" t="s">
        <v>23</v>
      </c>
      <c r="G1695" t="s">
        <v>61</v>
      </c>
      <c r="H1695" t="s">
        <v>62</v>
      </c>
      <c r="I1695" t="s">
        <v>103</v>
      </c>
      <c r="J1695" t="s">
        <v>104</v>
      </c>
      <c r="K1695" t="s">
        <v>65</v>
      </c>
      <c r="L1695">
        <v>1</v>
      </c>
      <c r="M1695">
        <v>8000</v>
      </c>
      <c r="N1695">
        <v>20</v>
      </c>
      <c r="O1695">
        <v>6400</v>
      </c>
      <c r="P1695">
        <v>1180.96</v>
      </c>
      <c r="Q1695" t="s">
        <v>156</v>
      </c>
      <c r="R1695" t="s">
        <v>29</v>
      </c>
      <c r="S1695" t="s">
        <v>40</v>
      </c>
    </row>
    <row r="1696" spans="1:19" x14ac:dyDescent="0.3">
      <c r="A1696" t="s">
        <v>2759</v>
      </c>
      <c r="B1696" s="1">
        <v>45821</v>
      </c>
      <c r="C1696" s="1">
        <v>45828</v>
      </c>
      <c r="D1696" t="s">
        <v>613</v>
      </c>
      <c r="E1696" t="s">
        <v>614</v>
      </c>
      <c r="F1696" t="s">
        <v>55</v>
      </c>
      <c r="G1696" t="s">
        <v>61</v>
      </c>
      <c r="H1696" t="s">
        <v>211</v>
      </c>
      <c r="I1696" t="s">
        <v>71</v>
      </c>
      <c r="J1696" t="s">
        <v>72</v>
      </c>
      <c r="K1696" t="s">
        <v>73</v>
      </c>
      <c r="L1696">
        <v>5</v>
      </c>
      <c r="M1696">
        <v>3500</v>
      </c>
      <c r="N1696">
        <v>0</v>
      </c>
      <c r="O1696">
        <v>17500</v>
      </c>
      <c r="P1696">
        <v>4677.8</v>
      </c>
      <c r="Q1696" t="s">
        <v>121</v>
      </c>
      <c r="R1696" t="s">
        <v>49</v>
      </c>
      <c r="S1696" t="s">
        <v>86</v>
      </c>
    </row>
    <row r="1697" spans="1:19" x14ac:dyDescent="0.3">
      <c r="A1697" t="s">
        <v>2760</v>
      </c>
      <c r="B1697" s="2">
        <v>45675</v>
      </c>
      <c r="C1697" s="2">
        <v>45679</v>
      </c>
      <c r="D1697" t="s">
        <v>21</v>
      </c>
      <c r="E1697" t="s">
        <v>22</v>
      </c>
      <c r="F1697" t="s">
        <v>23</v>
      </c>
      <c r="G1697" t="s">
        <v>44</v>
      </c>
      <c r="H1697" t="s">
        <v>24</v>
      </c>
      <c r="I1697" t="s">
        <v>134</v>
      </c>
      <c r="J1697" t="s">
        <v>135</v>
      </c>
      <c r="K1697" t="s">
        <v>27</v>
      </c>
      <c r="L1697">
        <v>1</v>
      </c>
      <c r="M1697">
        <v>6000</v>
      </c>
      <c r="N1697">
        <v>15</v>
      </c>
      <c r="O1697">
        <v>5100</v>
      </c>
      <c r="P1697">
        <v>1344.17</v>
      </c>
      <c r="Q1697" t="s">
        <v>28</v>
      </c>
      <c r="R1697" t="s">
        <v>49</v>
      </c>
      <c r="S1697" t="s">
        <v>40</v>
      </c>
    </row>
    <row r="1698" spans="1:19" x14ac:dyDescent="0.3">
      <c r="A1698" t="s">
        <v>2761</v>
      </c>
      <c r="B1698" s="2">
        <v>45829</v>
      </c>
      <c r="C1698" s="2">
        <v>45833</v>
      </c>
      <c r="D1698" t="s">
        <v>1072</v>
      </c>
      <c r="E1698" t="s">
        <v>1073</v>
      </c>
      <c r="F1698" t="s">
        <v>23</v>
      </c>
      <c r="G1698" t="s">
        <v>44</v>
      </c>
      <c r="H1698" t="s">
        <v>161</v>
      </c>
      <c r="I1698" t="s">
        <v>46</v>
      </c>
      <c r="J1698" t="s">
        <v>47</v>
      </c>
      <c r="K1698" t="s">
        <v>48</v>
      </c>
      <c r="L1698">
        <v>1</v>
      </c>
      <c r="M1698">
        <v>180</v>
      </c>
      <c r="N1698">
        <v>10</v>
      </c>
      <c r="O1698">
        <v>162</v>
      </c>
      <c r="P1698">
        <v>61.61</v>
      </c>
      <c r="Q1698" t="s">
        <v>156</v>
      </c>
      <c r="R1698" t="s">
        <v>56</v>
      </c>
      <c r="S1698" t="s">
        <v>50</v>
      </c>
    </row>
    <row r="1699" spans="1:19" x14ac:dyDescent="0.3">
      <c r="A1699" t="s">
        <v>2762</v>
      </c>
      <c r="B1699" s="1">
        <v>45933</v>
      </c>
      <c r="C1699" s="1">
        <v>45910</v>
      </c>
      <c r="D1699" t="s">
        <v>830</v>
      </c>
      <c r="E1699" t="s">
        <v>831</v>
      </c>
      <c r="F1699" t="s">
        <v>23</v>
      </c>
      <c r="G1699" t="s">
        <v>61</v>
      </c>
      <c r="H1699" t="s">
        <v>125</v>
      </c>
      <c r="I1699" t="s">
        <v>63</v>
      </c>
      <c r="J1699" t="s">
        <v>64</v>
      </c>
      <c r="K1699" t="s">
        <v>65</v>
      </c>
      <c r="L1699">
        <v>1</v>
      </c>
      <c r="M1699">
        <v>25000</v>
      </c>
      <c r="N1699">
        <v>5</v>
      </c>
      <c r="O1699">
        <v>23750</v>
      </c>
      <c r="P1699">
        <v>3645.23</v>
      </c>
      <c r="Q1699" t="s">
        <v>74</v>
      </c>
      <c r="R1699" t="s">
        <v>29</v>
      </c>
      <c r="S1699" t="s">
        <v>86</v>
      </c>
    </row>
    <row r="1700" spans="1:19" x14ac:dyDescent="0.3">
      <c r="A1700" t="s">
        <v>2763</v>
      </c>
      <c r="B1700" s="1">
        <v>45443</v>
      </c>
      <c r="C1700" s="2">
        <v>45448</v>
      </c>
      <c r="D1700" t="s">
        <v>1152</v>
      </c>
      <c r="E1700" t="s">
        <v>1153</v>
      </c>
      <c r="F1700" t="s">
        <v>55</v>
      </c>
      <c r="G1700" t="s">
        <v>61</v>
      </c>
      <c r="H1700" t="s">
        <v>211</v>
      </c>
      <c r="I1700" t="s">
        <v>37</v>
      </c>
      <c r="J1700" t="s">
        <v>38</v>
      </c>
      <c r="K1700" t="s">
        <v>27</v>
      </c>
      <c r="L1700">
        <v>1</v>
      </c>
      <c r="M1700">
        <v>9500</v>
      </c>
      <c r="N1700">
        <v>10</v>
      </c>
      <c r="O1700">
        <v>8550</v>
      </c>
      <c r="P1700">
        <v>1864.22</v>
      </c>
      <c r="Q1700" t="s">
        <v>66</v>
      </c>
      <c r="R1700" t="s">
        <v>29</v>
      </c>
      <c r="S1700" t="s">
        <v>30</v>
      </c>
    </row>
    <row r="1701" spans="1:19" x14ac:dyDescent="0.3">
      <c r="A1701" t="s">
        <v>2764</v>
      </c>
      <c r="B1701" s="2">
        <v>45539</v>
      </c>
      <c r="C1701" s="2">
        <v>45545</v>
      </c>
      <c r="D1701" t="s">
        <v>2379</v>
      </c>
      <c r="E1701" t="s">
        <v>2380</v>
      </c>
      <c r="F1701" t="s">
        <v>34</v>
      </c>
      <c r="G1701" t="s">
        <v>61</v>
      </c>
      <c r="H1701" t="s">
        <v>211</v>
      </c>
      <c r="I1701" t="s">
        <v>126</v>
      </c>
      <c r="J1701" t="s">
        <v>127</v>
      </c>
      <c r="K1701" t="s">
        <v>95</v>
      </c>
      <c r="L1701">
        <v>3</v>
      </c>
      <c r="M1701">
        <v>600</v>
      </c>
      <c r="N1701">
        <v>10</v>
      </c>
      <c r="O1701">
        <v>1620</v>
      </c>
      <c r="P1701">
        <v>620.65</v>
      </c>
      <c r="Q1701" t="s">
        <v>156</v>
      </c>
      <c r="R1701" t="s">
        <v>56</v>
      </c>
      <c r="S1701" t="s">
        <v>50</v>
      </c>
    </row>
    <row r="1702" spans="1:19" x14ac:dyDescent="0.3">
      <c r="A1702" t="s">
        <v>2765</v>
      </c>
      <c r="B1702" s="2">
        <v>45616</v>
      </c>
      <c r="D1702" t="s">
        <v>346</v>
      </c>
      <c r="E1702" t="s">
        <v>347</v>
      </c>
      <c r="F1702" t="s">
        <v>23</v>
      </c>
      <c r="G1702" t="s">
        <v>44</v>
      </c>
      <c r="H1702" t="s">
        <v>155</v>
      </c>
      <c r="I1702" t="s">
        <v>93</v>
      </c>
      <c r="J1702" t="s">
        <v>94</v>
      </c>
      <c r="K1702" t="s">
        <v>95</v>
      </c>
      <c r="L1702">
        <v>1</v>
      </c>
      <c r="M1702">
        <v>1800</v>
      </c>
      <c r="N1702">
        <v>20</v>
      </c>
      <c r="O1702">
        <v>1440</v>
      </c>
      <c r="P1702">
        <v>430.07</v>
      </c>
      <c r="Q1702" t="s">
        <v>121</v>
      </c>
      <c r="R1702" t="s">
        <v>29</v>
      </c>
      <c r="S1702" t="s">
        <v>40</v>
      </c>
    </row>
    <row r="1703" spans="1:19" x14ac:dyDescent="0.3">
      <c r="A1703" t="s">
        <v>2766</v>
      </c>
      <c r="B1703" s="2">
        <v>45440</v>
      </c>
      <c r="C1703" s="1">
        <v>45446</v>
      </c>
      <c r="D1703" t="s">
        <v>713</v>
      </c>
      <c r="E1703" t="s">
        <v>714</v>
      </c>
      <c r="F1703" t="s">
        <v>34</v>
      </c>
      <c r="G1703" t="s">
        <v>35</v>
      </c>
      <c r="H1703" t="s">
        <v>258</v>
      </c>
      <c r="I1703" t="s">
        <v>37</v>
      </c>
      <c r="J1703" t="s">
        <v>38</v>
      </c>
      <c r="K1703" t="s">
        <v>27</v>
      </c>
      <c r="L1703">
        <v>1</v>
      </c>
      <c r="M1703">
        <v>9500</v>
      </c>
      <c r="N1703">
        <v>15</v>
      </c>
      <c r="O1703">
        <v>8075</v>
      </c>
      <c r="P1703">
        <v>1359.14</v>
      </c>
      <c r="Q1703" t="s">
        <v>28</v>
      </c>
      <c r="R1703" t="s">
        <v>49</v>
      </c>
      <c r="S1703" t="s">
        <v>30</v>
      </c>
    </row>
    <row r="1704" spans="1:19" x14ac:dyDescent="0.3">
      <c r="A1704" t="s">
        <v>2767</v>
      </c>
      <c r="B1704" s="1">
        <v>45722</v>
      </c>
      <c r="C1704" s="2">
        <v>45724</v>
      </c>
      <c r="D1704" t="s">
        <v>69</v>
      </c>
      <c r="E1704" t="s">
        <v>70</v>
      </c>
      <c r="F1704" t="s">
        <v>23</v>
      </c>
      <c r="G1704" t="s">
        <v>44</v>
      </c>
      <c r="H1704" t="s">
        <v>24</v>
      </c>
      <c r="I1704" t="s">
        <v>71</v>
      </c>
      <c r="J1704" t="s">
        <v>72</v>
      </c>
      <c r="K1704" t="s">
        <v>73</v>
      </c>
      <c r="L1704">
        <v>1</v>
      </c>
      <c r="M1704">
        <v>3500</v>
      </c>
      <c r="N1704">
        <v>10</v>
      </c>
      <c r="O1704">
        <v>3150</v>
      </c>
      <c r="P1704">
        <v>906.26</v>
      </c>
      <c r="Q1704" t="s">
        <v>28</v>
      </c>
      <c r="R1704" t="s">
        <v>56</v>
      </c>
      <c r="S1704" t="s">
        <v>50</v>
      </c>
    </row>
    <row r="1705" spans="1:19" x14ac:dyDescent="0.3">
      <c r="A1705" t="s">
        <v>2768</v>
      </c>
      <c r="B1705" s="1">
        <v>45546</v>
      </c>
      <c r="C1705" s="1">
        <v>45547</v>
      </c>
      <c r="D1705" t="s">
        <v>550</v>
      </c>
      <c r="E1705" t="s">
        <v>551</v>
      </c>
      <c r="F1705" t="s">
        <v>55</v>
      </c>
      <c r="G1705" t="s">
        <v>91</v>
      </c>
      <c r="H1705" t="s">
        <v>109</v>
      </c>
      <c r="I1705" t="s">
        <v>63</v>
      </c>
      <c r="J1705" t="s">
        <v>64</v>
      </c>
      <c r="K1705" t="s">
        <v>65</v>
      </c>
      <c r="L1705">
        <v>3</v>
      </c>
      <c r="M1705">
        <v>25000</v>
      </c>
      <c r="N1705">
        <v>0</v>
      </c>
      <c r="O1705">
        <v>75000</v>
      </c>
      <c r="P1705">
        <v>8623.52</v>
      </c>
      <c r="Q1705" t="s">
        <v>39</v>
      </c>
      <c r="R1705" t="s">
        <v>56</v>
      </c>
      <c r="S1705" t="s">
        <v>30</v>
      </c>
    </row>
    <row r="1706" spans="1:19" x14ac:dyDescent="0.3">
      <c r="A1706" t="s">
        <v>2769</v>
      </c>
      <c r="B1706" s="1">
        <v>45902</v>
      </c>
      <c r="C1706" s="1">
        <v>45908</v>
      </c>
      <c r="D1706" t="s">
        <v>1015</v>
      </c>
      <c r="E1706" t="s">
        <v>1016</v>
      </c>
      <c r="F1706" t="s">
        <v>23</v>
      </c>
      <c r="G1706" t="s">
        <v>44</v>
      </c>
      <c r="H1706" t="s">
        <v>45</v>
      </c>
      <c r="I1706" t="s">
        <v>71</v>
      </c>
      <c r="J1706" t="s">
        <v>72</v>
      </c>
      <c r="K1706" t="s">
        <v>73</v>
      </c>
      <c r="L1706">
        <v>1</v>
      </c>
      <c r="M1706">
        <v>3500</v>
      </c>
      <c r="N1706">
        <v>5</v>
      </c>
      <c r="O1706">
        <v>3325</v>
      </c>
      <c r="P1706">
        <v>793.55</v>
      </c>
      <c r="Q1706" t="s">
        <v>121</v>
      </c>
      <c r="R1706" t="s">
        <v>29</v>
      </c>
      <c r="S1706" t="s">
        <v>40</v>
      </c>
    </row>
    <row r="1707" spans="1:19" x14ac:dyDescent="0.3">
      <c r="A1707" t="s">
        <v>2770</v>
      </c>
      <c r="B1707" s="1">
        <v>45843</v>
      </c>
      <c r="C1707" s="1">
        <v>45790</v>
      </c>
      <c r="D1707" t="s">
        <v>431</v>
      </c>
      <c r="E1707" t="s">
        <v>432</v>
      </c>
      <c r="F1707" t="s">
        <v>23</v>
      </c>
      <c r="G1707" t="s">
        <v>91</v>
      </c>
      <c r="H1707" t="s">
        <v>120</v>
      </c>
      <c r="I1707" t="s">
        <v>93</v>
      </c>
      <c r="J1707" t="s">
        <v>94</v>
      </c>
      <c r="K1707" t="s">
        <v>95</v>
      </c>
      <c r="L1707">
        <v>5</v>
      </c>
      <c r="M1707">
        <v>1800</v>
      </c>
      <c r="N1707">
        <v>15</v>
      </c>
      <c r="O1707">
        <v>7650</v>
      </c>
      <c r="P1707">
        <v>1945.28</v>
      </c>
      <c r="Q1707" t="s">
        <v>66</v>
      </c>
      <c r="R1707" t="s">
        <v>49</v>
      </c>
      <c r="S1707" t="s">
        <v>30</v>
      </c>
    </row>
    <row r="1708" spans="1:19" x14ac:dyDescent="0.3">
      <c r="A1708" t="s">
        <v>2771</v>
      </c>
      <c r="B1708" s="2">
        <v>45990</v>
      </c>
      <c r="C1708" s="1">
        <v>45991</v>
      </c>
      <c r="D1708" t="s">
        <v>1028</v>
      </c>
      <c r="E1708" t="s">
        <v>1029</v>
      </c>
      <c r="F1708" t="s">
        <v>34</v>
      </c>
      <c r="G1708" t="s">
        <v>91</v>
      </c>
      <c r="H1708" t="s">
        <v>120</v>
      </c>
      <c r="I1708" t="s">
        <v>63</v>
      </c>
      <c r="J1708" t="s">
        <v>64</v>
      </c>
      <c r="K1708" t="s">
        <v>65</v>
      </c>
      <c r="L1708">
        <v>2</v>
      </c>
      <c r="M1708">
        <v>25000</v>
      </c>
      <c r="N1708">
        <v>15</v>
      </c>
      <c r="O1708">
        <v>42500</v>
      </c>
      <c r="P1708">
        <v>4571.32</v>
      </c>
      <c r="Q1708" t="s">
        <v>156</v>
      </c>
      <c r="R1708" t="s">
        <v>29</v>
      </c>
      <c r="S1708" t="s">
        <v>194</v>
      </c>
    </row>
    <row r="1709" spans="1:19" x14ac:dyDescent="0.3">
      <c r="A1709" t="s">
        <v>2772</v>
      </c>
      <c r="B1709" s="1">
        <v>45779</v>
      </c>
      <c r="C1709" s="2">
        <v>45786</v>
      </c>
      <c r="D1709" t="s">
        <v>272</v>
      </c>
      <c r="E1709" t="s">
        <v>273</v>
      </c>
      <c r="F1709" t="s">
        <v>23</v>
      </c>
      <c r="G1709" t="s">
        <v>35</v>
      </c>
      <c r="H1709" t="s">
        <v>258</v>
      </c>
      <c r="I1709" t="s">
        <v>147</v>
      </c>
      <c r="J1709" t="s">
        <v>148</v>
      </c>
      <c r="K1709" t="s">
        <v>48</v>
      </c>
      <c r="L1709">
        <v>2</v>
      </c>
      <c r="M1709">
        <v>250</v>
      </c>
      <c r="N1709">
        <v>0</v>
      </c>
      <c r="O1709">
        <v>500</v>
      </c>
      <c r="P1709">
        <v>180.53</v>
      </c>
      <c r="Q1709" t="s">
        <v>74</v>
      </c>
      <c r="R1709" t="s">
        <v>49</v>
      </c>
      <c r="S1709" t="s">
        <v>40</v>
      </c>
    </row>
    <row r="1710" spans="1:19" x14ac:dyDescent="0.3">
      <c r="A1710" t="s">
        <v>2773</v>
      </c>
      <c r="B1710" s="2">
        <v>45439</v>
      </c>
      <c r="C1710" s="1">
        <v>45328</v>
      </c>
      <c r="D1710" t="s">
        <v>882</v>
      </c>
      <c r="E1710" t="s">
        <v>1545</v>
      </c>
      <c r="F1710" t="s">
        <v>55</v>
      </c>
      <c r="G1710" t="s">
        <v>44</v>
      </c>
      <c r="H1710" t="s">
        <v>24</v>
      </c>
      <c r="I1710" t="s">
        <v>147</v>
      </c>
      <c r="J1710" t="s">
        <v>148</v>
      </c>
      <c r="K1710" t="s">
        <v>48</v>
      </c>
      <c r="L1710">
        <v>1</v>
      </c>
      <c r="M1710">
        <v>250</v>
      </c>
      <c r="N1710">
        <v>15</v>
      </c>
      <c r="O1710">
        <v>212.5</v>
      </c>
      <c r="P1710">
        <v>86.21</v>
      </c>
      <c r="Q1710" t="s">
        <v>74</v>
      </c>
      <c r="R1710" t="s">
        <v>49</v>
      </c>
      <c r="S1710" t="s">
        <v>30</v>
      </c>
    </row>
    <row r="1711" spans="1:19" x14ac:dyDescent="0.3">
      <c r="A1711" t="s">
        <v>2774</v>
      </c>
      <c r="B1711" s="1">
        <v>45421</v>
      </c>
      <c r="C1711" s="2">
        <v>45422</v>
      </c>
      <c r="D1711" t="s">
        <v>138</v>
      </c>
      <c r="E1711" t="s">
        <v>139</v>
      </c>
      <c r="F1711" t="s">
        <v>55</v>
      </c>
      <c r="G1711" t="s">
        <v>35</v>
      </c>
      <c r="H1711" t="s">
        <v>36</v>
      </c>
      <c r="I1711" t="s">
        <v>46</v>
      </c>
      <c r="J1711" t="s">
        <v>47</v>
      </c>
      <c r="K1711" t="s">
        <v>48</v>
      </c>
      <c r="L1711">
        <v>3</v>
      </c>
      <c r="M1711">
        <v>180</v>
      </c>
      <c r="N1711">
        <v>10</v>
      </c>
      <c r="O1711">
        <v>486</v>
      </c>
      <c r="P1711">
        <v>200.18</v>
      </c>
      <c r="Q1711" t="s">
        <v>39</v>
      </c>
      <c r="R1711" t="s">
        <v>56</v>
      </c>
      <c r="S1711" t="s">
        <v>86</v>
      </c>
    </row>
    <row r="1712" spans="1:19" x14ac:dyDescent="0.3">
      <c r="A1712" t="s">
        <v>2775</v>
      </c>
      <c r="B1712" s="1">
        <v>45939</v>
      </c>
      <c r="C1712" s="2">
        <v>45941</v>
      </c>
      <c r="D1712" t="s">
        <v>457</v>
      </c>
      <c r="E1712" t="s">
        <v>458</v>
      </c>
      <c r="F1712" t="s">
        <v>55</v>
      </c>
      <c r="G1712" t="s">
        <v>44</v>
      </c>
      <c r="H1712" t="s">
        <v>24</v>
      </c>
      <c r="I1712" t="s">
        <v>63</v>
      </c>
      <c r="J1712" t="s">
        <v>64</v>
      </c>
      <c r="K1712" t="s">
        <v>65</v>
      </c>
      <c r="L1712">
        <v>3</v>
      </c>
      <c r="M1712">
        <v>25000</v>
      </c>
      <c r="N1712">
        <v>0</v>
      </c>
      <c r="O1712">
        <v>75000</v>
      </c>
      <c r="P1712">
        <v>11833.32</v>
      </c>
      <c r="Q1712" t="s">
        <v>66</v>
      </c>
      <c r="R1712" t="s">
        <v>29</v>
      </c>
      <c r="S1712" t="s">
        <v>50</v>
      </c>
    </row>
    <row r="1713" spans="1:19" x14ac:dyDescent="0.3">
      <c r="A1713" t="s">
        <v>2776</v>
      </c>
      <c r="B1713" s="1">
        <v>45995</v>
      </c>
      <c r="C1713" s="1">
        <v>45761</v>
      </c>
      <c r="D1713" t="s">
        <v>657</v>
      </c>
      <c r="E1713" t="s">
        <v>658</v>
      </c>
      <c r="F1713" t="s">
        <v>34</v>
      </c>
      <c r="G1713" t="s">
        <v>91</v>
      </c>
      <c r="H1713" t="s">
        <v>120</v>
      </c>
      <c r="I1713" t="s">
        <v>25</v>
      </c>
      <c r="J1713" t="s">
        <v>26</v>
      </c>
      <c r="K1713" t="s">
        <v>27</v>
      </c>
      <c r="L1713">
        <v>5</v>
      </c>
      <c r="M1713">
        <v>7000</v>
      </c>
      <c r="N1713">
        <v>20</v>
      </c>
      <c r="O1713">
        <v>28000</v>
      </c>
      <c r="P1713">
        <v>6565.49</v>
      </c>
      <c r="Q1713" t="s">
        <v>156</v>
      </c>
      <c r="R1713" t="s">
        <v>56</v>
      </c>
      <c r="S1713" t="s">
        <v>86</v>
      </c>
    </row>
    <row r="1714" spans="1:19" x14ac:dyDescent="0.3">
      <c r="A1714" t="s">
        <v>2777</v>
      </c>
      <c r="B1714" t="s">
        <v>2778</v>
      </c>
      <c r="C1714" s="1">
        <v>45615</v>
      </c>
      <c r="D1714" t="s">
        <v>272</v>
      </c>
      <c r="E1714" t="s">
        <v>273</v>
      </c>
      <c r="F1714" t="s">
        <v>23</v>
      </c>
      <c r="G1714" t="s">
        <v>35</v>
      </c>
      <c r="H1714" t="s">
        <v>258</v>
      </c>
      <c r="I1714" t="s">
        <v>103</v>
      </c>
      <c r="J1714" t="s">
        <v>104</v>
      </c>
      <c r="K1714" t="s">
        <v>65</v>
      </c>
      <c r="L1714">
        <v>1</v>
      </c>
      <c r="M1714">
        <v>8000</v>
      </c>
      <c r="N1714">
        <v>0</v>
      </c>
      <c r="O1714">
        <v>8000</v>
      </c>
      <c r="P1714">
        <v>1640.23</v>
      </c>
      <c r="Q1714" t="s">
        <v>121</v>
      </c>
      <c r="R1714" t="s">
        <v>56</v>
      </c>
      <c r="S1714" t="s">
        <v>40</v>
      </c>
    </row>
    <row r="1715" spans="1:19" x14ac:dyDescent="0.3">
      <c r="A1715" t="s">
        <v>2779</v>
      </c>
      <c r="B1715" s="1">
        <v>45449</v>
      </c>
      <c r="C1715" s="1">
        <v>45454</v>
      </c>
      <c r="D1715" t="s">
        <v>1100</v>
      </c>
      <c r="E1715" t="s">
        <v>1101</v>
      </c>
      <c r="F1715" t="s">
        <v>23</v>
      </c>
      <c r="G1715" t="s">
        <v>44</v>
      </c>
      <c r="H1715" t="s">
        <v>161</v>
      </c>
      <c r="I1715" t="s">
        <v>46</v>
      </c>
      <c r="J1715" t="s">
        <v>47</v>
      </c>
      <c r="K1715" t="s">
        <v>48</v>
      </c>
      <c r="M1715">
        <v>180</v>
      </c>
      <c r="N1715">
        <v>0</v>
      </c>
      <c r="O1715">
        <v>180</v>
      </c>
      <c r="P1715">
        <v>70.25</v>
      </c>
      <c r="Q1715" t="s">
        <v>39</v>
      </c>
      <c r="R1715" t="s">
        <v>49</v>
      </c>
      <c r="S1715" t="s">
        <v>110</v>
      </c>
    </row>
    <row r="1716" spans="1:19" x14ac:dyDescent="0.3">
      <c r="A1716" t="s">
        <v>2780</v>
      </c>
      <c r="B1716" s="1">
        <v>45810</v>
      </c>
      <c r="C1716" s="1">
        <v>45698</v>
      </c>
      <c r="D1716" t="s">
        <v>1609</v>
      </c>
      <c r="E1716" t="s">
        <v>1610</v>
      </c>
      <c r="F1716" t="s">
        <v>55</v>
      </c>
      <c r="G1716" t="s">
        <v>44</v>
      </c>
      <c r="H1716" t="s">
        <v>24</v>
      </c>
      <c r="I1716" t="s">
        <v>37</v>
      </c>
      <c r="J1716" t="s">
        <v>38</v>
      </c>
      <c r="K1716" t="s">
        <v>27</v>
      </c>
      <c r="L1716">
        <v>3</v>
      </c>
      <c r="M1716">
        <v>9500</v>
      </c>
      <c r="N1716">
        <v>0</v>
      </c>
      <c r="O1716">
        <v>28500</v>
      </c>
      <c r="P1716">
        <v>5654.15</v>
      </c>
      <c r="Q1716" t="s">
        <v>28</v>
      </c>
      <c r="R1716" t="s">
        <v>29</v>
      </c>
      <c r="S1716" t="s">
        <v>40</v>
      </c>
    </row>
    <row r="1717" spans="1:19" x14ac:dyDescent="0.3">
      <c r="A1717" t="s">
        <v>2781</v>
      </c>
      <c r="B1717" s="1">
        <v>45324</v>
      </c>
      <c r="C1717" s="1">
        <v>45445</v>
      </c>
      <c r="D1717" t="s">
        <v>288</v>
      </c>
      <c r="E1717" t="s">
        <v>289</v>
      </c>
      <c r="F1717" t="s">
        <v>34</v>
      </c>
      <c r="G1717" t="s">
        <v>44</v>
      </c>
      <c r="H1717" t="s">
        <v>155</v>
      </c>
      <c r="I1717" t="s">
        <v>46</v>
      </c>
      <c r="J1717" t="s">
        <v>47</v>
      </c>
      <c r="K1717" t="s">
        <v>48</v>
      </c>
      <c r="L1717">
        <v>4</v>
      </c>
      <c r="M1717">
        <v>180</v>
      </c>
      <c r="N1717">
        <v>0</v>
      </c>
      <c r="O1717">
        <v>720</v>
      </c>
      <c r="P1717">
        <v>282.61</v>
      </c>
      <c r="Q1717" t="s">
        <v>66</v>
      </c>
      <c r="R1717" t="s">
        <v>56</v>
      </c>
      <c r="S1717" t="s">
        <v>50</v>
      </c>
    </row>
    <row r="1718" spans="1:19" x14ac:dyDescent="0.3">
      <c r="A1718" t="s">
        <v>2782</v>
      </c>
      <c r="B1718" s="2">
        <v>45727</v>
      </c>
      <c r="D1718" t="s">
        <v>716</v>
      </c>
      <c r="E1718" t="s">
        <v>717</v>
      </c>
      <c r="F1718" t="s">
        <v>23</v>
      </c>
      <c r="G1718" t="s">
        <v>35</v>
      </c>
      <c r="H1718" t="s">
        <v>85</v>
      </c>
      <c r="I1718" t="s">
        <v>126</v>
      </c>
      <c r="J1718" t="s">
        <v>127</v>
      </c>
      <c r="K1718" t="s">
        <v>95</v>
      </c>
      <c r="L1718">
        <v>5</v>
      </c>
      <c r="M1718">
        <v>600</v>
      </c>
      <c r="N1718">
        <v>0</v>
      </c>
      <c r="O1718">
        <v>3000</v>
      </c>
      <c r="P1718">
        <v>1042.3699999999999</v>
      </c>
      <c r="Q1718" t="s">
        <v>156</v>
      </c>
      <c r="R1718" t="s">
        <v>56</v>
      </c>
      <c r="S1718" t="s">
        <v>110</v>
      </c>
    </row>
    <row r="1719" spans="1:19" x14ac:dyDescent="0.3">
      <c r="A1719" t="s">
        <v>2783</v>
      </c>
      <c r="B1719" s="1">
        <v>45912</v>
      </c>
      <c r="C1719" t="s">
        <v>284</v>
      </c>
      <c r="D1719" t="s">
        <v>285</v>
      </c>
      <c r="E1719" t="s">
        <v>286</v>
      </c>
      <c r="F1719" t="s">
        <v>23</v>
      </c>
      <c r="G1719" t="s">
        <v>61</v>
      </c>
      <c r="H1719" t="s">
        <v>78</v>
      </c>
      <c r="I1719" t="s">
        <v>25</v>
      </c>
      <c r="J1719" t="s">
        <v>26</v>
      </c>
      <c r="K1719" t="s">
        <v>27</v>
      </c>
      <c r="L1719">
        <v>3</v>
      </c>
      <c r="M1719">
        <v>7000</v>
      </c>
      <c r="N1719">
        <v>0</v>
      </c>
      <c r="O1719">
        <v>21000</v>
      </c>
      <c r="P1719">
        <v>4465.57</v>
      </c>
      <c r="Q1719" t="s">
        <v>66</v>
      </c>
      <c r="R1719" t="s">
        <v>29</v>
      </c>
      <c r="S1719" t="s">
        <v>40</v>
      </c>
    </row>
    <row r="1720" spans="1:19" x14ac:dyDescent="0.3">
      <c r="A1720" t="s">
        <v>2784</v>
      </c>
      <c r="B1720" s="1">
        <v>45874</v>
      </c>
      <c r="C1720" s="1">
        <v>45875</v>
      </c>
      <c r="D1720" t="s">
        <v>129</v>
      </c>
      <c r="E1720" t="s">
        <v>130</v>
      </c>
      <c r="F1720" t="s">
        <v>34</v>
      </c>
      <c r="G1720" t="s">
        <v>61</v>
      </c>
      <c r="H1720" t="s">
        <v>78</v>
      </c>
      <c r="I1720" t="s">
        <v>126</v>
      </c>
      <c r="J1720" t="s">
        <v>127</v>
      </c>
      <c r="K1720" t="s">
        <v>95</v>
      </c>
      <c r="L1720">
        <v>3</v>
      </c>
      <c r="M1720">
        <v>600</v>
      </c>
      <c r="N1720">
        <v>0</v>
      </c>
      <c r="O1720">
        <v>1800</v>
      </c>
      <c r="P1720">
        <v>651.4</v>
      </c>
      <c r="Q1720" t="s">
        <v>28</v>
      </c>
      <c r="R1720" t="s">
        <v>29</v>
      </c>
      <c r="S1720" t="s">
        <v>50</v>
      </c>
    </row>
    <row r="1721" spans="1:19" x14ac:dyDescent="0.3">
      <c r="A1721" t="s">
        <v>2785</v>
      </c>
      <c r="B1721" s="1">
        <v>45452</v>
      </c>
      <c r="C1721" s="1">
        <v>45460</v>
      </c>
      <c r="D1721" t="s">
        <v>838</v>
      </c>
      <c r="E1721" t="s">
        <v>2786</v>
      </c>
      <c r="F1721" t="s">
        <v>23</v>
      </c>
      <c r="G1721" t="s">
        <v>35</v>
      </c>
      <c r="H1721" t="s">
        <v>258</v>
      </c>
      <c r="I1721" t="s">
        <v>46</v>
      </c>
      <c r="J1721" t="s">
        <v>47</v>
      </c>
      <c r="K1721" t="s">
        <v>48</v>
      </c>
      <c r="L1721">
        <v>3</v>
      </c>
      <c r="M1721">
        <v>180</v>
      </c>
      <c r="N1721">
        <v>10</v>
      </c>
      <c r="O1721">
        <v>486</v>
      </c>
      <c r="P1721">
        <v>190.86</v>
      </c>
      <c r="Q1721" t="s">
        <v>66</v>
      </c>
      <c r="R1721" t="s">
        <v>56</v>
      </c>
      <c r="S1721" t="s">
        <v>50</v>
      </c>
    </row>
    <row r="1722" spans="1:19" x14ac:dyDescent="0.3">
      <c r="A1722" t="s">
        <v>2787</v>
      </c>
      <c r="B1722" s="1">
        <v>45572</v>
      </c>
      <c r="C1722" s="1">
        <v>45576</v>
      </c>
      <c r="D1722" t="s">
        <v>1426</v>
      </c>
      <c r="E1722" t="s">
        <v>1427</v>
      </c>
      <c r="F1722" t="s">
        <v>23</v>
      </c>
      <c r="G1722" t="s">
        <v>61</v>
      </c>
      <c r="H1722" t="s">
        <v>62</v>
      </c>
      <c r="I1722" t="s">
        <v>79</v>
      </c>
      <c r="J1722" t="s">
        <v>80</v>
      </c>
      <c r="K1722" t="s">
        <v>65</v>
      </c>
      <c r="L1722">
        <v>5</v>
      </c>
      <c r="M1722">
        <v>3000</v>
      </c>
      <c r="N1722">
        <v>10</v>
      </c>
      <c r="O1722">
        <v>13500</v>
      </c>
      <c r="P1722">
        <v>3667.78</v>
      </c>
      <c r="Q1722" t="s">
        <v>39</v>
      </c>
      <c r="R1722" t="s">
        <v>49</v>
      </c>
      <c r="S1722" t="s">
        <v>40</v>
      </c>
    </row>
    <row r="1723" spans="1:19" x14ac:dyDescent="0.3">
      <c r="A1723" t="s">
        <v>2788</v>
      </c>
      <c r="B1723" s="1">
        <v>45430</v>
      </c>
      <c r="C1723" s="1">
        <v>45438</v>
      </c>
      <c r="D1723" t="s">
        <v>69</v>
      </c>
      <c r="E1723" t="s">
        <v>70</v>
      </c>
      <c r="F1723" t="s">
        <v>23</v>
      </c>
      <c r="G1723" t="s">
        <v>44</v>
      </c>
      <c r="H1723" t="s">
        <v>24</v>
      </c>
      <c r="I1723" t="s">
        <v>93</v>
      </c>
      <c r="J1723" t="s">
        <v>94</v>
      </c>
      <c r="K1723" t="s">
        <v>95</v>
      </c>
      <c r="L1723">
        <v>3</v>
      </c>
      <c r="M1723">
        <v>1800</v>
      </c>
      <c r="N1723">
        <v>15</v>
      </c>
      <c r="O1723">
        <v>4590</v>
      </c>
      <c r="P1723">
        <v>1240.5899999999999</v>
      </c>
      <c r="Q1723" t="s">
        <v>74</v>
      </c>
      <c r="R1723" t="s">
        <v>29</v>
      </c>
      <c r="S1723" t="s">
        <v>30</v>
      </c>
    </row>
    <row r="1724" spans="1:19" x14ac:dyDescent="0.3">
      <c r="A1724" t="s">
        <v>2789</v>
      </c>
      <c r="B1724" s="1">
        <v>45385</v>
      </c>
      <c r="C1724" s="1">
        <v>45477</v>
      </c>
      <c r="D1724" t="s">
        <v>561</v>
      </c>
      <c r="E1724" t="s">
        <v>562</v>
      </c>
      <c r="F1724" t="s">
        <v>23</v>
      </c>
      <c r="G1724" t="s">
        <v>44</v>
      </c>
      <c r="H1724" t="s">
        <v>155</v>
      </c>
      <c r="I1724" t="s">
        <v>79</v>
      </c>
      <c r="J1724" t="s">
        <v>80</v>
      </c>
      <c r="K1724" t="s">
        <v>65</v>
      </c>
      <c r="L1724">
        <v>1</v>
      </c>
      <c r="M1724">
        <v>3000</v>
      </c>
      <c r="N1724">
        <v>10</v>
      </c>
      <c r="O1724">
        <v>2700</v>
      </c>
      <c r="P1724">
        <v>836.32</v>
      </c>
      <c r="Q1724" t="s">
        <v>121</v>
      </c>
      <c r="R1724" t="s">
        <v>56</v>
      </c>
      <c r="S1724" t="s">
        <v>86</v>
      </c>
    </row>
    <row r="1725" spans="1:19" x14ac:dyDescent="0.3">
      <c r="A1725" t="s">
        <v>2790</v>
      </c>
      <c r="B1725" t="s">
        <v>2422</v>
      </c>
      <c r="C1725" t="s">
        <v>2791</v>
      </c>
      <c r="D1725" t="s">
        <v>956</v>
      </c>
      <c r="E1725" t="s">
        <v>1086</v>
      </c>
      <c r="F1725" t="s">
        <v>55</v>
      </c>
      <c r="G1725" t="s">
        <v>44</v>
      </c>
      <c r="H1725" t="s">
        <v>24</v>
      </c>
      <c r="I1725" t="s">
        <v>63</v>
      </c>
      <c r="J1725" t="s">
        <v>64</v>
      </c>
      <c r="K1725" t="s">
        <v>65</v>
      </c>
      <c r="L1725">
        <v>4</v>
      </c>
      <c r="M1725">
        <v>25000</v>
      </c>
      <c r="N1725">
        <v>15</v>
      </c>
      <c r="O1725">
        <v>85000</v>
      </c>
      <c r="P1725">
        <v>10191.25</v>
      </c>
      <c r="Q1725" t="s">
        <v>121</v>
      </c>
      <c r="R1725" t="s">
        <v>56</v>
      </c>
      <c r="S1725" t="s">
        <v>30</v>
      </c>
    </row>
    <row r="1726" spans="1:19" x14ac:dyDescent="0.3">
      <c r="A1726" t="s">
        <v>2792</v>
      </c>
      <c r="B1726" s="1">
        <v>45432</v>
      </c>
      <c r="C1726" t="s">
        <v>507</v>
      </c>
      <c r="D1726" t="s">
        <v>1464</v>
      </c>
      <c r="E1726" t="s">
        <v>1465</v>
      </c>
      <c r="F1726" t="s">
        <v>23</v>
      </c>
      <c r="G1726" t="s">
        <v>91</v>
      </c>
      <c r="H1726" t="s">
        <v>109</v>
      </c>
      <c r="I1726" t="s">
        <v>114</v>
      </c>
      <c r="J1726" t="s">
        <v>115</v>
      </c>
      <c r="K1726" t="s">
        <v>65</v>
      </c>
      <c r="L1726">
        <v>4</v>
      </c>
      <c r="M1726">
        <v>55000</v>
      </c>
      <c r="N1726">
        <v>5</v>
      </c>
      <c r="O1726">
        <v>209000</v>
      </c>
      <c r="P1726">
        <v>28186.560000000001</v>
      </c>
      <c r="Q1726" t="s">
        <v>66</v>
      </c>
      <c r="R1726" t="s">
        <v>49</v>
      </c>
      <c r="S1726" t="s">
        <v>50</v>
      </c>
    </row>
    <row r="1727" spans="1:19" x14ac:dyDescent="0.3">
      <c r="A1727" t="s">
        <v>2793</v>
      </c>
      <c r="B1727" s="1">
        <v>45779</v>
      </c>
      <c r="C1727" s="1">
        <v>45786</v>
      </c>
      <c r="D1727" t="s">
        <v>721</v>
      </c>
      <c r="E1727" t="s">
        <v>2794</v>
      </c>
      <c r="F1727" t="s">
        <v>34</v>
      </c>
      <c r="G1727" t="s">
        <v>35</v>
      </c>
      <c r="H1727" t="s">
        <v>258</v>
      </c>
      <c r="I1727" t="s">
        <v>93</v>
      </c>
      <c r="J1727" t="s">
        <v>94</v>
      </c>
      <c r="K1727" t="s">
        <v>95</v>
      </c>
      <c r="L1727">
        <v>1</v>
      </c>
      <c r="M1727">
        <v>1800</v>
      </c>
      <c r="N1727">
        <v>0</v>
      </c>
      <c r="O1727">
        <v>1800</v>
      </c>
      <c r="P1727">
        <v>610.52</v>
      </c>
      <c r="Q1727" t="s">
        <v>39</v>
      </c>
      <c r="R1727" t="s">
        <v>56</v>
      </c>
      <c r="S1727" t="s">
        <v>30</v>
      </c>
    </row>
    <row r="1728" spans="1:19" x14ac:dyDescent="0.3">
      <c r="A1728" t="s">
        <v>2795</v>
      </c>
      <c r="B1728" s="1">
        <v>45909</v>
      </c>
      <c r="C1728" t="s">
        <v>2108</v>
      </c>
      <c r="D1728" t="s">
        <v>118</v>
      </c>
      <c r="E1728" t="s">
        <v>119</v>
      </c>
      <c r="F1728" t="s">
        <v>34</v>
      </c>
      <c r="G1728" t="s">
        <v>91</v>
      </c>
      <c r="H1728" t="s">
        <v>120</v>
      </c>
      <c r="I1728" t="s">
        <v>71</v>
      </c>
      <c r="J1728" t="s">
        <v>72</v>
      </c>
      <c r="K1728" t="s">
        <v>73</v>
      </c>
      <c r="L1728">
        <v>1</v>
      </c>
      <c r="M1728">
        <v>3500</v>
      </c>
      <c r="N1728">
        <v>15</v>
      </c>
      <c r="O1728">
        <v>2975</v>
      </c>
      <c r="P1728">
        <v>1033.5999999999999</v>
      </c>
      <c r="Q1728" t="s">
        <v>28</v>
      </c>
      <c r="R1728" t="s">
        <v>29</v>
      </c>
      <c r="S1728" t="s">
        <v>86</v>
      </c>
    </row>
    <row r="1729" spans="1:19" x14ac:dyDescent="0.3">
      <c r="A1729" t="s">
        <v>2796</v>
      </c>
      <c r="B1729" s="1">
        <v>45794</v>
      </c>
      <c r="C1729" s="1">
        <v>45796</v>
      </c>
      <c r="D1729" t="s">
        <v>847</v>
      </c>
      <c r="E1729" t="s">
        <v>848</v>
      </c>
      <c r="F1729" t="s">
        <v>23</v>
      </c>
      <c r="G1729" t="s">
        <v>44</v>
      </c>
      <c r="H1729" t="s">
        <v>161</v>
      </c>
      <c r="I1729" t="s">
        <v>134</v>
      </c>
      <c r="J1729" t="s">
        <v>135</v>
      </c>
      <c r="K1729" t="s">
        <v>27</v>
      </c>
      <c r="L1729">
        <v>1</v>
      </c>
      <c r="M1729">
        <v>6000</v>
      </c>
      <c r="N1729">
        <v>10</v>
      </c>
      <c r="O1729">
        <v>5400</v>
      </c>
      <c r="P1729">
        <v>1058.28</v>
      </c>
      <c r="Q1729" t="s">
        <v>39</v>
      </c>
      <c r="R1729" t="s">
        <v>49</v>
      </c>
      <c r="S1729" t="s">
        <v>50</v>
      </c>
    </row>
    <row r="1730" spans="1:19" x14ac:dyDescent="0.3">
      <c r="A1730" t="s">
        <v>2797</v>
      </c>
      <c r="B1730" t="s">
        <v>880</v>
      </c>
      <c r="C1730" s="2">
        <v>45981</v>
      </c>
      <c r="D1730" t="s">
        <v>1402</v>
      </c>
      <c r="E1730" t="s">
        <v>1403</v>
      </c>
      <c r="F1730" t="s">
        <v>23</v>
      </c>
      <c r="G1730" t="s">
        <v>91</v>
      </c>
      <c r="H1730" t="s">
        <v>177</v>
      </c>
      <c r="I1730" t="s">
        <v>103</v>
      </c>
      <c r="J1730" t="s">
        <v>104</v>
      </c>
      <c r="K1730" t="s">
        <v>65</v>
      </c>
      <c r="L1730">
        <v>1</v>
      </c>
      <c r="M1730">
        <v>8000</v>
      </c>
      <c r="N1730">
        <v>20</v>
      </c>
      <c r="O1730">
        <v>6400</v>
      </c>
      <c r="P1730">
        <v>1609.23</v>
      </c>
      <c r="Q1730" t="s">
        <v>66</v>
      </c>
      <c r="R1730" t="s">
        <v>56</v>
      </c>
      <c r="S1730" t="s">
        <v>30</v>
      </c>
    </row>
    <row r="1731" spans="1:19" x14ac:dyDescent="0.3">
      <c r="A1731" t="s">
        <v>2798</v>
      </c>
      <c r="B1731" s="1">
        <v>45410</v>
      </c>
      <c r="C1731" s="2">
        <v>45415</v>
      </c>
      <c r="D1731" t="s">
        <v>524</v>
      </c>
      <c r="E1731" t="s">
        <v>525</v>
      </c>
      <c r="F1731" t="s">
        <v>34</v>
      </c>
      <c r="G1731" t="s">
        <v>35</v>
      </c>
      <c r="H1731" t="s">
        <v>187</v>
      </c>
      <c r="I1731" t="s">
        <v>147</v>
      </c>
      <c r="J1731" t="s">
        <v>148</v>
      </c>
      <c r="K1731" t="s">
        <v>48</v>
      </c>
      <c r="L1731">
        <v>1</v>
      </c>
      <c r="M1731">
        <v>250</v>
      </c>
      <c r="N1731">
        <v>5</v>
      </c>
      <c r="O1731">
        <v>237.5</v>
      </c>
      <c r="P1731">
        <v>84.4</v>
      </c>
      <c r="Q1731" t="s">
        <v>66</v>
      </c>
      <c r="R1731" t="s">
        <v>56</v>
      </c>
      <c r="S1731" t="s">
        <v>40</v>
      </c>
    </row>
    <row r="1732" spans="1:19" x14ac:dyDescent="0.3">
      <c r="A1732" t="s">
        <v>2799</v>
      </c>
      <c r="B1732" t="s">
        <v>141</v>
      </c>
      <c r="C1732" s="1">
        <v>45416</v>
      </c>
      <c r="D1732" t="s">
        <v>784</v>
      </c>
      <c r="E1732" t="s">
        <v>785</v>
      </c>
      <c r="F1732" t="s">
        <v>23</v>
      </c>
      <c r="G1732" t="s">
        <v>91</v>
      </c>
      <c r="H1732" t="s">
        <v>92</v>
      </c>
      <c r="I1732" t="s">
        <v>37</v>
      </c>
      <c r="J1732" t="s">
        <v>38</v>
      </c>
      <c r="K1732" t="s">
        <v>27</v>
      </c>
      <c r="L1732">
        <v>3</v>
      </c>
      <c r="M1732">
        <v>9500</v>
      </c>
      <c r="N1732">
        <v>10</v>
      </c>
      <c r="O1732">
        <v>25650</v>
      </c>
      <c r="P1732">
        <v>4055.08</v>
      </c>
      <c r="Q1732" t="s">
        <v>39</v>
      </c>
      <c r="R1732" t="s">
        <v>56</v>
      </c>
      <c r="S1732" t="s">
        <v>40</v>
      </c>
    </row>
    <row r="1733" spans="1:19" x14ac:dyDescent="0.3">
      <c r="A1733" t="s">
        <v>2800</v>
      </c>
      <c r="B1733" s="1">
        <v>45963</v>
      </c>
      <c r="C1733" s="1">
        <v>45701</v>
      </c>
      <c r="D1733" t="s">
        <v>539</v>
      </c>
      <c r="E1733" t="s">
        <v>540</v>
      </c>
      <c r="F1733" t="s">
        <v>34</v>
      </c>
      <c r="G1733" t="s">
        <v>61</v>
      </c>
      <c r="H1733" t="s">
        <v>211</v>
      </c>
      <c r="I1733" t="s">
        <v>71</v>
      </c>
      <c r="J1733" t="s">
        <v>72</v>
      </c>
      <c r="K1733" t="s">
        <v>73</v>
      </c>
      <c r="L1733">
        <v>3</v>
      </c>
      <c r="M1733">
        <v>3500</v>
      </c>
      <c r="N1733">
        <v>20</v>
      </c>
      <c r="O1733">
        <v>8400</v>
      </c>
      <c r="P1733">
        <v>2810.39</v>
      </c>
      <c r="Q1733" t="s">
        <v>156</v>
      </c>
      <c r="R1733" t="s">
        <v>29</v>
      </c>
      <c r="S1733" t="s">
        <v>30</v>
      </c>
    </row>
    <row r="1734" spans="1:19" x14ac:dyDescent="0.3">
      <c r="A1734" t="s">
        <v>2801</v>
      </c>
      <c r="B1734" s="2">
        <v>45952</v>
      </c>
      <c r="C1734" s="1">
        <v>45957</v>
      </c>
      <c r="D1734" t="s">
        <v>2405</v>
      </c>
      <c r="E1734" t="s">
        <v>2406</v>
      </c>
      <c r="F1734" t="s">
        <v>55</v>
      </c>
      <c r="G1734" t="s">
        <v>61</v>
      </c>
      <c r="H1734" t="s">
        <v>78</v>
      </c>
      <c r="I1734" t="s">
        <v>25</v>
      </c>
      <c r="J1734" t="s">
        <v>26</v>
      </c>
      <c r="K1734" t="s">
        <v>27</v>
      </c>
      <c r="L1734">
        <v>4</v>
      </c>
      <c r="M1734">
        <v>7000</v>
      </c>
      <c r="N1734">
        <v>0</v>
      </c>
      <c r="O1734">
        <v>28000</v>
      </c>
      <c r="Q1734" t="s">
        <v>156</v>
      </c>
      <c r="R1734" t="s">
        <v>49</v>
      </c>
      <c r="S1734" t="s">
        <v>86</v>
      </c>
    </row>
    <row r="1735" spans="1:19" x14ac:dyDescent="0.3">
      <c r="A1735" t="s">
        <v>2802</v>
      </c>
      <c r="B1735" t="s">
        <v>2803</v>
      </c>
      <c r="C1735" s="1">
        <v>45984</v>
      </c>
      <c r="D1735" t="s">
        <v>460</v>
      </c>
      <c r="E1735" t="s">
        <v>461</v>
      </c>
      <c r="F1735" t="s">
        <v>34</v>
      </c>
      <c r="G1735" t="s">
        <v>61</v>
      </c>
      <c r="H1735" t="s">
        <v>62</v>
      </c>
      <c r="I1735" t="s">
        <v>103</v>
      </c>
      <c r="J1735" t="s">
        <v>104</v>
      </c>
      <c r="K1735" t="s">
        <v>65</v>
      </c>
      <c r="L1735">
        <v>1</v>
      </c>
      <c r="M1735">
        <v>8000</v>
      </c>
      <c r="N1735">
        <v>0</v>
      </c>
      <c r="O1735">
        <v>8000</v>
      </c>
      <c r="P1735">
        <v>1473.95</v>
      </c>
      <c r="Q1735" t="s">
        <v>74</v>
      </c>
      <c r="R1735" t="s">
        <v>49</v>
      </c>
      <c r="S1735" t="s">
        <v>50</v>
      </c>
    </row>
    <row r="1736" spans="1:19" x14ac:dyDescent="0.3">
      <c r="A1736" t="s">
        <v>2804</v>
      </c>
      <c r="B1736" t="s">
        <v>1671</v>
      </c>
      <c r="C1736" t="s">
        <v>825</v>
      </c>
      <c r="D1736" t="s">
        <v>438</v>
      </c>
      <c r="E1736" t="s">
        <v>439</v>
      </c>
      <c r="F1736" t="s">
        <v>34</v>
      </c>
      <c r="G1736" t="s">
        <v>35</v>
      </c>
      <c r="H1736" t="s">
        <v>85</v>
      </c>
      <c r="I1736" t="s">
        <v>37</v>
      </c>
      <c r="J1736" t="s">
        <v>38</v>
      </c>
      <c r="K1736" t="s">
        <v>27</v>
      </c>
      <c r="L1736">
        <v>1</v>
      </c>
      <c r="M1736">
        <v>9500</v>
      </c>
      <c r="N1736">
        <v>20</v>
      </c>
      <c r="O1736">
        <v>7600</v>
      </c>
      <c r="P1736">
        <v>1405.38</v>
      </c>
      <c r="Q1736" t="s">
        <v>121</v>
      </c>
      <c r="R1736" t="s">
        <v>56</v>
      </c>
      <c r="S1736" t="s">
        <v>50</v>
      </c>
    </row>
    <row r="1737" spans="1:19" x14ac:dyDescent="0.3">
      <c r="A1737" t="s">
        <v>2805</v>
      </c>
      <c r="B1737" t="s">
        <v>1586</v>
      </c>
      <c r="C1737" s="1">
        <v>45685</v>
      </c>
      <c r="D1737" t="s">
        <v>554</v>
      </c>
      <c r="E1737" t="s">
        <v>555</v>
      </c>
      <c r="F1737" t="s">
        <v>55</v>
      </c>
      <c r="G1737" t="s">
        <v>61</v>
      </c>
      <c r="H1737" t="s">
        <v>62</v>
      </c>
      <c r="I1737" t="s">
        <v>114</v>
      </c>
      <c r="J1737" t="s">
        <v>115</v>
      </c>
      <c r="K1737" t="s">
        <v>65</v>
      </c>
      <c r="L1737">
        <v>3</v>
      </c>
      <c r="M1737">
        <v>55000</v>
      </c>
      <c r="N1737">
        <v>0</v>
      </c>
      <c r="O1737">
        <v>165000</v>
      </c>
      <c r="P1737">
        <v>26962.74</v>
      </c>
      <c r="Q1737" t="s">
        <v>74</v>
      </c>
      <c r="R1737" t="s">
        <v>49</v>
      </c>
      <c r="S1737" t="s">
        <v>50</v>
      </c>
    </row>
    <row r="1738" spans="1:19" x14ac:dyDescent="0.3">
      <c r="A1738" t="s">
        <v>2806</v>
      </c>
      <c r="B1738" s="2">
        <v>45908</v>
      </c>
      <c r="C1738" t="s">
        <v>2108</v>
      </c>
      <c r="D1738" t="s">
        <v>53</v>
      </c>
      <c r="E1738" t="s">
        <v>54</v>
      </c>
      <c r="F1738" t="s">
        <v>55</v>
      </c>
      <c r="G1738" t="s">
        <v>44</v>
      </c>
      <c r="I1738" t="s">
        <v>134</v>
      </c>
      <c r="J1738" t="s">
        <v>135</v>
      </c>
      <c r="K1738" t="s">
        <v>27</v>
      </c>
      <c r="L1738">
        <v>10</v>
      </c>
      <c r="M1738">
        <v>6000</v>
      </c>
      <c r="N1738">
        <v>0</v>
      </c>
      <c r="O1738">
        <v>60000</v>
      </c>
      <c r="P1738">
        <v>13221.93</v>
      </c>
      <c r="Q1738" t="s">
        <v>66</v>
      </c>
      <c r="R1738" t="s">
        <v>29</v>
      </c>
      <c r="S1738" t="s">
        <v>110</v>
      </c>
    </row>
    <row r="1739" spans="1:19" x14ac:dyDescent="0.3">
      <c r="A1739" t="s">
        <v>2807</v>
      </c>
      <c r="B1739" s="2">
        <v>45685</v>
      </c>
      <c r="C1739" s="1">
        <v>45659</v>
      </c>
      <c r="D1739" t="s">
        <v>227</v>
      </c>
      <c r="E1739" t="s">
        <v>228</v>
      </c>
      <c r="F1739" t="s">
        <v>23</v>
      </c>
      <c r="G1739" t="s">
        <v>61</v>
      </c>
      <c r="H1739" t="s">
        <v>62</v>
      </c>
      <c r="I1739" t="s">
        <v>46</v>
      </c>
      <c r="J1739" t="s">
        <v>47</v>
      </c>
      <c r="K1739" t="s">
        <v>48</v>
      </c>
      <c r="L1739">
        <v>2</v>
      </c>
      <c r="M1739">
        <v>180</v>
      </c>
      <c r="N1739">
        <v>10</v>
      </c>
      <c r="O1739">
        <v>324</v>
      </c>
      <c r="P1739">
        <v>155.47999999999999</v>
      </c>
      <c r="Q1739" t="s">
        <v>74</v>
      </c>
      <c r="R1739" t="s">
        <v>49</v>
      </c>
      <c r="S1739" t="s">
        <v>110</v>
      </c>
    </row>
    <row r="1740" spans="1:19" x14ac:dyDescent="0.3">
      <c r="A1740" t="s">
        <v>2808</v>
      </c>
      <c r="B1740" s="1">
        <v>45970</v>
      </c>
      <c r="C1740" t="s">
        <v>2809</v>
      </c>
      <c r="D1740" t="s">
        <v>621</v>
      </c>
      <c r="E1740" t="s">
        <v>622</v>
      </c>
      <c r="F1740" t="s">
        <v>55</v>
      </c>
      <c r="G1740" t="s">
        <v>91</v>
      </c>
      <c r="H1740" t="s">
        <v>109</v>
      </c>
      <c r="I1740" t="s">
        <v>103</v>
      </c>
      <c r="J1740" t="s">
        <v>104</v>
      </c>
      <c r="K1740" t="s">
        <v>65</v>
      </c>
      <c r="L1740">
        <v>1</v>
      </c>
      <c r="M1740">
        <v>8000</v>
      </c>
      <c r="N1740">
        <v>5</v>
      </c>
      <c r="O1740">
        <v>7600</v>
      </c>
      <c r="P1740">
        <v>2058.83</v>
      </c>
      <c r="Q1740" t="s">
        <v>66</v>
      </c>
      <c r="R1740" t="s">
        <v>56</v>
      </c>
      <c r="S1740" t="s">
        <v>50</v>
      </c>
    </row>
    <row r="1741" spans="1:19" x14ac:dyDescent="0.3">
      <c r="A1741" t="s">
        <v>2810</v>
      </c>
      <c r="B1741" s="1">
        <v>45950</v>
      </c>
      <c r="C1741" s="1">
        <v>45957</v>
      </c>
      <c r="D1741" t="s">
        <v>223</v>
      </c>
      <c r="E1741" t="s">
        <v>224</v>
      </c>
      <c r="F1741" t="s">
        <v>34</v>
      </c>
      <c r="G1741" t="s">
        <v>35</v>
      </c>
      <c r="H1741" t="s">
        <v>85</v>
      </c>
      <c r="I1741" t="s">
        <v>147</v>
      </c>
      <c r="J1741" t="s">
        <v>148</v>
      </c>
      <c r="K1741" t="s">
        <v>48</v>
      </c>
      <c r="L1741">
        <v>-1</v>
      </c>
      <c r="M1741">
        <v>250</v>
      </c>
      <c r="N1741">
        <v>5</v>
      </c>
      <c r="O1741">
        <v>237.5</v>
      </c>
      <c r="P1741">
        <v>98.7</v>
      </c>
      <c r="Q1741" t="s">
        <v>156</v>
      </c>
      <c r="R1741" t="s">
        <v>29</v>
      </c>
      <c r="S1741" t="s">
        <v>30</v>
      </c>
    </row>
    <row r="1742" spans="1:19" x14ac:dyDescent="0.3">
      <c r="A1742" t="s">
        <v>2811</v>
      </c>
      <c r="B1742" s="1">
        <v>45696</v>
      </c>
      <c r="C1742" s="1">
        <v>45701</v>
      </c>
      <c r="D1742" t="s">
        <v>838</v>
      </c>
      <c r="E1742" t="s">
        <v>839</v>
      </c>
      <c r="F1742" t="s">
        <v>23</v>
      </c>
      <c r="G1742" t="s">
        <v>35</v>
      </c>
      <c r="H1742" t="s">
        <v>258</v>
      </c>
      <c r="I1742" t="s">
        <v>93</v>
      </c>
      <c r="J1742" t="s">
        <v>94</v>
      </c>
      <c r="K1742" t="s">
        <v>95</v>
      </c>
      <c r="L1742">
        <v>1</v>
      </c>
      <c r="M1742">
        <v>1800</v>
      </c>
      <c r="N1742">
        <v>0</v>
      </c>
      <c r="O1742">
        <v>1800</v>
      </c>
      <c r="P1742">
        <v>532.15</v>
      </c>
      <c r="Q1742" t="s">
        <v>156</v>
      </c>
      <c r="R1742" t="s">
        <v>56</v>
      </c>
      <c r="S1742" t="s">
        <v>86</v>
      </c>
    </row>
    <row r="1743" spans="1:19" x14ac:dyDescent="0.3">
      <c r="A1743" t="s">
        <v>2812</v>
      </c>
      <c r="B1743" t="s">
        <v>1096</v>
      </c>
      <c r="C1743" s="1">
        <v>45473</v>
      </c>
      <c r="D1743" t="s">
        <v>460</v>
      </c>
      <c r="E1743" t="s">
        <v>461</v>
      </c>
      <c r="F1743" t="s">
        <v>34</v>
      </c>
      <c r="G1743" t="s">
        <v>61</v>
      </c>
      <c r="H1743" t="s">
        <v>62</v>
      </c>
      <c r="I1743" t="s">
        <v>147</v>
      </c>
      <c r="J1743" t="s">
        <v>148</v>
      </c>
      <c r="K1743" t="s">
        <v>48</v>
      </c>
      <c r="L1743">
        <v>2</v>
      </c>
      <c r="M1743">
        <v>250</v>
      </c>
      <c r="N1743">
        <v>5</v>
      </c>
      <c r="O1743">
        <v>475</v>
      </c>
      <c r="P1743">
        <v>134.08000000000001</v>
      </c>
      <c r="Q1743" t="s">
        <v>74</v>
      </c>
      <c r="R1743" t="s">
        <v>29</v>
      </c>
      <c r="S1743" t="s">
        <v>110</v>
      </c>
    </row>
    <row r="1744" spans="1:19" x14ac:dyDescent="0.3">
      <c r="A1744" t="s">
        <v>2813</v>
      </c>
      <c r="B1744" t="s">
        <v>1088</v>
      </c>
      <c r="C1744" s="1">
        <v>45535</v>
      </c>
      <c r="D1744" t="s">
        <v>554</v>
      </c>
      <c r="E1744" t="s">
        <v>555</v>
      </c>
      <c r="F1744" t="s">
        <v>55</v>
      </c>
      <c r="G1744" t="s">
        <v>61</v>
      </c>
      <c r="H1744" t="s">
        <v>62</v>
      </c>
      <c r="I1744" t="s">
        <v>114</v>
      </c>
      <c r="J1744" t="s">
        <v>115</v>
      </c>
      <c r="K1744" t="s">
        <v>65</v>
      </c>
      <c r="L1744">
        <v>4</v>
      </c>
      <c r="M1744">
        <v>55000</v>
      </c>
      <c r="N1744">
        <v>10</v>
      </c>
      <c r="O1744">
        <v>198000</v>
      </c>
      <c r="P1744">
        <v>30836.54</v>
      </c>
      <c r="Q1744" t="s">
        <v>28</v>
      </c>
      <c r="R1744" t="s">
        <v>56</v>
      </c>
      <c r="S1744" t="s">
        <v>86</v>
      </c>
    </row>
    <row r="1745" spans="1:19" x14ac:dyDescent="0.3">
      <c r="A1745" t="s">
        <v>2814</v>
      </c>
      <c r="B1745" s="1">
        <v>45724</v>
      </c>
      <c r="C1745" s="2">
        <v>45880</v>
      </c>
      <c r="D1745" t="s">
        <v>241</v>
      </c>
      <c r="E1745" t="s">
        <v>242</v>
      </c>
      <c r="F1745" t="s">
        <v>55</v>
      </c>
      <c r="G1745" t="s">
        <v>91</v>
      </c>
      <c r="H1745" t="s">
        <v>120</v>
      </c>
      <c r="I1745" t="s">
        <v>126</v>
      </c>
      <c r="J1745" t="s">
        <v>127</v>
      </c>
      <c r="K1745" t="s">
        <v>95</v>
      </c>
      <c r="L1745">
        <v>1</v>
      </c>
      <c r="M1745">
        <v>600</v>
      </c>
      <c r="N1745">
        <v>5</v>
      </c>
      <c r="O1745">
        <v>570</v>
      </c>
      <c r="P1745">
        <v>188.43</v>
      </c>
      <c r="Q1745" t="s">
        <v>74</v>
      </c>
      <c r="R1745" t="s">
        <v>49</v>
      </c>
      <c r="S1745" t="s">
        <v>110</v>
      </c>
    </row>
    <row r="1746" spans="1:19" x14ac:dyDescent="0.3">
      <c r="A1746" t="s">
        <v>2815</v>
      </c>
      <c r="B1746" s="2">
        <v>45698</v>
      </c>
      <c r="C1746" t="s">
        <v>2816</v>
      </c>
      <c r="D1746" t="s">
        <v>643</v>
      </c>
      <c r="E1746" t="s">
        <v>644</v>
      </c>
      <c r="F1746" t="s">
        <v>34</v>
      </c>
      <c r="G1746" t="s">
        <v>61</v>
      </c>
      <c r="H1746" t="s">
        <v>78</v>
      </c>
      <c r="I1746" t="s">
        <v>79</v>
      </c>
      <c r="J1746" t="s">
        <v>80</v>
      </c>
      <c r="K1746" t="s">
        <v>65</v>
      </c>
      <c r="L1746">
        <v>1</v>
      </c>
      <c r="M1746">
        <v>3000</v>
      </c>
      <c r="N1746">
        <v>0</v>
      </c>
      <c r="O1746">
        <v>3000</v>
      </c>
      <c r="P1746">
        <v>967.25</v>
      </c>
      <c r="Q1746" t="s">
        <v>39</v>
      </c>
      <c r="R1746" t="s">
        <v>29</v>
      </c>
      <c r="S1746" t="s">
        <v>86</v>
      </c>
    </row>
    <row r="1747" spans="1:19" x14ac:dyDescent="0.3">
      <c r="A1747" t="s">
        <v>2817</v>
      </c>
      <c r="B1747" s="2">
        <v>45782</v>
      </c>
      <c r="C1747" s="1">
        <v>45789</v>
      </c>
      <c r="D1747" t="s">
        <v>1729</v>
      </c>
      <c r="E1747" t="s">
        <v>1730</v>
      </c>
      <c r="F1747" t="s">
        <v>34</v>
      </c>
      <c r="G1747" t="s">
        <v>35</v>
      </c>
      <c r="H1747" t="s">
        <v>258</v>
      </c>
      <c r="I1747" t="s">
        <v>126</v>
      </c>
      <c r="J1747" t="s">
        <v>127</v>
      </c>
      <c r="K1747" t="s">
        <v>95</v>
      </c>
      <c r="L1747">
        <v>2</v>
      </c>
      <c r="M1747">
        <v>600</v>
      </c>
      <c r="N1747">
        <v>10</v>
      </c>
      <c r="O1747">
        <v>1080</v>
      </c>
      <c r="P1747">
        <v>313.75</v>
      </c>
      <c r="Q1747" t="s">
        <v>66</v>
      </c>
      <c r="R1747" t="s">
        <v>29</v>
      </c>
      <c r="S1747" t="s">
        <v>86</v>
      </c>
    </row>
    <row r="1748" spans="1:19" x14ac:dyDescent="0.3">
      <c r="A1748" t="s">
        <v>2818</v>
      </c>
      <c r="B1748" s="2">
        <v>45896</v>
      </c>
      <c r="C1748" s="1">
        <v>45903</v>
      </c>
      <c r="D1748" t="s">
        <v>1090</v>
      </c>
      <c r="E1748" t="s">
        <v>1091</v>
      </c>
      <c r="F1748" t="s">
        <v>23</v>
      </c>
      <c r="G1748" t="s">
        <v>61</v>
      </c>
      <c r="H1748" t="s">
        <v>78</v>
      </c>
      <c r="I1748" t="s">
        <v>134</v>
      </c>
      <c r="J1748" t="s">
        <v>135</v>
      </c>
      <c r="K1748" t="s">
        <v>27</v>
      </c>
      <c r="L1748">
        <v>3</v>
      </c>
      <c r="M1748">
        <v>6000</v>
      </c>
      <c r="N1748">
        <v>10</v>
      </c>
      <c r="O1748">
        <v>16200</v>
      </c>
      <c r="P1748">
        <v>3773.78</v>
      </c>
      <c r="Q1748" t="s">
        <v>156</v>
      </c>
      <c r="R1748" t="s">
        <v>49</v>
      </c>
      <c r="S1748" t="s">
        <v>86</v>
      </c>
    </row>
    <row r="1749" spans="1:19" x14ac:dyDescent="0.3">
      <c r="A1749" t="s">
        <v>2819</v>
      </c>
      <c r="B1749" s="1">
        <v>45538</v>
      </c>
      <c r="C1749" s="2">
        <v>45543</v>
      </c>
      <c r="D1749" t="s">
        <v>2043</v>
      </c>
      <c r="E1749" t="s">
        <v>2044</v>
      </c>
      <c r="F1749" t="s">
        <v>55</v>
      </c>
      <c r="G1749" t="s">
        <v>61</v>
      </c>
      <c r="H1749" t="s">
        <v>125</v>
      </c>
      <c r="I1749" t="s">
        <v>93</v>
      </c>
      <c r="J1749" t="s">
        <v>94</v>
      </c>
      <c r="K1749" t="s">
        <v>95</v>
      </c>
      <c r="L1749">
        <v>2</v>
      </c>
      <c r="M1749">
        <v>1800</v>
      </c>
      <c r="N1749">
        <v>0</v>
      </c>
      <c r="O1749">
        <v>3600</v>
      </c>
      <c r="P1749">
        <v>1071.03</v>
      </c>
      <c r="Q1749" t="s">
        <v>74</v>
      </c>
      <c r="R1749" t="s">
        <v>49</v>
      </c>
      <c r="S1749" t="s">
        <v>30</v>
      </c>
    </row>
    <row r="1750" spans="1:19" x14ac:dyDescent="0.3">
      <c r="A1750" t="s">
        <v>2820</v>
      </c>
      <c r="B1750" s="2">
        <v>46009</v>
      </c>
      <c r="C1750" s="2">
        <v>46015</v>
      </c>
      <c r="D1750" t="s">
        <v>1191</v>
      </c>
      <c r="E1750" t="s">
        <v>1192</v>
      </c>
      <c r="F1750" t="s">
        <v>23</v>
      </c>
      <c r="G1750" t="s">
        <v>61</v>
      </c>
      <c r="H1750" t="s">
        <v>211</v>
      </c>
      <c r="I1750" t="s">
        <v>71</v>
      </c>
      <c r="J1750" t="s">
        <v>72</v>
      </c>
      <c r="K1750" t="s">
        <v>73</v>
      </c>
      <c r="L1750">
        <v>2</v>
      </c>
      <c r="M1750">
        <v>3500</v>
      </c>
      <c r="N1750">
        <v>15</v>
      </c>
      <c r="O1750">
        <v>5950</v>
      </c>
      <c r="P1750">
        <v>1522.12</v>
      </c>
      <c r="Q1750" t="s">
        <v>156</v>
      </c>
      <c r="R1750" t="s">
        <v>56</v>
      </c>
      <c r="S1750" t="s">
        <v>30</v>
      </c>
    </row>
    <row r="1751" spans="1:19" x14ac:dyDescent="0.3">
      <c r="A1751" t="s">
        <v>2821</v>
      </c>
      <c r="B1751" s="1">
        <v>45764</v>
      </c>
      <c r="C1751" s="1">
        <v>45766</v>
      </c>
      <c r="D1751" t="s">
        <v>1009</v>
      </c>
      <c r="E1751" t="s">
        <v>1010</v>
      </c>
      <c r="F1751" t="s">
        <v>23</v>
      </c>
      <c r="G1751" t="s">
        <v>61</v>
      </c>
      <c r="H1751" t="s">
        <v>62</v>
      </c>
      <c r="I1751" t="s">
        <v>46</v>
      </c>
      <c r="J1751" t="s">
        <v>47</v>
      </c>
      <c r="K1751" t="s">
        <v>48</v>
      </c>
      <c r="L1751">
        <v>2</v>
      </c>
      <c r="M1751">
        <v>180</v>
      </c>
      <c r="N1751">
        <v>0</v>
      </c>
      <c r="O1751">
        <v>360</v>
      </c>
      <c r="P1751">
        <v>132.22999999999999</v>
      </c>
      <c r="Q1751" t="s">
        <v>74</v>
      </c>
      <c r="R1751" t="s">
        <v>29</v>
      </c>
      <c r="S1751" t="s">
        <v>50</v>
      </c>
    </row>
    <row r="1752" spans="1:19" x14ac:dyDescent="0.3">
      <c r="A1752" t="s">
        <v>2822</v>
      </c>
      <c r="B1752" s="1">
        <v>45539</v>
      </c>
      <c r="C1752" s="1">
        <v>45394</v>
      </c>
      <c r="D1752" t="s">
        <v>570</v>
      </c>
      <c r="E1752" t="s">
        <v>571</v>
      </c>
      <c r="F1752" t="s">
        <v>34</v>
      </c>
      <c r="G1752" t="s">
        <v>44</v>
      </c>
      <c r="H1752" t="s">
        <v>161</v>
      </c>
      <c r="I1752" t="s">
        <v>25</v>
      </c>
      <c r="J1752" t="s">
        <v>26</v>
      </c>
      <c r="K1752" t="s">
        <v>27</v>
      </c>
      <c r="L1752">
        <v>2</v>
      </c>
      <c r="M1752">
        <v>7000</v>
      </c>
      <c r="N1752">
        <v>15</v>
      </c>
      <c r="O1752">
        <v>11900</v>
      </c>
      <c r="P1752">
        <v>2103.46</v>
      </c>
      <c r="Q1752" t="s">
        <v>156</v>
      </c>
      <c r="R1752" t="s">
        <v>49</v>
      </c>
      <c r="S1752" t="s">
        <v>86</v>
      </c>
    </row>
    <row r="1753" spans="1:19" x14ac:dyDescent="0.3">
      <c r="A1753" t="s">
        <v>2823</v>
      </c>
      <c r="B1753" s="2">
        <v>45888</v>
      </c>
      <c r="C1753" s="1">
        <v>45896</v>
      </c>
      <c r="D1753" t="s">
        <v>418</v>
      </c>
      <c r="E1753" t="s">
        <v>419</v>
      </c>
      <c r="F1753" t="s">
        <v>23</v>
      </c>
      <c r="G1753" t="s">
        <v>91</v>
      </c>
      <c r="H1753" t="s">
        <v>120</v>
      </c>
      <c r="I1753" t="s">
        <v>37</v>
      </c>
      <c r="J1753" t="s">
        <v>38</v>
      </c>
      <c r="K1753" t="s">
        <v>27</v>
      </c>
      <c r="L1753">
        <v>3</v>
      </c>
      <c r="M1753">
        <v>9500</v>
      </c>
      <c r="N1753">
        <v>5</v>
      </c>
      <c r="O1753">
        <v>27075</v>
      </c>
      <c r="P1753">
        <v>3976.21</v>
      </c>
      <c r="Q1753" t="s">
        <v>121</v>
      </c>
      <c r="R1753" t="s">
        <v>49</v>
      </c>
      <c r="S1753" t="s">
        <v>30</v>
      </c>
    </row>
    <row r="1754" spans="1:19" x14ac:dyDescent="0.3">
      <c r="A1754" t="s">
        <v>2824</v>
      </c>
      <c r="B1754" s="1">
        <v>45977</v>
      </c>
      <c r="C1754" s="1">
        <v>45982</v>
      </c>
      <c r="D1754" t="s">
        <v>318</v>
      </c>
      <c r="E1754" t="s">
        <v>319</v>
      </c>
      <c r="F1754" t="s">
        <v>55</v>
      </c>
      <c r="G1754" t="s">
        <v>35</v>
      </c>
      <c r="H1754" t="s">
        <v>36</v>
      </c>
      <c r="I1754" t="s">
        <v>126</v>
      </c>
      <c r="J1754" t="s">
        <v>127</v>
      </c>
      <c r="K1754" t="s">
        <v>95</v>
      </c>
      <c r="L1754">
        <v>1</v>
      </c>
      <c r="M1754">
        <v>600</v>
      </c>
      <c r="N1754">
        <v>20</v>
      </c>
      <c r="O1754">
        <v>480</v>
      </c>
      <c r="P1754">
        <v>164.27</v>
      </c>
      <c r="Q1754" t="s">
        <v>66</v>
      </c>
      <c r="R1754" t="s">
        <v>29</v>
      </c>
      <c r="S1754" t="s">
        <v>30</v>
      </c>
    </row>
    <row r="1755" spans="1:19" x14ac:dyDescent="0.3">
      <c r="A1755" t="s">
        <v>2825</v>
      </c>
      <c r="B1755" s="1">
        <v>45683</v>
      </c>
      <c r="D1755" t="s">
        <v>227</v>
      </c>
      <c r="E1755" t="s">
        <v>228</v>
      </c>
      <c r="F1755" t="s">
        <v>23</v>
      </c>
      <c r="G1755" t="s">
        <v>61</v>
      </c>
      <c r="H1755" t="s">
        <v>62</v>
      </c>
      <c r="I1755" t="s">
        <v>134</v>
      </c>
      <c r="J1755" t="s">
        <v>135</v>
      </c>
      <c r="K1755" t="s">
        <v>27</v>
      </c>
      <c r="L1755">
        <v>1</v>
      </c>
      <c r="M1755">
        <v>6000</v>
      </c>
      <c r="N1755">
        <v>10</v>
      </c>
      <c r="O1755">
        <v>5400</v>
      </c>
      <c r="P1755">
        <v>1290.31</v>
      </c>
      <c r="Q1755" t="s">
        <v>39</v>
      </c>
      <c r="R1755" t="s">
        <v>56</v>
      </c>
      <c r="S1755" t="s">
        <v>30</v>
      </c>
    </row>
    <row r="1756" spans="1:19" x14ac:dyDescent="0.3">
      <c r="A1756" t="s">
        <v>2826</v>
      </c>
      <c r="B1756" s="1">
        <v>45854</v>
      </c>
      <c r="C1756" t="s">
        <v>1771</v>
      </c>
      <c r="D1756" t="s">
        <v>1592</v>
      </c>
      <c r="E1756" t="s">
        <v>1593</v>
      </c>
      <c r="F1756" t="s">
        <v>34</v>
      </c>
      <c r="G1756" t="s">
        <v>44</v>
      </c>
      <c r="H1756" t="s">
        <v>155</v>
      </c>
      <c r="I1756" t="s">
        <v>147</v>
      </c>
      <c r="J1756" t="s">
        <v>148</v>
      </c>
      <c r="K1756" t="s">
        <v>48</v>
      </c>
      <c r="L1756">
        <v>2</v>
      </c>
      <c r="M1756">
        <v>250</v>
      </c>
      <c r="N1756">
        <v>0</v>
      </c>
      <c r="O1756">
        <v>500</v>
      </c>
      <c r="P1756">
        <v>193.44</v>
      </c>
      <c r="Q1756" t="s">
        <v>39</v>
      </c>
      <c r="R1756" t="s">
        <v>49</v>
      </c>
      <c r="S1756" t="s">
        <v>86</v>
      </c>
    </row>
    <row r="1757" spans="1:19" x14ac:dyDescent="0.3">
      <c r="A1757" t="s">
        <v>2827</v>
      </c>
      <c r="B1757" s="1">
        <v>45325</v>
      </c>
      <c r="C1757" s="1">
        <v>45537</v>
      </c>
      <c r="D1757" t="s">
        <v>1643</v>
      </c>
      <c r="E1757" t="s">
        <v>1644</v>
      </c>
      <c r="F1757" t="s">
        <v>55</v>
      </c>
      <c r="G1757" t="s">
        <v>91</v>
      </c>
      <c r="H1757" t="s">
        <v>120</v>
      </c>
      <c r="I1757" t="s">
        <v>114</v>
      </c>
      <c r="J1757" t="s">
        <v>115</v>
      </c>
      <c r="K1757" t="s">
        <v>65</v>
      </c>
      <c r="L1757">
        <v>2</v>
      </c>
      <c r="M1757">
        <v>55000</v>
      </c>
      <c r="N1757">
        <v>20</v>
      </c>
      <c r="O1757">
        <v>88000</v>
      </c>
      <c r="P1757">
        <v>13813.67</v>
      </c>
      <c r="Q1757" t="s">
        <v>156</v>
      </c>
      <c r="R1757" t="s">
        <v>29</v>
      </c>
      <c r="S1757" t="s">
        <v>86</v>
      </c>
    </row>
    <row r="1758" spans="1:19" x14ac:dyDescent="0.3">
      <c r="A1758" t="s">
        <v>2828</v>
      </c>
      <c r="B1758" s="1">
        <v>45501</v>
      </c>
      <c r="C1758" s="1">
        <v>45330</v>
      </c>
      <c r="D1758" t="s">
        <v>596</v>
      </c>
      <c r="E1758" t="s">
        <v>597</v>
      </c>
      <c r="F1758" t="s">
        <v>34</v>
      </c>
      <c r="G1758" t="s">
        <v>91</v>
      </c>
      <c r="H1758" t="s">
        <v>120</v>
      </c>
      <c r="I1758" t="s">
        <v>114</v>
      </c>
      <c r="J1758" t="s">
        <v>115</v>
      </c>
      <c r="K1758" t="s">
        <v>65</v>
      </c>
      <c r="L1758">
        <v>1</v>
      </c>
      <c r="M1758">
        <v>55000</v>
      </c>
      <c r="N1758">
        <v>0</v>
      </c>
      <c r="O1758">
        <v>55000</v>
      </c>
      <c r="P1758">
        <v>9968.7000000000007</v>
      </c>
      <c r="Q1758" t="s">
        <v>74</v>
      </c>
      <c r="R1758" t="s">
        <v>49</v>
      </c>
      <c r="S1758" t="s">
        <v>86</v>
      </c>
    </row>
    <row r="1759" spans="1:19" x14ac:dyDescent="0.3">
      <c r="A1759" t="s">
        <v>2829</v>
      </c>
      <c r="B1759" s="1">
        <v>45942</v>
      </c>
      <c r="C1759" s="2">
        <v>45944</v>
      </c>
      <c r="D1759" t="s">
        <v>373</v>
      </c>
      <c r="E1759" t="s">
        <v>374</v>
      </c>
      <c r="F1759" t="s">
        <v>55</v>
      </c>
      <c r="G1759" t="s">
        <v>35</v>
      </c>
      <c r="H1759" t="s">
        <v>85</v>
      </c>
      <c r="I1759" t="s">
        <v>126</v>
      </c>
      <c r="J1759" t="s">
        <v>127</v>
      </c>
      <c r="K1759" t="s">
        <v>95</v>
      </c>
      <c r="L1759">
        <v>2</v>
      </c>
      <c r="M1759">
        <v>600</v>
      </c>
      <c r="N1759">
        <v>0</v>
      </c>
      <c r="O1759">
        <v>1200</v>
      </c>
      <c r="P1759">
        <v>409.88</v>
      </c>
      <c r="R1759" t="s">
        <v>56</v>
      </c>
      <c r="S1759" t="s">
        <v>86</v>
      </c>
    </row>
    <row r="1760" spans="1:19" x14ac:dyDescent="0.3">
      <c r="A1760" t="s">
        <v>2830</v>
      </c>
      <c r="B1760" s="1">
        <v>45811</v>
      </c>
      <c r="C1760" s="1">
        <v>45812</v>
      </c>
      <c r="D1760" t="s">
        <v>272</v>
      </c>
      <c r="E1760" t="s">
        <v>273</v>
      </c>
      <c r="F1760" t="s">
        <v>23</v>
      </c>
      <c r="G1760" t="s">
        <v>35</v>
      </c>
      <c r="H1760" t="s">
        <v>258</v>
      </c>
      <c r="I1760" t="s">
        <v>147</v>
      </c>
      <c r="J1760" t="s">
        <v>148</v>
      </c>
      <c r="K1760" t="s">
        <v>48</v>
      </c>
      <c r="L1760">
        <v>1</v>
      </c>
      <c r="M1760">
        <v>250</v>
      </c>
      <c r="N1760">
        <v>0</v>
      </c>
      <c r="O1760">
        <v>250</v>
      </c>
      <c r="P1760">
        <v>91.56</v>
      </c>
      <c r="Q1760" t="s">
        <v>66</v>
      </c>
      <c r="R1760" t="s">
        <v>49</v>
      </c>
      <c r="S1760" t="s">
        <v>40</v>
      </c>
    </row>
    <row r="1761" spans="1:19" x14ac:dyDescent="0.3">
      <c r="A1761" t="s">
        <v>2831</v>
      </c>
      <c r="B1761" s="1">
        <v>45689</v>
      </c>
      <c r="C1761" s="1">
        <v>45663</v>
      </c>
      <c r="D1761" t="s">
        <v>265</v>
      </c>
      <c r="E1761" t="s">
        <v>266</v>
      </c>
      <c r="F1761" t="s">
        <v>55</v>
      </c>
      <c r="G1761" t="s">
        <v>44</v>
      </c>
      <c r="H1761" t="s">
        <v>45</v>
      </c>
      <c r="I1761" t="s">
        <v>114</v>
      </c>
      <c r="J1761" t="s">
        <v>115</v>
      </c>
      <c r="K1761" t="s">
        <v>65</v>
      </c>
      <c r="L1761">
        <v>4</v>
      </c>
      <c r="M1761">
        <v>55000</v>
      </c>
      <c r="N1761">
        <v>0</v>
      </c>
      <c r="O1761">
        <v>220000</v>
      </c>
      <c r="P1761">
        <v>37479.160000000003</v>
      </c>
      <c r="Q1761" t="s">
        <v>156</v>
      </c>
      <c r="R1761" t="s">
        <v>56</v>
      </c>
      <c r="S1761" t="s">
        <v>40</v>
      </c>
    </row>
    <row r="1762" spans="1:19" x14ac:dyDescent="0.3">
      <c r="A1762" t="s">
        <v>2832</v>
      </c>
      <c r="B1762" t="s">
        <v>902</v>
      </c>
      <c r="C1762" s="1">
        <v>45422</v>
      </c>
      <c r="D1762" t="s">
        <v>1009</v>
      </c>
      <c r="E1762" t="s">
        <v>1010</v>
      </c>
      <c r="F1762" t="s">
        <v>23</v>
      </c>
      <c r="G1762" t="s">
        <v>61</v>
      </c>
      <c r="H1762" t="s">
        <v>62</v>
      </c>
      <c r="I1762" t="s">
        <v>126</v>
      </c>
      <c r="J1762" t="s">
        <v>127</v>
      </c>
      <c r="K1762" t="s">
        <v>95</v>
      </c>
      <c r="L1762">
        <v>3</v>
      </c>
      <c r="M1762">
        <v>600</v>
      </c>
      <c r="N1762">
        <v>0</v>
      </c>
      <c r="O1762">
        <v>1800</v>
      </c>
      <c r="P1762">
        <v>493.17</v>
      </c>
      <c r="Q1762" t="s">
        <v>28</v>
      </c>
      <c r="R1762" t="s">
        <v>49</v>
      </c>
      <c r="S1762" t="s">
        <v>110</v>
      </c>
    </row>
    <row r="1763" spans="1:19" x14ac:dyDescent="0.3">
      <c r="A1763" t="s">
        <v>2833</v>
      </c>
      <c r="B1763" s="1">
        <v>45594</v>
      </c>
      <c r="C1763" s="1">
        <v>45596</v>
      </c>
      <c r="D1763" t="s">
        <v>308</v>
      </c>
      <c r="E1763" t="s">
        <v>309</v>
      </c>
      <c r="F1763" t="s">
        <v>34</v>
      </c>
      <c r="G1763" t="s">
        <v>91</v>
      </c>
      <c r="H1763" t="s">
        <v>177</v>
      </c>
      <c r="I1763" t="s">
        <v>79</v>
      </c>
      <c r="J1763" t="s">
        <v>80</v>
      </c>
      <c r="K1763" t="s">
        <v>105</v>
      </c>
      <c r="L1763">
        <v>1</v>
      </c>
      <c r="M1763">
        <v>3000</v>
      </c>
      <c r="N1763">
        <v>0</v>
      </c>
      <c r="O1763">
        <v>3000</v>
      </c>
      <c r="P1763">
        <v>757.21</v>
      </c>
      <c r="Q1763" t="s">
        <v>121</v>
      </c>
      <c r="R1763" t="s">
        <v>56</v>
      </c>
      <c r="S1763" t="s">
        <v>30</v>
      </c>
    </row>
    <row r="1764" spans="1:19" x14ac:dyDescent="0.3">
      <c r="A1764" t="s">
        <v>2834</v>
      </c>
      <c r="B1764" s="2">
        <v>45957</v>
      </c>
      <c r="C1764" s="1">
        <v>45965</v>
      </c>
      <c r="D1764" t="s">
        <v>324</v>
      </c>
      <c r="E1764" t="s">
        <v>2835</v>
      </c>
      <c r="F1764" t="s">
        <v>55</v>
      </c>
      <c r="G1764" t="s">
        <v>91</v>
      </c>
      <c r="H1764" t="s">
        <v>109</v>
      </c>
      <c r="I1764" t="s">
        <v>63</v>
      </c>
      <c r="J1764" t="s">
        <v>64</v>
      </c>
      <c r="K1764" t="s">
        <v>65</v>
      </c>
      <c r="L1764">
        <v>1</v>
      </c>
      <c r="M1764">
        <v>25000</v>
      </c>
      <c r="N1764">
        <v>0</v>
      </c>
      <c r="O1764">
        <v>25000</v>
      </c>
      <c r="P1764">
        <v>3055.32</v>
      </c>
      <c r="Q1764" t="s">
        <v>156</v>
      </c>
      <c r="R1764" t="s">
        <v>29</v>
      </c>
      <c r="S1764" t="s">
        <v>30</v>
      </c>
    </row>
    <row r="1765" spans="1:19" x14ac:dyDescent="0.3">
      <c r="A1765" t="s">
        <v>2836</v>
      </c>
      <c r="B1765" s="1">
        <v>45720</v>
      </c>
      <c r="C1765" s="1">
        <v>45721</v>
      </c>
      <c r="D1765" t="s">
        <v>827</v>
      </c>
      <c r="E1765" t="s">
        <v>828</v>
      </c>
      <c r="F1765" t="s">
        <v>34</v>
      </c>
      <c r="G1765" t="s">
        <v>44</v>
      </c>
      <c r="H1765" t="s">
        <v>155</v>
      </c>
      <c r="I1765" t="s">
        <v>126</v>
      </c>
      <c r="J1765" t="s">
        <v>127</v>
      </c>
      <c r="K1765" t="s">
        <v>95</v>
      </c>
      <c r="L1765">
        <v>10</v>
      </c>
      <c r="M1765">
        <v>600</v>
      </c>
      <c r="N1765">
        <v>5</v>
      </c>
      <c r="O1765">
        <v>5700</v>
      </c>
      <c r="P1765">
        <v>1679.84</v>
      </c>
      <c r="Q1765" t="s">
        <v>39</v>
      </c>
      <c r="R1765" t="s">
        <v>29</v>
      </c>
      <c r="S1765" t="s">
        <v>50</v>
      </c>
    </row>
    <row r="1766" spans="1:19" x14ac:dyDescent="0.3">
      <c r="A1766" t="s">
        <v>2837</v>
      </c>
      <c r="B1766" s="1">
        <v>45555</v>
      </c>
      <c r="C1766" s="2">
        <v>45559</v>
      </c>
      <c r="D1766" t="s">
        <v>1588</v>
      </c>
      <c r="E1766" t="s">
        <v>1589</v>
      </c>
      <c r="F1766" t="s">
        <v>34</v>
      </c>
      <c r="G1766" t="s">
        <v>61</v>
      </c>
      <c r="H1766" t="s">
        <v>78</v>
      </c>
      <c r="I1766" t="s">
        <v>46</v>
      </c>
      <c r="J1766" t="s">
        <v>47</v>
      </c>
      <c r="K1766" t="s">
        <v>48</v>
      </c>
      <c r="L1766">
        <v>2</v>
      </c>
      <c r="M1766">
        <v>180</v>
      </c>
      <c r="N1766">
        <v>15</v>
      </c>
      <c r="O1766">
        <v>306</v>
      </c>
      <c r="P1766">
        <v>103.12</v>
      </c>
      <c r="Q1766" t="s">
        <v>121</v>
      </c>
      <c r="R1766" t="s">
        <v>29</v>
      </c>
      <c r="S1766" t="s">
        <v>86</v>
      </c>
    </row>
    <row r="1767" spans="1:19" x14ac:dyDescent="0.3">
      <c r="A1767" t="s">
        <v>2838</v>
      </c>
      <c r="B1767" s="1">
        <v>45640</v>
      </c>
      <c r="C1767" t="s">
        <v>2839</v>
      </c>
      <c r="D1767" t="s">
        <v>166</v>
      </c>
      <c r="E1767" t="s">
        <v>167</v>
      </c>
      <c r="F1767" t="s">
        <v>23</v>
      </c>
      <c r="G1767" t="s">
        <v>44</v>
      </c>
      <c r="H1767" t="s">
        <v>161</v>
      </c>
      <c r="I1767" t="s">
        <v>103</v>
      </c>
      <c r="J1767" t="s">
        <v>104</v>
      </c>
      <c r="K1767" t="s">
        <v>65</v>
      </c>
      <c r="L1767">
        <v>4</v>
      </c>
      <c r="M1767">
        <v>8000</v>
      </c>
      <c r="N1767">
        <v>10</v>
      </c>
      <c r="O1767">
        <v>28800</v>
      </c>
      <c r="P1767">
        <v>7327.04</v>
      </c>
      <c r="Q1767" t="s">
        <v>39</v>
      </c>
      <c r="R1767" t="s">
        <v>56</v>
      </c>
      <c r="S1767" t="s">
        <v>30</v>
      </c>
    </row>
    <row r="1768" spans="1:19" x14ac:dyDescent="0.3">
      <c r="A1768" t="s">
        <v>2840</v>
      </c>
      <c r="B1768" s="2">
        <v>45500</v>
      </c>
      <c r="C1768" s="1">
        <v>45503</v>
      </c>
      <c r="D1768" t="s">
        <v>1079</v>
      </c>
      <c r="E1768" t="s">
        <v>1080</v>
      </c>
      <c r="F1768" t="s">
        <v>23</v>
      </c>
      <c r="G1768" t="s">
        <v>44</v>
      </c>
      <c r="H1768" t="s">
        <v>155</v>
      </c>
      <c r="I1768" t="s">
        <v>37</v>
      </c>
      <c r="J1768" t="s">
        <v>38</v>
      </c>
      <c r="K1768" t="s">
        <v>27</v>
      </c>
      <c r="L1768">
        <v>1</v>
      </c>
      <c r="M1768">
        <v>9500</v>
      </c>
      <c r="N1768">
        <v>0</v>
      </c>
      <c r="O1768">
        <v>9500</v>
      </c>
      <c r="P1768">
        <v>1662.44</v>
      </c>
      <c r="Q1768" t="s">
        <v>66</v>
      </c>
      <c r="R1768" t="s">
        <v>56</v>
      </c>
      <c r="S1768" t="s">
        <v>40</v>
      </c>
    </row>
    <row r="1769" spans="1:19" x14ac:dyDescent="0.3">
      <c r="A1769" t="s">
        <v>2841</v>
      </c>
      <c r="B1769" s="1">
        <v>45859</v>
      </c>
      <c r="C1769" s="2">
        <v>45866</v>
      </c>
      <c r="D1769" t="s">
        <v>1100</v>
      </c>
      <c r="E1769" t="s">
        <v>1101</v>
      </c>
      <c r="F1769" t="s">
        <v>23</v>
      </c>
      <c r="G1769" t="s">
        <v>44</v>
      </c>
      <c r="H1769" t="s">
        <v>161</v>
      </c>
      <c r="I1769" t="s">
        <v>25</v>
      </c>
      <c r="J1769" t="s">
        <v>26</v>
      </c>
      <c r="K1769" t="s">
        <v>27</v>
      </c>
      <c r="L1769">
        <v>1</v>
      </c>
      <c r="M1769">
        <v>7000</v>
      </c>
      <c r="N1769">
        <v>10</v>
      </c>
      <c r="O1769">
        <v>6300</v>
      </c>
      <c r="P1769">
        <v>1372.48</v>
      </c>
      <c r="Q1769" t="s">
        <v>121</v>
      </c>
      <c r="R1769" t="s">
        <v>49</v>
      </c>
      <c r="S1769" t="s">
        <v>40</v>
      </c>
    </row>
    <row r="1770" spans="1:19" x14ac:dyDescent="0.3">
      <c r="A1770" t="s">
        <v>2842</v>
      </c>
      <c r="B1770" s="1">
        <v>45407</v>
      </c>
      <c r="C1770" s="2">
        <v>45412</v>
      </c>
      <c r="D1770" t="s">
        <v>621</v>
      </c>
      <c r="E1770" t="s">
        <v>2843</v>
      </c>
      <c r="F1770" t="s">
        <v>55</v>
      </c>
      <c r="G1770" t="s">
        <v>91</v>
      </c>
      <c r="H1770" t="s">
        <v>109</v>
      </c>
      <c r="I1770" t="s">
        <v>103</v>
      </c>
      <c r="J1770" t="s">
        <v>104</v>
      </c>
      <c r="K1770" t="s">
        <v>65</v>
      </c>
      <c r="L1770">
        <v>1</v>
      </c>
      <c r="M1770">
        <v>8000</v>
      </c>
      <c r="N1770">
        <v>15</v>
      </c>
      <c r="O1770">
        <v>6800</v>
      </c>
      <c r="P1770">
        <v>1502.06</v>
      </c>
      <c r="Q1770" t="s">
        <v>156</v>
      </c>
      <c r="R1770" t="s">
        <v>29</v>
      </c>
      <c r="S1770" t="s">
        <v>86</v>
      </c>
    </row>
    <row r="1771" spans="1:19" x14ac:dyDescent="0.3">
      <c r="A1771" t="s">
        <v>2844</v>
      </c>
      <c r="B1771" s="1">
        <v>45633</v>
      </c>
      <c r="C1771" s="1">
        <v>45637</v>
      </c>
      <c r="D1771" t="s">
        <v>1036</v>
      </c>
      <c r="E1771" t="s">
        <v>1037</v>
      </c>
      <c r="F1771" t="s">
        <v>23</v>
      </c>
      <c r="G1771" t="s">
        <v>61</v>
      </c>
      <c r="H1771" t="s">
        <v>211</v>
      </c>
      <c r="I1771" t="s">
        <v>114</v>
      </c>
      <c r="J1771" t="s">
        <v>115</v>
      </c>
      <c r="K1771" t="s">
        <v>65</v>
      </c>
      <c r="L1771">
        <v>1</v>
      </c>
      <c r="M1771">
        <v>55000</v>
      </c>
      <c r="N1771">
        <v>10</v>
      </c>
      <c r="O1771">
        <v>1237500</v>
      </c>
      <c r="P1771">
        <v>6968.35</v>
      </c>
      <c r="Q1771" t="s">
        <v>39</v>
      </c>
      <c r="R1771" t="s">
        <v>29</v>
      </c>
      <c r="S1771" t="s">
        <v>50</v>
      </c>
    </row>
    <row r="1772" spans="1:19" x14ac:dyDescent="0.3">
      <c r="A1772" t="s">
        <v>2845</v>
      </c>
      <c r="B1772" s="1">
        <v>45510</v>
      </c>
      <c r="C1772" s="1">
        <v>45457</v>
      </c>
      <c r="D1772" t="s">
        <v>539</v>
      </c>
      <c r="E1772" t="s">
        <v>540</v>
      </c>
      <c r="F1772" t="s">
        <v>34</v>
      </c>
      <c r="G1772" t="s">
        <v>61</v>
      </c>
      <c r="H1772" t="s">
        <v>211</v>
      </c>
      <c r="I1772" t="s">
        <v>126</v>
      </c>
      <c r="J1772" t="s">
        <v>127</v>
      </c>
      <c r="K1772" t="s">
        <v>95</v>
      </c>
      <c r="L1772">
        <v>2</v>
      </c>
      <c r="M1772">
        <v>600</v>
      </c>
      <c r="N1772">
        <v>10</v>
      </c>
      <c r="O1772">
        <v>1080</v>
      </c>
      <c r="P1772">
        <v>338.87</v>
      </c>
      <c r="Q1772" t="s">
        <v>28</v>
      </c>
      <c r="R1772" t="s">
        <v>49</v>
      </c>
      <c r="S1772" t="s">
        <v>50</v>
      </c>
    </row>
    <row r="1773" spans="1:19" x14ac:dyDescent="0.3">
      <c r="A1773" t="s">
        <v>2846</v>
      </c>
      <c r="B1773" s="2">
        <v>45746</v>
      </c>
      <c r="C1773" s="1">
        <v>45750</v>
      </c>
      <c r="D1773" t="s">
        <v>129</v>
      </c>
      <c r="E1773" t="s">
        <v>2847</v>
      </c>
      <c r="F1773" t="s">
        <v>34</v>
      </c>
      <c r="G1773" t="s">
        <v>61</v>
      </c>
      <c r="H1773" t="s">
        <v>78</v>
      </c>
      <c r="I1773" t="s">
        <v>126</v>
      </c>
      <c r="J1773" t="s">
        <v>127</v>
      </c>
      <c r="K1773" t="s">
        <v>95</v>
      </c>
      <c r="L1773">
        <v>3</v>
      </c>
      <c r="M1773">
        <v>600</v>
      </c>
      <c r="N1773">
        <v>0</v>
      </c>
      <c r="O1773">
        <v>1800</v>
      </c>
      <c r="P1773">
        <v>479.64</v>
      </c>
      <c r="Q1773" t="s">
        <v>156</v>
      </c>
      <c r="R1773" t="s">
        <v>49</v>
      </c>
      <c r="S1773" t="s">
        <v>110</v>
      </c>
    </row>
    <row r="1774" spans="1:19" x14ac:dyDescent="0.3">
      <c r="A1774" t="s">
        <v>2848</v>
      </c>
      <c r="B1774" s="1">
        <v>45412</v>
      </c>
      <c r="C1774" s="1">
        <v>45414</v>
      </c>
      <c r="D1774" t="s">
        <v>919</v>
      </c>
      <c r="E1774" t="s">
        <v>920</v>
      </c>
      <c r="F1774" t="s">
        <v>23</v>
      </c>
      <c r="G1774" t="s">
        <v>35</v>
      </c>
      <c r="I1774" t="s">
        <v>147</v>
      </c>
      <c r="J1774" t="s">
        <v>148</v>
      </c>
      <c r="K1774" t="s">
        <v>48</v>
      </c>
      <c r="L1774">
        <v>2</v>
      </c>
      <c r="M1774">
        <v>250</v>
      </c>
      <c r="N1774">
        <v>20</v>
      </c>
      <c r="O1774">
        <v>400</v>
      </c>
      <c r="P1774">
        <v>152.6</v>
      </c>
      <c r="Q1774" t="s">
        <v>28</v>
      </c>
      <c r="R1774" t="s">
        <v>29</v>
      </c>
      <c r="S1774" t="s">
        <v>40</v>
      </c>
    </row>
    <row r="1775" spans="1:19" x14ac:dyDescent="0.3">
      <c r="A1775" t="s">
        <v>2849</v>
      </c>
      <c r="B1775" t="s">
        <v>2078</v>
      </c>
      <c r="C1775" t="s">
        <v>2850</v>
      </c>
      <c r="D1775" t="s">
        <v>1019</v>
      </c>
      <c r="E1775" t="s">
        <v>1020</v>
      </c>
      <c r="F1775" t="s">
        <v>55</v>
      </c>
      <c r="G1775" t="s">
        <v>35</v>
      </c>
      <c r="H1775" t="s">
        <v>187</v>
      </c>
      <c r="I1775" t="s">
        <v>25</v>
      </c>
      <c r="J1775" t="s">
        <v>26</v>
      </c>
      <c r="K1775" t="s">
        <v>27</v>
      </c>
      <c r="L1775">
        <v>1</v>
      </c>
      <c r="M1775">
        <v>7000</v>
      </c>
      <c r="N1775">
        <v>15</v>
      </c>
      <c r="O1775">
        <v>5950</v>
      </c>
      <c r="P1775">
        <v>1093.22</v>
      </c>
      <c r="Q1775" t="s">
        <v>156</v>
      </c>
      <c r="R1775" t="s">
        <v>56</v>
      </c>
      <c r="S1775" t="s">
        <v>110</v>
      </c>
    </row>
    <row r="1776" spans="1:19" x14ac:dyDescent="0.3">
      <c r="A1776" t="s">
        <v>2851</v>
      </c>
      <c r="B1776" s="1">
        <v>45501</v>
      </c>
      <c r="C1776" s="2">
        <v>45503</v>
      </c>
      <c r="D1776" t="s">
        <v>275</v>
      </c>
      <c r="E1776" t="s">
        <v>276</v>
      </c>
      <c r="F1776" t="s">
        <v>34</v>
      </c>
      <c r="G1776" t="s">
        <v>91</v>
      </c>
      <c r="H1776" t="s">
        <v>120</v>
      </c>
      <c r="I1776" t="s">
        <v>134</v>
      </c>
      <c r="J1776" t="s">
        <v>135</v>
      </c>
      <c r="K1776" t="s">
        <v>366</v>
      </c>
      <c r="L1776">
        <v>1</v>
      </c>
      <c r="M1776">
        <v>6000</v>
      </c>
      <c r="N1776">
        <v>0</v>
      </c>
      <c r="O1776">
        <v>6000</v>
      </c>
      <c r="P1776">
        <v>1231.17</v>
      </c>
      <c r="Q1776" t="s">
        <v>156</v>
      </c>
      <c r="R1776" t="s">
        <v>29</v>
      </c>
      <c r="S1776" t="s">
        <v>50</v>
      </c>
    </row>
    <row r="1777" spans="1:19" x14ac:dyDescent="0.3">
      <c r="A1777" t="s">
        <v>2852</v>
      </c>
      <c r="B1777" s="1">
        <v>45916</v>
      </c>
      <c r="C1777" s="1">
        <v>45920</v>
      </c>
      <c r="D1777" t="s">
        <v>409</v>
      </c>
      <c r="E1777" t="s">
        <v>410</v>
      </c>
      <c r="F1777" t="s">
        <v>23</v>
      </c>
      <c r="G1777" t="s">
        <v>61</v>
      </c>
      <c r="H1777" t="s">
        <v>125</v>
      </c>
      <c r="I1777" t="s">
        <v>71</v>
      </c>
      <c r="J1777" t="s">
        <v>72</v>
      </c>
      <c r="K1777" t="s">
        <v>73</v>
      </c>
      <c r="L1777">
        <v>2</v>
      </c>
      <c r="M1777">
        <v>3500</v>
      </c>
      <c r="N1777">
        <v>0</v>
      </c>
      <c r="O1777">
        <v>7000</v>
      </c>
      <c r="P1777">
        <v>2120.0700000000002</v>
      </c>
      <c r="Q1777" t="s">
        <v>121</v>
      </c>
      <c r="R1777" t="s">
        <v>29</v>
      </c>
      <c r="S1777" t="s">
        <v>40</v>
      </c>
    </row>
    <row r="1778" spans="1:19" x14ac:dyDescent="0.3">
      <c r="A1778" t="s">
        <v>2853</v>
      </c>
      <c r="B1778" s="1">
        <v>45358</v>
      </c>
      <c r="C1778" s="1">
        <v>45568</v>
      </c>
      <c r="D1778" t="s">
        <v>328</v>
      </c>
      <c r="E1778" t="s">
        <v>329</v>
      </c>
      <c r="F1778" t="s">
        <v>23</v>
      </c>
      <c r="G1778" t="s">
        <v>44</v>
      </c>
      <c r="H1778" t="s">
        <v>330</v>
      </c>
      <c r="I1778" t="s">
        <v>114</v>
      </c>
      <c r="J1778" t="s">
        <v>115</v>
      </c>
      <c r="K1778" t="s">
        <v>65</v>
      </c>
      <c r="L1778">
        <v>1</v>
      </c>
      <c r="M1778">
        <v>55000</v>
      </c>
      <c r="N1778">
        <v>15</v>
      </c>
      <c r="O1778">
        <v>46750</v>
      </c>
      <c r="P1778">
        <v>7383.09</v>
      </c>
      <c r="Q1778" t="s">
        <v>66</v>
      </c>
      <c r="R1778" t="s">
        <v>49</v>
      </c>
      <c r="S1778" t="s">
        <v>86</v>
      </c>
    </row>
    <row r="1779" spans="1:19" x14ac:dyDescent="0.3">
      <c r="A1779" t="s">
        <v>2854</v>
      </c>
      <c r="B1779" t="s">
        <v>2855</v>
      </c>
      <c r="C1779" s="2">
        <v>45620</v>
      </c>
      <c r="D1779" t="s">
        <v>308</v>
      </c>
      <c r="E1779" t="s">
        <v>309</v>
      </c>
      <c r="F1779" t="s">
        <v>34</v>
      </c>
      <c r="G1779" t="s">
        <v>91</v>
      </c>
      <c r="H1779" t="s">
        <v>177</v>
      </c>
      <c r="I1779" t="s">
        <v>134</v>
      </c>
      <c r="J1779" t="s">
        <v>135</v>
      </c>
      <c r="K1779" t="s">
        <v>27</v>
      </c>
      <c r="L1779">
        <v>1</v>
      </c>
      <c r="M1779">
        <v>6000</v>
      </c>
      <c r="N1779">
        <v>0</v>
      </c>
      <c r="O1779">
        <v>6000</v>
      </c>
      <c r="P1779">
        <v>1403.61</v>
      </c>
      <c r="Q1779" t="s">
        <v>66</v>
      </c>
      <c r="R1779" t="s">
        <v>29</v>
      </c>
      <c r="S1779" t="s">
        <v>86</v>
      </c>
    </row>
    <row r="1780" spans="1:19" x14ac:dyDescent="0.3">
      <c r="A1780" t="s">
        <v>2856</v>
      </c>
      <c r="B1780" s="1">
        <v>45511</v>
      </c>
      <c r="C1780" s="2">
        <v>45512</v>
      </c>
      <c r="D1780" t="s">
        <v>761</v>
      </c>
      <c r="E1780" t="s">
        <v>762</v>
      </c>
      <c r="F1780" t="s">
        <v>23</v>
      </c>
      <c r="G1780" t="s">
        <v>44</v>
      </c>
      <c r="H1780" t="s">
        <v>330</v>
      </c>
      <c r="I1780" t="s">
        <v>63</v>
      </c>
      <c r="J1780" t="s">
        <v>64</v>
      </c>
      <c r="K1780" t="s">
        <v>375</v>
      </c>
      <c r="L1780">
        <v>-2</v>
      </c>
      <c r="M1780">
        <v>25000</v>
      </c>
      <c r="N1780">
        <v>20</v>
      </c>
      <c r="O1780">
        <v>40000</v>
      </c>
      <c r="P1780">
        <v>5012.25</v>
      </c>
      <c r="Q1780" t="s">
        <v>121</v>
      </c>
      <c r="R1780" t="s">
        <v>49</v>
      </c>
      <c r="S1780" t="s">
        <v>86</v>
      </c>
    </row>
    <row r="1781" spans="1:19" x14ac:dyDescent="0.3">
      <c r="A1781" t="s">
        <v>2857</v>
      </c>
      <c r="B1781" s="1">
        <v>45466</v>
      </c>
      <c r="C1781" s="1">
        <v>45473</v>
      </c>
      <c r="D1781" t="s">
        <v>470</v>
      </c>
      <c r="E1781" t="s">
        <v>471</v>
      </c>
      <c r="F1781" t="s">
        <v>23</v>
      </c>
      <c r="G1781" t="s">
        <v>61</v>
      </c>
      <c r="H1781" t="s">
        <v>62</v>
      </c>
      <c r="I1781" t="s">
        <v>147</v>
      </c>
      <c r="J1781" t="s">
        <v>148</v>
      </c>
      <c r="K1781" t="s">
        <v>48</v>
      </c>
      <c r="L1781">
        <v>2</v>
      </c>
      <c r="M1781">
        <v>250</v>
      </c>
      <c r="N1781">
        <v>10</v>
      </c>
      <c r="O1781">
        <v>450</v>
      </c>
      <c r="P1781">
        <v>161.08000000000001</v>
      </c>
      <c r="Q1781" t="s">
        <v>28</v>
      </c>
      <c r="R1781" t="s">
        <v>29</v>
      </c>
      <c r="S1781" t="s">
        <v>110</v>
      </c>
    </row>
    <row r="1782" spans="1:19" x14ac:dyDescent="0.3">
      <c r="A1782" t="s">
        <v>2858</v>
      </c>
      <c r="B1782" s="1">
        <v>45778</v>
      </c>
      <c r="C1782" s="1">
        <v>45783</v>
      </c>
      <c r="D1782" t="s">
        <v>1209</v>
      </c>
      <c r="E1782" t="s">
        <v>1210</v>
      </c>
      <c r="F1782" t="s">
        <v>23</v>
      </c>
      <c r="G1782" t="s">
        <v>91</v>
      </c>
      <c r="H1782" t="s">
        <v>92</v>
      </c>
      <c r="I1782" t="s">
        <v>71</v>
      </c>
      <c r="J1782" t="s">
        <v>72</v>
      </c>
      <c r="K1782" t="s">
        <v>73</v>
      </c>
      <c r="L1782">
        <v>5</v>
      </c>
      <c r="M1782">
        <v>3500</v>
      </c>
      <c r="N1782">
        <v>0</v>
      </c>
      <c r="O1782">
        <v>17500</v>
      </c>
      <c r="Q1782" t="s">
        <v>74</v>
      </c>
      <c r="R1782" t="s">
        <v>49</v>
      </c>
      <c r="S1782" t="s">
        <v>30</v>
      </c>
    </row>
    <row r="1783" spans="1:19" x14ac:dyDescent="0.3">
      <c r="A1783" t="s">
        <v>2859</v>
      </c>
      <c r="B1783" s="1">
        <v>45741</v>
      </c>
      <c r="C1783" s="1">
        <v>45692</v>
      </c>
      <c r="D1783" t="s">
        <v>1171</v>
      </c>
      <c r="E1783" t="s">
        <v>1172</v>
      </c>
      <c r="F1783" t="s">
        <v>34</v>
      </c>
      <c r="G1783" t="s">
        <v>35</v>
      </c>
      <c r="H1783" t="s">
        <v>85</v>
      </c>
      <c r="I1783" t="s">
        <v>103</v>
      </c>
      <c r="J1783" t="s">
        <v>104</v>
      </c>
      <c r="K1783" t="s">
        <v>375</v>
      </c>
      <c r="L1783">
        <v>1</v>
      </c>
      <c r="M1783">
        <v>8000</v>
      </c>
      <c r="N1783">
        <v>5</v>
      </c>
      <c r="O1783">
        <v>7600</v>
      </c>
      <c r="P1783">
        <v>1684.43</v>
      </c>
      <c r="Q1783" t="s">
        <v>74</v>
      </c>
      <c r="R1783" t="s">
        <v>29</v>
      </c>
      <c r="S1783" t="s">
        <v>30</v>
      </c>
    </row>
    <row r="1784" spans="1:19" x14ac:dyDescent="0.3">
      <c r="A1784" t="s">
        <v>2860</v>
      </c>
      <c r="B1784" s="1">
        <v>45624</v>
      </c>
      <c r="C1784" s="1">
        <v>45631</v>
      </c>
      <c r="D1784" t="s">
        <v>145</v>
      </c>
      <c r="E1784" t="s">
        <v>146</v>
      </c>
      <c r="F1784" t="s">
        <v>34</v>
      </c>
      <c r="G1784" t="s">
        <v>91</v>
      </c>
      <c r="H1784" t="s">
        <v>92</v>
      </c>
      <c r="I1784" t="s">
        <v>71</v>
      </c>
      <c r="J1784" t="s">
        <v>72</v>
      </c>
      <c r="K1784" t="s">
        <v>73</v>
      </c>
      <c r="L1784">
        <v>2</v>
      </c>
      <c r="M1784">
        <v>3500</v>
      </c>
      <c r="N1784">
        <v>0</v>
      </c>
      <c r="O1784">
        <v>7000</v>
      </c>
      <c r="P1784">
        <v>1974.53</v>
      </c>
      <c r="Q1784" t="s">
        <v>66</v>
      </c>
      <c r="R1784" t="s">
        <v>56</v>
      </c>
      <c r="S1784" t="s">
        <v>86</v>
      </c>
    </row>
    <row r="1785" spans="1:19" x14ac:dyDescent="0.3">
      <c r="A1785" t="s">
        <v>2861</v>
      </c>
      <c r="B1785" s="1">
        <v>45719</v>
      </c>
      <c r="C1785" s="2">
        <v>45726</v>
      </c>
      <c r="D1785" t="s">
        <v>1072</v>
      </c>
      <c r="E1785" t="s">
        <v>1073</v>
      </c>
      <c r="F1785" t="s">
        <v>23</v>
      </c>
      <c r="G1785" t="s">
        <v>44</v>
      </c>
      <c r="H1785" t="s">
        <v>161</v>
      </c>
      <c r="I1785" t="s">
        <v>134</v>
      </c>
      <c r="J1785" t="s">
        <v>135</v>
      </c>
      <c r="K1785" t="s">
        <v>27</v>
      </c>
      <c r="L1785">
        <v>1</v>
      </c>
      <c r="M1785">
        <v>6000</v>
      </c>
      <c r="N1785">
        <v>5</v>
      </c>
      <c r="O1785">
        <v>5700</v>
      </c>
      <c r="P1785">
        <v>987.86</v>
      </c>
      <c r="Q1785" t="s">
        <v>74</v>
      </c>
      <c r="R1785" t="s">
        <v>56</v>
      </c>
      <c r="S1785" t="s">
        <v>50</v>
      </c>
    </row>
    <row r="1786" spans="1:19" x14ac:dyDescent="0.3">
      <c r="A1786" t="s">
        <v>2862</v>
      </c>
      <c r="B1786" s="1">
        <v>45999</v>
      </c>
      <c r="C1786" s="1">
        <v>45887</v>
      </c>
      <c r="D1786" t="s">
        <v>2043</v>
      </c>
      <c r="E1786" t="s">
        <v>2044</v>
      </c>
      <c r="F1786" t="s">
        <v>55</v>
      </c>
      <c r="G1786" t="s">
        <v>61</v>
      </c>
      <c r="H1786" t="s">
        <v>125</v>
      </c>
      <c r="I1786" t="s">
        <v>126</v>
      </c>
      <c r="J1786" t="s">
        <v>127</v>
      </c>
      <c r="K1786" t="s">
        <v>95</v>
      </c>
      <c r="L1786">
        <v>1</v>
      </c>
      <c r="M1786">
        <v>600</v>
      </c>
      <c r="N1786">
        <v>15</v>
      </c>
      <c r="O1786">
        <v>510</v>
      </c>
      <c r="P1786">
        <v>167.72</v>
      </c>
      <c r="Q1786" t="s">
        <v>74</v>
      </c>
      <c r="R1786" t="s">
        <v>29</v>
      </c>
      <c r="S1786" t="s">
        <v>110</v>
      </c>
    </row>
    <row r="1787" spans="1:19" x14ac:dyDescent="0.3">
      <c r="A1787" t="s">
        <v>2863</v>
      </c>
      <c r="B1787" s="1">
        <v>45905</v>
      </c>
      <c r="C1787" s="1">
        <v>45970</v>
      </c>
      <c r="D1787" t="s">
        <v>237</v>
      </c>
      <c r="E1787" t="s">
        <v>238</v>
      </c>
      <c r="F1787" t="s">
        <v>55</v>
      </c>
      <c r="G1787" t="s">
        <v>44</v>
      </c>
      <c r="H1787" t="s">
        <v>155</v>
      </c>
      <c r="I1787" t="s">
        <v>63</v>
      </c>
      <c r="J1787" t="s">
        <v>64</v>
      </c>
      <c r="K1787" t="s">
        <v>65</v>
      </c>
      <c r="L1787">
        <v>2</v>
      </c>
      <c r="M1787">
        <v>25000</v>
      </c>
      <c r="N1787">
        <v>5</v>
      </c>
      <c r="O1787">
        <v>47500</v>
      </c>
      <c r="P1787">
        <v>7682.14</v>
      </c>
      <c r="Q1787" t="s">
        <v>39</v>
      </c>
      <c r="R1787" t="s">
        <v>29</v>
      </c>
      <c r="S1787" t="s">
        <v>50</v>
      </c>
    </row>
    <row r="1788" spans="1:19" x14ac:dyDescent="0.3">
      <c r="A1788" t="s">
        <v>2864</v>
      </c>
      <c r="B1788" s="2">
        <v>45948</v>
      </c>
      <c r="C1788" s="1">
        <v>45955</v>
      </c>
      <c r="D1788" t="s">
        <v>524</v>
      </c>
      <c r="E1788" t="s">
        <v>525</v>
      </c>
      <c r="F1788" t="s">
        <v>34</v>
      </c>
      <c r="G1788" t="s">
        <v>35</v>
      </c>
      <c r="H1788" t="s">
        <v>187</v>
      </c>
      <c r="I1788" t="s">
        <v>114</v>
      </c>
      <c r="J1788" t="s">
        <v>115</v>
      </c>
      <c r="K1788" t="s">
        <v>65</v>
      </c>
      <c r="L1788">
        <v>1</v>
      </c>
      <c r="M1788">
        <v>55000</v>
      </c>
      <c r="N1788">
        <v>0</v>
      </c>
      <c r="O1788">
        <v>55000</v>
      </c>
      <c r="P1788">
        <v>9967.16</v>
      </c>
      <c r="Q1788" t="s">
        <v>39</v>
      </c>
      <c r="R1788" t="s">
        <v>56</v>
      </c>
      <c r="S1788" t="s">
        <v>86</v>
      </c>
    </row>
    <row r="1789" spans="1:19" x14ac:dyDescent="0.3">
      <c r="A1789" t="s">
        <v>2865</v>
      </c>
      <c r="B1789" s="1">
        <v>45404</v>
      </c>
      <c r="C1789" s="2">
        <v>45407</v>
      </c>
      <c r="D1789" t="s">
        <v>1293</v>
      </c>
      <c r="E1789" t="s">
        <v>1294</v>
      </c>
      <c r="F1789" t="s">
        <v>34</v>
      </c>
      <c r="G1789" t="s">
        <v>61</v>
      </c>
      <c r="H1789" t="s">
        <v>211</v>
      </c>
      <c r="I1789" t="s">
        <v>79</v>
      </c>
      <c r="J1789" t="s">
        <v>80</v>
      </c>
      <c r="K1789" t="s">
        <v>65</v>
      </c>
      <c r="L1789">
        <v>5</v>
      </c>
      <c r="M1789">
        <v>3000</v>
      </c>
      <c r="N1789">
        <v>20</v>
      </c>
      <c r="O1789">
        <v>12000</v>
      </c>
      <c r="P1789">
        <v>2550.46</v>
      </c>
      <c r="Q1789" t="s">
        <v>74</v>
      </c>
      <c r="R1789" t="s">
        <v>56</v>
      </c>
      <c r="S1789" t="s">
        <v>86</v>
      </c>
    </row>
    <row r="1790" spans="1:19" x14ac:dyDescent="0.3">
      <c r="A1790" t="s">
        <v>2866</v>
      </c>
      <c r="B1790" s="1">
        <v>45474</v>
      </c>
      <c r="C1790" s="1">
        <v>45566</v>
      </c>
      <c r="D1790" t="s">
        <v>356</v>
      </c>
      <c r="E1790" t="s">
        <v>2867</v>
      </c>
      <c r="F1790" t="s">
        <v>23</v>
      </c>
      <c r="G1790" t="s">
        <v>91</v>
      </c>
      <c r="H1790" t="s">
        <v>120</v>
      </c>
      <c r="I1790" t="s">
        <v>147</v>
      </c>
      <c r="J1790" t="s">
        <v>148</v>
      </c>
      <c r="K1790" t="s">
        <v>48</v>
      </c>
      <c r="L1790">
        <v>1</v>
      </c>
      <c r="M1790">
        <v>250</v>
      </c>
      <c r="N1790">
        <v>10</v>
      </c>
      <c r="O1790">
        <v>225</v>
      </c>
      <c r="P1790">
        <v>79.94</v>
      </c>
      <c r="Q1790" t="s">
        <v>121</v>
      </c>
      <c r="R1790" t="s">
        <v>29</v>
      </c>
      <c r="S1790" t="s">
        <v>30</v>
      </c>
    </row>
    <row r="1791" spans="1:19" x14ac:dyDescent="0.3">
      <c r="A1791" t="s">
        <v>2868</v>
      </c>
      <c r="B1791" s="2">
        <v>45812</v>
      </c>
      <c r="C1791" s="1">
        <v>45875</v>
      </c>
      <c r="D1791" t="s">
        <v>570</v>
      </c>
      <c r="E1791" t="s">
        <v>571</v>
      </c>
      <c r="F1791" t="s">
        <v>34</v>
      </c>
      <c r="G1791" t="s">
        <v>44</v>
      </c>
      <c r="H1791" t="s">
        <v>161</v>
      </c>
      <c r="I1791" t="s">
        <v>79</v>
      </c>
      <c r="J1791" t="s">
        <v>80</v>
      </c>
      <c r="K1791" t="s">
        <v>65</v>
      </c>
      <c r="L1791">
        <v>4</v>
      </c>
      <c r="M1791">
        <v>3000</v>
      </c>
      <c r="N1791">
        <v>10</v>
      </c>
      <c r="O1791">
        <v>10800</v>
      </c>
      <c r="P1791">
        <v>3422.6</v>
      </c>
      <c r="Q1791" t="s">
        <v>39</v>
      </c>
      <c r="R1791" t="s">
        <v>29</v>
      </c>
      <c r="S1791" t="s">
        <v>40</v>
      </c>
    </row>
    <row r="1792" spans="1:19" x14ac:dyDescent="0.3">
      <c r="A1792" t="s">
        <v>2869</v>
      </c>
      <c r="B1792" s="1">
        <v>45529</v>
      </c>
      <c r="C1792" s="2">
        <v>45532</v>
      </c>
      <c r="D1792" t="s">
        <v>554</v>
      </c>
      <c r="E1792" t="s">
        <v>555</v>
      </c>
      <c r="F1792" t="s">
        <v>55</v>
      </c>
      <c r="G1792" t="s">
        <v>61</v>
      </c>
      <c r="H1792" t="s">
        <v>62</v>
      </c>
      <c r="I1792" t="s">
        <v>71</v>
      </c>
      <c r="J1792" t="s">
        <v>72</v>
      </c>
      <c r="K1792" t="s">
        <v>73</v>
      </c>
      <c r="L1792">
        <v>4</v>
      </c>
      <c r="M1792">
        <v>3500</v>
      </c>
      <c r="N1792">
        <v>20</v>
      </c>
      <c r="O1792">
        <v>11200</v>
      </c>
      <c r="P1792">
        <v>3485.74</v>
      </c>
      <c r="Q1792" t="s">
        <v>156</v>
      </c>
      <c r="R1792" t="s">
        <v>29</v>
      </c>
      <c r="S1792" t="s">
        <v>40</v>
      </c>
    </row>
    <row r="1793" spans="1:19" x14ac:dyDescent="0.3">
      <c r="A1793" t="s">
        <v>2870</v>
      </c>
      <c r="B1793" t="s">
        <v>1635</v>
      </c>
      <c r="C1793" t="s">
        <v>1039</v>
      </c>
      <c r="D1793" t="s">
        <v>956</v>
      </c>
      <c r="E1793" t="s">
        <v>1086</v>
      </c>
      <c r="F1793" t="s">
        <v>55</v>
      </c>
      <c r="G1793" t="s">
        <v>44</v>
      </c>
      <c r="H1793" t="s">
        <v>24</v>
      </c>
      <c r="I1793" t="s">
        <v>147</v>
      </c>
      <c r="J1793" t="s">
        <v>148</v>
      </c>
      <c r="K1793" t="s">
        <v>48</v>
      </c>
      <c r="L1793">
        <v>1</v>
      </c>
      <c r="M1793">
        <v>250</v>
      </c>
      <c r="N1793">
        <v>10</v>
      </c>
      <c r="O1793">
        <v>225</v>
      </c>
      <c r="P1793">
        <v>97.24</v>
      </c>
      <c r="Q1793" t="s">
        <v>121</v>
      </c>
      <c r="R1793" t="s">
        <v>29</v>
      </c>
      <c r="S1793" t="s">
        <v>86</v>
      </c>
    </row>
    <row r="1794" spans="1:19" x14ac:dyDescent="0.3">
      <c r="A1794" t="s">
        <v>2871</v>
      </c>
      <c r="B1794" t="s">
        <v>199</v>
      </c>
      <c r="C1794" s="1">
        <v>45592</v>
      </c>
      <c r="D1794" t="s">
        <v>1592</v>
      </c>
      <c r="E1794" t="s">
        <v>1593</v>
      </c>
      <c r="F1794" t="s">
        <v>34</v>
      </c>
      <c r="G1794" t="s">
        <v>44</v>
      </c>
      <c r="H1794" t="s">
        <v>155</v>
      </c>
      <c r="I1794" t="s">
        <v>114</v>
      </c>
      <c r="J1794" t="s">
        <v>115</v>
      </c>
      <c r="K1794" t="s">
        <v>65</v>
      </c>
      <c r="L1794">
        <v>1</v>
      </c>
      <c r="M1794">
        <v>55000</v>
      </c>
      <c r="N1794">
        <v>20</v>
      </c>
      <c r="O1794">
        <v>44000</v>
      </c>
      <c r="P1794">
        <v>6467.08</v>
      </c>
      <c r="Q1794" t="s">
        <v>121</v>
      </c>
      <c r="R1794" t="s">
        <v>29</v>
      </c>
      <c r="S1794" t="s">
        <v>110</v>
      </c>
    </row>
    <row r="1795" spans="1:19" x14ac:dyDescent="0.3">
      <c r="A1795" t="s">
        <v>2872</v>
      </c>
      <c r="B1795" s="2">
        <v>45874</v>
      </c>
      <c r="C1795" s="1">
        <v>45877</v>
      </c>
      <c r="D1795" t="s">
        <v>69</v>
      </c>
      <c r="E1795" t="s">
        <v>70</v>
      </c>
      <c r="F1795" t="s">
        <v>23</v>
      </c>
      <c r="G1795" t="s">
        <v>44</v>
      </c>
      <c r="H1795" t="s">
        <v>24</v>
      </c>
      <c r="I1795" t="s">
        <v>25</v>
      </c>
      <c r="J1795" t="s">
        <v>26</v>
      </c>
      <c r="K1795" t="s">
        <v>27</v>
      </c>
      <c r="L1795">
        <v>3</v>
      </c>
      <c r="M1795">
        <v>7000</v>
      </c>
      <c r="N1795">
        <v>20</v>
      </c>
      <c r="O1795">
        <v>16800</v>
      </c>
      <c r="P1795">
        <v>2978.26</v>
      </c>
      <c r="Q1795" t="s">
        <v>28</v>
      </c>
      <c r="R1795" t="s">
        <v>49</v>
      </c>
      <c r="S1795" t="s">
        <v>86</v>
      </c>
    </row>
    <row r="1796" spans="1:19" x14ac:dyDescent="0.3">
      <c r="A1796" t="s">
        <v>2873</v>
      </c>
      <c r="B1796" s="1">
        <v>45935</v>
      </c>
      <c r="C1796" s="2">
        <v>45790</v>
      </c>
      <c r="D1796" t="s">
        <v>570</v>
      </c>
      <c r="E1796" t="s">
        <v>571</v>
      </c>
      <c r="F1796" t="s">
        <v>34</v>
      </c>
      <c r="G1796" t="s">
        <v>44</v>
      </c>
      <c r="H1796" t="s">
        <v>161</v>
      </c>
      <c r="I1796" t="s">
        <v>134</v>
      </c>
      <c r="J1796" t="s">
        <v>135</v>
      </c>
      <c r="K1796" t="s">
        <v>27</v>
      </c>
      <c r="M1796">
        <v>6000</v>
      </c>
      <c r="N1796">
        <v>15</v>
      </c>
      <c r="O1796">
        <v>51000</v>
      </c>
      <c r="P1796">
        <v>10691.18</v>
      </c>
      <c r="Q1796" t="s">
        <v>66</v>
      </c>
      <c r="R1796" t="s">
        <v>49</v>
      </c>
      <c r="S1796" t="s">
        <v>86</v>
      </c>
    </row>
    <row r="1797" spans="1:19" x14ac:dyDescent="0.3">
      <c r="A1797" t="s">
        <v>2874</v>
      </c>
      <c r="B1797" s="2">
        <v>45400</v>
      </c>
      <c r="C1797" s="1">
        <v>45407</v>
      </c>
      <c r="D1797" t="s">
        <v>1532</v>
      </c>
      <c r="E1797" t="s">
        <v>1533</v>
      </c>
      <c r="F1797" t="s">
        <v>34</v>
      </c>
      <c r="G1797" t="s">
        <v>44</v>
      </c>
      <c r="H1797" t="s">
        <v>24</v>
      </c>
      <c r="I1797" t="s">
        <v>46</v>
      </c>
      <c r="J1797" t="s">
        <v>47</v>
      </c>
      <c r="K1797" t="s">
        <v>48</v>
      </c>
      <c r="L1797">
        <v>5</v>
      </c>
      <c r="M1797">
        <v>180</v>
      </c>
      <c r="N1797">
        <v>0</v>
      </c>
      <c r="O1797">
        <v>900</v>
      </c>
      <c r="P1797">
        <v>432</v>
      </c>
      <c r="Q1797" t="s">
        <v>28</v>
      </c>
      <c r="R1797" t="s">
        <v>56</v>
      </c>
      <c r="S1797" t="s">
        <v>40</v>
      </c>
    </row>
    <row r="1798" spans="1:19" x14ac:dyDescent="0.3">
      <c r="A1798" t="s">
        <v>2875</v>
      </c>
      <c r="B1798" s="1">
        <v>45480</v>
      </c>
      <c r="C1798" s="1">
        <v>45482</v>
      </c>
      <c r="D1798" t="s">
        <v>657</v>
      </c>
      <c r="E1798" t="s">
        <v>658</v>
      </c>
      <c r="F1798" t="s">
        <v>34</v>
      </c>
      <c r="G1798" t="s">
        <v>91</v>
      </c>
      <c r="H1798" t="s">
        <v>120</v>
      </c>
      <c r="I1798" t="s">
        <v>79</v>
      </c>
      <c r="J1798" t="s">
        <v>80</v>
      </c>
      <c r="K1798" t="s">
        <v>65</v>
      </c>
      <c r="L1798">
        <v>1</v>
      </c>
      <c r="M1798">
        <v>3000</v>
      </c>
      <c r="N1798">
        <v>20</v>
      </c>
      <c r="O1798">
        <v>2400</v>
      </c>
      <c r="P1798">
        <v>576.79</v>
      </c>
      <c r="Q1798" t="s">
        <v>121</v>
      </c>
      <c r="R1798" t="s">
        <v>56</v>
      </c>
      <c r="S1798" t="s">
        <v>40</v>
      </c>
    </row>
    <row r="1799" spans="1:19" x14ac:dyDescent="0.3">
      <c r="A1799" t="s">
        <v>2876</v>
      </c>
      <c r="B1799" s="2">
        <v>45549</v>
      </c>
      <c r="C1799" s="1">
        <v>45552</v>
      </c>
      <c r="D1799" t="s">
        <v>509</v>
      </c>
      <c r="E1799" t="s">
        <v>510</v>
      </c>
      <c r="F1799" t="s">
        <v>23</v>
      </c>
      <c r="G1799" t="s">
        <v>91</v>
      </c>
      <c r="H1799" t="s">
        <v>120</v>
      </c>
      <c r="I1799" t="s">
        <v>114</v>
      </c>
      <c r="J1799" t="s">
        <v>115</v>
      </c>
      <c r="K1799" t="s">
        <v>65</v>
      </c>
      <c r="L1799">
        <v>3</v>
      </c>
      <c r="M1799">
        <v>55000</v>
      </c>
      <c r="N1799">
        <v>10</v>
      </c>
      <c r="O1799">
        <v>148500</v>
      </c>
      <c r="P1799">
        <v>21605.79</v>
      </c>
      <c r="Q1799" t="s">
        <v>74</v>
      </c>
      <c r="R1799" t="s">
        <v>56</v>
      </c>
      <c r="S1799" t="s">
        <v>30</v>
      </c>
    </row>
    <row r="1800" spans="1:19" x14ac:dyDescent="0.3">
      <c r="A1800" t="s">
        <v>2877</v>
      </c>
      <c r="B1800" s="1">
        <v>45657</v>
      </c>
      <c r="C1800" s="1">
        <v>45659</v>
      </c>
      <c r="D1800" t="s">
        <v>1031</v>
      </c>
      <c r="E1800" t="s">
        <v>1032</v>
      </c>
      <c r="F1800" t="s">
        <v>23</v>
      </c>
      <c r="G1800" t="s">
        <v>61</v>
      </c>
      <c r="H1800" t="s">
        <v>211</v>
      </c>
      <c r="I1800" t="s">
        <v>37</v>
      </c>
      <c r="J1800" t="s">
        <v>38</v>
      </c>
      <c r="K1800" t="s">
        <v>27</v>
      </c>
      <c r="L1800">
        <v>1</v>
      </c>
      <c r="M1800">
        <v>9500</v>
      </c>
      <c r="N1800">
        <v>0</v>
      </c>
      <c r="O1800">
        <v>9500</v>
      </c>
      <c r="P1800">
        <v>1563.75</v>
      </c>
      <c r="Q1800" t="s">
        <v>74</v>
      </c>
      <c r="R1800" t="s">
        <v>56</v>
      </c>
      <c r="S1800" t="s">
        <v>110</v>
      </c>
    </row>
    <row r="1801" spans="1:19" x14ac:dyDescent="0.3">
      <c r="A1801" t="s">
        <v>2878</v>
      </c>
      <c r="B1801" s="1">
        <v>45355</v>
      </c>
      <c r="C1801" s="1">
        <v>45388</v>
      </c>
      <c r="D1801" t="s">
        <v>1205</v>
      </c>
      <c r="E1801" t="s">
        <v>1206</v>
      </c>
      <c r="F1801" t="s">
        <v>34</v>
      </c>
      <c r="G1801" t="s">
        <v>44</v>
      </c>
      <c r="H1801" t="s">
        <v>45</v>
      </c>
      <c r="I1801" t="s">
        <v>103</v>
      </c>
      <c r="J1801" t="s">
        <v>104</v>
      </c>
      <c r="K1801" t="s">
        <v>65</v>
      </c>
      <c r="L1801">
        <v>5</v>
      </c>
      <c r="M1801">
        <v>8000</v>
      </c>
      <c r="N1801">
        <v>10</v>
      </c>
      <c r="O1801">
        <v>36000</v>
      </c>
      <c r="P1801">
        <v>6827.37</v>
      </c>
      <c r="Q1801" t="s">
        <v>28</v>
      </c>
      <c r="R1801" t="s">
        <v>29</v>
      </c>
      <c r="S1801" t="s">
        <v>110</v>
      </c>
    </row>
    <row r="1802" spans="1:19" x14ac:dyDescent="0.3">
      <c r="A1802" t="s">
        <v>2879</v>
      </c>
      <c r="B1802" s="1">
        <v>45783</v>
      </c>
      <c r="C1802" s="1">
        <v>45819</v>
      </c>
      <c r="D1802" t="s">
        <v>570</v>
      </c>
      <c r="E1802" t="s">
        <v>571</v>
      </c>
      <c r="F1802" t="s">
        <v>34</v>
      </c>
      <c r="G1802" t="s">
        <v>44</v>
      </c>
      <c r="H1802" t="s">
        <v>161</v>
      </c>
      <c r="I1802" t="s">
        <v>147</v>
      </c>
      <c r="J1802" t="s">
        <v>148</v>
      </c>
      <c r="K1802" t="s">
        <v>611</v>
      </c>
      <c r="L1802">
        <v>2</v>
      </c>
      <c r="M1802">
        <v>250</v>
      </c>
      <c r="N1802">
        <v>20</v>
      </c>
      <c r="O1802">
        <v>400</v>
      </c>
      <c r="P1802">
        <v>140.80000000000001</v>
      </c>
      <c r="Q1802" t="s">
        <v>121</v>
      </c>
      <c r="R1802" t="s">
        <v>29</v>
      </c>
      <c r="S1802" t="s">
        <v>30</v>
      </c>
    </row>
    <row r="1803" spans="1:19" x14ac:dyDescent="0.3">
      <c r="A1803" t="s">
        <v>2880</v>
      </c>
      <c r="B1803" t="s">
        <v>1187</v>
      </c>
      <c r="C1803" s="1">
        <v>45613</v>
      </c>
      <c r="D1803" t="s">
        <v>203</v>
      </c>
      <c r="E1803" t="s">
        <v>204</v>
      </c>
      <c r="F1803" t="s">
        <v>23</v>
      </c>
      <c r="G1803" t="s">
        <v>44</v>
      </c>
      <c r="H1803" t="s">
        <v>45</v>
      </c>
      <c r="I1803" t="s">
        <v>147</v>
      </c>
      <c r="J1803" t="s">
        <v>148</v>
      </c>
      <c r="K1803" t="s">
        <v>48</v>
      </c>
      <c r="L1803">
        <v>3</v>
      </c>
      <c r="M1803">
        <v>250</v>
      </c>
      <c r="N1803">
        <v>5</v>
      </c>
      <c r="O1803">
        <v>712.5</v>
      </c>
      <c r="P1803">
        <v>253.14</v>
      </c>
      <c r="Q1803" t="s">
        <v>121</v>
      </c>
      <c r="R1803" t="s">
        <v>56</v>
      </c>
      <c r="S1803" t="s">
        <v>110</v>
      </c>
    </row>
    <row r="1804" spans="1:19" x14ac:dyDescent="0.3">
      <c r="A1804" t="s">
        <v>2881</v>
      </c>
      <c r="B1804" s="2">
        <v>45431</v>
      </c>
      <c r="C1804" s="1">
        <v>45437</v>
      </c>
      <c r="D1804" t="s">
        <v>101</v>
      </c>
      <c r="E1804" t="s">
        <v>102</v>
      </c>
      <c r="F1804" t="s">
        <v>55</v>
      </c>
      <c r="G1804" t="s">
        <v>35</v>
      </c>
      <c r="H1804" t="s">
        <v>36</v>
      </c>
      <c r="I1804" t="s">
        <v>63</v>
      </c>
      <c r="J1804" t="s">
        <v>64</v>
      </c>
      <c r="K1804" t="s">
        <v>65</v>
      </c>
      <c r="L1804">
        <v>10</v>
      </c>
      <c r="M1804">
        <v>25000</v>
      </c>
      <c r="N1804">
        <v>0</v>
      </c>
      <c r="O1804">
        <v>250000</v>
      </c>
      <c r="P1804">
        <v>32092.29</v>
      </c>
      <c r="Q1804" t="s">
        <v>66</v>
      </c>
      <c r="R1804" t="s">
        <v>49</v>
      </c>
      <c r="S1804" t="s">
        <v>86</v>
      </c>
    </row>
    <row r="1805" spans="1:19" x14ac:dyDescent="0.3">
      <c r="A1805" t="s">
        <v>2882</v>
      </c>
      <c r="B1805" s="1">
        <v>45325</v>
      </c>
      <c r="C1805" s="2">
        <v>45359</v>
      </c>
      <c r="D1805" t="s">
        <v>230</v>
      </c>
      <c r="E1805" t="s">
        <v>231</v>
      </c>
      <c r="F1805" t="s">
        <v>55</v>
      </c>
      <c r="G1805" t="s">
        <v>44</v>
      </c>
      <c r="H1805" t="s">
        <v>161</v>
      </c>
      <c r="I1805" t="s">
        <v>126</v>
      </c>
      <c r="J1805" t="s">
        <v>127</v>
      </c>
      <c r="K1805" t="s">
        <v>95</v>
      </c>
      <c r="L1805">
        <v>1</v>
      </c>
      <c r="M1805">
        <v>600</v>
      </c>
      <c r="N1805">
        <v>0</v>
      </c>
      <c r="O1805">
        <v>600</v>
      </c>
      <c r="P1805">
        <v>165.7</v>
      </c>
      <c r="Q1805" t="s">
        <v>156</v>
      </c>
      <c r="R1805" t="s">
        <v>49</v>
      </c>
      <c r="S1805" t="s">
        <v>40</v>
      </c>
    </row>
    <row r="1806" spans="1:19" x14ac:dyDescent="0.3">
      <c r="A1806" t="s">
        <v>2883</v>
      </c>
      <c r="B1806" t="s">
        <v>1608</v>
      </c>
      <c r="C1806" s="1">
        <v>45929</v>
      </c>
      <c r="D1806" t="s">
        <v>265</v>
      </c>
      <c r="E1806" t="s">
        <v>266</v>
      </c>
      <c r="F1806" t="s">
        <v>55</v>
      </c>
      <c r="G1806" t="s">
        <v>44</v>
      </c>
      <c r="H1806" t="s">
        <v>45</v>
      </c>
      <c r="I1806" t="s">
        <v>114</v>
      </c>
      <c r="J1806" t="s">
        <v>115</v>
      </c>
      <c r="K1806" t="s">
        <v>105</v>
      </c>
      <c r="L1806">
        <v>1</v>
      </c>
      <c r="M1806">
        <v>55000</v>
      </c>
      <c r="N1806">
        <v>15</v>
      </c>
      <c r="O1806">
        <v>46750</v>
      </c>
      <c r="P1806">
        <v>8194.19</v>
      </c>
      <c r="R1806" t="s">
        <v>56</v>
      </c>
      <c r="S1806" t="s">
        <v>86</v>
      </c>
    </row>
    <row r="1807" spans="1:19" x14ac:dyDescent="0.3">
      <c r="A1807" t="s">
        <v>2884</v>
      </c>
      <c r="B1807" s="2">
        <v>45667</v>
      </c>
      <c r="C1807" s="2">
        <v>45670</v>
      </c>
      <c r="D1807" t="s">
        <v>973</v>
      </c>
      <c r="E1807" t="s">
        <v>974</v>
      </c>
      <c r="F1807" t="s">
        <v>34</v>
      </c>
      <c r="G1807" t="s">
        <v>91</v>
      </c>
      <c r="H1807" t="s">
        <v>177</v>
      </c>
      <c r="I1807" t="s">
        <v>126</v>
      </c>
      <c r="J1807" t="s">
        <v>127</v>
      </c>
      <c r="K1807" t="s">
        <v>95</v>
      </c>
      <c r="L1807">
        <v>1</v>
      </c>
      <c r="M1807">
        <v>600</v>
      </c>
      <c r="N1807">
        <v>10</v>
      </c>
      <c r="O1807">
        <v>540</v>
      </c>
      <c r="P1807">
        <v>146.30000000000001</v>
      </c>
      <c r="Q1807" t="s">
        <v>156</v>
      </c>
      <c r="R1807" t="s">
        <v>49</v>
      </c>
      <c r="S1807" t="s">
        <v>110</v>
      </c>
    </row>
    <row r="1808" spans="1:19" x14ac:dyDescent="0.3">
      <c r="A1808" t="s">
        <v>2885</v>
      </c>
      <c r="B1808" t="s">
        <v>2886</v>
      </c>
      <c r="C1808" s="1">
        <v>45901</v>
      </c>
      <c r="D1808" t="s">
        <v>1090</v>
      </c>
      <c r="E1808" t="s">
        <v>1091</v>
      </c>
      <c r="F1808" t="s">
        <v>23</v>
      </c>
      <c r="G1808" t="s">
        <v>61</v>
      </c>
      <c r="H1808" t="s">
        <v>78</v>
      </c>
      <c r="I1808" t="s">
        <v>147</v>
      </c>
      <c r="J1808" t="s">
        <v>148</v>
      </c>
      <c r="K1808" t="s">
        <v>48</v>
      </c>
      <c r="L1808">
        <v>3</v>
      </c>
      <c r="M1808">
        <v>250</v>
      </c>
      <c r="N1808">
        <v>15</v>
      </c>
      <c r="O1808">
        <v>637.5</v>
      </c>
      <c r="P1808">
        <v>192.76</v>
      </c>
      <c r="Q1808" t="s">
        <v>28</v>
      </c>
      <c r="R1808" t="s">
        <v>29</v>
      </c>
      <c r="S1808" t="s">
        <v>50</v>
      </c>
    </row>
    <row r="1809" spans="1:19" x14ac:dyDescent="0.3">
      <c r="A1809" t="s">
        <v>2887</v>
      </c>
      <c r="B1809" t="s">
        <v>978</v>
      </c>
      <c r="C1809" s="1">
        <v>46012</v>
      </c>
      <c r="D1809" t="s">
        <v>793</v>
      </c>
      <c r="E1809" t="s">
        <v>794</v>
      </c>
      <c r="F1809" t="s">
        <v>23</v>
      </c>
      <c r="G1809" t="s">
        <v>91</v>
      </c>
      <c r="H1809" t="s">
        <v>92</v>
      </c>
      <c r="I1809" t="s">
        <v>147</v>
      </c>
      <c r="J1809" t="s">
        <v>148</v>
      </c>
      <c r="K1809" t="s">
        <v>48</v>
      </c>
      <c r="L1809">
        <v>1</v>
      </c>
      <c r="M1809">
        <v>250</v>
      </c>
      <c r="N1809">
        <v>15</v>
      </c>
      <c r="O1809">
        <v>212.5</v>
      </c>
      <c r="P1809">
        <v>66.03</v>
      </c>
      <c r="Q1809" t="s">
        <v>28</v>
      </c>
      <c r="R1809" t="s">
        <v>29</v>
      </c>
      <c r="S1809" t="s">
        <v>40</v>
      </c>
    </row>
    <row r="1810" spans="1:19" x14ac:dyDescent="0.3">
      <c r="A1810" t="s">
        <v>2888</v>
      </c>
      <c r="B1810" s="2">
        <v>45749</v>
      </c>
      <c r="C1810" s="1">
        <v>45756</v>
      </c>
      <c r="D1810" t="s">
        <v>1067</v>
      </c>
      <c r="E1810" t="s">
        <v>1068</v>
      </c>
      <c r="F1810" t="s">
        <v>23</v>
      </c>
      <c r="G1810" t="s">
        <v>35</v>
      </c>
      <c r="H1810" t="s">
        <v>85</v>
      </c>
      <c r="I1810" t="s">
        <v>114</v>
      </c>
      <c r="J1810" t="s">
        <v>115</v>
      </c>
      <c r="K1810" t="s">
        <v>65</v>
      </c>
      <c r="L1810">
        <v>2</v>
      </c>
      <c r="M1810">
        <v>55000</v>
      </c>
      <c r="N1810">
        <v>0</v>
      </c>
      <c r="O1810">
        <v>110000</v>
      </c>
      <c r="P1810">
        <v>15488.61</v>
      </c>
      <c r="Q1810" t="s">
        <v>39</v>
      </c>
      <c r="R1810" t="s">
        <v>29</v>
      </c>
      <c r="S1810" t="s">
        <v>86</v>
      </c>
    </row>
    <row r="1811" spans="1:19" x14ac:dyDescent="0.3">
      <c r="A1811" t="s">
        <v>2889</v>
      </c>
      <c r="B1811" s="1">
        <v>45521</v>
      </c>
      <c r="C1811" s="2">
        <v>45523</v>
      </c>
      <c r="D1811" t="s">
        <v>285</v>
      </c>
      <c r="E1811" t="s">
        <v>286</v>
      </c>
      <c r="F1811" t="s">
        <v>23</v>
      </c>
      <c r="G1811" t="s">
        <v>61</v>
      </c>
      <c r="H1811" t="s">
        <v>78</v>
      </c>
      <c r="I1811" t="s">
        <v>25</v>
      </c>
      <c r="J1811" t="s">
        <v>26</v>
      </c>
      <c r="K1811" t="s">
        <v>27</v>
      </c>
      <c r="L1811">
        <v>1</v>
      </c>
      <c r="M1811">
        <v>7000</v>
      </c>
      <c r="N1811">
        <v>0</v>
      </c>
      <c r="O1811">
        <v>7000</v>
      </c>
      <c r="P1811">
        <v>1464.93</v>
      </c>
      <c r="Q1811" t="s">
        <v>156</v>
      </c>
      <c r="R1811" t="s">
        <v>56</v>
      </c>
      <c r="S1811" t="s">
        <v>40</v>
      </c>
    </row>
    <row r="1812" spans="1:19" x14ac:dyDescent="0.3">
      <c r="A1812" t="s">
        <v>2890</v>
      </c>
      <c r="B1812" s="1">
        <v>45813</v>
      </c>
      <c r="C1812" s="1">
        <v>45821</v>
      </c>
      <c r="D1812" t="s">
        <v>838</v>
      </c>
      <c r="E1812" t="s">
        <v>839</v>
      </c>
      <c r="F1812" t="s">
        <v>23</v>
      </c>
      <c r="G1812" t="s">
        <v>35</v>
      </c>
      <c r="H1812" t="s">
        <v>258</v>
      </c>
      <c r="I1812" t="s">
        <v>46</v>
      </c>
      <c r="J1812" t="s">
        <v>47</v>
      </c>
      <c r="K1812" t="s">
        <v>364</v>
      </c>
      <c r="L1812">
        <v>2</v>
      </c>
      <c r="M1812">
        <v>180</v>
      </c>
      <c r="N1812">
        <v>15</v>
      </c>
      <c r="O1812">
        <v>306</v>
      </c>
      <c r="P1812">
        <v>127.4</v>
      </c>
      <c r="Q1812" t="s">
        <v>66</v>
      </c>
      <c r="R1812" t="s">
        <v>49</v>
      </c>
      <c r="S1812" t="s">
        <v>110</v>
      </c>
    </row>
    <row r="1813" spans="1:19" x14ac:dyDescent="0.3">
      <c r="A1813" t="s">
        <v>2891</v>
      </c>
      <c r="B1813" s="1">
        <v>45455</v>
      </c>
      <c r="C1813" s="2">
        <v>45635</v>
      </c>
      <c r="D1813" t="s">
        <v>827</v>
      </c>
      <c r="E1813" t="s">
        <v>828</v>
      </c>
      <c r="F1813" t="s">
        <v>34</v>
      </c>
      <c r="G1813" t="s">
        <v>44</v>
      </c>
      <c r="H1813" t="s">
        <v>155</v>
      </c>
      <c r="I1813" t="s">
        <v>71</v>
      </c>
      <c r="J1813" t="s">
        <v>72</v>
      </c>
      <c r="K1813" t="s">
        <v>73</v>
      </c>
      <c r="L1813">
        <v>1</v>
      </c>
      <c r="M1813">
        <v>3500</v>
      </c>
      <c r="N1813">
        <v>0</v>
      </c>
      <c r="O1813">
        <v>3500</v>
      </c>
      <c r="P1813">
        <v>1148.45</v>
      </c>
      <c r="Q1813" t="s">
        <v>156</v>
      </c>
      <c r="R1813" t="s">
        <v>49</v>
      </c>
      <c r="S1813" t="s">
        <v>194</v>
      </c>
    </row>
    <row r="1814" spans="1:19" x14ac:dyDescent="0.3">
      <c r="A1814" t="s">
        <v>2892</v>
      </c>
      <c r="B1814" s="1">
        <v>45973</v>
      </c>
      <c r="C1814" s="1">
        <v>45976</v>
      </c>
      <c r="D1814" t="s">
        <v>107</v>
      </c>
      <c r="E1814" t="s">
        <v>108</v>
      </c>
      <c r="F1814" t="s">
        <v>23</v>
      </c>
      <c r="G1814" t="s">
        <v>91</v>
      </c>
      <c r="H1814" t="s">
        <v>109</v>
      </c>
      <c r="I1814" t="s">
        <v>71</v>
      </c>
      <c r="J1814" t="s">
        <v>72</v>
      </c>
      <c r="K1814" t="s">
        <v>73</v>
      </c>
      <c r="L1814">
        <v>1</v>
      </c>
      <c r="M1814">
        <v>3500</v>
      </c>
      <c r="N1814">
        <v>5</v>
      </c>
      <c r="O1814">
        <v>3325</v>
      </c>
      <c r="P1814">
        <v>1146.68</v>
      </c>
      <c r="Q1814" t="s">
        <v>74</v>
      </c>
      <c r="R1814" t="s">
        <v>29</v>
      </c>
      <c r="S1814" t="s">
        <v>40</v>
      </c>
    </row>
    <row r="1815" spans="1:19" x14ac:dyDescent="0.3">
      <c r="A1815" t="s">
        <v>2893</v>
      </c>
      <c r="B1815" s="1">
        <v>45403</v>
      </c>
      <c r="C1815" s="2">
        <v>45405</v>
      </c>
      <c r="D1815" t="s">
        <v>939</v>
      </c>
      <c r="E1815" t="s">
        <v>940</v>
      </c>
      <c r="F1815" t="s">
        <v>55</v>
      </c>
      <c r="G1815" t="s">
        <v>61</v>
      </c>
      <c r="H1815" t="s">
        <v>78</v>
      </c>
      <c r="I1815" t="s">
        <v>134</v>
      </c>
      <c r="J1815" t="s">
        <v>135</v>
      </c>
      <c r="K1815" t="s">
        <v>27</v>
      </c>
      <c r="L1815">
        <v>3</v>
      </c>
      <c r="M1815">
        <v>6000</v>
      </c>
      <c r="N1815">
        <v>15</v>
      </c>
      <c r="O1815">
        <v>15300</v>
      </c>
      <c r="P1815">
        <v>2936.05</v>
      </c>
      <c r="Q1815" t="s">
        <v>121</v>
      </c>
      <c r="R1815" t="s">
        <v>29</v>
      </c>
      <c r="S1815" t="s">
        <v>86</v>
      </c>
    </row>
    <row r="1816" spans="1:19" x14ac:dyDescent="0.3">
      <c r="A1816" t="s">
        <v>2894</v>
      </c>
      <c r="B1816" s="1">
        <v>45335</v>
      </c>
      <c r="C1816" s="2">
        <v>45341</v>
      </c>
      <c r="D1816" t="s">
        <v>373</v>
      </c>
      <c r="E1816" t="s">
        <v>374</v>
      </c>
      <c r="F1816" t="s">
        <v>55</v>
      </c>
      <c r="G1816" t="s">
        <v>35</v>
      </c>
      <c r="H1816" t="s">
        <v>85</v>
      </c>
      <c r="I1816" t="s">
        <v>71</v>
      </c>
      <c r="J1816" t="s">
        <v>72</v>
      </c>
      <c r="K1816" t="s">
        <v>73</v>
      </c>
      <c r="L1816">
        <v>4</v>
      </c>
      <c r="M1816">
        <v>3500</v>
      </c>
      <c r="N1816">
        <v>15</v>
      </c>
      <c r="O1816">
        <v>11900</v>
      </c>
      <c r="P1816">
        <v>2697.97</v>
      </c>
      <c r="Q1816" t="s">
        <v>121</v>
      </c>
      <c r="R1816" t="s">
        <v>49</v>
      </c>
      <c r="S1816" t="s">
        <v>30</v>
      </c>
    </row>
    <row r="1817" spans="1:19" x14ac:dyDescent="0.3">
      <c r="A1817" t="s">
        <v>2895</v>
      </c>
      <c r="B1817" t="s">
        <v>2041</v>
      </c>
      <c r="C1817" s="2">
        <v>45419</v>
      </c>
      <c r="D1817" t="s">
        <v>214</v>
      </c>
      <c r="E1817" t="s">
        <v>215</v>
      </c>
      <c r="F1817" t="s">
        <v>55</v>
      </c>
      <c r="G1817" t="s">
        <v>44</v>
      </c>
      <c r="H1817" t="s">
        <v>330</v>
      </c>
      <c r="I1817" t="s">
        <v>71</v>
      </c>
      <c r="J1817" t="s">
        <v>72</v>
      </c>
      <c r="K1817" t="s">
        <v>73</v>
      </c>
      <c r="L1817">
        <v>3</v>
      </c>
      <c r="M1817">
        <v>3500</v>
      </c>
      <c r="N1817">
        <v>0</v>
      </c>
      <c r="O1817">
        <v>10500</v>
      </c>
      <c r="P1817">
        <v>2802.25</v>
      </c>
      <c r="Q1817" t="s">
        <v>74</v>
      </c>
      <c r="R1817" t="s">
        <v>49</v>
      </c>
      <c r="S1817" t="s">
        <v>86</v>
      </c>
    </row>
    <row r="1818" spans="1:19" x14ac:dyDescent="0.3">
      <c r="A1818" t="s">
        <v>2896</v>
      </c>
      <c r="B1818" s="2">
        <v>45957</v>
      </c>
      <c r="C1818" s="2">
        <v>45962</v>
      </c>
      <c r="D1818" t="s">
        <v>779</v>
      </c>
      <c r="E1818" t="s">
        <v>780</v>
      </c>
      <c r="F1818" t="s">
        <v>23</v>
      </c>
      <c r="G1818" t="s">
        <v>35</v>
      </c>
      <c r="H1818" t="s">
        <v>258</v>
      </c>
      <c r="I1818" t="s">
        <v>93</v>
      </c>
      <c r="J1818" t="s">
        <v>94</v>
      </c>
      <c r="K1818" t="s">
        <v>95</v>
      </c>
      <c r="L1818">
        <v>3</v>
      </c>
      <c r="M1818">
        <v>1800</v>
      </c>
      <c r="N1818">
        <v>20</v>
      </c>
      <c r="O1818">
        <v>4320</v>
      </c>
      <c r="P1818">
        <v>1472.05</v>
      </c>
      <c r="Q1818" t="s">
        <v>28</v>
      </c>
      <c r="R1818" t="s">
        <v>49</v>
      </c>
      <c r="S1818" t="s">
        <v>50</v>
      </c>
    </row>
    <row r="1819" spans="1:19" x14ac:dyDescent="0.3">
      <c r="A1819" t="s">
        <v>2897</v>
      </c>
      <c r="B1819" s="1">
        <v>45856</v>
      </c>
      <c r="C1819" s="2">
        <v>45861</v>
      </c>
      <c r="D1819" t="s">
        <v>531</v>
      </c>
      <c r="E1819" t="s">
        <v>532</v>
      </c>
      <c r="F1819" t="s">
        <v>23</v>
      </c>
      <c r="G1819" t="s">
        <v>44</v>
      </c>
      <c r="H1819" t="s">
        <v>161</v>
      </c>
      <c r="I1819" t="s">
        <v>46</v>
      </c>
      <c r="J1819" t="s">
        <v>47</v>
      </c>
      <c r="K1819" t="s">
        <v>48</v>
      </c>
      <c r="L1819">
        <v>2</v>
      </c>
      <c r="M1819">
        <v>180</v>
      </c>
      <c r="N1819">
        <v>0</v>
      </c>
      <c r="O1819">
        <v>360</v>
      </c>
      <c r="P1819">
        <v>147.71</v>
      </c>
      <c r="Q1819" t="s">
        <v>39</v>
      </c>
      <c r="R1819" t="s">
        <v>49</v>
      </c>
      <c r="S1819" t="s">
        <v>86</v>
      </c>
    </row>
    <row r="1820" spans="1:19" x14ac:dyDescent="0.3">
      <c r="A1820" t="s">
        <v>2898</v>
      </c>
      <c r="B1820" s="1">
        <v>46002</v>
      </c>
      <c r="C1820" s="1">
        <v>45978</v>
      </c>
      <c r="D1820" t="s">
        <v>924</v>
      </c>
      <c r="E1820" t="s">
        <v>925</v>
      </c>
      <c r="F1820" t="s">
        <v>34</v>
      </c>
      <c r="G1820" t="s">
        <v>35</v>
      </c>
      <c r="H1820" t="s">
        <v>258</v>
      </c>
      <c r="I1820" t="s">
        <v>79</v>
      </c>
      <c r="J1820" t="s">
        <v>80</v>
      </c>
      <c r="K1820" t="s">
        <v>65</v>
      </c>
      <c r="L1820">
        <v>4</v>
      </c>
      <c r="M1820">
        <v>3000</v>
      </c>
      <c r="N1820">
        <v>0</v>
      </c>
      <c r="O1820">
        <v>12000</v>
      </c>
      <c r="P1820">
        <v>3382.39</v>
      </c>
      <c r="Q1820" t="s">
        <v>39</v>
      </c>
      <c r="R1820" t="s">
        <v>56</v>
      </c>
      <c r="S1820" t="s">
        <v>86</v>
      </c>
    </row>
    <row r="1821" spans="1:19" x14ac:dyDescent="0.3">
      <c r="A1821" t="s">
        <v>2899</v>
      </c>
      <c r="B1821" s="1">
        <v>45930</v>
      </c>
      <c r="C1821" s="1">
        <v>45935</v>
      </c>
      <c r="D1821" t="s">
        <v>1191</v>
      </c>
      <c r="E1821" t="s">
        <v>1192</v>
      </c>
      <c r="F1821" t="s">
        <v>23</v>
      </c>
      <c r="G1821" t="s">
        <v>61</v>
      </c>
      <c r="H1821" t="s">
        <v>211</v>
      </c>
      <c r="I1821" t="s">
        <v>25</v>
      </c>
      <c r="J1821" t="s">
        <v>26</v>
      </c>
      <c r="K1821" t="s">
        <v>27</v>
      </c>
      <c r="L1821">
        <v>2</v>
      </c>
      <c r="M1821">
        <v>7000</v>
      </c>
      <c r="N1821">
        <v>0</v>
      </c>
      <c r="O1821">
        <v>14000</v>
      </c>
      <c r="P1821">
        <v>2530.09</v>
      </c>
      <c r="Q1821" t="s">
        <v>66</v>
      </c>
      <c r="R1821" t="s">
        <v>49</v>
      </c>
      <c r="S1821" t="s">
        <v>86</v>
      </c>
    </row>
    <row r="1822" spans="1:19" x14ac:dyDescent="0.3">
      <c r="A1822" t="s">
        <v>2900</v>
      </c>
      <c r="B1822" s="1">
        <v>45392</v>
      </c>
      <c r="C1822" s="1">
        <v>45571</v>
      </c>
      <c r="D1822" t="s">
        <v>790</v>
      </c>
      <c r="E1822" t="s">
        <v>791</v>
      </c>
      <c r="F1822" t="s">
        <v>23</v>
      </c>
      <c r="G1822" t="s">
        <v>61</v>
      </c>
      <c r="H1822" t="s">
        <v>125</v>
      </c>
      <c r="I1822" t="s">
        <v>63</v>
      </c>
      <c r="J1822" t="s">
        <v>64</v>
      </c>
      <c r="K1822" t="s">
        <v>65</v>
      </c>
      <c r="L1822">
        <v>3</v>
      </c>
      <c r="M1822">
        <v>25000</v>
      </c>
      <c r="N1822">
        <v>5</v>
      </c>
      <c r="O1822">
        <v>71250</v>
      </c>
      <c r="P1822">
        <v>9983.09</v>
      </c>
      <c r="Q1822" t="s">
        <v>74</v>
      </c>
      <c r="R1822" t="s">
        <v>29</v>
      </c>
      <c r="S1822" t="s">
        <v>86</v>
      </c>
    </row>
    <row r="1823" spans="1:19" x14ac:dyDescent="0.3">
      <c r="A1823" t="s">
        <v>2901</v>
      </c>
      <c r="B1823" t="s">
        <v>1749</v>
      </c>
      <c r="D1823" t="s">
        <v>406</v>
      </c>
      <c r="E1823" t="s">
        <v>407</v>
      </c>
      <c r="F1823" t="s">
        <v>55</v>
      </c>
      <c r="G1823" t="s">
        <v>91</v>
      </c>
      <c r="H1823" t="s">
        <v>120</v>
      </c>
      <c r="I1823" t="s">
        <v>126</v>
      </c>
      <c r="J1823" t="s">
        <v>127</v>
      </c>
      <c r="K1823" t="s">
        <v>95</v>
      </c>
      <c r="L1823">
        <v>3</v>
      </c>
      <c r="M1823">
        <v>600</v>
      </c>
      <c r="N1823">
        <v>0</v>
      </c>
      <c r="O1823">
        <v>1800</v>
      </c>
      <c r="P1823">
        <v>573.17999999999995</v>
      </c>
      <c r="Q1823" t="s">
        <v>28</v>
      </c>
      <c r="R1823" t="s">
        <v>29</v>
      </c>
      <c r="S1823" t="s">
        <v>110</v>
      </c>
    </row>
    <row r="1824" spans="1:19" x14ac:dyDescent="0.3">
      <c r="A1824" t="s">
        <v>2902</v>
      </c>
      <c r="B1824" s="2">
        <v>45640</v>
      </c>
      <c r="C1824" s="1">
        <v>45648</v>
      </c>
      <c r="D1824" t="s">
        <v>1532</v>
      </c>
      <c r="E1824" t="s">
        <v>1533</v>
      </c>
      <c r="F1824" t="s">
        <v>34</v>
      </c>
      <c r="G1824" t="s">
        <v>44</v>
      </c>
      <c r="H1824" t="s">
        <v>24</v>
      </c>
      <c r="I1824" t="s">
        <v>25</v>
      </c>
      <c r="J1824" t="s">
        <v>26</v>
      </c>
      <c r="K1824" t="s">
        <v>27</v>
      </c>
      <c r="L1824">
        <v>10</v>
      </c>
      <c r="M1824">
        <v>7000</v>
      </c>
      <c r="N1824">
        <v>10</v>
      </c>
      <c r="O1824">
        <v>63000</v>
      </c>
      <c r="P1824">
        <v>11718.83</v>
      </c>
      <c r="Q1824" t="s">
        <v>74</v>
      </c>
      <c r="R1824" t="s">
        <v>56</v>
      </c>
      <c r="S1824" t="s">
        <v>110</v>
      </c>
    </row>
    <row r="1825" spans="1:19" x14ac:dyDescent="0.3">
      <c r="A1825" t="s">
        <v>2903</v>
      </c>
      <c r="B1825" s="1">
        <v>45935</v>
      </c>
      <c r="C1825" s="2">
        <v>45936</v>
      </c>
      <c r="D1825" t="s">
        <v>89</v>
      </c>
      <c r="E1825" t="s">
        <v>90</v>
      </c>
      <c r="F1825" t="s">
        <v>23</v>
      </c>
      <c r="G1825" t="s">
        <v>91</v>
      </c>
      <c r="H1825" t="s">
        <v>92</v>
      </c>
      <c r="I1825" t="s">
        <v>147</v>
      </c>
      <c r="J1825" t="s">
        <v>148</v>
      </c>
      <c r="K1825" t="s">
        <v>48</v>
      </c>
      <c r="L1825">
        <v>2</v>
      </c>
      <c r="M1825">
        <v>250</v>
      </c>
      <c r="N1825">
        <v>0</v>
      </c>
      <c r="O1825">
        <v>500</v>
      </c>
      <c r="P1825">
        <v>166.35</v>
      </c>
      <c r="Q1825" t="s">
        <v>156</v>
      </c>
      <c r="R1825" t="s">
        <v>56</v>
      </c>
      <c r="S1825" t="s">
        <v>30</v>
      </c>
    </row>
    <row r="1826" spans="1:19" x14ac:dyDescent="0.3">
      <c r="A1826" t="s">
        <v>2904</v>
      </c>
      <c r="B1826" s="2">
        <v>45641</v>
      </c>
      <c r="C1826" s="2">
        <v>45647</v>
      </c>
      <c r="D1826" t="s">
        <v>1100</v>
      </c>
      <c r="E1826" t="s">
        <v>1101</v>
      </c>
      <c r="F1826" t="s">
        <v>23</v>
      </c>
      <c r="G1826" t="s">
        <v>44</v>
      </c>
      <c r="H1826" t="s">
        <v>161</v>
      </c>
      <c r="I1826" t="s">
        <v>63</v>
      </c>
      <c r="J1826" t="s">
        <v>64</v>
      </c>
      <c r="K1826" t="s">
        <v>65</v>
      </c>
      <c r="L1826">
        <v>2</v>
      </c>
      <c r="M1826">
        <v>25000</v>
      </c>
      <c r="N1826">
        <v>15</v>
      </c>
      <c r="O1826">
        <v>42500</v>
      </c>
      <c r="P1826">
        <v>6966.4</v>
      </c>
      <c r="Q1826" t="s">
        <v>39</v>
      </c>
      <c r="R1826" t="s">
        <v>56</v>
      </c>
      <c r="S1826" t="s">
        <v>110</v>
      </c>
    </row>
    <row r="1827" spans="1:19" x14ac:dyDescent="0.3">
      <c r="A1827" t="s">
        <v>2905</v>
      </c>
      <c r="B1827" t="s">
        <v>2906</v>
      </c>
      <c r="C1827" s="2">
        <v>45843</v>
      </c>
      <c r="D1827" t="s">
        <v>1965</v>
      </c>
      <c r="E1827" t="s">
        <v>1966</v>
      </c>
      <c r="F1827" t="s">
        <v>23</v>
      </c>
      <c r="G1827" t="s">
        <v>61</v>
      </c>
      <c r="H1827" t="s">
        <v>125</v>
      </c>
      <c r="I1827" t="s">
        <v>93</v>
      </c>
      <c r="J1827" t="s">
        <v>94</v>
      </c>
      <c r="K1827" t="s">
        <v>95</v>
      </c>
      <c r="L1827">
        <v>2</v>
      </c>
      <c r="M1827">
        <v>1800</v>
      </c>
      <c r="N1827">
        <v>10</v>
      </c>
      <c r="O1827">
        <v>3240</v>
      </c>
      <c r="P1827">
        <v>861.8</v>
      </c>
      <c r="Q1827" t="s">
        <v>39</v>
      </c>
      <c r="R1827" t="s">
        <v>49</v>
      </c>
      <c r="S1827" t="s">
        <v>50</v>
      </c>
    </row>
    <row r="1828" spans="1:19" x14ac:dyDescent="0.3">
      <c r="A1828" t="s">
        <v>2907</v>
      </c>
      <c r="B1828" s="1">
        <v>45704</v>
      </c>
      <c r="C1828" t="s">
        <v>2908</v>
      </c>
      <c r="D1828" t="s">
        <v>431</v>
      </c>
      <c r="E1828" t="s">
        <v>2909</v>
      </c>
      <c r="F1828" t="s">
        <v>23</v>
      </c>
      <c r="G1828" t="s">
        <v>91</v>
      </c>
      <c r="H1828" t="s">
        <v>120</v>
      </c>
      <c r="I1828" t="s">
        <v>134</v>
      </c>
      <c r="J1828" t="s">
        <v>135</v>
      </c>
      <c r="K1828" t="s">
        <v>27</v>
      </c>
      <c r="L1828">
        <v>1</v>
      </c>
      <c r="M1828">
        <v>6000</v>
      </c>
      <c r="N1828">
        <v>20</v>
      </c>
      <c r="O1828">
        <v>4800</v>
      </c>
      <c r="P1828">
        <v>1246.2</v>
      </c>
      <c r="Q1828" t="s">
        <v>66</v>
      </c>
      <c r="R1828" t="s">
        <v>49</v>
      </c>
      <c r="S1828" t="s">
        <v>30</v>
      </c>
    </row>
    <row r="1829" spans="1:19" x14ac:dyDescent="0.3">
      <c r="A1829" t="s">
        <v>2910</v>
      </c>
      <c r="B1829" s="1">
        <v>45593</v>
      </c>
      <c r="C1829" s="1">
        <v>45362</v>
      </c>
      <c r="D1829" t="s">
        <v>395</v>
      </c>
      <c r="E1829" t="s">
        <v>396</v>
      </c>
      <c r="F1829" t="s">
        <v>55</v>
      </c>
      <c r="G1829" t="s">
        <v>44</v>
      </c>
      <c r="H1829" t="s">
        <v>161</v>
      </c>
      <c r="I1829" t="s">
        <v>134</v>
      </c>
      <c r="J1829" t="s">
        <v>135</v>
      </c>
      <c r="K1829" t="s">
        <v>27</v>
      </c>
      <c r="L1829">
        <v>4</v>
      </c>
      <c r="M1829">
        <v>6000</v>
      </c>
      <c r="N1829">
        <v>0</v>
      </c>
      <c r="O1829">
        <v>24000</v>
      </c>
      <c r="P1829">
        <v>5235.79</v>
      </c>
      <c r="Q1829" t="s">
        <v>39</v>
      </c>
      <c r="R1829" t="s">
        <v>56</v>
      </c>
      <c r="S1829" t="s">
        <v>50</v>
      </c>
    </row>
    <row r="1830" spans="1:19" x14ac:dyDescent="0.3">
      <c r="A1830" t="s">
        <v>2911</v>
      </c>
      <c r="B1830" s="1">
        <v>45372</v>
      </c>
      <c r="C1830" s="2">
        <v>45375</v>
      </c>
      <c r="D1830" t="s">
        <v>767</v>
      </c>
      <c r="E1830" t="s">
        <v>768</v>
      </c>
      <c r="F1830" t="s">
        <v>23</v>
      </c>
      <c r="G1830" t="s">
        <v>35</v>
      </c>
      <c r="H1830" t="s">
        <v>258</v>
      </c>
      <c r="I1830" t="s">
        <v>134</v>
      </c>
      <c r="J1830" t="s">
        <v>135</v>
      </c>
      <c r="K1830" t="s">
        <v>27</v>
      </c>
      <c r="L1830">
        <v>10</v>
      </c>
      <c r="M1830">
        <v>6000</v>
      </c>
      <c r="N1830">
        <v>5</v>
      </c>
      <c r="O1830">
        <v>57000</v>
      </c>
      <c r="P1830">
        <v>10680.9</v>
      </c>
      <c r="Q1830" t="s">
        <v>39</v>
      </c>
      <c r="R1830" t="s">
        <v>49</v>
      </c>
      <c r="S1830" t="s">
        <v>50</v>
      </c>
    </row>
    <row r="1831" spans="1:19" x14ac:dyDescent="0.3">
      <c r="A1831" t="s">
        <v>2912</v>
      </c>
      <c r="B1831" s="2">
        <v>45848</v>
      </c>
      <c r="C1831" s="1">
        <v>45850</v>
      </c>
      <c r="D1831" t="s">
        <v>819</v>
      </c>
      <c r="E1831" t="s">
        <v>820</v>
      </c>
      <c r="F1831" t="s">
        <v>34</v>
      </c>
      <c r="G1831" t="s">
        <v>61</v>
      </c>
      <c r="H1831" t="s">
        <v>62</v>
      </c>
      <c r="I1831" t="s">
        <v>93</v>
      </c>
      <c r="J1831" t="s">
        <v>94</v>
      </c>
      <c r="K1831" t="s">
        <v>95</v>
      </c>
      <c r="L1831">
        <v>4</v>
      </c>
      <c r="M1831">
        <v>1800</v>
      </c>
      <c r="N1831">
        <v>0</v>
      </c>
      <c r="O1831">
        <v>7200</v>
      </c>
      <c r="P1831">
        <v>2307.31</v>
      </c>
      <c r="Q1831" t="s">
        <v>74</v>
      </c>
      <c r="R1831" t="s">
        <v>56</v>
      </c>
      <c r="S1831" t="s">
        <v>40</v>
      </c>
    </row>
    <row r="1832" spans="1:19" x14ac:dyDescent="0.3">
      <c r="A1832" t="s">
        <v>2913</v>
      </c>
      <c r="B1832" s="1">
        <v>45374</v>
      </c>
      <c r="C1832" s="2">
        <v>45377</v>
      </c>
      <c r="D1832" t="s">
        <v>617</v>
      </c>
      <c r="E1832" t="s">
        <v>618</v>
      </c>
      <c r="F1832" t="s">
        <v>23</v>
      </c>
      <c r="G1832" t="s">
        <v>91</v>
      </c>
      <c r="H1832" t="s">
        <v>120</v>
      </c>
      <c r="I1832" t="s">
        <v>134</v>
      </c>
      <c r="J1832" t="s">
        <v>135</v>
      </c>
      <c r="K1832" t="s">
        <v>27</v>
      </c>
      <c r="L1832">
        <v>3</v>
      </c>
      <c r="M1832">
        <v>6000</v>
      </c>
      <c r="N1832">
        <v>15</v>
      </c>
      <c r="O1832">
        <v>15300</v>
      </c>
      <c r="P1832">
        <v>3854.94</v>
      </c>
      <c r="Q1832" t="s">
        <v>156</v>
      </c>
      <c r="R1832" t="s">
        <v>49</v>
      </c>
      <c r="S1832" t="s">
        <v>86</v>
      </c>
    </row>
    <row r="1833" spans="1:19" x14ac:dyDescent="0.3">
      <c r="A1833" t="s">
        <v>2914</v>
      </c>
      <c r="B1833" t="s">
        <v>2915</v>
      </c>
      <c r="D1833" t="s">
        <v>514</v>
      </c>
      <c r="E1833" t="s">
        <v>515</v>
      </c>
      <c r="F1833" t="s">
        <v>23</v>
      </c>
      <c r="G1833" t="s">
        <v>44</v>
      </c>
      <c r="H1833" t="s">
        <v>45</v>
      </c>
      <c r="I1833" t="s">
        <v>147</v>
      </c>
      <c r="J1833" t="s">
        <v>148</v>
      </c>
      <c r="K1833" t="s">
        <v>48</v>
      </c>
      <c r="L1833">
        <v>1</v>
      </c>
      <c r="M1833">
        <v>250</v>
      </c>
      <c r="N1833">
        <v>20</v>
      </c>
      <c r="O1833">
        <v>200</v>
      </c>
      <c r="P1833">
        <v>74.87</v>
      </c>
      <c r="Q1833" t="s">
        <v>121</v>
      </c>
      <c r="R1833" t="s">
        <v>29</v>
      </c>
      <c r="S1833" t="s">
        <v>40</v>
      </c>
    </row>
    <row r="1834" spans="1:19" x14ac:dyDescent="0.3">
      <c r="A1834" t="s">
        <v>2916</v>
      </c>
      <c r="B1834" t="s">
        <v>811</v>
      </c>
      <c r="C1834" s="1">
        <v>45439</v>
      </c>
      <c r="D1834" t="s">
        <v>531</v>
      </c>
      <c r="E1834" t="s">
        <v>532</v>
      </c>
      <c r="F1834" t="s">
        <v>23</v>
      </c>
      <c r="G1834" t="s">
        <v>44</v>
      </c>
      <c r="H1834" t="s">
        <v>161</v>
      </c>
      <c r="I1834" t="s">
        <v>46</v>
      </c>
      <c r="J1834" t="s">
        <v>47</v>
      </c>
      <c r="K1834" t="s">
        <v>48</v>
      </c>
      <c r="L1834">
        <v>2</v>
      </c>
      <c r="M1834">
        <v>180</v>
      </c>
      <c r="N1834">
        <v>0</v>
      </c>
      <c r="O1834">
        <v>360</v>
      </c>
      <c r="P1834">
        <v>118.4</v>
      </c>
      <c r="Q1834" t="s">
        <v>121</v>
      </c>
      <c r="R1834" t="s">
        <v>29</v>
      </c>
      <c r="S1834" t="s">
        <v>50</v>
      </c>
    </row>
    <row r="1835" spans="1:19" x14ac:dyDescent="0.3">
      <c r="A1835" t="s">
        <v>2917</v>
      </c>
      <c r="B1835" s="2">
        <v>45457</v>
      </c>
      <c r="D1835" t="s">
        <v>1115</v>
      </c>
      <c r="E1835" t="s">
        <v>1116</v>
      </c>
      <c r="F1835" t="s">
        <v>23</v>
      </c>
      <c r="G1835" t="s">
        <v>44</v>
      </c>
      <c r="H1835" t="s">
        <v>45</v>
      </c>
      <c r="I1835" t="s">
        <v>25</v>
      </c>
      <c r="J1835" t="s">
        <v>26</v>
      </c>
      <c r="K1835" t="s">
        <v>27</v>
      </c>
      <c r="M1835">
        <v>7000</v>
      </c>
      <c r="N1835">
        <v>0</v>
      </c>
      <c r="O1835">
        <v>35000</v>
      </c>
      <c r="P1835">
        <v>6663.26</v>
      </c>
      <c r="Q1835" t="s">
        <v>66</v>
      </c>
      <c r="R1835" t="s">
        <v>29</v>
      </c>
      <c r="S1835" t="s">
        <v>86</v>
      </c>
    </row>
    <row r="1836" spans="1:19" x14ac:dyDescent="0.3">
      <c r="A1836" t="s">
        <v>2918</v>
      </c>
      <c r="B1836" s="2">
        <v>45869</v>
      </c>
      <c r="C1836" s="1">
        <v>45665</v>
      </c>
      <c r="D1836" t="s">
        <v>936</v>
      </c>
      <c r="E1836" t="s">
        <v>937</v>
      </c>
      <c r="F1836" t="s">
        <v>23</v>
      </c>
      <c r="G1836" t="s">
        <v>44</v>
      </c>
      <c r="H1836" t="s">
        <v>161</v>
      </c>
      <c r="I1836" t="s">
        <v>63</v>
      </c>
      <c r="J1836" t="s">
        <v>64</v>
      </c>
      <c r="K1836" t="s">
        <v>65</v>
      </c>
      <c r="L1836">
        <v>5</v>
      </c>
      <c r="M1836">
        <v>25000</v>
      </c>
      <c r="N1836">
        <v>15</v>
      </c>
      <c r="O1836">
        <v>106250</v>
      </c>
      <c r="P1836">
        <v>16479.400000000001</v>
      </c>
      <c r="Q1836" t="s">
        <v>74</v>
      </c>
      <c r="R1836" t="s">
        <v>29</v>
      </c>
      <c r="S1836" t="s">
        <v>30</v>
      </c>
    </row>
    <row r="1837" spans="1:19" x14ac:dyDescent="0.3">
      <c r="A1837" t="s">
        <v>2919</v>
      </c>
      <c r="B1837" s="1">
        <v>45838</v>
      </c>
      <c r="C1837" s="1">
        <v>45845</v>
      </c>
      <c r="D1837" t="s">
        <v>628</v>
      </c>
      <c r="E1837" t="s">
        <v>629</v>
      </c>
      <c r="F1837" t="s">
        <v>55</v>
      </c>
      <c r="G1837" t="s">
        <v>91</v>
      </c>
      <c r="H1837" t="s">
        <v>120</v>
      </c>
      <c r="I1837" t="s">
        <v>46</v>
      </c>
      <c r="J1837" t="s">
        <v>47</v>
      </c>
      <c r="K1837" t="s">
        <v>48</v>
      </c>
      <c r="L1837">
        <v>2</v>
      </c>
      <c r="M1837">
        <v>180</v>
      </c>
      <c r="N1837">
        <v>10</v>
      </c>
      <c r="O1837">
        <v>324</v>
      </c>
      <c r="P1837">
        <v>149.96</v>
      </c>
      <c r="Q1837" t="s">
        <v>66</v>
      </c>
      <c r="R1837" t="s">
        <v>56</v>
      </c>
      <c r="S1837" t="s">
        <v>30</v>
      </c>
    </row>
    <row r="1838" spans="1:19" x14ac:dyDescent="0.3">
      <c r="A1838" t="s">
        <v>2920</v>
      </c>
      <c r="B1838" s="1">
        <v>45369</v>
      </c>
      <c r="C1838" t="s">
        <v>545</v>
      </c>
      <c r="D1838" t="s">
        <v>628</v>
      </c>
      <c r="E1838" t="s">
        <v>629</v>
      </c>
      <c r="F1838" t="s">
        <v>55</v>
      </c>
      <c r="G1838" t="s">
        <v>91</v>
      </c>
      <c r="H1838" t="s">
        <v>120</v>
      </c>
      <c r="I1838" t="s">
        <v>126</v>
      </c>
      <c r="J1838" t="s">
        <v>127</v>
      </c>
      <c r="K1838" t="s">
        <v>95</v>
      </c>
      <c r="L1838">
        <v>4</v>
      </c>
      <c r="M1838">
        <v>600</v>
      </c>
      <c r="N1838">
        <v>10</v>
      </c>
      <c r="O1838">
        <v>2160</v>
      </c>
      <c r="P1838">
        <v>644.85</v>
      </c>
      <c r="Q1838" t="s">
        <v>66</v>
      </c>
      <c r="R1838" t="s">
        <v>49</v>
      </c>
      <c r="S1838" t="s">
        <v>40</v>
      </c>
    </row>
    <row r="1839" spans="1:19" x14ac:dyDescent="0.3">
      <c r="A1839" t="s">
        <v>2921</v>
      </c>
      <c r="B1839" s="2">
        <v>45492</v>
      </c>
      <c r="C1839" s="1">
        <v>45497</v>
      </c>
      <c r="D1839" t="s">
        <v>643</v>
      </c>
      <c r="E1839" t="s">
        <v>644</v>
      </c>
      <c r="F1839" t="s">
        <v>34</v>
      </c>
      <c r="G1839" t="s">
        <v>61</v>
      </c>
      <c r="H1839" t="s">
        <v>78</v>
      </c>
      <c r="I1839" t="s">
        <v>114</v>
      </c>
      <c r="J1839" t="s">
        <v>115</v>
      </c>
      <c r="K1839" t="s">
        <v>65</v>
      </c>
      <c r="L1839">
        <v>10</v>
      </c>
      <c r="M1839">
        <v>55000</v>
      </c>
      <c r="N1839">
        <v>15</v>
      </c>
      <c r="O1839">
        <v>467500</v>
      </c>
      <c r="P1839">
        <v>72237.259999999995</v>
      </c>
      <c r="Q1839" t="s">
        <v>39</v>
      </c>
      <c r="R1839" t="s">
        <v>56</v>
      </c>
      <c r="S1839" t="s">
        <v>30</v>
      </c>
    </row>
    <row r="1840" spans="1:19" x14ac:dyDescent="0.3">
      <c r="A1840" t="s">
        <v>2922</v>
      </c>
      <c r="B1840" s="1">
        <v>45334</v>
      </c>
      <c r="C1840" s="1">
        <v>45629</v>
      </c>
      <c r="D1840" t="s">
        <v>32</v>
      </c>
      <c r="E1840" t="s">
        <v>33</v>
      </c>
      <c r="F1840" t="s">
        <v>34</v>
      </c>
      <c r="G1840" t="s">
        <v>35</v>
      </c>
      <c r="H1840" t="s">
        <v>36</v>
      </c>
      <c r="I1840" t="s">
        <v>25</v>
      </c>
      <c r="J1840" t="s">
        <v>26</v>
      </c>
      <c r="K1840" t="s">
        <v>27</v>
      </c>
      <c r="L1840">
        <v>-1</v>
      </c>
      <c r="M1840">
        <v>7000</v>
      </c>
      <c r="N1840">
        <v>15</v>
      </c>
      <c r="O1840">
        <v>5950</v>
      </c>
      <c r="P1840">
        <v>1435.35</v>
      </c>
      <c r="Q1840" t="s">
        <v>39</v>
      </c>
      <c r="R1840" t="s">
        <v>49</v>
      </c>
      <c r="S1840" t="s">
        <v>110</v>
      </c>
    </row>
    <row r="1841" spans="1:19" x14ac:dyDescent="0.3">
      <c r="A1841" t="s">
        <v>2923</v>
      </c>
      <c r="B1841" s="1">
        <v>45500</v>
      </c>
      <c r="C1841" s="1">
        <v>45508</v>
      </c>
      <c r="D1841" t="s">
        <v>214</v>
      </c>
      <c r="E1841" t="s">
        <v>215</v>
      </c>
      <c r="F1841" t="s">
        <v>55</v>
      </c>
      <c r="G1841" t="s">
        <v>44</v>
      </c>
      <c r="H1841" t="s">
        <v>330</v>
      </c>
      <c r="I1841" t="s">
        <v>79</v>
      </c>
      <c r="J1841" t="s">
        <v>80</v>
      </c>
      <c r="K1841" t="s">
        <v>65</v>
      </c>
      <c r="L1841">
        <v>4</v>
      </c>
      <c r="M1841">
        <v>3000</v>
      </c>
      <c r="N1841">
        <v>15</v>
      </c>
      <c r="O1841">
        <v>10200</v>
      </c>
      <c r="P1841">
        <v>2419.09</v>
      </c>
      <c r="Q1841" t="s">
        <v>121</v>
      </c>
      <c r="R1841" t="s">
        <v>56</v>
      </c>
      <c r="S1841" t="s">
        <v>50</v>
      </c>
    </row>
    <row r="1842" spans="1:19" x14ac:dyDescent="0.3">
      <c r="A1842" t="s">
        <v>2924</v>
      </c>
      <c r="B1842" s="2">
        <v>45731</v>
      </c>
      <c r="C1842" s="1">
        <v>45733</v>
      </c>
      <c r="D1842" t="s">
        <v>802</v>
      </c>
      <c r="E1842" t="s">
        <v>803</v>
      </c>
      <c r="F1842" t="s">
        <v>55</v>
      </c>
      <c r="G1842" t="s">
        <v>35</v>
      </c>
      <c r="H1842" t="s">
        <v>258</v>
      </c>
      <c r="I1842" t="s">
        <v>37</v>
      </c>
      <c r="J1842" t="s">
        <v>38</v>
      </c>
      <c r="K1842" t="s">
        <v>27</v>
      </c>
      <c r="L1842">
        <v>1</v>
      </c>
      <c r="M1842">
        <v>9500</v>
      </c>
      <c r="N1842">
        <v>0</v>
      </c>
      <c r="O1842">
        <v>9500</v>
      </c>
      <c r="P1842">
        <v>1518.32</v>
      </c>
      <c r="Q1842" t="s">
        <v>121</v>
      </c>
      <c r="R1842" t="s">
        <v>56</v>
      </c>
      <c r="S1842" t="s">
        <v>40</v>
      </c>
    </row>
    <row r="1843" spans="1:19" x14ac:dyDescent="0.3">
      <c r="A1843" t="s">
        <v>2925</v>
      </c>
      <c r="B1843" s="1">
        <v>45440</v>
      </c>
      <c r="C1843" s="2">
        <v>45448</v>
      </c>
      <c r="D1843" t="s">
        <v>582</v>
      </c>
      <c r="E1843" t="s">
        <v>583</v>
      </c>
      <c r="F1843" t="s">
        <v>34</v>
      </c>
      <c r="G1843" t="s">
        <v>61</v>
      </c>
      <c r="H1843" t="s">
        <v>78</v>
      </c>
      <c r="I1843" t="s">
        <v>37</v>
      </c>
      <c r="J1843" t="s">
        <v>38</v>
      </c>
      <c r="K1843" t="s">
        <v>27</v>
      </c>
      <c r="L1843">
        <v>4</v>
      </c>
      <c r="M1843">
        <v>9500</v>
      </c>
      <c r="N1843">
        <v>0</v>
      </c>
      <c r="O1843">
        <v>38000</v>
      </c>
      <c r="P1843">
        <v>7865.14</v>
      </c>
      <c r="Q1843" t="s">
        <v>156</v>
      </c>
      <c r="R1843" t="s">
        <v>49</v>
      </c>
      <c r="S1843" t="s">
        <v>50</v>
      </c>
    </row>
    <row r="1844" spans="1:19" x14ac:dyDescent="0.3">
      <c r="A1844" t="s">
        <v>2926</v>
      </c>
      <c r="B1844" s="1">
        <v>45676</v>
      </c>
      <c r="C1844" s="1">
        <v>45680</v>
      </c>
      <c r="D1844" t="s">
        <v>261</v>
      </c>
      <c r="E1844" t="s">
        <v>262</v>
      </c>
      <c r="F1844" t="s">
        <v>23</v>
      </c>
      <c r="G1844" t="s">
        <v>35</v>
      </c>
      <c r="H1844" t="s">
        <v>85</v>
      </c>
      <c r="I1844" t="s">
        <v>134</v>
      </c>
      <c r="J1844" t="s">
        <v>135</v>
      </c>
      <c r="K1844" t="s">
        <v>27</v>
      </c>
      <c r="L1844">
        <v>1</v>
      </c>
      <c r="M1844">
        <v>6000</v>
      </c>
      <c r="N1844">
        <v>0</v>
      </c>
      <c r="O1844">
        <v>6000</v>
      </c>
      <c r="P1844">
        <v>1189.18</v>
      </c>
      <c r="Q1844" t="s">
        <v>66</v>
      </c>
      <c r="R1844" t="s">
        <v>29</v>
      </c>
      <c r="S1844" t="s">
        <v>30</v>
      </c>
    </row>
    <row r="1845" spans="1:19" x14ac:dyDescent="0.3">
      <c r="A1845" t="s">
        <v>2927</v>
      </c>
      <c r="B1845" t="s">
        <v>1858</v>
      </c>
      <c r="C1845" s="1">
        <v>45419</v>
      </c>
      <c r="D1845" t="s">
        <v>166</v>
      </c>
      <c r="E1845" t="s">
        <v>167</v>
      </c>
      <c r="F1845" t="s">
        <v>23</v>
      </c>
      <c r="G1845" t="s">
        <v>44</v>
      </c>
      <c r="H1845" t="s">
        <v>161</v>
      </c>
      <c r="I1845" t="s">
        <v>147</v>
      </c>
      <c r="J1845" t="s">
        <v>148</v>
      </c>
      <c r="K1845" t="s">
        <v>48</v>
      </c>
      <c r="L1845">
        <v>1</v>
      </c>
      <c r="M1845">
        <v>250</v>
      </c>
      <c r="N1845">
        <v>0</v>
      </c>
      <c r="O1845">
        <v>250</v>
      </c>
      <c r="P1845">
        <v>72.16</v>
      </c>
      <c r="Q1845" t="s">
        <v>74</v>
      </c>
      <c r="R1845" t="s">
        <v>29</v>
      </c>
      <c r="S1845" t="s">
        <v>30</v>
      </c>
    </row>
    <row r="1846" spans="1:19" x14ac:dyDescent="0.3">
      <c r="A1846" t="s">
        <v>2928</v>
      </c>
      <c r="B1846" s="2">
        <v>45473</v>
      </c>
      <c r="C1846" s="1">
        <v>45477</v>
      </c>
      <c r="D1846" t="s">
        <v>534</v>
      </c>
      <c r="E1846" t="s">
        <v>535</v>
      </c>
      <c r="F1846" t="s">
        <v>34</v>
      </c>
      <c r="G1846" t="s">
        <v>61</v>
      </c>
      <c r="H1846" t="s">
        <v>78</v>
      </c>
      <c r="I1846" t="s">
        <v>63</v>
      </c>
      <c r="J1846" t="s">
        <v>64</v>
      </c>
      <c r="K1846" t="s">
        <v>65</v>
      </c>
      <c r="L1846">
        <v>1</v>
      </c>
      <c r="M1846">
        <v>25000</v>
      </c>
      <c r="N1846">
        <v>0</v>
      </c>
      <c r="O1846">
        <v>25000</v>
      </c>
      <c r="P1846">
        <v>3482.86</v>
      </c>
      <c r="Q1846" t="s">
        <v>66</v>
      </c>
      <c r="R1846" t="s">
        <v>29</v>
      </c>
      <c r="S1846" t="s">
        <v>86</v>
      </c>
    </row>
    <row r="1847" spans="1:19" x14ac:dyDescent="0.3">
      <c r="A1847" t="s">
        <v>2929</v>
      </c>
      <c r="B1847" s="1">
        <v>45844</v>
      </c>
      <c r="C1847" s="1">
        <v>45818</v>
      </c>
      <c r="D1847" t="s">
        <v>1221</v>
      </c>
      <c r="E1847" t="s">
        <v>1222</v>
      </c>
      <c r="F1847" t="s">
        <v>55</v>
      </c>
      <c r="G1847" t="s">
        <v>35</v>
      </c>
      <c r="H1847" t="s">
        <v>36</v>
      </c>
      <c r="I1847" t="s">
        <v>147</v>
      </c>
      <c r="J1847" t="s">
        <v>148</v>
      </c>
      <c r="K1847" t="s">
        <v>48</v>
      </c>
      <c r="L1847">
        <v>1</v>
      </c>
      <c r="M1847">
        <v>250</v>
      </c>
      <c r="N1847">
        <v>0</v>
      </c>
      <c r="O1847">
        <v>250</v>
      </c>
      <c r="P1847">
        <v>87.76</v>
      </c>
      <c r="Q1847" t="s">
        <v>39</v>
      </c>
      <c r="R1847" t="s">
        <v>49</v>
      </c>
      <c r="S1847" t="s">
        <v>86</v>
      </c>
    </row>
    <row r="1848" spans="1:19" x14ac:dyDescent="0.3">
      <c r="A1848" t="s">
        <v>2930</v>
      </c>
      <c r="B1848" s="1">
        <v>45807</v>
      </c>
      <c r="C1848" s="1">
        <v>45783</v>
      </c>
      <c r="D1848" t="s">
        <v>596</v>
      </c>
      <c r="E1848" t="s">
        <v>597</v>
      </c>
      <c r="F1848" t="s">
        <v>34</v>
      </c>
      <c r="G1848" t="s">
        <v>91</v>
      </c>
      <c r="H1848" t="s">
        <v>120</v>
      </c>
      <c r="I1848" t="s">
        <v>79</v>
      </c>
      <c r="J1848" t="s">
        <v>80</v>
      </c>
      <c r="K1848" t="s">
        <v>65</v>
      </c>
      <c r="L1848">
        <v>10</v>
      </c>
      <c r="M1848">
        <v>3000</v>
      </c>
      <c r="N1848">
        <v>0</v>
      </c>
      <c r="O1848">
        <v>30000</v>
      </c>
      <c r="P1848">
        <v>9236.83</v>
      </c>
      <c r="Q1848" t="s">
        <v>39</v>
      </c>
      <c r="R1848" t="s">
        <v>56</v>
      </c>
      <c r="S1848" t="s">
        <v>110</v>
      </c>
    </row>
    <row r="1849" spans="1:19" x14ac:dyDescent="0.3">
      <c r="A1849" t="s">
        <v>2931</v>
      </c>
      <c r="B1849" s="1">
        <v>45638</v>
      </c>
      <c r="C1849" t="s">
        <v>1330</v>
      </c>
      <c r="D1849" t="s">
        <v>336</v>
      </c>
      <c r="E1849" t="s">
        <v>337</v>
      </c>
      <c r="F1849" t="s">
        <v>34</v>
      </c>
      <c r="G1849" t="s">
        <v>61</v>
      </c>
      <c r="H1849" t="s">
        <v>211</v>
      </c>
      <c r="I1849" t="s">
        <v>134</v>
      </c>
      <c r="J1849" t="s">
        <v>135</v>
      </c>
      <c r="K1849" t="s">
        <v>27</v>
      </c>
      <c r="L1849">
        <v>1</v>
      </c>
      <c r="M1849">
        <v>6000</v>
      </c>
      <c r="N1849">
        <v>15</v>
      </c>
      <c r="O1849">
        <v>5100</v>
      </c>
      <c r="P1849">
        <v>1173.72</v>
      </c>
      <c r="Q1849" t="s">
        <v>74</v>
      </c>
      <c r="R1849" t="s">
        <v>29</v>
      </c>
      <c r="S1849" t="s">
        <v>40</v>
      </c>
    </row>
    <row r="1850" spans="1:19" x14ac:dyDescent="0.3">
      <c r="A1850" t="s">
        <v>2932</v>
      </c>
      <c r="B1850" s="1">
        <v>45393</v>
      </c>
      <c r="C1850" s="2">
        <v>45604</v>
      </c>
      <c r="D1850" t="s">
        <v>592</v>
      </c>
      <c r="E1850" t="s">
        <v>593</v>
      </c>
      <c r="F1850" t="s">
        <v>55</v>
      </c>
      <c r="G1850" t="s">
        <v>35</v>
      </c>
      <c r="H1850" t="s">
        <v>258</v>
      </c>
      <c r="I1850" t="s">
        <v>63</v>
      </c>
      <c r="J1850" t="s">
        <v>64</v>
      </c>
      <c r="K1850" t="s">
        <v>65</v>
      </c>
      <c r="L1850">
        <v>3</v>
      </c>
      <c r="M1850">
        <v>25000</v>
      </c>
      <c r="N1850">
        <v>20</v>
      </c>
      <c r="O1850">
        <v>60000</v>
      </c>
      <c r="P1850">
        <v>6745.66</v>
      </c>
      <c r="Q1850" t="s">
        <v>39</v>
      </c>
      <c r="R1850" t="s">
        <v>29</v>
      </c>
      <c r="S1850" t="s">
        <v>50</v>
      </c>
    </row>
    <row r="1851" spans="1:19" x14ac:dyDescent="0.3">
      <c r="A1851" t="s">
        <v>2933</v>
      </c>
      <c r="B1851" s="1">
        <v>45633</v>
      </c>
      <c r="C1851" s="1">
        <v>45638</v>
      </c>
      <c r="D1851" t="s">
        <v>2178</v>
      </c>
      <c r="E1851" t="s">
        <v>2179</v>
      </c>
      <c r="F1851" t="s">
        <v>55</v>
      </c>
      <c r="G1851" t="s">
        <v>44</v>
      </c>
      <c r="H1851" t="s">
        <v>24</v>
      </c>
      <c r="I1851" t="s">
        <v>46</v>
      </c>
      <c r="J1851" t="s">
        <v>47</v>
      </c>
      <c r="K1851" t="s">
        <v>48</v>
      </c>
      <c r="L1851">
        <v>1</v>
      </c>
      <c r="M1851">
        <v>180</v>
      </c>
      <c r="N1851">
        <v>0</v>
      </c>
      <c r="O1851">
        <v>180</v>
      </c>
      <c r="P1851">
        <v>72.69</v>
      </c>
      <c r="Q1851" t="s">
        <v>156</v>
      </c>
      <c r="R1851" t="s">
        <v>29</v>
      </c>
      <c r="S1851" t="s">
        <v>40</v>
      </c>
    </row>
    <row r="1852" spans="1:19" x14ac:dyDescent="0.3">
      <c r="A1852" t="s">
        <v>2934</v>
      </c>
      <c r="B1852" s="1">
        <v>45487</v>
      </c>
      <c r="C1852" s="1">
        <v>45489</v>
      </c>
      <c r="D1852" t="s">
        <v>1604</v>
      </c>
      <c r="E1852" t="s">
        <v>1605</v>
      </c>
      <c r="F1852" t="s">
        <v>55</v>
      </c>
      <c r="G1852" t="s">
        <v>44</v>
      </c>
      <c r="H1852" t="s">
        <v>45</v>
      </c>
      <c r="I1852" t="s">
        <v>25</v>
      </c>
      <c r="J1852" t="s">
        <v>26</v>
      </c>
      <c r="K1852" t="s">
        <v>27</v>
      </c>
      <c r="L1852">
        <v>1</v>
      </c>
      <c r="M1852">
        <v>7000</v>
      </c>
      <c r="N1852">
        <v>10</v>
      </c>
      <c r="O1852">
        <v>6300</v>
      </c>
      <c r="P1852">
        <v>1359.3</v>
      </c>
      <c r="Q1852" t="s">
        <v>28</v>
      </c>
      <c r="R1852" t="s">
        <v>49</v>
      </c>
      <c r="S1852" t="s">
        <v>40</v>
      </c>
    </row>
    <row r="1853" spans="1:19" x14ac:dyDescent="0.3">
      <c r="A1853" t="s">
        <v>2935</v>
      </c>
      <c r="B1853" s="1">
        <v>45508</v>
      </c>
      <c r="C1853" s="1">
        <v>45391</v>
      </c>
      <c r="D1853" t="s">
        <v>265</v>
      </c>
      <c r="E1853" t="s">
        <v>266</v>
      </c>
      <c r="F1853" t="s">
        <v>55</v>
      </c>
      <c r="G1853" t="s">
        <v>44</v>
      </c>
      <c r="H1853" t="s">
        <v>45</v>
      </c>
      <c r="I1853" t="s">
        <v>126</v>
      </c>
      <c r="J1853" t="s">
        <v>127</v>
      </c>
      <c r="K1853" t="s">
        <v>95</v>
      </c>
      <c r="L1853">
        <v>5</v>
      </c>
      <c r="M1853">
        <v>600</v>
      </c>
      <c r="N1853">
        <v>0</v>
      </c>
      <c r="O1853">
        <v>3000</v>
      </c>
      <c r="P1853">
        <v>808.72</v>
      </c>
      <c r="Q1853" t="s">
        <v>74</v>
      </c>
      <c r="R1853" t="s">
        <v>29</v>
      </c>
      <c r="S1853" t="s">
        <v>50</v>
      </c>
    </row>
    <row r="1854" spans="1:19" x14ac:dyDescent="0.3">
      <c r="A1854" t="s">
        <v>2936</v>
      </c>
      <c r="B1854" s="2">
        <v>45634</v>
      </c>
      <c r="C1854" s="1">
        <v>45639</v>
      </c>
      <c r="D1854" t="s">
        <v>247</v>
      </c>
      <c r="E1854" t="s">
        <v>248</v>
      </c>
      <c r="F1854" t="s">
        <v>34</v>
      </c>
      <c r="G1854" t="s">
        <v>61</v>
      </c>
      <c r="I1854" t="s">
        <v>46</v>
      </c>
      <c r="J1854" t="s">
        <v>47</v>
      </c>
      <c r="K1854" t="s">
        <v>48</v>
      </c>
      <c r="L1854">
        <v>3</v>
      </c>
      <c r="M1854">
        <v>180</v>
      </c>
      <c r="N1854">
        <v>0</v>
      </c>
      <c r="O1854">
        <v>540</v>
      </c>
      <c r="P1854">
        <v>220.69</v>
      </c>
      <c r="Q1854" t="s">
        <v>121</v>
      </c>
      <c r="R1854" t="s">
        <v>29</v>
      </c>
      <c r="S1854" t="s">
        <v>40</v>
      </c>
    </row>
    <row r="1855" spans="1:19" x14ac:dyDescent="0.3">
      <c r="A1855" t="s">
        <v>2937</v>
      </c>
      <c r="B1855" t="s">
        <v>2415</v>
      </c>
      <c r="C1855" t="s">
        <v>1235</v>
      </c>
      <c r="D1855" t="s">
        <v>748</v>
      </c>
      <c r="E1855" t="s">
        <v>749</v>
      </c>
      <c r="F1855" t="s">
        <v>55</v>
      </c>
      <c r="G1855" t="s">
        <v>91</v>
      </c>
      <c r="H1855" t="s">
        <v>92</v>
      </c>
      <c r="I1855" t="s">
        <v>46</v>
      </c>
      <c r="J1855" t="s">
        <v>47</v>
      </c>
      <c r="K1855" t="s">
        <v>48</v>
      </c>
      <c r="L1855">
        <v>1</v>
      </c>
      <c r="M1855">
        <v>180</v>
      </c>
      <c r="N1855">
        <v>10</v>
      </c>
      <c r="O1855">
        <v>162</v>
      </c>
      <c r="P1855">
        <v>57.18</v>
      </c>
      <c r="Q1855" t="s">
        <v>156</v>
      </c>
      <c r="R1855" t="s">
        <v>29</v>
      </c>
      <c r="S1855" t="s">
        <v>86</v>
      </c>
    </row>
    <row r="1856" spans="1:19" x14ac:dyDescent="0.3">
      <c r="A1856" t="s">
        <v>2938</v>
      </c>
      <c r="B1856" s="1">
        <v>45669</v>
      </c>
      <c r="C1856" s="2">
        <v>46000</v>
      </c>
      <c r="D1856" t="s">
        <v>973</v>
      </c>
      <c r="E1856" t="s">
        <v>974</v>
      </c>
      <c r="F1856" t="s">
        <v>34</v>
      </c>
      <c r="G1856" t="s">
        <v>91</v>
      </c>
      <c r="H1856" t="s">
        <v>177</v>
      </c>
      <c r="I1856" t="s">
        <v>37</v>
      </c>
      <c r="J1856" t="s">
        <v>38</v>
      </c>
      <c r="K1856" t="s">
        <v>27</v>
      </c>
      <c r="L1856">
        <v>2</v>
      </c>
      <c r="M1856">
        <v>9500</v>
      </c>
      <c r="N1856">
        <v>10</v>
      </c>
      <c r="O1856">
        <v>17100</v>
      </c>
      <c r="P1856">
        <v>3208.61</v>
      </c>
      <c r="Q1856" t="s">
        <v>121</v>
      </c>
      <c r="R1856" t="s">
        <v>29</v>
      </c>
      <c r="S1856" t="s">
        <v>86</v>
      </c>
    </row>
    <row r="1857" spans="1:19" x14ac:dyDescent="0.3">
      <c r="A1857" t="s">
        <v>2939</v>
      </c>
      <c r="B1857" t="s">
        <v>2940</v>
      </c>
      <c r="C1857" s="2">
        <v>45555</v>
      </c>
      <c r="D1857" t="s">
        <v>1889</v>
      </c>
      <c r="E1857" t="s">
        <v>1890</v>
      </c>
      <c r="F1857" t="s">
        <v>55</v>
      </c>
      <c r="G1857" t="s">
        <v>91</v>
      </c>
      <c r="H1857" t="s">
        <v>120</v>
      </c>
      <c r="I1857" t="s">
        <v>46</v>
      </c>
      <c r="J1857" t="s">
        <v>47</v>
      </c>
      <c r="K1857" t="s">
        <v>48</v>
      </c>
      <c r="L1857">
        <v>1</v>
      </c>
      <c r="M1857">
        <v>180</v>
      </c>
      <c r="N1857">
        <v>0</v>
      </c>
      <c r="O1857">
        <v>180</v>
      </c>
      <c r="P1857">
        <v>73.430000000000007</v>
      </c>
      <c r="Q1857" t="s">
        <v>74</v>
      </c>
      <c r="R1857" t="s">
        <v>49</v>
      </c>
      <c r="S1857" t="s">
        <v>30</v>
      </c>
    </row>
    <row r="1858" spans="1:19" x14ac:dyDescent="0.3">
      <c r="A1858" t="s">
        <v>2941</v>
      </c>
      <c r="B1858" s="1">
        <v>45678</v>
      </c>
      <c r="C1858" t="s">
        <v>240</v>
      </c>
      <c r="D1858" t="s">
        <v>491</v>
      </c>
      <c r="E1858" t="s">
        <v>492</v>
      </c>
      <c r="F1858" t="s">
        <v>34</v>
      </c>
      <c r="G1858" t="s">
        <v>44</v>
      </c>
      <c r="H1858" t="s">
        <v>330</v>
      </c>
      <c r="I1858" t="s">
        <v>71</v>
      </c>
      <c r="J1858" t="s">
        <v>72</v>
      </c>
      <c r="K1858" t="s">
        <v>73</v>
      </c>
      <c r="L1858">
        <v>1</v>
      </c>
      <c r="M1858">
        <v>3500</v>
      </c>
      <c r="N1858">
        <v>15</v>
      </c>
      <c r="O1858">
        <v>2975</v>
      </c>
      <c r="P1858">
        <v>934.04</v>
      </c>
      <c r="Q1858" t="s">
        <v>156</v>
      </c>
      <c r="R1858" t="s">
        <v>49</v>
      </c>
      <c r="S1858" t="s">
        <v>40</v>
      </c>
    </row>
    <row r="1859" spans="1:19" x14ac:dyDescent="0.3">
      <c r="A1859" t="s">
        <v>2942</v>
      </c>
      <c r="B1859" s="2">
        <v>45372</v>
      </c>
      <c r="C1859" t="s">
        <v>545</v>
      </c>
      <c r="D1859" t="s">
        <v>142</v>
      </c>
      <c r="E1859" t="s">
        <v>1423</v>
      </c>
      <c r="F1859" t="s">
        <v>34</v>
      </c>
      <c r="G1859" t="s">
        <v>44</v>
      </c>
      <c r="H1859" t="s">
        <v>24</v>
      </c>
      <c r="I1859" t="s">
        <v>93</v>
      </c>
      <c r="J1859" t="s">
        <v>94</v>
      </c>
      <c r="K1859" t="s">
        <v>95</v>
      </c>
      <c r="L1859">
        <v>1</v>
      </c>
      <c r="M1859">
        <v>1800</v>
      </c>
      <c r="N1859">
        <v>10</v>
      </c>
      <c r="O1859">
        <v>1620</v>
      </c>
      <c r="P1859">
        <v>464.54</v>
      </c>
      <c r="Q1859" t="s">
        <v>28</v>
      </c>
      <c r="R1859" t="s">
        <v>29</v>
      </c>
      <c r="S1859" t="s">
        <v>86</v>
      </c>
    </row>
    <row r="1860" spans="1:19" x14ac:dyDescent="0.3">
      <c r="A1860" t="s">
        <v>2943</v>
      </c>
      <c r="B1860" t="s">
        <v>2944</v>
      </c>
      <c r="C1860" s="1">
        <v>45402</v>
      </c>
      <c r="D1860" t="s">
        <v>1579</v>
      </c>
      <c r="E1860" t="s">
        <v>1580</v>
      </c>
      <c r="F1860" t="s">
        <v>55</v>
      </c>
      <c r="G1860" t="s">
        <v>44</v>
      </c>
      <c r="H1860" t="s">
        <v>45</v>
      </c>
      <c r="I1860" t="s">
        <v>134</v>
      </c>
      <c r="J1860" t="s">
        <v>135</v>
      </c>
      <c r="K1860" t="s">
        <v>27</v>
      </c>
      <c r="L1860">
        <v>1</v>
      </c>
      <c r="M1860">
        <v>6000</v>
      </c>
      <c r="N1860">
        <v>10</v>
      </c>
      <c r="O1860">
        <v>5400</v>
      </c>
      <c r="P1860">
        <v>1114.79</v>
      </c>
      <c r="Q1860" t="s">
        <v>28</v>
      </c>
      <c r="R1860" t="s">
        <v>49</v>
      </c>
      <c r="S1860" t="s">
        <v>110</v>
      </c>
    </row>
    <row r="1861" spans="1:19" x14ac:dyDescent="0.3">
      <c r="A1861" t="s">
        <v>2945</v>
      </c>
      <c r="B1861" s="1">
        <v>45808</v>
      </c>
      <c r="C1861" s="1">
        <v>45810</v>
      </c>
      <c r="D1861" t="s">
        <v>311</v>
      </c>
      <c r="E1861" t="s">
        <v>312</v>
      </c>
      <c r="F1861" t="s">
        <v>34</v>
      </c>
      <c r="G1861" t="s">
        <v>61</v>
      </c>
      <c r="H1861" t="s">
        <v>78</v>
      </c>
      <c r="I1861" t="s">
        <v>71</v>
      </c>
      <c r="J1861" t="s">
        <v>72</v>
      </c>
      <c r="K1861" t="s">
        <v>73</v>
      </c>
      <c r="M1861">
        <v>3500</v>
      </c>
      <c r="N1861">
        <v>10</v>
      </c>
      <c r="O1861">
        <v>3150</v>
      </c>
      <c r="P1861">
        <v>864.59</v>
      </c>
      <c r="Q1861" t="s">
        <v>28</v>
      </c>
      <c r="R1861" t="s">
        <v>49</v>
      </c>
      <c r="S1861" t="s">
        <v>50</v>
      </c>
    </row>
    <row r="1862" spans="1:19" x14ac:dyDescent="0.3">
      <c r="A1862" t="s">
        <v>2946</v>
      </c>
      <c r="B1862" s="2">
        <v>45625</v>
      </c>
      <c r="C1862" s="1">
        <v>45631</v>
      </c>
      <c r="D1862" t="s">
        <v>392</v>
      </c>
      <c r="E1862" t="s">
        <v>393</v>
      </c>
      <c r="F1862" t="s">
        <v>55</v>
      </c>
      <c r="G1862" t="s">
        <v>91</v>
      </c>
      <c r="H1862" t="s">
        <v>92</v>
      </c>
      <c r="I1862" t="s">
        <v>93</v>
      </c>
      <c r="J1862" t="s">
        <v>94</v>
      </c>
      <c r="K1862" t="s">
        <v>95</v>
      </c>
      <c r="L1862">
        <v>3</v>
      </c>
      <c r="M1862">
        <v>1800</v>
      </c>
      <c r="N1862">
        <v>0</v>
      </c>
      <c r="O1862">
        <v>5400</v>
      </c>
      <c r="P1862">
        <v>1617.79</v>
      </c>
      <c r="Q1862" t="s">
        <v>121</v>
      </c>
      <c r="R1862" t="s">
        <v>49</v>
      </c>
      <c r="S1862" t="s">
        <v>110</v>
      </c>
    </row>
    <row r="1863" spans="1:19" x14ac:dyDescent="0.3">
      <c r="A1863" t="s">
        <v>2947</v>
      </c>
      <c r="B1863" s="2">
        <v>45769</v>
      </c>
      <c r="C1863" s="1">
        <v>45777</v>
      </c>
      <c r="D1863" t="s">
        <v>554</v>
      </c>
      <c r="E1863" t="s">
        <v>555</v>
      </c>
      <c r="F1863" t="s">
        <v>55</v>
      </c>
      <c r="G1863" t="s">
        <v>61</v>
      </c>
      <c r="H1863" t="s">
        <v>62</v>
      </c>
      <c r="I1863" t="s">
        <v>37</v>
      </c>
      <c r="J1863" t="s">
        <v>38</v>
      </c>
      <c r="K1863" t="s">
        <v>27</v>
      </c>
      <c r="L1863">
        <v>2</v>
      </c>
      <c r="M1863">
        <v>9500</v>
      </c>
      <c r="N1863">
        <v>10</v>
      </c>
      <c r="O1863">
        <v>17100</v>
      </c>
      <c r="P1863">
        <v>3625.37</v>
      </c>
      <c r="Q1863" t="s">
        <v>66</v>
      </c>
      <c r="R1863" t="s">
        <v>29</v>
      </c>
      <c r="S1863" t="s">
        <v>50</v>
      </c>
    </row>
    <row r="1864" spans="1:19" x14ac:dyDescent="0.3">
      <c r="A1864" t="s">
        <v>2948</v>
      </c>
      <c r="B1864" s="1">
        <v>45817</v>
      </c>
      <c r="C1864" s="1">
        <v>45908</v>
      </c>
      <c r="D1864" t="s">
        <v>890</v>
      </c>
      <c r="E1864" t="s">
        <v>891</v>
      </c>
      <c r="F1864" t="s">
        <v>34</v>
      </c>
      <c r="G1864" t="s">
        <v>35</v>
      </c>
      <c r="H1864" t="s">
        <v>36</v>
      </c>
      <c r="I1864" t="s">
        <v>71</v>
      </c>
      <c r="J1864" t="s">
        <v>72</v>
      </c>
      <c r="K1864" t="s">
        <v>73</v>
      </c>
      <c r="L1864">
        <v>2</v>
      </c>
      <c r="M1864">
        <v>3500</v>
      </c>
      <c r="N1864">
        <v>5</v>
      </c>
      <c r="O1864">
        <v>6650</v>
      </c>
      <c r="P1864">
        <v>2103.5300000000002</v>
      </c>
      <c r="Q1864" t="s">
        <v>39</v>
      </c>
      <c r="R1864" t="s">
        <v>29</v>
      </c>
      <c r="S1864" t="s">
        <v>40</v>
      </c>
    </row>
    <row r="1865" spans="1:19" x14ac:dyDescent="0.3">
      <c r="A1865" t="s">
        <v>2949</v>
      </c>
      <c r="B1865" s="1">
        <v>45680</v>
      </c>
      <c r="C1865" s="2">
        <v>45686</v>
      </c>
      <c r="D1865" t="s">
        <v>653</v>
      </c>
      <c r="E1865" t="s">
        <v>654</v>
      </c>
      <c r="F1865" t="s">
        <v>23</v>
      </c>
      <c r="G1865" t="s">
        <v>44</v>
      </c>
      <c r="H1865" t="s">
        <v>330</v>
      </c>
      <c r="I1865" t="s">
        <v>114</v>
      </c>
      <c r="J1865" t="s">
        <v>115</v>
      </c>
      <c r="K1865" t="s">
        <v>65</v>
      </c>
      <c r="L1865">
        <v>3</v>
      </c>
      <c r="M1865">
        <v>55000</v>
      </c>
      <c r="N1865">
        <v>0</v>
      </c>
      <c r="O1865">
        <v>165000</v>
      </c>
      <c r="P1865">
        <v>24104.09</v>
      </c>
      <c r="Q1865" t="s">
        <v>28</v>
      </c>
      <c r="R1865" t="s">
        <v>29</v>
      </c>
      <c r="S1865" t="s">
        <v>50</v>
      </c>
    </row>
    <row r="1866" spans="1:19" x14ac:dyDescent="0.3">
      <c r="A1866" t="s">
        <v>2950</v>
      </c>
      <c r="B1866" s="1">
        <v>45887</v>
      </c>
      <c r="C1866" t="s">
        <v>1749</v>
      </c>
      <c r="D1866" t="s">
        <v>498</v>
      </c>
      <c r="E1866" t="s">
        <v>499</v>
      </c>
      <c r="F1866" t="s">
        <v>55</v>
      </c>
      <c r="G1866" t="s">
        <v>91</v>
      </c>
      <c r="H1866" t="s">
        <v>120</v>
      </c>
      <c r="I1866" t="s">
        <v>25</v>
      </c>
      <c r="J1866" t="s">
        <v>26</v>
      </c>
      <c r="K1866" t="s">
        <v>27</v>
      </c>
      <c r="L1866">
        <v>2</v>
      </c>
      <c r="M1866">
        <v>7000</v>
      </c>
      <c r="N1866">
        <v>20</v>
      </c>
      <c r="O1866">
        <v>11200</v>
      </c>
      <c r="P1866">
        <v>2502.92</v>
      </c>
      <c r="Q1866" t="s">
        <v>74</v>
      </c>
      <c r="R1866" t="s">
        <v>49</v>
      </c>
      <c r="S1866" t="s">
        <v>40</v>
      </c>
    </row>
    <row r="1867" spans="1:19" x14ac:dyDescent="0.3">
      <c r="A1867" t="s">
        <v>2951</v>
      </c>
      <c r="B1867" s="1">
        <v>45671</v>
      </c>
      <c r="C1867" s="2">
        <v>45675</v>
      </c>
      <c r="D1867" t="s">
        <v>2080</v>
      </c>
      <c r="E1867" t="s">
        <v>2081</v>
      </c>
      <c r="F1867" t="s">
        <v>34</v>
      </c>
      <c r="G1867" t="s">
        <v>91</v>
      </c>
      <c r="H1867" t="s">
        <v>120</v>
      </c>
      <c r="I1867" t="s">
        <v>37</v>
      </c>
      <c r="J1867" t="s">
        <v>38</v>
      </c>
      <c r="K1867" t="s">
        <v>27</v>
      </c>
      <c r="L1867">
        <v>3</v>
      </c>
      <c r="M1867">
        <v>9500</v>
      </c>
      <c r="N1867">
        <v>0</v>
      </c>
      <c r="O1867">
        <v>28500</v>
      </c>
      <c r="P1867">
        <v>6268.73</v>
      </c>
      <c r="Q1867" t="s">
        <v>74</v>
      </c>
      <c r="R1867" t="s">
        <v>56</v>
      </c>
      <c r="S1867" t="s">
        <v>30</v>
      </c>
    </row>
    <row r="1868" spans="1:19" x14ac:dyDescent="0.3">
      <c r="A1868" t="s">
        <v>2952</v>
      </c>
      <c r="B1868" s="1">
        <v>45921</v>
      </c>
      <c r="C1868" t="s">
        <v>253</v>
      </c>
      <c r="D1868" t="s">
        <v>1579</v>
      </c>
      <c r="E1868" t="s">
        <v>1580</v>
      </c>
      <c r="F1868" t="s">
        <v>55</v>
      </c>
      <c r="G1868" t="s">
        <v>44</v>
      </c>
      <c r="H1868" t="s">
        <v>45</v>
      </c>
      <c r="I1868" t="s">
        <v>79</v>
      </c>
      <c r="J1868" t="s">
        <v>80</v>
      </c>
      <c r="K1868" t="s">
        <v>65</v>
      </c>
      <c r="L1868">
        <v>-2</v>
      </c>
      <c r="M1868">
        <v>3000</v>
      </c>
      <c r="N1868">
        <v>5</v>
      </c>
      <c r="O1868">
        <v>5700</v>
      </c>
      <c r="P1868">
        <v>1472.92</v>
      </c>
      <c r="Q1868" t="s">
        <v>28</v>
      </c>
      <c r="R1868" t="s">
        <v>29</v>
      </c>
      <c r="S1868" t="s">
        <v>86</v>
      </c>
    </row>
    <row r="1869" spans="1:19" x14ac:dyDescent="0.3">
      <c r="A1869" t="s">
        <v>2953</v>
      </c>
      <c r="B1869" s="1">
        <v>45897</v>
      </c>
      <c r="C1869" s="1">
        <v>45900</v>
      </c>
      <c r="D1869" t="s">
        <v>570</v>
      </c>
      <c r="E1869" t="s">
        <v>571</v>
      </c>
      <c r="F1869" t="s">
        <v>34</v>
      </c>
      <c r="G1869" t="s">
        <v>44</v>
      </c>
      <c r="H1869" t="s">
        <v>161</v>
      </c>
      <c r="I1869" t="s">
        <v>103</v>
      </c>
      <c r="J1869" t="s">
        <v>104</v>
      </c>
      <c r="K1869" t="s">
        <v>65</v>
      </c>
      <c r="L1869">
        <v>2</v>
      </c>
      <c r="M1869">
        <v>8000</v>
      </c>
      <c r="N1869">
        <v>0</v>
      </c>
      <c r="O1869">
        <v>16000</v>
      </c>
      <c r="P1869">
        <v>3167.01</v>
      </c>
      <c r="Q1869" t="s">
        <v>28</v>
      </c>
      <c r="R1869" t="s">
        <v>29</v>
      </c>
      <c r="S1869" t="s">
        <v>110</v>
      </c>
    </row>
    <row r="1870" spans="1:19" x14ac:dyDescent="0.3">
      <c r="A1870" t="s">
        <v>2954</v>
      </c>
      <c r="B1870" s="1">
        <v>45357</v>
      </c>
      <c r="C1870" s="1">
        <v>45449</v>
      </c>
      <c r="D1870" t="s">
        <v>592</v>
      </c>
      <c r="E1870" t="s">
        <v>593</v>
      </c>
      <c r="F1870" t="s">
        <v>55</v>
      </c>
      <c r="G1870" t="s">
        <v>35</v>
      </c>
      <c r="H1870" t="s">
        <v>258</v>
      </c>
      <c r="I1870" t="s">
        <v>93</v>
      </c>
      <c r="J1870" t="s">
        <v>94</v>
      </c>
      <c r="K1870" t="s">
        <v>95</v>
      </c>
      <c r="L1870">
        <v>1</v>
      </c>
      <c r="M1870">
        <v>1800</v>
      </c>
      <c r="N1870">
        <v>10</v>
      </c>
      <c r="O1870">
        <v>1620</v>
      </c>
      <c r="P1870">
        <v>472.84</v>
      </c>
      <c r="Q1870" t="s">
        <v>156</v>
      </c>
      <c r="R1870" t="s">
        <v>49</v>
      </c>
      <c r="S1870" t="s">
        <v>50</v>
      </c>
    </row>
    <row r="1871" spans="1:19" x14ac:dyDescent="0.3">
      <c r="A1871" t="s">
        <v>2955</v>
      </c>
      <c r="B1871" t="s">
        <v>82</v>
      </c>
      <c r="C1871" t="s">
        <v>1018</v>
      </c>
      <c r="D1871" t="s">
        <v>802</v>
      </c>
      <c r="E1871" t="s">
        <v>803</v>
      </c>
      <c r="F1871" t="s">
        <v>55</v>
      </c>
      <c r="G1871" t="s">
        <v>35</v>
      </c>
      <c r="H1871" t="s">
        <v>258</v>
      </c>
      <c r="I1871" t="s">
        <v>114</v>
      </c>
      <c r="J1871" t="s">
        <v>115</v>
      </c>
      <c r="K1871" t="s">
        <v>65</v>
      </c>
      <c r="L1871">
        <v>4</v>
      </c>
      <c r="M1871">
        <v>55000</v>
      </c>
      <c r="N1871">
        <v>20</v>
      </c>
      <c r="O1871">
        <v>176000</v>
      </c>
      <c r="P1871">
        <v>32700.31</v>
      </c>
      <c r="Q1871" t="s">
        <v>121</v>
      </c>
      <c r="R1871" t="s">
        <v>29</v>
      </c>
      <c r="S1871" t="s">
        <v>86</v>
      </c>
    </row>
    <row r="1872" spans="1:19" x14ac:dyDescent="0.3">
      <c r="A1872" t="s">
        <v>2956</v>
      </c>
      <c r="B1872" s="1">
        <v>45504</v>
      </c>
      <c r="C1872" s="1">
        <v>45420</v>
      </c>
      <c r="D1872" t="s">
        <v>539</v>
      </c>
      <c r="E1872" t="s">
        <v>540</v>
      </c>
      <c r="F1872" t="s">
        <v>34</v>
      </c>
      <c r="G1872" t="s">
        <v>61</v>
      </c>
      <c r="H1872" t="s">
        <v>211</v>
      </c>
      <c r="I1872" t="s">
        <v>63</v>
      </c>
      <c r="J1872" t="s">
        <v>64</v>
      </c>
      <c r="K1872" t="s">
        <v>65</v>
      </c>
      <c r="L1872">
        <v>3</v>
      </c>
      <c r="M1872">
        <v>25000</v>
      </c>
      <c r="N1872">
        <v>10</v>
      </c>
      <c r="O1872">
        <v>67500</v>
      </c>
      <c r="P1872">
        <v>8582.73</v>
      </c>
      <c r="Q1872" t="s">
        <v>74</v>
      </c>
      <c r="R1872" t="s">
        <v>49</v>
      </c>
      <c r="S1872" t="s">
        <v>30</v>
      </c>
    </row>
    <row r="1873" spans="1:19" x14ac:dyDescent="0.3">
      <c r="A1873" t="s">
        <v>2957</v>
      </c>
      <c r="B1873" s="1">
        <v>45478</v>
      </c>
      <c r="C1873" s="2">
        <v>45482</v>
      </c>
      <c r="D1873" t="s">
        <v>520</v>
      </c>
      <c r="E1873" t="s">
        <v>521</v>
      </c>
      <c r="F1873" t="s">
        <v>23</v>
      </c>
      <c r="G1873" t="s">
        <v>91</v>
      </c>
      <c r="H1873" t="s">
        <v>109</v>
      </c>
      <c r="I1873" t="s">
        <v>37</v>
      </c>
      <c r="J1873" t="s">
        <v>38</v>
      </c>
      <c r="K1873" t="s">
        <v>27</v>
      </c>
      <c r="L1873">
        <v>1</v>
      </c>
      <c r="M1873">
        <v>9500</v>
      </c>
      <c r="N1873">
        <v>5</v>
      </c>
      <c r="O1873">
        <v>9025</v>
      </c>
      <c r="P1873">
        <v>1945.61</v>
      </c>
      <c r="Q1873" t="s">
        <v>66</v>
      </c>
      <c r="R1873" t="s">
        <v>29</v>
      </c>
      <c r="S1873" t="s">
        <v>40</v>
      </c>
    </row>
    <row r="1874" spans="1:19" x14ac:dyDescent="0.3">
      <c r="A1874" t="s">
        <v>2958</v>
      </c>
      <c r="B1874" s="1">
        <v>45429</v>
      </c>
      <c r="C1874" s="2">
        <v>45431</v>
      </c>
      <c r="D1874" t="s">
        <v>1205</v>
      </c>
      <c r="E1874" t="s">
        <v>1206</v>
      </c>
      <c r="F1874" t="s">
        <v>34</v>
      </c>
      <c r="G1874" t="s">
        <v>44</v>
      </c>
      <c r="H1874" t="s">
        <v>45</v>
      </c>
      <c r="I1874" t="s">
        <v>126</v>
      </c>
      <c r="J1874" t="s">
        <v>127</v>
      </c>
      <c r="K1874" t="s">
        <v>95</v>
      </c>
      <c r="L1874">
        <v>1</v>
      </c>
      <c r="M1874">
        <v>600</v>
      </c>
      <c r="N1874">
        <v>15</v>
      </c>
      <c r="O1874">
        <v>510</v>
      </c>
      <c r="P1874">
        <v>139.76</v>
      </c>
      <c r="Q1874" t="s">
        <v>28</v>
      </c>
      <c r="R1874" t="s">
        <v>56</v>
      </c>
      <c r="S1874" t="s">
        <v>86</v>
      </c>
    </row>
    <row r="1875" spans="1:19" x14ac:dyDescent="0.3">
      <c r="A1875" t="s">
        <v>2959</v>
      </c>
      <c r="B1875" s="1">
        <v>45593</v>
      </c>
      <c r="C1875" s="2">
        <v>45594</v>
      </c>
      <c r="D1875" t="s">
        <v>297</v>
      </c>
      <c r="E1875" t="s">
        <v>1110</v>
      </c>
      <c r="F1875" t="s">
        <v>23</v>
      </c>
      <c r="G1875" t="s">
        <v>91</v>
      </c>
      <c r="H1875" t="s">
        <v>177</v>
      </c>
      <c r="I1875" t="s">
        <v>63</v>
      </c>
      <c r="J1875" t="s">
        <v>64</v>
      </c>
      <c r="K1875" t="s">
        <v>65</v>
      </c>
      <c r="L1875">
        <v>2</v>
      </c>
      <c r="M1875">
        <v>25000</v>
      </c>
      <c r="N1875">
        <v>5</v>
      </c>
      <c r="O1875">
        <v>47500</v>
      </c>
      <c r="P1875">
        <v>5556.57</v>
      </c>
      <c r="Q1875" t="s">
        <v>121</v>
      </c>
      <c r="R1875" t="s">
        <v>29</v>
      </c>
      <c r="S1875" t="s">
        <v>110</v>
      </c>
    </row>
    <row r="1876" spans="1:19" x14ac:dyDescent="0.3">
      <c r="A1876" t="s">
        <v>2960</v>
      </c>
      <c r="B1876" s="1">
        <v>45668</v>
      </c>
      <c r="C1876" s="1">
        <v>45758</v>
      </c>
      <c r="D1876" t="s">
        <v>1450</v>
      </c>
      <c r="E1876" t="s">
        <v>1451</v>
      </c>
      <c r="F1876" t="s">
        <v>23</v>
      </c>
      <c r="G1876" t="s">
        <v>61</v>
      </c>
      <c r="H1876" t="s">
        <v>78</v>
      </c>
      <c r="I1876" t="s">
        <v>63</v>
      </c>
      <c r="J1876" t="s">
        <v>64</v>
      </c>
      <c r="K1876" t="s">
        <v>65</v>
      </c>
      <c r="L1876">
        <v>1</v>
      </c>
      <c r="M1876">
        <v>25000</v>
      </c>
      <c r="N1876">
        <v>15</v>
      </c>
      <c r="O1876">
        <v>21250</v>
      </c>
      <c r="P1876">
        <v>3383.6</v>
      </c>
      <c r="Q1876" t="s">
        <v>66</v>
      </c>
      <c r="R1876" t="s">
        <v>49</v>
      </c>
      <c r="S1876" t="s">
        <v>110</v>
      </c>
    </row>
    <row r="1877" spans="1:19" x14ac:dyDescent="0.3">
      <c r="A1877" t="s">
        <v>2961</v>
      </c>
      <c r="B1877" t="s">
        <v>900</v>
      </c>
      <c r="C1877" s="1">
        <v>45872</v>
      </c>
      <c r="D1877" t="s">
        <v>830</v>
      </c>
      <c r="E1877" t="s">
        <v>831</v>
      </c>
      <c r="F1877" t="s">
        <v>23</v>
      </c>
      <c r="G1877" t="s">
        <v>61</v>
      </c>
      <c r="H1877" t="s">
        <v>125</v>
      </c>
      <c r="I1877" t="s">
        <v>79</v>
      </c>
      <c r="J1877" t="s">
        <v>80</v>
      </c>
      <c r="K1877" t="s">
        <v>65</v>
      </c>
      <c r="L1877">
        <v>2</v>
      </c>
      <c r="M1877">
        <v>3000</v>
      </c>
      <c r="N1877">
        <v>0</v>
      </c>
      <c r="O1877">
        <v>6000</v>
      </c>
      <c r="P1877">
        <v>1839.15</v>
      </c>
      <c r="R1877" t="s">
        <v>29</v>
      </c>
      <c r="S1877" t="s">
        <v>110</v>
      </c>
    </row>
    <row r="1878" spans="1:19" x14ac:dyDescent="0.3">
      <c r="A1878" t="s">
        <v>2962</v>
      </c>
      <c r="B1878" s="1">
        <v>45815</v>
      </c>
      <c r="C1878" t="s">
        <v>1082</v>
      </c>
      <c r="D1878" t="s">
        <v>606</v>
      </c>
      <c r="E1878" t="s">
        <v>607</v>
      </c>
      <c r="F1878" t="s">
        <v>23</v>
      </c>
      <c r="G1878" t="s">
        <v>35</v>
      </c>
      <c r="H1878" t="s">
        <v>36</v>
      </c>
      <c r="I1878" t="s">
        <v>37</v>
      </c>
      <c r="J1878" t="s">
        <v>38</v>
      </c>
      <c r="K1878" t="s">
        <v>27</v>
      </c>
      <c r="L1878">
        <v>3</v>
      </c>
      <c r="M1878">
        <v>9500</v>
      </c>
      <c r="N1878">
        <v>15</v>
      </c>
      <c r="O1878">
        <v>24225</v>
      </c>
      <c r="P1878">
        <v>4376.3599999999997</v>
      </c>
      <c r="Q1878" t="s">
        <v>121</v>
      </c>
      <c r="R1878" t="s">
        <v>49</v>
      </c>
      <c r="S1878" t="s">
        <v>40</v>
      </c>
    </row>
    <row r="1879" spans="1:19" x14ac:dyDescent="0.3">
      <c r="A1879" t="s">
        <v>2963</v>
      </c>
      <c r="B1879" s="1">
        <v>45875</v>
      </c>
      <c r="C1879" s="1">
        <v>45876</v>
      </c>
      <c r="D1879" t="s">
        <v>101</v>
      </c>
      <c r="E1879" t="s">
        <v>102</v>
      </c>
      <c r="F1879" t="s">
        <v>55</v>
      </c>
      <c r="G1879" t="s">
        <v>35</v>
      </c>
      <c r="H1879" t="s">
        <v>36</v>
      </c>
      <c r="I1879" t="s">
        <v>46</v>
      </c>
      <c r="J1879" t="s">
        <v>47</v>
      </c>
      <c r="K1879" t="s">
        <v>48</v>
      </c>
      <c r="L1879">
        <v>1</v>
      </c>
      <c r="M1879">
        <v>180</v>
      </c>
      <c r="N1879">
        <v>20</v>
      </c>
      <c r="O1879">
        <v>144</v>
      </c>
      <c r="P1879">
        <v>60.35</v>
      </c>
      <c r="Q1879" t="s">
        <v>39</v>
      </c>
      <c r="R1879" t="s">
        <v>29</v>
      </c>
      <c r="S1879" t="s">
        <v>50</v>
      </c>
    </row>
    <row r="1880" spans="1:19" x14ac:dyDescent="0.3">
      <c r="A1880" t="s">
        <v>2964</v>
      </c>
      <c r="B1880" s="1">
        <v>45294</v>
      </c>
      <c r="C1880" s="1">
        <v>45295</v>
      </c>
      <c r="D1880" t="s">
        <v>639</v>
      </c>
      <c r="E1880" t="s">
        <v>640</v>
      </c>
      <c r="F1880" t="s">
        <v>55</v>
      </c>
      <c r="G1880" t="s">
        <v>35</v>
      </c>
      <c r="H1880" t="s">
        <v>36</v>
      </c>
      <c r="I1880" t="s">
        <v>93</v>
      </c>
      <c r="J1880" t="s">
        <v>94</v>
      </c>
      <c r="K1880" t="s">
        <v>95</v>
      </c>
      <c r="L1880">
        <v>3</v>
      </c>
      <c r="M1880">
        <v>1800</v>
      </c>
      <c r="N1880">
        <v>15</v>
      </c>
      <c r="O1880">
        <v>4590</v>
      </c>
      <c r="P1880">
        <v>1195.73</v>
      </c>
      <c r="Q1880" t="s">
        <v>28</v>
      </c>
      <c r="R1880" t="s">
        <v>29</v>
      </c>
      <c r="S1880" t="s">
        <v>110</v>
      </c>
    </row>
    <row r="1881" spans="1:19" x14ac:dyDescent="0.3">
      <c r="A1881" t="s">
        <v>2965</v>
      </c>
      <c r="B1881" s="1">
        <v>45373</v>
      </c>
      <c r="C1881" s="2">
        <v>45381</v>
      </c>
      <c r="D1881" t="s">
        <v>740</v>
      </c>
      <c r="E1881" t="s">
        <v>2966</v>
      </c>
      <c r="F1881" t="s">
        <v>55</v>
      </c>
      <c r="G1881" t="s">
        <v>35</v>
      </c>
      <c r="H1881" t="s">
        <v>85</v>
      </c>
      <c r="I1881" t="s">
        <v>37</v>
      </c>
      <c r="J1881" t="s">
        <v>38</v>
      </c>
      <c r="K1881" t="s">
        <v>27</v>
      </c>
      <c r="L1881">
        <v>3</v>
      </c>
      <c r="M1881">
        <v>9500</v>
      </c>
      <c r="N1881">
        <v>5</v>
      </c>
      <c r="O1881">
        <v>27075</v>
      </c>
      <c r="P1881">
        <v>4080.93</v>
      </c>
      <c r="Q1881" t="s">
        <v>156</v>
      </c>
      <c r="R1881" t="s">
        <v>56</v>
      </c>
      <c r="S1881" t="s">
        <v>110</v>
      </c>
    </row>
    <row r="1882" spans="1:19" x14ac:dyDescent="0.3">
      <c r="A1882" t="s">
        <v>2967</v>
      </c>
      <c r="B1882" s="1">
        <v>45570</v>
      </c>
      <c r="C1882" s="2">
        <v>45573</v>
      </c>
      <c r="D1882" t="s">
        <v>1343</v>
      </c>
      <c r="E1882" t="s">
        <v>1344</v>
      </c>
      <c r="F1882" t="s">
        <v>34</v>
      </c>
      <c r="G1882" t="s">
        <v>91</v>
      </c>
      <c r="H1882" t="s">
        <v>177</v>
      </c>
      <c r="I1882" t="s">
        <v>114</v>
      </c>
      <c r="J1882" t="s">
        <v>115</v>
      </c>
      <c r="K1882" t="s">
        <v>65</v>
      </c>
      <c r="L1882">
        <v>4</v>
      </c>
      <c r="M1882">
        <v>55000</v>
      </c>
      <c r="N1882">
        <v>5</v>
      </c>
      <c r="O1882">
        <v>209000</v>
      </c>
      <c r="P1882">
        <v>36194.589999999997</v>
      </c>
      <c r="Q1882" t="s">
        <v>156</v>
      </c>
      <c r="R1882" t="s">
        <v>49</v>
      </c>
      <c r="S1882" t="s">
        <v>86</v>
      </c>
    </row>
    <row r="1883" spans="1:19" x14ac:dyDescent="0.3">
      <c r="A1883" t="s">
        <v>2968</v>
      </c>
      <c r="B1883" s="1">
        <v>45744</v>
      </c>
      <c r="C1883" s="1">
        <v>45692</v>
      </c>
      <c r="D1883" t="s">
        <v>764</v>
      </c>
      <c r="E1883" t="s">
        <v>765</v>
      </c>
      <c r="F1883" t="s">
        <v>34</v>
      </c>
      <c r="G1883" t="s">
        <v>91</v>
      </c>
      <c r="H1883" t="s">
        <v>120</v>
      </c>
      <c r="I1883" t="s">
        <v>134</v>
      </c>
      <c r="J1883" t="s">
        <v>135</v>
      </c>
      <c r="K1883" t="s">
        <v>27</v>
      </c>
      <c r="L1883">
        <v>2</v>
      </c>
      <c r="M1883">
        <v>6000</v>
      </c>
      <c r="N1883">
        <v>0</v>
      </c>
      <c r="O1883">
        <v>12000</v>
      </c>
      <c r="P1883">
        <v>3067.05</v>
      </c>
      <c r="Q1883" t="s">
        <v>28</v>
      </c>
      <c r="R1883" t="s">
        <v>56</v>
      </c>
      <c r="S1883" t="s">
        <v>50</v>
      </c>
    </row>
    <row r="1884" spans="1:19" x14ac:dyDescent="0.3">
      <c r="A1884" t="s">
        <v>2969</v>
      </c>
      <c r="B1884" s="1">
        <v>45923</v>
      </c>
      <c r="C1884" s="1">
        <v>45925</v>
      </c>
      <c r="D1884" t="s">
        <v>1418</v>
      </c>
      <c r="E1884" t="s">
        <v>1419</v>
      </c>
      <c r="F1884" t="s">
        <v>34</v>
      </c>
      <c r="G1884" t="s">
        <v>61</v>
      </c>
      <c r="H1884" t="s">
        <v>211</v>
      </c>
      <c r="I1884" t="s">
        <v>37</v>
      </c>
      <c r="J1884" t="s">
        <v>38</v>
      </c>
      <c r="K1884" t="s">
        <v>366</v>
      </c>
      <c r="L1884">
        <v>4</v>
      </c>
      <c r="M1884">
        <v>9500</v>
      </c>
      <c r="N1884">
        <v>20</v>
      </c>
      <c r="O1884">
        <v>30400</v>
      </c>
      <c r="P1884">
        <v>5358.06</v>
      </c>
      <c r="Q1884" t="s">
        <v>156</v>
      </c>
      <c r="R1884" t="s">
        <v>29</v>
      </c>
      <c r="S1884" t="s">
        <v>40</v>
      </c>
    </row>
    <row r="1885" spans="1:19" x14ac:dyDescent="0.3">
      <c r="A1885" t="s">
        <v>2970</v>
      </c>
      <c r="B1885" t="s">
        <v>1936</v>
      </c>
      <c r="C1885" s="1">
        <v>45700</v>
      </c>
      <c r="D1885" t="s">
        <v>233</v>
      </c>
      <c r="E1885" t="s">
        <v>234</v>
      </c>
      <c r="F1885" t="s">
        <v>23</v>
      </c>
      <c r="G1885" t="s">
        <v>61</v>
      </c>
      <c r="H1885" t="s">
        <v>211</v>
      </c>
      <c r="I1885" t="s">
        <v>114</v>
      </c>
      <c r="J1885" t="s">
        <v>115</v>
      </c>
      <c r="K1885" t="s">
        <v>375</v>
      </c>
      <c r="L1885">
        <v>2</v>
      </c>
      <c r="M1885">
        <v>55000</v>
      </c>
      <c r="N1885">
        <v>10</v>
      </c>
      <c r="O1885">
        <v>99000</v>
      </c>
      <c r="P1885">
        <v>17730.41</v>
      </c>
      <c r="Q1885" t="s">
        <v>28</v>
      </c>
      <c r="R1885" t="s">
        <v>49</v>
      </c>
      <c r="S1885" t="s">
        <v>110</v>
      </c>
    </row>
    <row r="1886" spans="1:19" x14ac:dyDescent="0.3">
      <c r="A1886" t="s">
        <v>2971</v>
      </c>
      <c r="B1886" s="1">
        <v>45431</v>
      </c>
      <c r="C1886" s="1">
        <v>45438</v>
      </c>
      <c r="D1886" t="s">
        <v>819</v>
      </c>
      <c r="E1886" t="s">
        <v>820</v>
      </c>
      <c r="F1886" t="s">
        <v>34</v>
      </c>
      <c r="G1886" t="s">
        <v>61</v>
      </c>
      <c r="H1886" t="s">
        <v>62</v>
      </c>
      <c r="I1886" t="s">
        <v>71</v>
      </c>
      <c r="J1886" t="s">
        <v>72</v>
      </c>
      <c r="K1886" t="s">
        <v>73</v>
      </c>
      <c r="L1886">
        <v>4</v>
      </c>
      <c r="M1886">
        <v>3500</v>
      </c>
      <c r="N1886">
        <v>0</v>
      </c>
      <c r="O1886">
        <v>14000</v>
      </c>
      <c r="P1886">
        <v>4520.63</v>
      </c>
      <c r="Q1886" t="s">
        <v>74</v>
      </c>
      <c r="R1886" t="s">
        <v>56</v>
      </c>
      <c r="S1886" t="s">
        <v>110</v>
      </c>
    </row>
    <row r="1887" spans="1:19" x14ac:dyDescent="0.3">
      <c r="A1887" t="s">
        <v>2972</v>
      </c>
      <c r="B1887" s="1">
        <v>45697</v>
      </c>
      <c r="C1887" s="1">
        <v>45701</v>
      </c>
      <c r="D1887" t="s">
        <v>793</v>
      </c>
      <c r="E1887" t="s">
        <v>794</v>
      </c>
      <c r="F1887" t="s">
        <v>23</v>
      </c>
      <c r="G1887" t="s">
        <v>91</v>
      </c>
      <c r="H1887" t="s">
        <v>92</v>
      </c>
      <c r="I1887" t="s">
        <v>147</v>
      </c>
      <c r="J1887" t="s">
        <v>148</v>
      </c>
      <c r="K1887" t="s">
        <v>48</v>
      </c>
      <c r="L1887">
        <v>1</v>
      </c>
      <c r="M1887">
        <v>250</v>
      </c>
      <c r="N1887">
        <v>0</v>
      </c>
      <c r="O1887">
        <v>250</v>
      </c>
      <c r="P1887">
        <v>96.34</v>
      </c>
      <c r="Q1887" t="s">
        <v>121</v>
      </c>
      <c r="R1887" t="s">
        <v>49</v>
      </c>
      <c r="S1887" t="s">
        <v>110</v>
      </c>
    </row>
    <row r="1888" spans="1:19" x14ac:dyDescent="0.3">
      <c r="A1888" t="s">
        <v>2973</v>
      </c>
      <c r="B1888" s="2">
        <v>45298</v>
      </c>
      <c r="C1888" s="2">
        <v>45306</v>
      </c>
      <c r="D1888" t="s">
        <v>689</v>
      </c>
      <c r="E1888" t="s">
        <v>690</v>
      </c>
      <c r="F1888" t="s">
        <v>55</v>
      </c>
      <c r="G1888" t="s">
        <v>61</v>
      </c>
      <c r="H1888" t="s">
        <v>62</v>
      </c>
      <c r="I1888" t="s">
        <v>126</v>
      </c>
      <c r="J1888" t="s">
        <v>127</v>
      </c>
      <c r="K1888" t="s">
        <v>95</v>
      </c>
      <c r="L1888">
        <v>2</v>
      </c>
      <c r="M1888">
        <v>600</v>
      </c>
      <c r="N1888">
        <v>20</v>
      </c>
      <c r="O1888">
        <v>960</v>
      </c>
      <c r="P1888">
        <v>383.03</v>
      </c>
      <c r="Q1888" t="s">
        <v>66</v>
      </c>
      <c r="R1888" t="s">
        <v>29</v>
      </c>
      <c r="S1888" t="s">
        <v>86</v>
      </c>
    </row>
    <row r="1889" spans="1:19" x14ac:dyDescent="0.3">
      <c r="A1889" t="s">
        <v>2974</v>
      </c>
      <c r="B1889" s="1">
        <v>45994</v>
      </c>
      <c r="C1889" s="1">
        <v>45729</v>
      </c>
      <c r="D1889" t="s">
        <v>1058</v>
      </c>
      <c r="E1889" t="s">
        <v>1059</v>
      </c>
      <c r="F1889" t="s">
        <v>55</v>
      </c>
      <c r="G1889" t="s">
        <v>91</v>
      </c>
      <c r="H1889" t="s">
        <v>92</v>
      </c>
      <c r="I1889" t="s">
        <v>103</v>
      </c>
      <c r="J1889" t="s">
        <v>104</v>
      </c>
      <c r="K1889" t="s">
        <v>65</v>
      </c>
      <c r="L1889">
        <v>1</v>
      </c>
      <c r="M1889">
        <v>8000</v>
      </c>
      <c r="N1889">
        <v>0</v>
      </c>
      <c r="O1889">
        <v>8000</v>
      </c>
      <c r="P1889">
        <v>1988.35</v>
      </c>
      <c r="Q1889" t="s">
        <v>156</v>
      </c>
      <c r="R1889" t="s">
        <v>56</v>
      </c>
      <c r="S1889" t="s">
        <v>110</v>
      </c>
    </row>
    <row r="1890" spans="1:19" x14ac:dyDescent="0.3">
      <c r="A1890" t="s">
        <v>2975</v>
      </c>
      <c r="B1890" s="1">
        <v>45507</v>
      </c>
      <c r="C1890" s="1">
        <v>45509</v>
      </c>
      <c r="D1890" t="s">
        <v>793</v>
      </c>
      <c r="E1890" t="s">
        <v>794</v>
      </c>
      <c r="F1890" t="s">
        <v>23</v>
      </c>
      <c r="G1890" t="s">
        <v>91</v>
      </c>
      <c r="H1890" t="s">
        <v>92</v>
      </c>
      <c r="I1890" t="s">
        <v>79</v>
      </c>
      <c r="J1890" t="s">
        <v>80</v>
      </c>
      <c r="K1890" t="s">
        <v>65</v>
      </c>
      <c r="L1890">
        <v>4</v>
      </c>
      <c r="M1890">
        <v>3000</v>
      </c>
      <c r="N1890">
        <v>10</v>
      </c>
      <c r="O1890">
        <v>10800</v>
      </c>
      <c r="P1890">
        <v>3432.51</v>
      </c>
      <c r="Q1890" t="s">
        <v>66</v>
      </c>
      <c r="R1890" t="s">
        <v>29</v>
      </c>
      <c r="S1890" t="s">
        <v>40</v>
      </c>
    </row>
    <row r="1891" spans="1:19" x14ac:dyDescent="0.3">
      <c r="A1891" t="s">
        <v>2976</v>
      </c>
      <c r="B1891" s="2">
        <v>45745</v>
      </c>
      <c r="C1891" s="2">
        <v>45750</v>
      </c>
      <c r="D1891" t="s">
        <v>2043</v>
      </c>
      <c r="E1891" t="s">
        <v>2044</v>
      </c>
      <c r="F1891" t="s">
        <v>55</v>
      </c>
      <c r="G1891" t="s">
        <v>61</v>
      </c>
      <c r="H1891" t="s">
        <v>125</v>
      </c>
      <c r="I1891" t="s">
        <v>103</v>
      </c>
      <c r="J1891" t="s">
        <v>104</v>
      </c>
      <c r="K1891" t="s">
        <v>65</v>
      </c>
      <c r="L1891">
        <v>4</v>
      </c>
      <c r="M1891">
        <v>8000</v>
      </c>
      <c r="N1891">
        <v>0</v>
      </c>
      <c r="O1891">
        <v>32000</v>
      </c>
      <c r="P1891">
        <v>7353.56</v>
      </c>
      <c r="Q1891" t="s">
        <v>66</v>
      </c>
      <c r="R1891" t="s">
        <v>49</v>
      </c>
      <c r="S1891" t="s">
        <v>50</v>
      </c>
    </row>
    <row r="1892" spans="1:19" x14ac:dyDescent="0.3">
      <c r="A1892" t="s">
        <v>2977</v>
      </c>
      <c r="B1892" t="s">
        <v>2978</v>
      </c>
      <c r="C1892" s="1">
        <v>45381</v>
      </c>
      <c r="D1892" t="s">
        <v>356</v>
      </c>
      <c r="E1892" t="s">
        <v>357</v>
      </c>
      <c r="F1892" t="s">
        <v>23</v>
      </c>
      <c r="G1892" t="s">
        <v>91</v>
      </c>
      <c r="H1892" t="s">
        <v>120</v>
      </c>
      <c r="I1892" t="s">
        <v>71</v>
      </c>
      <c r="J1892" t="s">
        <v>72</v>
      </c>
      <c r="K1892" t="s">
        <v>73</v>
      </c>
      <c r="L1892">
        <v>1</v>
      </c>
      <c r="M1892">
        <v>3500</v>
      </c>
      <c r="N1892">
        <v>10</v>
      </c>
      <c r="O1892">
        <v>3150</v>
      </c>
      <c r="P1892">
        <v>958.26</v>
      </c>
      <c r="Q1892" t="s">
        <v>121</v>
      </c>
      <c r="R1892" t="s">
        <v>29</v>
      </c>
      <c r="S1892" t="s">
        <v>50</v>
      </c>
    </row>
    <row r="1893" spans="1:19" x14ac:dyDescent="0.3">
      <c r="A1893" t="s">
        <v>2979</v>
      </c>
      <c r="B1893" t="s">
        <v>1570</v>
      </c>
      <c r="C1893" s="1">
        <v>45983</v>
      </c>
      <c r="D1893" t="s">
        <v>643</v>
      </c>
      <c r="E1893" t="s">
        <v>644</v>
      </c>
      <c r="F1893" t="s">
        <v>34</v>
      </c>
      <c r="G1893" t="s">
        <v>61</v>
      </c>
      <c r="H1893" t="s">
        <v>78</v>
      </c>
      <c r="I1893" t="s">
        <v>93</v>
      </c>
      <c r="J1893" t="s">
        <v>94</v>
      </c>
      <c r="K1893" t="s">
        <v>95</v>
      </c>
      <c r="L1893">
        <v>1</v>
      </c>
      <c r="M1893">
        <v>1800</v>
      </c>
      <c r="N1893">
        <v>20</v>
      </c>
      <c r="O1893">
        <v>1440</v>
      </c>
      <c r="P1893">
        <v>432.68</v>
      </c>
      <c r="Q1893" t="s">
        <v>121</v>
      </c>
      <c r="R1893" t="s">
        <v>56</v>
      </c>
      <c r="S1893" t="s">
        <v>50</v>
      </c>
    </row>
    <row r="1894" spans="1:19" x14ac:dyDescent="0.3">
      <c r="A1894" t="s">
        <v>2980</v>
      </c>
      <c r="B1894" s="1">
        <v>45582</v>
      </c>
      <c r="C1894" t="s">
        <v>199</v>
      </c>
      <c r="D1894" t="s">
        <v>153</v>
      </c>
      <c r="E1894" t="s">
        <v>154</v>
      </c>
      <c r="F1894" t="s">
        <v>23</v>
      </c>
      <c r="G1894" t="s">
        <v>44</v>
      </c>
      <c r="H1894" t="s">
        <v>155</v>
      </c>
      <c r="I1894" t="s">
        <v>147</v>
      </c>
      <c r="J1894" t="s">
        <v>148</v>
      </c>
      <c r="K1894" t="s">
        <v>48</v>
      </c>
      <c r="L1894">
        <v>4</v>
      </c>
      <c r="M1894">
        <v>250</v>
      </c>
      <c r="N1894">
        <v>10</v>
      </c>
      <c r="O1894">
        <v>900</v>
      </c>
      <c r="P1894">
        <v>332.38</v>
      </c>
      <c r="Q1894" t="s">
        <v>156</v>
      </c>
      <c r="R1894" t="s">
        <v>49</v>
      </c>
      <c r="S1894" t="s">
        <v>110</v>
      </c>
    </row>
    <row r="1895" spans="1:19" x14ac:dyDescent="0.3">
      <c r="A1895" t="s">
        <v>2981</v>
      </c>
      <c r="B1895" t="s">
        <v>1018</v>
      </c>
      <c r="C1895" t="s">
        <v>2982</v>
      </c>
      <c r="D1895" t="s">
        <v>118</v>
      </c>
      <c r="E1895" t="s">
        <v>119</v>
      </c>
      <c r="F1895" t="s">
        <v>34</v>
      </c>
      <c r="G1895" t="s">
        <v>91</v>
      </c>
      <c r="H1895" t="s">
        <v>120</v>
      </c>
      <c r="I1895" t="s">
        <v>71</v>
      </c>
      <c r="J1895" t="s">
        <v>72</v>
      </c>
      <c r="K1895" t="s">
        <v>73</v>
      </c>
      <c r="L1895">
        <v>2</v>
      </c>
      <c r="M1895">
        <v>3500</v>
      </c>
      <c r="N1895">
        <v>0</v>
      </c>
      <c r="O1895">
        <v>7000</v>
      </c>
      <c r="P1895">
        <v>2153.3000000000002</v>
      </c>
      <c r="Q1895" t="s">
        <v>74</v>
      </c>
      <c r="R1895" t="s">
        <v>49</v>
      </c>
      <c r="S1895" t="s">
        <v>110</v>
      </c>
    </row>
    <row r="1896" spans="1:19" x14ac:dyDescent="0.3">
      <c r="A1896" t="s">
        <v>2983</v>
      </c>
      <c r="B1896" s="1">
        <v>45572</v>
      </c>
      <c r="C1896" s="2">
        <v>45579</v>
      </c>
      <c r="D1896" t="s">
        <v>425</v>
      </c>
      <c r="E1896" t="s">
        <v>426</v>
      </c>
      <c r="F1896" t="s">
        <v>34</v>
      </c>
      <c r="G1896" t="s">
        <v>61</v>
      </c>
      <c r="H1896" t="s">
        <v>125</v>
      </c>
      <c r="I1896" t="s">
        <v>126</v>
      </c>
      <c r="J1896" t="s">
        <v>127</v>
      </c>
      <c r="K1896" t="s">
        <v>95</v>
      </c>
      <c r="L1896">
        <v>1</v>
      </c>
      <c r="M1896">
        <v>600</v>
      </c>
      <c r="N1896">
        <v>10</v>
      </c>
      <c r="O1896">
        <v>540</v>
      </c>
      <c r="P1896">
        <v>190.44</v>
      </c>
      <c r="Q1896" t="s">
        <v>156</v>
      </c>
      <c r="R1896" t="s">
        <v>49</v>
      </c>
      <c r="S1896" t="s">
        <v>110</v>
      </c>
    </row>
    <row r="1897" spans="1:19" x14ac:dyDescent="0.3">
      <c r="A1897" t="s">
        <v>2984</v>
      </c>
      <c r="B1897" s="2">
        <v>45514</v>
      </c>
      <c r="C1897" t="s">
        <v>1964</v>
      </c>
      <c r="D1897" t="s">
        <v>346</v>
      </c>
      <c r="E1897" t="s">
        <v>347</v>
      </c>
      <c r="F1897" t="s">
        <v>23</v>
      </c>
      <c r="G1897" t="s">
        <v>44</v>
      </c>
      <c r="H1897" t="s">
        <v>155</v>
      </c>
      <c r="I1897" t="s">
        <v>126</v>
      </c>
      <c r="J1897" t="s">
        <v>127</v>
      </c>
      <c r="K1897" t="s">
        <v>95</v>
      </c>
      <c r="L1897">
        <v>1</v>
      </c>
      <c r="M1897">
        <v>600</v>
      </c>
      <c r="N1897">
        <v>10</v>
      </c>
      <c r="O1897">
        <v>540</v>
      </c>
      <c r="P1897">
        <v>202.28</v>
      </c>
      <c r="Q1897" t="s">
        <v>156</v>
      </c>
      <c r="R1897" t="s">
        <v>29</v>
      </c>
      <c r="S1897" t="s">
        <v>50</v>
      </c>
    </row>
    <row r="1898" spans="1:19" x14ac:dyDescent="0.3">
      <c r="A1898" t="s">
        <v>2985</v>
      </c>
      <c r="B1898" s="2">
        <v>45324</v>
      </c>
      <c r="C1898" s="1">
        <v>45330</v>
      </c>
      <c r="D1898" t="s">
        <v>118</v>
      </c>
      <c r="E1898" t="s">
        <v>119</v>
      </c>
      <c r="F1898" t="s">
        <v>34</v>
      </c>
      <c r="G1898" t="s">
        <v>91</v>
      </c>
      <c r="H1898" t="s">
        <v>120</v>
      </c>
      <c r="I1898" t="s">
        <v>114</v>
      </c>
      <c r="J1898" t="s">
        <v>115</v>
      </c>
      <c r="K1898" t="s">
        <v>65</v>
      </c>
      <c r="L1898">
        <v>10</v>
      </c>
      <c r="M1898">
        <v>55000</v>
      </c>
      <c r="N1898">
        <v>0</v>
      </c>
      <c r="O1898">
        <v>550000</v>
      </c>
      <c r="P1898">
        <v>84491.74</v>
      </c>
      <c r="Q1898" t="s">
        <v>28</v>
      </c>
      <c r="R1898" t="s">
        <v>49</v>
      </c>
      <c r="S1898" t="s">
        <v>30</v>
      </c>
    </row>
    <row r="1899" spans="1:19" x14ac:dyDescent="0.3">
      <c r="A1899" t="s">
        <v>2986</v>
      </c>
      <c r="B1899" s="1">
        <v>45779</v>
      </c>
      <c r="C1899" s="1">
        <v>45721</v>
      </c>
      <c r="D1899" t="s">
        <v>101</v>
      </c>
      <c r="E1899" t="s">
        <v>102</v>
      </c>
      <c r="F1899" t="s">
        <v>55</v>
      </c>
      <c r="G1899" t="s">
        <v>35</v>
      </c>
      <c r="H1899" t="s">
        <v>36</v>
      </c>
      <c r="I1899" t="s">
        <v>114</v>
      </c>
      <c r="J1899" t="s">
        <v>115</v>
      </c>
      <c r="K1899" t="s">
        <v>65</v>
      </c>
      <c r="L1899">
        <v>3</v>
      </c>
      <c r="M1899">
        <v>55000</v>
      </c>
      <c r="N1899">
        <v>10</v>
      </c>
      <c r="O1899">
        <v>148500</v>
      </c>
      <c r="P1899">
        <v>20496.97</v>
      </c>
      <c r="Q1899" t="s">
        <v>28</v>
      </c>
      <c r="R1899" t="s">
        <v>29</v>
      </c>
      <c r="S1899" t="s">
        <v>194</v>
      </c>
    </row>
    <row r="1900" spans="1:19" x14ac:dyDescent="0.3">
      <c r="A1900" t="s">
        <v>2987</v>
      </c>
      <c r="B1900" s="1">
        <v>45772</v>
      </c>
      <c r="C1900" t="s">
        <v>2988</v>
      </c>
      <c r="D1900" t="s">
        <v>2323</v>
      </c>
      <c r="E1900" t="s">
        <v>2324</v>
      </c>
      <c r="F1900" t="s">
        <v>23</v>
      </c>
      <c r="G1900" t="s">
        <v>91</v>
      </c>
      <c r="H1900" t="s">
        <v>177</v>
      </c>
      <c r="I1900" t="s">
        <v>79</v>
      </c>
      <c r="J1900" t="s">
        <v>80</v>
      </c>
      <c r="K1900" t="s">
        <v>105</v>
      </c>
      <c r="L1900">
        <v>1</v>
      </c>
      <c r="M1900">
        <v>3000</v>
      </c>
      <c r="N1900">
        <v>0</v>
      </c>
      <c r="O1900">
        <v>3000</v>
      </c>
      <c r="P1900">
        <v>734.78</v>
      </c>
      <c r="Q1900" t="s">
        <v>39</v>
      </c>
      <c r="R1900" t="s">
        <v>56</v>
      </c>
      <c r="S1900" t="s">
        <v>50</v>
      </c>
    </row>
    <row r="1901" spans="1:19" x14ac:dyDescent="0.3">
      <c r="A1901" t="s">
        <v>2989</v>
      </c>
      <c r="B1901" s="1">
        <v>45367</v>
      </c>
      <c r="C1901" s="1">
        <v>45370</v>
      </c>
      <c r="D1901" t="s">
        <v>1343</v>
      </c>
      <c r="E1901" t="s">
        <v>1344</v>
      </c>
      <c r="F1901" t="s">
        <v>34</v>
      </c>
      <c r="G1901" t="s">
        <v>91</v>
      </c>
      <c r="H1901" t="s">
        <v>177</v>
      </c>
      <c r="I1901" t="s">
        <v>71</v>
      </c>
      <c r="J1901" t="s">
        <v>72</v>
      </c>
      <c r="K1901" t="s">
        <v>73</v>
      </c>
      <c r="L1901">
        <v>1</v>
      </c>
      <c r="M1901">
        <v>3500</v>
      </c>
      <c r="N1901">
        <v>0</v>
      </c>
      <c r="O1901">
        <v>3500</v>
      </c>
      <c r="P1901">
        <v>954.24</v>
      </c>
      <c r="Q1901" t="s">
        <v>156</v>
      </c>
      <c r="R1901" t="s">
        <v>49</v>
      </c>
      <c r="S1901" t="s">
        <v>110</v>
      </c>
    </row>
    <row r="1902" spans="1:19" x14ac:dyDescent="0.3">
      <c r="A1902" t="s">
        <v>2990</v>
      </c>
      <c r="B1902" s="1">
        <v>45930</v>
      </c>
      <c r="C1902" s="1">
        <v>45936</v>
      </c>
      <c r="D1902" t="s">
        <v>1115</v>
      </c>
      <c r="E1902" t="s">
        <v>1116</v>
      </c>
      <c r="F1902" t="s">
        <v>23</v>
      </c>
      <c r="G1902" t="s">
        <v>44</v>
      </c>
      <c r="H1902" t="s">
        <v>45</v>
      </c>
      <c r="I1902" t="s">
        <v>147</v>
      </c>
      <c r="J1902" t="s">
        <v>148</v>
      </c>
      <c r="K1902" t="s">
        <v>48</v>
      </c>
      <c r="L1902">
        <v>1</v>
      </c>
      <c r="M1902">
        <v>250</v>
      </c>
      <c r="N1902">
        <v>5</v>
      </c>
      <c r="O1902">
        <v>237.5</v>
      </c>
      <c r="P1902">
        <v>94.41</v>
      </c>
      <c r="Q1902" t="s">
        <v>156</v>
      </c>
      <c r="R1902" t="s">
        <v>49</v>
      </c>
      <c r="S1902" t="s">
        <v>50</v>
      </c>
    </row>
    <row r="1903" spans="1:19" x14ac:dyDescent="0.3">
      <c r="A1903" t="s">
        <v>2991</v>
      </c>
      <c r="B1903" s="1">
        <v>45368</v>
      </c>
      <c r="C1903" s="1">
        <v>45376</v>
      </c>
      <c r="D1903" t="s">
        <v>1450</v>
      </c>
      <c r="E1903" t="s">
        <v>1451</v>
      </c>
      <c r="F1903" t="s">
        <v>23</v>
      </c>
      <c r="G1903" t="s">
        <v>61</v>
      </c>
      <c r="I1903" t="s">
        <v>63</v>
      </c>
      <c r="J1903" t="s">
        <v>64</v>
      </c>
      <c r="K1903" t="s">
        <v>65</v>
      </c>
      <c r="L1903">
        <v>1</v>
      </c>
      <c r="M1903">
        <v>25000</v>
      </c>
      <c r="N1903">
        <v>0</v>
      </c>
      <c r="O1903">
        <v>25000</v>
      </c>
      <c r="P1903">
        <v>3709.27</v>
      </c>
      <c r="Q1903" t="s">
        <v>66</v>
      </c>
      <c r="R1903" t="s">
        <v>56</v>
      </c>
      <c r="S1903" t="s">
        <v>30</v>
      </c>
    </row>
    <row r="1904" spans="1:19" x14ac:dyDescent="0.3">
      <c r="A1904" t="s">
        <v>2992</v>
      </c>
      <c r="B1904" s="2">
        <v>45707</v>
      </c>
      <c r="C1904" t="s">
        <v>424</v>
      </c>
      <c r="D1904" t="s">
        <v>822</v>
      </c>
      <c r="E1904" t="s">
        <v>2993</v>
      </c>
      <c r="F1904" t="s">
        <v>34</v>
      </c>
      <c r="G1904" t="s">
        <v>35</v>
      </c>
      <c r="H1904" t="s">
        <v>187</v>
      </c>
      <c r="I1904" t="s">
        <v>79</v>
      </c>
      <c r="J1904" t="s">
        <v>80</v>
      </c>
      <c r="K1904" t="s">
        <v>65</v>
      </c>
      <c r="L1904">
        <v>4</v>
      </c>
      <c r="M1904">
        <v>3000</v>
      </c>
      <c r="N1904">
        <v>0</v>
      </c>
      <c r="O1904">
        <v>12000</v>
      </c>
      <c r="P1904">
        <v>3087.07</v>
      </c>
      <c r="Q1904" t="s">
        <v>66</v>
      </c>
      <c r="R1904" t="s">
        <v>56</v>
      </c>
      <c r="S1904" t="s">
        <v>40</v>
      </c>
    </row>
    <row r="1905" spans="1:19" x14ac:dyDescent="0.3">
      <c r="A1905" t="s">
        <v>2994</v>
      </c>
      <c r="B1905" s="1">
        <v>45891</v>
      </c>
      <c r="C1905" s="1">
        <v>45897</v>
      </c>
      <c r="D1905" t="s">
        <v>297</v>
      </c>
      <c r="E1905" t="s">
        <v>1110</v>
      </c>
      <c r="F1905" t="s">
        <v>23</v>
      </c>
      <c r="G1905" t="s">
        <v>91</v>
      </c>
      <c r="H1905" t="s">
        <v>177</v>
      </c>
      <c r="I1905" t="s">
        <v>126</v>
      </c>
      <c r="J1905" t="s">
        <v>127</v>
      </c>
      <c r="K1905" t="s">
        <v>95</v>
      </c>
      <c r="M1905">
        <v>600</v>
      </c>
      <c r="N1905">
        <v>20</v>
      </c>
      <c r="O1905">
        <v>480</v>
      </c>
      <c r="P1905">
        <v>166.79</v>
      </c>
      <c r="Q1905" t="s">
        <v>39</v>
      </c>
      <c r="R1905" t="s">
        <v>49</v>
      </c>
      <c r="S1905" t="s">
        <v>30</v>
      </c>
    </row>
    <row r="1906" spans="1:19" x14ac:dyDescent="0.3">
      <c r="A1906" t="s">
        <v>2995</v>
      </c>
      <c r="B1906" s="1">
        <v>45430</v>
      </c>
      <c r="C1906" s="1">
        <v>45437</v>
      </c>
      <c r="D1906" t="s">
        <v>132</v>
      </c>
      <c r="E1906" t="s">
        <v>133</v>
      </c>
      <c r="F1906" t="s">
        <v>23</v>
      </c>
      <c r="G1906" t="s">
        <v>91</v>
      </c>
      <c r="H1906" t="s">
        <v>120</v>
      </c>
      <c r="I1906" t="s">
        <v>37</v>
      </c>
      <c r="J1906" t="s">
        <v>38</v>
      </c>
      <c r="K1906" t="s">
        <v>27</v>
      </c>
      <c r="L1906">
        <v>2</v>
      </c>
      <c r="M1906">
        <v>9500</v>
      </c>
      <c r="N1906">
        <v>0</v>
      </c>
      <c r="O1906">
        <v>19000</v>
      </c>
      <c r="P1906">
        <v>3105.3</v>
      </c>
      <c r="Q1906" t="s">
        <v>28</v>
      </c>
      <c r="R1906" t="s">
        <v>49</v>
      </c>
      <c r="S1906" t="s">
        <v>30</v>
      </c>
    </row>
    <row r="1907" spans="1:19" x14ac:dyDescent="0.3">
      <c r="A1907" t="s">
        <v>2996</v>
      </c>
      <c r="B1907" s="1">
        <v>45362</v>
      </c>
      <c r="C1907" s="1">
        <v>45603</v>
      </c>
      <c r="D1907" t="s">
        <v>1036</v>
      </c>
      <c r="E1907" t="s">
        <v>1037</v>
      </c>
      <c r="F1907" t="s">
        <v>23</v>
      </c>
      <c r="G1907" t="s">
        <v>61</v>
      </c>
      <c r="H1907" t="s">
        <v>211</v>
      </c>
      <c r="I1907" t="s">
        <v>134</v>
      </c>
      <c r="J1907" t="s">
        <v>135</v>
      </c>
      <c r="K1907" t="s">
        <v>1829</v>
      </c>
      <c r="L1907">
        <v>2</v>
      </c>
      <c r="M1907">
        <v>6000</v>
      </c>
      <c r="N1907">
        <v>15</v>
      </c>
      <c r="O1907">
        <v>10200</v>
      </c>
      <c r="P1907">
        <v>2575.11</v>
      </c>
      <c r="Q1907" t="s">
        <v>28</v>
      </c>
      <c r="R1907" t="s">
        <v>29</v>
      </c>
      <c r="S1907" t="s">
        <v>110</v>
      </c>
    </row>
    <row r="1908" spans="1:19" x14ac:dyDescent="0.3">
      <c r="A1908" t="s">
        <v>2997</v>
      </c>
      <c r="B1908" s="2">
        <v>45316</v>
      </c>
      <c r="C1908" s="2">
        <v>45323</v>
      </c>
      <c r="D1908" t="s">
        <v>2178</v>
      </c>
      <c r="E1908" t="s">
        <v>2179</v>
      </c>
      <c r="F1908" t="s">
        <v>55</v>
      </c>
      <c r="G1908" t="s">
        <v>44</v>
      </c>
      <c r="H1908" t="s">
        <v>24</v>
      </c>
      <c r="I1908" t="s">
        <v>134</v>
      </c>
      <c r="J1908" t="s">
        <v>135</v>
      </c>
      <c r="K1908" t="s">
        <v>27</v>
      </c>
      <c r="L1908">
        <v>3</v>
      </c>
      <c r="M1908">
        <v>6000</v>
      </c>
      <c r="N1908">
        <v>0</v>
      </c>
      <c r="O1908">
        <v>18000</v>
      </c>
      <c r="P1908">
        <v>3252.75</v>
      </c>
      <c r="Q1908" t="s">
        <v>28</v>
      </c>
      <c r="R1908" t="s">
        <v>49</v>
      </c>
      <c r="S1908" t="s">
        <v>50</v>
      </c>
    </row>
    <row r="1909" spans="1:19" x14ac:dyDescent="0.3">
      <c r="A1909" t="s">
        <v>2998</v>
      </c>
      <c r="B1909" s="2">
        <v>45601</v>
      </c>
      <c r="C1909" s="2">
        <v>45606</v>
      </c>
      <c r="D1909" t="s">
        <v>406</v>
      </c>
      <c r="E1909" t="s">
        <v>407</v>
      </c>
      <c r="F1909" t="s">
        <v>55</v>
      </c>
      <c r="G1909" t="s">
        <v>91</v>
      </c>
      <c r="H1909" t="s">
        <v>120</v>
      </c>
      <c r="I1909" t="s">
        <v>71</v>
      </c>
      <c r="J1909" t="s">
        <v>72</v>
      </c>
      <c r="K1909" t="s">
        <v>73</v>
      </c>
      <c r="L1909">
        <v>1</v>
      </c>
      <c r="M1909">
        <v>3500</v>
      </c>
      <c r="N1909">
        <v>0</v>
      </c>
      <c r="O1909">
        <v>3500</v>
      </c>
      <c r="P1909">
        <v>1207.93</v>
      </c>
      <c r="Q1909" t="s">
        <v>28</v>
      </c>
      <c r="R1909" t="s">
        <v>29</v>
      </c>
      <c r="S1909" t="s">
        <v>86</v>
      </c>
    </row>
    <row r="1910" spans="1:19" x14ac:dyDescent="0.3">
      <c r="A1910" t="s">
        <v>2999</v>
      </c>
      <c r="B1910" s="1">
        <v>45989</v>
      </c>
      <c r="C1910" s="1">
        <v>45996</v>
      </c>
      <c r="D1910" t="s">
        <v>346</v>
      </c>
      <c r="E1910" t="s">
        <v>347</v>
      </c>
      <c r="F1910" t="s">
        <v>23</v>
      </c>
      <c r="G1910" t="s">
        <v>44</v>
      </c>
      <c r="H1910" t="s">
        <v>155</v>
      </c>
      <c r="I1910" t="s">
        <v>37</v>
      </c>
      <c r="J1910" t="s">
        <v>38</v>
      </c>
      <c r="K1910" t="s">
        <v>27</v>
      </c>
      <c r="L1910">
        <v>2</v>
      </c>
      <c r="M1910">
        <v>9500</v>
      </c>
      <c r="N1910">
        <v>20</v>
      </c>
      <c r="O1910">
        <v>15200</v>
      </c>
      <c r="P1910">
        <v>2183.17</v>
      </c>
      <c r="Q1910" t="s">
        <v>39</v>
      </c>
      <c r="R1910" t="s">
        <v>29</v>
      </c>
      <c r="S1910" t="s">
        <v>86</v>
      </c>
    </row>
    <row r="1911" spans="1:19" x14ac:dyDescent="0.3">
      <c r="A1911" t="s">
        <v>3000</v>
      </c>
      <c r="B1911" s="2">
        <v>45337</v>
      </c>
      <c r="C1911" s="2">
        <v>45342</v>
      </c>
      <c r="D1911" t="s">
        <v>1003</v>
      </c>
      <c r="E1911" t="s">
        <v>1004</v>
      </c>
      <c r="F1911" t="s">
        <v>23</v>
      </c>
      <c r="G1911" t="s">
        <v>61</v>
      </c>
      <c r="H1911" t="s">
        <v>62</v>
      </c>
      <c r="I1911" t="s">
        <v>134</v>
      </c>
      <c r="J1911" t="s">
        <v>135</v>
      </c>
      <c r="K1911" t="s">
        <v>27</v>
      </c>
      <c r="L1911">
        <v>1</v>
      </c>
      <c r="M1911">
        <v>6000</v>
      </c>
      <c r="N1911">
        <v>10</v>
      </c>
      <c r="O1911">
        <v>5400</v>
      </c>
      <c r="P1911">
        <v>1034.82</v>
      </c>
      <c r="Q1911" t="s">
        <v>28</v>
      </c>
      <c r="R1911" t="s">
        <v>56</v>
      </c>
      <c r="S1911" t="s">
        <v>40</v>
      </c>
    </row>
    <row r="1912" spans="1:19" x14ac:dyDescent="0.3">
      <c r="A1912" t="s">
        <v>3001</v>
      </c>
      <c r="B1912" s="1">
        <v>45605</v>
      </c>
      <c r="C1912" s="2">
        <v>45550</v>
      </c>
      <c r="D1912" t="s">
        <v>166</v>
      </c>
      <c r="E1912" t="s">
        <v>167</v>
      </c>
      <c r="F1912" t="s">
        <v>23</v>
      </c>
      <c r="G1912" t="s">
        <v>44</v>
      </c>
      <c r="H1912" t="s">
        <v>161</v>
      </c>
      <c r="I1912" t="s">
        <v>147</v>
      </c>
      <c r="J1912" t="s">
        <v>148</v>
      </c>
      <c r="K1912" t="s">
        <v>48</v>
      </c>
      <c r="L1912">
        <v>2</v>
      </c>
      <c r="M1912">
        <v>250</v>
      </c>
      <c r="N1912">
        <v>5</v>
      </c>
      <c r="O1912">
        <v>475</v>
      </c>
      <c r="P1912">
        <v>187.58</v>
      </c>
      <c r="Q1912" t="s">
        <v>39</v>
      </c>
      <c r="R1912" t="s">
        <v>56</v>
      </c>
      <c r="S1912" t="s">
        <v>86</v>
      </c>
    </row>
    <row r="1913" spans="1:19" x14ac:dyDescent="0.3">
      <c r="A1913" t="s">
        <v>3002</v>
      </c>
      <c r="B1913" s="2">
        <v>45672</v>
      </c>
      <c r="C1913" s="1">
        <v>45673</v>
      </c>
      <c r="D1913" t="s">
        <v>349</v>
      </c>
      <c r="E1913" t="s">
        <v>3003</v>
      </c>
      <c r="F1913" t="s">
        <v>34</v>
      </c>
      <c r="G1913" t="s">
        <v>91</v>
      </c>
      <c r="H1913" t="s">
        <v>120</v>
      </c>
      <c r="I1913" t="s">
        <v>126</v>
      </c>
      <c r="J1913" t="s">
        <v>127</v>
      </c>
      <c r="K1913" t="s">
        <v>95</v>
      </c>
      <c r="L1913">
        <v>1</v>
      </c>
      <c r="M1913">
        <v>600</v>
      </c>
      <c r="N1913">
        <v>20</v>
      </c>
      <c r="O1913">
        <v>480</v>
      </c>
      <c r="P1913">
        <v>150.62</v>
      </c>
      <c r="Q1913" t="s">
        <v>74</v>
      </c>
      <c r="R1913" t="s">
        <v>56</v>
      </c>
      <c r="S1913" t="s">
        <v>86</v>
      </c>
    </row>
    <row r="1914" spans="1:19" x14ac:dyDescent="0.3">
      <c r="A1914" t="s">
        <v>3004</v>
      </c>
      <c r="B1914" s="1">
        <v>45744</v>
      </c>
      <c r="C1914" s="2">
        <v>45748</v>
      </c>
      <c r="D1914" t="s">
        <v>381</v>
      </c>
      <c r="E1914" t="s">
        <v>382</v>
      </c>
      <c r="F1914" t="s">
        <v>55</v>
      </c>
      <c r="G1914" t="s">
        <v>61</v>
      </c>
      <c r="H1914" t="s">
        <v>78</v>
      </c>
      <c r="I1914" t="s">
        <v>79</v>
      </c>
      <c r="J1914" t="s">
        <v>80</v>
      </c>
      <c r="K1914" t="s">
        <v>65</v>
      </c>
      <c r="L1914">
        <v>3</v>
      </c>
      <c r="M1914">
        <v>3000</v>
      </c>
      <c r="N1914">
        <v>0</v>
      </c>
      <c r="O1914">
        <v>9000</v>
      </c>
      <c r="P1914">
        <v>2859</v>
      </c>
      <c r="Q1914" t="s">
        <v>121</v>
      </c>
      <c r="R1914" t="s">
        <v>56</v>
      </c>
      <c r="S1914" t="s">
        <v>50</v>
      </c>
    </row>
    <row r="1915" spans="1:19" x14ac:dyDescent="0.3">
      <c r="A1915" t="s">
        <v>3005</v>
      </c>
      <c r="B1915" s="1">
        <v>45908</v>
      </c>
      <c r="C1915" s="1">
        <v>45912</v>
      </c>
      <c r="D1915" t="s">
        <v>378</v>
      </c>
      <c r="E1915" t="s">
        <v>379</v>
      </c>
      <c r="F1915" t="s">
        <v>34</v>
      </c>
      <c r="G1915" t="s">
        <v>44</v>
      </c>
      <c r="H1915" t="s">
        <v>24</v>
      </c>
      <c r="I1915" t="s">
        <v>114</v>
      </c>
      <c r="J1915" t="s">
        <v>115</v>
      </c>
      <c r="K1915" t="s">
        <v>65</v>
      </c>
      <c r="L1915">
        <v>1</v>
      </c>
      <c r="M1915">
        <v>55000</v>
      </c>
      <c r="N1915">
        <v>10</v>
      </c>
      <c r="O1915">
        <v>49500</v>
      </c>
      <c r="P1915">
        <v>7233.02</v>
      </c>
      <c r="Q1915" t="s">
        <v>74</v>
      </c>
      <c r="R1915" t="s">
        <v>49</v>
      </c>
      <c r="S1915" t="s">
        <v>40</v>
      </c>
    </row>
    <row r="1916" spans="1:19" x14ac:dyDescent="0.3">
      <c r="A1916" t="s">
        <v>3006</v>
      </c>
      <c r="B1916" s="1">
        <v>45666</v>
      </c>
      <c r="C1916" s="1">
        <v>45907</v>
      </c>
      <c r="D1916" t="s">
        <v>602</v>
      </c>
      <c r="E1916" t="s">
        <v>603</v>
      </c>
      <c r="F1916" t="s">
        <v>34</v>
      </c>
      <c r="G1916" t="s">
        <v>61</v>
      </c>
      <c r="H1916" t="s">
        <v>125</v>
      </c>
      <c r="I1916" t="s">
        <v>147</v>
      </c>
      <c r="J1916" t="s">
        <v>148</v>
      </c>
      <c r="K1916" t="s">
        <v>48</v>
      </c>
      <c r="L1916">
        <v>2</v>
      </c>
      <c r="M1916">
        <v>250</v>
      </c>
      <c r="N1916">
        <v>0</v>
      </c>
      <c r="O1916">
        <v>500</v>
      </c>
      <c r="P1916">
        <v>196.66</v>
      </c>
      <c r="Q1916" t="s">
        <v>156</v>
      </c>
      <c r="R1916" t="s">
        <v>29</v>
      </c>
      <c r="S1916" t="s">
        <v>50</v>
      </c>
    </row>
    <row r="1917" spans="1:19" x14ac:dyDescent="0.3">
      <c r="A1917" t="s">
        <v>3007</v>
      </c>
      <c r="B1917" s="1">
        <v>45774</v>
      </c>
      <c r="C1917" s="2">
        <v>45781</v>
      </c>
      <c r="D1917" t="s">
        <v>617</v>
      </c>
      <c r="E1917" t="s">
        <v>618</v>
      </c>
      <c r="F1917" t="s">
        <v>23</v>
      </c>
      <c r="G1917" t="s">
        <v>91</v>
      </c>
      <c r="H1917" t="s">
        <v>120</v>
      </c>
      <c r="I1917" t="s">
        <v>79</v>
      </c>
      <c r="J1917" t="s">
        <v>80</v>
      </c>
      <c r="K1917" t="s">
        <v>65</v>
      </c>
      <c r="L1917">
        <v>2</v>
      </c>
      <c r="M1917">
        <v>3000</v>
      </c>
      <c r="N1917">
        <v>10</v>
      </c>
      <c r="O1917">
        <v>5400</v>
      </c>
      <c r="P1917">
        <v>1528.89</v>
      </c>
      <c r="Q1917" t="s">
        <v>121</v>
      </c>
      <c r="R1917" t="s">
        <v>49</v>
      </c>
      <c r="S1917" t="s">
        <v>86</v>
      </c>
    </row>
    <row r="1918" spans="1:19" x14ac:dyDescent="0.3">
      <c r="A1918" t="s">
        <v>3008</v>
      </c>
      <c r="B1918" t="s">
        <v>1112</v>
      </c>
      <c r="C1918" t="s">
        <v>2596</v>
      </c>
      <c r="D1918" t="s">
        <v>524</v>
      </c>
      <c r="E1918" t="s">
        <v>525</v>
      </c>
      <c r="F1918" t="s">
        <v>34</v>
      </c>
      <c r="G1918" t="s">
        <v>35</v>
      </c>
      <c r="H1918" t="s">
        <v>187</v>
      </c>
      <c r="I1918" t="s">
        <v>25</v>
      </c>
      <c r="J1918" t="s">
        <v>26</v>
      </c>
      <c r="K1918" t="s">
        <v>27</v>
      </c>
      <c r="L1918">
        <v>4</v>
      </c>
      <c r="M1918">
        <v>7000</v>
      </c>
      <c r="N1918">
        <v>0</v>
      </c>
      <c r="O1918">
        <v>28000</v>
      </c>
      <c r="P1918">
        <v>4960.6099999999997</v>
      </c>
      <c r="Q1918" t="s">
        <v>156</v>
      </c>
      <c r="R1918" t="s">
        <v>29</v>
      </c>
      <c r="S1918" t="s">
        <v>86</v>
      </c>
    </row>
    <row r="1919" spans="1:19" x14ac:dyDescent="0.3">
      <c r="A1919" t="s">
        <v>3009</v>
      </c>
      <c r="B1919" s="1">
        <v>45301</v>
      </c>
      <c r="C1919" s="1">
        <v>45307</v>
      </c>
      <c r="D1919" t="s">
        <v>890</v>
      </c>
      <c r="E1919" t="s">
        <v>891</v>
      </c>
      <c r="F1919" t="s">
        <v>34</v>
      </c>
      <c r="G1919" t="s">
        <v>35</v>
      </c>
      <c r="H1919" t="s">
        <v>36</v>
      </c>
      <c r="I1919" t="s">
        <v>114</v>
      </c>
      <c r="J1919" t="s">
        <v>115</v>
      </c>
      <c r="K1919" t="s">
        <v>65</v>
      </c>
      <c r="L1919">
        <v>4</v>
      </c>
      <c r="M1919">
        <v>55000</v>
      </c>
      <c r="N1919">
        <v>15</v>
      </c>
      <c r="O1919">
        <v>187000</v>
      </c>
      <c r="P1919">
        <v>32275.88</v>
      </c>
      <c r="Q1919" t="s">
        <v>74</v>
      </c>
      <c r="R1919" t="s">
        <v>49</v>
      </c>
      <c r="S1919" t="s">
        <v>40</v>
      </c>
    </row>
    <row r="1920" spans="1:19" x14ac:dyDescent="0.3">
      <c r="A1920" t="s">
        <v>3010</v>
      </c>
      <c r="B1920" s="1">
        <v>45388</v>
      </c>
      <c r="C1920" s="1">
        <v>45396</v>
      </c>
      <c r="D1920" t="s">
        <v>1643</v>
      </c>
      <c r="E1920" t="s">
        <v>1644</v>
      </c>
      <c r="F1920" t="s">
        <v>55</v>
      </c>
      <c r="G1920" t="s">
        <v>91</v>
      </c>
      <c r="H1920" t="s">
        <v>120</v>
      </c>
      <c r="I1920" t="s">
        <v>71</v>
      </c>
      <c r="J1920" t="s">
        <v>72</v>
      </c>
      <c r="K1920" t="s">
        <v>73</v>
      </c>
      <c r="L1920">
        <v>2</v>
      </c>
      <c r="M1920">
        <v>3500</v>
      </c>
      <c r="N1920">
        <v>0</v>
      </c>
      <c r="O1920">
        <v>7000</v>
      </c>
      <c r="P1920">
        <v>1652.86</v>
      </c>
      <c r="Q1920" t="s">
        <v>39</v>
      </c>
      <c r="R1920" t="s">
        <v>29</v>
      </c>
      <c r="S1920" t="s">
        <v>86</v>
      </c>
    </row>
    <row r="1921" spans="1:19" x14ac:dyDescent="0.3">
      <c r="A1921" t="s">
        <v>3011</v>
      </c>
      <c r="B1921" t="s">
        <v>1769</v>
      </c>
      <c r="C1921" s="1">
        <v>45355</v>
      </c>
      <c r="D1921" t="s">
        <v>308</v>
      </c>
      <c r="E1921" t="s">
        <v>309</v>
      </c>
      <c r="F1921" t="s">
        <v>34</v>
      </c>
      <c r="G1921" t="s">
        <v>91</v>
      </c>
      <c r="H1921" t="s">
        <v>177</v>
      </c>
      <c r="I1921" t="s">
        <v>46</v>
      </c>
      <c r="J1921" t="s">
        <v>47</v>
      </c>
      <c r="K1921" t="s">
        <v>48</v>
      </c>
      <c r="L1921">
        <v>1</v>
      </c>
      <c r="M1921">
        <v>180</v>
      </c>
      <c r="N1921">
        <v>0</v>
      </c>
      <c r="O1921">
        <v>180</v>
      </c>
      <c r="P1921">
        <v>63.28</v>
      </c>
      <c r="Q1921" t="s">
        <v>121</v>
      </c>
      <c r="R1921" t="s">
        <v>56</v>
      </c>
      <c r="S1921" t="s">
        <v>110</v>
      </c>
    </row>
    <row r="1922" spans="1:19" x14ac:dyDescent="0.3">
      <c r="A1922" t="s">
        <v>3012</v>
      </c>
      <c r="B1922" s="2">
        <v>45812</v>
      </c>
      <c r="C1922" s="2">
        <v>45818</v>
      </c>
      <c r="D1922" t="s">
        <v>138</v>
      </c>
      <c r="E1922" t="s">
        <v>139</v>
      </c>
      <c r="F1922" t="s">
        <v>55</v>
      </c>
      <c r="G1922" t="s">
        <v>35</v>
      </c>
      <c r="H1922" t="s">
        <v>36</v>
      </c>
      <c r="I1922" t="s">
        <v>79</v>
      </c>
      <c r="J1922" t="s">
        <v>80</v>
      </c>
      <c r="K1922" t="s">
        <v>65</v>
      </c>
      <c r="L1922">
        <v>1</v>
      </c>
      <c r="M1922">
        <v>3000</v>
      </c>
      <c r="N1922">
        <v>15</v>
      </c>
      <c r="O1922">
        <v>2550</v>
      </c>
      <c r="P1922">
        <v>765.35</v>
      </c>
      <c r="Q1922" t="s">
        <v>28</v>
      </c>
      <c r="R1922" t="s">
        <v>56</v>
      </c>
      <c r="S1922" t="s">
        <v>30</v>
      </c>
    </row>
    <row r="1923" spans="1:19" x14ac:dyDescent="0.3">
      <c r="A1923" t="s">
        <v>3013</v>
      </c>
      <c r="B1923" s="1">
        <v>45546</v>
      </c>
      <c r="C1923" s="1">
        <v>45554</v>
      </c>
      <c r="D1923" t="s">
        <v>822</v>
      </c>
      <c r="E1923" t="s">
        <v>823</v>
      </c>
      <c r="F1923" t="s">
        <v>34</v>
      </c>
      <c r="G1923" t="s">
        <v>35</v>
      </c>
      <c r="H1923" t="s">
        <v>187</v>
      </c>
      <c r="I1923" t="s">
        <v>93</v>
      </c>
      <c r="J1923" t="s">
        <v>94</v>
      </c>
      <c r="K1923" t="s">
        <v>95</v>
      </c>
      <c r="L1923">
        <v>3</v>
      </c>
      <c r="M1923">
        <v>1800</v>
      </c>
      <c r="N1923">
        <v>10</v>
      </c>
      <c r="O1923">
        <v>4860</v>
      </c>
      <c r="P1923">
        <v>1460.02</v>
      </c>
      <c r="Q1923" t="s">
        <v>74</v>
      </c>
      <c r="R1923" t="s">
        <v>56</v>
      </c>
      <c r="S1923" t="s">
        <v>30</v>
      </c>
    </row>
    <row r="1924" spans="1:19" x14ac:dyDescent="0.3">
      <c r="A1924" t="s">
        <v>3014</v>
      </c>
      <c r="B1924" s="2">
        <v>45924</v>
      </c>
      <c r="C1924" s="1">
        <v>45698</v>
      </c>
      <c r="D1924" t="s">
        <v>247</v>
      </c>
      <c r="E1924" t="s">
        <v>248</v>
      </c>
      <c r="F1924" t="s">
        <v>34</v>
      </c>
      <c r="G1924" t="s">
        <v>61</v>
      </c>
      <c r="H1924" t="s">
        <v>78</v>
      </c>
      <c r="I1924" t="s">
        <v>147</v>
      </c>
      <c r="J1924" t="s">
        <v>148</v>
      </c>
      <c r="K1924" t="s">
        <v>48</v>
      </c>
      <c r="L1924">
        <v>4</v>
      </c>
      <c r="M1924">
        <v>250</v>
      </c>
      <c r="N1924">
        <v>0</v>
      </c>
      <c r="O1924">
        <v>1000</v>
      </c>
      <c r="P1924">
        <v>336.92</v>
      </c>
      <c r="Q1924" t="s">
        <v>74</v>
      </c>
      <c r="R1924" t="s">
        <v>49</v>
      </c>
      <c r="S1924" t="s">
        <v>110</v>
      </c>
    </row>
    <row r="1925" spans="1:19" x14ac:dyDescent="0.3">
      <c r="A1925" t="s">
        <v>3015</v>
      </c>
      <c r="B1925" s="1">
        <v>45339</v>
      </c>
      <c r="C1925" s="2">
        <v>45343</v>
      </c>
      <c r="D1925" t="s">
        <v>764</v>
      </c>
      <c r="E1925" t="s">
        <v>765</v>
      </c>
      <c r="F1925" t="s">
        <v>34</v>
      </c>
      <c r="G1925" t="s">
        <v>91</v>
      </c>
      <c r="H1925" t="s">
        <v>120</v>
      </c>
      <c r="I1925" t="s">
        <v>147</v>
      </c>
      <c r="J1925" t="s">
        <v>148</v>
      </c>
      <c r="K1925" t="s">
        <v>48</v>
      </c>
      <c r="L1925">
        <v>-1</v>
      </c>
      <c r="M1925">
        <v>250</v>
      </c>
      <c r="N1925">
        <v>15</v>
      </c>
      <c r="O1925">
        <v>212.5</v>
      </c>
      <c r="P1925">
        <v>70.180000000000007</v>
      </c>
      <c r="Q1925" t="s">
        <v>156</v>
      </c>
      <c r="R1925" t="s">
        <v>49</v>
      </c>
      <c r="S1925" t="s">
        <v>40</v>
      </c>
    </row>
    <row r="1926" spans="1:19" x14ac:dyDescent="0.3">
      <c r="A1926" t="s">
        <v>3016</v>
      </c>
      <c r="B1926" s="1">
        <v>45745</v>
      </c>
      <c r="C1926" s="2">
        <v>45748</v>
      </c>
      <c r="D1926" t="s">
        <v>713</v>
      </c>
      <c r="E1926" t="s">
        <v>714</v>
      </c>
      <c r="F1926" t="s">
        <v>34</v>
      </c>
      <c r="G1926" t="s">
        <v>35</v>
      </c>
      <c r="H1926" t="s">
        <v>258</v>
      </c>
      <c r="I1926" t="s">
        <v>63</v>
      </c>
      <c r="J1926" t="s">
        <v>64</v>
      </c>
      <c r="K1926" t="s">
        <v>65</v>
      </c>
      <c r="L1926">
        <v>1</v>
      </c>
      <c r="M1926">
        <v>25000</v>
      </c>
      <c r="N1926">
        <v>15</v>
      </c>
      <c r="O1926">
        <v>21250</v>
      </c>
      <c r="P1926">
        <v>2917.95</v>
      </c>
      <c r="Q1926" t="s">
        <v>121</v>
      </c>
      <c r="R1926" t="s">
        <v>29</v>
      </c>
      <c r="S1926" t="s">
        <v>50</v>
      </c>
    </row>
    <row r="1927" spans="1:19" x14ac:dyDescent="0.3">
      <c r="A1927" t="s">
        <v>3017</v>
      </c>
      <c r="B1927" s="1">
        <v>45716</v>
      </c>
      <c r="C1927" s="1">
        <v>45722</v>
      </c>
      <c r="D1927" t="s">
        <v>634</v>
      </c>
      <c r="E1927" t="s">
        <v>635</v>
      </c>
      <c r="F1927" t="s">
        <v>23</v>
      </c>
      <c r="G1927" t="s">
        <v>91</v>
      </c>
      <c r="H1927" t="s">
        <v>177</v>
      </c>
      <c r="I1927" t="s">
        <v>79</v>
      </c>
      <c r="J1927" t="s">
        <v>80</v>
      </c>
      <c r="K1927" t="s">
        <v>105</v>
      </c>
      <c r="L1927">
        <v>2</v>
      </c>
      <c r="M1927">
        <v>3000</v>
      </c>
      <c r="N1927">
        <v>0</v>
      </c>
      <c r="O1927">
        <v>6000</v>
      </c>
      <c r="P1927">
        <v>1500.33</v>
      </c>
      <c r="Q1927" t="s">
        <v>66</v>
      </c>
      <c r="R1927" t="s">
        <v>49</v>
      </c>
      <c r="S1927" t="s">
        <v>50</v>
      </c>
    </row>
    <row r="1928" spans="1:19" x14ac:dyDescent="0.3">
      <c r="A1928" t="s">
        <v>3018</v>
      </c>
      <c r="B1928" s="2">
        <v>45353</v>
      </c>
      <c r="C1928" s="1">
        <v>45359</v>
      </c>
      <c r="D1928" t="s">
        <v>751</v>
      </c>
      <c r="E1928" t="s">
        <v>752</v>
      </c>
      <c r="F1928" t="s">
        <v>23</v>
      </c>
      <c r="G1928" t="s">
        <v>35</v>
      </c>
      <c r="H1928" t="s">
        <v>85</v>
      </c>
      <c r="I1928" t="s">
        <v>25</v>
      </c>
      <c r="J1928" t="s">
        <v>26</v>
      </c>
      <c r="K1928" t="s">
        <v>27</v>
      </c>
      <c r="L1928">
        <v>1</v>
      </c>
      <c r="M1928">
        <v>7000</v>
      </c>
      <c r="N1928">
        <v>0</v>
      </c>
      <c r="O1928">
        <v>7000</v>
      </c>
      <c r="P1928">
        <v>1466.5</v>
      </c>
      <c r="Q1928" t="s">
        <v>66</v>
      </c>
      <c r="R1928" t="s">
        <v>49</v>
      </c>
      <c r="S1928" t="s">
        <v>30</v>
      </c>
    </row>
    <row r="1929" spans="1:19" x14ac:dyDescent="0.3">
      <c r="A1929" t="s">
        <v>3019</v>
      </c>
      <c r="B1929" s="1">
        <v>45534</v>
      </c>
      <c r="C1929" s="1">
        <v>45536</v>
      </c>
      <c r="D1929" t="s">
        <v>1205</v>
      </c>
      <c r="E1929" t="s">
        <v>1206</v>
      </c>
      <c r="F1929" t="s">
        <v>34</v>
      </c>
      <c r="G1929" t="s">
        <v>44</v>
      </c>
      <c r="H1929" t="s">
        <v>45</v>
      </c>
      <c r="I1929" t="s">
        <v>63</v>
      </c>
      <c r="J1929" t="s">
        <v>64</v>
      </c>
      <c r="K1929" t="s">
        <v>65</v>
      </c>
      <c r="L1929">
        <v>1</v>
      </c>
      <c r="M1929">
        <v>25000</v>
      </c>
      <c r="N1929">
        <v>20</v>
      </c>
      <c r="O1929">
        <v>20000</v>
      </c>
      <c r="P1929">
        <v>3159.7</v>
      </c>
      <c r="Q1929" t="s">
        <v>74</v>
      </c>
      <c r="R1929" t="s">
        <v>49</v>
      </c>
      <c r="S1929" t="s">
        <v>86</v>
      </c>
    </row>
    <row r="1930" spans="1:19" x14ac:dyDescent="0.3">
      <c r="A1930" t="s">
        <v>3020</v>
      </c>
      <c r="B1930" s="1">
        <v>45334</v>
      </c>
      <c r="C1930" s="1">
        <v>45636</v>
      </c>
      <c r="D1930" t="s">
        <v>163</v>
      </c>
      <c r="E1930" t="s">
        <v>164</v>
      </c>
      <c r="F1930" t="s">
        <v>55</v>
      </c>
      <c r="G1930" t="s">
        <v>44</v>
      </c>
      <c r="H1930" t="s">
        <v>45</v>
      </c>
      <c r="I1930" t="s">
        <v>134</v>
      </c>
      <c r="J1930" t="s">
        <v>135</v>
      </c>
      <c r="K1930" t="s">
        <v>27</v>
      </c>
      <c r="L1930">
        <v>2</v>
      </c>
      <c r="M1930">
        <v>6000</v>
      </c>
      <c r="N1930">
        <v>20</v>
      </c>
      <c r="O1930">
        <v>9600</v>
      </c>
      <c r="P1930">
        <v>2451.96</v>
      </c>
      <c r="Q1930" t="s">
        <v>121</v>
      </c>
      <c r="R1930" t="s">
        <v>29</v>
      </c>
      <c r="S1930" t="s">
        <v>50</v>
      </c>
    </row>
    <row r="1931" spans="1:19" x14ac:dyDescent="0.3">
      <c r="A1931" t="s">
        <v>3021</v>
      </c>
      <c r="B1931" s="1">
        <v>45354</v>
      </c>
      <c r="C1931" s="1">
        <v>45359</v>
      </c>
      <c r="D1931" t="s">
        <v>311</v>
      </c>
      <c r="E1931" t="s">
        <v>3022</v>
      </c>
      <c r="F1931" t="s">
        <v>34</v>
      </c>
      <c r="G1931" t="s">
        <v>61</v>
      </c>
      <c r="H1931" t="s">
        <v>78</v>
      </c>
      <c r="I1931" t="s">
        <v>114</v>
      </c>
      <c r="J1931" t="s">
        <v>115</v>
      </c>
      <c r="K1931" t="s">
        <v>65</v>
      </c>
      <c r="L1931">
        <v>2</v>
      </c>
      <c r="M1931">
        <v>55000</v>
      </c>
      <c r="N1931">
        <v>0</v>
      </c>
      <c r="O1931">
        <v>110000</v>
      </c>
      <c r="P1931">
        <v>20721.45</v>
      </c>
      <c r="Q1931" t="s">
        <v>74</v>
      </c>
      <c r="R1931" t="s">
        <v>56</v>
      </c>
      <c r="S1931" t="s">
        <v>30</v>
      </c>
    </row>
    <row r="1932" spans="1:19" x14ac:dyDescent="0.3">
      <c r="A1932" t="s">
        <v>3023</v>
      </c>
      <c r="B1932" s="1">
        <v>45804</v>
      </c>
      <c r="C1932" s="1">
        <v>45811</v>
      </c>
      <c r="D1932" t="s">
        <v>1532</v>
      </c>
      <c r="E1932" t="s">
        <v>1533</v>
      </c>
      <c r="F1932" t="s">
        <v>34</v>
      </c>
      <c r="G1932" t="s">
        <v>44</v>
      </c>
      <c r="H1932" t="s">
        <v>24</v>
      </c>
      <c r="I1932" t="s">
        <v>79</v>
      </c>
      <c r="J1932" t="s">
        <v>80</v>
      </c>
      <c r="K1932" t="s">
        <v>65</v>
      </c>
      <c r="L1932">
        <v>1</v>
      </c>
      <c r="M1932">
        <v>3000</v>
      </c>
      <c r="N1932">
        <v>5</v>
      </c>
      <c r="O1932">
        <v>2850</v>
      </c>
      <c r="P1932">
        <v>857.04</v>
      </c>
      <c r="Q1932" t="s">
        <v>66</v>
      </c>
      <c r="R1932" t="s">
        <v>56</v>
      </c>
      <c r="S1932" t="s">
        <v>110</v>
      </c>
    </row>
    <row r="1933" spans="1:19" x14ac:dyDescent="0.3">
      <c r="A1933" t="s">
        <v>3024</v>
      </c>
      <c r="B1933" s="2">
        <v>45877</v>
      </c>
      <c r="C1933" s="1">
        <v>45880</v>
      </c>
      <c r="D1933" t="s">
        <v>42</v>
      </c>
      <c r="E1933" t="s">
        <v>43</v>
      </c>
      <c r="F1933" t="s">
        <v>23</v>
      </c>
      <c r="G1933" t="s">
        <v>44</v>
      </c>
      <c r="H1933" t="s">
        <v>45</v>
      </c>
      <c r="I1933" t="s">
        <v>103</v>
      </c>
      <c r="J1933" t="s">
        <v>104</v>
      </c>
      <c r="K1933" t="s">
        <v>65</v>
      </c>
      <c r="L1933">
        <v>2</v>
      </c>
      <c r="M1933">
        <v>8000</v>
      </c>
      <c r="N1933">
        <v>15</v>
      </c>
      <c r="O1933">
        <v>13600</v>
      </c>
      <c r="P1933">
        <v>2897.8</v>
      </c>
      <c r="Q1933" t="s">
        <v>74</v>
      </c>
      <c r="R1933" t="s">
        <v>49</v>
      </c>
      <c r="S1933" t="s">
        <v>110</v>
      </c>
    </row>
    <row r="1934" spans="1:19" x14ac:dyDescent="0.3">
      <c r="A1934" t="s">
        <v>3025</v>
      </c>
      <c r="B1934" t="s">
        <v>2137</v>
      </c>
      <c r="C1934" t="s">
        <v>2328</v>
      </c>
      <c r="D1934" t="s">
        <v>1055</v>
      </c>
      <c r="E1934" t="s">
        <v>1056</v>
      </c>
      <c r="F1934" t="s">
        <v>55</v>
      </c>
      <c r="G1934" t="s">
        <v>61</v>
      </c>
      <c r="H1934" t="s">
        <v>62</v>
      </c>
      <c r="I1934" t="s">
        <v>71</v>
      </c>
      <c r="J1934" t="s">
        <v>72</v>
      </c>
      <c r="K1934" t="s">
        <v>73</v>
      </c>
      <c r="L1934">
        <v>1</v>
      </c>
      <c r="M1934">
        <v>3500</v>
      </c>
      <c r="N1934">
        <v>0</v>
      </c>
      <c r="O1934">
        <v>3500</v>
      </c>
      <c r="P1934">
        <v>1216.8599999999999</v>
      </c>
      <c r="Q1934" t="s">
        <v>39</v>
      </c>
      <c r="R1934" t="s">
        <v>49</v>
      </c>
      <c r="S1934" t="s">
        <v>110</v>
      </c>
    </row>
    <row r="1935" spans="1:19" x14ac:dyDescent="0.3">
      <c r="A1935" t="s">
        <v>3026</v>
      </c>
      <c r="B1935" s="1">
        <v>45981</v>
      </c>
      <c r="C1935" s="1">
        <v>45984</v>
      </c>
      <c r="D1935" t="s">
        <v>112</v>
      </c>
      <c r="E1935" t="s">
        <v>113</v>
      </c>
      <c r="F1935" t="s">
        <v>23</v>
      </c>
      <c r="G1935" t="s">
        <v>35</v>
      </c>
      <c r="H1935" t="s">
        <v>36</v>
      </c>
      <c r="I1935" t="s">
        <v>71</v>
      </c>
      <c r="J1935" t="s">
        <v>72</v>
      </c>
      <c r="K1935" t="s">
        <v>73</v>
      </c>
      <c r="L1935">
        <v>3</v>
      </c>
      <c r="M1935">
        <v>3500</v>
      </c>
      <c r="N1935">
        <v>20</v>
      </c>
      <c r="O1935">
        <v>8400</v>
      </c>
      <c r="P1935">
        <v>2207.02</v>
      </c>
      <c r="Q1935" t="s">
        <v>121</v>
      </c>
      <c r="R1935" t="s">
        <v>29</v>
      </c>
      <c r="S1935" t="s">
        <v>50</v>
      </c>
    </row>
    <row r="1936" spans="1:19" x14ac:dyDescent="0.3">
      <c r="A1936" t="s">
        <v>3027</v>
      </c>
      <c r="B1936" t="s">
        <v>1814</v>
      </c>
      <c r="D1936" t="s">
        <v>425</v>
      </c>
      <c r="E1936" t="s">
        <v>426</v>
      </c>
      <c r="F1936" t="s">
        <v>34</v>
      </c>
      <c r="G1936" t="s">
        <v>61</v>
      </c>
      <c r="H1936" t="s">
        <v>125</v>
      </c>
      <c r="I1936" t="s">
        <v>25</v>
      </c>
      <c r="J1936" t="s">
        <v>26</v>
      </c>
      <c r="K1936" t="s">
        <v>27</v>
      </c>
      <c r="L1936">
        <v>1</v>
      </c>
      <c r="M1936">
        <v>7000</v>
      </c>
      <c r="N1936">
        <v>15</v>
      </c>
      <c r="O1936">
        <v>5950</v>
      </c>
      <c r="P1936">
        <v>1229.6500000000001</v>
      </c>
      <c r="Q1936" t="s">
        <v>156</v>
      </c>
      <c r="R1936" t="s">
        <v>49</v>
      </c>
      <c r="S1936" t="s">
        <v>110</v>
      </c>
    </row>
    <row r="1937" spans="1:19" x14ac:dyDescent="0.3">
      <c r="A1937" t="s">
        <v>3028</v>
      </c>
      <c r="B1937" s="1">
        <v>45599</v>
      </c>
      <c r="C1937" s="1">
        <v>45603</v>
      </c>
      <c r="D1937" t="s">
        <v>189</v>
      </c>
      <c r="E1937" t="s">
        <v>190</v>
      </c>
      <c r="F1937" t="s">
        <v>23</v>
      </c>
      <c r="G1937" t="s">
        <v>91</v>
      </c>
      <c r="H1937" t="s">
        <v>120</v>
      </c>
      <c r="I1937" t="s">
        <v>71</v>
      </c>
      <c r="J1937" t="s">
        <v>72</v>
      </c>
      <c r="K1937" t="s">
        <v>73</v>
      </c>
      <c r="L1937">
        <v>1</v>
      </c>
      <c r="M1937">
        <v>3500</v>
      </c>
      <c r="N1937">
        <v>10</v>
      </c>
      <c r="O1937">
        <v>3150</v>
      </c>
      <c r="P1937">
        <v>974.99</v>
      </c>
      <c r="Q1937" t="s">
        <v>156</v>
      </c>
      <c r="R1937" t="s">
        <v>56</v>
      </c>
      <c r="S1937" t="s">
        <v>40</v>
      </c>
    </row>
    <row r="1938" spans="1:19" x14ac:dyDescent="0.3">
      <c r="A1938" t="s">
        <v>3029</v>
      </c>
      <c r="B1938" s="1">
        <v>45739</v>
      </c>
      <c r="C1938" s="2">
        <v>45741</v>
      </c>
      <c r="D1938" t="s">
        <v>169</v>
      </c>
      <c r="E1938" t="s">
        <v>170</v>
      </c>
      <c r="F1938" t="s">
        <v>55</v>
      </c>
      <c r="G1938" t="s">
        <v>91</v>
      </c>
      <c r="H1938" t="s">
        <v>92</v>
      </c>
      <c r="I1938" t="s">
        <v>25</v>
      </c>
      <c r="J1938" t="s">
        <v>26</v>
      </c>
      <c r="K1938" t="s">
        <v>27</v>
      </c>
      <c r="L1938">
        <v>4</v>
      </c>
      <c r="M1938">
        <v>7000</v>
      </c>
      <c r="N1938">
        <v>5</v>
      </c>
      <c r="O1938">
        <v>26600</v>
      </c>
      <c r="P1938">
        <v>6023.33</v>
      </c>
      <c r="Q1938" t="s">
        <v>74</v>
      </c>
      <c r="R1938" t="s">
        <v>56</v>
      </c>
      <c r="S1938" t="s">
        <v>86</v>
      </c>
    </row>
    <row r="1939" spans="1:19" x14ac:dyDescent="0.3">
      <c r="A1939" t="s">
        <v>3030</v>
      </c>
      <c r="B1939" t="s">
        <v>893</v>
      </c>
      <c r="C1939" s="1">
        <v>45361</v>
      </c>
      <c r="D1939" t="s">
        <v>247</v>
      </c>
      <c r="E1939" t="s">
        <v>248</v>
      </c>
      <c r="F1939" t="s">
        <v>34</v>
      </c>
      <c r="G1939" t="s">
        <v>61</v>
      </c>
      <c r="H1939" t="s">
        <v>78</v>
      </c>
      <c r="I1939" t="s">
        <v>93</v>
      </c>
      <c r="J1939" t="s">
        <v>94</v>
      </c>
      <c r="K1939" t="s">
        <v>95</v>
      </c>
      <c r="L1939">
        <v>1</v>
      </c>
      <c r="M1939">
        <v>1800</v>
      </c>
      <c r="N1939">
        <v>10</v>
      </c>
      <c r="O1939">
        <v>1620</v>
      </c>
      <c r="P1939">
        <v>419.81</v>
      </c>
      <c r="Q1939" t="s">
        <v>39</v>
      </c>
      <c r="R1939" t="s">
        <v>441</v>
      </c>
      <c r="S1939" t="s">
        <v>30</v>
      </c>
    </row>
    <row r="1940" spans="1:19" x14ac:dyDescent="0.3">
      <c r="A1940" t="s">
        <v>3031</v>
      </c>
      <c r="B1940" s="2">
        <v>45811</v>
      </c>
      <c r="C1940" s="1">
        <v>45817</v>
      </c>
      <c r="D1940" t="s">
        <v>477</v>
      </c>
      <c r="E1940" t="s">
        <v>478</v>
      </c>
      <c r="F1940" t="s">
        <v>34</v>
      </c>
      <c r="G1940" t="s">
        <v>44</v>
      </c>
      <c r="H1940" t="s">
        <v>161</v>
      </c>
      <c r="I1940" t="s">
        <v>71</v>
      </c>
      <c r="J1940" t="s">
        <v>72</v>
      </c>
      <c r="K1940" t="s">
        <v>73</v>
      </c>
      <c r="L1940">
        <v>3</v>
      </c>
      <c r="M1940">
        <v>3500</v>
      </c>
      <c r="N1940">
        <v>10</v>
      </c>
      <c r="O1940">
        <v>9450</v>
      </c>
      <c r="P1940">
        <v>2430.36</v>
      </c>
      <c r="Q1940" t="s">
        <v>39</v>
      </c>
      <c r="R1940" t="s">
        <v>56</v>
      </c>
      <c r="S1940" t="s">
        <v>110</v>
      </c>
    </row>
    <row r="1941" spans="1:19" x14ac:dyDescent="0.3">
      <c r="A1941" t="s">
        <v>3032</v>
      </c>
      <c r="B1941" s="1">
        <v>45678</v>
      </c>
      <c r="C1941" s="2">
        <v>45682</v>
      </c>
      <c r="D1941" t="s">
        <v>919</v>
      </c>
      <c r="E1941" t="s">
        <v>920</v>
      </c>
      <c r="F1941" t="s">
        <v>23</v>
      </c>
      <c r="G1941" t="s">
        <v>35</v>
      </c>
      <c r="H1941" t="s">
        <v>36</v>
      </c>
      <c r="I1941" t="s">
        <v>63</v>
      </c>
      <c r="J1941" t="s">
        <v>64</v>
      </c>
      <c r="K1941" t="s">
        <v>65</v>
      </c>
      <c r="L1941">
        <v>1</v>
      </c>
      <c r="M1941">
        <v>25000</v>
      </c>
      <c r="N1941">
        <v>0</v>
      </c>
      <c r="O1941">
        <v>25000</v>
      </c>
      <c r="P1941">
        <v>3138.23</v>
      </c>
      <c r="Q1941" t="s">
        <v>28</v>
      </c>
      <c r="R1941" t="s">
        <v>49</v>
      </c>
      <c r="S1941" t="s">
        <v>86</v>
      </c>
    </row>
    <row r="1942" spans="1:19" x14ac:dyDescent="0.3">
      <c r="A1942" t="s">
        <v>3033</v>
      </c>
      <c r="B1942" s="1">
        <v>45466</v>
      </c>
      <c r="C1942" s="2">
        <v>45471</v>
      </c>
      <c r="D1942" t="s">
        <v>592</v>
      </c>
      <c r="E1942" t="s">
        <v>593</v>
      </c>
      <c r="F1942" t="s">
        <v>55</v>
      </c>
      <c r="G1942" t="s">
        <v>35</v>
      </c>
      <c r="H1942" t="s">
        <v>258</v>
      </c>
      <c r="I1942" t="s">
        <v>25</v>
      </c>
      <c r="J1942" t="s">
        <v>26</v>
      </c>
      <c r="K1942" t="s">
        <v>27</v>
      </c>
      <c r="L1942">
        <v>1</v>
      </c>
      <c r="M1942">
        <v>7000</v>
      </c>
      <c r="N1942">
        <v>0</v>
      </c>
      <c r="O1942">
        <v>7000</v>
      </c>
      <c r="P1942">
        <v>1564.14</v>
      </c>
      <c r="Q1942" t="s">
        <v>66</v>
      </c>
      <c r="R1942" t="s">
        <v>49</v>
      </c>
      <c r="S1942" t="s">
        <v>86</v>
      </c>
    </row>
    <row r="1943" spans="1:19" x14ac:dyDescent="0.3">
      <c r="A1943" t="s">
        <v>3034</v>
      </c>
      <c r="B1943" s="1">
        <v>45673</v>
      </c>
      <c r="C1943" s="1">
        <v>45674</v>
      </c>
      <c r="D1943" t="s">
        <v>808</v>
      </c>
      <c r="E1943" t="s">
        <v>2512</v>
      </c>
      <c r="F1943" t="s">
        <v>55</v>
      </c>
      <c r="G1943" t="s">
        <v>35</v>
      </c>
      <c r="H1943" t="s">
        <v>258</v>
      </c>
      <c r="I1943" t="s">
        <v>37</v>
      </c>
      <c r="J1943" t="s">
        <v>38</v>
      </c>
      <c r="K1943" t="s">
        <v>27</v>
      </c>
      <c r="L1943">
        <v>2</v>
      </c>
      <c r="M1943">
        <v>9500</v>
      </c>
      <c r="N1943">
        <v>5</v>
      </c>
      <c r="O1943">
        <v>18050</v>
      </c>
      <c r="P1943">
        <v>3228.07</v>
      </c>
      <c r="Q1943" t="s">
        <v>66</v>
      </c>
      <c r="R1943" t="s">
        <v>56</v>
      </c>
      <c r="S1943" t="s">
        <v>40</v>
      </c>
    </row>
    <row r="1944" spans="1:19" x14ac:dyDescent="0.3">
      <c r="A1944" t="s">
        <v>3035</v>
      </c>
      <c r="B1944" s="1">
        <v>45687</v>
      </c>
      <c r="C1944" s="1">
        <v>45695</v>
      </c>
      <c r="D1944" t="s">
        <v>1394</v>
      </c>
      <c r="E1944" t="s">
        <v>1395</v>
      </c>
      <c r="F1944" t="s">
        <v>55</v>
      </c>
      <c r="G1944" t="s">
        <v>61</v>
      </c>
      <c r="H1944" t="s">
        <v>211</v>
      </c>
      <c r="I1944" t="s">
        <v>46</v>
      </c>
      <c r="J1944" t="s">
        <v>47</v>
      </c>
      <c r="K1944" t="s">
        <v>48</v>
      </c>
      <c r="L1944">
        <v>1</v>
      </c>
      <c r="M1944">
        <v>180</v>
      </c>
      <c r="N1944">
        <v>0</v>
      </c>
      <c r="O1944">
        <v>180</v>
      </c>
      <c r="P1944">
        <v>67.349999999999994</v>
      </c>
      <c r="Q1944" t="s">
        <v>156</v>
      </c>
      <c r="R1944" t="s">
        <v>49</v>
      </c>
      <c r="S1944" t="s">
        <v>86</v>
      </c>
    </row>
    <row r="1945" spans="1:19" x14ac:dyDescent="0.3">
      <c r="A1945" t="s">
        <v>3036</v>
      </c>
      <c r="B1945" s="1">
        <v>45802</v>
      </c>
      <c r="C1945" t="s">
        <v>68</v>
      </c>
      <c r="D1945" t="s">
        <v>699</v>
      </c>
      <c r="E1945" t="s">
        <v>700</v>
      </c>
      <c r="F1945" t="s">
        <v>23</v>
      </c>
      <c r="G1945" t="s">
        <v>35</v>
      </c>
      <c r="H1945" t="s">
        <v>36</v>
      </c>
      <c r="I1945" t="s">
        <v>25</v>
      </c>
      <c r="J1945" t="s">
        <v>26</v>
      </c>
      <c r="K1945" t="s">
        <v>27</v>
      </c>
      <c r="L1945">
        <v>10</v>
      </c>
      <c r="M1945">
        <v>7000</v>
      </c>
      <c r="N1945">
        <v>5</v>
      </c>
      <c r="O1945">
        <v>66500</v>
      </c>
      <c r="Q1945" t="s">
        <v>74</v>
      </c>
      <c r="R1945" t="s">
        <v>29</v>
      </c>
      <c r="S1945" t="s">
        <v>50</v>
      </c>
    </row>
    <row r="1946" spans="1:19" x14ac:dyDescent="0.3">
      <c r="A1946" t="s">
        <v>3037</v>
      </c>
      <c r="B1946" s="1">
        <v>46009</v>
      </c>
      <c r="C1946" s="2">
        <v>46014</v>
      </c>
      <c r="D1946" t="s">
        <v>32</v>
      </c>
      <c r="E1946" t="s">
        <v>33</v>
      </c>
      <c r="F1946" t="s">
        <v>34</v>
      </c>
      <c r="G1946" t="s">
        <v>35</v>
      </c>
      <c r="H1946" t="s">
        <v>36</v>
      </c>
      <c r="I1946" t="s">
        <v>25</v>
      </c>
      <c r="J1946" t="s">
        <v>26</v>
      </c>
      <c r="K1946" t="s">
        <v>27</v>
      </c>
      <c r="L1946">
        <v>3</v>
      </c>
      <c r="M1946">
        <v>7000</v>
      </c>
      <c r="N1946">
        <v>10</v>
      </c>
      <c r="O1946">
        <v>18900</v>
      </c>
      <c r="P1946">
        <v>3865.28</v>
      </c>
      <c r="Q1946" t="s">
        <v>39</v>
      </c>
      <c r="R1946" t="s">
        <v>56</v>
      </c>
      <c r="S1946" t="s">
        <v>110</v>
      </c>
    </row>
    <row r="1947" spans="1:19" x14ac:dyDescent="0.3">
      <c r="A1947" t="s">
        <v>3038</v>
      </c>
      <c r="B1947" s="2">
        <v>45500</v>
      </c>
      <c r="C1947" s="1">
        <v>45505</v>
      </c>
      <c r="D1947" t="s">
        <v>460</v>
      </c>
      <c r="E1947" t="s">
        <v>461</v>
      </c>
      <c r="F1947" t="s">
        <v>34</v>
      </c>
      <c r="G1947" t="s">
        <v>61</v>
      </c>
      <c r="H1947" t="s">
        <v>62</v>
      </c>
      <c r="I1947" t="s">
        <v>25</v>
      </c>
      <c r="J1947" t="s">
        <v>26</v>
      </c>
      <c r="K1947" t="s">
        <v>27</v>
      </c>
      <c r="L1947">
        <v>2</v>
      </c>
      <c r="M1947">
        <v>7000</v>
      </c>
      <c r="N1947">
        <v>0</v>
      </c>
      <c r="O1947">
        <v>14000</v>
      </c>
      <c r="P1947">
        <v>2329.34</v>
      </c>
      <c r="Q1947" t="s">
        <v>121</v>
      </c>
      <c r="R1947" t="s">
        <v>49</v>
      </c>
      <c r="S1947" t="s">
        <v>86</v>
      </c>
    </row>
    <row r="1948" spans="1:19" x14ac:dyDescent="0.3">
      <c r="A1948" t="s">
        <v>3039</v>
      </c>
      <c r="B1948" s="1">
        <v>45627</v>
      </c>
      <c r="C1948" t="s">
        <v>3040</v>
      </c>
      <c r="D1948" t="s">
        <v>1072</v>
      </c>
      <c r="E1948" t="s">
        <v>1073</v>
      </c>
      <c r="F1948" t="s">
        <v>23</v>
      </c>
      <c r="G1948" t="s">
        <v>44</v>
      </c>
      <c r="H1948" t="s">
        <v>161</v>
      </c>
      <c r="I1948" t="s">
        <v>134</v>
      </c>
      <c r="J1948" t="s">
        <v>135</v>
      </c>
      <c r="K1948" t="s">
        <v>27</v>
      </c>
      <c r="L1948">
        <v>2</v>
      </c>
      <c r="M1948">
        <v>6000</v>
      </c>
      <c r="N1948">
        <v>0</v>
      </c>
      <c r="O1948">
        <v>12000</v>
      </c>
      <c r="P1948">
        <v>2759.17</v>
      </c>
      <c r="Q1948" t="s">
        <v>66</v>
      </c>
      <c r="R1948" t="s">
        <v>49</v>
      </c>
      <c r="S1948" t="s">
        <v>50</v>
      </c>
    </row>
    <row r="1949" spans="1:19" x14ac:dyDescent="0.3">
      <c r="A1949" t="s">
        <v>3041</v>
      </c>
      <c r="B1949" s="1">
        <v>45295</v>
      </c>
      <c r="C1949" s="1">
        <v>45388</v>
      </c>
      <c r="D1949" t="s">
        <v>112</v>
      </c>
      <c r="E1949" t="s">
        <v>113</v>
      </c>
      <c r="F1949" t="s">
        <v>23</v>
      </c>
      <c r="G1949" t="s">
        <v>35</v>
      </c>
      <c r="H1949" t="s">
        <v>36</v>
      </c>
      <c r="I1949" t="s">
        <v>103</v>
      </c>
      <c r="J1949" t="s">
        <v>104</v>
      </c>
      <c r="K1949" t="s">
        <v>65</v>
      </c>
      <c r="L1949">
        <v>1</v>
      </c>
      <c r="M1949">
        <v>8000</v>
      </c>
      <c r="N1949">
        <v>5</v>
      </c>
      <c r="O1949">
        <v>7600</v>
      </c>
      <c r="P1949">
        <v>1815.44</v>
      </c>
      <c r="Q1949" t="s">
        <v>156</v>
      </c>
      <c r="R1949" t="s">
        <v>56</v>
      </c>
      <c r="S1949" t="s">
        <v>40</v>
      </c>
    </row>
    <row r="1950" spans="1:19" x14ac:dyDescent="0.3">
      <c r="A1950" t="s">
        <v>3042</v>
      </c>
      <c r="B1950" s="2">
        <v>45876</v>
      </c>
      <c r="C1950" s="1">
        <v>45879</v>
      </c>
      <c r="D1950" t="s">
        <v>527</v>
      </c>
      <c r="E1950" t="s">
        <v>528</v>
      </c>
      <c r="F1950" t="s">
        <v>23</v>
      </c>
      <c r="G1950" t="s">
        <v>44</v>
      </c>
      <c r="H1950" t="s">
        <v>161</v>
      </c>
      <c r="I1950" t="s">
        <v>147</v>
      </c>
      <c r="J1950" t="s">
        <v>148</v>
      </c>
      <c r="K1950" t="s">
        <v>48</v>
      </c>
      <c r="L1950">
        <v>1</v>
      </c>
      <c r="M1950">
        <v>250</v>
      </c>
      <c r="N1950">
        <v>0</v>
      </c>
      <c r="O1950">
        <v>250</v>
      </c>
      <c r="P1950">
        <v>90.59</v>
      </c>
      <c r="Q1950" t="s">
        <v>121</v>
      </c>
      <c r="R1950" t="s">
        <v>56</v>
      </c>
      <c r="S1950" t="s">
        <v>86</v>
      </c>
    </row>
    <row r="1951" spans="1:19" x14ac:dyDescent="0.3">
      <c r="A1951" t="s">
        <v>3043</v>
      </c>
      <c r="B1951" s="2">
        <v>45830</v>
      </c>
      <c r="C1951" s="1">
        <v>45831</v>
      </c>
      <c r="D1951" t="s">
        <v>1643</v>
      </c>
      <c r="E1951" t="s">
        <v>1644</v>
      </c>
      <c r="F1951" t="s">
        <v>55</v>
      </c>
      <c r="G1951" t="s">
        <v>91</v>
      </c>
      <c r="H1951" t="s">
        <v>120</v>
      </c>
      <c r="I1951" t="s">
        <v>126</v>
      </c>
      <c r="J1951" t="s">
        <v>127</v>
      </c>
      <c r="K1951" t="s">
        <v>95</v>
      </c>
      <c r="L1951">
        <v>1</v>
      </c>
      <c r="M1951">
        <v>600</v>
      </c>
      <c r="N1951">
        <v>20</v>
      </c>
      <c r="O1951">
        <v>480</v>
      </c>
      <c r="Q1951" t="s">
        <v>28</v>
      </c>
      <c r="R1951" t="s">
        <v>56</v>
      </c>
      <c r="S1951" t="s">
        <v>110</v>
      </c>
    </row>
    <row r="1952" spans="1:19" x14ac:dyDescent="0.3">
      <c r="A1952" t="s">
        <v>3044</v>
      </c>
      <c r="B1952" s="2">
        <v>45974</v>
      </c>
      <c r="C1952" s="1">
        <v>45982</v>
      </c>
      <c r="D1952" t="s">
        <v>956</v>
      </c>
      <c r="E1952" t="s">
        <v>1086</v>
      </c>
      <c r="F1952" t="s">
        <v>55</v>
      </c>
      <c r="G1952" t="s">
        <v>44</v>
      </c>
      <c r="H1952" t="s">
        <v>24</v>
      </c>
      <c r="I1952" t="s">
        <v>71</v>
      </c>
      <c r="J1952" t="s">
        <v>72</v>
      </c>
      <c r="K1952" t="s">
        <v>73</v>
      </c>
      <c r="L1952">
        <v>1</v>
      </c>
      <c r="M1952">
        <v>3500</v>
      </c>
      <c r="N1952">
        <v>20</v>
      </c>
      <c r="O1952">
        <v>2800</v>
      </c>
      <c r="P1952">
        <v>876.13</v>
      </c>
      <c r="Q1952" t="s">
        <v>66</v>
      </c>
      <c r="R1952" t="s">
        <v>29</v>
      </c>
      <c r="S1952" t="s">
        <v>50</v>
      </c>
    </row>
    <row r="1953" spans="1:19" x14ac:dyDescent="0.3">
      <c r="A1953" t="s">
        <v>3045</v>
      </c>
      <c r="B1953" s="1">
        <v>45810</v>
      </c>
      <c r="C1953" s="2">
        <v>45700</v>
      </c>
      <c r="D1953" t="s">
        <v>356</v>
      </c>
      <c r="E1953" t="s">
        <v>357</v>
      </c>
      <c r="F1953" t="s">
        <v>23</v>
      </c>
      <c r="G1953" t="s">
        <v>91</v>
      </c>
      <c r="I1953" t="s">
        <v>46</v>
      </c>
      <c r="J1953" t="s">
        <v>47</v>
      </c>
      <c r="K1953" t="s">
        <v>48</v>
      </c>
      <c r="L1953">
        <v>2</v>
      </c>
      <c r="M1953">
        <v>180</v>
      </c>
      <c r="N1953">
        <v>5</v>
      </c>
      <c r="O1953">
        <v>342</v>
      </c>
      <c r="P1953">
        <v>119.8</v>
      </c>
      <c r="Q1953" t="s">
        <v>39</v>
      </c>
      <c r="R1953" t="s">
        <v>49</v>
      </c>
      <c r="S1953" t="s">
        <v>50</v>
      </c>
    </row>
    <row r="1954" spans="1:19" x14ac:dyDescent="0.3">
      <c r="A1954" t="s">
        <v>3046</v>
      </c>
      <c r="B1954" s="1">
        <v>45891</v>
      </c>
      <c r="C1954" s="2">
        <v>45892</v>
      </c>
      <c r="D1954" t="s">
        <v>1588</v>
      </c>
      <c r="E1954" t="s">
        <v>1589</v>
      </c>
      <c r="F1954" t="s">
        <v>34</v>
      </c>
      <c r="G1954" t="s">
        <v>61</v>
      </c>
      <c r="H1954" t="s">
        <v>78</v>
      </c>
      <c r="I1954" t="s">
        <v>126</v>
      </c>
      <c r="J1954" t="s">
        <v>127</v>
      </c>
      <c r="K1954" t="s">
        <v>95</v>
      </c>
      <c r="L1954">
        <v>5</v>
      </c>
      <c r="M1954">
        <v>600</v>
      </c>
      <c r="N1954">
        <v>0</v>
      </c>
      <c r="O1954">
        <v>3000</v>
      </c>
      <c r="P1954">
        <v>818.02</v>
      </c>
      <c r="Q1954" t="s">
        <v>121</v>
      </c>
      <c r="R1954" t="s">
        <v>29</v>
      </c>
      <c r="S1954" t="s">
        <v>110</v>
      </c>
    </row>
    <row r="1955" spans="1:19" x14ac:dyDescent="0.3">
      <c r="A1955" t="s">
        <v>3047</v>
      </c>
      <c r="B1955" s="1">
        <v>45399</v>
      </c>
      <c r="C1955" s="1">
        <v>45401</v>
      </c>
      <c r="D1955" t="s">
        <v>400</v>
      </c>
      <c r="E1955" t="s">
        <v>401</v>
      </c>
      <c r="F1955" t="s">
        <v>34</v>
      </c>
      <c r="G1955" t="s">
        <v>44</v>
      </c>
      <c r="H1955" t="s">
        <v>24</v>
      </c>
      <c r="I1955" t="s">
        <v>79</v>
      </c>
      <c r="J1955" t="s">
        <v>80</v>
      </c>
      <c r="K1955" t="s">
        <v>65</v>
      </c>
      <c r="L1955">
        <v>1</v>
      </c>
      <c r="M1955">
        <v>3000</v>
      </c>
      <c r="N1955">
        <v>0</v>
      </c>
      <c r="O1955">
        <v>3000</v>
      </c>
      <c r="P1955">
        <v>835.25</v>
      </c>
      <c r="Q1955" t="s">
        <v>121</v>
      </c>
      <c r="R1955" t="s">
        <v>49</v>
      </c>
      <c r="S1955" t="s">
        <v>30</v>
      </c>
    </row>
    <row r="1956" spans="1:19" x14ac:dyDescent="0.3">
      <c r="A1956" t="s">
        <v>3048</v>
      </c>
      <c r="B1956" s="2">
        <v>45437</v>
      </c>
      <c r="C1956" s="1">
        <v>45445</v>
      </c>
      <c r="D1956" t="s">
        <v>1659</v>
      </c>
      <c r="E1956" t="s">
        <v>3049</v>
      </c>
      <c r="F1956" t="s">
        <v>34</v>
      </c>
      <c r="G1956" t="s">
        <v>44</v>
      </c>
      <c r="I1956" t="s">
        <v>63</v>
      </c>
      <c r="J1956" t="s">
        <v>64</v>
      </c>
      <c r="K1956" t="s">
        <v>65</v>
      </c>
      <c r="L1956">
        <v>1</v>
      </c>
      <c r="M1956">
        <v>25000</v>
      </c>
      <c r="N1956">
        <v>0</v>
      </c>
      <c r="O1956">
        <v>25000</v>
      </c>
      <c r="P1956">
        <v>2764.17</v>
      </c>
      <c r="Q1956" t="s">
        <v>74</v>
      </c>
      <c r="R1956" t="s">
        <v>29</v>
      </c>
      <c r="S1956" t="s">
        <v>30</v>
      </c>
    </row>
    <row r="1957" spans="1:19" x14ac:dyDescent="0.3">
      <c r="A1957" t="s">
        <v>3050</v>
      </c>
      <c r="B1957" s="1">
        <v>45462</v>
      </c>
      <c r="C1957" s="2">
        <v>45470</v>
      </c>
      <c r="D1957" t="s">
        <v>450</v>
      </c>
      <c r="E1957" t="s">
        <v>451</v>
      </c>
      <c r="F1957" t="s">
        <v>55</v>
      </c>
      <c r="G1957" t="s">
        <v>61</v>
      </c>
      <c r="H1957" t="s">
        <v>62</v>
      </c>
      <c r="I1957" t="s">
        <v>46</v>
      </c>
      <c r="J1957" t="s">
        <v>47</v>
      </c>
      <c r="K1957" t="s">
        <v>48</v>
      </c>
      <c r="L1957">
        <v>2</v>
      </c>
      <c r="M1957">
        <v>180</v>
      </c>
      <c r="N1957">
        <v>0</v>
      </c>
      <c r="O1957">
        <v>360</v>
      </c>
      <c r="P1957">
        <v>125.52</v>
      </c>
      <c r="Q1957" t="s">
        <v>39</v>
      </c>
      <c r="R1957" t="s">
        <v>29</v>
      </c>
      <c r="S1957" t="s">
        <v>110</v>
      </c>
    </row>
    <row r="1958" spans="1:19" x14ac:dyDescent="0.3">
      <c r="A1958" t="s">
        <v>3051</v>
      </c>
      <c r="B1958" s="2">
        <v>45922</v>
      </c>
      <c r="C1958" t="s">
        <v>1608</v>
      </c>
      <c r="D1958" t="s">
        <v>787</v>
      </c>
      <c r="E1958" t="s">
        <v>788</v>
      </c>
      <c r="F1958" t="s">
        <v>34</v>
      </c>
      <c r="G1958" t="s">
        <v>35</v>
      </c>
      <c r="H1958" t="s">
        <v>36</v>
      </c>
      <c r="I1958" t="s">
        <v>114</v>
      </c>
      <c r="J1958" t="s">
        <v>115</v>
      </c>
      <c r="K1958" t="s">
        <v>65</v>
      </c>
      <c r="L1958">
        <v>2</v>
      </c>
      <c r="M1958">
        <v>55000</v>
      </c>
      <c r="N1958">
        <v>5</v>
      </c>
      <c r="O1958">
        <v>104500</v>
      </c>
      <c r="P1958">
        <v>19037.59</v>
      </c>
      <c r="Q1958" t="s">
        <v>156</v>
      </c>
      <c r="R1958" t="s">
        <v>56</v>
      </c>
      <c r="S1958" t="s">
        <v>30</v>
      </c>
    </row>
    <row r="1959" spans="1:19" x14ac:dyDescent="0.3">
      <c r="A1959" t="s">
        <v>3052</v>
      </c>
      <c r="B1959" s="1">
        <v>45619</v>
      </c>
      <c r="C1959" s="2">
        <v>45620</v>
      </c>
      <c r="D1959" t="s">
        <v>444</v>
      </c>
      <c r="E1959" t="s">
        <v>445</v>
      </c>
      <c r="F1959" t="s">
        <v>55</v>
      </c>
      <c r="G1959" t="s">
        <v>91</v>
      </c>
      <c r="H1959" t="s">
        <v>92</v>
      </c>
      <c r="I1959" t="s">
        <v>71</v>
      </c>
      <c r="J1959" t="s">
        <v>72</v>
      </c>
      <c r="K1959" t="s">
        <v>73</v>
      </c>
      <c r="L1959">
        <v>1</v>
      </c>
      <c r="M1959">
        <v>3500</v>
      </c>
      <c r="N1959">
        <v>0</v>
      </c>
      <c r="O1959">
        <v>3500</v>
      </c>
      <c r="P1959">
        <v>1039.8699999999999</v>
      </c>
      <c r="Q1959" t="s">
        <v>66</v>
      </c>
      <c r="R1959" t="s">
        <v>49</v>
      </c>
      <c r="S1959" t="s">
        <v>50</v>
      </c>
    </row>
    <row r="1960" spans="1:19" x14ac:dyDescent="0.3">
      <c r="A1960" t="s">
        <v>3053</v>
      </c>
      <c r="B1960" s="1">
        <v>45397</v>
      </c>
      <c r="C1960" s="2">
        <v>45398</v>
      </c>
      <c r="D1960" t="s">
        <v>942</v>
      </c>
      <c r="E1960" t="s">
        <v>943</v>
      </c>
      <c r="F1960" t="s">
        <v>23</v>
      </c>
      <c r="G1960" t="s">
        <v>44</v>
      </c>
      <c r="H1960" t="s">
        <v>155</v>
      </c>
      <c r="I1960" t="s">
        <v>25</v>
      </c>
      <c r="J1960" t="s">
        <v>26</v>
      </c>
      <c r="K1960" t="s">
        <v>27</v>
      </c>
      <c r="L1960">
        <v>2</v>
      </c>
      <c r="M1960">
        <v>7000</v>
      </c>
      <c r="N1960">
        <v>20</v>
      </c>
      <c r="O1960">
        <v>11200</v>
      </c>
      <c r="P1960">
        <v>2134.1</v>
      </c>
      <c r="R1960" t="s">
        <v>29</v>
      </c>
      <c r="S1960" t="s">
        <v>50</v>
      </c>
    </row>
    <row r="1961" spans="1:19" x14ac:dyDescent="0.3">
      <c r="A1961" t="s">
        <v>3054</v>
      </c>
      <c r="B1961" s="2">
        <v>45674</v>
      </c>
      <c r="C1961" s="1">
        <v>45676</v>
      </c>
      <c r="D1961" t="s">
        <v>813</v>
      </c>
      <c r="E1961" t="s">
        <v>814</v>
      </c>
      <c r="F1961" t="s">
        <v>34</v>
      </c>
      <c r="G1961" t="s">
        <v>35</v>
      </c>
      <c r="H1961" t="s">
        <v>187</v>
      </c>
      <c r="I1961" t="s">
        <v>71</v>
      </c>
      <c r="J1961" t="s">
        <v>72</v>
      </c>
      <c r="K1961" t="s">
        <v>73</v>
      </c>
      <c r="M1961">
        <v>3500</v>
      </c>
      <c r="N1961">
        <v>0</v>
      </c>
      <c r="O1961">
        <v>3500</v>
      </c>
      <c r="P1961">
        <v>1071.19</v>
      </c>
      <c r="Q1961" t="s">
        <v>28</v>
      </c>
      <c r="R1961" t="s">
        <v>29</v>
      </c>
      <c r="S1961" t="s">
        <v>86</v>
      </c>
    </row>
    <row r="1962" spans="1:19" x14ac:dyDescent="0.3">
      <c r="A1962" t="s">
        <v>3055</v>
      </c>
      <c r="B1962" s="1">
        <v>45419</v>
      </c>
      <c r="C1962" s="2">
        <v>45483</v>
      </c>
      <c r="D1962" t="s">
        <v>318</v>
      </c>
      <c r="E1962" t="s">
        <v>319</v>
      </c>
      <c r="F1962" t="s">
        <v>55</v>
      </c>
      <c r="G1962" t="s">
        <v>35</v>
      </c>
      <c r="H1962" t="s">
        <v>36</v>
      </c>
      <c r="I1962" t="s">
        <v>79</v>
      </c>
      <c r="J1962" t="s">
        <v>80</v>
      </c>
      <c r="K1962" t="s">
        <v>65</v>
      </c>
      <c r="L1962">
        <v>2</v>
      </c>
      <c r="M1962">
        <v>3000</v>
      </c>
      <c r="N1962">
        <v>0</v>
      </c>
      <c r="O1962">
        <v>6000</v>
      </c>
      <c r="P1962">
        <v>1798.64</v>
      </c>
      <c r="Q1962" t="s">
        <v>28</v>
      </c>
      <c r="R1962" t="s">
        <v>49</v>
      </c>
      <c r="S1962" t="s">
        <v>110</v>
      </c>
    </row>
    <row r="1963" spans="1:19" x14ac:dyDescent="0.3">
      <c r="A1963" t="s">
        <v>3056</v>
      </c>
      <c r="B1963" s="1">
        <v>45820</v>
      </c>
      <c r="C1963" s="1">
        <v>45822</v>
      </c>
      <c r="D1963" t="s">
        <v>621</v>
      </c>
      <c r="E1963" t="s">
        <v>622</v>
      </c>
      <c r="F1963" t="s">
        <v>55</v>
      </c>
      <c r="G1963" t="s">
        <v>91</v>
      </c>
      <c r="H1963" t="s">
        <v>109</v>
      </c>
      <c r="I1963" t="s">
        <v>126</v>
      </c>
      <c r="J1963" t="s">
        <v>127</v>
      </c>
      <c r="K1963" t="s">
        <v>95</v>
      </c>
      <c r="L1963">
        <v>3</v>
      </c>
      <c r="M1963">
        <v>600</v>
      </c>
      <c r="N1963">
        <v>15</v>
      </c>
      <c r="O1963">
        <v>1530</v>
      </c>
      <c r="P1963">
        <v>500.87</v>
      </c>
      <c r="Q1963" t="s">
        <v>39</v>
      </c>
      <c r="R1963" t="s">
        <v>29</v>
      </c>
      <c r="S1963" t="s">
        <v>50</v>
      </c>
    </row>
    <row r="1964" spans="1:19" x14ac:dyDescent="0.3">
      <c r="A1964" t="s">
        <v>3057</v>
      </c>
      <c r="B1964" s="2">
        <v>45910</v>
      </c>
      <c r="C1964" s="2">
        <v>45915</v>
      </c>
      <c r="D1964" t="s">
        <v>21</v>
      </c>
      <c r="E1964" t="s">
        <v>3058</v>
      </c>
      <c r="F1964" t="s">
        <v>23</v>
      </c>
      <c r="G1964" t="s">
        <v>44</v>
      </c>
      <c r="H1964" t="s">
        <v>24</v>
      </c>
      <c r="I1964" t="s">
        <v>71</v>
      </c>
      <c r="J1964" t="s">
        <v>72</v>
      </c>
      <c r="K1964" t="s">
        <v>73</v>
      </c>
      <c r="L1964">
        <v>10</v>
      </c>
      <c r="M1964">
        <v>3500</v>
      </c>
      <c r="N1964">
        <v>20</v>
      </c>
      <c r="O1964">
        <v>28000</v>
      </c>
      <c r="P1964">
        <v>8968.5400000000009</v>
      </c>
      <c r="Q1964" t="s">
        <v>66</v>
      </c>
      <c r="R1964" t="s">
        <v>49</v>
      </c>
      <c r="S1964" t="s">
        <v>110</v>
      </c>
    </row>
    <row r="1965" spans="1:19" x14ac:dyDescent="0.3">
      <c r="A1965" t="s">
        <v>3059</v>
      </c>
      <c r="B1965" s="2">
        <v>45819</v>
      </c>
      <c r="C1965" s="1">
        <v>45825</v>
      </c>
      <c r="D1965" t="s">
        <v>554</v>
      </c>
      <c r="E1965" t="s">
        <v>555</v>
      </c>
      <c r="F1965" t="s">
        <v>55</v>
      </c>
      <c r="G1965" t="s">
        <v>61</v>
      </c>
      <c r="H1965" t="s">
        <v>62</v>
      </c>
      <c r="I1965" t="s">
        <v>134</v>
      </c>
      <c r="J1965" t="s">
        <v>135</v>
      </c>
      <c r="K1965" t="s">
        <v>27</v>
      </c>
      <c r="L1965">
        <v>3</v>
      </c>
      <c r="M1965">
        <v>6000</v>
      </c>
      <c r="N1965">
        <v>15</v>
      </c>
      <c r="O1965">
        <v>15300</v>
      </c>
      <c r="P1965">
        <v>3945.69</v>
      </c>
      <c r="Q1965" t="s">
        <v>28</v>
      </c>
      <c r="R1965" t="s">
        <v>49</v>
      </c>
      <c r="S1965" t="s">
        <v>110</v>
      </c>
    </row>
    <row r="1966" spans="1:19" x14ac:dyDescent="0.3">
      <c r="A1966" t="s">
        <v>3060</v>
      </c>
      <c r="B1966" t="s">
        <v>825</v>
      </c>
      <c r="C1966" s="1">
        <v>45346</v>
      </c>
      <c r="D1966" t="s">
        <v>217</v>
      </c>
      <c r="E1966" t="s">
        <v>218</v>
      </c>
      <c r="F1966" t="s">
        <v>23</v>
      </c>
      <c r="G1966" t="s">
        <v>91</v>
      </c>
      <c r="H1966" t="s">
        <v>109</v>
      </c>
      <c r="I1966" t="s">
        <v>114</v>
      </c>
      <c r="J1966" t="s">
        <v>115</v>
      </c>
      <c r="K1966" t="s">
        <v>65</v>
      </c>
      <c r="L1966">
        <v>2</v>
      </c>
      <c r="M1966">
        <v>55000</v>
      </c>
      <c r="N1966">
        <v>15</v>
      </c>
      <c r="O1966">
        <v>93500</v>
      </c>
      <c r="P1966">
        <v>13299.2</v>
      </c>
      <c r="Q1966" t="s">
        <v>66</v>
      </c>
      <c r="R1966" t="s">
        <v>29</v>
      </c>
      <c r="S1966" t="s">
        <v>50</v>
      </c>
    </row>
    <row r="1967" spans="1:19" x14ac:dyDescent="0.3">
      <c r="A1967" t="s">
        <v>3061</v>
      </c>
      <c r="B1967" s="1">
        <v>45994</v>
      </c>
      <c r="C1967" s="2">
        <v>46002</v>
      </c>
      <c r="D1967" t="s">
        <v>21</v>
      </c>
      <c r="E1967" t="s">
        <v>22</v>
      </c>
      <c r="F1967" t="s">
        <v>23</v>
      </c>
      <c r="G1967" t="s">
        <v>44</v>
      </c>
      <c r="H1967" t="s">
        <v>24</v>
      </c>
      <c r="I1967" t="s">
        <v>126</v>
      </c>
      <c r="J1967" t="s">
        <v>127</v>
      </c>
      <c r="K1967" t="s">
        <v>95</v>
      </c>
      <c r="M1967">
        <v>600</v>
      </c>
      <c r="N1967">
        <v>0</v>
      </c>
      <c r="O1967">
        <v>1200</v>
      </c>
      <c r="P1967">
        <v>356.49</v>
      </c>
      <c r="Q1967" t="s">
        <v>39</v>
      </c>
      <c r="R1967" t="s">
        <v>56</v>
      </c>
      <c r="S1967" t="s">
        <v>50</v>
      </c>
    </row>
    <row r="1968" spans="1:19" x14ac:dyDescent="0.3">
      <c r="A1968" t="s">
        <v>3062</v>
      </c>
      <c r="B1968" s="2">
        <v>45779</v>
      </c>
      <c r="C1968" s="1">
        <v>45785</v>
      </c>
      <c r="D1968" t="s">
        <v>227</v>
      </c>
      <c r="E1968" t="s">
        <v>228</v>
      </c>
      <c r="F1968" t="s">
        <v>23</v>
      </c>
      <c r="G1968" t="s">
        <v>61</v>
      </c>
      <c r="H1968" t="s">
        <v>62</v>
      </c>
      <c r="I1968" t="s">
        <v>93</v>
      </c>
      <c r="J1968" t="s">
        <v>94</v>
      </c>
      <c r="K1968" t="s">
        <v>95</v>
      </c>
      <c r="L1968">
        <v>2</v>
      </c>
      <c r="M1968">
        <v>1800</v>
      </c>
      <c r="N1968">
        <v>0</v>
      </c>
      <c r="O1968">
        <v>3600</v>
      </c>
      <c r="P1968">
        <v>1109.06</v>
      </c>
      <c r="Q1968" t="s">
        <v>156</v>
      </c>
      <c r="R1968" t="s">
        <v>29</v>
      </c>
      <c r="S1968" t="s">
        <v>40</v>
      </c>
    </row>
    <row r="1969" spans="1:19" x14ac:dyDescent="0.3">
      <c r="A1969" t="s">
        <v>3063</v>
      </c>
      <c r="B1969" s="1">
        <v>45369</v>
      </c>
      <c r="C1969" s="1">
        <v>45372</v>
      </c>
      <c r="D1969" t="s">
        <v>196</v>
      </c>
      <c r="E1969" t="s">
        <v>197</v>
      </c>
      <c r="F1969" t="s">
        <v>34</v>
      </c>
      <c r="G1969" t="s">
        <v>91</v>
      </c>
      <c r="H1969" t="s">
        <v>120</v>
      </c>
      <c r="I1969" t="s">
        <v>71</v>
      </c>
      <c r="J1969" t="s">
        <v>72</v>
      </c>
      <c r="K1969" t="s">
        <v>73</v>
      </c>
      <c r="L1969">
        <v>2</v>
      </c>
      <c r="M1969">
        <v>3500</v>
      </c>
      <c r="N1969">
        <v>10</v>
      </c>
      <c r="O1969">
        <v>6300</v>
      </c>
      <c r="P1969">
        <v>2040.67</v>
      </c>
      <c r="Q1969" t="s">
        <v>39</v>
      </c>
      <c r="R1969" t="s">
        <v>29</v>
      </c>
      <c r="S1969" t="s">
        <v>40</v>
      </c>
    </row>
    <row r="1970" spans="1:19" x14ac:dyDescent="0.3">
      <c r="A1970" t="s">
        <v>3064</v>
      </c>
      <c r="B1970" s="1">
        <v>45596</v>
      </c>
      <c r="C1970" s="1">
        <v>45423</v>
      </c>
      <c r="D1970" t="s">
        <v>318</v>
      </c>
      <c r="E1970" t="s">
        <v>319</v>
      </c>
      <c r="F1970" t="s">
        <v>55</v>
      </c>
      <c r="G1970" t="s">
        <v>35</v>
      </c>
      <c r="I1970" t="s">
        <v>71</v>
      </c>
      <c r="J1970" t="s">
        <v>72</v>
      </c>
      <c r="K1970" t="s">
        <v>73</v>
      </c>
      <c r="L1970">
        <v>3</v>
      </c>
      <c r="M1970">
        <v>3500</v>
      </c>
      <c r="N1970">
        <v>20</v>
      </c>
      <c r="O1970">
        <v>8400</v>
      </c>
      <c r="P1970">
        <v>2602.2600000000002</v>
      </c>
      <c r="Q1970" t="s">
        <v>74</v>
      </c>
      <c r="R1970" t="s">
        <v>29</v>
      </c>
      <c r="S1970" t="s">
        <v>50</v>
      </c>
    </row>
    <row r="1971" spans="1:19" x14ac:dyDescent="0.3">
      <c r="A1971" t="s">
        <v>3065</v>
      </c>
      <c r="B1971" s="1">
        <v>45815</v>
      </c>
      <c r="C1971" s="1">
        <v>45851</v>
      </c>
      <c r="D1971" t="s">
        <v>332</v>
      </c>
      <c r="E1971" t="s">
        <v>333</v>
      </c>
      <c r="F1971" t="s">
        <v>23</v>
      </c>
      <c r="G1971" t="s">
        <v>91</v>
      </c>
      <c r="H1971" t="s">
        <v>177</v>
      </c>
      <c r="I1971" t="s">
        <v>37</v>
      </c>
      <c r="J1971" t="s">
        <v>38</v>
      </c>
      <c r="K1971" t="s">
        <v>27</v>
      </c>
      <c r="L1971">
        <v>10</v>
      </c>
      <c r="M1971">
        <v>9500</v>
      </c>
      <c r="N1971">
        <v>0</v>
      </c>
      <c r="O1971">
        <v>95000</v>
      </c>
      <c r="P1971">
        <v>18519.28</v>
      </c>
      <c r="Q1971" t="s">
        <v>39</v>
      </c>
      <c r="R1971" t="s">
        <v>29</v>
      </c>
      <c r="S1971" t="s">
        <v>86</v>
      </c>
    </row>
    <row r="1972" spans="1:19" x14ac:dyDescent="0.3">
      <c r="A1972" t="s">
        <v>3066</v>
      </c>
      <c r="B1972" s="1">
        <v>45602</v>
      </c>
      <c r="C1972" s="2">
        <v>45608</v>
      </c>
      <c r="D1972" t="s">
        <v>1450</v>
      </c>
      <c r="E1972" t="s">
        <v>1451</v>
      </c>
      <c r="F1972" t="s">
        <v>23</v>
      </c>
      <c r="G1972" t="s">
        <v>61</v>
      </c>
      <c r="H1972" t="s">
        <v>78</v>
      </c>
      <c r="I1972" t="s">
        <v>114</v>
      </c>
      <c r="J1972" t="s">
        <v>115</v>
      </c>
      <c r="K1972" t="s">
        <v>65</v>
      </c>
      <c r="L1972">
        <v>3</v>
      </c>
      <c r="M1972">
        <v>55000</v>
      </c>
      <c r="N1972">
        <v>0</v>
      </c>
      <c r="O1972">
        <v>165000</v>
      </c>
      <c r="P1972">
        <v>21945.119999999999</v>
      </c>
      <c r="Q1972" t="s">
        <v>121</v>
      </c>
      <c r="R1972" t="s">
        <v>56</v>
      </c>
      <c r="S1972" t="s">
        <v>50</v>
      </c>
    </row>
    <row r="1973" spans="1:19" x14ac:dyDescent="0.3">
      <c r="A1973" t="s">
        <v>3067</v>
      </c>
      <c r="B1973" s="1">
        <v>45721</v>
      </c>
      <c r="C1973" s="1">
        <v>45726</v>
      </c>
      <c r="D1973" t="s">
        <v>453</v>
      </c>
      <c r="E1973" t="s">
        <v>454</v>
      </c>
      <c r="F1973" t="s">
        <v>55</v>
      </c>
      <c r="G1973" t="s">
        <v>35</v>
      </c>
      <c r="H1973" t="s">
        <v>187</v>
      </c>
      <c r="I1973" t="s">
        <v>103</v>
      </c>
      <c r="J1973" t="s">
        <v>104</v>
      </c>
      <c r="K1973" t="s">
        <v>65</v>
      </c>
      <c r="L1973">
        <v>2</v>
      </c>
      <c r="M1973">
        <v>8000</v>
      </c>
      <c r="N1973">
        <v>20</v>
      </c>
      <c r="O1973">
        <v>12800</v>
      </c>
      <c r="P1973">
        <v>2756.31</v>
      </c>
      <c r="Q1973" t="s">
        <v>74</v>
      </c>
      <c r="R1973" t="s">
        <v>56</v>
      </c>
      <c r="S1973" t="s">
        <v>86</v>
      </c>
    </row>
    <row r="1974" spans="1:19" x14ac:dyDescent="0.3">
      <c r="A1974" t="s">
        <v>3068</v>
      </c>
      <c r="B1974" s="1">
        <v>45941</v>
      </c>
      <c r="C1974" s="2">
        <v>45946</v>
      </c>
      <c r="D1974" t="s">
        <v>947</v>
      </c>
      <c r="E1974" t="s">
        <v>948</v>
      </c>
      <c r="F1974" t="s">
        <v>55</v>
      </c>
      <c r="G1974" t="s">
        <v>35</v>
      </c>
      <c r="H1974" t="s">
        <v>36</v>
      </c>
      <c r="I1974" t="s">
        <v>126</v>
      </c>
      <c r="J1974" t="s">
        <v>127</v>
      </c>
      <c r="K1974" t="s">
        <v>95</v>
      </c>
      <c r="L1974">
        <v>1</v>
      </c>
      <c r="M1974">
        <v>600</v>
      </c>
      <c r="N1974">
        <v>5</v>
      </c>
      <c r="O1974">
        <v>570</v>
      </c>
      <c r="P1974">
        <v>170.74</v>
      </c>
      <c r="Q1974" t="s">
        <v>121</v>
      </c>
      <c r="R1974" t="s">
        <v>56</v>
      </c>
      <c r="S1974" t="s">
        <v>30</v>
      </c>
    </row>
    <row r="1975" spans="1:19" x14ac:dyDescent="0.3">
      <c r="A1975" t="s">
        <v>3069</v>
      </c>
      <c r="B1975" s="1">
        <v>45959</v>
      </c>
      <c r="C1975" s="2">
        <v>45963</v>
      </c>
      <c r="D1975" t="s">
        <v>230</v>
      </c>
      <c r="E1975" t="s">
        <v>231</v>
      </c>
      <c r="F1975" t="s">
        <v>55</v>
      </c>
      <c r="G1975" t="s">
        <v>44</v>
      </c>
      <c r="H1975" t="s">
        <v>161</v>
      </c>
      <c r="I1975" t="s">
        <v>134</v>
      </c>
      <c r="J1975" t="s">
        <v>135</v>
      </c>
      <c r="K1975" t="s">
        <v>27</v>
      </c>
      <c r="L1975">
        <v>2</v>
      </c>
      <c r="M1975">
        <v>6000</v>
      </c>
      <c r="N1975">
        <v>15</v>
      </c>
      <c r="O1975">
        <v>10200</v>
      </c>
      <c r="P1975">
        <v>2226.94</v>
      </c>
      <c r="Q1975" t="s">
        <v>66</v>
      </c>
      <c r="R1975" t="s">
        <v>49</v>
      </c>
      <c r="S1975" t="s">
        <v>30</v>
      </c>
    </row>
    <row r="1976" spans="1:19" x14ac:dyDescent="0.3">
      <c r="A1976" t="s">
        <v>3070</v>
      </c>
      <c r="B1976" s="1">
        <v>45399</v>
      </c>
      <c r="D1976" t="s">
        <v>2043</v>
      </c>
      <c r="E1976" t="s">
        <v>3071</v>
      </c>
      <c r="F1976" t="s">
        <v>55</v>
      </c>
      <c r="G1976" t="s">
        <v>61</v>
      </c>
      <c r="H1976" t="s">
        <v>125</v>
      </c>
      <c r="I1976" t="s">
        <v>71</v>
      </c>
      <c r="J1976" t="s">
        <v>72</v>
      </c>
      <c r="K1976" t="s">
        <v>73</v>
      </c>
      <c r="L1976">
        <v>2</v>
      </c>
      <c r="M1976">
        <v>3500</v>
      </c>
      <c r="N1976">
        <v>20</v>
      </c>
      <c r="O1976">
        <v>5600</v>
      </c>
      <c r="P1976">
        <v>1900.25</v>
      </c>
      <c r="Q1976" t="s">
        <v>28</v>
      </c>
      <c r="R1976" t="s">
        <v>49</v>
      </c>
      <c r="S1976" t="s">
        <v>110</v>
      </c>
    </row>
    <row r="1977" spans="1:19" x14ac:dyDescent="0.3">
      <c r="A1977" t="s">
        <v>3072</v>
      </c>
      <c r="B1977" s="1">
        <v>45334</v>
      </c>
      <c r="D1977" t="s">
        <v>546</v>
      </c>
      <c r="E1977" t="s">
        <v>547</v>
      </c>
      <c r="F1977" t="s">
        <v>34</v>
      </c>
      <c r="G1977" t="s">
        <v>91</v>
      </c>
      <c r="I1977" t="s">
        <v>71</v>
      </c>
      <c r="J1977" t="s">
        <v>72</v>
      </c>
      <c r="K1977" t="s">
        <v>73</v>
      </c>
      <c r="L1977">
        <v>1</v>
      </c>
      <c r="M1977">
        <v>3500</v>
      </c>
      <c r="N1977">
        <v>20</v>
      </c>
      <c r="O1977">
        <v>2800</v>
      </c>
      <c r="P1977">
        <v>899.76</v>
      </c>
      <c r="Q1977" t="s">
        <v>156</v>
      </c>
      <c r="R1977" t="s">
        <v>49</v>
      </c>
      <c r="S1977" t="s">
        <v>86</v>
      </c>
    </row>
    <row r="1978" spans="1:19" x14ac:dyDescent="0.3">
      <c r="A1978" t="s">
        <v>3073</v>
      </c>
      <c r="B1978" s="1">
        <v>45916</v>
      </c>
      <c r="C1978" s="1">
        <v>45922</v>
      </c>
      <c r="D1978" t="s">
        <v>69</v>
      </c>
      <c r="E1978" t="s">
        <v>70</v>
      </c>
      <c r="F1978" t="s">
        <v>23</v>
      </c>
      <c r="G1978" t="s">
        <v>44</v>
      </c>
      <c r="H1978" t="s">
        <v>24</v>
      </c>
      <c r="I1978" t="s">
        <v>46</v>
      </c>
      <c r="J1978" t="s">
        <v>47</v>
      </c>
      <c r="K1978" t="s">
        <v>48</v>
      </c>
      <c r="L1978">
        <v>2</v>
      </c>
      <c r="M1978">
        <v>180</v>
      </c>
      <c r="N1978">
        <v>0</v>
      </c>
      <c r="O1978">
        <v>360</v>
      </c>
      <c r="P1978">
        <v>170.44</v>
      </c>
      <c r="Q1978" t="s">
        <v>74</v>
      </c>
      <c r="R1978" t="s">
        <v>29</v>
      </c>
      <c r="S1978" t="s">
        <v>30</v>
      </c>
    </row>
    <row r="1979" spans="1:19" x14ac:dyDescent="0.3">
      <c r="A1979" t="s">
        <v>3074</v>
      </c>
      <c r="B1979" t="s">
        <v>3075</v>
      </c>
      <c r="C1979" s="1">
        <v>45409</v>
      </c>
      <c r="D1979" t="s">
        <v>1191</v>
      </c>
      <c r="E1979" t="s">
        <v>1192</v>
      </c>
      <c r="F1979" t="s">
        <v>23</v>
      </c>
      <c r="G1979" t="s">
        <v>61</v>
      </c>
      <c r="H1979" t="s">
        <v>211</v>
      </c>
      <c r="I1979" t="s">
        <v>134</v>
      </c>
      <c r="J1979" t="s">
        <v>135</v>
      </c>
      <c r="K1979" t="s">
        <v>27</v>
      </c>
      <c r="L1979">
        <v>2</v>
      </c>
      <c r="M1979">
        <v>6000</v>
      </c>
      <c r="N1979">
        <v>0</v>
      </c>
      <c r="O1979">
        <v>12000</v>
      </c>
      <c r="P1979">
        <v>2668.72</v>
      </c>
      <c r="Q1979" t="s">
        <v>66</v>
      </c>
      <c r="R1979" t="s">
        <v>56</v>
      </c>
      <c r="S1979" t="s">
        <v>86</v>
      </c>
    </row>
    <row r="1980" spans="1:19" x14ac:dyDescent="0.3">
      <c r="A1980" t="s">
        <v>3076</v>
      </c>
      <c r="B1980" s="2">
        <v>45607</v>
      </c>
      <c r="C1980" s="2">
        <v>45615</v>
      </c>
      <c r="D1980" t="s">
        <v>539</v>
      </c>
      <c r="E1980" t="s">
        <v>540</v>
      </c>
      <c r="F1980" t="s">
        <v>34</v>
      </c>
      <c r="G1980" t="s">
        <v>61</v>
      </c>
      <c r="H1980" t="s">
        <v>211</v>
      </c>
      <c r="I1980" t="s">
        <v>37</v>
      </c>
      <c r="J1980" t="s">
        <v>38</v>
      </c>
      <c r="K1980" t="s">
        <v>27</v>
      </c>
      <c r="L1980">
        <v>4</v>
      </c>
      <c r="M1980">
        <v>9500</v>
      </c>
      <c r="N1980">
        <v>0</v>
      </c>
      <c r="O1980">
        <v>38000</v>
      </c>
      <c r="P1980">
        <v>5975.71</v>
      </c>
      <c r="Q1980" t="s">
        <v>156</v>
      </c>
      <c r="R1980" t="s">
        <v>49</v>
      </c>
      <c r="S1980" t="s">
        <v>30</v>
      </c>
    </row>
    <row r="1981" spans="1:19" x14ac:dyDescent="0.3">
      <c r="A1981" t="s">
        <v>3077</v>
      </c>
      <c r="B1981" s="1">
        <v>45470</v>
      </c>
      <c r="C1981" t="s">
        <v>1096</v>
      </c>
      <c r="D1981" t="s">
        <v>488</v>
      </c>
      <c r="E1981" t="s">
        <v>489</v>
      </c>
      <c r="F1981" t="s">
        <v>34</v>
      </c>
      <c r="G1981" t="s">
        <v>35</v>
      </c>
      <c r="H1981" t="s">
        <v>36</v>
      </c>
      <c r="I1981" t="s">
        <v>147</v>
      </c>
      <c r="J1981" t="s">
        <v>148</v>
      </c>
      <c r="K1981" t="s">
        <v>48</v>
      </c>
      <c r="L1981">
        <v>5</v>
      </c>
      <c r="M1981">
        <v>250</v>
      </c>
      <c r="N1981">
        <v>0</v>
      </c>
      <c r="O1981">
        <v>1250</v>
      </c>
      <c r="Q1981" t="s">
        <v>74</v>
      </c>
      <c r="R1981" t="s">
        <v>56</v>
      </c>
      <c r="S1981" t="s">
        <v>110</v>
      </c>
    </row>
    <row r="1982" spans="1:19" x14ac:dyDescent="0.3">
      <c r="A1982" t="s">
        <v>3078</v>
      </c>
      <c r="B1982" s="1">
        <v>45594</v>
      </c>
      <c r="C1982" s="1">
        <v>45362</v>
      </c>
      <c r="D1982" t="s">
        <v>491</v>
      </c>
      <c r="E1982" t="s">
        <v>492</v>
      </c>
      <c r="F1982" t="s">
        <v>34</v>
      </c>
      <c r="G1982" t="s">
        <v>44</v>
      </c>
      <c r="H1982" t="s">
        <v>330</v>
      </c>
      <c r="I1982" t="s">
        <v>126</v>
      </c>
      <c r="J1982" t="s">
        <v>127</v>
      </c>
      <c r="K1982" t="s">
        <v>95</v>
      </c>
      <c r="L1982">
        <v>4</v>
      </c>
      <c r="M1982">
        <v>600</v>
      </c>
      <c r="N1982">
        <v>5</v>
      </c>
      <c r="O1982">
        <v>2280</v>
      </c>
      <c r="P1982">
        <v>627.61</v>
      </c>
      <c r="Q1982" t="s">
        <v>28</v>
      </c>
      <c r="R1982" t="s">
        <v>29</v>
      </c>
      <c r="S1982" t="s">
        <v>30</v>
      </c>
    </row>
    <row r="1983" spans="1:19" x14ac:dyDescent="0.3">
      <c r="A1983" t="s">
        <v>3079</v>
      </c>
      <c r="B1983" s="1">
        <v>45894</v>
      </c>
      <c r="C1983" s="1">
        <v>45899</v>
      </c>
      <c r="D1983" t="s">
        <v>1609</v>
      </c>
      <c r="E1983" t="s">
        <v>1610</v>
      </c>
      <c r="F1983" t="s">
        <v>55</v>
      </c>
      <c r="G1983" t="s">
        <v>44</v>
      </c>
      <c r="H1983" t="s">
        <v>24</v>
      </c>
      <c r="I1983" t="s">
        <v>63</v>
      </c>
      <c r="J1983" t="s">
        <v>64</v>
      </c>
      <c r="K1983" t="s">
        <v>65</v>
      </c>
      <c r="L1983">
        <v>3</v>
      </c>
      <c r="M1983">
        <v>25000</v>
      </c>
      <c r="N1983">
        <v>0</v>
      </c>
      <c r="O1983">
        <v>75000</v>
      </c>
      <c r="P1983">
        <v>11616.62</v>
      </c>
      <c r="Q1983" t="s">
        <v>74</v>
      </c>
      <c r="R1983" t="s">
        <v>49</v>
      </c>
      <c r="S1983" t="s">
        <v>40</v>
      </c>
    </row>
    <row r="1984" spans="1:19" x14ac:dyDescent="0.3">
      <c r="A1984" t="s">
        <v>3080</v>
      </c>
      <c r="B1984" s="1">
        <v>45685</v>
      </c>
      <c r="C1984" s="2">
        <v>45692</v>
      </c>
      <c r="D1984" t="s">
        <v>1855</v>
      </c>
      <c r="E1984" t="s">
        <v>1856</v>
      </c>
      <c r="F1984" t="s">
        <v>55</v>
      </c>
      <c r="G1984" t="s">
        <v>35</v>
      </c>
      <c r="H1984" t="s">
        <v>85</v>
      </c>
      <c r="I1984" t="s">
        <v>93</v>
      </c>
      <c r="J1984" t="s">
        <v>94</v>
      </c>
      <c r="K1984" t="s">
        <v>95</v>
      </c>
      <c r="L1984">
        <v>1</v>
      </c>
      <c r="M1984">
        <v>1800</v>
      </c>
      <c r="N1984">
        <v>0</v>
      </c>
      <c r="O1984">
        <v>1800</v>
      </c>
      <c r="P1984">
        <v>456.05</v>
      </c>
      <c r="Q1984" t="s">
        <v>28</v>
      </c>
      <c r="R1984" t="s">
        <v>29</v>
      </c>
      <c r="S1984" t="s">
        <v>30</v>
      </c>
    </row>
    <row r="1985" spans="1:19" x14ac:dyDescent="0.3">
      <c r="A1985" t="s">
        <v>3081</v>
      </c>
      <c r="B1985" s="1">
        <v>45955</v>
      </c>
      <c r="C1985" s="1">
        <v>45958</v>
      </c>
      <c r="D1985" t="s">
        <v>735</v>
      </c>
      <c r="E1985" t="s">
        <v>736</v>
      </c>
      <c r="F1985" t="s">
        <v>23</v>
      </c>
      <c r="G1985" t="s">
        <v>44</v>
      </c>
      <c r="I1985" t="s">
        <v>37</v>
      </c>
      <c r="J1985" t="s">
        <v>38</v>
      </c>
      <c r="K1985" t="s">
        <v>27</v>
      </c>
      <c r="L1985">
        <v>4</v>
      </c>
      <c r="M1985">
        <v>9500</v>
      </c>
      <c r="N1985">
        <v>15</v>
      </c>
      <c r="O1985">
        <v>32300</v>
      </c>
      <c r="P1985">
        <v>5152.2700000000004</v>
      </c>
      <c r="Q1985" t="s">
        <v>39</v>
      </c>
      <c r="R1985" t="s">
        <v>29</v>
      </c>
      <c r="S1985" t="s">
        <v>110</v>
      </c>
    </row>
    <row r="1986" spans="1:19" x14ac:dyDescent="0.3">
      <c r="A1986" t="s">
        <v>3082</v>
      </c>
      <c r="B1986" s="1">
        <v>45689</v>
      </c>
      <c r="C1986" s="2">
        <v>45694</v>
      </c>
      <c r="D1986" t="s">
        <v>196</v>
      </c>
      <c r="E1986" t="s">
        <v>197</v>
      </c>
      <c r="F1986" t="s">
        <v>34</v>
      </c>
      <c r="G1986" t="s">
        <v>91</v>
      </c>
      <c r="H1986" t="s">
        <v>120</v>
      </c>
      <c r="I1986" t="s">
        <v>63</v>
      </c>
      <c r="J1986" t="s">
        <v>64</v>
      </c>
      <c r="K1986" t="s">
        <v>65</v>
      </c>
      <c r="L1986">
        <v>2</v>
      </c>
      <c r="M1986">
        <v>25000</v>
      </c>
      <c r="N1986">
        <v>10</v>
      </c>
      <c r="O1986">
        <v>45000</v>
      </c>
      <c r="P1986">
        <v>5605.54</v>
      </c>
      <c r="Q1986" t="s">
        <v>39</v>
      </c>
      <c r="R1986" t="s">
        <v>49</v>
      </c>
      <c r="S1986" t="s">
        <v>86</v>
      </c>
    </row>
    <row r="1987" spans="1:19" x14ac:dyDescent="0.3">
      <c r="A1987" t="s">
        <v>3083</v>
      </c>
      <c r="B1987" s="1">
        <v>45767</v>
      </c>
      <c r="C1987" s="2">
        <v>45768</v>
      </c>
      <c r="D1987" t="s">
        <v>864</v>
      </c>
      <c r="E1987" t="s">
        <v>865</v>
      </c>
      <c r="F1987" t="s">
        <v>34</v>
      </c>
      <c r="G1987" t="s">
        <v>44</v>
      </c>
      <c r="H1987" t="s">
        <v>155</v>
      </c>
      <c r="I1987" t="s">
        <v>103</v>
      </c>
      <c r="J1987" t="s">
        <v>104</v>
      </c>
      <c r="K1987" t="s">
        <v>65</v>
      </c>
      <c r="L1987">
        <v>3</v>
      </c>
      <c r="M1987">
        <v>8000</v>
      </c>
      <c r="N1987">
        <v>15</v>
      </c>
      <c r="O1987">
        <v>20400</v>
      </c>
      <c r="Q1987" t="s">
        <v>121</v>
      </c>
      <c r="R1987" t="s">
        <v>29</v>
      </c>
      <c r="S1987" t="s">
        <v>194</v>
      </c>
    </row>
    <row r="1988" spans="1:19" x14ac:dyDescent="0.3">
      <c r="A1988" t="s">
        <v>3084</v>
      </c>
      <c r="B1988" s="1">
        <v>45940</v>
      </c>
      <c r="C1988" t="s">
        <v>2137</v>
      </c>
      <c r="D1988" t="s">
        <v>942</v>
      </c>
      <c r="E1988" t="s">
        <v>943</v>
      </c>
      <c r="F1988" t="s">
        <v>23</v>
      </c>
      <c r="G1988" t="s">
        <v>44</v>
      </c>
      <c r="H1988" t="s">
        <v>155</v>
      </c>
      <c r="I1988" t="s">
        <v>63</v>
      </c>
      <c r="J1988" t="s">
        <v>64</v>
      </c>
      <c r="K1988" t="s">
        <v>65</v>
      </c>
      <c r="L1988">
        <v>2</v>
      </c>
      <c r="M1988">
        <v>25000</v>
      </c>
      <c r="N1988">
        <v>0</v>
      </c>
      <c r="O1988">
        <v>50000</v>
      </c>
      <c r="P1988">
        <v>7253.13</v>
      </c>
      <c r="Q1988" t="s">
        <v>121</v>
      </c>
      <c r="R1988" t="s">
        <v>29</v>
      </c>
      <c r="S1988" t="s">
        <v>30</v>
      </c>
    </row>
    <row r="1989" spans="1:19" x14ac:dyDescent="0.3">
      <c r="A1989" t="s">
        <v>3085</v>
      </c>
      <c r="B1989" s="1">
        <v>45922</v>
      </c>
      <c r="C1989" s="1">
        <v>45923</v>
      </c>
      <c r="D1989" t="s">
        <v>808</v>
      </c>
      <c r="E1989" t="s">
        <v>809</v>
      </c>
      <c r="F1989" t="s">
        <v>55</v>
      </c>
      <c r="G1989" t="s">
        <v>35</v>
      </c>
      <c r="H1989" t="s">
        <v>258</v>
      </c>
      <c r="I1989" t="s">
        <v>25</v>
      </c>
      <c r="J1989" t="s">
        <v>26</v>
      </c>
      <c r="K1989" t="s">
        <v>27</v>
      </c>
      <c r="M1989">
        <v>7000</v>
      </c>
      <c r="N1989">
        <v>20</v>
      </c>
      <c r="O1989">
        <v>11200</v>
      </c>
      <c r="P1989">
        <v>2507.09</v>
      </c>
      <c r="Q1989" t="s">
        <v>74</v>
      </c>
      <c r="R1989" t="s">
        <v>56</v>
      </c>
      <c r="S1989" t="s">
        <v>30</v>
      </c>
    </row>
    <row r="1990" spans="1:19" x14ac:dyDescent="0.3">
      <c r="A1990" t="s">
        <v>3086</v>
      </c>
      <c r="B1990" t="s">
        <v>620</v>
      </c>
      <c r="C1990" s="2">
        <v>45962</v>
      </c>
      <c r="D1990" t="s">
        <v>822</v>
      </c>
      <c r="E1990" t="s">
        <v>823</v>
      </c>
      <c r="F1990" t="s">
        <v>34</v>
      </c>
      <c r="G1990" t="s">
        <v>35</v>
      </c>
      <c r="H1990" t="s">
        <v>187</v>
      </c>
      <c r="I1990" t="s">
        <v>71</v>
      </c>
      <c r="J1990" t="s">
        <v>72</v>
      </c>
      <c r="K1990" t="s">
        <v>73</v>
      </c>
      <c r="L1990">
        <v>3</v>
      </c>
      <c r="M1990">
        <v>3500</v>
      </c>
      <c r="N1990">
        <v>15</v>
      </c>
      <c r="O1990">
        <v>8925</v>
      </c>
      <c r="P1990">
        <v>3024.62</v>
      </c>
      <c r="Q1990" t="s">
        <v>39</v>
      </c>
      <c r="R1990" t="s">
        <v>56</v>
      </c>
      <c r="S1990" t="s">
        <v>50</v>
      </c>
    </row>
    <row r="1991" spans="1:19" x14ac:dyDescent="0.3">
      <c r="A1991" t="s">
        <v>3087</v>
      </c>
      <c r="B1991" s="1">
        <v>45874</v>
      </c>
      <c r="C1991" s="1">
        <v>45938</v>
      </c>
      <c r="D1991" t="s">
        <v>790</v>
      </c>
      <c r="E1991" t="s">
        <v>791</v>
      </c>
      <c r="F1991" t="s">
        <v>23</v>
      </c>
      <c r="G1991" t="s">
        <v>61</v>
      </c>
      <c r="H1991" t="s">
        <v>125</v>
      </c>
      <c r="I1991" t="s">
        <v>46</v>
      </c>
      <c r="J1991" t="s">
        <v>47</v>
      </c>
      <c r="K1991" t="s">
        <v>48</v>
      </c>
      <c r="L1991">
        <v>1</v>
      </c>
      <c r="M1991">
        <v>180</v>
      </c>
      <c r="N1991">
        <v>15</v>
      </c>
      <c r="O1991">
        <v>153</v>
      </c>
      <c r="P1991">
        <v>60.14</v>
      </c>
      <c r="R1991" t="s">
        <v>49</v>
      </c>
      <c r="S1991" t="s">
        <v>40</v>
      </c>
    </row>
    <row r="1992" spans="1:19" x14ac:dyDescent="0.3">
      <c r="A1992" t="s">
        <v>3088</v>
      </c>
      <c r="B1992" s="1">
        <v>45672</v>
      </c>
      <c r="C1992" s="1">
        <v>45677</v>
      </c>
      <c r="D1992" t="s">
        <v>767</v>
      </c>
      <c r="E1992" t="s">
        <v>768</v>
      </c>
      <c r="F1992" t="s">
        <v>23</v>
      </c>
      <c r="G1992" t="s">
        <v>35</v>
      </c>
      <c r="H1992" t="s">
        <v>258</v>
      </c>
      <c r="I1992" t="s">
        <v>147</v>
      </c>
      <c r="J1992" t="s">
        <v>148</v>
      </c>
      <c r="K1992" t="s">
        <v>48</v>
      </c>
      <c r="L1992">
        <v>2</v>
      </c>
      <c r="M1992">
        <v>250</v>
      </c>
      <c r="N1992">
        <v>5</v>
      </c>
      <c r="O1992">
        <v>475</v>
      </c>
      <c r="P1992">
        <v>201.26</v>
      </c>
      <c r="Q1992" t="s">
        <v>28</v>
      </c>
      <c r="R1992" t="s">
        <v>29</v>
      </c>
      <c r="S1992" t="s">
        <v>40</v>
      </c>
    </row>
    <row r="1993" spans="1:19" x14ac:dyDescent="0.3">
      <c r="A1993" t="s">
        <v>3089</v>
      </c>
      <c r="B1993" s="1">
        <v>45698</v>
      </c>
      <c r="C1993" s="1">
        <v>45702</v>
      </c>
      <c r="D1993" t="s">
        <v>1009</v>
      </c>
      <c r="E1993" t="s">
        <v>1010</v>
      </c>
      <c r="F1993" t="s">
        <v>23</v>
      </c>
      <c r="G1993" t="s">
        <v>61</v>
      </c>
      <c r="H1993" t="s">
        <v>62</v>
      </c>
      <c r="I1993" t="s">
        <v>63</v>
      </c>
      <c r="J1993" t="s">
        <v>64</v>
      </c>
      <c r="K1993" t="s">
        <v>65</v>
      </c>
      <c r="L1993">
        <v>2</v>
      </c>
      <c r="M1993">
        <v>25000</v>
      </c>
      <c r="N1993">
        <v>10</v>
      </c>
      <c r="O1993">
        <v>45000</v>
      </c>
      <c r="P1993">
        <v>6367.25</v>
      </c>
      <c r="Q1993" t="s">
        <v>66</v>
      </c>
      <c r="R1993" t="s">
        <v>29</v>
      </c>
      <c r="S1993" t="s">
        <v>30</v>
      </c>
    </row>
    <row r="1994" spans="1:19" x14ac:dyDescent="0.3">
      <c r="A1994" t="s">
        <v>3090</v>
      </c>
      <c r="B1994" s="1">
        <v>45662</v>
      </c>
      <c r="C1994" s="2">
        <v>45666</v>
      </c>
      <c r="D1994" t="s">
        <v>1067</v>
      </c>
      <c r="E1994" t="s">
        <v>1068</v>
      </c>
      <c r="F1994" t="s">
        <v>23</v>
      </c>
      <c r="G1994" t="s">
        <v>35</v>
      </c>
      <c r="H1994" t="s">
        <v>85</v>
      </c>
      <c r="I1994" t="s">
        <v>114</v>
      </c>
      <c r="J1994" t="s">
        <v>115</v>
      </c>
      <c r="K1994" t="s">
        <v>65</v>
      </c>
      <c r="L1994">
        <v>3</v>
      </c>
      <c r="M1994">
        <v>55000</v>
      </c>
      <c r="N1994">
        <v>5</v>
      </c>
      <c r="O1994">
        <v>156750</v>
      </c>
      <c r="P1994">
        <v>22159.17</v>
      </c>
      <c r="Q1994" t="s">
        <v>66</v>
      </c>
      <c r="R1994" t="s">
        <v>56</v>
      </c>
      <c r="S1994" t="s">
        <v>30</v>
      </c>
    </row>
    <row r="1995" spans="1:19" x14ac:dyDescent="0.3">
      <c r="A1995" t="s">
        <v>3091</v>
      </c>
      <c r="B1995" s="1">
        <v>45564</v>
      </c>
      <c r="C1995" s="1">
        <v>45565</v>
      </c>
      <c r="D1995" t="s">
        <v>400</v>
      </c>
      <c r="E1995" t="s">
        <v>401</v>
      </c>
      <c r="F1995" t="s">
        <v>34</v>
      </c>
      <c r="G1995" t="s">
        <v>44</v>
      </c>
      <c r="H1995" t="s">
        <v>24</v>
      </c>
      <c r="I1995" t="s">
        <v>114</v>
      </c>
      <c r="J1995" t="s">
        <v>115</v>
      </c>
      <c r="K1995" t="s">
        <v>65</v>
      </c>
      <c r="L1995">
        <v>3</v>
      </c>
      <c r="M1995">
        <v>55000</v>
      </c>
      <c r="N1995">
        <v>0</v>
      </c>
      <c r="O1995">
        <v>165000</v>
      </c>
      <c r="P1995">
        <v>28694.03</v>
      </c>
      <c r="Q1995" t="s">
        <v>66</v>
      </c>
      <c r="R1995" t="s">
        <v>29</v>
      </c>
      <c r="S1995" t="s">
        <v>40</v>
      </c>
    </row>
    <row r="1996" spans="1:19" x14ac:dyDescent="0.3">
      <c r="A1996" t="s">
        <v>3092</v>
      </c>
      <c r="B1996" s="1">
        <v>45768</v>
      </c>
      <c r="C1996" t="s">
        <v>3093</v>
      </c>
      <c r="D1996" t="s">
        <v>488</v>
      </c>
      <c r="E1996" t="s">
        <v>489</v>
      </c>
      <c r="F1996" t="s">
        <v>34</v>
      </c>
      <c r="G1996" t="s">
        <v>35</v>
      </c>
      <c r="H1996" t="s">
        <v>36</v>
      </c>
      <c r="I1996" t="s">
        <v>63</v>
      </c>
      <c r="J1996" t="s">
        <v>64</v>
      </c>
      <c r="K1996" t="s">
        <v>65</v>
      </c>
      <c r="L1996">
        <v>4</v>
      </c>
      <c r="M1996">
        <v>25000</v>
      </c>
      <c r="N1996">
        <v>0</v>
      </c>
      <c r="O1996">
        <v>100000</v>
      </c>
      <c r="P1996">
        <v>14616.39</v>
      </c>
      <c r="Q1996" t="s">
        <v>156</v>
      </c>
      <c r="R1996" t="s">
        <v>49</v>
      </c>
      <c r="S1996" t="s">
        <v>86</v>
      </c>
    </row>
    <row r="1997" spans="1:19" x14ac:dyDescent="0.3">
      <c r="A1997" t="s">
        <v>3094</v>
      </c>
      <c r="B1997" s="2">
        <v>45943</v>
      </c>
      <c r="C1997" s="2">
        <v>45944</v>
      </c>
      <c r="D1997" t="s">
        <v>942</v>
      </c>
      <c r="E1997" t="s">
        <v>943</v>
      </c>
      <c r="F1997" t="s">
        <v>23</v>
      </c>
      <c r="G1997" t="s">
        <v>44</v>
      </c>
      <c r="H1997" t="s">
        <v>155</v>
      </c>
      <c r="I1997" t="s">
        <v>71</v>
      </c>
      <c r="J1997" t="s">
        <v>72</v>
      </c>
      <c r="K1997" t="s">
        <v>73</v>
      </c>
      <c r="L1997">
        <v>3</v>
      </c>
      <c r="M1997">
        <v>3500</v>
      </c>
      <c r="N1997">
        <v>0</v>
      </c>
      <c r="O1997">
        <v>10500</v>
      </c>
      <c r="P1997">
        <v>2961.6</v>
      </c>
      <c r="Q1997" t="s">
        <v>28</v>
      </c>
      <c r="R1997" t="s">
        <v>49</v>
      </c>
      <c r="S1997" t="s">
        <v>50</v>
      </c>
    </row>
    <row r="1998" spans="1:19" x14ac:dyDescent="0.3">
      <c r="A1998" t="s">
        <v>3095</v>
      </c>
      <c r="B1998" s="1">
        <v>45497</v>
      </c>
      <c r="C1998" t="s">
        <v>1494</v>
      </c>
      <c r="D1998" t="s">
        <v>520</v>
      </c>
      <c r="E1998" t="s">
        <v>521</v>
      </c>
      <c r="F1998" t="s">
        <v>23</v>
      </c>
      <c r="G1998" t="s">
        <v>91</v>
      </c>
      <c r="H1998" t="s">
        <v>109</v>
      </c>
      <c r="I1998" t="s">
        <v>79</v>
      </c>
      <c r="J1998" t="s">
        <v>80</v>
      </c>
      <c r="K1998" t="s">
        <v>65</v>
      </c>
      <c r="L1998">
        <v>1</v>
      </c>
      <c r="M1998">
        <v>3000</v>
      </c>
      <c r="N1998">
        <v>10</v>
      </c>
      <c r="O1998">
        <v>2700</v>
      </c>
      <c r="Q1998" t="s">
        <v>39</v>
      </c>
      <c r="R1998" t="s">
        <v>56</v>
      </c>
      <c r="S1998" t="s">
        <v>110</v>
      </c>
    </row>
    <row r="1999" spans="1:19" x14ac:dyDescent="0.3">
      <c r="A1999" t="s">
        <v>3096</v>
      </c>
      <c r="B1999" s="2">
        <v>45842</v>
      </c>
      <c r="C1999" s="1">
        <v>45849</v>
      </c>
      <c r="D1999" t="s">
        <v>491</v>
      </c>
      <c r="E1999" t="s">
        <v>492</v>
      </c>
      <c r="F1999" t="s">
        <v>34</v>
      </c>
      <c r="G1999" t="s">
        <v>44</v>
      </c>
      <c r="H1999" t="s">
        <v>330</v>
      </c>
      <c r="I1999" t="s">
        <v>46</v>
      </c>
      <c r="J1999" t="s">
        <v>47</v>
      </c>
      <c r="K1999" t="s">
        <v>48</v>
      </c>
      <c r="L1999">
        <v>1</v>
      </c>
      <c r="M1999">
        <v>180</v>
      </c>
      <c r="N1999">
        <v>15</v>
      </c>
      <c r="O1999">
        <v>153</v>
      </c>
      <c r="P1999">
        <v>49.28</v>
      </c>
      <c r="Q1999" t="s">
        <v>39</v>
      </c>
      <c r="R1999" t="s">
        <v>56</v>
      </c>
      <c r="S1999" t="s">
        <v>86</v>
      </c>
    </row>
    <row r="2000" spans="1:19" x14ac:dyDescent="0.3">
      <c r="A2000" t="s">
        <v>3097</v>
      </c>
      <c r="B2000" s="2">
        <v>45439</v>
      </c>
      <c r="C2000" s="2">
        <v>45443</v>
      </c>
      <c r="D2000" t="s">
        <v>172</v>
      </c>
      <c r="E2000" t="s">
        <v>173</v>
      </c>
      <c r="F2000" t="s">
        <v>55</v>
      </c>
      <c r="G2000" t="s">
        <v>91</v>
      </c>
      <c r="H2000" t="s">
        <v>177</v>
      </c>
      <c r="I2000" t="s">
        <v>147</v>
      </c>
      <c r="J2000" t="s">
        <v>148</v>
      </c>
      <c r="K2000" t="s">
        <v>48</v>
      </c>
      <c r="L2000">
        <v>5</v>
      </c>
      <c r="M2000">
        <v>250</v>
      </c>
      <c r="N2000">
        <v>15</v>
      </c>
      <c r="O2000">
        <v>1062.5</v>
      </c>
      <c r="P2000">
        <v>459.02</v>
      </c>
      <c r="Q2000" t="s">
        <v>28</v>
      </c>
      <c r="R2000" t="s">
        <v>49</v>
      </c>
      <c r="S2000" t="s">
        <v>50</v>
      </c>
    </row>
    <row r="2001" spans="1:19" x14ac:dyDescent="0.3">
      <c r="A2001" t="s">
        <v>3098</v>
      </c>
      <c r="B2001" s="1">
        <v>45673</v>
      </c>
      <c r="C2001" s="1">
        <v>45679</v>
      </c>
      <c r="D2001" t="s">
        <v>1135</v>
      </c>
      <c r="E2001" t="s">
        <v>1136</v>
      </c>
      <c r="F2001" t="s">
        <v>55</v>
      </c>
      <c r="G2001" t="s">
        <v>61</v>
      </c>
      <c r="H2001" t="s">
        <v>125</v>
      </c>
      <c r="I2001" t="s">
        <v>93</v>
      </c>
      <c r="J2001" t="s">
        <v>94</v>
      </c>
      <c r="K2001" t="s">
        <v>95</v>
      </c>
      <c r="L2001">
        <v>4</v>
      </c>
      <c r="M2001">
        <v>1800</v>
      </c>
      <c r="N2001">
        <v>0</v>
      </c>
      <c r="O2001">
        <v>7200</v>
      </c>
      <c r="P2001">
        <v>2345.66</v>
      </c>
      <c r="Q2001" t="s">
        <v>156</v>
      </c>
      <c r="R2001" t="s">
        <v>56</v>
      </c>
      <c r="S2001" t="s">
        <v>110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B039CD-5D72-4B7C-B11D-26B4F31FF4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products</vt:lpstr>
      <vt:lpstr>Dashboard</vt:lpstr>
      <vt:lpstr>Analysis</vt:lpstr>
      <vt:lpstr>Table1</vt:lpstr>
      <vt:lpstr>sales_raw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UGK ~</dc:creator>
  <cp:lastModifiedBy>~ UGK ~</cp:lastModifiedBy>
  <dcterms:created xsi:type="dcterms:W3CDTF">2026-10-20T05:11:12Z</dcterms:created>
  <dcterms:modified xsi:type="dcterms:W3CDTF">2026-10-21T11:33:09Z</dcterms:modified>
</cp:coreProperties>
</file>